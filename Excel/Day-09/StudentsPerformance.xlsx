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yer\Desktop\45Days challenge\Day8\"/>
    </mc:Choice>
  </mc:AlternateContent>
  <xr:revisionPtr revIDLastSave="0" documentId="13_ncr:1_{68BDC83E-157B-4E37-9E20-DE5CC8C3FED7}" xr6:coauthVersionLast="47" xr6:coauthVersionMax="47" xr10:uidLastSave="{00000000-0000-0000-0000-000000000000}"/>
  <bookViews>
    <workbookView xWindow="-108" yWindow="-108" windowWidth="23256" windowHeight="12816" firstSheet="1" activeTab="1" xr2:uid="{12653927-7C50-4B2C-A4B4-745F734AD791}"/>
  </bookViews>
  <sheets>
    <sheet name="StudentsPerformance" sheetId="1" r:id="rId1"/>
    <sheet name="Boundary table" sheetId="3" r:id="rId2"/>
    <sheet name="Top 10 per subject" sheetId="2" r:id="rId3"/>
    <sheet name="Test Prep Impact" sheetId="4" r:id="rId4"/>
    <sheet name="Parental education correlation" sheetId="5" r:id="rId5"/>
    <sheet name="Failing student alert system" sheetId="6" r:id="rId6"/>
  </sheets>
  <definedNames>
    <definedName name="StudentsPerformance">StudentsPerformance!$A$1:$O$1001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6" l="1"/>
  <c r="A3" i="6" a="1"/>
  <c r="A3" i="6" s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3" i="1"/>
  <c r="B2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A2" i="6"/>
  <c r="Q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O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A3" i="5" a="1"/>
  <c r="A3" i="5" s="1"/>
  <c r="C5" i="4"/>
  <c r="B5" i="4"/>
  <c r="C4" i="4"/>
  <c r="B4" i="4"/>
  <c r="C3" i="4"/>
  <c r="B3" i="4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3" i="1"/>
  <c r="K4" i="1"/>
  <c r="K5" i="1"/>
  <c r="K6" i="1"/>
  <c r="K7" i="1"/>
  <c r="K8" i="1"/>
  <c r="K9" i="1"/>
  <c r="K10" i="1"/>
  <c r="K11" i="1"/>
  <c r="K2" i="1"/>
  <c r="H3" i="1"/>
  <c r="H4" i="1"/>
  <c r="T5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3" i="2" a="1"/>
  <c r="A3" i="2" s="1"/>
  <c r="O3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D4" i="4" l="1"/>
  <c r="B3" i="5"/>
  <c r="B8" i="5"/>
  <c r="B7" i="5"/>
  <c r="B6" i="5"/>
  <c r="B5" i="5"/>
  <c r="B4" i="5"/>
  <c r="D3" i="4"/>
  <c r="D5" i="4"/>
  <c r="F3" i="2"/>
  <c r="F8" i="2"/>
  <c r="C11" i="2"/>
  <c r="E3" i="2"/>
  <c r="E4" i="2"/>
  <c r="G6" i="2"/>
  <c r="D9" i="2"/>
  <c r="F11" i="2"/>
  <c r="C10" i="2"/>
  <c r="E12" i="2"/>
  <c r="G3" i="2"/>
  <c r="G5" i="2"/>
  <c r="D8" i="2"/>
  <c r="F10" i="2"/>
  <c r="C9" i="2"/>
  <c r="E11" i="2"/>
  <c r="G12" i="2"/>
  <c r="G4" i="2"/>
  <c r="D7" i="2"/>
  <c r="F9" i="2"/>
  <c r="C8" i="2"/>
  <c r="E10" i="2"/>
  <c r="G11" i="2"/>
  <c r="E6" i="2"/>
  <c r="D6" i="2"/>
  <c r="C7" i="2"/>
  <c r="E9" i="2"/>
  <c r="G10" i="2"/>
  <c r="B5" i="2"/>
  <c r="D3" i="2"/>
  <c r="D5" i="2"/>
  <c r="F7" i="2"/>
  <c r="C6" i="2"/>
  <c r="G9" i="2"/>
  <c r="D12" i="2"/>
  <c r="D4" i="2"/>
  <c r="F6" i="2"/>
  <c r="E8" i="2"/>
  <c r="C3" i="2"/>
  <c r="C5" i="2"/>
  <c r="E7" i="2"/>
  <c r="G8" i="2"/>
  <c r="D11" i="2"/>
  <c r="F5" i="2"/>
  <c r="C12" i="2"/>
  <c r="C4" i="2"/>
  <c r="E5" i="2"/>
  <c r="G7" i="2"/>
  <c r="D10" i="2"/>
  <c r="F12" i="2"/>
  <c r="F4" i="2"/>
  <c r="B10" i="2"/>
  <c r="B11" i="2"/>
  <c r="B9" i="2"/>
  <c r="B8" i="2"/>
  <c r="B7" i="2"/>
  <c r="B6" i="2"/>
  <c r="B3" i="2"/>
  <c r="B12" i="2"/>
  <c r="B4" i="2"/>
  <c r="C5" i="5" l="1"/>
  <c r="C3" i="5"/>
  <c r="C6" i="5"/>
  <c r="C7" i="5"/>
  <c r="C8" i="5"/>
  <c r="C4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<sst xmlns="http://schemas.openxmlformats.org/spreadsheetml/2006/main" count="5049" uniqueCount="60">
  <si>
    <t>Student ID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</si>
  <si>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</si>
  <si>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</si>
  <si>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</si>
  <si>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</si>
  <si>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</si>
  <si>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</si>
  <si>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</si>
  <si>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Reading Grade</t>
  </si>
  <si>
    <t>Writing Score</t>
  </si>
  <si>
    <t>Boundary table</t>
  </si>
  <si>
    <t>Female</t>
  </si>
  <si>
    <t>Group B</t>
  </si>
  <si>
    <t>Bachelor's Degree</t>
  </si>
  <si>
    <t>Standard</t>
  </si>
  <si>
    <t>None</t>
  </si>
  <si>
    <t>C</t>
  </si>
  <si>
    <t>Score</t>
  </si>
  <si>
    <t>Grade</t>
  </si>
  <si>
    <t>Group C</t>
  </si>
  <si>
    <t>Some College</t>
  </si>
  <si>
    <t>Completed</t>
  </si>
  <si>
    <t>D</t>
  </si>
  <si>
    <t>A</t>
  </si>
  <si>
    <t>B</t>
  </si>
  <si>
    <t>F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</si>
  <si>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</si>
  <si>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</si>
  <si>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</si>
  <si>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</si>
  <si>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</si>
  <si>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</si>
  <si>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</si>
  <si>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</si>
  <si>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</si>
  <si>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Math Grade</t>
  </si>
  <si>
    <t>Writing Grade</t>
  </si>
  <si>
    <t>Rank</t>
  </si>
  <si>
    <t>Math ID</t>
  </si>
  <si>
    <t>Reading ID</t>
  </si>
  <si>
    <t>Writing ID</t>
  </si>
  <si>
    <t>Maths Rank</t>
  </si>
  <si>
    <t>Reading Rank</t>
  </si>
  <si>
    <t>Writing Rank</t>
  </si>
  <si>
    <t>Top 10 per subject</t>
  </si>
  <si>
    <t>Test Prep Impact</t>
  </si>
  <si>
    <t>Subject</t>
  </si>
  <si>
    <t>Math</t>
  </si>
  <si>
    <t>Reading</t>
  </si>
  <si>
    <t>Writing</t>
  </si>
  <si>
    <t>%Lift</t>
  </si>
  <si>
    <t>Total Score</t>
  </si>
  <si>
    <t>Average  Score</t>
  </si>
  <si>
    <t>Students whose parents have a Master’s or Bachelor’s degree tend to have the highest average scores.</t>
  </si>
  <si>
    <t>“Used AVERAGEIFS and RANK to analyze the impact of parental education on student performance, uncovering a clear correlation between higher education levels and improved academic outcomes.”</t>
  </si>
  <si>
    <t>Fail Count</t>
  </si>
  <si>
    <t>FAILING STUDENT ALERT SYSTEM</t>
  </si>
  <si>
    <t>Educational Level</t>
  </si>
  <si>
    <t>PARENTAL EDUCATION CORRELATION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</si>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</sst>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4" tint="-0.249977111117893"/>
      <name val="Aptos Narrow"/>
      <scheme val="minor"/>
    </font>
    <font>
      <b/>
      <sz val="11"/>
      <color theme="0"/>
      <name val="Aptos Narrow"/>
      <scheme val="minor"/>
    </font>
    <font>
      <b/>
      <sz val="12"/>
      <color theme="4" tint="-0.249977111117893"/>
      <name val="Calibri"/>
      <family val="2"/>
    </font>
    <font>
      <sz val="11"/>
      <color theme="4" tint="-0.249977111117893"/>
      <name val="Aptos Narrow"/>
      <family val="2"/>
      <scheme val="minor"/>
    </font>
    <font>
      <b/>
      <sz val="12"/>
      <color theme="0"/>
      <name val="Calibri"/>
      <family val="2"/>
    </font>
    <font>
      <b/>
      <sz val="16"/>
      <color theme="4" tint="-0.249977111117893"/>
      <name val="Aptos Narrow"/>
      <scheme val="minor"/>
    </font>
    <font>
      <b/>
      <sz val="12"/>
      <color theme="4" tint="-0.249977111117893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Continuous"/>
    </xf>
    <xf numFmtId="0" fontId="19" fillId="0" borderId="0" xfId="0" applyFont="1"/>
    <xf numFmtId="0" fontId="20" fillId="33" borderId="10" xfId="0" applyFont="1" applyFill="1" applyBorder="1"/>
    <xf numFmtId="0" fontId="0" fillId="0" borderId="10" xfId="0" applyBorder="1"/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/>
    </xf>
    <xf numFmtId="164" fontId="0" fillId="0" borderId="10" xfId="0" applyNumberFormat="1" applyBorder="1"/>
    <xf numFmtId="9" fontId="0" fillId="0" borderId="10" xfId="1" applyFont="1" applyBorder="1"/>
    <xf numFmtId="0" fontId="0" fillId="0" borderId="0" xfId="0" applyAlignment="1">
      <alignment horizontal="centerContinuous" vertical="center"/>
    </xf>
    <xf numFmtId="0" fontId="20" fillId="33" borderId="10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Continuous"/>
    </xf>
    <xf numFmtId="0" fontId="25" fillId="0" borderId="0" xfId="0" applyFont="1" applyAlignment="1">
      <alignment horizontal="centerContinuous"/>
    </xf>
    <xf numFmtId="0" fontId="23" fillId="33" borderId="10" xfId="0" applyFont="1" applyFill="1" applyBorder="1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2" fontId="0" fillId="0" borderId="10" xfId="0" applyNumberFormat="1" applyBorder="1"/>
    <xf numFmtId="1" fontId="0" fillId="0" borderId="0" xfId="0" applyNumberFormat="1"/>
    <xf numFmtId="0" fontId="0" fillId="0" borderId="0" xfId="0" applyAlignment="1">
      <alignment horizontal="center" wrapText="1"/>
    </xf>
    <xf numFmtId="0" fontId="0" fillId="0" borderId="12" xfId="0" applyBorder="1"/>
    <xf numFmtId="0" fontId="20" fillId="33" borderId="13" xfId="0" applyFont="1" applyFill="1" applyBorder="1" applyAlignment="1">
      <alignment horizontal="center" vertical="center" wrapText="1"/>
    </xf>
    <xf numFmtId="0" fontId="0" fillId="0" borderId="11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0" formatCode="General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</dxfs>
  <tableStyles count="1" defaultTableStyle="TableStyleMedium2" defaultPivotStyle="PivotStyleLight16">
    <tableStyle name="Invisible" pivot="0" table="0" count="0" xr9:uid="{3FE9D020-30F0-4A2D-B6E4-DB83FB8FA9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472A4-8721-4FF4-BA4C-C6F90C221FC1}" name="Table1" displayName="Table1" ref="A1:R1001" totalsRowShown="0">
  <autoFilter ref="A1:R1001" xr:uid="{998472A4-8721-4FF4-BA4C-C6F90C221FC1}"/>
  <tableColumns count="18">
    <tableColumn id="1" xr3:uid="{7A607476-408F-47E7-B38B-5DA32DED29C3}" name="Student ID">
      <calculatedColumnFormula>"Stu-"&amp;TEXT(ROW()-1,"000")</calculatedColumnFormula>
    </tableColumn>
    <tableColumn id="2" xr3:uid="{02798714-C8CF-44CC-8E0C-8F5D51669DD2}" name="Gender"/>
    <tableColumn id="3" xr3:uid="{A04AC83D-D33D-4594-95B6-548AB07AF10E}" name="Race/Ethnicity"/>
    <tableColumn id="4" xr3:uid="{5D61C23E-54DF-4178-987C-C0907FE97666}" name="Parental Level Of Education"/>
    <tableColumn id="5" xr3:uid="{75C1AFE8-8031-47FF-878B-2A17C80B95A5}" name="Lunch"/>
    <tableColumn id="6" xr3:uid="{8CBDF7D1-CF41-48B3-9B0A-321B0B90C315}" name="Test Preparation Course"/>
    <tableColumn id="7" xr3:uid="{6E561680-38D1-4362-A030-596CCD28B70C}" name="Math Score" dataDxfId="5"/>
    <tableColumn id="8" xr3:uid="{D53FE47A-DAF0-425B-BB83-3EB708C58B9F}" name="Maths Rank">
      <calculatedColumnFormula>RANK(G2,$G$2:$G$1001,0)+COUNTIF($G$2:G2,G2)-1</calculatedColumnFormula>
    </tableColumn>
    <tableColumn id="9" xr3:uid="{768D1946-B934-4DC7-AC56-3551D2EC5F7A}" name="Math Grade">
      <calculatedColumnFormula>INDEX('Boundary table'!$B$3:$B$7,MATCH(G2,'Boundary table'!$A$3:$A$7,1))</calculatedColumnFormula>
    </tableColumn>
    <tableColumn id="10" xr3:uid="{CCB69088-1FDE-4B20-95E6-CC3A97C09D5D}" name="Reading Score" dataDxfId="4"/>
    <tableColumn id="11" xr3:uid="{E9256AED-4412-4A65-871E-255A4D0D8D96}" name="Reading Rank">
      <calculatedColumnFormula>RANK(J2,$J$2:$J$1001,0)+COUNTIF($J$2:J2,J2)-1</calculatedColumnFormula>
    </tableColumn>
    <tableColumn id="12" xr3:uid="{949C4912-7B94-4BAF-AC14-2F8F74BF4F7F}" name="Reading Grade">
      <calculatedColumnFormula>INDEX('Boundary table'!$B$3:$B$7,MATCH(J2,'Boundary table'!$A$3:$A$7,1))</calculatedColumnFormula>
    </tableColumn>
    <tableColumn id="13" xr3:uid="{B0331E24-008F-4E7B-8132-6ED065198EBA}" name="Writing Score" dataDxfId="3"/>
    <tableColumn id="14" xr3:uid="{1AB887AC-7A7D-4FD2-891D-E9FC4D149E67}" name="Writing Rank">
      <calculatedColumnFormula>RANK(M2,$M$2:$M$1001,0)+COUNTIF($M$2:M2,M2)-1</calculatedColumnFormula>
    </tableColumn>
    <tableColumn id="15" xr3:uid="{0CB9F32C-55D9-4AF1-AA3A-17D05EDF482E}" name="Writing Grade">
      <calculatedColumnFormula>INDEX('Boundary table'!$B$3:$B$7,MATCH(M2,'Boundary table'!$A$3:$A$7))</calculatedColumnFormula>
    </tableColumn>
    <tableColumn id="16" xr3:uid="{B05826DF-AF7D-4606-A75E-6D9AEA86EE9C}" name="Total Score" dataDxfId="2">
      <calculatedColumnFormula>Table1[[#This Row],[Math Score]]+Table1[[#This Row],[Reading Score]]+Table1[[#This Row],[Writing Score]]</calculatedColumnFormula>
    </tableColumn>
    <tableColumn id="17" xr3:uid="{808121A1-E6FA-4192-8870-4A026A51CD4D}" name="Fail Count" dataDxfId="1">
      <calculatedColumnFormula>COUNTIF(Table1[[#This Row],[Math Score]],"&lt;60")+COUNTIF(Table1[[#This Row],[Reading Score]],"&lt;60")+COUNTIF(Table1[[#This Row],[Writing Score]],"&lt;60")</calculatedColumnFormula>
    </tableColumn>
    <tableColumn id="18" xr3:uid="{5F5D9DA4-2800-4C8E-B221-5FD7B7845CF0}" name="Flag" dataDxfId="0">
      <calculatedColumnFormula>IF(Table1[[#This Row],[Fail Count]]&gt;=2,"At risk","OK")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127627-3856-4CC7-9F5F-A4B4775DB2F1}" name="BoundaryTable" displayName="BoundaryTable" ref="A2:B7" totalsRowShown="0">
  <autoFilter ref="A2:B7" xr:uid="{5E127627-3856-4CC7-9F5F-A4B4775DB2F1}"/>
  <tableColumns count="2">
    <tableColumn id="1" xr3:uid="{6D6E439D-1074-49C5-AB9F-D7D1BDF357E4}" name="Score"/>
    <tableColumn id="2" xr3:uid="{26841DF5-9391-4754-82FD-E93473EDDCD6}" name="Gr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1118-5AFD-48C8-82BE-3D83C4EB2BE6}">
  <dimension ref="A1:T1001"/>
  <sheetViews>
    <sheetView workbookViewId="0">
      <selection activeCell="R2" sqref="R2"/>
    </sheetView>
  </sheetViews>
  <sheetFormatPr defaultRowHeight="13.8"/>
  <cols>
    <col min="1" max="1" width="11.69921875" customWidth="1"/>
    <col min="2" max="2" width="9.09765625" customWidth="1"/>
    <col min="3" max="3" width="15.19921875" customWidth="1"/>
    <col min="4" max="4" width="26.8984375" customWidth="1"/>
    <col min="6" max="6" width="13.69921875" customWidth="1"/>
    <col min="7" max="7" width="8.796875" style="16" customWidth="1"/>
    <col min="8" max="8" width="13.59765625" customWidth="1"/>
    <col min="9" max="9" width="5.3984375" customWidth="1"/>
    <col min="10" max="10" width="5.8984375" style="16" customWidth="1"/>
    <col min="11" max="11" width="7.69921875" customWidth="1"/>
    <col min="12" max="12" width="5.8984375" customWidth="1"/>
    <col min="13" max="13" width="6.296875" style="16" customWidth="1"/>
    <col min="14" max="16" width="6.29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6" t="s">
        <v>6</v>
      </c>
      <c r="H1" t="s">
        <v>41</v>
      </c>
      <c r="I1" t="s">
        <v>35</v>
      </c>
      <c r="J1" s="16" t="s">
        <v>7</v>
      </c>
      <c r="K1" t="s">
        <v>42</v>
      </c>
      <c r="L1" t="s">
        <v>8</v>
      </c>
      <c r="M1" s="16" t="s">
        <v>9</v>
      </c>
      <c r="N1" t="s">
        <v>43</v>
      </c>
      <c r="O1" t="s">
        <v>36</v>
      </c>
      <c r="P1" t="s">
        <v>51</v>
      </c>
      <c r="Q1" t="s">
        <v>55</v>
      </c>
      <c r="R1" t="s">
        <v>59</v>
      </c>
    </row>
    <row r="2" spans="1:20">
      <c r="A2" t="str">
        <f t="shared" ref="A2:A65" si="0">"Stu-"&amp;TEXT(ROW()-1,"000")</f>
        <v>Stu-001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6">
        <v>72</v>
      </c>
      <c r="H2">
        <f>RANK(G2,$G$2:$G$1001,0)+COUNTIF($G$2:G2,G2)-1</f>
        <v>348</v>
      </c>
      <c r="I2" t="str">
        <f>INDEX('Boundary table'!$B$3:$B$7,MATCH(G2,'Boundary table'!$A$3:$A$7,1))</f>
        <v>C</v>
      </c>
      <c r="J2" s="16">
        <v>72</v>
      </c>
      <c r="K2">
        <f>RANK(J2,$J$2:$J$1001,0)+COUNTIF($J$2:J2,J2)-1</f>
        <v>434</v>
      </c>
      <c r="L2" t="str">
        <f>INDEX('Boundary table'!$B$3:$B$7,MATCH(J2,'Boundary table'!$A$3:$A$7,1))</f>
        <v>C</v>
      </c>
      <c r="M2" s="16">
        <v>74</v>
      </c>
      <c r="N2">
        <f>RANK(M2,$M$2:$M$1001,0)+COUNTIF($M$2:M2,M2)-1</f>
        <v>351</v>
      </c>
      <c r="O2" t="str">
        <f>INDEX('Boundary table'!$B$3:$B$7,MATCH(M2,'Boundary table'!$A$3:$A$7))</f>
        <v>C</v>
      </c>
      <c r="P2">
        <f>Table1[[#This Row],[Math Score]]+Table1[[#This Row],[Reading Score]]+Table1[[#This Row],[Writing Score]]</f>
        <v>218</v>
      </c>
      <c r="Q2" s="16">
        <f>COUNTIF(Table1[[#This Row],[Math Score]],"&lt;60")+COUNTIF(Table1[[#This Row],[Reading Score]],"&lt;60")+COUNTIF(Table1[[#This Row],[Writing Score]],"&lt;60")</f>
        <v>0</v>
      </c>
      <c r="R2" t="str">
        <f>IF(Table1[[#This Row],[Fail Count]]&gt;=2,"At risk","OK")</f>
        <v>OK</v>
      </c>
    </row>
    <row r="3" spans="1:20">
      <c r="A3" t="str">
        <f t="shared" si="0"/>
        <v>Stu-002</v>
      </c>
      <c r="B3" t="s">
        <v>11</v>
      </c>
      <c r="C3" t="s">
        <v>19</v>
      </c>
      <c r="D3" t="s">
        <v>20</v>
      </c>
      <c r="E3" t="s">
        <v>14</v>
      </c>
      <c r="F3" t="s">
        <v>21</v>
      </c>
      <c r="G3" s="16">
        <v>69</v>
      </c>
      <c r="H3">
        <f>RANK(G3,$G$2:$G$1001,0)+COUNTIF($G$2:G3,G3)-1</f>
        <v>410</v>
      </c>
      <c r="I3" t="str">
        <f>INDEX('Boundary table'!$B$3:$B$7,MATCH(G3,'Boundary table'!$A$3:$A$7,1))</f>
        <v>D</v>
      </c>
      <c r="J3" s="16">
        <v>90</v>
      </c>
      <c r="K3">
        <f>RANK(J3,$J$2:$J$1001,0)+COUNTIF($J$2:J3,J3)-1</f>
        <v>63</v>
      </c>
      <c r="L3" t="str">
        <f>INDEX('Boundary table'!$B$3:$B$7,MATCH(J3,'Boundary table'!$A$3:$A$7,1))</f>
        <v>A</v>
      </c>
      <c r="M3" s="16">
        <v>88</v>
      </c>
      <c r="N3">
        <f>RANK(M3,$M$2:$M$1001,0)+COUNTIF($M$2:M3,M3)-1</f>
        <v>88</v>
      </c>
      <c r="O3" t="str">
        <f>INDEX('Boundary table'!$B$3:$B$7,MATCH(M3,'Boundary table'!$A$3:$A$7))</f>
        <v>B</v>
      </c>
      <c r="P3">
        <f>Table1[[#This Row],[Math Score]]+Table1[[#This Row],[Reading Score]]+Table1[[#This Row],[Writing Score]]</f>
        <v>247</v>
      </c>
      <c r="Q3" s="16">
        <f>COUNTIF(Table1[[#This Row],[Math Score]],"&lt;60")+COUNTIF(Table1[[#This Row],[Reading Score]],"&lt;60")+COUNTIF(Table1[[#This Row],[Writing Score]],"&lt;60")</f>
        <v>0</v>
      </c>
      <c r="R3" t="str">
        <f>IF(Table1[[#This Row],[Fail Count]]&gt;=2,"At risk","OK")</f>
        <v>OK</v>
      </c>
    </row>
    <row r="4" spans="1:20">
      <c r="A4" t="str">
        <f t="shared" si="0"/>
        <v>Stu-003</v>
      </c>
      <c r="B4" t="s">
        <v>11</v>
      </c>
      <c r="C4" t="s">
        <v>12</v>
      </c>
      <c r="D4" t="s">
        <v>26</v>
      </c>
      <c r="E4" t="s">
        <v>14</v>
      </c>
      <c r="F4" t="s">
        <v>15</v>
      </c>
      <c r="G4" s="16">
        <v>90</v>
      </c>
      <c r="H4">
        <f>RANK(G4,$G$2:$G$1001,0)+COUNTIF($G$2:G4,G4)-1</f>
        <v>51</v>
      </c>
      <c r="I4" t="str">
        <f>INDEX('Boundary table'!$B$3:$B$7,MATCH(G4,'Boundary table'!$A$3:$A$7,1))</f>
        <v>A</v>
      </c>
      <c r="J4" s="16">
        <v>95</v>
      </c>
      <c r="K4">
        <f>RANK(J4,$J$2:$J$1001,0)+COUNTIF($J$2:J4,J4)-1</f>
        <v>30</v>
      </c>
      <c r="L4" t="str">
        <f>INDEX('Boundary table'!$B$3:$B$7,MATCH(J4,'Boundary table'!$A$3:$A$7,1))</f>
        <v>A</v>
      </c>
      <c r="M4" s="16">
        <v>93</v>
      </c>
      <c r="N4">
        <f>RANK(M4,$M$2:$M$1001,0)+COUNTIF($M$2:M4,M4)-1</f>
        <v>41</v>
      </c>
      <c r="O4" t="str">
        <f>INDEX('Boundary table'!$B$3:$B$7,MATCH(M4,'Boundary table'!$A$3:$A$7))</f>
        <v>A</v>
      </c>
      <c r="P4">
        <f>Table1[[#This Row],[Math Score]]+Table1[[#This Row],[Reading Score]]+Table1[[#This Row],[Writing Score]]</f>
        <v>278</v>
      </c>
      <c r="Q4" s="16">
        <f>COUNTIF(Table1[[#This Row],[Math Score]],"&lt;60")+COUNTIF(Table1[[#This Row],[Reading Score]],"&lt;60")+COUNTIF(Table1[[#This Row],[Writing Score]],"&lt;60")</f>
        <v>0</v>
      </c>
      <c r="R4" t="str">
        <f>IF(Table1[[#This Row],[Fail Count]]&gt;=2,"At risk","OK")</f>
        <v>OK</v>
      </c>
    </row>
    <row r="5" spans="1:20">
      <c r="A5" t="str">
        <f t="shared" si="0"/>
        <v>Stu-004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s="16">
        <v>47</v>
      </c>
      <c r="H5">
        <f>RANK(G5,$G$2:$G$1001,0)+COUNTIF($G$2:G5,G5)-1</f>
        <v>894</v>
      </c>
      <c r="I5" t="str">
        <f>INDEX('Boundary table'!$B$3:$B$7,MATCH(G5,'Boundary table'!$A$3:$A$7,1))</f>
        <v>F</v>
      </c>
      <c r="J5" s="16">
        <v>57</v>
      </c>
      <c r="K5">
        <f>RANK(J5,$J$2:$J$1001,0)+COUNTIF($J$2:J5,J5)-1</f>
        <v>792</v>
      </c>
      <c r="L5" t="str">
        <f>INDEX('Boundary table'!$B$3:$B$7,MATCH(J5,'Boundary table'!$A$3:$A$7,1))</f>
        <v>F</v>
      </c>
      <c r="M5" s="16">
        <v>44</v>
      </c>
      <c r="N5">
        <f>RANK(M5,$M$2:$M$1001,0)+COUNTIF($M$2:M5,M5)-1</f>
        <v>931</v>
      </c>
      <c r="O5" t="str">
        <f>INDEX('Boundary table'!$B$3:$B$7,MATCH(M5,'Boundary table'!$A$3:$A$7))</f>
        <v>F</v>
      </c>
      <c r="P5">
        <f>Table1[[#This Row],[Math Score]]+Table1[[#This Row],[Reading Score]]+Table1[[#This Row],[Writing Score]]</f>
        <v>148</v>
      </c>
      <c r="Q5" s="16">
        <f>COUNTIF(Table1[[#This Row],[Math Score]],"&lt;60")+COUNTIF(Table1[[#This Row],[Reading Score]],"&lt;60")+COUNTIF(Table1[[#This Row],[Writing Score]],"&lt;60")</f>
        <v>3</v>
      </c>
      <c r="R5" t="str">
        <f>IF(Table1[[#This Row],[Fail Count]]&gt;=2,"At risk","OK")</f>
        <v>At risk</v>
      </c>
      <c r="T5">
        <f>COUNT(G4:M4)</f>
        <v>5</v>
      </c>
    </row>
    <row r="6" spans="1:20">
      <c r="A6" t="str">
        <f t="shared" si="0"/>
        <v>Stu-005</v>
      </c>
      <c r="B6" t="s">
        <v>27</v>
      </c>
      <c r="C6" t="s">
        <v>19</v>
      </c>
      <c r="D6" t="s">
        <v>20</v>
      </c>
      <c r="E6" t="s">
        <v>14</v>
      </c>
      <c r="F6" t="s">
        <v>15</v>
      </c>
      <c r="G6" s="16">
        <v>76</v>
      </c>
      <c r="H6">
        <f>RANK(G6,$G$2:$G$1001,0)+COUNTIF($G$2:G6,G6)-1</f>
        <v>254</v>
      </c>
      <c r="I6" t="str">
        <f>INDEX('Boundary table'!$B$3:$B$7,MATCH(G6,'Boundary table'!$A$3:$A$7,1))</f>
        <v>C</v>
      </c>
      <c r="J6" s="16">
        <v>78</v>
      </c>
      <c r="K6">
        <f>RANK(J6,$J$2:$J$1001,0)+COUNTIF($J$2:J6,J6)-1</f>
        <v>269</v>
      </c>
      <c r="L6" t="str">
        <f>INDEX('Boundary table'!$B$3:$B$7,MATCH(J6,'Boundary table'!$A$3:$A$7,1))</f>
        <v>C</v>
      </c>
      <c r="M6" s="16">
        <v>75</v>
      </c>
      <c r="N6">
        <f>RANK(M6,$M$2:$M$1001,0)+COUNTIF($M$2:M6,M6)-1</f>
        <v>329</v>
      </c>
      <c r="O6" t="str">
        <f>INDEX('Boundary table'!$B$3:$B$7,MATCH(M6,'Boundary table'!$A$3:$A$7))</f>
        <v>C</v>
      </c>
      <c r="P6">
        <f>Table1[[#This Row],[Math Score]]+Table1[[#This Row],[Reading Score]]+Table1[[#This Row],[Writing Score]]</f>
        <v>229</v>
      </c>
      <c r="Q6" s="16">
        <f>COUNTIF(Table1[[#This Row],[Math Score]],"&lt;60")+COUNTIF(Table1[[#This Row],[Reading Score]],"&lt;60")+COUNTIF(Table1[[#This Row],[Writing Score]],"&lt;60")</f>
        <v>0</v>
      </c>
      <c r="R6" t="str">
        <f>IF(Table1[[#This Row],[Fail Count]]&gt;=2,"At risk","OK")</f>
        <v>OK</v>
      </c>
    </row>
    <row r="7" spans="1:20">
      <c r="A7" t="str">
        <f t="shared" si="0"/>
        <v>Stu-006</v>
      </c>
      <c r="B7" t="s">
        <v>11</v>
      </c>
      <c r="C7" t="s">
        <v>12</v>
      </c>
      <c r="D7" t="s">
        <v>29</v>
      </c>
      <c r="E7" t="s">
        <v>14</v>
      </c>
      <c r="F7" t="s">
        <v>15</v>
      </c>
      <c r="G7" s="16">
        <v>71</v>
      </c>
      <c r="H7">
        <f>RANK(G7,$G$2:$G$1001,0)+COUNTIF($G$2:G7,G7)-1</f>
        <v>366</v>
      </c>
      <c r="I7" t="str">
        <f>INDEX('Boundary table'!$B$3:$B$7,MATCH(G7,'Boundary table'!$A$3:$A$7,1))</f>
        <v>C</v>
      </c>
      <c r="J7" s="16">
        <v>83</v>
      </c>
      <c r="K7">
        <f>RANK(J7,$J$2:$J$1001,0)+COUNTIF($J$2:J7,J7)-1</f>
        <v>177</v>
      </c>
      <c r="L7" t="str">
        <f>INDEX('Boundary table'!$B$3:$B$7,MATCH(J7,'Boundary table'!$A$3:$A$7,1))</f>
        <v>B</v>
      </c>
      <c r="M7" s="16">
        <v>78</v>
      </c>
      <c r="N7">
        <f>RANK(M7,$M$2:$M$1001,0)+COUNTIF($M$2:M7,M7)-1</f>
        <v>255</v>
      </c>
      <c r="O7" t="str">
        <f>INDEX('Boundary table'!$B$3:$B$7,MATCH(M7,'Boundary table'!$A$3:$A$7))</f>
        <v>C</v>
      </c>
      <c r="P7">
        <f>Table1[[#This Row],[Math Score]]+Table1[[#This Row],[Reading Score]]+Table1[[#This Row],[Writing Score]]</f>
        <v>232</v>
      </c>
      <c r="Q7" s="16">
        <f>COUNTIF(Table1[[#This Row],[Math Score]],"&lt;60")+COUNTIF(Table1[[#This Row],[Reading Score]],"&lt;60")+COUNTIF(Table1[[#This Row],[Writing Score]],"&lt;60")</f>
        <v>0</v>
      </c>
      <c r="R7" t="str">
        <f>IF(Table1[[#This Row],[Fail Count]]&gt;=2,"At risk","OK")</f>
        <v>OK</v>
      </c>
    </row>
    <row r="8" spans="1:20">
      <c r="A8" t="str">
        <f t="shared" si="0"/>
        <v>Stu-007</v>
      </c>
      <c r="B8" t="s">
        <v>11</v>
      </c>
      <c r="C8" t="s">
        <v>12</v>
      </c>
      <c r="D8" t="s">
        <v>20</v>
      </c>
      <c r="E8" t="s">
        <v>14</v>
      </c>
      <c r="F8" t="s">
        <v>21</v>
      </c>
      <c r="G8" s="16">
        <v>88</v>
      </c>
      <c r="H8">
        <f>RANK(G8,$G$2:$G$1001,0)+COUNTIF($G$2:G8,G8)-1</f>
        <v>65</v>
      </c>
      <c r="I8" t="str">
        <f>INDEX('Boundary table'!$B$3:$B$7,MATCH(G8,'Boundary table'!$A$3:$A$7,1))</f>
        <v>B</v>
      </c>
      <c r="J8" s="16">
        <v>95</v>
      </c>
      <c r="K8">
        <f>RANK(J8,$J$2:$J$1001,0)+COUNTIF($J$2:J8,J8)-1</f>
        <v>31</v>
      </c>
      <c r="L8" t="str">
        <f>INDEX('Boundary table'!$B$3:$B$7,MATCH(J8,'Boundary table'!$A$3:$A$7,1))</f>
        <v>A</v>
      </c>
      <c r="M8" s="16">
        <v>92</v>
      </c>
      <c r="N8">
        <f>RANK(M8,$M$2:$M$1001,0)+COUNTIF($M$2:M8,M8)-1</f>
        <v>49</v>
      </c>
      <c r="O8" t="str">
        <f>INDEX('Boundary table'!$B$3:$B$7,MATCH(M8,'Boundary table'!$A$3:$A$7))</f>
        <v>A</v>
      </c>
      <c r="P8">
        <f>Table1[[#This Row],[Math Score]]+Table1[[#This Row],[Reading Score]]+Table1[[#This Row],[Writing Score]]</f>
        <v>275</v>
      </c>
      <c r="Q8" s="16">
        <f>COUNTIF(Table1[[#This Row],[Math Score]],"&lt;60")+COUNTIF(Table1[[#This Row],[Reading Score]],"&lt;60")+COUNTIF(Table1[[#This Row],[Writing Score]],"&lt;60")</f>
        <v>0</v>
      </c>
      <c r="R8" t="str">
        <f>IF(Table1[[#This Row],[Fail Count]]&gt;=2,"At risk","OK")</f>
        <v>OK</v>
      </c>
    </row>
    <row r="9" spans="1:20">
      <c r="A9" t="str">
        <f t="shared" si="0"/>
        <v>Stu-008</v>
      </c>
      <c r="B9" t="s">
        <v>27</v>
      </c>
      <c r="C9" t="s">
        <v>12</v>
      </c>
      <c r="D9" t="s">
        <v>20</v>
      </c>
      <c r="E9" t="s">
        <v>30</v>
      </c>
      <c r="F9" t="s">
        <v>15</v>
      </c>
      <c r="G9" s="16">
        <v>40</v>
      </c>
      <c r="H9">
        <f>RANK(G9,$G$2:$G$1001,0)+COUNTIF($G$2:G9,G9)-1</f>
        <v>951</v>
      </c>
      <c r="I9" t="str">
        <f>INDEX('Boundary table'!$B$3:$B$7,MATCH(G9,'Boundary table'!$A$3:$A$7,1))</f>
        <v>F</v>
      </c>
      <c r="J9" s="16">
        <v>43</v>
      </c>
      <c r="K9">
        <f>RANK(J9,$J$2:$J$1001,0)+COUNTIF($J$2:J9,J9)-1</f>
        <v>952</v>
      </c>
      <c r="L9" t="str">
        <f>INDEX('Boundary table'!$B$3:$B$7,MATCH(J9,'Boundary table'!$A$3:$A$7,1))</f>
        <v>F</v>
      </c>
      <c r="M9" s="16">
        <v>39</v>
      </c>
      <c r="N9">
        <f>RANK(M9,$M$2:$M$1001,0)+COUNTIF($M$2:M9,M9)-1</f>
        <v>969</v>
      </c>
      <c r="O9" t="str">
        <f>INDEX('Boundary table'!$B$3:$B$7,MATCH(M9,'Boundary table'!$A$3:$A$7))</f>
        <v>F</v>
      </c>
      <c r="P9">
        <f>Table1[[#This Row],[Math Score]]+Table1[[#This Row],[Reading Score]]+Table1[[#This Row],[Writing Score]]</f>
        <v>122</v>
      </c>
      <c r="Q9" s="16">
        <f>COUNTIF(Table1[[#This Row],[Math Score]],"&lt;60")+COUNTIF(Table1[[#This Row],[Reading Score]],"&lt;60")+COUNTIF(Table1[[#This Row],[Writing Score]],"&lt;60")</f>
        <v>3</v>
      </c>
      <c r="R9" t="str">
        <f>IF(Table1[[#This Row],[Fail Count]]&gt;=2,"At risk","OK")</f>
        <v>At risk</v>
      </c>
    </row>
    <row r="10" spans="1:20">
      <c r="A10" t="str">
        <f t="shared" si="0"/>
        <v>Stu-009</v>
      </c>
      <c r="B10" t="s">
        <v>27</v>
      </c>
      <c r="C10" t="s">
        <v>31</v>
      </c>
      <c r="D10" t="s">
        <v>32</v>
      </c>
      <c r="E10" t="s">
        <v>30</v>
      </c>
      <c r="F10" t="s">
        <v>21</v>
      </c>
      <c r="G10" s="16">
        <v>64</v>
      </c>
      <c r="H10">
        <f>RANK(G10,$G$2:$G$1001,0)+COUNTIF($G$2:G10,G10)-1</f>
        <v>554</v>
      </c>
      <c r="I10" t="str">
        <f>INDEX('Boundary table'!$B$3:$B$7,MATCH(G10,'Boundary table'!$A$3:$A$7,1))</f>
        <v>D</v>
      </c>
      <c r="J10" s="16">
        <v>64</v>
      </c>
      <c r="K10">
        <f>RANK(J10,$J$2:$J$1001,0)+COUNTIF($J$2:J10,J10)-1</f>
        <v>628</v>
      </c>
      <c r="L10" t="str">
        <f>INDEX('Boundary table'!$B$3:$B$7,MATCH(J10,'Boundary table'!$A$3:$A$7,1))</f>
        <v>D</v>
      </c>
      <c r="M10" s="16">
        <v>67</v>
      </c>
      <c r="N10">
        <f>RANK(M10,$M$2:$M$1001,0)+COUNTIF($M$2:M10,M10)-1</f>
        <v>544</v>
      </c>
      <c r="O10" t="str">
        <f>INDEX('Boundary table'!$B$3:$B$7,MATCH(M10,'Boundary table'!$A$3:$A$7))</f>
        <v>D</v>
      </c>
      <c r="P10">
        <f>Table1[[#This Row],[Math Score]]+Table1[[#This Row],[Reading Score]]+Table1[[#This Row],[Writing Score]]</f>
        <v>195</v>
      </c>
      <c r="Q10" s="16">
        <f>COUNTIF(Table1[[#This Row],[Math Score]],"&lt;60")+COUNTIF(Table1[[#This Row],[Reading Score]],"&lt;60")+COUNTIF(Table1[[#This Row],[Writing Score]],"&lt;60")</f>
        <v>0</v>
      </c>
      <c r="R10" t="str">
        <f>IF(Table1[[#This Row],[Fail Count]]&gt;=2,"At risk","OK")</f>
        <v>OK</v>
      </c>
    </row>
    <row r="11" spans="1:20">
      <c r="A11" t="str">
        <f t="shared" si="0"/>
        <v>Stu-010</v>
      </c>
      <c r="B11" t="s">
        <v>11</v>
      </c>
      <c r="C11" t="s">
        <v>12</v>
      </c>
      <c r="D11" t="s">
        <v>32</v>
      </c>
      <c r="E11" t="s">
        <v>30</v>
      </c>
      <c r="F11" t="s">
        <v>15</v>
      </c>
      <c r="G11" s="16">
        <v>38</v>
      </c>
      <c r="H11">
        <f>RANK(G11,$G$2:$G$1001,0)+COUNTIF($G$2:G11,G11)-1</f>
        <v>965</v>
      </c>
      <c r="I11" t="str">
        <f>INDEX('Boundary table'!$B$3:$B$7,MATCH(G11,'Boundary table'!$A$3:$A$7,1))</f>
        <v>F</v>
      </c>
      <c r="J11" s="16">
        <v>60</v>
      </c>
      <c r="K11">
        <f>RANK(J11,$J$2:$J$1001,0)+COUNTIF($J$2:J11,J11)-1</f>
        <v>726</v>
      </c>
      <c r="L11" t="str">
        <f>INDEX('Boundary table'!$B$3:$B$7,MATCH(J11,'Boundary table'!$A$3:$A$7,1))</f>
        <v>D</v>
      </c>
      <c r="M11" s="16">
        <v>50</v>
      </c>
      <c r="N11">
        <f>RANK(M11,$M$2:$M$1001,0)+COUNTIF($M$2:M11,M11)-1</f>
        <v>877</v>
      </c>
      <c r="O11" t="str">
        <f>INDEX('Boundary table'!$B$3:$B$7,MATCH(M11,'Boundary table'!$A$3:$A$7))</f>
        <v>F</v>
      </c>
      <c r="P11">
        <f>Table1[[#This Row],[Math Score]]+Table1[[#This Row],[Reading Score]]+Table1[[#This Row],[Writing Score]]</f>
        <v>148</v>
      </c>
      <c r="Q11" s="16">
        <f>COUNTIF(Table1[[#This Row],[Math Score]],"&lt;60")+COUNTIF(Table1[[#This Row],[Reading Score]],"&lt;60")+COUNTIF(Table1[[#This Row],[Writing Score]],"&lt;60")</f>
        <v>2</v>
      </c>
      <c r="R11" t="str">
        <f>IF(Table1[[#This Row],[Fail Count]]&gt;=2,"At risk","OK")</f>
        <v>At risk</v>
      </c>
    </row>
    <row r="12" spans="1:20">
      <c r="A12" t="str">
        <f t="shared" si="0"/>
        <v>Stu-011</v>
      </c>
      <c r="B12" t="s">
        <v>27</v>
      </c>
      <c r="C12" t="s">
        <v>19</v>
      </c>
      <c r="D12" t="s">
        <v>29</v>
      </c>
      <c r="E12" t="s">
        <v>14</v>
      </c>
      <c r="F12" t="s">
        <v>15</v>
      </c>
      <c r="G12" s="16">
        <v>58</v>
      </c>
      <c r="H12">
        <f>RANK(G12,$G$2:$G$1001,0)+COUNTIF($G$2:G12,G12)-1</f>
        <v>710</v>
      </c>
      <c r="I12" t="str">
        <f>INDEX('Boundary table'!$B$3:$B$7,MATCH(G12,'Boundary table'!$A$3:$A$7,1))</f>
        <v>F</v>
      </c>
      <c r="J12" s="16">
        <v>54</v>
      </c>
      <c r="K12">
        <f>RANK(J12,$J$2:$J$1001,0)+COUNTIF($J$2:J12,J12)-1</f>
        <v>841</v>
      </c>
      <c r="L12" t="str">
        <f>INDEX('Boundary table'!$B$3:$B$7,MATCH(J12,'Boundary table'!$A$3:$A$7,1))</f>
        <v>F</v>
      </c>
      <c r="M12" s="16">
        <v>52</v>
      </c>
      <c r="N12">
        <f>RANK(M12,$M$2:$M$1001,0)+COUNTIF($M$2:M12,M12)-1</f>
        <v>840</v>
      </c>
      <c r="O12" t="str">
        <f>INDEX('Boundary table'!$B$3:$B$7,MATCH(M12,'Boundary table'!$A$3:$A$7))</f>
        <v>F</v>
      </c>
      <c r="P12">
        <f>Table1[[#This Row],[Math Score]]+Table1[[#This Row],[Reading Score]]+Table1[[#This Row],[Writing Score]]</f>
        <v>164</v>
      </c>
      <c r="Q12" s="16">
        <f>COUNTIF(Table1[[#This Row],[Math Score]],"&lt;60")+COUNTIF(Table1[[#This Row],[Reading Score]],"&lt;60")+COUNTIF(Table1[[#This Row],[Writing Score]],"&lt;60")</f>
        <v>3</v>
      </c>
      <c r="R12" t="str">
        <f>IF(Table1[[#This Row],[Fail Count]]&gt;=2,"At risk","OK")</f>
        <v>At risk</v>
      </c>
    </row>
    <row r="13" spans="1:20">
      <c r="A13" t="str">
        <f t="shared" si="0"/>
        <v>Stu-012</v>
      </c>
      <c r="B13" t="s">
        <v>27</v>
      </c>
      <c r="C13" t="s">
        <v>31</v>
      </c>
      <c r="D13" t="s">
        <v>29</v>
      </c>
      <c r="E13" t="s">
        <v>14</v>
      </c>
      <c r="F13" t="s">
        <v>15</v>
      </c>
      <c r="G13" s="16">
        <v>40</v>
      </c>
      <c r="H13">
        <f>RANK(G13,$G$2:$G$1001,0)+COUNTIF($G$2:G13,G13)-1</f>
        <v>952</v>
      </c>
      <c r="I13" t="str">
        <f>INDEX('Boundary table'!$B$3:$B$7,MATCH(G13,'Boundary table'!$A$3:$A$7,1))</f>
        <v>F</v>
      </c>
      <c r="J13" s="16">
        <v>52</v>
      </c>
      <c r="K13">
        <f>RANK(J13,$J$2:$J$1001,0)+COUNTIF($J$2:J13,J13)-1</f>
        <v>872</v>
      </c>
      <c r="L13" t="str">
        <f>INDEX('Boundary table'!$B$3:$B$7,MATCH(J13,'Boundary table'!$A$3:$A$7,1))</f>
        <v>F</v>
      </c>
      <c r="M13" s="16">
        <v>43</v>
      </c>
      <c r="N13">
        <f>RANK(M13,$M$2:$M$1001,0)+COUNTIF($M$2:M13,M13)-1</f>
        <v>939</v>
      </c>
      <c r="O13" t="str">
        <f>INDEX('Boundary table'!$B$3:$B$7,MATCH(M13,'Boundary table'!$A$3:$A$7))</f>
        <v>F</v>
      </c>
      <c r="P13">
        <f>Table1[[#This Row],[Math Score]]+Table1[[#This Row],[Reading Score]]+Table1[[#This Row],[Writing Score]]</f>
        <v>135</v>
      </c>
      <c r="Q13" s="16">
        <f>COUNTIF(Table1[[#This Row],[Math Score]],"&lt;60")+COUNTIF(Table1[[#This Row],[Reading Score]],"&lt;60")+COUNTIF(Table1[[#This Row],[Writing Score]],"&lt;60")</f>
        <v>3</v>
      </c>
      <c r="R13" t="str">
        <f>IF(Table1[[#This Row],[Fail Count]]&gt;=2,"At risk","OK")</f>
        <v>At risk</v>
      </c>
    </row>
    <row r="14" spans="1:20">
      <c r="A14" t="str">
        <f t="shared" si="0"/>
        <v>Stu-013</v>
      </c>
      <c r="B14" t="s">
        <v>11</v>
      </c>
      <c r="C14" t="s">
        <v>12</v>
      </c>
      <c r="D14" t="s">
        <v>32</v>
      </c>
      <c r="E14" t="s">
        <v>14</v>
      </c>
      <c r="F14" t="s">
        <v>15</v>
      </c>
      <c r="G14" s="16">
        <v>65</v>
      </c>
      <c r="H14">
        <f>RANK(G14,$G$2:$G$1001,0)+COUNTIF($G$2:G14,G14)-1</f>
        <v>518</v>
      </c>
      <c r="I14" t="str">
        <f>INDEX('Boundary table'!$B$3:$B$7,MATCH(G14,'Boundary table'!$A$3:$A$7,1))</f>
        <v>D</v>
      </c>
      <c r="J14" s="16">
        <v>81</v>
      </c>
      <c r="K14">
        <f>RANK(J14,$J$2:$J$1001,0)+COUNTIF($J$2:J14,J14)-1</f>
        <v>211</v>
      </c>
      <c r="L14" t="str">
        <f>INDEX('Boundary table'!$B$3:$B$7,MATCH(J14,'Boundary table'!$A$3:$A$7,1))</f>
        <v>B</v>
      </c>
      <c r="M14" s="16">
        <v>73</v>
      </c>
      <c r="N14">
        <f>RANK(M14,$M$2:$M$1001,0)+COUNTIF($M$2:M14,M14)-1</f>
        <v>386</v>
      </c>
      <c r="O14" t="str">
        <f>INDEX('Boundary table'!$B$3:$B$7,MATCH(M14,'Boundary table'!$A$3:$A$7))</f>
        <v>C</v>
      </c>
      <c r="P14">
        <f>Table1[[#This Row],[Math Score]]+Table1[[#This Row],[Reading Score]]+Table1[[#This Row],[Writing Score]]</f>
        <v>219</v>
      </c>
      <c r="Q14" s="16">
        <f>COUNTIF(Table1[[#This Row],[Math Score]],"&lt;60")+COUNTIF(Table1[[#This Row],[Reading Score]],"&lt;60")+COUNTIF(Table1[[#This Row],[Writing Score]],"&lt;60")</f>
        <v>0</v>
      </c>
      <c r="R14" t="str">
        <f>IF(Table1[[#This Row],[Fail Count]]&gt;=2,"At risk","OK")</f>
        <v>OK</v>
      </c>
    </row>
    <row r="15" spans="1:20">
      <c r="A15" t="str">
        <f t="shared" si="0"/>
        <v>Stu-014</v>
      </c>
      <c r="B15" t="s">
        <v>27</v>
      </c>
      <c r="C15" t="s">
        <v>28</v>
      </c>
      <c r="D15" t="s">
        <v>20</v>
      </c>
      <c r="E15" t="s">
        <v>14</v>
      </c>
      <c r="F15" t="s">
        <v>21</v>
      </c>
      <c r="G15" s="16">
        <v>78</v>
      </c>
      <c r="H15">
        <f>RANK(G15,$G$2:$G$1001,0)+COUNTIF($G$2:G15,G15)-1</f>
        <v>216</v>
      </c>
      <c r="I15" t="str">
        <f>INDEX('Boundary table'!$B$3:$B$7,MATCH(G15,'Boundary table'!$A$3:$A$7,1))</f>
        <v>C</v>
      </c>
      <c r="J15" s="16">
        <v>72</v>
      </c>
      <c r="K15">
        <f>RANK(J15,$J$2:$J$1001,0)+COUNTIF($J$2:J15,J15)-1</f>
        <v>435</v>
      </c>
      <c r="L15" t="str">
        <f>INDEX('Boundary table'!$B$3:$B$7,MATCH(J15,'Boundary table'!$A$3:$A$7,1))</f>
        <v>C</v>
      </c>
      <c r="M15" s="16">
        <v>70</v>
      </c>
      <c r="N15">
        <f>RANK(M15,$M$2:$M$1001,0)+COUNTIF($M$2:M15,M15)-1</f>
        <v>457</v>
      </c>
      <c r="O15" t="str">
        <f>INDEX('Boundary table'!$B$3:$B$7,MATCH(M15,'Boundary table'!$A$3:$A$7))</f>
        <v>C</v>
      </c>
      <c r="P15">
        <f>Table1[[#This Row],[Math Score]]+Table1[[#This Row],[Reading Score]]+Table1[[#This Row],[Writing Score]]</f>
        <v>220</v>
      </c>
      <c r="Q15" s="16">
        <f>COUNTIF(Table1[[#This Row],[Math Score]],"&lt;60")+COUNTIF(Table1[[#This Row],[Reading Score]],"&lt;60")+COUNTIF(Table1[[#This Row],[Writing Score]],"&lt;60")</f>
        <v>0</v>
      </c>
      <c r="R15" t="str">
        <f>IF(Table1[[#This Row],[Fail Count]]&gt;=2,"At risk","OK")</f>
        <v>OK</v>
      </c>
    </row>
    <row r="16" spans="1:20">
      <c r="A16" t="str">
        <f t="shared" si="0"/>
        <v>Stu-015</v>
      </c>
      <c r="B16" t="s">
        <v>11</v>
      </c>
      <c r="C16" t="s">
        <v>28</v>
      </c>
      <c r="D16" t="s">
        <v>26</v>
      </c>
      <c r="E16" t="s">
        <v>14</v>
      </c>
      <c r="F16" t="s">
        <v>15</v>
      </c>
      <c r="G16" s="16">
        <v>50</v>
      </c>
      <c r="H16">
        <f>RANK(G16,$G$2:$G$1001,0)+COUNTIF($G$2:G16,G16)-1</f>
        <v>851</v>
      </c>
      <c r="I16" t="str">
        <f>INDEX('Boundary table'!$B$3:$B$7,MATCH(G16,'Boundary table'!$A$3:$A$7,1))</f>
        <v>F</v>
      </c>
      <c r="J16" s="16">
        <v>53</v>
      </c>
      <c r="K16">
        <f>RANK(J16,$J$2:$J$1001,0)+COUNTIF($J$2:J16,J16)-1</f>
        <v>859</v>
      </c>
      <c r="L16" t="str">
        <f>INDEX('Boundary table'!$B$3:$B$7,MATCH(J16,'Boundary table'!$A$3:$A$7,1))</f>
        <v>F</v>
      </c>
      <c r="M16" s="16">
        <v>58</v>
      </c>
      <c r="N16">
        <f>RANK(M16,$M$2:$M$1001,0)+COUNTIF($M$2:M16,M16)-1</f>
        <v>733</v>
      </c>
      <c r="O16" t="str">
        <f>INDEX('Boundary table'!$B$3:$B$7,MATCH(M16,'Boundary table'!$A$3:$A$7))</f>
        <v>F</v>
      </c>
      <c r="P16">
        <f>Table1[[#This Row],[Math Score]]+Table1[[#This Row],[Reading Score]]+Table1[[#This Row],[Writing Score]]</f>
        <v>161</v>
      </c>
      <c r="Q16" s="16">
        <f>COUNTIF(Table1[[#This Row],[Math Score]],"&lt;60")+COUNTIF(Table1[[#This Row],[Reading Score]],"&lt;60")+COUNTIF(Table1[[#This Row],[Writing Score]],"&lt;60")</f>
        <v>3</v>
      </c>
      <c r="R16" t="str">
        <f>IF(Table1[[#This Row],[Fail Count]]&gt;=2,"At risk","OK")</f>
        <v>At risk</v>
      </c>
    </row>
    <row r="17" spans="1:18">
      <c r="A17" t="str">
        <f t="shared" si="0"/>
        <v>Stu-016</v>
      </c>
      <c r="B17" t="s">
        <v>11</v>
      </c>
      <c r="C17" t="s">
        <v>19</v>
      </c>
      <c r="D17" t="s">
        <v>33</v>
      </c>
      <c r="E17" t="s">
        <v>14</v>
      </c>
      <c r="F17" t="s">
        <v>15</v>
      </c>
      <c r="G17" s="16">
        <v>69</v>
      </c>
      <c r="H17">
        <f>RANK(G17,$G$2:$G$1001,0)+COUNTIF($G$2:G17,G17)-1</f>
        <v>411</v>
      </c>
      <c r="I17" t="str">
        <f>INDEX('Boundary table'!$B$3:$B$7,MATCH(G17,'Boundary table'!$A$3:$A$7,1))</f>
        <v>D</v>
      </c>
      <c r="J17" s="16">
        <v>75</v>
      </c>
      <c r="K17">
        <f>RANK(J17,$J$2:$J$1001,0)+COUNTIF($J$2:J17,J17)-1</f>
        <v>345</v>
      </c>
      <c r="L17" t="str">
        <f>INDEX('Boundary table'!$B$3:$B$7,MATCH(J17,'Boundary table'!$A$3:$A$7,1))</f>
        <v>C</v>
      </c>
      <c r="M17" s="16">
        <v>78</v>
      </c>
      <c r="N17">
        <f>RANK(M17,$M$2:$M$1001,0)+COUNTIF($M$2:M17,M17)-1</f>
        <v>256</v>
      </c>
      <c r="O17" t="str">
        <f>INDEX('Boundary table'!$B$3:$B$7,MATCH(M17,'Boundary table'!$A$3:$A$7))</f>
        <v>C</v>
      </c>
      <c r="P17">
        <f>Table1[[#This Row],[Math Score]]+Table1[[#This Row],[Reading Score]]+Table1[[#This Row],[Writing Score]]</f>
        <v>222</v>
      </c>
      <c r="Q17" s="16">
        <f>COUNTIF(Table1[[#This Row],[Math Score]],"&lt;60")+COUNTIF(Table1[[#This Row],[Reading Score]],"&lt;60")+COUNTIF(Table1[[#This Row],[Writing Score]],"&lt;60")</f>
        <v>0</v>
      </c>
      <c r="R17" t="str">
        <f>IF(Table1[[#This Row],[Fail Count]]&gt;=2,"At risk","OK")</f>
        <v>OK</v>
      </c>
    </row>
    <row r="18" spans="1:18">
      <c r="A18" t="str">
        <f t="shared" si="0"/>
        <v>Stu-017</v>
      </c>
      <c r="B18" t="s">
        <v>27</v>
      </c>
      <c r="C18" t="s">
        <v>19</v>
      </c>
      <c r="D18" t="s">
        <v>32</v>
      </c>
      <c r="E18" t="s">
        <v>14</v>
      </c>
      <c r="F18" t="s">
        <v>15</v>
      </c>
      <c r="G18" s="16">
        <v>88</v>
      </c>
      <c r="H18">
        <f>RANK(G18,$G$2:$G$1001,0)+COUNTIF($G$2:G18,G18)-1</f>
        <v>66</v>
      </c>
      <c r="I18" t="str">
        <f>INDEX('Boundary table'!$B$3:$B$7,MATCH(G18,'Boundary table'!$A$3:$A$7,1))</f>
        <v>B</v>
      </c>
      <c r="J18" s="16">
        <v>89</v>
      </c>
      <c r="K18">
        <f>RANK(J18,$J$2:$J$1001,0)+COUNTIF($J$2:J18,J18)-1</f>
        <v>80</v>
      </c>
      <c r="L18" t="str">
        <f>INDEX('Boundary table'!$B$3:$B$7,MATCH(J18,'Boundary table'!$A$3:$A$7,1))</f>
        <v>B</v>
      </c>
      <c r="M18" s="16">
        <v>86</v>
      </c>
      <c r="N18">
        <f>RANK(M18,$M$2:$M$1001,0)+COUNTIF($M$2:M18,M18)-1</f>
        <v>110</v>
      </c>
      <c r="O18" t="str">
        <f>INDEX('Boundary table'!$B$3:$B$7,MATCH(M18,'Boundary table'!$A$3:$A$7))</f>
        <v>B</v>
      </c>
      <c r="P18">
        <f>Table1[[#This Row],[Math Score]]+Table1[[#This Row],[Reading Score]]+Table1[[#This Row],[Writing Score]]</f>
        <v>263</v>
      </c>
      <c r="Q18" s="16">
        <f>COUNTIF(Table1[[#This Row],[Math Score]],"&lt;60")+COUNTIF(Table1[[#This Row],[Reading Score]],"&lt;60")+COUNTIF(Table1[[#This Row],[Writing Score]],"&lt;60")</f>
        <v>0</v>
      </c>
      <c r="R18" t="str">
        <f>IF(Table1[[#This Row],[Fail Count]]&gt;=2,"At risk","OK")</f>
        <v>OK</v>
      </c>
    </row>
    <row r="19" spans="1:18">
      <c r="A19" t="str">
        <f t="shared" si="0"/>
        <v>Stu-018</v>
      </c>
      <c r="B19" t="s">
        <v>11</v>
      </c>
      <c r="C19" t="s">
        <v>12</v>
      </c>
      <c r="D19" t="s">
        <v>33</v>
      </c>
      <c r="E19" t="s">
        <v>30</v>
      </c>
      <c r="F19" t="s">
        <v>15</v>
      </c>
      <c r="G19" s="16">
        <v>18</v>
      </c>
      <c r="H19">
        <f>RANK(G19,$G$2:$G$1001,0)+COUNTIF($G$2:G19,G19)-1</f>
        <v>998</v>
      </c>
      <c r="I19" t="str">
        <f>INDEX('Boundary table'!$B$3:$B$7,MATCH(G19,'Boundary table'!$A$3:$A$7,1))</f>
        <v>F</v>
      </c>
      <c r="J19" s="16">
        <v>32</v>
      </c>
      <c r="K19">
        <f>RANK(J19,$J$2:$J$1001,0)+COUNTIF($J$2:J19,J19)-1</f>
        <v>990</v>
      </c>
      <c r="L19" t="str">
        <f>INDEX('Boundary table'!$B$3:$B$7,MATCH(J19,'Boundary table'!$A$3:$A$7,1))</f>
        <v>F</v>
      </c>
      <c r="M19" s="16">
        <v>28</v>
      </c>
      <c r="N19">
        <f>RANK(M19,$M$2:$M$1001,0)+COUNTIF($M$2:M19,M19)-1</f>
        <v>992</v>
      </c>
      <c r="O19" t="str">
        <f>INDEX('Boundary table'!$B$3:$B$7,MATCH(M19,'Boundary table'!$A$3:$A$7))</f>
        <v>F</v>
      </c>
      <c r="P19">
        <f>Table1[[#This Row],[Math Score]]+Table1[[#This Row],[Reading Score]]+Table1[[#This Row],[Writing Score]]</f>
        <v>78</v>
      </c>
      <c r="Q19" s="16">
        <f>COUNTIF(Table1[[#This Row],[Math Score]],"&lt;60")+COUNTIF(Table1[[#This Row],[Reading Score]],"&lt;60")+COUNTIF(Table1[[#This Row],[Writing Score]],"&lt;60")</f>
        <v>3</v>
      </c>
      <c r="R19" t="str">
        <f>IF(Table1[[#This Row],[Fail Count]]&gt;=2,"At risk","OK")</f>
        <v>At risk</v>
      </c>
    </row>
    <row r="20" spans="1:18">
      <c r="A20" t="str">
        <f t="shared" si="0"/>
        <v>Stu-019</v>
      </c>
      <c r="B20" t="s">
        <v>27</v>
      </c>
      <c r="C20" t="s">
        <v>19</v>
      </c>
      <c r="D20" t="s">
        <v>26</v>
      </c>
      <c r="E20" t="s">
        <v>30</v>
      </c>
      <c r="F20" t="s">
        <v>21</v>
      </c>
      <c r="G20" s="16">
        <v>46</v>
      </c>
      <c r="H20">
        <f>RANK(G20,$G$2:$G$1001,0)+COUNTIF($G$2:G20,G20)-1</f>
        <v>905</v>
      </c>
      <c r="I20" t="str">
        <f>INDEX('Boundary table'!$B$3:$B$7,MATCH(G20,'Boundary table'!$A$3:$A$7,1))</f>
        <v>F</v>
      </c>
      <c r="J20" s="16">
        <v>42</v>
      </c>
      <c r="K20">
        <f>RANK(J20,$J$2:$J$1001,0)+COUNTIF($J$2:J20,J20)-1</f>
        <v>961</v>
      </c>
      <c r="L20" t="str">
        <f>INDEX('Boundary table'!$B$3:$B$7,MATCH(J20,'Boundary table'!$A$3:$A$7,1))</f>
        <v>F</v>
      </c>
      <c r="M20" s="16">
        <v>46</v>
      </c>
      <c r="N20">
        <f>RANK(M20,$M$2:$M$1001,0)+COUNTIF($M$2:M20,M20)-1</f>
        <v>914</v>
      </c>
      <c r="O20" t="str">
        <f>INDEX('Boundary table'!$B$3:$B$7,MATCH(M20,'Boundary table'!$A$3:$A$7))</f>
        <v>F</v>
      </c>
      <c r="P20">
        <f>Table1[[#This Row],[Math Score]]+Table1[[#This Row],[Reading Score]]+Table1[[#This Row],[Writing Score]]</f>
        <v>134</v>
      </c>
      <c r="Q20" s="16">
        <f>COUNTIF(Table1[[#This Row],[Math Score]],"&lt;60")+COUNTIF(Table1[[#This Row],[Reading Score]],"&lt;60")+COUNTIF(Table1[[#This Row],[Writing Score]],"&lt;60")</f>
        <v>3</v>
      </c>
      <c r="R20" t="str">
        <f>IF(Table1[[#This Row],[Fail Count]]&gt;=2,"At risk","OK")</f>
        <v>At risk</v>
      </c>
    </row>
    <row r="21" spans="1:18">
      <c r="A21" t="str">
        <f t="shared" si="0"/>
        <v>Stu-020</v>
      </c>
      <c r="B21" t="s">
        <v>11</v>
      </c>
      <c r="C21" t="s">
        <v>19</v>
      </c>
      <c r="D21" t="s">
        <v>29</v>
      </c>
      <c r="E21" t="s">
        <v>30</v>
      </c>
      <c r="F21" t="s">
        <v>15</v>
      </c>
      <c r="G21" s="16">
        <v>54</v>
      </c>
      <c r="H21">
        <f>RANK(G21,$G$2:$G$1001,0)+COUNTIF($G$2:G21,G21)-1</f>
        <v>780</v>
      </c>
      <c r="I21" t="str">
        <f>INDEX('Boundary table'!$B$3:$B$7,MATCH(G21,'Boundary table'!$A$3:$A$7,1))</f>
        <v>F</v>
      </c>
      <c r="J21" s="16">
        <v>58</v>
      </c>
      <c r="K21">
        <f>RANK(J21,$J$2:$J$1001,0)+COUNTIF($J$2:J21,J21)-1</f>
        <v>764</v>
      </c>
      <c r="L21" t="str">
        <f>INDEX('Boundary table'!$B$3:$B$7,MATCH(J21,'Boundary table'!$A$3:$A$7,1))</f>
        <v>F</v>
      </c>
      <c r="M21" s="16">
        <v>61</v>
      </c>
      <c r="N21">
        <f>RANK(M21,$M$2:$M$1001,0)+COUNTIF($M$2:M21,M21)-1</f>
        <v>679</v>
      </c>
      <c r="O21" t="str">
        <f>INDEX('Boundary table'!$B$3:$B$7,MATCH(M21,'Boundary table'!$A$3:$A$7))</f>
        <v>D</v>
      </c>
      <c r="P21">
        <f>Table1[[#This Row],[Math Score]]+Table1[[#This Row],[Reading Score]]+Table1[[#This Row],[Writing Score]]</f>
        <v>173</v>
      </c>
      <c r="Q21" s="16">
        <f>COUNTIF(Table1[[#This Row],[Math Score]],"&lt;60")+COUNTIF(Table1[[#This Row],[Reading Score]],"&lt;60")+COUNTIF(Table1[[#This Row],[Writing Score]],"&lt;60")</f>
        <v>2</v>
      </c>
      <c r="R21" t="str">
        <f>IF(Table1[[#This Row],[Fail Count]]&gt;=2,"At risk","OK")</f>
        <v>At risk</v>
      </c>
    </row>
    <row r="22" spans="1:18">
      <c r="A22" t="str">
        <f t="shared" si="0"/>
        <v>Stu-021</v>
      </c>
      <c r="B22" t="s">
        <v>27</v>
      </c>
      <c r="C22" t="s">
        <v>31</v>
      </c>
      <c r="D22" t="s">
        <v>32</v>
      </c>
      <c r="E22" t="s">
        <v>14</v>
      </c>
      <c r="F22" t="s">
        <v>15</v>
      </c>
      <c r="G22" s="16">
        <v>66</v>
      </c>
      <c r="H22">
        <f>RANK(G22,$G$2:$G$1001,0)+COUNTIF($G$2:G22,G22)-1</f>
        <v>494</v>
      </c>
      <c r="I22" t="str">
        <f>INDEX('Boundary table'!$B$3:$B$7,MATCH(G22,'Boundary table'!$A$3:$A$7,1))</f>
        <v>D</v>
      </c>
      <c r="J22" s="16">
        <v>69</v>
      </c>
      <c r="K22">
        <f>RANK(J22,$J$2:$J$1001,0)+COUNTIF($J$2:J22,J22)-1</f>
        <v>514</v>
      </c>
      <c r="L22" t="str">
        <f>INDEX('Boundary table'!$B$3:$B$7,MATCH(J22,'Boundary table'!$A$3:$A$7,1))</f>
        <v>D</v>
      </c>
      <c r="M22" s="16">
        <v>63</v>
      </c>
      <c r="N22">
        <f>RANK(M22,$M$2:$M$1001,0)+COUNTIF($M$2:M22,M22)-1</f>
        <v>637</v>
      </c>
      <c r="O22" t="str">
        <f>INDEX('Boundary table'!$B$3:$B$7,MATCH(M22,'Boundary table'!$A$3:$A$7))</f>
        <v>D</v>
      </c>
      <c r="P22">
        <f>Table1[[#This Row],[Math Score]]+Table1[[#This Row],[Reading Score]]+Table1[[#This Row],[Writing Score]]</f>
        <v>198</v>
      </c>
      <c r="Q22" s="16">
        <f>COUNTIF(Table1[[#This Row],[Math Score]],"&lt;60")+COUNTIF(Table1[[#This Row],[Reading Score]],"&lt;60")+COUNTIF(Table1[[#This Row],[Writing Score]],"&lt;60")</f>
        <v>0</v>
      </c>
      <c r="R22" t="str">
        <f>IF(Table1[[#This Row],[Fail Count]]&gt;=2,"At risk","OK")</f>
        <v>OK</v>
      </c>
    </row>
    <row r="23" spans="1:18">
      <c r="A23" t="str">
        <f t="shared" si="0"/>
        <v>Stu-022</v>
      </c>
      <c r="B23" t="s">
        <v>11</v>
      </c>
      <c r="C23" t="s">
        <v>12</v>
      </c>
      <c r="D23" t="s">
        <v>20</v>
      </c>
      <c r="E23" t="s">
        <v>30</v>
      </c>
      <c r="F23" t="s">
        <v>21</v>
      </c>
      <c r="G23" s="16">
        <v>65</v>
      </c>
      <c r="H23">
        <f>RANK(G23,$G$2:$G$1001,0)+COUNTIF($G$2:G23,G23)-1</f>
        <v>519</v>
      </c>
      <c r="I23" t="str">
        <f>INDEX('Boundary table'!$B$3:$B$7,MATCH(G23,'Boundary table'!$A$3:$A$7,1))</f>
        <v>D</v>
      </c>
      <c r="J23" s="16">
        <v>75</v>
      </c>
      <c r="K23">
        <f>RANK(J23,$J$2:$J$1001,0)+COUNTIF($J$2:J23,J23)-1</f>
        <v>346</v>
      </c>
      <c r="L23" t="str">
        <f>INDEX('Boundary table'!$B$3:$B$7,MATCH(J23,'Boundary table'!$A$3:$A$7,1))</f>
        <v>C</v>
      </c>
      <c r="M23" s="16">
        <v>70</v>
      </c>
      <c r="N23">
        <f>RANK(M23,$M$2:$M$1001,0)+COUNTIF($M$2:M23,M23)-1</f>
        <v>458</v>
      </c>
      <c r="O23" t="str">
        <f>INDEX('Boundary table'!$B$3:$B$7,MATCH(M23,'Boundary table'!$A$3:$A$7))</f>
        <v>C</v>
      </c>
      <c r="P23">
        <f>Table1[[#This Row],[Math Score]]+Table1[[#This Row],[Reading Score]]+Table1[[#This Row],[Writing Score]]</f>
        <v>210</v>
      </c>
      <c r="Q23" s="16">
        <f>COUNTIF(Table1[[#This Row],[Math Score]],"&lt;60")+COUNTIF(Table1[[#This Row],[Reading Score]],"&lt;60")+COUNTIF(Table1[[#This Row],[Writing Score]],"&lt;60")</f>
        <v>0</v>
      </c>
      <c r="R23" t="str">
        <f>IF(Table1[[#This Row],[Fail Count]]&gt;=2,"At risk","OK")</f>
        <v>OK</v>
      </c>
    </row>
    <row r="24" spans="1:18">
      <c r="A24" t="str">
        <f t="shared" si="0"/>
        <v>Stu-023</v>
      </c>
      <c r="B24" t="s">
        <v>27</v>
      </c>
      <c r="C24" t="s">
        <v>31</v>
      </c>
      <c r="D24" t="s">
        <v>20</v>
      </c>
      <c r="E24" t="s">
        <v>14</v>
      </c>
      <c r="F24" t="s">
        <v>15</v>
      </c>
      <c r="G24" s="16">
        <v>44</v>
      </c>
      <c r="H24">
        <f>RANK(G24,$G$2:$G$1001,0)+COUNTIF($G$2:G24,G24)-1</f>
        <v>925</v>
      </c>
      <c r="I24" t="str">
        <f>INDEX('Boundary table'!$B$3:$B$7,MATCH(G24,'Boundary table'!$A$3:$A$7,1))</f>
        <v>F</v>
      </c>
      <c r="J24" s="16">
        <v>54</v>
      </c>
      <c r="K24">
        <f>RANK(J24,$J$2:$J$1001,0)+COUNTIF($J$2:J24,J24)-1</f>
        <v>842</v>
      </c>
      <c r="L24" t="str">
        <f>INDEX('Boundary table'!$B$3:$B$7,MATCH(J24,'Boundary table'!$A$3:$A$7,1))</f>
        <v>F</v>
      </c>
      <c r="M24" s="16">
        <v>53</v>
      </c>
      <c r="N24">
        <f>RANK(M24,$M$2:$M$1001,0)+COUNTIF($M$2:M24,M24)-1</f>
        <v>823</v>
      </c>
      <c r="O24" t="str">
        <f>INDEX('Boundary table'!$B$3:$B$7,MATCH(M24,'Boundary table'!$A$3:$A$7))</f>
        <v>F</v>
      </c>
      <c r="P24">
        <f>Table1[[#This Row],[Math Score]]+Table1[[#This Row],[Reading Score]]+Table1[[#This Row],[Writing Score]]</f>
        <v>151</v>
      </c>
      <c r="Q24" s="16">
        <f>COUNTIF(Table1[[#This Row],[Math Score]],"&lt;60")+COUNTIF(Table1[[#This Row],[Reading Score]],"&lt;60")+COUNTIF(Table1[[#This Row],[Writing Score]],"&lt;60")</f>
        <v>3</v>
      </c>
      <c r="R24" t="str">
        <f>IF(Table1[[#This Row],[Fail Count]]&gt;=2,"At risk","OK")</f>
        <v>At risk</v>
      </c>
    </row>
    <row r="25" spans="1:18">
      <c r="A25" t="str">
        <f t="shared" si="0"/>
        <v>Stu-024</v>
      </c>
      <c r="B25" t="s">
        <v>11</v>
      </c>
      <c r="C25" t="s">
        <v>19</v>
      </c>
      <c r="D25" t="s">
        <v>33</v>
      </c>
      <c r="E25" t="s">
        <v>14</v>
      </c>
      <c r="F25" t="s">
        <v>15</v>
      </c>
      <c r="G25" s="16">
        <v>69</v>
      </c>
      <c r="H25">
        <f>RANK(G25,$G$2:$G$1001,0)+COUNTIF($G$2:G25,G25)-1</f>
        <v>412</v>
      </c>
      <c r="I25" t="str">
        <f>INDEX('Boundary table'!$B$3:$B$7,MATCH(G25,'Boundary table'!$A$3:$A$7,1))</f>
        <v>D</v>
      </c>
      <c r="J25" s="16">
        <v>73</v>
      </c>
      <c r="K25">
        <f>RANK(J25,$J$2:$J$1001,0)+COUNTIF($J$2:J25,J25)-1</f>
        <v>404</v>
      </c>
      <c r="L25" t="str">
        <f>INDEX('Boundary table'!$B$3:$B$7,MATCH(J25,'Boundary table'!$A$3:$A$7,1))</f>
        <v>C</v>
      </c>
      <c r="M25" s="16">
        <v>73</v>
      </c>
      <c r="N25">
        <f>RANK(M25,$M$2:$M$1001,0)+COUNTIF($M$2:M25,M25)-1</f>
        <v>387</v>
      </c>
      <c r="O25" t="str">
        <f>INDEX('Boundary table'!$B$3:$B$7,MATCH(M25,'Boundary table'!$A$3:$A$7))</f>
        <v>C</v>
      </c>
      <c r="P25">
        <f>Table1[[#This Row],[Math Score]]+Table1[[#This Row],[Reading Score]]+Table1[[#This Row],[Writing Score]]</f>
        <v>215</v>
      </c>
      <c r="Q25" s="16">
        <f>COUNTIF(Table1[[#This Row],[Math Score]],"&lt;60")+COUNTIF(Table1[[#This Row],[Reading Score]],"&lt;60")+COUNTIF(Table1[[#This Row],[Writing Score]],"&lt;60")</f>
        <v>0</v>
      </c>
      <c r="R25" t="str">
        <f>IF(Table1[[#This Row],[Fail Count]]&gt;=2,"At risk","OK")</f>
        <v>OK</v>
      </c>
    </row>
    <row r="26" spans="1:18">
      <c r="A26" t="str">
        <f t="shared" si="0"/>
        <v>Stu-025</v>
      </c>
      <c r="B26" t="s">
        <v>27</v>
      </c>
      <c r="C26" t="s">
        <v>31</v>
      </c>
      <c r="D26" t="s">
        <v>13</v>
      </c>
      <c r="E26" t="s">
        <v>30</v>
      </c>
      <c r="F26" t="s">
        <v>21</v>
      </c>
      <c r="G26" s="16">
        <v>74</v>
      </c>
      <c r="H26">
        <f>RANK(G26,$G$2:$G$1001,0)+COUNTIF($G$2:G26,G26)-1</f>
        <v>296</v>
      </c>
      <c r="I26" t="str">
        <f>INDEX('Boundary table'!$B$3:$B$7,MATCH(G26,'Boundary table'!$A$3:$A$7,1))</f>
        <v>C</v>
      </c>
      <c r="J26" s="16">
        <v>71</v>
      </c>
      <c r="K26">
        <f>RANK(J26,$J$2:$J$1001,0)+COUNTIF($J$2:J26,J26)-1</f>
        <v>468</v>
      </c>
      <c r="L26" t="str">
        <f>INDEX('Boundary table'!$B$3:$B$7,MATCH(J26,'Boundary table'!$A$3:$A$7,1))</f>
        <v>C</v>
      </c>
      <c r="M26" s="16">
        <v>80</v>
      </c>
      <c r="N26">
        <f>RANK(M26,$M$2:$M$1001,0)+COUNTIF($M$2:M26,M26)-1</f>
        <v>209</v>
      </c>
      <c r="O26" t="str">
        <f>INDEX('Boundary table'!$B$3:$B$7,MATCH(M26,'Boundary table'!$A$3:$A$7))</f>
        <v>B</v>
      </c>
      <c r="P26">
        <f>Table1[[#This Row],[Math Score]]+Table1[[#This Row],[Reading Score]]+Table1[[#This Row],[Writing Score]]</f>
        <v>225</v>
      </c>
      <c r="Q26" s="16">
        <f>COUNTIF(Table1[[#This Row],[Math Score]],"&lt;60")+COUNTIF(Table1[[#This Row],[Reading Score]],"&lt;60")+COUNTIF(Table1[[#This Row],[Writing Score]],"&lt;60")</f>
        <v>0</v>
      </c>
      <c r="R26" t="str">
        <f>IF(Table1[[#This Row],[Fail Count]]&gt;=2,"At risk","OK")</f>
        <v>OK</v>
      </c>
    </row>
    <row r="27" spans="1:18">
      <c r="A27" t="str">
        <f t="shared" si="0"/>
        <v>Stu-026</v>
      </c>
      <c r="B27" t="s">
        <v>27</v>
      </c>
      <c r="C27" t="s">
        <v>28</v>
      </c>
      <c r="D27" t="s">
        <v>26</v>
      </c>
      <c r="E27" t="s">
        <v>30</v>
      </c>
      <c r="F27" t="s">
        <v>15</v>
      </c>
      <c r="G27" s="16">
        <v>73</v>
      </c>
      <c r="H27">
        <f>RANK(G27,$G$2:$G$1001,0)+COUNTIF($G$2:G27,G27)-1</f>
        <v>321</v>
      </c>
      <c r="I27" t="str">
        <f>INDEX('Boundary table'!$B$3:$B$7,MATCH(G27,'Boundary table'!$A$3:$A$7,1))</f>
        <v>C</v>
      </c>
      <c r="J27" s="16">
        <v>74</v>
      </c>
      <c r="K27">
        <f>RANK(J27,$J$2:$J$1001,0)+COUNTIF($J$2:J27,J27)-1</f>
        <v>371</v>
      </c>
      <c r="L27" t="str">
        <f>INDEX('Boundary table'!$B$3:$B$7,MATCH(J27,'Boundary table'!$A$3:$A$7,1))</f>
        <v>C</v>
      </c>
      <c r="M27" s="16">
        <v>72</v>
      </c>
      <c r="N27">
        <f>RANK(M27,$M$2:$M$1001,0)+COUNTIF($M$2:M27,M27)-1</f>
        <v>414</v>
      </c>
      <c r="O27" t="str">
        <f>INDEX('Boundary table'!$B$3:$B$7,MATCH(M27,'Boundary table'!$A$3:$A$7))</f>
        <v>C</v>
      </c>
      <c r="P27">
        <f>Table1[[#This Row],[Math Score]]+Table1[[#This Row],[Reading Score]]+Table1[[#This Row],[Writing Score]]</f>
        <v>219</v>
      </c>
      <c r="Q27" s="16">
        <f>COUNTIF(Table1[[#This Row],[Math Score]],"&lt;60")+COUNTIF(Table1[[#This Row],[Reading Score]],"&lt;60")+COUNTIF(Table1[[#This Row],[Writing Score]],"&lt;60")</f>
        <v>0</v>
      </c>
      <c r="R27" t="str">
        <f>IF(Table1[[#This Row],[Fail Count]]&gt;=2,"At risk","OK")</f>
        <v>OK</v>
      </c>
    </row>
    <row r="28" spans="1:18">
      <c r="A28" t="str">
        <f t="shared" si="0"/>
        <v>Stu-027</v>
      </c>
      <c r="B28" t="s">
        <v>27</v>
      </c>
      <c r="C28" t="s">
        <v>12</v>
      </c>
      <c r="D28" t="s">
        <v>20</v>
      </c>
      <c r="E28" t="s">
        <v>14</v>
      </c>
      <c r="F28" t="s">
        <v>15</v>
      </c>
      <c r="G28" s="16">
        <v>69</v>
      </c>
      <c r="H28">
        <f>RANK(G28,$G$2:$G$1001,0)+COUNTIF($G$2:G28,G28)-1</f>
        <v>413</v>
      </c>
      <c r="I28" t="str">
        <f>INDEX('Boundary table'!$B$3:$B$7,MATCH(G28,'Boundary table'!$A$3:$A$7,1))</f>
        <v>D</v>
      </c>
      <c r="J28" s="16">
        <v>54</v>
      </c>
      <c r="K28">
        <f>RANK(J28,$J$2:$J$1001,0)+COUNTIF($J$2:J28,J28)-1</f>
        <v>843</v>
      </c>
      <c r="L28" t="str">
        <f>INDEX('Boundary table'!$B$3:$B$7,MATCH(J28,'Boundary table'!$A$3:$A$7,1))</f>
        <v>F</v>
      </c>
      <c r="M28" s="16">
        <v>55</v>
      </c>
      <c r="N28">
        <f>RANK(M28,$M$2:$M$1001,0)+COUNTIF($M$2:M28,M28)-1</f>
        <v>784</v>
      </c>
      <c r="O28" t="str">
        <f>INDEX('Boundary table'!$B$3:$B$7,MATCH(M28,'Boundary table'!$A$3:$A$7))</f>
        <v>F</v>
      </c>
      <c r="P28">
        <f>Table1[[#This Row],[Math Score]]+Table1[[#This Row],[Reading Score]]+Table1[[#This Row],[Writing Score]]</f>
        <v>178</v>
      </c>
      <c r="Q28" s="16">
        <f>COUNTIF(Table1[[#This Row],[Math Score]],"&lt;60")+COUNTIF(Table1[[#This Row],[Reading Score]],"&lt;60")+COUNTIF(Table1[[#This Row],[Writing Score]],"&lt;60")</f>
        <v>2</v>
      </c>
      <c r="R28" t="str">
        <f>IF(Table1[[#This Row],[Fail Count]]&gt;=2,"At risk","OK")</f>
        <v>At risk</v>
      </c>
    </row>
    <row r="29" spans="1:18">
      <c r="A29" t="str">
        <f t="shared" si="0"/>
        <v>Stu-028</v>
      </c>
      <c r="B29" t="s">
        <v>11</v>
      </c>
      <c r="C29" t="s">
        <v>19</v>
      </c>
      <c r="D29" t="s">
        <v>13</v>
      </c>
      <c r="E29" t="s">
        <v>14</v>
      </c>
      <c r="F29" t="s">
        <v>15</v>
      </c>
      <c r="G29" s="16">
        <v>67</v>
      </c>
      <c r="H29">
        <f>RANK(G29,$G$2:$G$1001,0)+COUNTIF($G$2:G29,G29)-1</f>
        <v>468</v>
      </c>
      <c r="I29" t="str">
        <f>INDEX('Boundary table'!$B$3:$B$7,MATCH(G29,'Boundary table'!$A$3:$A$7,1))</f>
        <v>D</v>
      </c>
      <c r="J29" s="16">
        <v>69</v>
      </c>
      <c r="K29">
        <f>RANK(J29,$J$2:$J$1001,0)+COUNTIF($J$2:J29,J29)-1</f>
        <v>515</v>
      </c>
      <c r="L29" t="str">
        <f>INDEX('Boundary table'!$B$3:$B$7,MATCH(J29,'Boundary table'!$A$3:$A$7,1))</f>
        <v>D</v>
      </c>
      <c r="M29" s="16">
        <v>75</v>
      </c>
      <c r="N29">
        <f>RANK(M29,$M$2:$M$1001,0)+COUNTIF($M$2:M29,M29)-1</f>
        <v>330</v>
      </c>
      <c r="O29" t="str">
        <f>INDEX('Boundary table'!$B$3:$B$7,MATCH(M29,'Boundary table'!$A$3:$A$7))</f>
        <v>C</v>
      </c>
      <c r="P29">
        <f>Table1[[#This Row],[Math Score]]+Table1[[#This Row],[Reading Score]]+Table1[[#This Row],[Writing Score]]</f>
        <v>211</v>
      </c>
      <c r="Q29" s="16">
        <f>COUNTIF(Table1[[#This Row],[Math Score]],"&lt;60")+COUNTIF(Table1[[#This Row],[Reading Score]],"&lt;60")+COUNTIF(Table1[[#This Row],[Writing Score]],"&lt;60")</f>
        <v>0</v>
      </c>
      <c r="R29" t="str">
        <f>IF(Table1[[#This Row],[Fail Count]]&gt;=2,"At risk","OK")</f>
        <v>OK</v>
      </c>
    </row>
    <row r="30" spans="1:18">
      <c r="A30" t="str">
        <f t="shared" si="0"/>
        <v>Stu-029</v>
      </c>
      <c r="B30" t="s">
        <v>27</v>
      </c>
      <c r="C30" t="s">
        <v>19</v>
      </c>
      <c r="D30" t="s">
        <v>32</v>
      </c>
      <c r="E30" t="s">
        <v>14</v>
      </c>
      <c r="F30" t="s">
        <v>15</v>
      </c>
      <c r="G30" s="16">
        <v>70</v>
      </c>
      <c r="H30">
        <f>RANK(G30,$G$2:$G$1001,0)+COUNTIF($G$2:G30,G30)-1</f>
        <v>392</v>
      </c>
      <c r="I30" t="str">
        <f>INDEX('Boundary table'!$B$3:$B$7,MATCH(G30,'Boundary table'!$A$3:$A$7,1))</f>
        <v>C</v>
      </c>
      <c r="J30" s="16">
        <v>70</v>
      </c>
      <c r="K30">
        <f>RANK(J30,$J$2:$J$1001,0)+COUNTIF($J$2:J30,J30)-1</f>
        <v>488</v>
      </c>
      <c r="L30" t="str">
        <f>INDEX('Boundary table'!$B$3:$B$7,MATCH(J30,'Boundary table'!$A$3:$A$7,1))</f>
        <v>C</v>
      </c>
      <c r="M30" s="16">
        <v>65</v>
      </c>
      <c r="N30">
        <f>RANK(M30,$M$2:$M$1001,0)+COUNTIF($M$2:M30,M30)-1</f>
        <v>593</v>
      </c>
      <c r="O30" t="str">
        <f>INDEX('Boundary table'!$B$3:$B$7,MATCH(M30,'Boundary table'!$A$3:$A$7))</f>
        <v>D</v>
      </c>
      <c r="P30">
        <f>Table1[[#This Row],[Math Score]]+Table1[[#This Row],[Reading Score]]+Table1[[#This Row],[Writing Score]]</f>
        <v>205</v>
      </c>
      <c r="Q30" s="16">
        <f>COUNTIF(Table1[[#This Row],[Math Score]],"&lt;60")+COUNTIF(Table1[[#This Row],[Reading Score]],"&lt;60")+COUNTIF(Table1[[#This Row],[Writing Score]],"&lt;60")</f>
        <v>0</v>
      </c>
      <c r="R30" t="str">
        <f>IF(Table1[[#This Row],[Fail Count]]&gt;=2,"At risk","OK")</f>
        <v>OK</v>
      </c>
    </row>
    <row r="31" spans="1:18">
      <c r="A31" t="str">
        <f t="shared" si="0"/>
        <v>Stu-030</v>
      </c>
      <c r="B31" t="s">
        <v>11</v>
      </c>
      <c r="C31" t="s">
        <v>31</v>
      </c>
      <c r="D31" t="s">
        <v>26</v>
      </c>
      <c r="E31" t="s">
        <v>14</v>
      </c>
      <c r="F31" t="s">
        <v>15</v>
      </c>
      <c r="G31" s="16">
        <v>62</v>
      </c>
      <c r="H31">
        <f>RANK(G31,$G$2:$G$1001,0)+COUNTIF($G$2:G31,G31)-1</f>
        <v>600</v>
      </c>
      <c r="I31" t="str">
        <f>INDEX('Boundary table'!$B$3:$B$7,MATCH(G31,'Boundary table'!$A$3:$A$7,1))</f>
        <v>D</v>
      </c>
      <c r="J31" s="16">
        <v>70</v>
      </c>
      <c r="K31">
        <f>RANK(J31,$J$2:$J$1001,0)+COUNTIF($J$2:J31,J31)-1</f>
        <v>489</v>
      </c>
      <c r="L31" t="str">
        <f>INDEX('Boundary table'!$B$3:$B$7,MATCH(J31,'Boundary table'!$A$3:$A$7,1))</f>
        <v>C</v>
      </c>
      <c r="M31" s="16">
        <v>75</v>
      </c>
      <c r="N31">
        <f>RANK(M31,$M$2:$M$1001,0)+COUNTIF($M$2:M31,M31)-1</f>
        <v>331</v>
      </c>
      <c r="O31" t="str">
        <f>INDEX('Boundary table'!$B$3:$B$7,MATCH(M31,'Boundary table'!$A$3:$A$7))</f>
        <v>C</v>
      </c>
      <c r="P31">
        <f>Table1[[#This Row],[Math Score]]+Table1[[#This Row],[Reading Score]]+Table1[[#This Row],[Writing Score]]</f>
        <v>207</v>
      </c>
      <c r="Q31" s="16">
        <f>COUNTIF(Table1[[#This Row],[Math Score]],"&lt;60")+COUNTIF(Table1[[#This Row],[Reading Score]],"&lt;60")+COUNTIF(Table1[[#This Row],[Writing Score]],"&lt;60")</f>
        <v>0</v>
      </c>
      <c r="R31" t="str">
        <f>IF(Table1[[#This Row],[Fail Count]]&gt;=2,"At risk","OK")</f>
        <v>OK</v>
      </c>
    </row>
    <row r="32" spans="1:18">
      <c r="A32" t="str">
        <f t="shared" si="0"/>
        <v>Stu-031</v>
      </c>
      <c r="B32" t="s">
        <v>11</v>
      </c>
      <c r="C32" t="s">
        <v>31</v>
      </c>
      <c r="D32" t="s">
        <v>20</v>
      </c>
      <c r="E32" t="s">
        <v>14</v>
      </c>
      <c r="F32" t="s">
        <v>15</v>
      </c>
      <c r="G32" s="16">
        <v>69</v>
      </c>
      <c r="H32">
        <f>RANK(G32,$G$2:$G$1001,0)+COUNTIF($G$2:G32,G32)-1</f>
        <v>414</v>
      </c>
      <c r="I32" t="str">
        <f>INDEX('Boundary table'!$B$3:$B$7,MATCH(G32,'Boundary table'!$A$3:$A$7,1))</f>
        <v>D</v>
      </c>
      <c r="J32" s="16">
        <v>74</v>
      </c>
      <c r="K32">
        <f>RANK(J32,$J$2:$J$1001,0)+COUNTIF($J$2:J32,J32)-1</f>
        <v>372</v>
      </c>
      <c r="L32" t="str">
        <f>INDEX('Boundary table'!$B$3:$B$7,MATCH(J32,'Boundary table'!$A$3:$A$7,1))</f>
        <v>C</v>
      </c>
      <c r="M32" s="16">
        <v>74</v>
      </c>
      <c r="N32">
        <f>RANK(M32,$M$2:$M$1001,0)+COUNTIF($M$2:M32,M32)-1</f>
        <v>352</v>
      </c>
      <c r="O32" t="str">
        <f>INDEX('Boundary table'!$B$3:$B$7,MATCH(M32,'Boundary table'!$A$3:$A$7))</f>
        <v>C</v>
      </c>
      <c r="P32">
        <f>Table1[[#This Row],[Math Score]]+Table1[[#This Row],[Reading Score]]+Table1[[#This Row],[Writing Score]]</f>
        <v>217</v>
      </c>
      <c r="Q32" s="16">
        <f>COUNTIF(Table1[[#This Row],[Math Score]],"&lt;60")+COUNTIF(Table1[[#This Row],[Reading Score]],"&lt;60")+COUNTIF(Table1[[#This Row],[Writing Score]],"&lt;60")</f>
        <v>0</v>
      </c>
      <c r="R32" t="str">
        <f>IF(Table1[[#This Row],[Fail Count]]&gt;=2,"At risk","OK")</f>
        <v>OK</v>
      </c>
    </row>
    <row r="33" spans="1:18">
      <c r="A33" t="str">
        <f t="shared" si="0"/>
        <v>Stu-032</v>
      </c>
      <c r="B33" t="s">
        <v>11</v>
      </c>
      <c r="C33" t="s">
        <v>12</v>
      </c>
      <c r="D33" t="s">
        <v>20</v>
      </c>
      <c r="E33" t="s">
        <v>14</v>
      </c>
      <c r="F33" t="s">
        <v>15</v>
      </c>
      <c r="G33" s="16">
        <v>63</v>
      </c>
      <c r="H33">
        <f>RANK(G33,$G$2:$G$1001,0)+COUNTIF($G$2:G33,G33)-1</f>
        <v>574</v>
      </c>
      <c r="I33" t="str">
        <f>INDEX('Boundary table'!$B$3:$B$7,MATCH(G33,'Boundary table'!$A$3:$A$7,1))</f>
        <v>D</v>
      </c>
      <c r="J33" s="16">
        <v>65</v>
      </c>
      <c r="K33">
        <f>RANK(J33,$J$2:$J$1001,0)+COUNTIF($J$2:J33,J33)-1</f>
        <v>609</v>
      </c>
      <c r="L33" t="str">
        <f>INDEX('Boundary table'!$B$3:$B$7,MATCH(J33,'Boundary table'!$A$3:$A$7,1))</f>
        <v>D</v>
      </c>
      <c r="M33" s="16">
        <v>61</v>
      </c>
      <c r="N33">
        <f>RANK(M33,$M$2:$M$1001,0)+COUNTIF($M$2:M33,M33)-1</f>
        <v>680</v>
      </c>
      <c r="O33" t="str">
        <f>INDEX('Boundary table'!$B$3:$B$7,MATCH(M33,'Boundary table'!$A$3:$A$7))</f>
        <v>D</v>
      </c>
      <c r="P33">
        <f>Table1[[#This Row],[Math Score]]+Table1[[#This Row],[Reading Score]]+Table1[[#This Row],[Writing Score]]</f>
        <v>189</v>
      </c>
      <c r="Q33" s="16">
        <f>COUNTIF(Table1[[#This Row],[Math Score]],"&lt;60")+COUNTIF(Table1[[#This Row],[Reading Score]],"&lt;60")+COUNTIF(Table1[[#This Row],[Writing Score]],"&lt;60")</f>
        <v>0</v>
      </c>
      <c r="R33" t="str">
        <f>IF(Table1[[#This Row],[Fail Count]]&gt;=2,"At risk","OK")</f>
        <v>OK</v>
      </c>
    </row>
    <row r="34" spans="1:18">
      <c r="A34" t="str">
        <f t="shared" si="0"/>
        <v>Stu-033</v>
      </c>
      <c r="B34" t="s">
        <v>11</v>
      </c>
      <c r="C34" t="s">
        <v>34</v>
      </c>
      <c r="D34" t="s">
        <v>26</v>
      </c>
      <c r="E34" t="s">
        <v>30</v>
      </c>
      <c r="F34" t="s">
        <v>15</v>
      </c>
      <c r="G34" s="16">
        <v>56</v>
      </c>
      <c r="H34">
        <f>RANK(G34,$G$2:$G$1001,0)+COUNTIF($G$2:G34,G34)-1</f>
        <v>753</v>
      </c>
      <c r="I34" t="str">
        <f>INDEX('Boundary table'!$B$3:$B$7,MATCH(G34,'Boundary table'!$A$3:$A$7,1))</f>
        <v>F</v>
      </c>
      <c r="J34" s="16">
        <v>72</v>
      </c>
      <c r="K34">
        <f>RANK(J34,$J$2:$J$1001,0)+COUNTIF($J$2:J34,J34)-1</f>
        <v>436</v>
      </c>
      <c r="L34" t="str">
        <f>INDEX('Boundary table'!$B$3:$B$7,MATCH(J34,'Boundary table'!$A$3:$A$7,1))</f>
        <v>C</v>
      </c>
      <c r="M34" s="16">
        <v>65</v>
      </c>
      <c r="N34">
        <f>RANK(M34,$M$2:$M$1001,0)+COUNTIF($M$2:M34,M34)-1</f>
        <v>594</v>
      </c>
      <c r="O34" t="str">
        <f>INDEX('Boundary table'!$B$3:$B$7,MATCH(M34,'Boundary table'!$A$3:$A$7))</f>
        <v>D</v>
      </c>
      <c r="P34">
        <f>Table1[[#This Row],[Math Score]]+Table1[[#This Row],[Reading Score]]+Table1[[#This Row],[Writing Score]]</f>
        <v>193</v>
      </c>
      <c r="Q34" s="16">
        <f>COUNTIF(Table1[[#This Row],[Math Score]],"&lt;60")+COUNTIF(Table1[[#This Row],[Reading Score]],"&lt;60")+COUNTIF(Table1[[#This Row],[Writing Score]],"&lt;60")</f>
        <v>1</v>
      </c>
      <c r="R34" t="str">
        <f>IF(Table1[[#This Row],[Fail Count]]&gt;=2,"At risk","OK")</f>
        <v>OK</v>
      </c>
    </row>
    <row r="35" spans="1:18">
      <c r="A35" t="str">
        <f t="shared" si="0"/>
        <v>Stu-034</v>
      </c>
      <c r="B35" t="s">
        <v>27</v>
      </c>
      <c r="C35" t="s">
        <v>31</v>
      </c>
      <c r="D35" t="s">
        <v>20</v>
      </c>
      <c r="E35" t="s">
        <v>14</v>
      </c>
      <c r="F35" t="s">
        <v>15</v>
      </c>
      <c r="G35" s="16">
        <v>40</v>
      </c>
      <c r="H35">
        <f>RANK(G35,$G$2:$G$1001,0)+COUNTIF($G$2:G35,G35)-1</f>
        <v>953</v>
      </c>
      <c r="I35" t="str">
        <f>INDEX('Boundary table'!$B$3:$B$7,MATCH(G35,'Boundary table'!$A$3:$A$7,1))</f>
        <v>F</v>
      </c>
      <c r="J35" s="16">
        <v>42</v>
      </c>
      <c r="K35">
        <f>RANK(J35,$J$2:$J$1001,0)+COUNTIF($J$2:J35,J35)-1</f>
        <v>962</v>
      </c>
      <c r="L35" t="str">
        <f>INDEX('Boundary table'!$B$3:$B$7,MATCH(J35,'Boundary table'!$A$3:$A$7,1))</f>
        <v>F</v>
      </c>
      <c r="M35" s="16">
        <v>38</v>
      </c>
      <c r="N35">
        <f>RANK(M35,$M$2:$M$1001,0)+COUNTIF($M$2:M35,M35)-1</f>
        <v>971</v>
      </c>
      <c r="O35" t="str">
        <f>INDEX('Boundary table'!$B$3:$B$7,MATCH(M35,'Boundary table'!$A$3:$A$7))</f>
        <v>F</v>
      </c>
      <c r="P35">
        <f>Table1[[#This Row],[Math Score]]+Table1[[#This Row],[Reading Score]]+Table1[[#This Row],[Writing Score]]</f>
        <v>120</v>
      </c>
      <c r="Q35" s="16">
        <f>COUNTIF(Table1[[#This Row],[Math Score]],"&lt;60")+COUNTIF(Table1[[#This Row],[Reading Score]],"&lt;60")+COUNTIF(Table1[[#This Row],[Writing Score]],"&lt;60")</f>
        <v>3</v>
      </c>
      <c r="R35" t="str">
        <f>IF(Table1[[#This Row],[Fail Count]]&gt;=2,"At risk","OK")</f>
        <v>At risk</v>
      </c>
    </row>
    <row r="36" spans="1:18">
      <c r="A36" t="str">
        <f t="shared" si="0"/>
        <v>Stu-035</v>
      </c>
      <c r="B36" t="s">
        <v>27</v>
      </c>
      <c r="C36" t="s">
        <v>34</v>
      </c>
      <c r="D36" t="s">
        <v>20</v>
      </c>
      <c r="E36" t="s">
        <v>14</v>
      </c>
      <c r="F36" t="s">
        <v>15</v>
      </c>
      <c r="G36" s="16">
        <v>97</v>
      </c>
      <c r="H36">
        <f>RANK(G36,$G$2:$G$1001,0)+COUNTIF($G$2:G36,G36)-1</f>
        <v>14</v>
      </c>
      <c r="I36" t="str">
        <f>INDEX('Boundary table'!$B$3:$B$7,MATCH(G36,'Boundary table'!$A$3:$A$7,1))</f>
        <v>A</v>
      </c>
      <c r="J36" s="16">
        <v>87</v>
      </c>
      <c r="K36">
        <f>RANK(J36,$J$2:$J$1001,0)+COUNTIF($J$2:J36,J36)-1</f>
        <v>101</v>
      </c>
      <c r="L36" t="str">
        <f>INDEX('Boundary table'!$B$3:$B$7,MATCH(J36,'Boundary table'!$A$3:$A$7,1))</f>
        <v>B</v>
      </c>
      <c r="M36" s="16">
        <v>82</v>
      </c>
      <c r="N36">
        <f>RANK(M36,$M$2:$M$1001,0)+COUNTIF($M$2:M36,M36)-1</f>
        <v>165</v>
      </c>
      <c r="O36" t="str">
        <f>INDEX('Boundary table'!$B$3:$B$7,MATCH(M36,'Boundary table'!$A$3:$A$7))</f>
        <v>B</v>
      </c>
      <c r="P36">
        <f>Table1[[#This Row],[Math Score]]+Table1[[#This Row],[Reading Score]]+Table1[[#This Row],[Writing Score]]</f>
        <v>266</v>
      </c>
      <c r="Q36" s="16">
        <f>COUNTIF(Table1[[#This Row],[Math Score]],"&lt;60")+COUNTIF(Table1[[#This Row],[Reading Score]],"&lt;60")+COUNTIF(Table1[[#This Row],[Writing Score]],"&lt;60")</f>
        <v>0</v>
      </c>
      <c r="R36" t="str">
        <f>IF(Table1[[#This Row],[Fail Count]]&gt;=2,"At risk","OK")</f>
        <v>OK</v>
      </c>
    </row>
    <row r="37" spans="1:18">
      <c r="A37" t="str">
        <f t="shared" si="0"/>
        <v>Stu-036</v>
      </c>
      <c r="B37" t="s">
        <v>27</v>
      </c>
      <c r="C37" t="s">
        <v>34</v>
      </c>
      <c r="D37" t="s">
        <v>29</v>
      </c>
      <c r="E37" t="s">
        <v>14</v>
      </c>
      <c r="F37" t="s">
        <v>21</v>
      </c>
      <c r="G37" s="16">
        <v>81</v>
      </c>
      <c r="H37">
        <f>RANK(G37,$G$2:$G$1001,0)+COUNTIF($G$2:G37,G37)-1</f>
        <v>155</v>
      </c>
      <c r="I37" t="str">
        <f>INDEX('Boundary table'!$B$3:$B$7,MATCH(G37,'Boundary table'!$A$3:$A$7,1))</f>
        <v>B</v>
      </c>
      <c r="J37" s="16">
        <v>81</v>
      </c>
      <c r="K37">
        <f>RANK(J37,$J$2:$J$1001,0)+COUNTIF($J$2:J37,J37)-1</f>
        <v>212</v>
      </c>
      <c r="L37" t="str">
        <f>INDEX('Boundary table'!$B$3:$B$7,MATCH(J37,'Boundary table'!$A$3:$A$7,1))</f>
        <v>B</v>
      </c>
      <c r="M37" s="16">
        <v>79</v>
      </c>
      <c r="N37">
        <f>RANK(M37,$M$2:$M$1001,0)+COUNTIF($M$2:M37,M37)-1</f>
        <v>236</v>
      </c>
      <c r="O37" t="str">
        <f>INDEX('Boundary table'!$B$3:$B$7,MATCH(M37,'Boundary table'!$A$3:$A$7))</f>
        <v>C</v>
      </c>
      <c r="P37">
        <f>Table1[[#This Row],[Math Score]]+Table1[[#This Row],[Reading Score]]+Table1[[#This Row],[Writing Score]]</f>
        <v>241</v>
      </c>
      <c r="Q37" s="16">
        <f>COUNTIF(Table1[[#This Row],[Math Score]],"&lt;60")+COUNTIF(Table1[[#This Row],[Reading Score]],"&lt;60")+COUNTIF(Table1[[#This Row],[Writing Score]],"&lt;60")</f>
        <v>0</v>
      </c>
      <c r="R37" t="str">
        <f>IF(Table1[[#This Row],[Fail Count]]&gt;=2,"At risk","OK")</f>
        <v>OK</v>
      </c>
    </row>
    <row r="38" spans="1:18">
      <c r="A38" t="str">
        <f t="shared" si="0"/>
        <v>Stu-037</v>
      </c>
      <c r="B38" t="s">
        <v>11</v>
      </c>
      <c r="C38" t="s">
        <v>31</v>
      </c>
      <c r="D38" t="s">
        <v>29</v>
      </c>
      <c r="E38" t="s">
        <v>14</v>
      </c>
      <c r="F38" t="s">
        <v>15</v>
      </c>
      <c r="G38" s="16">
        <v>74</v>
      </c>
      <c r="H38">
        <f>RANK(G38,$G$2:$G$1001,0)+COUNTIF($G$2:G38,G38)-1</f>
        <v>297</v>
      </c>
      <c r="I38" t="str">
        <f>INDEX('Boundary table'!$B$3:$B$7,MATCH(G38,'Boundary table'!$A$3:$A$7,1))</f>
        <v>C</v>
      </c>
      <c r="J38" s="16">
        <v>81</v>
      </c>
      <c r="K38">
        <f>RANK(J38,$J$2:$J$1001,0)+COUNTIF($J$2:J38,J38)-1</f>
        <v>213</v>
      </c>
      <c r="L38" t="str">
        <f>INDEX('Boundary table'!$B$3:$B$7,MATCH(J38,'Boundary table'!$A$3:$A$7,1))</f>
        <v>B</v>
      </c>
      <c r="M38" s="16">
        <v>83</v>
      </c>
      <c r="N38">
        <f>RANK(M38,$M$2:$M$1001,0)+COUNTIF($M$2:M38,M38)-1</f>
        <v>152</v>
      </c>
      <c r="O38" t="str">
        <f>INDEX('Boundary table'!$B$3:$B$7,MATCH(M38,'Boundary table'!$A$3:$A$7))</f>
        <v>B</v>
      </c>
      <c r="P38">
        <f>Table1[[#This Row],[Math Score]]+Table1[[#This Row],[Reading Score]]+Table1[[#This Row],[Writing Score]]</f>
        <v>238</v>
      </c>
      <c r="Q38" s="16">
        <f>COUNTIF(Table1[[#This Row],[Math Score]],"&lt;60")+COUNTIF(Table1[[#This Row],[Reading Score]],"&lt;60")+COUNTIF(Table1[[#This Row],[Writing Score]],"&lt;60")</f>
        <v>0</v>
      </c>
      <c r="R38" t="str">
        <f>IF(Table1[[#This Row],[Fail Count]]&gt;=2,"At risk","OK")</f>
        <v>OK</v>
      </c>
    </row>
    <row r="39" spans="1:18">
      <c r="A39" t="str">
        <f t="shared" si="0"/>
        <v>Stu-038</v>
      </c>
      <c r="B39" t="s">
        <v>11</v>
      </c>
      <c r="C39" t="s">
        <v>31</v>
      </c>
      <c r="D39" t="s">
        <v>33</v>
      </c>
      <c r="E39" t="s">
        <v>30</v>
      </c>
      <c r="F39" t="s">
        <v>15</v>
      </c>
      <c r="G39" s="16">
        <v>50</v>
      </c>
      <c r="H39">
        <f>RANK(G39,$G$2:$G$1001,0)+COUNTIF($G$2:G39,G39)-1</f>
        <v>852</v>
      </c>
      <c r="I39" t="str">
        <f>INDEX('Boundary table'!$B$3:$B$7,MATCH(G39,'Boundary table'!$A$3:$A$7,1))</f>
        <v>F</v>
      </c>
      <c r="J39" s="16">
        <v>64</v>
      </c>
      <c r="K39">
        <f>RANK(J39,$J$2:$J$1001,0)+COUNTIF($J$2:J39,J39)-1</f>
        <v>629</v>
      </c>
      <c r="L39" t="str">
        <f>INDEX('Boundary table'!$B$3:$B$7,MATCH(J39,'Boundary table'!$A$3:$A$7,1))</f>
        <v>D</v>
      </c>
      <c r="M39" s="16">
        <v>59</v>
      </c>
      <c r="N39">
        <f>RANK(M39,$M$2:$M$1001,0)+COUNTIF($M$2:M39,M39)-1</f>
        <v>720</v>
      </c>
      <c r="O39" t="str">
        <f>INDEX('Boundary table'!$B$3:$B$7,MATCH(M39,'Boundary table'!$A$3:$A$7))</f>
        <v>F</v>
      </c>
      <c r="P39">
        <f>Table1[[#This Row],[Math Score]]+Table1[[#This Row],[Reading Score]]+Table1[[#This Row],[Writing Score]]</f>
        <v>173</v>
      </c>
      <c r="Q39" s="16">
        <f>COUNTIF(Table1[[#This Row],[Math Score]],"&lt;60")+COUNTIF(Table1[[#This Row],[Reading Score]],"&lt;60")+COUNTIF(Table1[[#This Row],[Writing Score]],"&lt;60")</f>
        <v>2</v>
      </c>
      <c r="R39" t="str">
        <f>IF(Table1[[#This Row],[Fail Count]]&gt;=2,"At risk","OK")</f>
        <v>At risk</v>
      </c>
    </row>
    <row r="40" spans="1:18">
      <c r="A40" t="str">
        <f t="shared" si="0"/>
        <v>Stu-039</v>
      </c>
      <c r="B40" t="s">
        <v>11</v>
      </c>
      <c r="C40" t="s">
        <v>31</v>
      </c>
      <c r="D40" t="s">
        <v>29</v>
      </c>
      <c r="E40" t="s">
        <v>30</v>
      </c>
      <c r="F40" t="s">
        <v>21</v>
      </c>
      <c r="G40" s="16">
        <v>75</v>
      </c>
      <c r="H40">
        <f>RANK(G40,$G$2:$G$1001,0)+COUNTIF($G$2:G40,G40)-1</f>
        <v>275</v>
      </c>
      <c r="I40" t="str">
        <f>INDEX('Boundary table'!$B$3:$B$7,MATCH(G40,'Boundary table'!$A$3:$A$7,1))</f>
        <v>C</v>
      </c>
      <c r="J40" s="16">
        <v>90</v>
      </c>
      <c r="K40">
        <f>RANK(J40,$J$2:$J$1001,0)+COUNTIF($J$2:J40,J40)-1</f>
        <v>64</v>
      </c>
      <c r="L40" t="str">
        <f>INDEX('Boundary table'!$B$3:$B$7,MATCH(J40,'Boundary table'!$A$3:$A$7,1))</f>
        <v>A</v>
      </c>
      <c r="M40" s="16">
        <v>88</v>
      </c>
      <c r="N40">
        <f>RANK(M40,$M$2:$M$1001,0)+COUNTIF($M$2:M40,M40)-1</f>
        <v>89</v>
      </c>
      <c r="O40" t="str">
        <f>INDEX('Boundary table'!$B$3:$B$7,MATCH(M40,'Boundary table'!$A$3:$A$7))</f>
        <v>B</v>
      </c>
      <c r="P40">
        <f>Table1[[#This Row],[Math Score]]+Table1[[#This Row],[Reading Score]]+Table1[[#This Row],[Writing Score]]</f>
        <v>253</v>
      </c>
      <c r="Q40" s="16">
        <f>COUNTIF(Table1[[#This Row],[Math Score]],"&lt;60")+COUNTIF(Table1[[#This Row],[Reading Score]],"&lt;60")+COUNTIF(Table1[[#This Row],[Writing Score]],"&lt;60")</f>
        <v>0</v>
      </c>
      <c r="R40" t="str">
        <f>IF(Table1[[#This Row],[Fail Count]]&gt;=2,"At risk","OK")</f>
        <v>OK</v>
      </c>
    </row>
    <row r="41" spans="1:18">
      <c r="A41" t="str">
        <f t="shared" si="0"/>
        <v>Stu-040</v>
      </c>
      <c r="B41" t="s">
        <v>27</v>
      </c>
      <c r="C41" t="s">
        <v>12</v>
      </c>
      <c r="D41" t="s">
        <v>29</v>
      </c>
      <c r="E41" t="s">
        <v>30</v>
      </c>
      <c r="F41" t="s">
        <v>15</v>
      </c>
      <c r="G41" s="16">
        <v>57</v>
      </c>
      <c r="H41">
        <f>RANK(G41,$G$2:$G$1001,0)+COUNTIF($G$2:G41,G41)-1</f>
        <v>735</v>
      </c>
      <c r="I41" t="str">
        <f>INDEX('Boundary table'!$B$3:$B$7,MATCH(G41,'Boundary table'!$A$3:$A$7,1))</f>
        <v>F</v>
      </c>
      <c r="J41" s="16">
        <v>56</v>
      </c>
      <c r="K41">
        <f>RANK(J41,$J$2:$J$1001,0)+COUNTIF($J$2:J41,J41)-1</f>
        <v>809</v>
      </c>
      <c r="L41" t="str">
        <f>INDEX('Boundary table'!$B$3:$B$7,MATCH(J41,'Boundary table'!$A$3:$A$7,1))</f>
        <v>F</v>
      </c>
      <c r="M41" s="16">
        <v>57</v>
      </c>
      <c r="N41">
        <f>RANK(M41,$M$2:$M$1001,0)+COUNTIF($M$2:M41,M41)-1</f>
        <v>751</v>
      </c>
      <c r="O41" t="str">
        <f>INDEX('Boundary table'!$B$3:$B$7,MATCH(M41,'Boundary table'!$A$3:$A$7))</f>
        <v>F</v>
      </c>
      <c r="P41">
        <f>Table1[[#This Row],[Math Score]]+Table1[[#This Row],[Reading Score]]+Table1[[#This Row],[Writing Score]]</f>
        <v>170</v>
      </c>
      <c r="Q41" s="16">
        <f>COUNTIF(Table1[[#This Row],[Math Score]],"&lt;60")+COUNTIF(Table1[[#This Row],[Reading Score]],"&lt;60")+COUNTIF(Table1[[#This Row],[Writing Score]],"&lt;60")</f>
        <v>3</v>
      </c>
      <c r="R41" t="str">
        <f>IF(Table1[[#This Row],[Fail Count]]&gt;=2,"At risk","OK")</f>
        <v>At risk</v>
      </c>
    </row>
    <row r="42" spans="1:18">
      <c r="A42" t="str">
        <f t="shared" si="0"/>
        <v>Stu-041</v>
      </c>
      <c r="B42" t="s">
        <v>27</v>
      </c>
      <c r="C42" t="s">
        <v>19</v>
      </c>
      <c r="D42" t="s">
        <v>29</v>
      </c>
      <c r="E42" t="s">
        <v>30</v>
      </c>
      <c r="F42" t="s">
        <v>15</v>
      </c>
      <c r="G42" s="16">
        <v>55</v>
      </c>
      <c r="H42">
        <f>RANK(G42,$G$2:$G$1001,0)+COUNTIF($G$2:G42,G42)-1</f>
        <v>762</v>
      </c>
      <c r="I42" t="str">
        <f>INDEX('Boundary table'!$B$3:$B$7,MATCH(G42,'Boundary table'!$A$3:$A$7,1))</f>
        <v>F</v>
      </c>
      <c r="J42" s="16">
        <v>61</v>
      </c>
      <c r="K42">
        <f>RANK(J42,$J$2:$J$1001,0)+COUNTIF($J$2:J42,J42)-1</f>
        <v>702</v>
      </c>
      <c r="L42" t="str">
        <f>INDEX('Boundary table'!$B$3:$B$7,MATCH(J42,'Boundary table'!$A$3:$A$7,1))</f>
        <v>D</v>
      </c>
      <c r="M42" s="16">
        <v>54</v>
      </c>
      <c r="N42">
        <f>RANK(M42,$M$2:$M$1001,0)+COUNTIF($M$2:M42,M42)-1</f>
        <v>798</v>
      </c>
      <c r="O42" t="str">
        <f>INDEX('Boundary table'!$B$3:$B$7,MATCH(M42,'Boundary table'!$A$3:$A$7))</f>
        <v>F</v>
      </c>
      <c r="P42">
        <f>Table1[[#This Row],[Math Score]]+Table1[[#This Row],[Reading Score]]+Table1[[#This Row],[Writing Score]]</f>
        <v>170</v>
      </c>
      <c r="Q42" s="16">
        <f>COUNTIF(Table1[[#This Row],[Math Score]],"&lt;60")+COUNTIF(Table1[[#This Row],[Reading Score]],"&lt;60")+COUNTIF(Table1[[#This Row],[Writing Score]],"&lt;60")</f>
        <v>2</v>
      </c>
      <c r="R42" t="str">
        <f>IF(Table1[[#This Row],[Fail Count]]&gt;=2,"At risk","OK")</f>
        <v>At risk</v>
      </c>
    </row>
    <row r="43" spans="1:18">
      <c r="A43" t="str">
        <f t="shared" si="0"/>
        <v>Stu-042</v>
      </c>
      <c r="B43" t="s">
        <v>11</v>
      </c>
      <c r="C43" t="s">
        <v>19</v>
      </c>
      <c r="D43" t="s">
        <v>29</v>
      </c>
      <c r="E43" t="s">
        <v>14</v>
      </c>
      <c r="F43" t="s">
        <v>15</v>
      </c>
      <c r="G43" s="16">
        <v>58</v>
      </c>
      <c r="H43">
        <f>RANK(G43,$G$2:$G$1001,0)+COUNTIF($G$2:G43,G43)-1</f>
        <v>711</v>
      </c>
      <c r="I43" t="str">
        <f>INDEX('Boundary table'!$B$3:$B$7,MATCH(G43,'Boundary table'!$A$3:$A$7,1))</f>
        <v>F</v>
      </c>
      <c r="J43" s="16">
        <v>73</v>
      </c>
      <c r="K43">
        <f>RANK(J43,$J$2:$J$1001,0)+COUNTIF($J$2:J43,J43)-1</f>
        <v>405</v>
      </c>
      <c r="L43" t="str">
        <f>INDEX('Boundary table'!$B$3:$B$7,MATCH(J43,'Boundary table'!$A$3:$A$7,1))</f>
        <v>C</v>
      </c>
      <c r="M43" s="16">
        <v>68</v>
      </c>
      <c r="N43">
        <f>RANK(M43,$M$2:$M$1001,0)+COUNTIF($M$2:M43,M43)-1</f>
        <v>513</v>
      </c>
      <c r="O43" t="str">
        <f>INDEX('Boundary table'!$B$3:$B$7,MATCH(M43,'Boundary table'!$A$3:$A$7))</f>
        <v>D</v>
      </c>
      <c r="P43">
        <f>Table1[[#This Row],[Math Score]]+Table1[[#This Row],[Reading Score]]+Table1[[#This Row],[Writing Score]]</f>
        <v>199</v>
      </c>
      <c r="Q43" s="16">
        <f>COUNTIF(Table1[[#This Row],[Math Score]],"&lt;60")+COUNTIF(Table1[[#This Row],[Reading Score]],"&lt;60")+COUNTIF(Table1[[#This Row],[Writing Score]],"&lt;60")</f>
        <v>1</v>
      </c>
      <c r="R43" t="str">
        <f>IF(Table1[[#This Row],[Fail Count]]&gt;=2,"At risk","OK")</f>
        <v>OK</v>
      </c>
    </row>
    <row r="44" spans="1:18">
      <c r="A44" t="str">
        <f t="shared" si="0"/>
        <v>Stu-043</v>
      </c>
      <c r="B44" t="s">
        <v>11</v>
      </c>
      <c r="C44" t="s">
        <v>12</v>
      </c>
      <c r="D44" t="s">
        <v>29</v>
      </c>
      <c r="E44" t="s">
        <v>14</v>
      </c>
      <c r="F44" t="s">
        <v>15</v>
      </c>
      <c r="G44" s="16">
        <v>53</v>
      </c>
      <c r="H44">
        <f>RANK(G44,$G$2:$G$1001,0)+COUNTIF($G$2:G44,G44)-1</f>
        <v>798</v>
      </c>
      <c r="I44" t="str">
        <f>INDEX('Boundary table'!$B$3:$B$7,MATCH(G44,'Boundary table'!$A$3:$A$7,1))</f>
        <v>F</v>
      </c>
      <c r="J44" s="16">
        <v>58</v>
      </c>
      <c r="K44">
        <f>RANK(J44,$J$2:$J$1001,0)+COUNTIF($J$2:J44,J44)-1</f>
        <v>765</v>
      </c>
      <c r="L44" t="str">
        <f>INDEX('Boundary table'!$B$3:$B$7,MATCH(J44,'Boundary table'!$A$3:$A$7,1))</f>
        <v>F</v>
      </c>
      <c r="M44" s="16">
        <v>65</v>
      </c>
      <c r="N44">
        <f>RANK(M44,$M$2:$M$1001,0)+COUNTIF($M$2:M44,M44)-1</f>
        <v>595</v>
      </c>
      <c r="O44" t="str">
        <f>INDEX('Boundary table'!$B$3:$B$7,MATCH(M44,'Boundary table'!$A$3:$A$7))</f>
        <v>D</v>
      </c>
      <c r="P44">
        <f>Table1[[#This Row],[Math Score]]+Table1[[#This Row],[Reading Score]]+Table1[[#This Row],[Writing Score]]</f>
        <v>176</v>
      </c>
      <c r="Q44" s="16">
        <f>COUNTIF(Table1[[#This Row],[Math Score]],"&lt;60")+COUNTIF(Table1[[#This Row],[Reading Score]],"&lt;60")+COUNTIF(Table1[[#This Row],[Writing Score]],"&lt;60")</f>
        <v>2</v>
      </c>
      <c r="R44" t="str">
        <f>IF(Table1[[#This Row],[Fail Count]]&gt;=2,"At risk","OK")</f>
        <v>At risk</v>
      </c>
    </row>
    <row r="45" spans="1:18">
      <c r="A45" t="str">
        <f t="shared" si="0"/>
        <v>Stu-044</v>
      </c>
      <c r="B45" t="s">
        <v>27</v>
      </c>
      <c r="C45" t="s">
        <v>12</v>
      </c>
      <c r="D45" t="s">
        <v>20</v>
      </c>
      <c r="E45" t="s">
        <v>30</v>
      </c>
      <c r="F45" t="s">
        <v>21</v>
      </c>
      <c r="G45" s="16">
        <v>59</v>
      </c>
      <c r="H45">
        <f>RANK(G45,$G$2:$G$1001,0)+COUNTIF($G$2:G45,G45)-1</f>
        <v>678</v>
      </c>
      <c r="I45" t="str">
        <f>INDEX('Boundary table'!$B$3:$B$7,MATCH(G45,'Boundary table'!$A$3:$A$7,1))</f>
        <v>F</v>
      </c>
      <c r="J45" s="16">
        <v>65</v>
      </c>
      <c r="K45">
        <f>RANK(J45,$J$2:$J$1001,0)+COUNTIF($J$2:J45,J45)-1</f>
        <v>610</v>
      </c>
      <c r="L45" t="str">
        <f>INDEX('Boundary table'!$B$3:$B$7,MATCH(J45,'Boundary table'!$A$3:$A$7,1))</f>
        <v>D</v>
      </c>
      <c r="M45" s="16">
        <v>66</v>
      </c>
      <c r="N45">
        <f>RANK(M45,$M$2:$M$1001,0)+COUNTIF($M$2:M45,M45)-1</f>
        <v>569</v>
      </c>
      <c r="O45" t="str">
        <f>INDEX('Boundary table'!$B$3:$B$7,MATCH(M45,'Boundary table'!$A$3:$A$7))</f>
        <v>D</v>
      </c>
      <c r="P45">
        <f>Table1[[#This Row],[Math Score]]+Table1[[#This Row],[Reading Score]]+Table1[[#This Row],[Writing Score]]</f>
        <v>190</v>
      </c>
      <c r="Q45" s="16">
        <f>COUNTIF(Table1[[#This Row],[Math Score]],"&lt;60")+COUNTIF(Table1[[#This Row],[Reading Score]],"&lt;60")+COUNTIF(Table1[[#This Row],[Writing Score]],"&lt;60")</f>
        <v>1</v>
      </c>
      <c r="R45" t="str">
        <f>IF(Table1[[#This Row],[Fail Count]]&gt;=2,"At risk","OK")</f>
        <v>OK</v>
      </c>
    </row>
    <row r="46" spans="1:18">
      <c r="A46" t="str">
        <f t="shared" si="0"/>
        <v>Stu-045</v>
      </c>
      <c r="B46" t="s">
        <v>11</v>
      </c>
      <c r="C46" t="s">
        <v>34</v>
      </c>
      <c r="D46" t="s">
        <v>29</v>
      </c>
      <c r="E46" t="s">
        <v>30</v>
      </c>
      <c r="F46" t="s">
        <v>15</v>
      </c>
      <c r="G46" s="16">
        <v>50</v>
      </c>
      <c r="H46">
        <f>RANK(G46,$G$2:$G$1001,0)+COUNTIF($G$2:G46,G46)-1</f>
        <v>853</v>
      </c>
      <c r="I46" t="str">
        <f>INDEX('Boundary table'!$B$3:$B$7,MATCH(G46,'Boundary table'!$A$3:$A$7,1))</f>
        <v>F</v>
      </c>
      <c r="J46" s="16">
        <v>56</v>
      </c>
      <c r="K46">
        <f>RANK(J46,$J$2:$J$1001,0)+COUNTIF($J$2:J46,J46)-1</f>
        <v>810</v>
      </c>
      <c r="L46" t="str">
        <f>INDEX('Boundary table'!$B$3:$B$7,MATCH(J46,'Boundary table'!$A$3:$A$7,1))</f>
        <v>F</v>
      </c>
      <c r="M46" s="16">
        <v>54</v>
      </c>
      <c r="N46">
        <f>RANK(M46,$M$2:$M$1001,0)+COUNTIF($M$2:M46,M46)-1</f>
        <v>799</v>
      </c>
      <c r="O46" t="str">
        <f>INDEX('Boundary table'!$B$3:$B$7,MATCH(M46,'Boundary table'!$A$3:$A$7))</f>
        <v>F</v>
      </c>
      <c r="P46">
        <f>Table1[[#This Row],[Math Score]]+Table1[[#This Row],[Reading Score]]+Table1[[#This Row],[Writing Score]]</f>
        <v>160</v>
      </c>
      <c r="Q46" s="16">
        <f>COUNTIF(Table1[[#This Row],[Math Score]],"&lt;60")+COUNTIF(Table1[[#This Row],[Reading Score]],"&lt;60")+COUNTIF(Table1[[#This Row],[Writing Score]],"&lt;60")</f>
        <v>3</v>
      </c>
      <c r="R46" t="str">
        <f>IF(Table1[[#This Row],[Fail Count]]&gt;=2,"At risk","OK")</f>
        <v>At risk</v>
      </c>
    </row>
    <row r="47" spans="1:18">
      <c r="A47" t="str">
        <f t="shared" si="0"/>
        <v>Stu-046</v>
      </c>
      <c r="B47" t="s">
        <v>27</v>
      </c>
      <c r="C47" t="s">
        <v>12</v>
      </c>
      <c r="D47" t="s">
        <v>29</v>
      </c>
      <c r="E47" t="s">
        <v>14</v>
      </c>
      <c r="F47" t="s">
        <v>15</v>
      </c>
      <c r="G47" s="16">
        <v>65</v>
      </c>
      <c r="H47">
        <f>RANK(G47,$G$2:$G$1001,0)+COUNTIF($G$2:G47,G47)-1</f>
        <v>520</v>
      </c>
      <c r="I47" t="str">
        <f>INDEX('Boundary table'!$B$3:$B$7,MATCH(G47,'Boundary table'!$A$3:$A$7,1))</f>
        <v>D</v>
      </c>
      <c r="J47" s="16">
        <v>54</v>
      </c>
      <c r="K47">
        <f>RANK(J47,$J$2:$J$1001,0)+COUNTIF($J$2:J47,J47)-1</f>
        <v>844</v>
      </c>
      <c r="L47" t="str">
        <f>INDEX('Boundary table'!$B$3:$B$7,MATCH(J47,'Boundary table'!$A$3:$A$7,1))</f>
        <v>F</v>
      </c>
      <c r="M47" s="16">
        <v>57</v>
      </c>
      <c r="N47">
        <f>RANK(M47,$M$2:$M$1001,0)+COUNTIF($M$2:M47,M47)-1</f>
        <v>752</v>
      </c>
      <c r="O47" t="str">
        <f>INDEX('Boundary table'!$B$3:$B$7,MATCH(M47,'Boundary table'!$A$3:$A$7))</f>
        <v>F</v>
      </c>
      <c r="P47">
        <f>Table1[[#This Row],[Math Score]]+Table1[[#This Row],[Reading Score]]+Table1[[#This Row],[Writing Score]]</f>
        <v>176</v>
      </c>
      <c r="Q47" s="16">
        <f>COUNTIF(Table1[[#This Row],[Math Score]],"&lt;60")+COUNTIF(Table1[[#This Row],[Reading Score]],"&lt;60")+COUNTIF(Table1[[#This Row],[Writing Score]],"&lt;60")</f>
        <v>2</v>
      </c>
      <c r="R47" t="str">
        <f>IF(Table1[[#This Row],[Fail Count]]&gt;=2,"At risk","OK")</f>
        <v>At risk</v>
      </c>
    </row>
    <row r="48" spans="1:18">
      <c r="A48" t="str">
        <f t="shared" si="0"/>
        <v>Stu-047</v>
      </c>
      <c r="B48" t="s">
        <v>11</v>
      </c>
      <c r="C48" t="s">
        <v>28</v>
      </c>
      <c r="D48" t="s">
        <v>29</v>
      </c>
      <c r="E48" t="s">
        <v>14</v>
      </c>
      <c r="F48" t="s">
        <v>21</v>
      </c>
      <c r="G48" s="16">
        <v>55</v>
      </c>
      <c r="H48">
        <f>RANK(G48,$G$2:$G$1001,0)+COUNTIF($G$2:G48,G48)-1</f>
        <v>763</v>
      </c>
      <c r="I48" t="str">
        <f>INDEX('Boundary table'!$B$3:$B$7,MATCH(G48,'Boundary table'!$A$3:$A$7,1))</f>
        <v>F</v>
      </c>
      <c r="J48" s="16">
        <v>65</v>
      </c>
      <c r="K48">
        <f>RANK(J48,$J$2:$J$1001,0)+COUNTIF($J$2:J48,J48)-1</f>
        <v>611</v>
      </c>
      <c r="L48" t="str">
        <f>INDEX('Boundary table'!$B$3:$B$7,MATCH(J48,'Boundary table'!$A$3:$A$7,1))</f>
        <v>D</v>
      </c>
      <c r="M48" s="16">
        <v>62</v>
      </c>
      <c r="N48">
        <f>RANK(M48,$M$2:$M$1001,0)+COUNTIF($M$2:M48,M48)-1</f>
        <v>652</v>
      </c>
      <c r="O48" t="str">
        <f>INDEX('Boundary table'!$B$3:$B$7,MATCH(M48,'Boundary table'!$A$3:$A$7))</f>
        <v>D</v>
      </c>
      <c r="P48">
        <f>Table1[[#This Row],[Math Score]]+Table1[[#This Row],[Reading Score]]+Table1[[#This Row],[Writing Score]]</f>
        <v>182</v>
      </c>
      <c r="Q48" s="16">
        <f>COUNTIF(Table1[[#This Row],[Math Score]],"&lt;60")+COUNTIF(Table1[[#This Row],[Reading Score]],"&lt;60")+COUNTIF(Table1[[#This Row],[Writing Score]],"&lt;60")</f>
        <v>1</v>
      </c>
      <c r="R48" t="str">
        <f>IF(Table1[[#This Row],[Fail Count]]&gt;=2,"At risk","OK")</f>
        <v>OK</v>
      </c>
    </row>
    <row r="49" spans="1:18">
      <c r="A49" t="str">
        <f t="shared" si="0"/>
        <v>Stu-048</v>
      </c>
      <c r="B49" t="s">
        <v>11</v>
      </c>
      <c r="C49" t="s">
        <v>19</v>
      </c>
      <c r="D49" t="s">
        <v>32</v>
      </c>
      <c r="E49" t="s">
        <v>14</v>
      </c>
      <c r="F49" t="s">
        <v>15</v>
      </c>
      <c r="G49" s="16">
        <v>66</v>
      </c>
      <c r="H49">
        <f>RANK(G49,$G$2:$G$1001,0)+COUNTIF($G$2:G49,G49)-1</f>
        <v>495</v>
      </c>
      <c r="I49" t="str">
        <f>INDEX('Boundary table'!$B$3:$B$7,MATCH(G49,'Boundary table'!$A$3:$A$7,1))</f>
        <v>D</v>
      </c>
      <c r="J49" s="16">
        <v>71</v>
      </c>
      <c r="K49">
        <f>RANK(J49,$J$2:$J$1001,0)+COUNTIF($J$2:J49,J49)-1</f>
        <v>469</v>
      </c>
      <c r="L49" t="str">
        <f>INDEX('Boundary table'!$B$3:$B$7,MATCH(J49,'Boundary table'!$A$3:$A$7,1))</f>
        <v>C</v>
      </c>
      <c r="M49" s="16">
        <v>76</v>
      </c>
      <c r="N49">
        <f>RANK(M49,$M$2:$M$1001,0)+COUNTIF($M$2:M49,M49)-1</f>
        <v>304</v>
      </c>
      <c r="O49" t="str">
        <f>INDEX('Boundary table'!$B$3:$B$7,MATCH(M49,'Boundary table'!$A$3:$A$7))</f>
        <v>C</v>
      </c>
      <c r="P49">
        <f>Table1[[#This Row],[Math Score]]+Table1[[#This Row],[Reading Score]]+Table1[[#This Row],[Writing Score]]</f>
        <v>213</v>
      </c>
      <c r="Q49" s="16">
        <f>COUNTIF(Table1[[#This Row],[Math Score]],"&lt;60")+COUNTIF(Table1[[#This Row],[Reading Score]],"&lt;60")+COUNTIF(Table1[[#This Row],[Writing Score]],"&lt;60")</f>
        <v>0</v>
      </c>
      <c r="R49" t="str">
        <f>IF(Table1[[#This Row],[Fail Count]]&gt;=2,"At risk","OK")</f>
        <v>OK</v>
      </c>
    </row>
    <row r="50" spans="1:18">
      <c r="A50" t="str">
        <f t="shared" si="0"/>
        <v>Stu-049</v>
      </c>
      <c r="B50" t="s">
        <v>11</v>
      </c>
      <c r="C50" t="s">
        <v>31</v>
      </c>
      <c r="D50" t="s">
        <v>29</v>
      </c>
      <c r="E50" t="s">
        <v>30</v>
      </c>
      <c r="F50" t="s">
        <v>21</v>
      </c>
      <c r="G50" s="16">
        <v>57</v>
      </c>
      <c r="H50">
        <f>RANK(G50,$G$2:$G$1001,0)+COUNTIF($G$2:G50,G50)-1</f>
        <v>736</v>
      </c>
      <c r="I50" t="str">
        <f>INDEX('Boundary table'!$B$3:$B$7,MATCH(G50,'Boundary table'!$A$3:$A$7,1))</f>
        <v>F</v>
      </c>
      <c r="J50" s="16">
        <v>74</v>
      </c>
      <c r="K50">
        <f>RANK(J50,$J$2:$J$1001,0)+COUNTIF($J$2:J50,J50)-1</f>
        <v>373</v>
      </c>
      <c r="L50" t="str">
        <f>INDEX('Boundary table'!$B$3:$B$7,MATCH(J50,'Boundary table'!$A$3:$A$7,1))</f>
        <v>C</v>
      </c>
      <c r="M50" s="16">
        <v>76</v>
      </c>
      <c r="N50">
        <f>RANK(M50,$M$2:$M$1001,0)+COUNTIF($M$2:M50,M50)-1</f>
        <v>305</v>
      </c>
      <c r="O50" t="str">
        <f>INDEX('Boundary table'!$B$3:$B$7,MATCH(M50,'Boundary table'!$A$3:$A$7))</f>
        <v>C</v>
      </c>
      <c r="P50">
        <f>Table1[[#This Row],[Math Score]]+Table1[[#This Row],[Reading Score]]+Table1[[#This Row],[Writing Score]]</f>
        <v>207</v>
      </c>
      <c r="Q50" s="16">
        <f>COUNTIF(Table1[[#This Row],[Math Score]],"&lt;60")+COUNTIF(Table1[[#This Row],[Reading Score]],"&lt;60")+COUNTIF(Table1[[#This Row],[Writing Score]],"&lt;60")</f>
        <v>1</v>
      </c>
      <c r="R50" t="str">
        <f>IF(Table1[[#This Row],[Fail Count]]&gt;=2,"At risk","OK")</f>
        <v>OK</v>
      </c>
    </row>
    <row r="51" spans="1:18">
      <c r="A51" t="str">
        <f t="shared" si="0"/>
        <v>Stu-050</v>
      </c>
      <c r="B51" t="s">
        <v>27</v>
      </c>
      <c r="C51" t="s">
        <v>19</v>
      </c>
      <c r="D51" t="s">
        <v>32</v>
      </c>
      <c r="E51" t="s">
        <v>14</v>
      </c>
      <c r="F51" t="s">
        <v>21</v>
      </c>
      <c r="G51" s="16">
        <v>82</v>
      </c>
      <c r="H51">
        <f>RANK(G51,$G$2:$G$1001,0)+COUNTIF($G$2:G51,G51)-1</f>
        <v>137</v>
      </c>
      <c r="I51" t="str">
        <f>INDEX('Boundary table'!$B$3:$B$7,MATCH(G51,'Boundary table'!$A$3:$A$7,1))</f>
        <v>B</v>
      </c>
      <c r="J51" s="16">
        <v>84</v>
      </c>
      <c r="K51">
        <f>RANK(J51,$J$2:$J$1001,0)+COUNTIF($J$2:J51,J51)-1</f>
        <v>151</v>
      </c>
      <c r="L51" t="str">
        <f>INDEX('Boundary table'!$B$3:$B$7,MATCH(J51,'Boundary table'!$A$3:$A$7,1))</f>
        <v>B</v>
      </c>
      <c r="M51" s="16">
        <v>82</v>
      </c>
      <c r="N51">
        <f>RANK(M51,$M$2:$M$1001,0)+COUNTIF($M$2:M51,M51)-1</f>
        <v>166</v>
      </c>
      <c r="O51" t="str">
        <f>INDEX('Boundary table'!$B$3:$B$7,MATCH(M51,'Boundary table'!$A$3:$A$7))</f>
        <v>B</v>
      </c>
      <c r="P51">
        <f>Table1[[#This Row],[Math Score]]+Table1[[#This Row],[Reading Score]]+Table1[[#This Row],[Writing Score]]</f>
        <v>248</v>
      </c>
      <c r="Q51" s="16">
        <f>COUNTIF(Table1[[#This Row],[Math Score]],"&lt;60")+COUNTIF(Table1[[#This Row],[Reading Score]],"&lt;60")+COUNTIF(Table1[[#This Row],[Writing Score]],"&lt;60")</f>
        <v>0</v>
      </c>
      <c r="R51" t="str">
        <f>IF(Table1[[#This Row],[Fail Count]]&gt;=2,"At risk","OK")</f>
        <v>OK</v>
      </c>
    </row>
    <row r="52" spans="1:18">
      <c r="A52" t="str">
        <f t="shared" si="0"/>
        <v>Stu-051</v>
      </c>
      <c r="B52" t="s">
        <v>27</v>
      </c>
      <c r="C52" t="s">
        <v>34</v>
      </c>
      <c r="D52" t="s">
        <v>20</v>
      </c>
      <c r="E52" t="s">
        <v>14</v>
      </c>
      <c r="F52" t="s">
        <v>15</v>
      </c>
      <c r="G52" s="16">
        <v>53</v>
      </c>
      <c r="H52">
        <f>RANK(G52,$G$2:$G$1001,0)+COUNTIF($G$2:G52,G52)-1</f>
        <v>799</v>
      </c>
      <c r="I52" t="str">
        <f>INDEX('Boundary table'!$B$3:$B$7,MATCH(G52,'Boundary table'!$A$3:$A$7,1))</f>
        <v>F</v>
      </c>
      <c r="J52" s="16">
        <v>55</v>
      </c>
      <c r="K52">
        <f>RANK(J52,$J$2:$J$1001,0)+COUNTIF($J$2:J52,J52)-1</f>
        <v>825</v>
      </c>
      <c r="L52" t="str">
        <f>INDEX('Boundary table'!$B$3:$B$7,MATCH(J52,'Boundary table'!$A$3:$A$7,1))</f>
        <v>F</v>
      </c>
      <c r="M52" s="16">
        <v>48</v>
      </c>
      <c r="N52">
        <f>RANK(M52,$M$2:$M$1001,0)+COUNTIF($M$2:M52,M52)-1</f>
        <v>896</v>
      </c>
      <c r="O52" t="str">
        <f>INDEX('Boundary table'!$B$3:$B$7,MATCH(M52,'Boundary table'!$A$3:$A$7))</f>
        <v>F</v>
      </c>
      <c r="P52">
        <f>Table1[[#This Row],[Math Score]]+Table1[[#This Row],[Reading Score]]+Table1[[#This Row],[Writing Score]]</f>
        <v>156</v>
      </c>
      <c r="Q52" s="16">
        <f>COUNTIF(Table1[[#This Row],[Math Score]],"&lt;60")+COUNTIF(Table1[[#This Row],[Reading Score]],"&lt;60")+COUNTIF(Table1[[#This Row],[Writing Score]],"&lt;60")</f>
        <v>3</v>
      </c>
      <c r="R52" t="str">
        <f>IF(Table1[[#This Row],[Fail Count]]&gt;=2,"At risk","OK")</f>
        <v>At risk</v>
      </c>
    </row>
    <row r="53" spans="1:18">
      <c r="A53" t="str">
        <f t="shared" si="0"/>
        <v>Stu-052</v>
      </c>
      <c r="B53" t="s">
        <v>27</v>
      </c>
      <c r="C53" t="s">
        <v>34</v>
      </c>
      <c r="D53" t="s">
        <v>29</v>
      </c>
      <c r="E53" t="s">
        <v>30</v>
      </c>
      <c r="F53" t="s">
        <v>21</v>
      </c>
      <c r="G53" s="16">
        <v>77</v>
      </c>
      <c r="H53">
        <f>RANK(G53,$G$2:$G$1001,0)+COUNTIF($G$2:G53,G53)-1</f>
        <v>230</v>
      </c>
      <c r="I53" t="str">
        <f>INDEX('Boundary table'!$B$3:$B$7,MATCH(G53,'Boundary table'!$A$3:$A$7,1))</f>
        <v>C</v>
      </c>
      <c r="J53" s="16">
        <v>69</v>
      </c>
      <c r="K53">
        <f>RANK(J53,$J$2:$J$1001,0)+COUNTIF($J$2:J53,J53)-1</f>
        <v>516</v>
      </c>
      <c r="L53" t="str">
        <f>INDEX('Boundary table'!$B$3:$B$7,MATCH(J53,'Boundary table'!$A$3:$A$7,1))</f>
        <v>D</v>
      </c>
      <c r="M53" s="16">
        <v>68</v>
      </c>
      <c r="N53">
        <f>RANK(M53,$M$2:$M$1001,0)+COUNTIF($M$2:M53,M53)-1</f>
        <v>514</v>
      </c>
      <c r="O53" t="str">
        <f>INDEX('Boundary table'!$B$3:$B$7,MATCH(M53,'Boundary table'!$A$3:$A$7))</f>
        <v>D</v>
      </c>
      <c r="P53">
        <f>Table1[[#This Row],[Math Score]]+Table1[[#This Row],[Reading Score]]+Table1[[#This Row],[Writing Score]]</f>
        <v>214</v>
      </c>
      <c r="Q53" s="16">
        <f>COUNTIF(Table1[[#This Row],[Math Score]],"&lt;60")+COUNTIF(Table1[[#This Row],[Reading Score]],"&lt;60")+COUNTIF(Table1[[#This Row],[Writing Score]],"&lt;60")</f>
        <v>0</v>
      </c>
      <c r="R53" t="str">
        <f>IF(Table1[[#This Row],[Fail Count]]&gt;=2,"At risk","OK")</f>
        <v>OK</v>
      </c>
    </row>
    <row r="54" spans="1:18">
      <c r="A54" t="str">
        <f t="shared" si="0"/>
        <v>Stu-053</v>
      </c>
      <c r="B54" t="s">
        <v>27</v>
      </c>
      <c r="C54" t="s">
        <v>19</v>
      </c>
      <c r="D54" t="s">
        <v>20</v>
      </c>
      <c r="E54" t="s">
        <v>14</v>
      </c>
      <c r="F54" t="s">
        <v>15</v>
      </c>
      <c r="G54" s="16">
        <v>53</v>
      </c>
      <c r="H54">
        <f>RANK(G54,$G$2:$G$1001,0)+COUNTIF($G$2:G54,G54)-1</f>
        <v>800</v>
      </c>
      <c r="I54" t="str">
        <f>INDEX('Boundary table'!$B$3:$B$7,MATCH(G54,'Boundary table'!$A$3:$A$7,1))</f>
        <v>F</v>
      </c>
      <c r="J54" s="16">
        <v>44</v>
      </c>
      <c r="K54">
        <f>RANK(J54,$J$2:$J$1001,0)+COUNTIF($J$2:J54,J54)-1</f>
        <v>948</v>
      </c>
      <c r="L54" t="str">
        <f>INDEX('Boundary table'!$B$3:$B$7,MATCH(J54,'Boundary table'!$A$3:$A$7,1))</f>
        <v>F</v>
      </c>
      <c r="M54" s="16">
        <v>42</v>
      </c>
      <c r="N54">
        <f>RANK(M54,$M$2:$M$1001,0)+COUNTIF($M$2:M54,M54)-1</f>
        <v>951</v>
      </c>
      <c r="O54" t="str">
        <f>INDEX('Boundary table'!$B$3:$B$7,MATCH(M54,'Boundary table'!$A$3:$A$7))</f>
        <v>F</v>
      </c>
      <c r="P54">
        <f>Table1[[#This Row],[Math Score]]+Table1[[#This Row],[Reading Score]]+Table1[[#This Row],[Writing Score]]</f>
        <v>139</v>
      </c>
      <c r="Q54" s="16">
        <f>COUNTIF(Table1[[#This Row],[Math Score]],"&lt;60")+COUNTIF(Table1[[#This Row],[Reading Score]],"&lt;60")+COUNTIF(Table1[[#This Row],[Writing Score]],"&lt;60")</f>
        <v>3</v>
      </c>
      <c r="R54" t="str">
        <f>IF(Table1[[#This Row],[Fail Count]]&gt;=2,"At risk","OK")</f>
        <v>At risk</v>
      </c>
    </row>
    <row r="55" spans="1:18">
      <c r="A55" t="str">
        <f t="shared" si="0"/>
        <v>Stu-054</v>
      </c>
      <c r="B55" t="s">
        <v>27</v>
      </c>
      <c r="C55" t="s">
        <v>31</v>
      </c>
      <c r="D55" t="s">
        <v>32</v>
      </c>
      <c r="E55" t="s">
        <v>14</v>
      </c>
      <c r="F55" t="s">
        <v>15</v>
      </c>
      <c r="G55" s="16">
        <v>88</v>
      </c>
      <c r="H55">
        <f>RANK(G55,$G$2:$G$1001,0)+COUNTIF($G$2:G55,G55)-1</f>
        <v>67</v>
      </c>
      <c r="I55" t="str">
        <f>INDEX('Boundary table'!$B$3:$B$7,MATCH(G55,'Boundary table'!$A$3:$A$7,1))</f>
        <v>B</v>
      </c>
      <c r="J55" s="16">
        <v>78</v>
      </c>
      <c r="K55">
        <f>RANK(J55,$J$2:$J$1001,0)+COUNTIF($J$2:J55,J55)-1</f>
        <v>270</v>
      </c>
      <c r="L55" t="str">
        <f>INDEX('Boundary table'!$B$3:$B$7,MATCH(J55,'Boundary table'!$A$3:$A$7,1))</f>
        <v>C</v>
      </c>
      <c r="M55" s="16">
        <v>75</v>
      </c>
      <c r="N55">
        <f>RANK(M55,$M$2:$M$1001,0)+COUNTIF($M$2:M55,M55)-1</f>
        <v>332</v>
      </c>
      <c r="O55" t="str">
        <f>INDEX('Boundary table'!$B$3:$B$7,MATCH(M55,'Boundary table'!$A$3:$A$7))</f>
        <v>C</v>
      </c>
      <c r="P55">
        <f>Table1[[#This Row],[Math Score]]+Table1[[#This Row],[Reading Score]]+Table1[[#This Row],[Writing Score]]</f>
        <v>241</v>
      </c>
      <c r="Q55" s="16">
        <f>COUNTIF(Table1[[#This Row],[Math Score]],"&lt;60")+COUNTIF(Table1[[#This Row],[Reading Score]],"&lt;60")+COUNTIF(Table1[[#This Row],[Writing Score]],"&lt;60")</f>
        <v>0</v>
      </c>
      <c r="R55" t="str">
        <f>IF(Table1[[#This Row],[Fail Count]]&gt;=2,"At risk","OK")</f>
        <v>OK</v>
      </c>
    </row>
    <row r="56" spans="1:18">
      <c r="A56" t="str">
        <f t="shared" si="0"/>
        <v>Stu-055</v>
      </c>
      <c r="B56" t="s">
        <v>11</v>
      </c>
      <c r="C56" t="s">
        <v>19</v>
      </c>
      <c r="D56" t="s">
        <v>33</v>
      </c>
      <c r="E56" t="s">
        <v>30</v>
      </c>
      <c r="F56" t="s">
        <v>21</v>
      </c>
      <c r="G56" s="16">
        <v>71</v>
      </c>
      <c r="H56">
        <f>RANK(G56,$G$2:$G$1001,0)+COUNTIF($G$2:G56,G56)-1</f>
        <v>367</v>
      </c>
      <c r="I56" t="str">
        <f>INDEX('Boundary table'!$B$3:$B$7,MATCH(G56,'Boundary table'!$A$3:$A$7,1))</f>
        <v>C</v>
      </c>
      <c r="J56" s="16">
        <v>84</v>
      </c>
      <c r="K56">
        <f>RANK(J56,$J$2:$J$1001,0)+COUNTIF($J$2:J56,J56)-1</f>
        <v>152</v>
      </c>
      <c r="L56" t="str">
        <f>INDEX('Boundary table'!$B$3:$B$7,MATCH(J56,'Boundary table'!$A$3:$A$7,1))</f>
        <v>B</v>
      </c>
      <c r="M56" s="16">
        <v>87</v>
      </c>
      <c r="N56">
        <f>RANK(M56,$M$2:$M$1001,0)+COUNTIF($M$2:M56,M56)-1</f>
        <v>99</v>
      </c>
      <c r="O56" t="str">
        <f>INDEX('Boundary table'!$B$3:$B$7,MATCH(M56,'Boundary table'!$A$3:$A$7))</f>
        <v>B</v>
      </c>
      <c r="P56">
        <f>Table1[[#This Row],[Math Score]]+Table1[[#This Row],[Reading Score]]+Table1[[#This Row],[Writing Score]]</f>
        <v>242</v>
      </c>
      <c r="Q56" s="16">
        <f>COUNTIF(Table1[[#This Row],[Math Score]],"&lt;60")+COUNTIF(Table1[[#This Row],[Reading Score]],"&lt;60")+COUNTIF(Table1[[#This Row],[Writing Score]],"&lt;60")</f>
        <v>0</v>
      </c>
      <c r="R56" t="str">
        <f>IF(Table1[[#This Row],[Fail Count]]&gt;=2,"At risk","OK")</f>
        <v>OK</v>
      </c>
    </row>
    <row r="57" spans="1:18">
      <c r="A57" t="str">
        <f t="shared" si="0"/>
        <v>Stu-056</v>
      </c>
      <c r="B57" t="s">
        <v>11</v>
      </c>
      <c r="C57" t="s">
        <v>19</v>
      </c>
      <c r="D57" t="s">
        <v>32</v>
      </c>
      <c r="E57" t="s">
        <v>30</v>
      </c>
      <c r="F57" t="s">
        <v>15</v>
      </c>
      <c r="G57" s="16">
        <v>33</v>
      </c>
      <c r="H57">
        <f>RANK(G57,$G$2:$G$1001,0)+COUNTIF($G$2:G57,G57)-1</f>
        <v>981</v>
      </c>
      <c r="I57" t="str">
        <f>INDEX('Boundary table'!$B$3:$B$7,MATCH(G57,'Boundary table'!$A$3:$A$7,1))</f>
        <v>F</v>
      </c>
      <c r="J57" s="16">
        <v>41</v>
      </c>
      <c r="K57">
        <f>RANK(J57,$J$2:$J$1001,0)+COUNTIF($J$2:J57,J57)-1</f>
        <v>968</v>
      </c>
      <c r="L57" t="str">
        <f>INDEX('Boundary table'!$B$3:$B$7,MATCH(J57,'Boundary table'!$A$3:$A$7,1))</f>
        <v>F</v>
      </c>
      <c r="M57" s="16">
        <v>43</v>
      </c>
      <c r="N57">
        <f>RANK(M57,$M$2:$M$1001,0)+COUNTIF($M$2:M57,M57)-1</f>
        <v>940</v>
      </c>
      <c r="O57" t="str">
        <f>INDEX('Boundary table'!$B$3:$B$7,MATCH(M57,'Boundary table'!$A$3:$A$7))</f>
        <v>F</v>
      </c>
      <c r="P57">
        <f>Table1[[#This Row],[Math Score]]+Table1[[#This Row],[Reading Score]]+Table1[[#This Row],[Writing Score]]</f>
        <v>117</v>
      </c>
      <c r="Q57" s="16">
        <f>COUNTIF(Table1[[#This Row],[Math Score]],"&lt;60")+COUNTIF(Table1[[#This Row],[Reading Score]],"&lt;60")+COUNTIF(Table1[[#This Row],[Writing Score]],"&lt;60")</f>
        <v>3</v>
      </c>
      <c r="R57" t="str">
        <f>IF(Table1[[#This Row],[Fail Count]]&gt;=2,"At risk","OK")</f>
        <v>At risk</v>
      </c>
    </row>
    <row r="58" spans="1:18">
      <c r="A58" t="str">
        <f t="shared" si="0"/>
        <v>Stu-057</v>
      </c>
      <c r="B58" t="s">
        <v>11</v>
      </c>
      <c r="C58" t="s">
        <v>34</v>
      </c>
      <c r="D58" t="s">
        <v>29</v>
      </c>
      <c r="E58" t="s">
        <v>14</v>
      </c>
      <c r="F58" t="s">
        <v>21</v>
      </c>
      <c r="G58" s="16">
        <v>82</v>
      </c>
      <c r="H58">
        <f>RANK(G58,$G$2:$G$1001,0)+COUNTIF($G$2:G58,G58)-1</f>
        <v>138</v>
      </c>
      <c r="I58" t="str">
        <f>INDEX('Boundary table'!$B$3:$B$7,MATCH(G58,'Boundary table'!$A$3:$A$7,1))</f>
        <v>B</v>
      </c>
      <c r="J58" s="16">
        <v>85</v>
      </c>
      <c r="K58">
        <f>RANK(J58,$J$2:$J$1001,0)+COUNTIF($J$2:J58,J58)-1</f>
        <v>133</v>
      </c>
      <c r="L58" t="str">
        <f>INDEX('Boundary table'!$B$3:$B$7,MATCH(J58,'Boundary table'!$A$3:$A$7,1))</f>
        <v>B</v>
      </c>
      <c r="M58" s="16">
        <v>86</v>
      </c>
      <c r="N58">
        <f>RANK(M58,$M$2:$M$1001,0)+COUNTIF($M$2:M58,M58)-1</f>
        <v>111</v>
      </c>
      <c r="O58" t="str">
        <f>INDEX('Boundary table'!$B$3:$B$7,MATCH(M58,'Boundary table'!$A$3:$A$7))</f>
        <v>B</v>
      </c>
      <c r="P58">
        <f>Table1[[#This Row],[Math Score]]+Table1[[#This Row],[Reading Score]]+Table1[[#This Row],[Writing Score]]</f>
        <v>253</v>
      </c>
      <c r="Q58" s="16">
        <f>COUNTIF(Table1[[#This Row],[Math Score]],"&lt;60")+COUNTIF(Table1[[#This Row],[Reading Score]],"&lt;60")+COUNTIF(Table1[[#This Row],[Writing Score]],"&lt;60")</f>
        <v>0</v>
      </c>
      <c r="R58" t="str">
        <f>IF(Table1[[#This Row],[Fail Count]]&gt;=2,"At risk","OK")</f>
        <v>OK</v>
      </c>
    </row>
    <row r="59" spans="1:18">
      <c r="A59" t="str">
        <f t="shared" si="0"/>
        <v>Stu-058</v>
      </c>
      <c r="B59" t="s">
        <v>27</v>
      </c>
      <c r="C59" t="s">
        <v>31</v>
      </c>
      <c r="D59" t="s">
        <v>29</v>
      </c>
      <c r="E59" t="s">
        <v>14</v>
      </c>
      <c r="F59" t="s">
        <v>15</v>
      </c>
      <c r="G59" s="16">
        <v>52</v>
      </c>
      <c r="H59">
        <f>RANK(G59,$G$2:$G$1001,0)+COUNTIF($G$2:G59,G59)-1</f>
        <v>822</v>
      </c>
      <c r="I59" t="str">
        <f>INDEX('Boundary table'!$B$3:$B$7,MATCH(G59,'Boundary table'!$A$3:$A$7,1))</f>
        <v>F</v>
      </c>
      <c r="J59" s="16">
        <v>55</v>
      </c>
      <c r="K59">
        <f>RANK(J59,$J$2:$J$1001,0)+COUNTIF($J$2:J59,J59)-1</f>
        <v>826</v>
      </c>
      <c r="L59" t="str">
        <f>INDEX('Boundary table'!$B$3:$B$7,MATCH(J59,'Boundary table'!$A$3:$A$7,1))</f>
        <v>F</v>
      </c>
      <c r="M59" s="16">
        <v>49</v>
      </c>
      <c r="N59">
        <f>RANK(M59,$M$2:$M$1001,0)+COUNTIF($M$2:M59,M59)-1</f>
        <v>887</v>
      </c>
      <c r="O59" t="str">
        <f>INDEX('Boundary table'!$B$3:$B$7,MATCH(M59,'Boundary table'!$A$3:$A$7))</f>
        <v>F</v>
      </c>
      <c r="P59">
        <f>Table1[[#This Row],[Math Score]]+Table1[[#This Row],[Reading Score]]+Table1[[#This Row],[Writing Score]]</f>
        <v>156</v>
      </c>
      <c r="Q59" s="16">
        <f>COUNTIF(Table1[[#This Row],[Math Score]],"&lt;60")+COUNTIF(Table1[[#This Row],[Reading Score]],"&lt;60")+COUNTIF(Table1[[#This Row],[Writing Score]],"&lt;60")</f>
        <v>3</v>
      </c>
      <c r="R59" t="str">
        <f>IF(Table1[[#This Row],[Fail Count]]&gt;=2,"At risk","OK")</f>
        <v>At risk</v>
      </c>
    </row>
    <row r="60" spans="1:18">
      <c r="A60" t="str">
        <f t="shared" si="0"/>
        <v>Stu-059</v>
      </c>
      <c r="B60" t="s">
        <v>27</v>
      </c>
      <c r="C60" t="s">
        <v>31</v>
      </c>
      <c r="D60" t="s">
        <v>20</v>
      </c>
      <c r="E60" t="s">
        <v>14</v>
      </c>
      <c r="F60" t="s">
        <v>21</v>
      </c>
      <c r="G60" s="16">
        <v>58</v>
      </c>
      <c r="H60">
        <f>RANK(G60,$G$2:$G$1001,0)+COUNTIF($G$2:G60,G60)-1</f>
        <v>712</v>
      </c>
      <c r="I60" t="str">
        <f>INDEX('Boundary table'!$B$3:$B$7,MATCH(G60,'Boundary table'!$A$3:$A$7,1))</f>
        <v>F</v>
      </c>
      <c r="J60" s="16">
        <v>59</v>
      </c>
      <c r="K60">
        <f>RANK(J60,$J$2:$J$1001,0)+COUNTIF($J$2:J60,J60)-1</f>
        <v>747</v>
      </c>
      <c r="L60" t="str">
        <f>INDEX('Boundary table'!$B$3:$B$7,MATCH(J60,'Boundary table'!$A$3:$A$7,1))</f>
        <v>F</v>
      </c>
      <c r="M60" s="16">
        <v>58</v>
      </c>
      <c r="N60">
        <f>RANK(M60,$M$2:$M$1001,0)+COUNTIF($M$2:M60,M60)-1</f>
        <v>734</v>
      </c>
      <c r="O60" t="str">
        <f>INDEX('Boundary table'!$B$3:$B$7,MATCH(M60,'Boundary table'!$A$3:$A$7))</f>
        <v>F</v>
      </c>
      <c r="P60">
        <f>Table1[[#This Row],[Math Score]]+Table1[[#This Row],[Reading Score]]+Table1[[#This Row],[Writing Score]]</f>
        <v>175</v>
      </c>
      <c r="Q60" s="16">
        <f>COUNTIF(Table1[[#This Row],[Math Score]],"&lt;60")+COUNTIF(Table1[[#This Row],[Reading Score]],"&lt;60")+COUNTIF(Table1[[#This Row],[Writing Score]],"&lt;60")</f>
        <v>3</v>
      </c>
      <c r="R60" t="str">
        <f>IF(Table1[[#This Row],[Fail Count]]&gt;=2,"At risk","OK")</f>
        <v>At risk</v>
      </c>
    </row>
    <row r="61" spans="1:18">
      <c r="A61" t="str">
        <f t="shared" si="0"/>
        <v>Stu-060</v>
      </c>
      <c r="B61" t="s">
        <v>11</v>
      </c>
      <c r="C61" t="s">
        <v>19</v>
      </c>
      <c r="D61" t="s">
        <v>33</v>
      </c>
      <c r="E61" t="s">
        <v>30</v>
      </c>
      <c r="F61" t="s">
        <v>15</v>
      </c>
      <c r="G61" s="16">
        <v>0</v>
      </c>
      <c r="H61">
        <f>RANK(G61,$G$2:$G$1001,0)+COUNTIF($G$2:G61,G61)-1</f>
        <v>1000</v>
      </c>
      <c r="I61" t="str">
        <f>INDEX('Boundary table'!$B$3:$B$7,MATCH(G61,'Boundary table'!$A$3:$A$7,1))</f>
        <v>F</v>
      </c>
      <c r="J61" s="16">
        <v>17</v>
      </c>
      <c r="K61">
        <f>RANK(J61,$J$2:$J$1001,0)+COUNTIF($J$2:J61,J61)-1</f>
        <v>1000</v>
      </c>
      <c r="L61" t="str">
        <f>INDEX('Boundary table'!$B$3:$B$7,MATCH(J61,'Boundary table'!$A$3:$A$7,1))</f>
        <v>F</v>
      </c>
      <c r="M61" s="16">
        <v>10</v>
      </c>
      <c r="N61">
        <f>RANK(M61,$M$2:$M$1001,0)+COUNTIF($M$2:M61,M61)-1</f>
        <v>1000</v>
      </c>
      <c r="O61" t="str">
        <f>INDEX('Boundary table'!$B$3:$B$7,MATCH(M61,'Boundary table'!$A$3:$A$7))</f>
        <v>F</v>
      </c>
      <c r="P61">
        <f>Table1[[#This Row],[Math Score]]+Table1[[#This Row],[Reading Score]]+Table1[[#This Row],[Writing Score]]</f>
        <v>27</v>
      </c>
      <c r="Q61" s="16">
        <f>COUNTIF(Table1[[#This Row],[Math Score]],"&lt;60")+COUNTIF(Table1[[#This Row],[Reading Score]],"&lt;60")+COUNTIF(Table1[[#This Row],[Writing Score]],"&lt;60")</f>
        <v>3</v>
      </c>
      <c r="R61" t="str">
        <f>IF(Table1[[#This Row],[Fail Count]]&gt;=2,"At risk","OK")</f>
        <v>At risk</v>
      </c>
    </row>
    <row r="62" spans="1:18">
      <c r="A62" t="str">
        <f t="shared" si="0"/>
        <v>Stu-061</v>
      </c>
      <c r="B62" t="s">
        <v>27</v>
      </c>
      <c r="C62" t="s">
        <v>34</v>
      </c>
      <c r="D62" t="s">
        <v>13</v>
      </c>
      <c r="E62" t="s">
        <v>30</v>
      </c>
      <c r="F62" t="s">
        <v>21</v>
      </c>
      <c r="G62" s="16">
        <v>79</v>
      </c>
      <c r="H62">
        <f>RANK(G62,$G$2:$G$1001,0)+COUNTIF($G$2:G62,G62)-1</f>
        <v>194</v>
      </c>
      <c r="I62" t="str">
        <f>INDEX('Boundary table'!$B$3:$B$7,MATCH(G62,'Boundary table'!$A$3:$A$7,1))</f>
        <v>C</v>
      </c>
      <c r="J62" s="16">
        <v>74</v>
      </c>
      <c r="K62">
        <f>RANK(J62,$J$2:$J$1001,0)+COUNTIF($J$2:J62,J62)-1</f>
        <v>374</v>
      </c>
      <c r="L62" t="str">
        <f>INDEX('Boundary table'!$B$3:$B$7,MATCH(J62,'Boundary table'!$A$3:$A$7,1))</f>
        <v>C</v>
      </c>
      <c r="M62" s="16">
        <v>72</v>
      </c>
      <c r="N62">
        <f>RANK(M62,$M$2:$M$1001,0)+COUNTIF($M$2:M62,M62)-1</f>
        <v>415</v>
      </c>
      <c r="O62" t="str">
        <f>INDEX('Boundary table'!$B$3:$B$7,MATCH(M62,'Boundary table'!$A$3:$A$7))</f>
        <v>C</v>
      </c>
      <c r="P62">
        <f>Table1[[#This Row],[Math Score]]+Table1[[#This Row],[Reading Score]]+Table1[[#This Row],[Writing Score]]</f>
        <v>225</v>
      </c>
      <c r="Q62" s="16">
        <f>COUNTIF(Table1[[#This Row],[Math Score]],"&lt;60")+COUNTIF(Table1[[#This Row],[Reading Score]],"&lt;60")+COUNTIF(Table1[[#This Row],[Writing Score]],"&lt;60")</f>
        <v>0</v>
      </c>
      <c r="R62" t="str">
        <f>IF(Table1[[#This Row],[Fail Count]]&gt;=2,"At risk","OK")</f>
        <v>OK</v>
      </c>
    </row>
    <row r="63" spans="1:18">
      <c r="A63" t="str">
        <f t="shared" si="0"/>
        <v>Stu-062</v>
      </c>
      <c r="B63" t="s">
        <v>27</v>
      </c>
      <c r="C63" t="s">
        <v>28</v>
      </c>
      <c r="D63" t="s">
        <v>33</v>
      </c>
      <c r="E63" t="s">
        <v>30</v>
      </c>
      <c r="F63" t="s">
        <v>15</v>
      </c>
      <c r="G63" s="16">
        <v>39</v>
      </c>
      <c r="H63">
        <f>RANK(G63,$G$2:$G$1001,0)+COUNTIF($G$2:G63,G63)-1</f>
        <v>961</v>
      </c>
      <c r="I63" t="str">
        <f>INDEX('Boundary table'!$B$3:$B$7,MATCH(G63,'Boundary table'!$A$3:$A$7,1))</f>
        <v>F</v>
      </c>
      <c r="J63" s="16">
        <v>39</v>
      </c>
      <c r="K63">
        <f>RANK(J63,$J$2:$J$1001,0)+COUNTIF($J$2:J63,J63)-1</f>
        <v>975</v>
      </c>
      <c r="L63" t="str">
        <f>INDEX('Boundary table'!$B$3:$B$7,MATCH(J63,'Boundary table'!$A$3:$A$7,1))</f>
        <v>F</v>
      </c>
      <c r="M63" s="16">
        <v>34</v>
      </c>
      <c r="N63">
        <f>RANK(M63,$M$2:$M$1001,0)+COUNTIF($M$2:M63,M63)-1</f>
        <v>984</v>
      </c>
      <c r="O63" t="str">
        <f>INDEX('Boundary table'!$B$3:$B$7,MATCH(M63,'Boundary table'!$A$3:$A$7))</f>
        <v>F</v>
      </c>
      <c r="P63">
        <f>Table1[[#This Row],[Math Score]]+Table1[[#This Row],[Reading Score]]+Table1[[#This Row],[Writing Score]]</f>
        <v>112</v>
      </c>
      <c r="Q63" s="16">
        <f>COUNTIF(Table1[[#This Row],[Math Score]],"&lt;60")+COUNTIF(Table1[[#This Row],[Reading Score]],"&lt;60")+COUNTIF(Table1[[#This Row],[Writing Score]],"&lt;60")</f>
        <v>3</v>
      </c>
      <c r="R63" t="str">
        <f>IF(Table1[[#This Row],[Fail Count]]&gt;=2,"At risk","OK")</f>
        <v>At risk</v>
      </c>
    </row>
    <row r="64" spans="1:18">
      <c r="A64" t="str">
        <f t="shared" si="0"/>
        <v>Stu-063</v>
      </c>
      <c r="B64" t="s">
        <v>27</v>
      </c>
      <c r="C64" t="s">
        <v>28</v>
      </c>
      <c r="D64" t="s">
        <v>29</v>
      </c>
      <c r="E64" t="s">
        <v>30</v>
      </c>
      <c r="F64" t="s">
        <v>15</v>
      </c>
      <c r="G64" s="16">
        <v>62</v>
      </c>
      <c r="H64">
        <f>RANK(G64,$G$2:$G$1001,0)+COUNTIF($G$2:G64,G64)-1</f>
        <v>601</v>
      </c>
      <c r="I64" t="str">
        <f>INDEX('Boundary table'!$B$3:$B$7,MATCH(G64,'Boundary table'!$A$3:$A$7,1))</f>
        <v>D</v>
      </c>
      <c r="J64" s="16">
        <v>61</v>
      </c>
      <c r="K64">
        <f>RANK(J64,$J$2:$J$1001,0)+COUNTIF($J$2:J64,J64)-1</f>
        <v>703</v>
      </c>
      <c r="L64" t="str">
        <f>INDEX('Boundary table'!$B$3:$B$7,MATCH(J64,'Boundary table'!$A$3:$A$7,1))</f>
        <v>D</v>
      </c>
      <c r="M64" s="16">
        <v>55</v>
      </c>
      <c r="N64">
        <f>RANK(M64,$M$2:$M$1001,0)+COUNTIF($M$2:M64,M64)-1</f>
        <v>785</v>
      </c>
      <c r="O64" t="str">
        <f>INDEX('Boundary table'!$B$3:$B$7,MATCH(M64,'Boundary table'!$A$3:$A$7))</f>
        <v>F</v>
      </c>
      <c r="P64">
        <f>Table1[[#This Row],[Math Score]]+Table1[[#This Row],[Reading Score]]+Table1[[#This Row],[Writing Score]]</f>
        <v>178</v>
      </c>
      <c r="Q64" s="16">
        <f>COUNTIF(Table1[[#This Row],[Math Score]],"&lt;60")+COUNTIF(Table1[[#This Row],[Reading Score]],"&lt;60")+COUNTIF(Table1[[#This Row],[Writing Score]],"&lt;60")</f>
        <v>1</v>
      </c>
      <c r="R64" t="str">
        <f>IF(Table1[[#This Row],[Fail Count]]&gt;=2,"At risk","OK")</f>
        <v>OK</v>
      </c>
    </row>
    <row r="65" spans="1:18">
      <c r="A65" t="str">
        <f t="shared" si="0"/>
        <v>Stu-064</v>
      </c>
      <c r="B65" t="s">
        <v>11</v>
      </c>
      <c r="C65" t="s">
        <v>19</v>
      </c>
      <c r="D65" t="s">
        <v>29</v>
      </c>
      <c r="E65" t="s">
        <v>14</v>
      </c>
      <c r="F65" t="s">
        <v>15</v>
      </c>
      <c r="G65" s="16">
        <v>69</v>
      </c>
      <c r="H65">
        <f>RANK(G65,$G$2:$G$1001,0)+COUNTIF($G$2:G65,G65)-1</f>
        <v>415</v>
      </c>
      <c r="I65" t="str">
        <f>INDEX('Boundary table'!$B$3:$B$7,MATCH(G65,'Boundary table'!$A$3:$A$7,1))</f>
        <v>D</v>
      </c>
      <c r="J65" s="16">
        <v>80</v>
      </c>
      <c r="K65">
        <f>RANK(J65,$J$2:$J$1001,0)+COUNTIF($J$2:J65,J65)-1</f>
        <v>236</v>
      </c>
      <c r="L65" t="str">
        <f>INDEX('Boundary table'!$B$3:$B$7,MATCH(J65,'Boundary table'!$A$3:$A$7,1))</f>
        <v>B</v>
      </c>
      <c r="M65" s="16">
        <v>71</v>
      </c>
      <c r="N65">
        <f>RANK(M65,$M$2:$M$1001,0)+COUNTIF($M$2:M65,M65)-1</f>
        <v>439</v>
      </c>
      <c r="O65" t="str">
        <f>INDEX('Boundary table'!$B$3:$B$7,MATCH(M65,'Boundary table'!$A$3:$A$7))</f>
        <v>C</v>
      </c>
      <c r="P65">
        <f>Table1[[#This Row],[Math Score]]+Table1[[#This Row],[Reading Score]]+Table1[[#This Row],[Writing Score]]</f>
        <v>220</v>
      </c>
      <c r="Q65" s="16">
        <f>COUNTIF(Table1[[#This Row],[Math Score]],"&lt;60")+COUNTIF(Table1[[#This Row],[Reading Score]],"&lt;60")+COUNTIF(Table1[[#This Row],[Writing Score]],"&lt;60")</f>
        <v>0</v>
      </c>
      <c r="R65" t="str">
        <f>IF(Table1[[#This Row],[Fail Count]]&gt;=2,"At risk","OK")</f>
        <v>OK</v>
      </c>
    </row>
    <row r="66" spans="1:18">
      <c r="A66" t="str">
        <f t="shared" ref="A66:A129" si="1">"Stu-"&amp;TEXT(ROW()-1,"000")</f>
        <v>Stu-065</v>
      </c>
      <c r="B66" t="s">
        <v>11</v>
      </c>
      <c r="C66" t="s">
        <v>31</v>
      </c>
      <c r="D66" t="s">
        <v>33</v>
      </c>
      <c r="E66" t="s">
        <v>14</v>
      </c>
      <c r="F66" t="s">
        <v>15</v>
      </c>
      <c r="G66" s="16">
        <v>59</v>
      </c>
      <c r="H66">
        <f>RANK(G66,$G$2:$G$1001,0)+COUNTIF($G$2:G66,G66)-1</f>
        <v>679</v>
      </c>
      <c r="I66" t="str">
        <f>INDEX('Boundary table'!$B$3:$B$7,MATCH(G66,'Boundary table'!$A$3:$A$7,1))</f>
        <v>F</v>
      </c>
      <c r="J66" s="16">
        <v>58</v>
      </c>
      <c r="K66">
        <f>RANK(J66,$J$2:$J$1001,0)+COUNTIF($J$2:J66,J66)-1</f>
        <v>766</v>
      </c>
      <c r="L66" t="str">
        <f>INDEX('Boundary table'!$B$3:$B$7,MATCH(J66,'Boundary table'!$A$3:$A$7,1))</f>
        <v>F</v>
      </c>
      <c r="M66" s="16">
        <v>59</v>
      </c>
      <c r="N66">
        <f>RANK(M66,$M$2:$M$1001,0)+COUNTIF($M$2:M66,M66)-1</f>
        <v>721</v>
      </c>
      <c r="O66" t="str">
        <f>INDEX('Boundary table'!$B$3:$B$7,MATCH(M66,'Boundary table'!$A$3:$A$7))</f>
        <v>F</v>
      </c>
      <c r="P66">
        <f>Table1[[#This Row],[Math Score]]+Table1[[#This Row],[Reading Score]]+Table1[[#This Row],[Writing Score]]</f>
        <v>176</v>
      </c>
      <c r="Q66" s="16">
        <f>COUNTIF(Table1[[#This Row],[Math Score]],"&lt;60")+COUNTIF(Table1[[#This Row],[Reading Score]],"&lt;60")+COUNTIF(Table1[[#This Row],[Writing Score]],"&lt;60")</f>
        <v>3</v>
      </c>
      <c r="R66" t="str">
        <f>IF(Table1[[#This Row],[Fail Count]]&gt;=2,"At risk","OK")</f>
        <v>At risk</v>
      </c>
    </row>
    <row r="67" spans="1:18">
      <c r="A67" t="str">
        <f t="shared" si="1"/>
        <v>Stu-066</v>
      </c>
      <c r="B67" t="s">
        <v>27</v>
      </c>
      <c r="C67" t="s">
        <v>12</v>
      </c>
      <c r="D67" t="s">
        <v>33</v>
      </c>
      <c r="E67" t="s">
        <v>14</v>
      </c>
      <c r="F67" t="s">
        <v>15</v>
      </c>
      <c r="G67" s="16">
        <v>67</v>
      </c>
      <c r="H67">
        <f>RANK(G67,$G$2:$G$1001,0)+COUNTIF($G$2:G67,G67)-1</f>
        <v>469</v>
      </c>
      <c r="I67" t="str">
        <f>INDEX('Boundary table'!$B$3:$B$7,MATCH(G67,'Boundary table'!$A$3:$A$7,1))</f>
        <v>D</v>
      </c>
      <c r="J67" s="16">
        <v>64</v>
      </c>
      <c r="K67">
        <f>RANK(J67,$J$2:$J$1001,0)+COUNTIF($J$2:J67,J67)-1</f>
        <v>630</v>
      </c>
      <c r="L67" t="str">
        <f>INDEX('Boundary table'!$B$3:$B$7,MATCH(J67,'Boundary table'!$A$3:$A$7,1))</f>
        <v>D</v>
      </c>
      <c r="M67" s="16">
        <v>61</v>
      </c>
      <c r="N67">
        <f>RANK(M67,$M$2:$M$1001,0)+COUNTIF($M$2:M67,M67)-1</f>
        <v>681</v>
      </c>
      <c r="O67" t="str">
        <f>INDEX('Boundary table'!$B$3:$B$7,MATCH(M67,'Boundary table'!$A$3:$A$7))</f>
        <v>D</v>
      </c>
      <c r="P67">
        <f>Table1[[#This Row],[Math Score]]+Table1[[#This Row],[Reading Score]]+Table1[[#This Row],[Writing Score]]</f>
        <v>192</v>
      </c>
      <c r="Q67" s="16">
        <f>COUNTIF(Table1[[#This Row],[Math Score]],"&lt;60")+COUNTIF(Table1[[#This Row],[Reading Score]],"&lt;60")+COUNTIF(Table1[[#This Row],[Writing Score]],"&lt;60")</f>
        <v>0</v>
      </c>
      <c r="R67" t="str">
        <f>IF(Table1[[#This Row],[Fail Count]]&gt;=2,"At risk","OK")</f>
        <v>OK</v>
      </c>
    </row>
    <row r="68" spans="1:18">
      <c r="A68" t="str">
        <f t="shared" si="1"/>
        <v>Stu-067</v>
      </c>
      <c r="B68" t="s">
        <v>27</v>
      </c>
      <c r="C68" t="s">
        <v>31</v>
      </c>
      <c r="D68" t="s">
        <v>33</v>
      </c>
      <c r="E68" t="s">
        <v>30</v>
      </c>
      <c r="F68" t="s">
        <v>15</v>
      </c>
      <c r="G68" s="16">
        <v>45</v>
      </c>
      <c r="H68">
        <f>RANK(G68,$G$2:$G$1001,0)+COUNTIF($G$2:G68,G68)-1</f>
        <v>916</v>
      </c>
      <c r="I68" t="str">
        <f>INDEX('Boundary table'!$B$3:$B$7,MATCH(G68,'Boundary table'!$A$3:$A$7,1))</f>
        <v>F</v>
      </c>
      <c r="J68" s="16">
        <v>37</v>
      </c>
      <c r="K68">
        <f>RANK(J68,$J$2:$J$1001,0)+COUNTIF($J$2:J68,J68)-1</f>
        <v>983</v>
      </c>
      <c r="L68" t="str">
        <f>INDEX('Boundary table'!$B$3:$B$7,MATCH(J68,'Boundary table'!$A$3:$A$7,1))</f>
        <v>F</v>
      </c>
      <c r="M68" s="16">
        <v>37</v>
      </c>
      <c r="N68">
        <f>RANK(M68,$M$2:$M$1001,0)+COUNTIF($M$2:M68,M68)-1</f>
        <v>977</v>
      </c>
      <c r="O68" t="str">
        <f>INDEX('Boundary table'!$B$3:$B$7,MATCH(M68,'Boundary table'!$A$3:$A$7))</f>
        <v>F</v>
      </c>
      <c r="P68">
        <f>Table1[[#This Row],[Math Score]]+Table1[[#This Row],[Reading Score]]+Table1[[#This Row],[Writing Score]]</f>
        <v>119</v>
      </c>
      <c r="Q68" s="16">
        <f>COUNTIF(Table1[[#This Row],[Math Score]],"&lt;60")+COUNTIF(Table1[[#This Row],[Reading Score]],"&lt;60")+COUNTIF(Table1[[#This Row],[Writing Score]],"&lt;60")</f>
        <v>3</v>
      </c>
      <c r="R68" t="str">
        <f>IF(Table1[[#This Row],[Fail Count]]&gt;=2,"At risk","OK")</f>
        <v>At risk</v>
      </c>
    </row>
    <row r="69" spans="1:18">
      <c r="A69" t="str">
        <f t="shared" si="1"/>
        <v>Stu-068</v>
      </c>
      <c r="B69" t="s">
        <v>11</v>
      </c>
      <c r="C69" t="s">
        <v>19</v>
      </c>
      <c r="D69" t="s">
        <v>20</v>
      </c>
      <c r="E69" t="s">
        <v>14</v>
      </c>
      <c r="F69" t="s">
        <v>15</v>
      </c>
      <c r="G69" s="16">
        <v>60</v>
      </c>
      <c r="H69">
        <f>RANK(G69,$G$2:$G$1001,0)+COUNTIF($G$2:G69,G69)-1</f>
        <v>662</v>
      </c>
      <c r="I69" t="str">
        <f>INDEX('Boundary table'!$B$3:$B$7,MATCH(G69,'Boundary table'!$A$3:$A$7,1))</f>
        <v>D</v>
      </c>
      <c r="J69" s="16">
        <v>72</v>
      </c>
      <c r="K69">
        <f>RANK(J69,$J$2:$J$1001,0)+COUNTIF($J$2:J69,J69)-1</f>
        <v>437</v>
      </c>
      <c r="L69" t="str">
        <f>INDEX('Boundary table'!$B$3:$B$7,MATCH(J69,'Boundary table'!$A$3:$A$7,1))</f>
        <v>C</v>
      </c>
      <c r="M69" s="16">
        <v>74</v>
      </c>
      <c r="N69">
        <f>RANK(M69,$M$2:$M$1001,0)+COUNTIF($M$2:M69,M69)-1</f>
        <v>353</v>
      </c>
      <c r="O69" t="str">
        <f>INDEX('Boundary table'!$B$3:$B$7,MATCH(M69,'Boundary table'!$A$3:$A$7))</f>
        <v>C</v>
      </c>
      <c r="P69">
        <f>Table1[[#This Row],[Math Score]]+Table1[[#This Row],[Reading Score]]+Table1[[#This Row],[Writing Score]]</f>
        <v>206</v>
      </c>
      <c r="Q69" s="16">
        <f>COUNTIF(Table1[[#This Row],[Math Score]],"&lt;60")+COUNTIF(Table1[[#This Row],[Reading Score]],"&lt;60")+COUNTIF(Table1[[#This Row],[Writing Score]],"&lt;60")</f>
        <v>0</v>
      </c>
      <c r="R69" t="str">
        <f>IF(Table1[[#This Row],[Fail Count]]&gt;=2,"At risk","OK")</f>
        <v>OK</v>
      </c>
    </row>
    <row r="70" spans="1:18">
      <c r="A70" t="str">
        <f t="shared" si="1"/>
        <v>Stu-069</v>
      </c>
      <c r="B70" t="s">
        <v>27</v>
      </c>
      <c r="C70" t="s">
        <v>12</v>
      </c>
      <c r="D70" t="s">
        <v>29</v>
      </c>
      <c r="E70" t="s">
        <v>30</v>
      </c>
      <c r="F70" t="s">
        <v>15</v>
      </c>
      <c r="G70" s="16">
        <v>61</v>
      </c>
      <c r="H70">
        <f>RANK(G70,$G$2:$G$1001,0)+COUNTIF($G$2:G70,G70)-1</f>
        <v>635</v>
      </c>
      <c r="I70" t="str">
        <f>INDEX('Boundary table'!$B$3:$B$7,MATCH(G70,'Boundary table'!$A$3:$A$7,1))</f>
        <v>D</v>
      </c>
      <c r="J70" s="16">
        <v>58</v>
      </c>
      <c r="K70">
        <f>RANK(J70,$J$2:$J$1001,0)+COUNTIF($J$2:J70,J70)-1</f>
        <v>767</v>
      </c>
      <c r="L70" t="str">
        <f>INDEX('Boundary table'!$B$3:$B$7,MATCH(J70,'Boundary table'!$A$3:$A$7,1))</f>
        <v>F</v>
      </c>
      <c r="M70" s="16">
        <v>56</v>
      </c>
      <c r="N70">
        <f>RANK(M70,$M$2:$M$1001,0)+COUNTIF($M$2:M70,M70)-1</f>
        <v>770</v>
      </c>
      <c r="O70" t="str">
        <f>INDEX('Boundary table'!$B$3:$B$7,MATCH(M70,'Boundary table'!$A$3:$A$7))</f>
        <v>F</v>
      </c>
      <c r="P70">
        <f>Table1[[#This Row],[Math Score]]+Table1[[#This Row],[Reading Score]]+Table1[[#This Row],[Writing Score]]</f>
        <v>175</v>
      </c>
      <c r="Q70" s="16">
        <f>COUNTIF(Table1[[#This Row],[Math Score]],"&lt;60")+COUNTIF(Table1[[#This Row],[Reading Score]],"&lt;60")+COUNTIF(Table1[[#This Row],[Writing Score]],"&lt;60")</f>
        <v>2</v>
      </c>
      <c r="R70" t="str">
        <f>IF(Table1[[#This Row],[Fail Count]]&gt;=2,"At risk","OK")</f>
        <v>At risk</v>
      </c>
    </row>
    <row r="71" spans="1:18">
      <c r="A71" t="str">
        <f t="shared" si="1"/>
        <v>Stu-070</v>
      </c>
      <c r="B71" t="s">
        <v>11</v>
      </c>
      <c r="C71" t="s">
        <v>19</v>
      </c>
      <c r="D71" t="s">
        <v>29</v>
      </c>
      <c r="E71" t="s">
        <v>14</v>
      </c>
      <c r="F71" t="s">
        <v>15</v>
      </c>
      <c r="G71" s="16">
        <v>39</v>
      </c>
      <c r="H71">
        <f>RANK(G71,$G$2:$G$1001,0)+COUNTIF($G$2:G71,G71)-1</f>
        <v>962</v>
      </c>
      <c r="I71" t="str">
        <f>INDEX('Boundary table'!$B$3:$B$7,MATCH(G71,'Boundary table'!$A$3:$A$7,1))</f>
        <v>F</v>
      </c>
      <c r="J71" s="16">
        <v>64</v>
      </c>
      <c r="K71">
        <f>RANK(J71,$J$2:$J$1001,0)+COUNTIF($J$2:J71,J71)-1</f>
        <v>631</v>
      </c>
      <c r="L71" t="str">
        <f>INDEX('Boundary table'!$B$3:$B$7,MATCH(J71,'Boundary table'!$A$3:$A$7,1))</f>
        <v>D</v>
      </c>
      <c r="M71" s="16">
        <v>57</v>
      </c>
      <c r="N71">
        <f>RANK(M71,$M$2:$M$1001,0)+COUNTIF($M$2:M71,M71)-1</f>
        <v>753</v>
      </c>
      <c r="O71" t="str">
        <f>INDEX('Boundary table'!$B$3:$B$7,MATCH(M71,'Boundary table'!$A$3:$A$7))</f>
        <v>F</v>
      </c>
      <c r="P71">
        <f>Table1[[#This Row],[Math Score]]+Table1[[#This Row],[Reading Score]]+Table1[[#This Row],[Writing Score]]</f>
        <v>160</v>
      </c>
      <c r="Q71" s="16">
        <f>COUNTIF(Table1[[#This Row],[Math Score]],"&lt;60")+COUNTIF(Table1[[#This Row],[Reading Score]],"&lt;60")+COUNTIF(Table1[[#This Row],[Writing Score]],"&lt;60")</f>
        <v>2</v>
      </c>
      <c r="R71" t="str">
        <f>IF(Table1[[#This Row],[Fail Count]]&gt;=2,"At risk","OK")</f>
        <v>At risk</v>
      </c>
    </row>
    <row r="72" spans="1:18">
      <c r="A72" t="str">
        <f t="shared" si="1"/>
        <v>Stu-071</v>
      </c>
      <c r="B72" t="s">
        <v>11</v>
      </c>
      <c r="C72" t="s">
        <v>31</v>
      </c>
      <c r="D72" t="s">
        <v>20</v>
      </c>
      <c r="E72" t="s">
        <v>30</v>
      </c>
      <c r="F72" t="s">
        <v>21</v>
      </c>
      <c r="G72" s="16">
        <v>58</v>
      </c>
      <c r="H72">
        <f>RANK(G72,$G$2:$G$1001,0)+COUNTIF($G$2:G72,G72)-1</f>
        <v>713</v>
      </c>
      <c r="I72" t="str">
        <f>INDEX('Boundary table'!$B$3:$B$7,MATCH(G72,'Boundary table'!$A$3:$A$7,1))</f>
        <v>F</v>
      </c>
      <c r="J72" s="16">
        <v>63</v>
      </c>
      <c r="K72">
        <f>RANK(J72,$J$2:$J$1001,0)+COUNTIF($J$2:J72,J72)-1</f>
        <v>660</v>
      </c>
      <c r="L72" t="str">
        <f>INDEX('Boundary table'!$B$3:$B$7,MATCH(J72,'Boundary table'!$A$3:$A$7,1))</f>
        <v>D</v>
      </c>
      <c r="M72" s="16">
        <v>73</v>
      </c>
      <c r="N72">
        <f>RANK(M72,$M$2:$M$1001,0)+COUNTIF($M$2:M72,M72)-1</f>
        <v>388</v>
      </c>
      <c r="O72" t="str">
        <f>INDEX('Boundary table'!$B$3:$B$7,MATCH(M72,'Boundary table'!$A$3:$A$7))</f>
        <v>C</v>
      </c>
      <c r="P72">
        <f>Table1[[#This Row],[Math Score]]+Table1[[#This Row],[Reading Score]]+Table1[[#This Row],[Writing Score]]</f>
        <v>194</v>
      </c>
      <c r="Q72" s="16">
        <f>COUNTIF(Table1[[#This Row],[Math Score]],"&lt;60")+COUNTIF(Table1[[#This Row],[Reading Score]],"&lt;60")+COUNTIF(Table1[[#This Row],[Writing Score]],"&lt;60")</f>
        <v>1</v>
      </c>
      <c r="R72" t="str">
        <f>IF(Table1[[#This Row],[Fail Count]]&gt;=2,"At risk","OK")</f>
        <v>OK</v>
      </c>
    </row>
    <row r="73" spans="1:18">
      <c r="A73" t="str">
        <f t="shared" si="1"/>
        <v>Stu-072</v>
      </c>
      <c r="B73" t="s">
        <v>27</v>
      </c>
      <c r="C73" t="s">
        <v>31</v>
      </c>
      <c r="D73" t="s">
        <v>20</v>
      </c>
      <c r="E73" t="s">
        <v>14</v>
      </c>
      <c r="F73" t="s">
        <v>21</v>
      </c>
      <c r="G73" s="16">
        <v>63</v>
      </c>
      <c r="H73">
        <f>RANK(G73,$G$2:$G$1001,0)+COUNTIF($G$2:G73,G73)-1</f>
        <v>575</v>
      </c>
      <c r="I73" t="str">
        <f>INDEX('Boundary table'!$B$3:$B$7,MATCH(G73,'Boundary table'!$A$3:$A$7,1))</f>
        <v>D</v>
      </c>
      <c r="J73" s="16">
        <v>55</v>
      </c>
      <c r="K73">
        <f>RANK(J73,$J$2:$J$1001,0)+COUNTIF($J$2:J73,J73)-1</f>
        <v>827</v>
      </c>
      <c r="L73" t="str">
        <f>INDEX('Boundary table'!$B$3:$B$7,MATCH(J73,'Boundary table'!$A$3:$A$7,1))</f>
        <v>F</v>
      </c>
      <c r="M73" s="16">
        <v>63</v>
      </c>
      <c r="N73">
        <f>RANK(M73,$M$2:$M$1001,0)+COUNTIF($M$2:M73,M73)-1</f>
        <v>638</v>
      </c>
      <c r="O73" t="str">
        <f>INDEX('Boundary table'!$B$3:$B$7,MATCH(M73,'Boundary table'!$A$3:$A$7))</f>
        <v>D</v>
      </c>
      <c r="P73">
        <f>Table1[[#This Row],[Math Score]]+Table1[[#This Row],[Reading Score]]+Table1[[#This Row],[Writing Score]]</f>
        <v>181</v>
      </c>
      <c r="Q73" s="16">
        <f>COUNTIF(Table1[[#This Row],[Math Score]],"&lt;60")+COUNTIF(Table1[[#This Row],[Reading Score]],"&lt;60")+COUNTIF(Table1[[#This Row],[Writing Score]],"&lt;60")</f>
        <v>1</v>
      </c>
      <c r="R73" t="str">
        <f>IF(Table1[[#This Row],[Fail Count]]&gt;=2,"At risk","OK")</f>
        <v>OK</v>
      </c>
    </row>
    <row r="74" spans="1:18">
      <c r="A74" t="str">
        <f t="shared" si="1"/>
        <v>Stu-073</v>
      </c>
      <c r="B74" t="s">
        <v>11</v>
      </c>
      <c r="C74" t="s">
        <v>28</v>
      </c>
      <c r="D74" t="s">
        <v>29</v>
      </c>
      <c r="E74" t="s">
        <v>30</v>
      </c>
      <c r="F74" t="s">
        <v>15</v>
      </c>
      <c r="G74" s="16">
        <v>41</v>
      </c>
      <c r="H74">
        <f>RANK(G74,$G$2:$G$1001,0)+COUNTIF($G$2:G74,G74)-1</f>
        <v>945</v>
      </c>
      <c r="I74" t="str">
        <f>INDEX('Boundary table'!$B$3:$B$7,MATCH(G74,'Boundary table'!$A$3:$A$7,1))</f>
        <v>F</v>
      </c>
      <c r="J74" s="16">
        <v>51</v>
      </c>
      <c r="K74">
        <f>RANK(J74,$J$2:$J$1001,0)+COUNTIF($J$2:J74,J74)-1</f>
        <v>888</v>
      </c>
      <c r="L74" t="str">
        <f>INDEX('Boundary table'!$B$3:$B$7,MATCH(J74,'Boundary table'!$A$3:$A$7,1))</f>
        <v>F</v>
      </c>
      <c r="M74" s="16">
        <v>48</v>
      </c>
      <c r="N74">
        <f>RANK(M74,$M$2:$M$1001,0)+COUNTIF($M$2:M74,M74)-1</f>
        <v>897</v>
      </c>
      <c r="O74" t="str">
        <f>INDEX('Boundary table'!$B$3:$B$7,MATCH(M74,'Boundary table'!$A$3:$A$7))</f>
        <v>F</v>
      </c>
      <c r="P74">
        <f>Table1[[#This Row],[Math Score]]+Table1[[#This Row],[Reading Score]]+Table1[[#This Row],[Writing Score]]</f>
        <v>140</v>
      </c>
      <c r="Q74" s="16">
        <f>COUNTIF(Table1[[#This Row],[Math Score]],"&lt;60")+COUNTIF(Table1[[#This Row],[Reading Score]],"&lt;60")+COUNTIF(Table1[[#This Row],[Writing Score]],"&lt;60")</f>
        <v>3</v>
      </c>
      <c r="R74" t="str">
        <f>IF(Table1[[#This Row],[Fail Count]]&gt;=2,"At risk","OK")</f>
        <v>At risk</v>
      </c>
    </row>
    <row r="75" spans="1:18">
      <c r="A75" t="str">
        <f t="shared" si="1"/>
        <v>Stu-074</v>
      </c>
      <c r="B75" t="s">
        <v>27</v>
      </c>
      <c r="C75" t="s">
        <v>19</v>
      </c>
      <c r="D75" t="s">
        <v>33</v>
      </c>
      <c r="E75" t="s">
        <v>30</v>
      </c>
      <c r="F75" t="s">
        <v>15</v>
      </c>
      <c r="G75" s="16">
        <v>61</v>
      </c>
      <c r="H75">
        <f>RANK(G75,$G$2:$G$1001,0)+COUNTIF($G$2:G75,G75)-1</f>
        <v>636</v>
      </c>
      <c r="I75" t="str">
        <f>INDEX('Boundary table'!$B$3:$B$7,MATCH(G75,'Boundary table'!$A$3:$A$7,1))</f>
        <v>D</v>
      </c>
      <c r="J75" s="16">
        <v>57</v>
      </c>
      <c r="K75">
        <f>RANK(J75,$J$2:$J$1001,0)+COUNTIF($J$2:J75,J75)-1</f>
        <v>793</v>
      </c>
      <c r="L75" t="str">
        <f>INDEX('Boundary table'!$B$3:$B$7,MATCH(J75,'Boundary table'!$A$3:$A$7,1))</f>
        <v>F</v>
      </c>
      <c r="M75" s="16">
        <v>56</v>
      </c>
      <c r="N75">
        <f>RANK(M75,$M$2:$M$1001,0)+COUNTIF($M$2:M75,M75)-1</f>
        <v>771</v>
      </c>
      <c r="O75" t="str">
        <f>INDEX('Boundary table'!$B$3:$B$7,MATCH(M75,'Boundary table'!$A$3:$A$7))</f>
        <v>F</v>
      </c>
      <c r="P75">
        <f>Table1[[#This Row],[Math Score]]+Table1[[#This Row],[Reading Score]]+Table1[[#This Row],[Writing Score]]</f>
        <v>174</v>
      </c>
      <c r="Q75" s="16">
        <f>COUNTIF(Table1[[#This Row],[Math Score]],"&lt;60")+COUNTIF(Table1[[#This Row],[Reading Score]],"&lt;60")+COUNTIF(Table1[[#This Row],[Writing Score]],"&lt;60")</f>
        <v>2</v>
      </c>
      <c r="R75" t="str">
        <f>IF(Table1[[#This Row],[Fail Count]]&gt;=2,"At risk","OK")</f>
        <v>At risk</v>
      </c>
    </row>
    <row r="76" spans="1:18">
      <c r="A76" t="str">
        <f t="shared" si="1"/>
        <v>Stu-075</v>
      </c>
      <c r="B76" t="s">
        <v>27</v>
      </c>
      <c r="C76" t="s">
        <v>19</v>
      </c>
      <c r="D76" t="s">
        <v>33</v>
      </c>
      <c r="E76" t="s">
        <v>14</v>
      </c>
      <c r="F76" t="s">
        <v>15</v>
      </c>
      <c r="G76" s="16">
        <v>49</v>
      </c>
      <c r="H76">
        <f>RANK(G76,$G$2:$G$1001,0)+COUNTIF($G$2:G76,G76)-1</f>
        <v>866</v>
      </c>
      <c r="I76" t="str">
        <f>INDEX('Boundary table'!$B$3:$B$7,MATCH(G76,'Boundary table'!$A$3:$A$7,1))</f>
        <v>F</v>
      </c>
      <c r="J76" s="16">
        <v>49</v>
      </c>
      <c r="K76">
        <f>RANK(J76,$J$2:$J$1001,0)+COUNTIF($J$2:J76,J76)-1</f>
        <v>911</v>
      </c>
      <c r="L76" t="str">
        <f>INDEX('Boundary table'!$B$3:$B$7,MATCH(J76,'Boundary table'!$A$3:$A$7,1))</f>
        <v>F</v>
      </c>
      <c r="M76" s="16">
        <v>41</v>
      </c>
      <c r="N76">
        <f>RANK(M76,$M$2:$M$1001,0)+COUNTIF($M$2:M76,M76)-1</f>
        <v>958</v>
      </c>
      <c r="O76" t="str">
        <f>INDEX('Boundary table'!$B$3:$B$7,MATCH(M76,'Boundary table'!$A$3:$A$7))</f>
        <v>F</v>
      </c>
      <c r="P76">
        <f>Table1[[#This Row],[Math Score]]+Table1[[#This Row],[Reading Score]]+Table1[[#This Row],[Writing Score]]</f>
        <v>139</v>
      </c>
      <c r="Q76" s="16">
        <f>COUNTIF(Table1[[#This Row],[Math Score]],"&lt;60")+COUNTIF(Table1[[#This Row],[Reading Score]],"&lt;60")+COUNTIF(Table1[[#This Row],[Writing Score]],"&lt;60")</f>
        <v>3</v>
      </c>
      <c r="R76" t="str">
        <f>IF(Table1[[#This Row],[Fail Count]]&gt;=2,"At risk","OK")</f>
        <v>At risk</v>
      </c>
    </row>
    <row r="77" spans="1:18">
      <c r="A77" t="str">
        <f t="shared" si="1"/>
        <v>Stu-076</v>
      </c>
      <c r="B77" t="s">
        <v>27</v>
      </c>
      <c r="C77" t="s">
        <v>12</v>
      </c>
      <c r="D77" t="s">
        <v>29</v>
      </c>
      <c r="E77" t="s">
        <v>30</v>
      </c>
      <c r="F77" t="s">
        <v>15</v>
      </c>
      <c r="G77" s="16">
        <v>44</v>
      </c>
      <c r="H77">
        <f>RANK(G77,$G$2:$G$1001,0)+COUNTIF($G$2:G77,G77)-1</f>
        <v>926</v>
      </c>
      <c r="I77" t="str">
        <f>INDEX('Boundary table'!$B$3:$B$7,MATCH(G77,'Boundary table'!$A$3:$A$7,1))</f>
        <v>F</v>
      </c>
      <c r="J77" s="16">
        <v>41</v>
      </c>
      <c r="K77">
        <f>RANK(J77,$J$2:$J$1001,0)+COUNTIF($J$2:J77,J77)-1</f>
        <v>969</v>
      </c>
      <c r="L77" t="str">
        <f>INDEX('Boundary table'!$B$3:$B$7,MATCH(J77,'Boundary table'!$A$3:$A$7,1))</f>
        <v>F</v>
      </c>
      <c r="M77" s="16">
        <v>38</v>
      </c>
      <c r="N77">
        <f>RANK(M77,$M$2:$M$1001,0)+COUNTIF($M$2:M77,M77)-1</f>
        <v>972</v>
      </c>
      <c r="O77" t="str">
        <f>INDEX('Boundary table'!$B$3:$B$7,MATCH(M77,'Boundary table'!$A$3:$A$7))</f>
        <v>F</v>
      </c>
      <c r="P77">
        <f>Table1[[#This Row],[Math Score]]+Table1[[#This Row],[Reading Score]]+Table1[[#This Row],[Writing Score]]</f>
        <v>123</v>
      </c>
      <c r="Q77" s="16">
        <f>COUNTIF(Table1[[#This Row],[Math Score]],"&lt;60")+COUNTIF(Table1[[#This Row],[Reading Score]],"&lt;60")+COUNTIF(Table1[[#This Row],[Writing Score]],"&lt;60")</f>
        <v>3</v>
      </c>
      <c r="R77" t="str">
        <f>IF(Table1[[#This Row],[Fail Count]]&gt;=2,"At risk","OK")</f>
        <v>At risk</v>
      </c>
    </row>
    <row r="78" spans="1:18">
      <c r="A78" t="str">
        <f t="shared" si="1"/>
        <v>Stu-077</v>
      </c>
      <c r="B78" t="s">
        <v>27</v>
      </c>
      <c r="C78" t="s">
        <v>34</v>
      </c>
      <c r="D78" t="s">
        <v>33</v>
      </c>
      <c r="E78" t="s">
        <v>14</v>
      </c>
      <c r="F78" t="s">
        <v>15</v>
      </c>
      <c r="G78" s="16">
        <v>30</v>
      </c>
      <c r="H78">
        <f>RANK(G78,$G$2:$G$1001,0)+COUNTIF($G$2:G78,G78)-1</f>
        <v>985</v>
      </c>
      <c r="I78" t="str">
        <f>INDEX('Boundary table'!$B$3:$B$7,MATCH(G78,'Boundary table'!$A$3:$A$7,1))</f>
        <v>F</v>
      </c>
      <c r="J78" s="16">
        <v>26</v>
      </c>
      <c r="K78">
        <f>RANK(J78,$J$2:$J$1001,0)+COUNTIF($J$2:J78,J78)-1</f>
        <v>996</v>
      </c>
      <c r="L78" t="str">
        <f>INDEX('Boundary table'!$B$3:$B$7,MATCH(J78,'Boundary table'!$A$3:$A$7,1))</f>
        <v>F</v>
      </c>
      <c r="M78" s="16">
        <v>22</v>
      </c>
      <c r="N78">
        <f>RANK(M78,$M$2:$M$1001,0)+COUNTIF($M$2:M78,M78)-1</f>
        <v>997</v>
      </c>
      <c r="O78" t="str">
        <f>INDEX('Boundary table'!$B$3:$B$7,MATCH(M78,'Boundary table'!$A$3:$A$7))</f>
        <v>F</v>
      </c>
      <c r="P78">
        <f>Table1[[#This Row],[Math Score]]+Table1[[#This Row],[Reading Score]]+Table1[[#This Row],[Writing Score]]</f>
        <v>78</v>
      </c>
      <c r="Q78" s="16">
        <f>COUNTIF(Table1[[#This Row],[Math Score]],"&lt;60")+COUNTIF(Table1[[#This Row],[Reading Score]],"&lt;60")+COUNTIF(Table1[[#This Row],[Writing Score]],"&lt;60")</f>
        <v>3</v>
      </c>
      <c r="R78" t="str">
        <f>IF(Table1[[#This Row],[Fail Count]]&gt;=2,"At risk","OK")</f>
        <v>At risk</v>
      </c>
    </row>
    <row r="79" spans="1:18">
      <c r="A79" t="str">
        <f t="shared" si="1"/>
        <v>Stu-078</v>
      </c>
      <c r="B79" t="s">
        <v>27</v>
      </c>
      <c r="C79" t="s">
        <v>28</v>
      </c>
      <c r="D79" t="s">
        <v>13</v>
      </c>
      <c r="E79" t="s">
        <v>14</v>
      </c>
      <c r="F79" t="s">
        <v>21</v>
      </c>
      <c r="G79" s="16">
        <v>80</v>
      </c>
      <c r="H79">
        <f>RANK(G79,$G$2:$G$1001,0)+COUNTIF($G$2:G79,G79)-1</f>
        <v>177</v>
      </c>
      <c r="I79" t="str">
        <f>INDEX('Boundary table'!$B$3:$B$7,MATCH(G79,'Boundary table'!$A$3:$A$7,1))</f>
        <v>B</v>
      </c>
      <c r="J79" s="16">
        <v>78</v>
      </c>
      <c r="K79">
        <f>RANK(J79,$J$2:$J$1001,0)+COUNTIF($J$2:J79,J79)-1</f>
        <v>271</v>
      </c>
      <c r="L79" t="str">
        <f>INDEX('Boundary table'!$B$3:$B$7,MATCH(J79,'Boundary table'!$A$3:$A$7,1))</f>
        <v>C</v>
      </c>
      <c r="M79" s="16">
        <v>81</v>
      </c>
      <c r="N79">
        <f>RANK(M79,$M$2:$M$1001,0)+COUNTIF($M$2:M79,M79)-1</f>
        <v>189</v>
      </c>
      <c r="O79" t="str">
        <f>INDEX('Boundary table'!$B$3:$B$7,MATCH(M79,'Boundary table'!$A$3:$A$7))</f>
        <v>B</v>
      </c>
      <c r="P79">
        <f>Table1[[#This Row],[Math Score]]+Table1[[#This Row],[Reading Score]]+Table1[[#This Row],[Writing Score]]</f>
        <v>239</v>
      </c>
      <c r="Q79" s="16">
        <f>COUNTIF(Table1[[#This Row],[Math Score]],"&lt;60")+COUNTIF(Table1[[#This Row],[Reading Score]],"&lt;60")+COUNTIF(Table1[[#This Row],[Writing Score]],"&lt;60")</f>
        <v>0</v>
      </c>
      <c r="R79" t="str">
        <f>IF(Table1[[#This Row],[Fail Count]]&gt;=2,"At risk","OK")</f>
        <v>OK</v>
      </c>
    </row>
    <row r="80" spans="1:18">
      <c r="A80" t="str">
        <f t="shared" si="1"/>
        <v>Stu-079</v>
      </c>
      <c r="B80" t="s">
        <v>11</v>
      </c>
      <c r="C80" t="s">
        <v>31</v>
      </c>
      <c r="D80" t="s">
        <v>33</v>
      </c>
      <c r="E80" t="s">
        <v>14</v>
      </c>
      <c r="F80" t="s">
        <v>21</v>
      </c>
      <c r="G80" s="16">
        <v>61</v>
      </c>
      <c r="H80">
        <f>RANK(G80,$G$2:$G$1001,0)+COUNTIF($G$2:G80,G80)-1</f>
        <v>637</v>
      </c>
      <c r="I80" t="str">
        <f>INDEX('Boundary table'!$B$3:$B$7,MATCH(G80,'Boundary table'!$A$3:$A$7,1))</f>
        <v>D</v>
      </c>
      <c r="J80" s="16">
        <v>74</v>
      </c>
      <c r="K80">
        <f>RANK(J80,$J$2:$J$1001,0)+COUNTIF($J$2:J80,J80)-1</f>
        <v>375</v>
      </c>
      <c r="L80" t="str">
        <f>INDEX('Boundary table'!$B$3:$B$7,MATCH(J80,'Boundary table'!$A$3:$A$7,1))</f>
        <v>C</v>
      </c>
      <c r="M80" s="16">
        <v>72</v>
      </c>
      <c r="N80">
        <f>RANK(M80,$M$2:$M$1001,0)+COUNTIF($M$2:M80,M80)-1</f>
        <v>416</v>
      </c>
      <c r="O80" t="str">
        <f>INDEX('Boundary table'!$B$3:$B$7,MATCH(M80,'Boundary table'!$A$3:$A$7))</f>
        <v>C</v>
      </c>
      <c r="P80">
        <f>Table1[[#This Row],[Math Score]]+Table1[[#This Row],[Reading Score]]+Table1[[#This Row],[Writing Score]]</f>
        <v>207</v>
      </c>
      <c r="Q80" s="16">
        <f>COUNTIF(Table1[[#This Row],[Math Score]],"&lt;60")+COUNTIF(Table1[[#This Row],[Reading Score]],"&lt;60")+COUNTIF(Table1[[#This Row],[Writing Score]],"&lt;60")</f>
        <v>0</v>
      </c>
      <c r="R80" t="str">
        <f>IF(Table1[[#This Row],[Fail Count]]&gt;=2,"At risk","OK")</f>
        <v>OK</v>
      </c>
    </row>
    <row r="81" spans="1:18">
      <c r="A81" t="str">
        <f t="shared" si="1"/>
        <v>Stu-080</v>
      </c>
      <c r="B81" t="s">
        <v>11</v>
      </c>
      <c r="C81" t="s">
        <v>34</v>
      </c>
      <c r="D81" t="s">
        <v>26</v>
      </c>
      <c r="E81" t="s">
        <v>14</v>
      </c>
      <c r="F81" t="s">
        <v>15</v>
      </c>
      <c r="G81" s="16">
        <v>62</v>
      </c>
      <c r="H81">
        <f>RANK(G81,$G$2:$G$1001,0)+COUNTIF($G$2:G81,G81)-1</f>
        <v>602</v>
      </c>
      <c r="I81" t="str">
        <f>INDEX('Boundary table'!$B$3:$B$7,MATCH(G81,'Boundary table'!$A$3:$A$7,1))</f>
        <v>D</v>
      </c>
      <c r="J81" s="16">
        <v>68</v>
      </c>
      <c r="K81">
        <f>RANK(J81,$J$2:$J$1001,0)+COUNTIF($J$2:J81,J81)-1</f>
        <v>529</v>
      </c>
      <c r="L81" t="str">
        <f>INDEX('Boundary table'!$B$3:$B$7,MATCH(J81,'Boundary table'!$A$3:$A$7,1))</f>
        <v>D</v>
      </c>
      <c r="M81" s="16">
        <v>68</v>
      </c>
      <c r="N81">
        <f>RANK(M81,$M$2:$M$1001,0)+COUNTIF($M$2:M81,M81)-1</f>
        <v>515</v>
      </c>
      <c r="O81" t="str">
        <f>INDEX('Boundary table'!$B$3:$B$7,MATCH(M81,'Boundary table'!$A$3:$A$7))</f>
        <v>D</v>
      </c>
      <c r="P81">
        <f>Table1[[#This Row],[Math Score]]+Table1[[#This Row],[Reading Score]]+Table1[[#This Row],[Writing Score]]</f>
        <v>198</v>
      </c>
      <c r="Q81" s="16">
        <f>COUNTIF(Table1[[#This Row],[Math Score]],"&lt;60")+COUNTIF(Table1[[#This Row],[Reading Score]],"&lt;60")+COUNTIF(Table1[[#This Row],[Writing Score]],"&lt;60")</f>
        <v>0</v>
      </c>
      <c r="R81" t="str">
        <f>IF(Table1[[#This Row],[Fail Count]]&gt;=2,"At risk","OK")</f>
        <v>OK</v>
      </c>
    </row>
    <row r="82" spans="1:18">
      <c r="A82" t="str">
        <f t="shared" si="1"/>
        <v>Stu-081</v>
      </c>
      <c r="B82" t="s">
        <v>11</v>
      </c>
      <c r="C82" t="s">
        <v>12</v>
      </c>
      <c r="D82" t="s">
        <v>29</v>
      </c>
      <c r="E82" t="s">
        <v>14</v>
      </c>
      <c r="F82" t="s">
        <v>15</v>
      </c>
      <c r="G82" s="16">
        <v>47</v>
      </c>
      <c r="H82">
        <f>RANK(G82,$G$2:$G$1001,0)+COUNTIF($G$2:G82,G82)-1</f>
        <v>895</v>
      </c>
      <c r="I82" t="str">
        <f>INDEX('Boundary table'!$B$3:$B$7,MATCH(G82,'Boundary table'!$A$3:$A$7,1))</f>
        <v>F</v>
      </c>
      <c r="J82" s="16">
        <v>49</v>
      </c>
      <c r="K82">
        <f>RANK(J82,$J$2:$J$1001,0)+COUNTIF($J$2:J82,J82)-1</f>
        <v>912</v>
      </c>
      <c r="L82" t="str">
        <f>INDEX('Boundary table'!$B$3:$B$7,MATCH(J82,'Boundary table'!$A$3:$A$7,1))</f>
        <v>F</v>
      </c>
      <c r="M82" s="16">
        <v>50</v>
      </c>
      <c r="N82">
        <f>RANK(M82,$M$2:$M$1001,0)+COUNTIF($M$2:M82,M82)-1</f>
        <v>878</v>
      </c>
      <c r="O82" t="str">
        <f>INDEX('Boundary table'!$B$3:$B$7,MATCH(M82,'Boundary table'!$A$3:$A$7))</f>
        <v>F</v>
      </c>
      <c r="P82">
        <f>Table1[[#This Row],[Math Score]]+Table1[[#This Row],[Reading Score]]+Table1[[#This Row],[Writing Score]]</f>
        <v>146</v>
      </c>
      <c r="Q82" s="16">
        <f>COUNTIF(Table1[[#This Row],[Math Score]],"&lt;60")+COUNTIF(Table1[[#This Row],[Reading Score]],"&lt;60")+COUNTIF(Table1[[#This Row],[Writing Score]],"&lt;60")</f>
        <v>3</v>
      </c>
      <c r="R82" t="str">
        <f>IF(Table1[[#This Row],[Fail Count]]&gt;=2,"At risk","OK")</f>
        <v>At risk</v>
      </c>
    </row>
    <row r="83" spans="1:18">
      <c r="A83" t="str">
        <f t="shared" si="1"/>
        <v>Stu-082</v>
      </c>
      <c r="B83" t="s">
        <v>27</v>
      </c>
      <c r="C83" t="s">
        <v>12</v>
      </c>
      <c r="D83" t="s">
        <v>32</v>
      </c>
      <c r="E83" t="s">
        <v>30</v>
      </c>
      <c r="F83" t="s">
        <v>15</v>
      </c>
      <c r="G83" s="16">
        <v>49</v>
      </c>
      <c r="H83">
        <f>RANK(G83,$G$2:$G$1001,0)+COUNTIF($G$2:G83,G83)-1</f>
        <v>867</v>
      </c>
      <c r="I83" t="str">
        <f>INDEX('Boundary table'!$B$3:$B$7,MATCH(G83,'Boundary table'!$A$3:$A$7,1))</f>
        <v>F</v>
      </c>
      <c r="J83" s="16">
        <v>45</v>
      </c>
      <c r="K83">
        <f>RANK(J83,$J$2:$J$1001,0)+COUNTIF($J$2:J83,J83)-1</f>
        <v>941</v>
      </c>
      <c r="L83" t="str">
        <f>INDEX('Boundary table'!$B$3:$B$7,MATCH(J83,'Boundary table'!$A$3:$A$7,1))</f>
        <v>F</v>
      </c>
      <c r="M83" s="16">
        <v>45</v>
      </c>
      <c r="N83">
        <f>RANK(M83,$M$2:$M$1001,0)+COUNTIF($M$2:M83,M83)-1</f>
        <v>924</v>
      </c>
      <c r="O83" t="str">
        <f>INDEX('Boundary table'!$B$3:$B$7,MATCH(M83,'Boundary table'!$A$3:$A$7))</f>
        <v>F</v>
      </c>
      <c r="P83">
        <f>Table1[[#This Row],[Math Score]]+Table1[[#This Row],[Reading Score]]+Table1[[#This Row],[Writing Score]]</f>
        <v>139</v>
      </c>
      <c r="Q83" s="16">
        <f>COUNTIF(Table1[[#This Row],[Math Score]],"&lt;60")+COUNTIF(Table1[[#This Row],[Reading Score]],"&lt;60")+COUNTIF(Table1[[#This Row],[Writing Score]],"&lt;60")</f>
        <v>3</v>
      </c>
      <c r="R83" t="str">
        <f>IF(Table1[[#This Row],[Fail Count]]&gt;=2,"At risk","OK")</f>
        <v>At risk</v>
      </c>
    </row>
    <row r="84" spans="1:18">
      <c r="A84" t="str">
        <f t="shared" si="1"/>
        <v>Stu-083</v>
      </c>
      <c r="B84" t="s">
        <v>27</v>
      </c>
      <c r="C84" t="s">
        <v>28</v>
      </c>
      <c r="D84" t="s">
        <v>20</v>
      </c>
      <c r="E84" t="s">
        <v>30</v>
      </c>
      <c r="F84" t="s">
        <v>21</v>
      </c>
      <c r="G84" s="16">
        <v>50</v>
      </c>
      <c r="H84">
        <f>RANK(G84,$G$2:$G$1001,0)+COUNTIF($G$2:G84,G84)-1</f>
        <v>854</v>
      </c>
      <c r="I84" t="str">
        <f>INDEX('Boundary table'!$B$3:$B$7,MATCH(G84,'Boundary table'!$A$3:$A$7,1))</f>
        <v>F</v>
      </c>
      <c r="J84" s="16">
        <v>47</v>
      </c>
      <c r="K84">
        <f>RANK(J84,$J$2:$J$1001,0)+COUNTIF($J$2:J84,J84)-1</f>
        <v>931</v>
      </c>
      <c r="L84" t="str">
        <f>INDEX('Boundary table'!$B$3:$B$7,MATCH(J84,'Boundary table'!$A$3:$A$7,1))</f>
        <v>F</v>
      </c>
      <c r="M84" s="16">
        <v>54</v>
      </c>
      <c r="N84">
        <f>RANK(M84,$M$2:$M$1001,0)+COUNTIF($M$2:M84,M84)-1</f>
        <v>800</v>
      </c>
      <c r="O84" t="str">
        <f>INDEX('Boundary table'!$B$3:$B$7,MATCH(M84,'Boundary table'!$A$3:$A$7))</f>
        <v>F</v>
      </c>
      <c r="P84">
        <f>Table1[[#This Row],[Math Score]]+Table1[[#This Row],[Reading Score]]+Table1[[#This Row],[Writing Score]]</f>
        <v>151</v>
      </c>
      <c r="Q84" s="16">
        <f>COUNTIF(Table1[[#This Row],[Math Score]],"&lt;60")+COUNTIF(Table1[[#This Row],[Reading Score]],"&lt;60")+COUNTIF(Table1[[#This Row],[Writing Score]],"&lt;60")</f>
        <v>3</v>
      </c>
      <c r="R84" t="str">
        <f>IF(Table1[[#This Row],[Fail Count]]&gt;=2,"At risk","OK")</f>
        <v>At risk</v>
      </c>
    </row>
    <row r="85" spans="1:18">
      <c r="A85" t="str">
        <f t="shared" si="1"/>
        <v>Stu-084</v>
      </c>
      <c r="B85" t="s">
        <v>27</v>
      </c>
      <c r="C85" t="s">
        <v>34</v>
      </c>
      <c r="D85" t="s">
        <v>29</v>
      </c>
      <c r="E85" t="s">
        <v>14</v>
      </c>
      <c r="F85" t="s">
        <v>15</v>
      </c>
      <c r="G85" s="16">
        <v>72</v>
      </c>
      <c r="H85">
        <f>RANK(G85,$G$2:$G$1001,0)+COUNTIF($G$2:G85,G85)-1</f>
        <v>349</v>
      </c>
      <c r="I85" t="str">
        <f>INDEX('Boundary table'!$B$3:$B$7,MATCH(G85,'Boundary table'!$A$3:$A$7,1))</f>
        <v>C</v>
      </c>
      <c r="J85" s="16">
        <v>64</v>
      </c>
      <c r="K85">
        <f>RANK(J85,$J$2:$J$1001,0)+COUNTIF($J$2:J85,J85)-1</f>
        <v>632</v>
      </c>
      <c r="L85" t="str">
        <f>INDEX('Boundary table'!$B$3:$B$7,MATCH(J85,'Boundary table'!$A$3:$A$7,1))</f>
        <v>D</v>
      </c>
      <c r="M85" s="16">
        <v>63</v>
      </c>
      <c r="N85">
        <f>RANK(M85,$M$2:$M$1001,0)+COUNTIF($M$2:M85,M85)-1</f>
        <v>639</v>
      </c>
      <c r="O85" t="str">
        <f>INDEX('Boundary table'!$B$3:$B$7,MATCH(M85,'Boundary table'!$A$3:$A$7))</f>
        <v>D</v>
      </c>
      <c r="P85">
        <f>Table1[[#This Row],[Math Score]]+Table1[[#This Row],[Reading Score]]+Table1[[#This Row],[Writing Score]]</f>
        <v>199</v>
      </c>
      <c r="Q85" s="16">
        <f>COUNTIF(Table1[[#This Row],[Math Score]],"&lt;60")+COUNTIF(Table1[[#This Row],[Reading Score]],"&lt;60")+COUNTIF(Table1[[#This Row],[Writing Score]],"&lt;60")</f>
        <v>0</v>
      </c>
      <c r="R85" t="str">
        <f>IF(Table1[[#This Row],[Fail Count]]&gt;=2,"At risk","OK")</f>
        <v>OK</v>
      </c>
    </row>
    <row r="86" spans="1:18">
      <c r="A86" t="str">
        <f t="shared" si="1"/>
        <v>Stu-085</v>
      </c>
      <c r="B86" t="s">
        <v>27</v>
      </c>
      <c r="C86" t="s">
        <v>31</v>
      </c>
      <c r="D86" t="s">
        <v>32</v>
      </c>
      <c r="E86" t="s">
        <v>30</v>
      </c>
      <c r="F86" t="s">
        <v>15</v>
      </c>
      <c r="G86" s="16">
        <v>42</v>
      </c>
      <c r="H86">
        <f>RANK(G86,$G$2:$G$1001,0)+COUNTIF($G$2:G86,G86)-1</f>
        <v>939</v>
      </c>
      <c r="I86" t="str">
        <f>INDEX('Boundary table'!$B$3:$B$7,MATCH(G86,'Boundary table'!$A$3:$A$7,1))</f>
        <v>F</v>
      </c>
      <c r="J86" s="16">
        <v>39</v>
      </c>
      <c r="K86">
        <f>RANK(J86,$J$2:$J$1001,0)+COUNTIF($J$2:J86,J86)-1</f>
        <v>976</v>
      </c>
      <c r="L86" t="str">
        <f>INDEX('Boundary table'!$B$3:$B$7,MATCH(J86,'Boundary table'!$A$3:$A$7,1))</f>
        <v>F</v>
      </c>
      <c r="M86" s="16">
        <v>34</v>
      </c>
      <c r="N86">
        <f>RANK(M86,$M$2:$M$1001,0)+COUNTIF($M$2:M86,M86)-1</f>
        <v>985</v>
      </c>
      <c r="O86" t="str">
        <f>INDEX('Boundary table'!$B$3:$B$7,MATCH(M86,'Boundary table'!$A$3:$A$7))</f>
        <v>F</v>
      </c>
      <c r="P86">
        <f>Table1[[#This Row],[Math Score]]+Table1[[#This Row],[Reading Score]]+Table1[[#This Row],[Writing Score]]</f>
        <v>115</v>
      </c>
      <c r="Q86" s="16">
        <f>COUNTIF(Table1[[#This Row],[Math Score]],"&lt;60")+COUNTIF(Table1[[#This Row],[Reading Score]],"&lt;60")+COUNTIF(Table1[[#This Row],[Writing Score]],"&lt;60")</f>
        <v>3</v>
      </c>
      <c r="R86" t="str">
        <f>IF(Table1[[#This Row],[Fail Count]]&gt;=2,"At risk","OK")</f>
        <v>At risk</v>
      </c>
    </row>
    <row r="87" spans="1:18">
      <c r="A87" t="str">
        <f t="shared" si="1"/>
        <v>Stu-086</v>
      </c>
      <c r="B87" t="s">
        <v>11</v>
      </c>
      <c r="C87" t="s">
        <v>19</v>
      </c>
      <c r="D87" t="s">
        <v>20</v>
      </c>
      <c r="E87" t="s">
        <v>14</v>
      </c>
      <c r="F87" t="s">
        <v>15</v>
      </c>
      <c r="G87" s="16">
        <v>73</v>
      </c>
      <c r="H87">
        <f>RANK(G87,$G$2:$G$1001,0)+COUNTIF($G$2:G87,G87)-1</f>
        <v>322</v>
      </c>
      <c r="I87" t="str">
        <f>INDEX('Boundary table'!$B$3:$B$7,MATCH(G87,'Boundary table'!$A$3:$A$7,1))</f>
        <v>C</v>
      </c>
      <c r="J87" s="16">
        <v>80</v>
      </c>
      <c r="K87">
        <f>RANK(J87,$J$2:$J$1001,0)+COUNTIF($J$2:J87,J87)-1</f>
        <v>237</v>
      </c>
      <c r="L87" t="str">
        <f>INDEX('Boundary table'!$B$3:$B$7,MATCH(J87,'Boundary table'!$A$3:$A$7,1))</f>
        <v>B</v>
      </c>
      <c r="M87" s="16">
        <v>82</v>
      </c>
      <c r="N87">
        <f>RANK(M87,$M$2:$M$1001,0)+COUNTIF($M$2:M87,M87)-1</f>
        <v>167</v>
      </c>
      <c r="O87" t="str">
        <f>INDEX('Boundary table'!$B$3:$B$7,MATCH(M87,'Boundary table'!$A$3:$A$7))</f>
        <v>B</v>
      </c>
      <c r="P87">
        <f>Table1[[#This Row],[Math Score]]+Table1[[#This Row],[Reading Score]]+Table1[[#This Row],[Writing Score]]</f>
        <v>235</v>
      </c>
      <c r="Q87" s="16">
        <f>COUNTIF(Table1[[#This Row],[Math Score]],"&lt;60")+COUNTIF(Table1[[#This Row],[Reading Score]],"&lt;60")+COUNTIF(Table1[[#This Row],[Writing Score]],"&lt;60")</f>
        <v>0</v>
      </c>
      <c r="R87" t="str">
        <f>IF(Table1[[#This Row],[Fail Count]]&gt;=2,"At risk","OK")</f>
        <v>OK</v>
      </c>
    </row>
    <row r="88" spans="1:18">
      <c r="A88" t="str">
        <f t="shared" si="1"/>
        <v>Stu-087</v>
      </c>
      <c r="B88" t="s">
        <v>11</v>
      </c>
      <c r="C88" t="s">
        <v>19</v>
      </c>
      <c r="D88" t="s">
        <v>20</v>
      </c>
      <c r="E88" t="s">
        <v>30</v>
      </c>
      <c r="F88" t="s">
        <v>15</v>
      </c>
      <c r="G88" s="16">
        <v>76</v>
      </c>
      <c r="H88">
        <f>RANK(G88,$G$2:$G$1001,0)+COUNTIF($G$2:G88,G88)-1</f>
        <v>255</v>
      </c>
      <c r="I88" t="str">
        <f>INDEX('Boundary table'!$B$3:$B$7,MATCH(G88,'Boundary table'!$A$3:$A$7,1))</f>
        <v>C</v>
      </c>
      <c r="J88" s="16">
        <v>83</v>
      </c>
      <c r="K88">
        <f>RANK(J88,$J$2:$J$1001,0)+COUNTIF($J$2:J88,J88)-1</f>
        <v>178</v>
      </c>
      <c r="L88" t="str">
        <f>INDEX('Boundary table'!$B$3:$B$7,MATCH(J88,'Boundary table'!$A$3:$A$7,1))</f>
        <v>B</v>
      </c>
      <c r="M88" s="16">
        <v>88</v>
      </c>
      <c r="N88">
        <f>RANK(M88,$M$2:$M$1001,0)+COUNTIF($M$2:M88,M88)-1</f>
        <v>90</v>
      </c>
      <c r="O88" t="str">
        <f>INDEX('Boundary table'!$B$3:$B$7,MATCH(M88,'Boundary table'!$A$3:$A$7))</f>
        <v>B</v>
      </c>
      <c r="P88">
        <f>Table1[[#This Row],[Math Score]]+Table1[[#This Row],[Reading Score]]+Table1[[#This Row],[Writing Score]]</f>
        <v>247</v>
      </c>
      <c r="Q88" s="16">
        <f>COUNTIF(Table1[[#This Row],[Math Score]],"&lt;60")+COUNTIF(Table1[[#This Row],[Reading Score]],"&lt;60")+COUNTIF(Table1[[#This Row],[Writing Score]],"&lt;60")</f>
        <v>0</v>
      </c>
      <c r="R88" t="str">
        <f>IF(Table1[[#This Row],[Fail Count]]&gt;=2,"At risk","OK")</f>
        <v>OK</v>
      </c>
    </row>
    <row r="89" spans="1:18">
      <c r="A89" t="str">
        <f t="shared" si="1"/>
        <v>Stu-088</v>
      </c>
      <c r="B89" t="s">
        <v>11</v>
      </c>
      <c r="C89" t="s">
        <v>31</v>
      </c>
      <c r="D89" t="s">
        <v>29</v>
      </c>
      <c r="E89" t="s">
        <v>14</v>
      </c>
      <c r="F89" t="s">
        <v>15</v>
      </c>
      <c r="G89" s="16">
        <v>71</v>
      </c>
      <c r="H89">
        <f>RANK(G89,$G$2:$G$1001,0)+COUNTIF($G$2:G89,G89)-1</f>
        <v>368</v>
      </c>
      <c r="I89" t="str">
        <f>INDEX('Boundary table'!$B$3:$B$7,MATCH(G89,'Boundary table'!$A$3:$A$7,1))</f>
        <v>C</v>
      </c>
      <c r="J89" s="16">
        <v>71</v>
      </c>
      <c r="K89">
        <f>RANK(J89,$J$2:$J$1001,0)+COUNTIF($J$2:J89,J89)-1</f>
        <v>470</v>
      </c>
      <c r="L89" t="str">
        <f>INDEX('Boundary table'!$B$3:$B$7,MATCH(J89,'Boundary table'!$A$3:$A$7,1))</f>
        <v>C</v>
      </c>
      <c r="M89" s="16">
        <v>74</v>
      </c>
      <c r="N89">
        <f>RANK(M89,$M$2:$M$1001,0)+COUNTIF($M$2:M89,M89)-1</f>
        <v>354</v>
      </c>
      <c r="O89" t="str">
        <f>INDEX('Boundary table'!$B$3:$B$7,MATCH(M89,'Boundary table'!$A$3:$A$7))</f>
        <v>C</v>
      </c>
      <c r="P89">
        <f>Table1[[#This Row],[Math Score]]+Table1[[#This Row],[Reading Score]]+Table1[[#This Row],[Writing Score]]</f>
        <v>216</v>
      </c>
      <c r="Q89" s="16">
        <f>COUNTIF(Table1[[#This Row],[Math Score]],"&lt;60")+COUNTIF(Table1[[#This Row],[Reading Score]],"&lt;60")+COUNTIF(Table1[[#This Row],[Writing Score]],"&lt;60")</f>
        <v>0</v>
      </c>
      <c r="R89" t="str">
        <f>IF(Table1[[#This Row],[Fail Count]]&gt;=2,"At risk","OK")</f>
        <v>OK</v>
      </c>
    </row>
    <row r="90" spans="1:18">
      <c r="A90" t="str">
        <f t="shared" si="1"/>
        <v>Stu-089</v>
      </c>
      <c r="B90" t="s">
        <v>11</v>
      </c>
      <c r="C90" t="s">
        <v>28</v>
      </c>
      <c r="D90" t="s">
        <v>20</v>
      </c>
      <c r="E90" t="s">
        <v>14</v>
      </c>
      <c r="F90" t="s">
        <v>15</v>
      </c>
      <c r="G90" s="16">
        <v>58</v>
      </c>
      <c r="H90">
        <f>RANK(G90,$G$2:$G$1001,0)+COUNTIF($G$2:G90,G90)-1</f>
        <v>714</v>
      </c>
      <c r="I90" t="str">
        <f>INDEX('Boundary table'!$B$3:$B$7,MATCH(G90,'Boundary table'!$A$3:$A$7,1))</f>
        <v>F</v>
      </c>
      <c r="J90" s="16">
        <v>70</v>
      </c>
      <c r="K90">
        <f>RANK(J90,$J$2:$J$1001,0)+COUNTIF($J$2:J90,J90)-1</f>
        <v>490</v>
      </c>
      <c r="L90" t="str">
        <f>INDEX('Boundary table'!$B$3:$B$7,MATCH(J90,'Boundary table'!$A$3:$A$7,1))</f>
        <v>C</v>
      </c>
      <c r="M90" s="16">
        <v>67</v>
      </c>
      <c r="N90">
        <f>RANK(M90,$M$2:$M$1001,0)+COUNTIF($M$2:M90,M90)-1</f>
        <v>545</v>
      </c>
      <c r="O90" t="str">
        <f>INDEX('Boundary table'!$B$3:$B$7,MATCH(M90,'Boundary table'!$A$3:$A$7))</f>
        <v>D</v>
      </c>
      <c r="P90">
        <f>Table1[[#This Row],[Math Score]]+Table1[[#This Row],[Reading Score]]+Table1[[#This Row],[Writing Score]]</f>
        <v>195</v>
      </c>
      <c r="Q90" s="16">
        <f>COUNTIF(Table1[[#This Row],[Math Score]],"&lt;60")+COUNTIF(Table1[[#This Row],[Reading Score]],"&lt;60")+COUNTIF(Table1[[#This Row],[Writing Score]],"&lt;60")</f>
        <v>1</v>
      </c>
      <c r="R90" t="str">
        <f>IF(Table1[[#This Row],[Fail Count]]&gt;=2,"At risk","OK")</f>
        <v>OK</v>
      </c>
    </row>
    <row r="91" spans="1:18">
      <c r="A91" t="str">
        <f t="shared" si="1"/>
        <v>Stu-090</v>
      </c>
      <c r="B91" t="s">
        <v>11</v>
      </c>
      <c r="C91" t="s">
        <v>31</v>
      </c>
      <c r="D91" t="s">
        <v>33</v>
      </c>
      <c r="E91" t="s">
        <v>14</v>
      </c>
      <c r="F91" t="s">
        <v>15</v>
      </c>
      <c r="G91" s="16">
        <v>73</v>
      </c>
      <c r="H91">
        <f>RANK(G91,$G$2:$G$1001,0)+COUNTIF($G$2:G91,G91)-1</f>
        <v>323</v>
      </c>
      <c r="I91" t="str">
        <f>INDEX('Boundary table'!$B$3:$B$7,MATCH(G91,'Boundary table'!$A$3:$A$7,1))</f>
        <v>C</v>
      </c>
      <c r="J91" s="16">
        <v>86</v>
      </c>
      <c r="K91">
        <f>RANK(J91,$J$2:$J$1001,0)+COUNTIF($J$2:J91,J91)-1</f>
        <v>114</v>
      </c>
      <c r="L91" t="str">
        <f>INDEX('Boundary table'!$B$3:$B$7,MATCH(J91,'Boundary table'!$A$3:$A$7,1))</f>
        <v>B</v>
      </c>
      <c r="M91" s="16">
        <v>82</v>
      </c>
      <c r="N91">
        <f>RANK(M91,$M$2:$M$1001,0)+COUNTIF($M$2:M91,M91)-1</f>
        <v>168</v>
      </c>
      <c r="O91" t="str">
        <f>INDEX('Boundary table'!$B$3:$B$7,MATCH(M91,'Boundary table'!$A$3:$A$7))</f>
        <v>B</v>
      </c>
      <c r="P91">
        <f>Table1[[#This Row],[Math Score]]+Table1[[#This Row],[Reading Score]]+Table1[[#This Row],[Writing Score]]</f>
        <v>241</v>
      </c>
      <c r="Q91" s="16">
        <f>COUNTIF(Table1[[#This Row],[Math Score]],"&lt;60")+COUNTIF(Table1[[#This Row],[Reading Score]],"&lt;60")+COUNTIF(Table1[[#This Row],[Writing Score]],"&lt;60")</f>
        <v>0</v>
      </c>
      <c r="R91" t="str">
        <f>IF(Table1[[#This Row],[Fail Count]]&gt;=2,"At risk","OK")</f>
        <v>OK</v>
      </c>
    </row>
    <row r="92" spans="1:18">
      <c r="A92" t="str">
        <f t="shared" si="1"/>
        <v>Stu-091</v>
      </c>
      <c r="B92" t="s">
        <v>11</v>
      </c>
      <c r="C92" t="s">
        <v>19</v>
      </c>
      <c r="D92" t="s">
        <v>13</v>
      </c>
      <c r="E92" t="s">
        <v>14</v>
      </c>
      <c r="F92" t="s">
        <v>15</v>
      </c>
      <c r="G92" s="16">
        <v>65</v>
      </c>
      <c r="H92">
        <f>RANK(G92,$G$2:$G$1001,0)+COUNTIF($G$2:G92,G92)-1</f>
        <v>521</v>
      </c>
      <c r="I92" t="str">
        <f>INDEX('Boundary table'!$B$3:$B$7,MATCH(G92,'Boundary table'!$A$3:$A$7,1))</f>
        <v>D</v>
      </c>
      <c r="J92" s="16">
        <v>72</v>
      </c>
      <c r="K92">
        <f>RANK(J92,$J$2:$J$1001,0)+COUNTIF($J$2:J92,J92)-1</f>
        <v>438</v>
      </c>
      <c r="L92" t="str">
        <f>INDEX('Boundary table'!$B$3:$B$7,MATCH(J92,'Boundary table'!$A$3:$A$7,1))</f>
        <v>C</v>
      </c>
      <c r="M92" s="16">
        <v>74</v>
      </c>
      <c r="N92">
        <f>RANK(M92,$M$2:$M$1001,0)+COUNTIF($M$2:M92,M92)-1</f>
        <v>355</v>
      </c>
      <c r="O92" t="str">
        <f>INDEX('Boundary table'!$B$3:$B$7,MATCH(M92,'Boundary table'!$A$3:$A$7))</f>
        <v>C</v>
      </c>
      <c r="P92">
        <f>Table1[[#This Row],[Math Score]]+Table1[[#This Row],[Reading Score]]+Table1[[#This Row],[Writing Score]]</f>
        <v>211</v>
      </c>
      <c r="Q92" s="16">
        <f>COUNTIF(Table1[[#This Row],[Math Score]],"&lt;60")+COUNTIF(Table1[[#This Row],[Reading Score]],"&lt;60")+COUNTIF(Table1[[#This Row],[Writing Score]],"&lt;60")</f>
        <v>0</v>
      </c>
      <c r="R92" t="str">
        <f>IF(Table1[[#This Row],[Fail Count]]&gt;=2,"At risk","OK")</f>
        <v>OK</v>
      </c>
    </row>
    <row r="93" spans="1:18">
      <c r="A93" t="str">
        <f t="shared" si="1"/>
        <v>Stu-092</v>
      </c>
      <c r="B93" t="s">
        <v>27</v>
      </c>
      <c r="C93" t="s">
        <v>19</v>
      </c>
      <c r="D93" t="s">
        <v>32</v>
      </c>
      <c r="E93" t="s">
        <v>30</v>
      </c>
      <c r="F93" t="s">
        <v>15</v>
      </c>
      <c r="G93" s="16">
        <v>27</v>
      </c>
      <c r="H93">
        <f>RANK(G93,$G$2:$G$1001,0)+COUNTIF($G$2:G93,G93)-1</f>
        <v>991</v>
      </c>
      <c r="I93" t="str">
        <f>INDEX('Boundary table'!$B$3:$B$7,MATCH(G93,'Boundary table'!$A$3:$A$7,1))</f>
        <v>F</v>
      </c>
      <c r="J93" s="16">
        <v>34</v>
      </c>
      <c r="K93">
        <f>RANK(J93,$J$2:$J$1001,0)+COUNTIF($J$2:J93,J93)-1</f>
        <v>986</v>
      </c>
      <c r="L93" t="str">
        <f>INDEX('Boundary table'!$B$3:$B$7,MATCH(J93,'Boundary table'!$A$3:$A$7,1))</f>
        <v>F</v>
      </c>
      <c r="M93" s="16">
        <v>36</v>
      </c>
      <c r="N93">
        <f>RANK(M93,$M$2:$M$1001,0)+COUNTIF($M$2:M93,M93)-1</f>
        <v>979</v>
      </c>
      <c r="O93" t="str">
        <f>INDEX('Boundary table'!$B$3:$B$7,MATCH(M93,'Boundary table'!$A$3:$A$7))</f>
        <v>F</v>
      </c>
      <c r="P93">
        <f>Table1[[#This Row],[Math Score]]+Table1[[#This Row],[Reading Score]]+Table1[[#This Row],[Writing Score]]</f>
        <v>97</v>
      </c>
      <c r="Q93" s="16">
        <f>COUNTIF(Table1[[#This Row],[Math Score]],"&lt;60")+COUNTIF(Table1[[#This Row],[Reading Score]],"&lt;60")+COUNTIF(Table1[[#This Row],[Writing Score]],"&lt;60")</f>
        <v>3</v>
      </c>
      <c r="R93" t="str">
        <f>IF(Table1[[#This Row],[Fail Count]]&gt;=2,"At risk","OK")</f>
        <v>At risk</v>
      </c>
    </row>
    <row r="94" spans="1:18">
      <c r="A94" t="str">
        <f t="shared" si="1"/>
        <v>Stu-093</v>
      </c>
      <c r="B94" t="s">
        <v>27</v>
      </c>
      <c r="C94" t="s">
        <v>19</v>
      </c>
      <c r="D94" t="s">
        <v>32</v>
      </c>
      <c r="E94" t="s">
        <v>14</v>
      </c>
      <c r="F94" t="s">
        <v>15</v>
      </c>
      <c r="G94" s="16">
        <v>71</v>
      </c>
      <c r="H94">
        <f>RANK(G94,$G$2:$G$1001,0)+COUNTIF($G$2:G94,G94)-1</f>
        <v>369</v>
      </c>
      <c r="I94" t="str">
        <f>INDEX('Boundary table'!$B$3:$B$7,MATCH(G94,'Boundary table'!$A$3:$A$7,1))</f>
        <v>C</v>
      </c>
      <c r="J94" s="16">
        <v>79</v>
      </c>
      <c r="K94">
        <f>RANK(J94,$J$2:$J$1001,0)+COUNTIF($J$2:J94,J94)-1</f>
        <v>250</v>
      </c>
      <c r="L94" t="str">
        <f>INDEX('Boundary table'!$B$3:$B$7,MATCH(J94,'Boundary table'!$A$3:$A$7,1))</f>
        <v>C</v>
      </c>
      <c r="M94" s="16">
        <v>71</v>
      </c>
      <c r="N94">
        <f>RANK(M94,$M$2:$M$1001,0)+COUNTIF($M$2:M94,M94)-1</f>
        <v>440</v>
      </c>
      <c r="O94" t="str">
        <f>INDEX('Boundary table'!$B$3:$B$7,MATCH(M94,'Boundary table'!$A$3:$A$7))</f>
        <v>C</v>
      </c>
      <c r="P94">
        <f>Table1[[#This Row],[Math Score]]+Table1[[#This Row],[Reading Score]]+Table1[[#This Row],[Writing Score]]</f>
        <v>221</v>
      </c>
      <c r="Q94" s="16">
        <f>COUNTIF(Table1[[#This Row],[Math Score]],"&lt;60")+COUNTIF(Table1[[#This Row],[Reading Score]],"&lt;60")+COUNTIF(Table1[[#This Row],[Writing Score]],"&lt;60")</f>
        <v>0</v>
      </c>
      <c r="R94" t="str">
        <f>IF(Table1[[#This Row],[Fail Count]]&gt;=2,"At risk","OK")</f>
        <v>OK</v>
      </c>
    </row>
    <row r="95" spans="1:18">
      <c r="A95" t="str">
        <f t="shared" si="1"/>
        <v>Stu-094</v>
      </c>
      <c r="B95" t="s">
        <v>27</v>
      </c>
      <c r="C95" t="s">
        <v>19</v>
      </c>
      <c r="D95" t="s">
        <v>29</v>
      </c>
      <c r="E95" t="s">
        <v>30</v>
      </c>
      <c r="F95" t="s">
        <v>21</v>
      </c>
      <c r="G95" s="16">
        <v>43</v>
      </c>
      <c r="H95">
        <f>RANK(G95,$G$2:$G$1001,0)+COUNTIF($G$2:G95,G95)-1</f>
        <v>934</v>
      </c>
      <c r="I95" t="str">
        <f>INDEX('Boundary table'!$B$3:$B$7,MATCH(G95,'Boundary table'!$A$3:$A$7,1))</f>
        <v>F</v>
      </c>
      <c r="J95" s="16">
        <v>45</v>
      </c>
      <c r="K95">
        <f>RANK(J95,$J$2:$J$1001,0)+COUNTIF($J$2:J95,J95)-1</f>
        <v>942</v>
      </c>
      <c r="L95" t="str">
        <f>INDEX('Boundary table'!$B$3:$B$7,MATCH(J95,'Boundary table'!$A$3:$A$7,1))</f>
        <v>F</v>
      </c>
      <c r="M95" s="16">
        <v>50</v>
      </c>
      <c r="N95">
        <f>RANK(M95,$M$2:$M$1001,0)+COUNTIF($M$2:M95,M95)-1</f>
        <v>879</v>
      </c>
      <c r="O95" t="str">
        <f>INDEX('Boundary table'!$B$3:$B$7,MATCH(M95,'Boundary table'!$A$3:$A$7))</f>
        <v>F</v>
      </c>
      <c r="P95">
        <f>Table1[[#This Row],[Math Score]]+Table1[[#This Row],[Reading Score]]+Table1[[#This Row],[Writing Score]]</f>
        <v>138</v>
      </c>
      <c r="Q95" s="16">
        <f>COUNTIF(Table1[[#This Row],[Math Score]],"&lt;60")+COUNTIF(Table1[[#This Row],[Reading Score]],"&lt;60")+COUNTIF(Table1[[#This Row],[Writing Score]],"&lt;60")</f>
        <v>3</v>
      </c>
      <c r="R95" t="str">
        <f>IF(Table1[[#This Row],[Fail Count]]&gt;=2,"At risk","OK")</f>
        <v>At risk</v>
      </c>
    </row>
    <row r="96" spans="1:18">
      <c r="A96" t="str">
        <f t="shared" si="1"/>
        <v>Stu-095</v>
      </c>
      <c r="B96" t="s">
        <v>11</v>
      </c>
      <c r="C96" t="s">
        <v>12</v>
      </c>
      <c r="D96" t="s">
        <v>20</v>
      </c>
      <c r="E96" t="s">
        <v>14</v>
      </c>
      <c r="F96" t="s">
        <v>15</v>
      </c>
      <c r="G96" s="16">
        <v>79</v>
      </c>
      <c r="H96">
        <f>RANK(G96,$G$2:$G$1001,0)+COUNTIF($G$2:G96,G96)-1</f>
        <v>195</v>
      </c>
      <c r="I96" t="str">
        <f>INDEX('Boundary table'!$B$3:$B$7,MATCH(G96,'Boundary table'!$A$3:$A$7,1))</f>
        <v>C</v>
      </c>
      <c r="J96" s="16">
        <v>86</v>
      </c>
      <c r="K96">
        <f>RANK(J96,$J$2:$J$1001,0)+COUNTIF($J$2:J96,J96)-1</f>
        <v>115</v>
      </c>
      <c r="L96" t="str">
        <f>INDEX('Boundary table'!$B$3:$B$7,MATCH(J96,'Boundary table'!$A$3:$A$7,1))</f>
        <v>B</v>
      </c>
      <c r="M96" s="16">
        <v>92</v>
      </c>
      <c r="N96">
        <f>RANK(M96,$M$2:$M$1001,0)+COUNTIF($M$2:M96,M96)-1</f>
        <v>50</v>
      </c>
      <c r="O96" t="str">
        <f>INDEX('Boundary table'!$B$3:$B$7,MATCH(M96,'Boundary table'!$A$3:$A$7))</f>
        <v>A</v>
      </c>
      <c r="P96">
        <f>Table1[[#This Row],[Math Score]]+Table1[[#This Row],[Reading Score]]+Table1[[#This Row],[Writing Score]]</f>
        <v>257</v>
      </c>
      <c r="Q96" s="16">
        <f>COUNTIF(Table1[[#This Row],[Math Score]],"&lt;60")+COUNTIF(Table1[[#This Row],[Reading Score]],"&lt;60")+COUNTIF(Table1[[#This Row],[Writing Score]],"&lt;60")</f>
        <v>0</v>
      </c>
      <c r="R96" t="str">
        <f>IF(Table1[[#This Row],[Fail Count]]&gt;=2,"At risk","OK")</f>
        <v>OK</v>
      </c>
    </row>
    <row r="97" spans="1:18">
      <c r="A97" t="str">
        <f t="shared" si="1"/>
        <v>Stu-096</v>
      </c>
      <c r="B97" t="s">
        <v>27</v>
      </c>
      <c r="C97" t="s">
        <v>19</v>
      </c>
      <c r="D97" t="s">
        <v>29</v>
      </c>
      <c r="E97" t="s">
        <v>30</v>
      </c>
      <c r="F97" t="s">
        <v>21</v>
      </c>
      <c r="G97" s="16">
        <v>78</v>
      </c>
      <c r="H97">
        <f>RANK(G97,$G$2:$G$1001,0)+COUNTIF($G$2:G97,G97)-1</f>
        <v>217</v>
      </c>
      <c r="I97" t="str">
        <f>INDEX('Boundary table'!$B$3:$B$7,MATCH(G97,'Boundary table'!$A$3:$A$7,1))</f>
        <v>C</v>
      </c>
      <c r="J97" s="16">
        <v>81</v>
      </c>
      <c r="K97">
        <f>RANK(J97,$J$2:$J$1001,0)+COUNTIF($J$2:J97,J97)-1</f>
        <v>214</v>
      </c>
      <c r="L97" t="str">
        <f>INDEX('Boundary table'!$B$3:$B$7,MATCH(J97,'Boundary table'!$A$3:$A$7,1))</f>
        <v>B</v>
      </c>
      <c r="M97" s="16">
        <v>82</v>
      </c>
      <c r="N97">
        <f>RANK(M97,$M$2:$M$1001,0)+COUNTIF($M$2:M97,M97)-1</f>
        <v>169</v>
      </c>
      <c r="O97" t="str">
        <f>INDEX('Boundary table'!$B$3:$B$7,MATCH(M97,'Boundary table'!$A$3:$A$7))</f>
        <v>B</v>
      </c>
      <c r="P97">
        <f>Table1[[#This Row],[Math Score]]+Table1[[#This Row],[Reading Score]]+Table1[[#This Row],[Writing Score]]</f>
        <v>241</v>
      </c>
      <c r="Q97" s="16">
        <f>COUNTIF(Table1[[#This Row],[Math Score]],"&lt;60")+COUNTIF(Table1[[#This Row],[Reading Score]],"&lt;60")+COUNTIF(Table1[[#This Row],[Writing Score]],"&lt;60")</f>
        <v>0</v>
      </c>
      <c r="R97" t="str">
        <f>IF(Table1[[#This Row],[Fail Count]]&gt;=2,"At risk","OK")</f>
        <v>OK</v>
      </c>
    </row>
    <row r="98" spans="1:18">
      <c r="A98" t="str">
        <f t="shared" si="1"/>
        <v>Stu-097</v>
      </c>
      <c r="B98" t="s">
        <v>27</v>
      </c>
      <c r="C98" t="s">
        <v>12</v>
      </c>
      <c r="D98" t="s">
        <v>33</v>
      </c>
      <c r="E98" t="s">
        <v>14</v>
      </c>
      <c r="F98" t="s">
        <v>21</v>
      </c>
      <c r="G98" s="16">
        <v>65</v>
      </c>
      <c r="H98">
        <f>RANK(G98,$G$2:$G$1001,0)+COUNTIF($G$2:G98,G98)-1</f>
        <v>522</v>
      </c>
      <c r="I98" t="str">
        <f>INDEX('Boundary table'!$B$3:$B$7,MATCH(G98,'Boundary table'!$A$3:$A$7,1))</f>
        <v>D</v>
      </c>
      <c r="J98" s="16">
        <v>66</v>
      </c>
      <c r="K98">
        <f>RANK(J98,$J$2:$J$1001,0)+COUNTIF($J$2:J98,J98)-1</f>
        <v>582</v>
      </c>
      <c r="L98" t="str">
        <f>INDEX('Boundary table'!$B$3:$B$7,MATCH(J98,'Boundary table'!$A$3:$A$7,1))</f>
        <v>D</v>
      </c>
      <c r="M98" s="16">
        <v>62</v>
      </c>
      <c r="N98">
        <f>RANK(M98,$M$2:$M$1001,0)+COUNTIF($M$2:M98,M98)-1</f>
        <v>653</v>
      </c>
      <c r="O98" t="str">
        <f>INDEX('Boundary table'!$B$3:$B$7,MATCH(M98,'Boundary table'!$A$3:$A$7))</f>
        <v>D</v>
      </c>
      <c r="P98">
        <f>Table1[[#This Row],[Math Score]]+Table1[[#This Row],[Reading Score]]+Table1[[#This Row],[Writing Score]]</f>
        <v>193</v>
      </c>
      <c r="Q98" s="16">
        <f>COUNTIF(Table1[[#This Row],[Math Score]],"&lt;60")+COUNTIF(Table1[[#This Row],[Reading Score]],"&lt;60")+COUNTIF(Table1[[#This Row],[Writing Score]],"&lt;60")</f>
        <v>0</v>
      </c>
      <c r="R98" t="str">
        <f>IF(Table1[[#This Row],[Fail Count]]&gt;=2,"At risk","OK")</f>
        <v>OK</v>
      </c>
    </row>
    <row r="99" spans="1:18">
      <c r="A99" t="str">
        <f t="shared" si="1"/>
        <v>Stu-098</v>
      </c>
      <c r="B99" t="s">
        <v>11</v>
      </c>
      <c r="C99" t="s">
        <v>34</v>
      </c>
      <c r="D99" t="s">
        <v>20</v>
      </c>
      <c r="E99" t="s">
        <v>14</v>
      </c>
      <c r="F99" t="s">
        <v>21</v>
      </c>
      <c r="G99" s="16">
        <v>63</v>
      </c>
      <c r="H99">
        <f>RANK(G99,$G$2:$G$1001,0)+COUNTIF($G$2:G99,G99)-1</f>
        <v>576</v>
      </c>
      <c r="I99" t="str">
        <f>INDEX('Boundary table'!$B$3:$B$7,MATCH(G99,'Boundary table'!$A$3:$A$7,1))</f>
        <v>D</v>
      </c>
      <c r="J99" s="16">
        <v>72</v>
      </c>
      <c r="K99">
        <f>RANK(J99,$J$2:$J$1001,0)+COUNTIF($J$2:J99,J99)-1</f>
        <v>439</v>
      </c>
      <c r="L99" t="str">
        <f>INDEX('Boundary table'!$B$3:$B$7,MATCH(J99,'Boundary table'!$A$3:$A$7,1))</f>
        <v>C</v>
      </c>
      <c r="M99" s="16">
        <v>70</v>
      </c>
      <c r="N99">
        <f>RANK(M99,$M$2:$M$1001,0)+COUNTIF($M$2:M99,M99)-1</f>
        <v>459</v>
      </c>
      <c r="O99" t="str">
        <f>INDEX('Boundary table'!$B$3:$B$7,MATCH(M99,'Boundary table'!$A$3:$A$7))</f>
        <v>C</v>
      </c>
      <c r="P99">
        <f>Table1[[#This Row],[Math Score]]+Table1[[#This Row],[Reading Score]]+Table1[[#This Row],[Writing Score]]</f>
        <v>205</v>
      </c>
      <c r="Q99" s="16">
        <f>COUNTIF(Table1[[#This Row],[Math Score]],"&lt;60")+COUNTIF(Table1[[#This Row],[Reading Score]],"&lt;60")+COUNTIF(Table1[[#This Row],[Writing Score]],"&lt;60")</f>
        <v>0</v>
      </c>
      <c r="R99" t="str">
        <f>IF(Table1[[#This Row],[Fail Count]]&gt;=2,"At risk","OK")</f>
        <v>OK</v>
      </c>
    </row>
    <row r="100" spans="1:18">
      <c r="A100" t="str">
        <f t="shared" si="1"/>
        <v>Stu-099</v>
      </c>
      <c r="B100" t="s">
        <v>11</v>
      </c>
      <c r="C100" t="s">
        <v>31</v>
      </c>
      <c r="D100" t="s">
        <v>20</v>
      </c>
      <c r="E100" t="s">
        <v>30</v>
      </c>
      <c r="F100" t="s">
        <v>15</v>
      </c>
      <c r="G100" s="16">
        <v>58</v>
      </c>
      <c r="H100">
        <f>RANK(G100,$G$2:$G$1001,0)+COUNTIF($G$2:G100,G100)-1</f>
        <v>715</v>
      </c>
      <c r="I100" t="str">
        <f>INDEX('Boundary table'!$B$3:$B$7,MATCH(G100,'Boundary table'!$A$3:$A$7,1))</f>
        <v>F</v>
      </c>
      <c r="J100" s="16">
        <v>67</v>
      </c>
      <c r="K100">
        <f>RANK(J100,$J$2:$J$1001,0)+COUNTIF($J$2:J100,J100)-1</f>
        <v>552</v>
      </c>
      <c r="L100" t="str">
        <f>INDEX('Boundary table'!$B$3:$B$7,MATCH(J100,'Boundary table'!$A$3:$A$7,1))</f>
        <v>D</v>
      </c>
      <c r="M100" s="16">
        <v>62</v>
      </c>
      <c r="N100">
        <f>RANK(M100,$M$2:$M$1001,0)+COUNTIF($M$2:M100,M100)-1</f>
        <v>654</v>
      </c>
      <c r="O100" t="str">
        <f>INDEX('Boundary table'!$B$3:$B$7,MATCH(M100,'Boundary table'!$A$3:$A$7))</f>
        <v>D</v>
      </c>
      <c r="P100">
        <f>Table1[[#This Row],[Math Score]]+Table1[[#This Row],[Reading Score]]+Table1[[#This Row],[Writing Score]]</f>
        <v>187</v>
      </c>
      <c r="Q100" s="16">
        <f>COUNTIF(Table1[[#This Row],[Math Score]],"&lt;60")+COUNTIF(Table1[[#This Row],[Reading Score]],"&lt;60")+COUNTIF(Table1[[#This Row],[Writing Score]],"&lt;60")</f>
        <v>1</v>
      </c>
      <c r="R100" t="str">
        <f>IF(Table1[[#This Row],[Fail Count]]&gt;=2,"At risk","OK")</f>
        <v>OK</v>
      </c>
    </row>
    <row r="101" spans="1:18">
      <c r="A101" t="str">
        <f t="shared" si="1"/>
        <v>Stu-100</v>
      </c>
      <c r="B101" t="s">
        <v>11</v>
      </c>
      <c r="C101" t="s">
        <v>31</v>
      </c>
      <c r="D101" t="s">
        <v>13</v>
      </c>
      <c r="E101" t="s">
        <v>14</v>
      </c>
      <c r="F101" t="s">
        <v>15</v>
      </c>
      <c r="G101" s="16">
        <v>65</v>
      </c>
      <c r="H101">
        <f>RANK(G101,$G$2:$G$1001,0)+COUNTIF($G$2:G101,G101)-1</f>
        <v>523</v>
      </c>
      <c r="I101" t="str">
        <f>INDEX('Boundary table'!$B$3:$B$7,MATCH(G101,'Boundary table'!$A$3:$A$7,1))</f>
        <v>D</v>
      </c>
      <c r="J101" s="16">
        <v>67</v>
      </c>
      <c r="K101">
        <f>RANK(J101,$J$2:$J$1001,0)+COUNTIF($J$2:J101,J101)-1</f>
        <v>553</v>
      </c>
      <c r="L101" t="str">
        <f>INDEX('Boundary table'!$B$3:$B$7,MATCH(J101,'Boundary table'!$A$3:$A$7,1))</f>
        <v>D</v>
      </c>
      <c r="M101" s="16">
        <v>62</v>
      </c>
      <c r="N101">
        <f>RANK(M101,$M$2:$M$1001,0)+COUNTIF($M$2:M101,M101)-1</f>
        <v>655</v>
      </c>
      <c r="O101" t="str">
        <f>INDEX('Boundary table'!$B$3:$B$7,MATCH(M101,'Boundary table'!$A$3:$A$7))</f>
        <v>D</v>
      </c>
      <c r="P101">
        <f>Table1[[#This Row],[Math Score]]+Table1[[#This Row],[Reading Score]]+Table1[[#This Row],[Writing Score]]</f>
        <v>194</v>
      </c>
      <c r="Q101" s="16">
        <f>COUNTIF(Table1[[#This Row],[Math Score]],"&lt;60")+COUNTIF(Table1[[#This Row],[Reading Score]],"&lt;60")+COUNTIF(Table1[[#This Row],[Writing Score]],"&lt;60")</f>
        <v>0</v>
      </c>
      <c r="R101" t="str">
        <f>IF(Table1[[#This Row],[Fail Count]]&gt;=2,"At risk","OK")</f>
        <v>OK</v>
      </c>
    </row>
    <row r="102" spans="1:18">
      <c r="A102" t="str">
        <f t="shared" si="1"/>
        <v>Stu-101</v>
      </c>
      <c r="B102" t="s">
        <v>27</v>
      </c>
      <c r="C102" t="s">
        <v>12</v>
      </c>
      <c r="D102" t="s">
        <v>20</v>
      </c>
      <c r="E102" t="s">
        <v>14</v>
      </c>
      <c r="F102" t="s">
        <v>15</v>
      </c>
      <c r="G102" s="16">
        <v>79</v>
      </c>
      <c r="H102">
        <f>RANK(G102,$G$2:$G$1001,0)+COUNTIF($G$2:G102,G102)-1</f>
        <v>196</v>
      </c>
      <c r="I102" t="str">
        <f>INDEX('Boundary table'!$B$3:$B$7,MATCH(G102,'Boundary table'!$A$3:$A$7,1))</f>
        <v>C</v>
      </c>
      <c r="J102" s="16">
        <v>67</v>
      </c>
      <c r="K102">
        <f>RANK(J102,$J$2:$J$1001,0)+COUNTIF($J$2:J102,J102)-1</f>
        <v>554</v>
      </c>
      <c r="L102" t="str">
        <f>INDEX('Boundary table'!$B$3:$B$7,MATCH(J102,'Boundary table'!$A$3:$A$7,1))</f>
        <v>D</v>
      </c>
      <c r="M102" s="16">
        <v>67</v>
      </c>
      <c r="N102">
        <f>RANK(M102,$M$2:$M$1001,0)+COUNTIF($M$2:M102,M102)-1</f>
        <v>546</v>
      </c>
      <c r="O102" t="str">
        <f>INDEX('Boundary table'!$B$3:$B$7,MATCH(M102,'Boundary table'!$A$3:$A$7))</f>
        <v>D</v>
      </c>
      <c r="P102">
        <f>Table1[[#This Row],[Math Score]]+Table1[[#This Row],[Reading Score]]+Table1[[#This Row],[Writing Score]]</f>
        <v>213</v>
      </c>
      <c r="Q102" s="16">
        <f>COUNTIF(Table1[[#This Row],[Math Score]],"&lt;60")+COUNTIF(Table1[[#This Row],[Reading Score]],"&lt;60")+COUNTIF(Table1[[#This Row],[Writing Score]],"&lt;60")</f>
        <v>0</v>
      </c>
      <c r="R102" t="str">
        <f>IF(Table1[[#This Row],[Fail Count]]&gt;=2,"At risk","OK")</f>
        <v>OK</v>
      </c>
    </row>
    <row r="103" spans="1:18">
      <c r="A103" t="str">
        <f t="shared" si="1"/>
        <v>Stu-102</v>
      </c>
      <c r="B103" t="s">
        <v>27</v>
      </c>
      <c r="C103" t="s">
        <v>31</v>
      </c>
      <c r="D103" t="s">
        <v>13</v>
      </c>
      <c r="E103" t="s">
        <v>14</v>
      </c>
      <c r="F103" t="s">
        <v>21</v>
      </c>
      <c r="G103" s="16">
        <v>68</v>
      </c>
      <c r="H103">
        <f>RANK(G103,$G$2:$G$1001,0)+COUNTIF($G$2:G103,G103)-1</f>
        <v>442</v>
      </c>
      <c r="I103" t="str">
        <f>INDEX('Boundary table'!$B$3:$B$7,MATCH(G103,'Boundary table'!$A$3:$A$7,1))</f>
        <v>D</v>
      </c>
      <c r="J103" s="16">
        <v>74</v>
      </c>
      <c r="K103">
        <f>RANK(J103,$J$2:$J$1001,0)+COUNTIF($J$2:J103,J103)-1</f>
        <v>376</v>
      </c>
      <c r="L103" t="str">
        <f>INDEX('Boundary table'!$B$3:$B$7,MATCH(J103,'Boundary table'!$A$3:$A$7,1))</f>
        <v>C</v>
      </c>
      <c r="M103" s="16">
        <v>74</v>
      </c>
      <c r="N103">
        <f>RANK(M103,$M$2:$M$1001,0)+COUNTIF($M$2:M103,M103)-1</f>
        <v>356</v>
      </c>
      <c r="O103" t="str">
        <f>INDEX('Boundary table'!$B$3:$B$7,MATCH(M103,'Boundary table'!$A$3:$A$7))</f>
        <v>C</v>
      </c>
      <c r="P103">
        <f>Table1[[#This Row],[Math Score]]+Table1[[#This Row],[Reading Score]]+Table1[[#This Row],[Writing Score]]</f>
        <v>216</v>
      </c>
      <c r="Q103" s="16">
        <f>COUNTIF(Table1[[#This Row],[Math Score]],"&lt;60")+COUNTIF(Table1[[#This Row],[Reading Score]],"&lt;60")+COUNTIF(Table1[[#This Row],[Writing Score]],"&lt;60")</f>
        <v>0</v>
      </c>
      <c r="R103" t="str">
        <f>IF(Table1[[#This Row],[Fail Count]]&gt;=2,"At risk","OK")</f>
        <v>OK</v>
      </c>
    </row>
    <row r="104" spans="1:18">
      <c r="A104" t="str">
        <f t="shared" si="1"/>
        <v>Stu-103</v>
      </c>
      <c r="B104" t="s">
        <v>11</v>
      </c>
      <c r="C104" t="s">
        <v>31</v>
      </c>
      <c r="D104" t="s">
        <v>29</v>
      </c>
      <c r="E104" t="s">
        <v>14</v>
      </c>
      <c r="F104" t="s">
        <v>15</v>
      </c>
      <c r="G104" s="16">
        <v>85</v>
      </c>
      <c r="H104">
        <f>RANK(G104,$G$2:$G$1001,0)+COUNTIF($G$2:G104,G104)-1</f>
        <v>104</v>
      </c>
      <c r="I104" t="str">
        <f>INDEX('Boundary table'!$B$3:$B$7,MATCH(G104,'Boundary table'!$A$3:$A$7,1))</f>
        <v>B</v>
      </c>
      <c r="J104" s="16">
        <v>91</v>
      </c>
      <c r="K104">
        <f>RANK(J104,$J$2:$J$1001,0)+COUNTIF($J$2:J104,J104)-1</f>
        <v>57</v>
      </c>
      <c r="L104" t="str">
        <f>INDEX('Boundary table'!$B$3:$B$7,MATCH(J104,'Boundary table'!$A$3:$A$7,1))</f>
        <v>A</v>
      </c>
      <c r="M104" s="16">
        <v>89</v>
      </c>
      <c r="N104">
        <f>RANK(M104,$M$2:$M$1001,0)+COUNTIF($M$2:M104,M104)-1</f>
        <v>79</v>
      </c>
      <c r="O104" t="str">
        <f>INDEX('Boundary table'!$B$3:$B$7,MATCH(M104,'Boundary table'!$A$3:$A$7))</f>
        <v>B</v>
      </c>
      <c r="P104">
        <f>Table1[[#This Row],[Math Score]]+Table1[[#This Row],[Reading Score]]+Table1[[#This Row],[Writing Score]]</f>
        <v>265</v>
      </c>
      <c r="Q104" s="16">
        <f>COUNTIF(Table1[[#This Row],[Math Score]],"&lt;60")+COUNTIF(Table1[[#This Row],[Reading Score]],"&lt;60")+COUNTIF(Table1[[#This Row],[Writing Score]],"&lt;60")</f>
        <v>0</v>
      </c>
      <c r="R104" t="str">
        <f>IF(Table1[[#This Row],[Fail Count]]&gt;=2,"At risk","OK")</f>
        <v>OK</v>
      </c>
    </row>
    <row r="105" spans="1:18">
      <c r="A105" t="str">
        <f t="shared" si="1"/>
        <v>Stu-104</v>
      </c>
      <c r="B105" t="s">
        <v>27</v>
      </c>
      <c r="C105" t="s">
        <v>12</v>
      </c>
      <c r="D105" t="s">
        <v>32</v>
      </c>
      <c r="E105" t="s">
        <v>14</v>
      </c>
      <c r="F105" t="s">
        <v>21</v>
      </c>
      <c r="G105" s="16">
        <v>60</v>
      </c>
      <c r="H105">
        <f>RANK(G105,$G$2:$G$1001,0)+COUNTIF($G$2:G105,G105)-1</f>
        <v>663</v>
      </c>
      <c r="I105" t="str">
        <f>INDEX('Boundary table'!$B$3:$B$7,MATCH(G105,'Boundary table'!$A$3:$A$7,1))</f>
        <v>D</v>
      </c>
      <c r="J105" s="16">
        <v>44</v>
      </c>
      <c r="K105">
        <f>RANK(J105,$J$2:$J$1001,0)+COUNTIF($J$2:J105,J105)-1</f>
        <v>949</v>
      </c>
      <c r="L105" t="str">
        <f>INDEX('Boundary table'!$B$3:$B$7,MATCH(J105,'Boundary table'!$A$3:$A$7,1))</f>
        <v>F</v>
      </c>
      <c r="M105" s="16">
        <v>47</v>
      </c>
      <c r="N105">
        <f>RANK(M105,$M$2:$M$1001,0)+COUNTIF($M$2:M105,M105)-1</f>
        <v>904</v>
      </c>
      <c r="O105" t="str">
        <f>INDEX('Boundary table'!$B$3:$B$7,MATCH(M105,'Boundary table'!$A$3:$A$7))</f>
        <v>F</v>
      </c>
      <c r="P105">
        <f>Table1[[#This Row],[Math Score]]+Table1[[#This Row],[Reading Score]]+Table1[[#This Row],[Writing Score]]</f>
        <v>151</v>
      </c>
      <c r="Q105" s="16">
        <f>COUNTIF(Table1[[#This Row],[Math Score]],"&lt;60")+COUNTIF(Table1[[#This Row],[Reading Score]],"&lt;60")+COUNTIF(Table1[[#This Row],[Writing Score]],"&lt;60")</f>
        <v>2</v>
      </c>
      <c r="R105" t="str">
        <f>IF(Table1[[#This Row],[Fail Count]]&gt;=2,"At risk","OK")</f>
        <v>At risk</v>
      </c>
    </row>
    <row r="106" spans="1:18">
      <c r="A106" t="str">
        <f t="shared" si="1"/>
        <v>Stu-105</v>
      </c>
      <c r="B106" t="s">
        <v>27</v>
      </c>
      <c r="C106" t="s">
        <v>19</v>
      </c>
      <c r="D106" t="s">
        <v>20</v>
      </c>
      <c r="E106" t="s">
        <v>14</v>
      </c>
      <c r="F106" t="s">
        <v>21</v>
      </c>
      <c r="G106" s="16">
        <v>98</v>
      </c>
      <c r="H106">
        <f>RANK(G106,$G$2:$G$1001,0)+COUNTIF($G$2:G106,G106)-1</f>
        <v>11</v>
      </c>
      <c r="I106" t="str">
        <f>INDEX('Boundary table'!$B$3:$B$7,MATCH(G106,'Boundary table'!$A$3:$A$7,1))</f>
        <v>A</v>
      </c>
      <c r="J106" s="16">
        <v>86</v>
      </c>
      <c r="K106">
        <f>RANK(J106,$J$2:$J$1001,0)+COUNTIF($J$2:J106,J106)-1</f>
        <v>116</v>
      </c>
      <c r="L106" t="str">
        <f>INDEX('Boundary table'!$B$3:$B$7,MATCH(J106,'Boundary table'!$A$3:$A$7,1))</f>
        <v>B</v>
      </c>
      <c r="M106" s="16">
        <v>90</v>
      </c>
      <c r="N106">
        <f>RANK(M106,$M$2:$M$1001,0)+COUNTIF($M$2:M106,M106)-1</f>
        <v>69</v>
      </c>
      <c r="O106" t="str">
        <f>INDEX('Boundary table'!$B$3:$B$7,MATCH(M106,'Boundary table'!$A$3:$A$7))</f>
        <v>A</v>
      </c>
      <c r="P106">
        <f>Table1[[#This Row],[Math Score]]+Table1[[#This Row],[Reading Score]]+Table1[[#This Row],[Writing Score]]</f>
        <v>274</v>
      </c>
      <c r="Q106" s="16">
        <f>COUNTIF(Table1[[#This Row],[Math Score]],"&lt;60")+COUNTIF(Table1[[#This Row],[Reading Score]],"&lt;60")+COUNTIF(Table1[[#This Row],[Writing Score]],"&lt;60")</f>
        <v>0</v>
      </c>
      <c r="R106" t="str">
        <f>IF(Table1[[#This Row],[Fail Count]]&gt;=2,"At risk","OK")</f>
        <v>OK</v>
      </c>
    </row>
    <row r="107" spans="1:18">
      <c r="A107" t="str">
        <f t="shared" si="1"/>
        <v>Stu-106</v>
      </c>
      <c r="B107" t="s">
        <v>11</v>
      </c>
      <c r="C107" t="s">
        <v>19</v>
      </c>
      <c r="D107" t="s">
        <v>20</v>
      </c>
      <c r="E107" t="s">
        <v>14</v>
      </c>
      <c r="F107" t="s">
        <v>15</v>
      </c>
      <c r="G107" s="16">
        <v>58</v>
      </c>
      <c r="H107">
        <f>RANK(G107,$G$2:$G$1001,0)+COUNTIF($G$2:G107,G107)-1</f>
        <v>716</v>
      </c>
      <c r="I107" t="str">
        <f>INDEX('Boundary table'!$B$3:$B$7,MATCH(G107,'Boundary table'!$A$3:$A$7,1))</f>
        <v>F</v>
      </c>
      <c r="J107" s="16">
        <v>67</v>
      </c>
      <c r="K107">
        <f>RANK(J107,$J$2:$J$1001,0)+COUNTIF($J$2:J107,J107)-1</f>
        <v>555</v>
      </c>
      <c r="L107" t="str">
        <f>INDEX('Boundary table'!$B$3:$B$7,MATCH(J107,'Boundary table'!$A$3:$A$7,1))</f>
        <v>D</v>
      </c>
      <c r="M107" s="16">
        <v>72</v>
      </c>
      <c r="N107">
        <f>RANK(M107,$M$2:$M$1001,0)+COUNTIF($M$2:M107,M107)-1</f>
        <v>417</v>
      </c>
      <c r="O107" t="str">
        <f>INDEX('Boundary table'!$B$3:$B$7,MATCH(M107,'Boundary table'!$A$3:$A$7))</f>
        <v>C</v>
      </c>
      <c r="P107">
        <f>Table1[[#This Row],[Math Score]]+Table1[[#This Row],[Reading Score]]+Table1[[#This Row],[Writing Score]]</f>
        <v>197</v>
      </c>
      <c r="Q107" s="16">
        <f>COUNTIF(Table1[[#This Row],[Math Score]],"&lt;60")+COUNTIF(Table1[[#This Row],[Reading Score]],"&lt;60")+COUNTIF(Table1[[#This Row],[Writing Score]],"&lt;60")</f>
        <v>1</v>
      </c>
      <c r="R107" t="str">
        <f>IF(Table1[[#This Row],[Fail Count]]&gt;=2,"At risk","OK")</f>
        <v>OK</v>
      </c>
    </row>
    <row r="108" spans="1:18">
      <c r="A108" t="str">
        <f t="shared" si="1"/>
        <v>Stu-107</v>
      </c>
      <c r="B108" t="s">
        <v>11</v>
      </c>
      <c r="C108" t="s">
        <v>31</v>
      </c>
      <c r="D108" t="s">
        <v>26</v>
      </c>
      <c r="E108" t="s">
        <v>14</v>
      </c>
      <c r="F108" t="s">
        <v>15</v>
      </c>
      <c r="G108" s="16">
        <v>87</v>
      </c>
      <c r="H108">
        <f>RANK(G108,$G$2:$G$1001,0)+COUNTIF($G$2:G108,G108)-1</f>
        <v>80</v>
      </c>
      <c r="I108" t="str">
        <f>INDEX('Boundary table'!$B$3:$B$7,MATCH(G108,'Boundary table'!$A$3:$A$7,1))</f>
        <v>B</v>
      </c>
      <c r="J108" s="16">
        <v>100</v>
      </c>
      <c r="K108">
        <f>RANK(J108,$J$2:$J$1001,0)+COUNTIF($J$2:J108,J108)-1</f>
        <v>1</v>
      </c>
      <c r="L108" t="str">
        <f>INDEX('Boundary table'!$B$3:$B$7,MATCH(J108,'Boundary table'!$A$3:$A$7,1))</f>
        <v>A</v>
      </c>
      <c r="M108" s="16">
        <v>100</v>
      </c>
      <c r="N108">
        <f>RANK(M108,$M$2:$M$1001,0)+COUNTIF($M$2:M108,M108)-1</f>
        <v>1</v>
      </c>
      <c r="O108" t="str">
        <f>INDEX('Boundary table'!$B$3:$B$7,MATCH(M108,'Boundary table'!$A$3:$A$7))</f>
        <v>A</v>
      </c>
      <c r="P108">
        <f>Table1[[#This Row],[Math Score]]+Table1[[#This Row],[Reading Score]]+Table1[[#This Row],[Writing Score]]</f>
        <v>287</v>
      </c>
      <c r="Q108" s="16">
        <f>COUNTIF(Table1[[#This Row],[Math Score]],"&lt;60")+COUNTIF(Table1[[#This Row],[Reading Score]],"&lt;60")+COUNTIF(Table1[[#This Row],[Writing Score]],"&lt;60")</f>
        <v>0</v>
      </c>
      <c r="R108" t="str">
        <f>IF(Table1[[#This Row],[Fail Count]]&gt;=2,"At risk","OK")</f>
        <v>OK</v>
      </c>
    </row>
    <row r="109" spans="1:18">
      <c r="A109" t="str">
        <f t="shared" si="1"/>
        <v>Stu-108</v>
      </c>
      <c r="B109" t="s">
        <v>27</v>
      </c>
      <c r="C109" t="s">
        <v>34</v>
      </c>
      <c r="D109" t="s">
        <v>29</v>
      </c>
      <c r="E109" t="s">
        <v>14</v>
      </c>
      <c r="F109" t="s">
        <v>21</v>
      </c>
      <c r="G109" s="16">
        <v>66</v>
      </c>
      <c r="H109">
        <f>RANK(G109,$G$2:$G$1001,0)+COUNTIF($G$2:G109,G109)-1</f>
        <v>496</v>
      </c>
      <c r="I109" t="str">
        <f>INDEX('Boundary table'!$B$3:$B$7,MATCH(G109,'Boundary table'!$A$3:$A$7,1))</f>
        <v>D</v>
      </c>
      <c r="J109" s="16">
        <v>63</v>
      </c>
      <c r="K109">
        <f>RANK(J109,$J$2:$J$1001,0)+COUNTIF($J$2:J109,J109)-1</f>
        <v>661</v>
      </c>
      <c r="L109" t="str">
        <f>INDEX('Boundary table'!$B$3:$B$7,MATCH(J109,'Boundary table'!$A$3:$A$7,1))</f>
        <v>D</v>
      </c>
      <c r="M109" s="16">
        <v>64</v>
      </c>
      <c r="N109">
        <f>RANK(M109,$M$2:$M$1001,0)+COUNTIF($M$2:M109,M109)-1</f>
        <v>615</v>
      </c>
      <c r="O109" t="str">
        <f>INDEX('Boundary table'!$B$3:$B$7,MATCH(M109,'Boundary table'!$A$3:$A$7))</f>
        <v>D</v>
      </c>
      <c r="P109">
        <f>Table1[[#This Row],[Math Score]]+Table1[[#This Row],[Reading Score]]+Table1[[#This Row],[Writing Score]]</f>
        <v>193</v>
      </c>
      <c r="Q109" s="16">
        <f>COUNTIF(Table1[[#This Row],[Math Score]],"&lt;60")+COUNTIF(Table1[[#This Row],[Reading Score]],"&lt;60")+COUNTIF(Table1[[#This Row],[Writing Score]],"&lt;60")</f>
        <v>0</v>
      </c>
      <c r="R109" t="str">
        <f>IF(Table1[[#This Row],[Fail Count]]&gt;=2,"At risk","OK")</f>
        <v>OK</v>
      </c>
    </row>
    <row r="110" spans="1:18">
      <c r="A110" t="str">
        <f t="shared" si="1"/>
        <v>Stu-109</v>
      </c>
      <c r="B110" t="s">
        <v>11</v>
      </c>
      <c r="C110" t="s">
        <v>12</v>
      </c>
      <c r="D110" t="s">
        <v>29</v>
      </c>
      <c r="E110" t="s">
        <v>30</v>
      </c>
      <c r="F110" t="s">
        <v>15</v>
      </c>
      <c r="G110" s="16">
        <v>52</v>
      </c>
      <c r="H110">
        <f>RANK(G110,$G$2:$G$1001,0)+COUNTIF($G$2:G110,G110)-1</f>
        <v>823</v>
      </c>
      <c r="I110" t="str">
        <f>INDEX('Boundary table'!$B$3:$B$7,MATCH(G110,'Boundary table'!$A$3:$A$7,1))</f>
        <v>F</v>
      </c>
      <c r="J110" s="16">
        <v>76</v>
      </c>
      <c r="K110">
        <f>RANK(J110,$J$2:$J$1001,0)+COUNTIF($J$2:J110,J110)-1</f>
        <v>320</v>
      </c>
      <c r="L110" t="str">
        <f>INDEX('Boundary table'!$B$3:$B$7,MATCH(J110,'Boundary table'!$A$3:$A$7,1))</f>
        <v>C</v>
      </c>
      <c r="M110" s="16">
        <v>70</v>
      </c>
      <c r="N110">
        <f>RANK(M110,$M$2:$M$1001,0)+COUNTIF($M$2:M110,M110)-1</f>
        <v>460</v>
      </c>
      <c r="O110" t="str">
        <f>INDEX('Boundary table'!$B$3:$B$7,MATCH(M110,'Boundary table'!$A$3:$A$7))</f>
        <v>C</v>
      </c>
      <c r="P110">
        <f>Table1[[#This Row],[Math Score]]+Table1[[#This Row],[Reading Score]]+Table1[[#This Row],[Writing Score]]</f>
        <v>198</v>
      </c>
      <c r="Q110" s="16">
        <f>COUNTIF(Table1[[#This Row],[Math Score]],"&lt;60")+COUNTIF(Table1[[#This Row],[Reading Score]],"&lt;60")+COUNTIF(Table1[[#This Row],[Writing Score]],"&lt;60")</f>
        <v>1</v>
      </c>
      <c r="R110" t="str">
        <f>IF(Table1[[#This Row],[Fail Count]]&gt;=2,"At risk","OK")</f>
        <v>OK</v>
      </c>
    </row>
    <row r="111" spans="1:18">
      <c r="A111" t="str">
        <f t="shared" si="1"/>
        <v>Stu-110</v>
      </c>
      <c r="B111" t="s">
        <v>11</v>
      </c>
      <c r="C111" t="s">
        <v>12</v>
      </c>
      <c r="D111" t="s">
        <v>33</v>
      </c>
      <c r="E111" t="s">
        <v>14</v>
      </c>
      <c r="F111" t="s">
        <v>15</v>
      </c>
      <c r="G111" s="16">
        <v>70</v>
      </c>
      <c r="H111">
        <f>RANK(G111,$G$2:$G$1001,0)+COUNTIF($G$2:G111,G111)-1</f>
        <v>393</v>
      </c>
      <c r="I111" t="str">
        <f>INDEX('Boundary table'!$B$3:$B$7,MATCH(G111,'Boundary table'!$A$3:$A$7,1))</f>
        <v>C</v>
      </c>
      <c r="J111" s="16">
        <v>64</v>
      </c>
      <c r="K111">
        <f>RANK(J111,$J$2:$J$1001,0)+COUNTIF($J$2:J111,J111)-1</f>
        <v>633</v>
      </c>
      <c r="L111" t="str">
        <f>INDEX('Boundary table'!$B$3:$B$7,MATCH(J111,'Boundary table'!$A$3:$A$7,1))</f>
        <v>D</v>
      </c>
      <c r="M111" s="16">
        <v>72</v>
      </c>
      <c r="N111">
        <f>RANK(M111,$M$2:$M$1001,0)+COUNTIF($M$2:M111,M111)-1</f>
        <v>418</v>
      </c>
      <c r="O111" t="str">
        <f>INDEX('Boundary table'!$B$3:$B$7,MATCH(M111,'Boundary table'!$A$3:$A$7))</f>
        <v>C</v>
      </c>
      <c r="P111">
        <f>Table1[[#This Row],[Math Score]]+Table1[[#This Row],[Reading Score]]+Table1[[#This Row],[Writing Score]]</f>
        <v>206</v>
      </c>
      <c r="Q111" s="16">
        <f>COUNTIF(Table1[[#This Row],[Math Score]],"&lt;60")+COUNTIF(Table1[[#This Row],[Reading Score]],"&lt;60")+COUNTIF(Table1[[#This Row],[Writing Score]],"&lt;60")</f>
        <v>0</v>
      </c>
      <c r="R111" t="str">
        <f>IF(Table1[[#This Row],[Fail Count]]&gt;=2,"At risk","OK")</f>
        <v>OK</v>
      </c>
    </row>
    <row r="112" spans="1:18">
      <c r="A112" t="str">
        <f t="shared" si="1"/>
        <v>Stu-111</v>
      </c>
      <c r="B112" t="s">
        <v>11</v>
      </c>
      <c r="C112" t="s">
        <v>31</v>
      </c>
      <c r="D112" t="s">
        <v>29</v>
      </c>
      <c r="E112" t="s">
        <v>30</v>
      </c>
      <c r="F112" t="s">
        <v>21</v>
      </c>
      <c r="G112" s="16">
        <v>77</v>
      </c>
      <c r="H112">
        <f>RANK(G112,$G$2:$G$1001,0)+COUNTIF($G$2:G112,G112)-1</f>
        <v>231</v>
      </c>
      <c r="I112" t="str">
        <f>INDEX('Boundary table'!$B$3:$B$7,MATCH(G112,'Boundary table'!$A$3:$A$7,1))</f>
        <v>C</v>
      </c>
      <c r="J112" s="16">
        <v>89</v>
      </c>
      <c r="K112">
        <f>RANK(J112,$J$2:$J$1001,0)+COUNTIF($J$2:J112,J112)-1</f>
        <v>81</v>
      </c>
      <c r="L112" t="str">
        <f>INDEX('Boundary table'!$B$3:$B$7,MATCH(J112,'Boundary table'!$A$3:$A$7,1))</f>
        <v>B</v>
      </c>
      <c r="M112" s="16">
        <v>98</v>
      </c>
      <c r="N112">
        <f>RANK(M112,$M$2:$M$1001,0)+COUNTIF($M$2:M112,M112)-1</f>
        <v>19</v>
      </c>
      <c r="O112" t="str">
        <f>INDEX('Boundary table'!$B$3:$B$7,MATCH(M112,'Boundary table'!$A$3:$A$7))</f>
        <v>A</v>
      </c>
      <c r="P112">
        <f>Table1[[#This Row],[Math Score]]+Table1[[#This Row],[Reading Score]]+Table1[[#This Row],[Writing Score]]</f>
        <v>264</v>
      </c>
      <c r="Q112" s="16">
        <f>COUNTIF(Table1[[#This Row],[Math Score]],"&lt;60")+COUNTIF(Table1[[#This Row],[Reading Score]],"&lt;60")+COUNTIF(Table1[[#This Row],[Writing Score]],"&lt;60")</f>
        <v>0</v>
      </c>
      <c r="R112" t="str">
        <f>IF(Table1[[#This Row],[Fail Count]]&gt;=2,"At risk","OK")</f>
        <v>OK</v>
      </c>
    </row>
    <row r="113" spans="1:18">
      <c r="A113" t="str">
        <f t="shared" si="1"/>
        <v>Stu-112</v>
      </c>
      <c r="B113" t="s">
        <v>27</v>
      </c>
      <c r="C113" t="s">
        <v>19</v>
      </c>
      <c r="D113" t="s">
        <v>32</v>
      </c>
      <c r="E113" t="s">
        <v>14</v>
      </c>
      <c r="F113" t="s">
        <v>15</v>
      </c>
      <c r="G113" s="16">
        <v>62</v>
      </c>
      <c r="H113">
        <f>RANK(G113,$G$2:$G$1001,0)+COUNTIF($G$2:G113,G113)-1</f>
        <v>603</v>
      </c>
      <c r="I113" t="str">
        <f>INDEX('Boundary table'!$B$3:$B$7,MATCH(G113,'Boundary table'!$A$3:$A$7,1))</f>
        <v>D</v>
      </c>
      <c r="J113" s="16">
        <v>55</v>
      </c>
      <c r="K113">
        <f>RANK(J113,$J$2:$J$1001,0)+COUNTIF($J$2:J113,J113)-1</f>
        <v>828</v>
      </c>
      <c r="L113" t="str">
        <f>INDEX('Boundary table'!$B$3:$B$7,MATCH(J113,'Boundary table'!$A$3:$A$7,1))</f>
        <v>F</v>
      </c>
      <c r="M113" s="16">
        <v>49</v>
      </c>
      <c r="N113">
        <f>RANK(M113,$M$2:$M$1001,0)+COUNTIF($M$2:M113,M113)-1</f>
        <v>888</v>
      </c>
      <c r="O113" t="str">
        <f>INDEX('Boundary table'!$B$3:$B$7,MATCH(M113,'Boundary table'!$A$3:$A$7))</f>
        <v>F</v>
      </c>
      <c r="P113">
        <f>Table1[[#This Row],[Math Score]]+Table1[[#This Row],[Reading Score]]+Table1[[#This Row],[Writing Score]]</f>
        <v>166</v>
      </c>
      <c r="Q113" s="16">
        <f>COUNTIF(Table1[[#This Row],[Math Score]],"&lt;60")+COUNTIF(Table1[[#This Row],[Reading Score]],"&lt;60")+COUNTIF(Table1[[#This Row],[Writing Score]],"&lt;60")</f>
        <v>2</v>
      </c>
      <c r="R113" t="str">
        <f>IF(Table1[[#This Row],[Fail Count]]&gt;=2,"At risk","OK")</f>
        <v>At risk</v>
      </c>
    </row>
    <row r="114" spans="1:18">
      <c r="A114" t="str">
        <f t="shared" si="1"/>
        <v>Stu-113</v>
      </c>
      <c r="B114" t="s">
        <v>27</v>
      </c>
      <c r="C114" t="s">
        <v>28</v>
      </c>
      <c r="D114" t="s">
        <v>29</v>
      </c>
      <c r="E114" t="s">
        <v>14</v>
      </c>
      <c r="F114" t="s">
        <v>15</v>
      </c>
      <c r="G114" s="16">
        <v>54</v>
      </c>
      <c r="H114">
        <f>RANK(G114,$G$2:$G$1001,0)+COUNTIF($G$2:G114,G114)-1</f>
        <v>781</v>
      </c>
      <c r="I114" t="str">
        <f>INDEX('Boundary table'!$B$3:$B$7,MATCH(G114,'Boundary table'!$A$3:$A$7,1))</f>
        <v>F</v>
      </c>
      <c r="J114" s="16">
        <v>53</v>
      </c>
      <c r="K114">
        <f>RANK(J114,$J$2:$J$1001,0)+COUNTIF($J$2:J114,J114)-1</f>
        <v>860</v>
      </c>
      <c r="L114" t="str">
        <f>INDEX('Boundary table'!$B$3:$B$7,MATCH(J114,'Boundary table'!$A$3:$A$7,1))</f>
        <v>F</v>
      </c>
      <c r="M114" s="16">
        <v>47</v>
      </c>
      <c r="N114">
        <f>RANK(M114,$M$2:$M$1001,0)+COUNTIF($M$2:M114,M114)-1</f>
        <v>905</v>
      </c>
      <c r="O114" t="str">
        <f>INDEX('Boundary table'!$B$3:$B$7,MATCH(M114,'Boundary table'!$A$3:$A$7))</f>
        <v>F</v>
      </c>
      <c r="P114">
        <f>Table1[[#This Row],[Math Score]]+Table1[[#This Row],[Reading Score]]+Table1[[#This Row],[Writing Score]]</f>
        <v>154</v>
      </c>
      <c r="Q114" s="16">
        <f>COUNTIF(Table1[[#This Row],[Math Score]],"&lt;60")+COUNTIF(Table1[[#This Row],[Reading Score]],"&lt;60")+COUNTIF(Table1[[#This Row],[Writing Score]],"&lt;60")</f>
        <v>3</v>
      </c>
      <c r="R114" t="str">
        <f>IF(Table1[[#This Row],[Fail Count]]&gt;=2,"At risk","OK")</f>
        <v>At risk</v>
      </c>
    </row>
    <row r="115" spans="1:18">
      <c r="A115" t="str">
        <f t="shared" si="1"/>
        <v>Stu-114</v>
      </c>
      <c r="B115" t="s">
        <v>11</v>
      </c>
      <c r="C115" t="s">
        <v>31</v>
      </c>
      <c r="D115" t="s">
        <v>20</v>
      </c>
      <c r="E115" t="s">
        <v>14</v>
      </c>
      <c r="F115" t="s">
        <v>15</v>
      </c>
      <c r="G115" s="16">
        <v>51</v>
      </c>
      <c r="H115">
        <f>RANK(G115,$G$2:$G$1001,0)+COUNTIF($G$2:G115,G115)-1</f>
        <v>840</v>
      </c>
      <c r="I115" t="str">
        <f>INDEX('Boundary table'!$B$3:$B$7,MATCH(G115,'Boundary table'!$A$3:$A$7,1))</f>
        <v>F</v>
      </c>
      <c r="J115" s="16">
        <v>58</v>
      </c>
      <c r="K115">
        <f>RANK(J115,$J$2:$J$1001,0)+COUNTIF($J$2:J115,J115)-1</f>
        <v>768</v>
      </c>
      <c r="L115" t="str">
        <f>INDEX('Boundary table'!$B$3:$B$7,MATCH(J115,'Boundary table'!$A$3:$A$7,1))</f>
        <v>F</v>
      </c>
      <c r="M115" s="16">
        <v>54</v>
      </c>
      <c r="N115">
        <f>RANK(M115,$M$2:$M$1001,0)+COUNTIF($M$2:M115,M115)-1</f>
        <v>801</v>
      </c>
      <c r="O115" t="str">
        <f>INDEX('Boundary table'!$B$3:$B$7,MATCH(M115,'Boundary table'!$A$3:$A$7))</f>
        <v>F</v>
      </c>
      <c r="P115">
        <f>Table1[[#This Row],[Math Score]]+Table1[[#This Row],[Reading Score]]+Table1[[#This Row],[Writing Score]]</f>
        <v>163</v>
      </c>
      <c r="Q115" s="16">
        <f>COUNTIF(Table1[[#This Row],[Math Score]],"&lt;60")+COUNTIF(Table1[[#This Row],[Reading Score]],"&lt;60")+COUNTIF(Table1[[#This Row],[Writing Score]],"&lt;60")</f>
        <v>3</v>
      </c>
      <c r="R115" t="str">
        <f>IF(Table1[[#This Row],[Fail Count]]&gt;=2,"At risk","OK")</f>
        <v>At risk</v>
      </c>
    </row>
    <row r="116" spans="1:18">
      <c r="A116" t="str">
        <f t="shared" si="1"/>
        <v>Stu-115</v>
      </c>
      <c r="B116" t="s">
        <v>11</v>
      </c>
      <c r="C116" t="s">
        <v>34</v>
      </c>
      <c r="D116" t="s">
        <v>13</v>
      </c>
      <c r="E116" t="s">
        <v>14</v>
      </c>
      <c r="F116" t="s">
        <v>21</v>
      </c>
      <c r="G116" s="16">
        <v>99</v>
      </c>
      <c r="H116">
        <f>RANK(G116,$G$2:$G$1001,0)+COUNTIF($G$2:G116,G116)-1</f>
        <v>8</v>
      </c>
      <c r="I116" t="str">
        <f>INDEX('Boundary table'!$B$3:$B$7,MATCH(G116,'Boundary table'!$A$3:$A$7,1))</f>
        <v>A</v>
      </c>
      <c r="J116" s="16">
        <v>100</v>
      </c>
      <c r="K116">
        <f>RANK(J116,$J$2:$J$1001,0)+COUNTIF($J$2:J116,J116)-1</f>
        <v>2</v>
      </c>
      <c r="L116" t="str">
        <f>INDEX('Boundary table'!$B$3:$B$7,MATCH(J116,'Boundary table'!$A$3:$A$7,1))</f>
        <v>A</v>
      </c>
      <c r="M116" s="16">
        <v>100</v>
      </c>
      <c r="N116">
        <f>RANK(M116,$M$2:$M$1001,0)+COUNTIF($M$2:M116,M116)-1</f>
        <v>2</v>
      </c>
      <c r="O116" t="str">
        <f>INDEX('Boundary table'!$B$3:$B$7,MATCH(M116,'Boundary table'!$A$3:$A$7))</f>
        <v>A</v>
      </c>
      <c r="P116">
        <f>Table1[[#This Row],[Math Score]]+Table1[[#This Row],[Reading Score]]+Table1[[#This Row],[Writing Score]]</f>
        <v>299</v>
      </c>
      <c r="Q116" s="16">
        <f>COUNTIF(Table1[[#This Row],[Math Score]],"&lt;60")+COUNTIF(Table1[[#This Row],[Reading Score]],"&lt;60")+COUNTIF(Table1[[#This Row],[Writing Score]],"&lt;60")</f>
        <v>0</v>
      </c>
      <c r="R116" t="str">
        <f>IF(Table1[[#This Row],[Fail Count]]&gt;=2,"At risk","OK")</f>
        <v>OK</v>
      </c>
    </row>
    <row r="117" spans="1:18">
      <c r="A117" t="str">
        <f t="shared" si="1"/>
        <v>Stu-116</v>
      </c>
      <c r="B117" t="s">
        <v>27</v>
      </c>
      <c r="C117" t="s">
        <v>19</v>
      </c>
      <c r="D117" t="s">
        <v>32</v>
      </c>
      <c r="E117" t="s">
        <v>14</v>
      </c>
      <c r="F117" t="s">
        <v>15</v>
      </c>
      <c r="G117" s="16">
        <v>84</v>
      </c>
      <c r="H117">
        <f>RANK(G117,$G$2:$G$1001,0)+COUNTIF($G$2:G117,G117)-1</f>
        <v>118</v>
      </c>
      <c r="I117" t="str">
        <f>INDEX('Boundary table'!$B$3:$B$7,MATCH(G117,'Boundary table'!$A$3:$A$7,1))</f>
        <v>B</v>
      </c>
      <c r="J117" s="16">
        <v>77</v>
      </c>
      <c r="K117">
        <f>RANK(J117,$J$2:$J$1001,0)+COUNTIF($J$2:J117,J117)-1</f>
        <v>296</v>
      </c>
      <c r="L117" t="str">
        <f>INDEX('Boundary table'!$B$3:$B$7,MATCH(J117,'Boundary table'!$A$3:$A$7,1))</f>
        <v>C</v>
      </c>
      <c r="M117" s="16">
        <v>74</v>
      </c>
      <c r="N117">
        <f>RANK(M117,$M$2:$M$1001,0)+COUNTIF($M$2:M117,M117)-1</f>
        <v>357</v>
      </c>
      <c r="O117" t="str">
        <f>INDEX('Boundary table'!$B$3:$B$7,MATCH(M117,'Boundary table'!$A$3:$A$7))</f>
        <v>C</v>
      </c>
      <c r="P117">
        <f>Table1[[#This Row],[Math Score]]+Table1[[#This Row],[Reading Score]]+Table1[[#This Row],[Writing Score]]</f>
        <v>235</v>
      </c>
      <c r="Q117" s="16">
        <f>COUNTIF(Table1[[#This Row],[Math Score]],"&lt;60")+COUNTIF(Table1[[#This Row],[Reading Score]],"&lt;60")+COUNTIF(Table1[[#This Row],[Writing Score]],"&lt;60")</f>
        <v>0</v>
      </c>
      <c r="R117" t="str">
        <f>IF(Table1[[#This Row],[Fail Count]]&gt;=2,"At risk","OK")</f>
        <v>OK</v>
      </c>
    </row>
    <row r="118" spans="1:18">
      <c r="A118" t="str">
        <f t="shared" si="1"/>
        <v>Stu-117</v>
      </c>
      <c r="B118" t="s">
        <v>11</v>
      </c>
      <c r="C118" t="s">
        <v>12</v>
      </c>
      <c r="D118" t="s">
        <v>13</v>
      </c>
      <c r="E118" t="s">
        <v>30</v>
      </c>
      <c r="F118" t="s">
        <v>15</v>
      </c>
      <c r="G118" s="16">
        <v>75</v>
      </c>
      <c r="H118">
        <f>RANK(G118,$G$2:$G$1001,0)+COUNTIF($G$2:G118,G118)-1</f>
        <v>276</v>
      </c>
      <c r="I118" t="str">
        <f>INDEX('Boundary table'!$B$3:$B$7,MATCH(G118,'Boundary table'!$A$3:$A$7,1))</f>
        <v>C</v>
      </c>
      <c r="J118" s="16">
        <v>85</v>
      </c>
      <c r="K118">
        <f>RANK(J118,$J$2:$J$1001,0)+COUNTIF($J$2:J118,J118)-1</f>
        <v>134</v>
      </c>
      <c r="L118" t="str">
        <f>INDEX('Boundary table'!$B$3:$B$7,MATCH(J118,'Boundary table'!$A$3:$A$7,1))</f>
        <v>B</v>
      </c>
      <c r="M118" s="16">
        <v>82</v>
      </c>
      <c r="N118">
        <f>RANK(M118,$M$2:$M$1001,0)+COUNTIF($M$2:M118,M118)-1</f>
        <v>170</v>
      </c>
      <c r="O118" t="str">
        <f>INDEX('Boundary table'!$B$3:$B$7,MATCH(M118,'Boundary table'!$A$3:$A$7))</f>
        <v>B</v>
      </c>
      <c r="P118">
        <f>Table1[[#This Row],[Math Score]]+Table1[[#This Row],[Reading Score]]+Table1[[#This Row],[Writing Score]]</f>
        <v>242</v>
      </c>
      <c r="Q118" s="16">
        <f>COUNTIF(Table1[[#This Row],[Math Score]],"&lt;60")+COUNTIF(Table1[[#This Row],[Reading Score]],"&lt;60")+COUNTIF(Table1[[#This Row],[Writing Score]],"&lt;60")</f>
        <v>0</v>
      </c>
      <c r="R118" t="str">
        <f>IF(Table1[[#This Row],[Fail Count]]&gt;=2,"At risk","OK")</f>
        <v>OK</v>
      </c>
    </row>
    <row r="119" spans="1:18">
      <c r="A119" t="str">
        <f t="shared" si="1"/>
        <v>Stu-118</v>
      </c>
      <c r="B119" t="s">
        <v>11</v>
      </c>
      <c r="C119" t="s">
        <v>31</v>
      </c>
      <c r="D119" t="s">
        <v>13</v>
      </c>
      <c r="E119" t="s">
        <v>14</v>
      </c>
      <c r="F119" t="s">
        <v>15</v>
      </c>
      <c r="G119" s="16">
        <v>78</v>
      </c>
      <c r="H119">
        <f>RANK(G119,$G$2:$G$1001,0)+COUNTIF($G$2:G119,G119)-1</f>
        <v>218</v>
      </c>
      <c r="I119" t="str">
        <f>INDEX('Boundary table'!$B$3:$B$7,MATCH(G119,'Boundary table'!$A$3:$A$7,1))</f>
        <v>C</v>
      </c>
      <c r="J119" s="16">
        <v>82</v>
      </c>
      <c r="K119">
        <f>RANK(J119,$J$2:$J$1001,0)+COUNTIF($J$2:J119,J119)-1</f>
        <v>191</v>
      </c>
      <c r="L119" t="str">
        <f>INDEX('Boundary table'!$B$3:$B$7,MATCH(J119,'Boundary table'!$A$3:$A$7,1))</f>
        <v>B</v>
      </c>
      <c r="M119" s="16">
        <v>79</v>
      </c>
      <c r="N119">
        <f>RANK(M119,$M$2:$M$1001,0)+COUNTIF($M$2:M119,M119)-1</f>
        <v>237</v>
      </c>
      <c r="O119" t="str">
        <f>INDEX('Boundary table'!$B$3:$B$7,MATCH(M119,'Boundary table'!$A$3:$A$7))</f>
        <v>C</v>
      </c>
      <c r="P119">
        <f>Table1[[#This Row],[Math Score]]+Table1[[#This Row],[Reading Score]]+Table1[[#This Row],[Writing Score]]</f>
        <v>239</v>
      </c>
      <c r="Q119" s="16">
        <f>COUNTIF(Table1[[#This Row],[Math Score]],"&lt;60")+COUNTIF(Table1[[#This Row],[Reading Score]],"&lt;60")+COUNTIF(Table1[[#This Row],[Writing Score]],"&lt;60")</f>
        <v>0</v>
      </c>
      <c r="R119" t="str">
        <f>IF(Table1[[#This Row],[Fail Count]]&gt;=2,"At risk","OK")</f>
        <v>OK</v>
      </c>
    </row>
    <row r="120" spans="1:18">
      <c r="A120" t="str">
        <f t="shared" si="1"/>
        <v>Stu-119</v>
      </c>
      <c r="B120" t="s">
        <v>11</v>
      </c>
      <c r="C120" t="s">
        <v>31</v>
      </c>
      <c r="D120" t="s">
        <v>33</v>
      </c>
      <c r="E120" t="s">
        <v>14</v>
      </c>
      <c r="F120" t="s">
        <v>15</v>
      </c>
      <c r="G120" s="16">
        <v>51</v>
      </c>
      <c r="H120">
        <f>RANK(G120,$G$2:$G$1001,0)+COUNTIF($G$2:G120,G120)-1</f>
        <v>841</v>
      </c>
      <c r="I120" t="str">
        <f>INDEX('Boundary table'!$B$3:$B$7,MATCH(G120,'Boundary table'!$A$3:$A$7,1))</f>
        <v>F</v>
      </c>
      <c r="J120" s="16">
        <v>63</v>
      </c>
      <c r="K120">
        <f>RANK(J120,$J$2:$J$1001,0)+COUNTIF($J$2:J120,J120)-1</f>
        <v>662</v>
      </c>
      <c r="L120" t="str">
        <f>INDEX('Boundary table'!$B$3:$B$7,MATCH(J120,'Boundary table'!$A$3:$A$7,1))</f>
        <v>D</v>
      </c>
      <c r="M120" s="16">
        <v>61</v>
      </c>
      <c r="N120">
        <f>RANK(M120,$M$2:$M$1001,0)+COUNTIF($M$2:M120,M120)-1</f>
        <v>682</v>
      </c>
      <c r="O120" t="str">
        <f>INDEX('Boundary table'!$B$3:$B$7,MATCH(M120,'Boundary table'!$A$3:$A$7))</f>
        <v>D</v>
      </c>
      <c r="P120">
        <f>Table1[[#This Row],[Math Score]]+Table1[[#This Row],[Reading Score]]+Table1[[#This Row],[Writing Score]]</f>
        <v>175</v>
      </c>
      <c r="Q120" s="16">
        <f>COUNTIF(Table1[[#This Row],[Math Score]],"&lt;60")+COUNTIF(Table1[[#This Row],[Reading Score]],"&lt;60")+COUNTIF(Table1[[#This Row],[Writing Score]],"&lt;60")</f>
        <v>1</v>
      </c>
      <c r="R120" t="str">
        <f>IF(Table1[[#This Row],[Fail Count]]&gt;=2,"At risk","OK")</f>
        <v>OK</v>
      </c>
    </row>
    <row r="121" spans="1:18">
      <c r="A121" t="str">
        <f t="shared" si="1"/>
        <v>Stu-120</v>
      </c>
      <c r="B121" t="s">
        <v>11</v>
      </c>
      <c r="C121" t="s">
        <v>19</v>
      </c>
      <c r="D121" t="s">
        <v>20</v>
      </c>
      <c r="E121" t="s">
        <v>14</v>
      </c>
      <c r="F121" t="s">
        <v>15</v>
      </c>
      <c r="G121" s="16">
        <v>55</v>
      </c>
      <c r="H121">
        <f>RANK(G121,$G$2:$G$1001,0)+COUNTIF($G$2:G121,G121)-1</f>
        <v>764</v>
      </c>
      <c r="I121" t="str">
        <f>INDEX('Boundary table'!$B$3:$B$7,MATCH(G121,'Boundary table'!$A$3:$A$7,1))</f>
        <v>F</v>
      </c>
      <c r="J121" s="16">
        <v>69</v>
      </c>
      <c r="K121">
        <f>RANK(J121,$J$2:$J$1001,0)+COUNTIF($J$2:J121,J121)-1</f>
        <v>517</v>
      </c>
      <c r="L121" t="str">
        <f>INDEX('Boundary table'!$B$3:$B$7,MATCH(J121,'Boundary table'!$A$3:$A$7,1))</f>
        <v>D</v>
      </c>
      <c r="M121" s="16">
        <v>65</v>
      </c>
      <c r="N121">
        <f>RANK(M121,$M$2:$M$1001,0)+COUNTIF($M$2:M121,M121)-1</f>
        <v>596</v>
      </c>
      <c r="O121" t="str">
        <f>INDEX('Boundary table'!$B$3:$B$7,MATCH(M121,'Boundary table'!$A$3:$A$7))</f>
        <v>D</v>
      </c>
      <c r="P121">
        <f>Table1[[#This Row],[Math Score]]+Table1[[#This Row],[Reading Score]]+Table1[[#This Row],[Writing Score]]</f>
        <v>189</v>
      </c>
      <c r="Q121" s="16">
        <f>COUNTIF(Table1[[#This Row],[Math Score]],"&lt;60")+COUNTIF(Table1[[#This Row],[Reading Score]],"&lt;60")+COUNTIF(Table1[[#This Row],[Writing Score]],"&lt;60")</f>
        <v>1</v>
      </c>
      <c r="R121" t="str">
        <f>IF(Table1[[#This Row],[Fail Count]]&gt;=2,"At risk","OK")</f>
        <v>OK</v>
      </c>
    </row>
    <row r="122" spans="1:18">
      <c r="A122" t="str">
        <f t="shared" si="1"/>
        <v>Stu-121</v>
      </c>
      <c r="B122" t="s">
        <v>11</v>
      </c>
      <c r="C122" t="s">
        <v>19</v>
      </c>
      <c r="D122" t="s">
        <v>13</v>
      </c>
      <c r="E122" t="s">
        <v>14</v>
      </c>
      <c r="F122" t="s">
        <v>21</v>
      </c>
      <c r="G122" s="16">
        <v>79</v>
      </c>
      <c r="H122">
        <f>RANK(G122,$G$2:$G$1001,0)+COUNTIF($G$2:G122,G122)-1</f>
        <v>197</v>
      </c>
      <c r="I122" t="str">
        <f>INDEX('Boundary table'!$B$3:$B$7,MATCH(G122,'Boundary table'!$A$3:$A$7,1))</f>
        <v>C</v>
      </c>
      <c r="J122" s="16">
        <v>92</v>
      </c>
      <c r="K122">
        <f>RANK(J122,$J$2:$J$1001,0)+COUNTIF($J$2:J122,J122)-1</f>
        <v>47</v>
      </c>
      <c r="L122" t="str">
        <f>INDEX('Boundary table'!$B$3:$B$7,MATCH(J122,'Boundary table'!$A$3:$A$7,1))</f>
        <v>A</v>
      </c>
      <c r="M122" s="16">
        <v>89</v>
      </c>
      <c r="N122">
        <f>RANK(M122,$M$2:$M$1001,0)+COUNTIF($M$2:M122,M122)-1</f>
        <v>80</v>
      </c>
      <c r="O122" t="str">
        <f>INDEX('Boundary table'!$B$3:$B$7,MATCH(M122,'Boundary table'!$A$3:$A$7))</f>
        <v>B</v>
      </c>
      <c r="P122">
        <f>Table1[[#This Row],[Math Score]]+Table1[[#This Row],[Reading Score]]+Table1[[#This Row],[Writing Score]]</f>
        <v>260</v>
      </c>
      <c r="Q122" s="16">
        <f>COUNTIF(Table1[[#This Row],[Math Score]],"&lt;60")+COUNTIF(Table1[[#This Row],[Reading Score]],"&lt;60")+COUNTIF(Table1[[#This Row],[Writing Score]],"&lt;60")</f>
        <v>0</v>
      </c>
      <c r="R122" t="str">
        <f>IF(Table1[[#This Row],[Fail Count]]&gt;=2,"At risk","OK")</f>
        <v>OK</v>
      </c>
    </row>
    <row r="123" spans="1:18">
      <c r="A123" t="str">
        <f t="shared" si="1"/>
        <v>Stu-122</v>
      </c>
      <c r="B123" t="s">
        <v>27</v>
      </c>
      <c r="C123" t="s">
        <v>12</v>
      </c>
      <c r="D123" t="s">
        <v>29</v>
      </c>
      <c r="E123" t="s">
        <v>14</v>
      </c>
      <c r="F123" t="s">
        <v>21</v>
      </c>
      <c r="G123" s="16">
        <v>91</v>
      </c>
      <c r="H123">
        <f>RANK(G123,$G$2:$G$1001,0)+COUNTIF($G$2:G123,G123)-1</f>
        <v>42</v>
      </c>
      <c r="I123" t="str">
        <f>INDEX('Boundary table'!$B$3:$B$7,MATCH(G123,'Boundary table'!$A$3:$A$7,1))</f>
        <v>A</v>
      </c>
      <c r="J123" s="16">
        <v>89</v>
      </c>
      <c r="K123">
        <f>RANK(J123,$J$2:$J$1001,0)+COUNTIF($J$2:J123,J123)-1</f>
        <v>82</v>
      </c>
      <c r="L123" t="str">
        <f>INDEX('Boundary table'!$B$3:$B$7,MATCH(J123,'Boundary table'!$A$3:$A$7,1))</f>
        <v>B</v>
      </c>
      <c r="M123" s="16">
        <v>92</v>
      </c>
      <c r="N123">
        <f>RANK(M123,$M$2:$M$1001,0)+COUNTIF($M$2:M123,M123)-1</f>
        <v>51</v>
      </c>
      <c r="O123" t="str">
        <f>INDEX('Boundary table'!$B$3:$B$7,MATCH(M123,'Boundary table'!$A$3:$A$7))</f>
        <v>A</v>
      </c>
      <c r="P123">
        <f>Table1[[#This Row],[Math Score]]+Table1[[#This Row],[Reading Score]]+Table1[[#This Row],[Writing Score]]</f>
        <v>272</v>
      </c>
      <c r="Q123" s="16">
        <f>COUNTIF(Table1[[#This Row],[Math Score]],"&lt;60")+COUNTIF(Table1[[#This Row],[Reading Score]],"&lt;60")+COUNTIF(Table1[[#This Row],[Writing Score]],"&lt;60")</f>
        <v>0</v>
      </c>
      <c r="R123" t="str">
        <f>IF(Table1[[#This Row],[Fail Count]]&gt;=2,"At risk","OK")</f>
        <v>OK</v>
      </c>
    </row>
    <row r="124" spans="1:18">
      <c r="A124" t="str">
        <f t="shared" si="1"/>
        <v>Stu-123</v>
      </c>
      <c r="B124" t="s">
        <v>11</v>
      </c>
      <c r="C124" t="s">
        <v>19</v>
      </c>
      <c r="D124" t="s">
        <v>20</v>
      </c>
      <c r="E124" t="s">
        <v>14</v>
      </c>
      <c r="F124" t="s">
        <v>21</v>
      </c>
      <c r="G124" s="16">
        <v>88</v>
      </c>
      <c r="H124">
        <f>RANK(G124,$G$2:$G$1001,0)+COUNTIF($G$2:G124,G124)-1</f>
        <v>68</v>
      </c>
      <c r="I124" t="str">
        <f>INDEX('Boundary table'!$B$3:$B$7,MATCH(G124,'Boundary table'!$A$3:$A$7,1))</f>
        <v>B</v>
      </c>
      <c r="J124" s="16">
        <v>93</v>
      </c>
      <c r="K124">
        <f>RANK(J124,$J$2:$J$1001,0)+COUNTIF($J$2:J124,J124)-1</f>
        <v>41</v>
      </c>
      <c r="L124" t="str">
        <f>INDEX('Boundary table'!$B$3:$B$7,MATCH(J124,'Boundary table'!$A$3:$A$7,1))</f>
        <v>A</v>
      </c>
      <c r="M124" s="16">
        <v>93</v>
      </c>
      <c r="N124">
        <f>RANK(M124,$M$2:$M$1001,0)+COUNTIF($M$2:M124,M124)-1</f>
        <v>42</v>
      </c>
      <c r="O124" t="str">
        <f>INDEX('Boundary table'!$B$3:$B$7,MATCH(M124,'Boundary table'!$A$3:$A$7))</f>
        <v>A</v>
      </c>
      <c r="P124">
        <f>Table1[[#This Row],[Math Score]]+Table1[[#This Row],[Reading Score]]+Table1[[#This Row],[Writing Score]]</f>
        <v>274</v>
      </c>
      <c r="Q124" s="16">
        <f>COUNTIF(Table1[[#This Row],[Math Score]],"&lt;60")+COUNTIF(Table1[[#This Row],[Reading Score]],"&lt;60")+COUNTIF(Table1[[#This Row],[Writing Score]],"&lt;60")</f>
        <v>0</v>
      </c>
      <c r="R124" t="str">
        <f>IF(Table1[[#This Row],[Fail Count]]&gt;=2,"At risk","OK")</f>
        <v>OK</v>
      </c>
    </row>
    <row r="125" spans="1:18">
      <c r="A125" t="str">
        <f t="shared" si="1"/>
        <v>Stu-124</v>
      </c>
      <c r="B125" t="s">
        <v>27</v>
      </c>
      <c r="C125" t="s">
        <v>31</v>
      </c>
      <c r="D125" t="s">
        <v>32</v>
      </c>
      <c r="E125" t="s">
        <v>30</v>
      </c>
      <c r="F125" t="s">
        <v>15</v>
      </c>
      <c r="G125" s="16">
        <v>63</v>
      </c>
      <c r="H125">
        <f>RANK(G125,$G$2:$G$1001,0)+COUNTIF($G$2:G125,G125)-1</f>
        <v>577</v>
      </c>
      <c r="I125" t="str">
        <f>INDEX('Boundary table'!$B$3:$B$7,MATCH(G125,'Boundary table'!$A$3:$A$7,1))</f>
        <v>D</v>
      </c>
      <c r="J125" s="16">
        <v>57</v>
      </c>
      <c r="K125">
        <f>RANK(J125,$J$2:$J$1001,0)+COUNTIF($J$2:J125,J125)-1</f>
        <v>794</v>
      </c>
      <c r="L125" t="str">
        <f>INDEX('Boundary table'!$B$3:$B$7,MATCH(J125,'Boundary table'!$A$3:$A$7,1))</f>
        <v>F</v>
      </c>
      <c r="M125" s="16">
        <v>56</v>
      </c>
      <c r="N125">
        <f>RANK(M125,$M$2:$M$1001,0)+COUNTIF($M$2:M125,M125)-1</f>
        <v>772</v>
      </c>
      <c r="O125" t="str">
        <f>INDEX('Boundary table'!$B$3:$B$7,MATCH(M125,'Boundary table'!$A$3:$A$7))</f>
        <v>F</v>
      </c>
      <c r="P125">
        <f>Table1[[#This Row],[Math Score]]+Table1[[#This Row],[Reading Score]]+Table1[[#This Row],[Writing Score]]</f>
        <v>176</v>
      </c>
      <c r="Q125" s="16">
        <f>COUNTIF(Table1[[#This Row],[Math Score]],"&lt;60")+COUNTIF(Table1[[#This Row],[Reading Score]],"&lt;60")+COUNTIF(Table1[[#This Row],[Writing Score]],"&lt;60")</f>
        <v>2</v>
      </c>
      <c r="R125" t="str">
        <f>IF(Table1[[#This Row],[Fail Count]]&gt;=2,"At risk","OK")</f>
        <v>At risk</v>
      </c>
    </row>
    <row r="126" spans="1:18">
      <c r="A126" t="str">
        <f t="shared" si="1"/>
        <v>Stu-125</v>
      </c>
      <c r="B126" t="s">
        <v>27</v>
      </c>
      <c r="C126" t="s">
        <v>34</v>
      </c>
      <c r="D126" t="s">
        <v>20</v>
      </c>
      <c r="E126" t="s">
        <v>14</v>
      </c>
      <c r="F126" t="s">
        <v>15</v>
      </c>
      <c r="G126" s="16">
        <v>83</v>
      </c>
      <c r="H126">
        <f>RANK(G126,$G$2:$G$1001,0)+COUNTIF($G$2:G126,G126)-1</f>
        <v>129</v>
      </c>
      <c r="I126" t="str">
        <f>INDEX('Boundary table'!$B$3:$B$7,MATCH(G126,'Boundary table'!$A$3:$A$7,1))</f>
        <v>B</v>
      </c>
      <c r="J126" s="16">
        <v>80</v>
      </c>
      <c r="K126">
        <f>RANK(J126,$J$2:$J$1001,0)+COUNTIF($J$2:J126,J126)-1</f>
        <v>238</v>
      </c>
      <c r="L126" t="str">
        <f>INDEX('Boundary table'!$B$3:$B$7,MATCH(J126,'Boundary table'!$A$3:$A$7,1))</f>
        <v>B</v>
      </c>
      <c r="M126" s="16">
        <v>73</v>
      </c>
      <c r="N126">
        <f>RANK(M126,$M$2:$M$1001,0)+COUNTIF($M$2:M126,M126)-1</f>
        <v>389</v>
      </c>
      <c r="O126" t="str">
        <f>INDEX('Boundary table'!$B$3:$B$7,MATCH(M126,'Boundary table'!$A$3:$A$7))</f>
        <v>C</v>
      </c>
      <c r="P126">
        <f>Table1[[#This Row],[Math Score]]+Table1[[#This Row],[Reading Score]]+Table1[[#This Row],[Writing Score]]</f>
        <v>236</v>
      </c>
      <c r="Q126" s="16">
        <f>COUNTIF(Table1[[#This Row],[Math Score]],"&lt;60")+COUNTIF(Table1[[#This Row],[Reading Score]],"&lt;60")+COUNTIF(Table1[[#This Row],[Writing Score]],"&lt;60")</f>
        <v>0</v>
      </c>
      <c r="R126" t="str">
        <f>IF(Table1[[#This Row],[Fail Count]]&gt;=2,"At risk","OK")</f>
        <v>OK</v>
      </c>
    </row>
    <row r="127" spans="1:18">
      <c r="A127" t="str">
        <f t="shared" si="1"/>
        <v>Stu-126</v>
      </c>
      <c r="B127" t="s">
        <v>11</v>
      </c>
      <c r="C127" t="s">
        <v>12</v>
      </c>
      <c r="D127" t="s">
        <v>32</v>
      </c>
      <c r="E127" t="s">
        <v>14</v>
      </c>
      <c r="F127" t="s">
        <v>15</v>
      </c>
      <c r="G127" s="16">
        <v>87</v>
      </c>
      <c r="H127">
        <f>RANK(G127,$G$2:$G$1001,0)+COUNTIF($G$2:G127,G127)-1</f>
        <v>81</v>
      </c>
      <c r="I127" t="str">
        <f>INDEX('Boundary table'!$B$3:$B$7,MATCH(G127,'Boundary table'!$A$3:$A$7,1))</f>
        <v>B</v>
      </c>
      <c r="J127" s="16">
        <v>95</v>
      </c>
      <c r="K127">
        <f>RANK(J127,$J$2:$J$1001,0)+COUNTIF($J$2:J127,J127)-1</f>
        <v>32</v>
      </c>
      <c r="L127" t="str">
        <f>INDEX('Boundary table'!$B$3:$B$7,MATCH(J127,'Boundary table'!$A$3:$A$7,1))</f>
        <v>A</v>
      </c>
      <c r="M127" s="16">
        <v>86</v>
      </c>
      <c r="N127">
        <f>RANK(M127,$M$2:$M$1001,0)+COUNTIF($M$2:M127,M127)-1</f>
        <v>112</v>
      </c>
      <c r="O127" t="str">
        <f>INDEX('Boundary table'!$B$3:$B$7,MATCH(M127,'Boundary table'!$A$3:$A$7))</f>
        <v>B</v>
      </c>
      <c r="P127">
        <f>Table1[[#This Row],[Math Score]]+Table1[[#This Row],[Reading Score]]+Table1[[#This Row],[Writing Score]]</f>
        <v>268</v>
      </c>
      <c r="Q127" s="16">
        <f>COUNTIF(Table1[[#This Row],[Math Score]],"&lt;60")+COUNTIF(Table1[[#This Row],[Reading Score]],"&lt;60")+COUNTIF(Table1[[#This Row],[Writing Score]],"&lt;60")</f>
        <v>0</v>
      </c>
      <c r="R127" t="str">
        <f>IF(Table1[[#This Row],[Fail Count]]&gt;=2,"At risk","OK")</f>
        <v>OK</v>
      </c>
    </row>
    <row r="128" spans="1:18">
      <c r="A128" t="str">
        <f t="shared" si="1"/>
        <v>Stu-127</v>
      </c>
      <c r="B128" t="s">
        <v>27</v>
      </c>
      <c r="C128" t="s">
        <v>12</v>
      </c>
      <c r="D128" t="s">
        <v>33</v>
      </c>
      <c r="E128" t="s">
        <v>14</v>
      </c>
      <c r="F128" t="s">
        <v>15</v>
      </c>
      <c r="G128" s="16">
        <v>72</v>
      </c>
      <c r="H128">
        <f>RANK(G128,$G$2:$G$1001,0)+COUNTIF($G$2:G128,G128)-1</f>
        <v>350</v>
      </c>
      <c r="I128" t="str">
        <f>INDEX('Boundary table'!$B$3:$B$7,MATCH(G128,'Boundary table'!$A$3:$A$7,1))</f>
        <v>C</v>
      </c>
      <c r="J128" s="16">
        <v>68</v>
      </c>
      <c r="K128">
        <f>RANK(J128,$J$2:$J$1001,0)+COUNTIF($J$2:J128,J128)-1</f>
        <v>530</v>
      </c>
      <c r="L128" t="str">
        <f>INDEX('Boundary table'!$B$3:$B$7,MATCH(J128,'Boundary table'!$A$3:$A$7,1))</f>
        <v>D</v>
      </c>
      <c r="M128" s="16">
        <v>67</v>
      </c>
      <c r="N128">
        <f>RANK(M128,$M$2:$M$1001,0)+COUNTIF($M$2:M128,M128)-1</f>
        <v>547</v>
      </c>
      <c r="O128" t="str">
        <f>INDEX('Boundary table'!$B$3:$B$7,MATCH(M128,'Boundary table'!$A$3:$A$7))</f>
        <v>D</v>
      </c>
      <c r="P128">
        <f>Table1[[#This Row],[Math Score]]+Table1[[#This Row],[Reading Score]]+Table1[[#This Row],[Writing Score]]</f>
        <v>207</v>
      </c>
      <c r="Q128" s="16">
        <f>COUNTIF(Table1[[#This Row],[Math Score]],"&lt;60")+COUNTIF(Table1[[#This Row],[Reading Score]],"&lt;60")+COUNTIF(Table1[[#This Row],[Writing Score]],"&lt;60")</f>
        <v>0</v>
      </c>
      <c r="R128" t="str">
        <f>IF(Table1[[#This Row],[Fail Count]]&gt;=2,"At risk","OK")</f>
        <v>OK</v>
      </c>
    </row>
    <row r="129" spans="1:18">
      <c r="A129" t="str">
        <f t="shared" si="1"/>
        <v>Stu-128</v>
      </c>
      <c r="B129" t="s">
        <v>27</v>
      </c>
      <c r="C129" t="s">
        <v>31</v>
      </c>
      <c r="D129" t="s">
        <v>20</v>
      </c>
      <c r="E129" t="s">
        <v>14</v>
      </c>
      <c r="F129" t="s">
        <v>21</v>
      </c>
      <c r="G129" s="16">
        <v>65</v>
      </c>
      <c r="H129">
        <f>RANK(G129,$G$2:$G$1001,0)+COUNTIF($G$2:G129,G129)-1</f>
        <v>524</v>
      </c>
      <c r="I129" t="str">
        <f>INDEX('Boundary table'!$B$3:$B$7,MATCH(G129,'Boundary table'!$A$3:$A$7,1))</f>
        <v>D</v>
      </c>
      <c r="J129" s="16">
        <v>77</v>
      </c>
      <c r="K129">
        <f>RANK(J129,$J$2:$J$1001,0)+COUNTIF($J$2:J129,J129)-1</f>
        <v>297</v>
      </c>
      <c r="L129" t="str">
        <f>INDEX('Boundary table'!$B$3:$B$7,MATCH(J129,'Boundary table'!$A$3:$A$7,1))</f>
        <v>C</v>
      </c>
      <c r="M129" s="16">
        <v>74</v>
      </c>
      <c r="N129">
        <f>RANK(M129,$M$2:$M$1001,0)+COUNTIF($M$2:M129,M129)-1</f>
        <v>358</v>
      </c>
      <c r="O129" t="str">
        <f>INDEX('Boundary table'!$B$3:$B$7,MATCH(M129,'Boundary table'!$A$3:$A$7))</f>
        <v>C</v>
      </c>
      <c r="P129">
        <f>Table1[[#This Row],[Math Score]]+Table1[[#This Row],[Reading Score]]+Table1[[#This Row],[Writing Score]]</f>
        <v>216</v>
      </c>
      <c r="Q129" s="16">
        <f>COUNTIF(Table1[[#This Row],[Math Score]],"&lt;60")+COUNTIF(Table1[[#This Row],[Reading Score]],"&lt;60")+COUNTIF(Table1[[#This Row],[Writing Score]],"&lt;60")</f>
        <v>0</v>
      </c>
      <c r="R129" t="str">
        <f>IF(Table1[[#This Row],[Fail Count]]&gt;=2,"At risk","OK")</f>
        <v>OK</v>
      </c>
    </row>
    <row r="130" spans="1:18">
      <c r="A130" t="str">
        <f t="shared" ref="A130:A193" si="2">"Stu-"&amp;TEXT(ROW()-1,"000")</f>
        <v>Stu-129</v>
      </c>
      <c r="B130" t="s">
        <v>27</v>
      </c>
      <c r="C130" t="s">
        <v>31</v>
      </c>
      <c r="D130" t="s">
        <v>26</v>
      </c>
      <c r="E130" t="s">
        <v>14</v>
      </c>
      <c r="F130" t="s">
        <v>15</v>
      </c>
      <c r="G130" s="16">
        <v>82</v>
      </c>
      <c r="H130">
        <f>RANK(G130,$G$2:$G$1001,0)+COUNTIF($G$2:G130,G130)-1</f>
        <v>139</v>
      </c>
      <c r="I130" t="str">
        <f>INDEX('Boundary table'!$B$3:$B$7,MATCH(G130,'Boundary table'!$A$3:$A$7,1))</f>
        <v>B</v>
      </c>
      <c r="J130" s="16">
        <v>82</v>
      </c>
      <c r="K130">
        <f>RANK(J130,$J$2:$J$1001,0)+COUNTIF($J$2:J130,J130)-1</f>
        <v>192</v>
      </c>
      <c r="L130" t="str">
        <f>INDEX('Boundary table'!$B$3:$B$7,MATCH(J130,'Boundary table'!$A$3:$A$7,1))</f>
        <v>B</v>
      </c>
      <c r="M130" s="16">
        <v>74</v>
      </c>
      <c r="N130">
        <f>RANK(M130,$M$2:$M$1001,0)+COUNTIF($M$2:M130,M130)-1</f>
        <v>359</v>
      </c>
      <c r="O130" t="str">
        <f>INDEX('Boundary table'!$B$3:$B$7,MATCH(M130,'Boundary table'!$A$3:$A$7))</f>
        <v>C</v>
      </c>
      <c r="P130">
        <f>Table1[[#This Row],[Math Score]]+Table1[[#This Row],[Reading Score]]+Table1[[#This Row],[Writing Score]]</f>
        <v>238</v>
      </c>
      <c r="Q130" s="16">
        <f>COUNTIF(Table1[[#This Row],[Math Score]],"&lt;60")+COUNTIF(Table1[[#This Row],[Reading Score]],"&lt;60")+COUNTIF(Table1[[#This Row],[Writing Score]],"&lt;60")</f>
        <v>0</v>
      </c>
      <c r="R130" t="str">
        <f>IF(Table1[[#This Row],[Fail Count]]&gt;=2,"At risk","OK")</f>
        <v>OK</v>
      </c>
    </row>
    <row r="131" spans="1:18">
      <c r="A131" t="str">
        <f t="shared" si="2"/>
        <v>Stu-130</v>
      </c>
      <c r="B131" t="s">
        <v>11</v>
      </c>
      <c r="C131" t="s">
        <v>28</v>
      </c>
      <c r="D131" t="s">
        <v>13</v>
      </c>
      <c r="E131" t="s">
        <v>14</v>
      </c>
      <c r="F131" t="s">
        <v>15</v>
      </c>
      <c r="G131" s="16">
        <v>51</v>
      </c>
      <c r="H131">
        <f>RANK(G131,$G$2:$G$1001,0)+COUNTIF($G$2:G131,G131)-1</f>
        <v>842</v>
      </c>
      <c r="I131" t="str">
        <f>INDEX('Boundary table'!$B$3:$B$7,MATCH(G131,'Boundary table'!$A$3:$A$7,1))</f>
        <v>F</v>
      </c>
      <c r="J131" s="16">
        <v>49</v>
      </c>
      <c r="K131">
        <f>RANK(J131,$J$2:$J$1001,0)+COUNTIF($J$2:J131,J131)-1</f>
        <v>913</v>
      </c>
      <c r="L131" t="str">
        <f>INDEX('Boundary table'!$B$3:$B$7,MATCH(J131,'Boundary table'!$A$3:$A$7,1))</f>
        <v>F</v>
      </c>
      <c r="M131" s="16">
        <v>51</v>
      </c>
      <c r="N131">
        <f>RANK(M131,$M$2:$M$1001,0)+COUNTIF($M$2:M131,M131)-1</f>
        <v>860</v>
      </c>
      <c r="O131" t="str">
        <f>INDEX('Boundary table'!$B$3:$B$7,MATCH(M131,'Boundary table'!$A$3:$A$7))</f>
        <v>F</v>
      </c>
      <c r="P131">
        <f>Table1[[#This Row],[Math Score]]+Table1[[#This Row],[Reading Score]]+Table1[[#This Row],[Writing Score]]</f>
        <v>151</v>
      </c>
      <c r="Q131" s="16">
        <f>COUNTIF(Table1[[#This Row],[Math Score]],"&lt;60")+COUNTIF(Table1[[#This Row],[Reading Score]],"&lt;60")+COUNTIF(Table1[[#This Row],[Writing Score]],"&lt;60")</f>
        <v>3</v>
      </c>
      <c r="R131" t="str">
        <f>IF(Table1[[#This Row],[Fail Count]]&gt;=2,"At risk","OK")</f>
        <v>At risk</v>
      </c>
    </row>
    <row r="132" spans="1:18">
      <c r="A132" t="str">
        <f t="shared" si="2"/>
        <v>Stu-131</v>
      </c>
      <c r="B132" t="s">
        <v>27</v>
      </c>
      <c r="C132" t="s">
        <v>31</v>
      </c>
      <c r="D132" t="s">
        <v>26</v>
      </c>
      <c r="E132" t="s">
        <v>14</v>
      </c>
      <c r="F132" t="s">
        <v>15</v>
      </c>
      <c r="G132" s="16">
        <v>89</v>
      </c>
      <c r="H132">
        <f>RANK(G132,$G$2:$G$1001,0)+COUNTIF($G$2:G132,G132)-1</f>
        <v>59</v>
      </c>
      <c r="I132" t="str">
        <f>INDEX('Boundary table'!$B$3:$B$7,MATCH(G132,'Boundary table'!$A$3:$A$7,1))</f>
        <v>B</v>
      </c>
      <c r="J132" s="16">
        <v>84</v>
      </c>
      <c r="K132">
        <f>RANK(J132,$J$2:$J$1001,0)+COUNTIF($J$2:J132,J132)-1</f>
        <v>153</v>
      </c>
      <c r="L132" t="str">
        <f>INDEX('Boundary table'!$B$3:$B$7,MATCH(J132,'Boundary table'!$A$3:$A$7,1))</f>
        <v>B</v>
      </c>
      <c r="M132" s="16">
        <v>82</v>
      </c>
      <c r="N132">
        <f>RANK(M132,$M$2:$M$1001,0)+COUNTIF($M$2:M132,M132)-1</f>
        <v>171</v>
      </c>
      <c r="O132" t="str">
        <f>INDEX('Boundary table'!$B$3:$B$7,MATCH(M132,'Boundary table'!$A$3:$A$7))</f>
        <v>B</v>
      </c>
      <c r="P132">
        <f>Table1[[#This Row],[Math Score]]+Table1[[#This Row],[Reading Score]]+Table1[[#This Row],[Writing Score]]</f>
        <v>255</v>
      </c>
      <c r="Q132" s="16">
        <f>COUNTIF(Table1[[#This Row],[Math Score]],"&lt;60")+COUNTIF(Table1[[#This Row],[Reading Score]],"&lt;60")+COUNTIF(Table1[[#This Row],[Writing Score]],"&lt;60")</f>
        <v>0</v>
      </c>
      <c r="R132" t="str">
        <f>IF(Table1[[#This Row],[Fail Count]]&gt;=2,"At risk","OK")</f>
        <v>OK</v>
      </c>
    </row>
    <row r="133" spans="1:18">
      <c r="A133" t="str">
        <f t="shared" si="2"/>
        <v>Stu-132</v>
      </c>
      <c r="B133" t="s">
        <v>27</v>
      </c>
      <c r="C133" t="s">
        <v>19</v>
      </c>
      <c r="D133" t="s">
        <v>33</v>
      </c>
      <c r="E133" t="s">
        <v>30</v>
      </c>
      <c r="F133" t="s">
        <v>21</v>
      </c>
      <c r="G133" s="16">
        <v>53</v>
      </c>
      <c r="H133">
        <f>RANK(G133,$G$2:$G$1001,0)+COUNTIF($G$2:G133,G133)-1</f>
        <v>801</v>
      </c>
      <c r="I133" t="str">
        <f>INDEX('Boundary table'!$B$3:$B$7,MATCH(G133,'Boundary table'!$A$3:$A$7,1))</f>
        <v>F</v>
      </c>
      <c r="J133" s="16">
        <v>37</v>
      </c>
      <c r="K133">
        <f>RANK(J133,$J$2:$J$1001,0)+COUNTIF($J$2:J133,J133)-1</f>
        <v>984</v>
      </c>
      <c r="L133" t="str">
        <f>INDEX('Boundary table'!$B$3:$B$7,MATCH(J133,'Boundary table'!$A$3:$A$7,1))</f>
        <v>F</v>
      </c>
      <c r="M133" s="16">
        <v>40</v>
      </c>
      <c r="N133">
        <f>RANK(M133,$M$2:$M$1001,0)+COUNTIF($M$2:M133,M133)-1</f>
        <v>966</v>
      </c>
      <c r="O133" t="str">
        <f>INDEX('Boundary table'!$B$3:$B$7,MATCH(M133,'Boundary table'!$A$3:$A$7))</f>
        <v>F</v>
      </c>
      <c r="P133">
        <f>Table1[[#This Row],[Math Score]]+Table1[[#This Row],[Reading Score]]+Table1[[#This Row],[Writing Score]]</f>
        <v>130</v>
      </c>
      <c r="Q133" s="16">
        <f>COUNTIF(Table1[[#This Row],[Math Score]],"&lt;60")+COUNTIF(Table1[[#This Row],[Reading Score]],"&lt;60")+COUNTIF(Table1[[#This Row],[Writing Score]],"&lt;60")</f>
        <v>3</v>
      </c>
      <c r="R133" t="str">
        <f>IF(Table1[[#This Row],[Fail Count]]&gt;=2,"At risk","OK")</f>
        <v>At risk</v>
      </c>
    </row>
    <row r="134" spans="1:18">
      <c r="A134" t="str">
        <f t="shared" si="2"/>
        <v>Stu-133</v>
      </c>
      <c r="B134" t="s">
        <v>27</v>
      </c>
      <c r="C134" t="s">
        <v>34</v>
      </c>
      <c r="D134" t="s">
        <v>20</v>
      </c>
      <c r="E134" t="s">
        <v>30</v>
      </c>
      <c r="F134" t="s">
        <v>21</v>
      </c>
      <c r="G134" s="16">
        <v>87</v>
      </c>
      <c r="H134">
        <f>RANK(G134,$G$2:$G$1001,0)+COUNTIF($G$2:G134,G134)-1</f>
        <v>82</v>
      </c>
      <c r="I134" t="str">
        <f>INDEX('Boundary table'!$B$3:$B$7,MATCH(G134,'Boundary table'!$A$3:$A$7,1))</f>
        <v>B</v>
      </c>
      <c r="J134" s="16">
        <v>74</v>
      </c>
      <c r="K134">
        <f>RANK(J134,$J$2:$J$1001,0)+COUNTIF($J$2:J134,J134)-1</f>
        <v>377</v>
      </c>
      <c r="L134" t="str">
        <f>INDEX('Boundary table'!$B$3:$B$7,MATCH(J134,'Boundary table'!$A$3:$A$7,1))</f>
        <v>C</v>
      </c>
      <c r="M134" s="16">
        <v>70</v>
      </c>
      <c r="N134">
        <f>RANK(M134,$M$2:$M$1001,0)+COUNTIF($M$2:M134,M134)-1</f>
        <v>461</v>
      </c>
      <c r="O134" t="str">
        <f>INDEX('Boundary table'!$B$3:$B$7,MATCH(M134,'Boundary table'!$A$3:$A$7))</f>
        <v>C</v>
      </c>
      <c r="P134">
        <f>Table1[[#This Row],[Math Score]]+Table1[[#This Row],[Reading Score]]+Table1[[#This Row],[Writing Score]]</f>
        <v>231</v>
      </c>
      <c r="Q134" s="16">
        <f>COUNTIF(Table1[[#This Row],[Math Score]],"&lt;60")+COUNTIF(Table1[[#This Row],[Reading Score]],"&lt;60")+COUNTIF(Table1[[#This Row],[Writing Score]],"&lt;60")</f>
        <v>0</v>
      </c>
      <c r="R134" t="str">
        <f>IF(Table1[[#This Row],[Fail Count]]&gt;=2,"At risk","OK")</f>
        <v>OK</v>
      </c>
    </row>
    <row r="135" spans="1:18">
      <c r="A135" t="str">
        <f t="shared" si="2"/>
        <v>Stu-134</v>
      </c>
      <c r="B135" t="s">
        <v>11</v>
      </c>
      <c r="C135" t="s">
        <v>19</v>
      </c>
      <c r="D135" t="s">
        <v>20</v>
      </c>
      <c r="E135" t="s">
        <v>14</v>
      </c>
      <c r="F135" t="s">
        <v>21</v>
      </c>
      <c r="G135" s="16">
        <v>75</v>
      </c>
      <c r="H135">
        <f>RANK(G135,$G$2:$G$1001,0)+COUNTIF($G$2:G135,G135)-1</f>
        <v>277</v>
      </c>
      <c r="I135" t="str">
        <f>INDEX('Boundary table'!$B$3:$B$7,MATCH(G135,'Boundary table'!$A$3:$A$7,1))</f>
        <v>C</v>
      </c>
      <c r="J135" s="16">
        <v>81</v>
      </c>
      <c r="K135">
        <f>RANK(J135,$J$2:$J$1001,0)+COUNTIF($J$2:J135,J135)-1</f>
        <v>215</v>
      </c>
      <c r="L135" t="str">
        <f>INDEX('Boundary table'!$B$3:$B$7,MATCH(J135,'Boundary table'!$A$3:$A$7,1))</f>
        <v>B</v>
      </c>
      <c r="M135" s="16">
        <v>84</v>
      </c>
      <c r="N135">
        <f>RANK(M135,$M$2:$M$1001,0)+COUNTIF($M$2:M135,M135)-1</f>
        <v>136</v>
      </c>
      <c r="O135" t="str">
        <f>INDEX('Boundary table'!$B$3:$B$7,MATCH(M135,'Boundary table'!$A$3:$A$7))</f>
        <v>B</v>
      </c>
      <c r="P135">
        <f>Table1[[#This Row],[Math Score]]+Table1[[#This Row],[Reading Score]]+Table1[[#This Row],[Writing Score]]</f>
        <v>240</v>
      </c>
      <c r="Q135" s="16">
        <f>COUNTIF(Table1[[#This Row],[Math Score]],"&lt;60")+COUNTIF(Table1[[#This Row],[Reading Score]],"&lt;60")+COUNTIF(Table1[[#This Row],[Writing Score]],"&lt;60")</f>
        <v>0</v>
      </c>
      <c r="R135" t="str">
        <f>IF(Table1[[#This Row],[Fail Count]]&gt;=2,"At risk","OK")</f>
        <v>OK</v>
      </c>
    </row>
    <row r="136" spans="1:18">
      <c r="A136" t="str">
        <f t="shared" si="2"/>
        <v>Stu-135</v>
      </c>
      <c r="B136" t="s">
        <v>27</v>
      </c>
      <c r="C136" t="s">
        <v>31</v>
      </c>
      <c r="D136" t="s">
        <v>13</v>
      </c>
      <c r="E136" t="s">
        <v>30</v>
      </c>
      <c r="F136" t="s">
        <v>21</v>
      </c>
      <c r="G136" s="16">
        <v>74</v>
      </c>
      <c r="H136">
        <f>RANK(G136,$G$2:$G$1001,0)+COUNTIF($G$2:G136,G136)-1</f>
        <v>298</v>
      </c>
      <c r="I136" t="str">
        <f>INDEX('Boundary table'!$B$3:$B$7,MATCH(G136,'Boundary table'!$A$3:$A$7,1))</f>
        <v>C</v>
      </c>
      <c r="J136" s="16">
        <v>79</v>
      </c>
      <c r="K136">
        <f>RANK(J136,$J$2:$J$1001,0)+COUNTIF($J$2:J136,J136)-1</f>
        <v>251</v>
      </c>
      <c r="L136" t="str">
        <f>INDEX('Boundary table'!$B$3:$B$7,MATCH(J136,'Boundary table'!$A$3:$A$7,1))</f>
        <v>C</v>
      </c>
      <c r="M136" s="16">
        <v>75</v>
      </c>
      <c r="N136">
        <f>RANK(M136,$M$2:$M$1001,0)+COUNTIF($M$2:M136,M136)-1</f>
        <v>333</v>
      </c>
      <c r="O136" t="str">
        <f>INDEX('Boundary table'!$B$3:$B$7,MATCH(M136,'Boundary table'!$A$3:$A$7))</f>
        <v>C</v>
      </c>
      <c r="P136">
        <f>Table1[[#This Row],[Math Score]]+Table1[[#This Row],[Reading Score]]+Table1[[#This Row],[Writing Score]]</f>
        <v>228</v>
      </c>
      <c r="Q136" s="16">
        <f>COUNTIF(Table1[[#This Row],[Math Score]],"&lt;60")+COUNTIF(Table1[[#This Row],[Reading Score]],"&lt;60")+COUNTIF(Table1[[#This Row],[Writing Score]],"&lt;60")</f>
        <v>0</v>
      </c>
      <c r="R136" t="str">
        <f>IF(Table1[[#This Row],[Fail Count]]&gt;=2,"At risk","OK")</f>
        <v>OK</v>
      </c>
    </row>
    <row r="137" spans="1:18">
      <c r="A137" t="str">
        <f t="shared" si="2"/>
        <v>Stu-136</v>
      </c>
      <c r="B137" t="s">
        <v>27</v>
      </c>
      <c r="C137" t="s">
        <v>19</v>
      </c>
      <c r="D137" t="s">
        <v>13</v>
      </c>
      <c r="E137" t="s">
        <v>14</v>
      </c>
      <c r="F137" t="s">
        <v>15</v>
      </c>
      <c r="G137" s="16">
        <v>58</v>
      </c>
      <c r="H137">
        <f>RANK(G137,$G$2:$G$1001,0)+COUNTIF($G$2:G137,G137)-1</f>
        <v>717</v>
      </c>
      <c r="I137" t="str">
        <f>INDEX('Boundary table'!$B$3:$B$7,MATCH(G137,'Boundary table'!$A$3:$A$7,1))</f>
        <v>F</v>
      </c>
      <c r="J137" s="16">
        <v>55</v>
      </c>
      <c r="K137">
        <f>RANK(J137,$J$2:$J$1001,0)+COUNTIF($J$2:J137,J137)-1</f>
        <v>829</v>
      </c>
      <c r="L137" t="str">
        <f>INDEX('Boundary table'!$B$3:$B$7,MATCH(J137,'Boundary table'!$A$3:$A$7,1))</f>
        <v>F</v>
      </c>
      <c r="M137" s="16">
        <v>48</v>
      </c>
      <c r="N137">
        <f>RANK(M137,$M$2:$M$1001,0)+COUNTIF($M$2:M137,M137)-1</f>
        <v>898</v>
      </c>
      <c r="O137" t="str">
        <f>INDEX('Boundary table'!$B$3:$B$7,MATCH(M137,'Boundary table'!$A$3:$A$7))</f>
        <v>F</v>
      </c>
      <c r="P137">
        <f>Table1[[#This Row],[Math Score]]+Table1[[#This Row],[Reading Score]]+Table1[[#This Row],[Writing Score]]</f>
        <v>161</v>
      </c>
      <c r="Q137" s="16">
        <f>COUNTIF(Table1[[#This Row],[Math Score]],"&lt;60")+COUNTIF(Table1[[#This Row],[Reading Score]],"&lt;60")+COUNTIF(Table1[[#This Row],[Writing Score]],"&lt;60")</f>
        <v>3</v>
      </c>
      <c r="R137" t="str">
        <f>IF(Table1[[#This Row],[Fail Count]]&gt;=2,"At risk","OK")</f>
        <v>At risk</v>
      </c>
    </row>
    <row r="138" spans="1:18">
      <c r="A138" t="str">
        <f t="shared" si="2"/>
        <v>Stu-137</v>
      </c>
      <c r="B138" t="s">
        <v>27</v>
      </c>
      <c r="C138" t="s">
        <v>12</v>
      </c>
      <c r="D138" t="s">
        <v>33</v>
      </c>
      <c r="E138" t="s">
        <v>14</v>
      </c>
      <c r="F138" t="s">
        <v>21</v>
      </c>
      <c r="G138" s="16">
        <v>51</v>
      </c>
      <c r="H138">
        <f>RANK(G138,$G$2:$G$1001,0)+COUNTIF($G$2:G138,G138)-1</f>
        <v>843</v>
      </c>
      <c r="I138" t="str">
        <f>INDEX('Boundary table'!$B$3:$B$7,MATCH(G138,'Boundary table'!$A$3:$A$7,1))</f>
        <v>F</v>
      </c>
      <c r="J138" s="16">
        <v>54</v>
      </c>
      <c r="K138">
        <f>RANK(J138,$J$2:$J$1001,0)+COUNTIF($J$2:J138,J138)-1</f>
        <v>845</v>
      </c>
      <c r="L138" t="str">
        <f>INDEX('Boundary table'!$B$3:$B$7,MATCH(J138,'Boundary table'!$A$3:$A$7,1))</f>
        <v>F</v>
      </c>
      <c r="M138" s="16">
        <v>41</v>
      </c>
      <c r="N138">
        <f>RANK(M138,$M$2:$M$1001,0)+COUNTIF($M$2:M138,M138)-1</f>
        <v>959</v>
      </c>
      <c r="O138" t="str">
        <f>INDEX('Boundary table'!$B$3:$B$7,MATCH(M138,'Boundary table'!$A$3:$A$7))</f>
        <v>F</v>
      </c>
      <c r="P138">
        <f>Table1[[#This Row],[Math Score]]+Table1[[#This Row],[Reading Score]]+Table1[[#This Row],[Writing Score]]</f>
        <v>146</v>
      </c>
      <c r="Q138" s="16">
        <f>COUNTIF(Table1[[#This Row],[Math Score]],"&lt;60")+COUNTIF(Table1[[#This Row],[Reading Score]],"&lt;60")+COUNTIF(Table1[[#This Row],[Writing Score]],"&lt;60")</f>
        <v>3</v>
      </c>
      <c r="R138" t="str">
        <f>IF(Table1[[#This Row],[Fail Count]]&gt;=2,"At risk","OK")</f>
        <v>At risk</v>
      </c>
    </row>
    <row r="139" spans="1:18">
      <c r="A139" t="str">
        <f t="shared" si="2"/>
        <v>Stu-138</v>
      </c>
      <c r="B139" t="s">
        <v>27</v>
      </c>
      <c r="C139" t="s">
        <v>34</v>
      </c>
      <c r="D139" t="s">
        <v>32</v>
      </c>
      <c r="E139" t="s">
        <v>14</v>
      </c>
      <c r="F139" t="s">
        <v>15</v>
      </c>
      <c r="G139" s="16">
        <v>70</v>
      </c>
      <c r="H139">
        <f>RANK(G139,$G$2:$G$1001,0)+COUNTIF($G$2:G139,G139)-1</f>
        <v>394</v>
      </c>
      <c r="I139" t="str">
        <f>INDEX('Boundary table'!$B$3:$B$7,MATCH(G139,'Boundary table'!$A$3:$A$7,1))</f>
        <v>C</v>
      </c>
      <c r="J139" s="16">
        <v>55</v>
      </c>
      <c r="K139">
        <f>RANK(J139,$J$2:$J$1001,0)+COUNTIF($J$2:J139,J139)-1</f>
        <v>830</v>
      </c>
      <c r="L139" t="str">
        <f>INDEX('Boundary table'!$B$3:$B$7,MATCH(J139,'Boundary table'!$A$3:$A$7,1))</f>
        <v>F</v>
      </c>
      <c r="M139" s="16">
        <v>56</v>
      </c>
      <c r="N139">
        <f>RANK(M139,$M$2:$M$1001,0)+COUNTIF($M$2:M139,M139)-1</f>
        <v>773</v>
      </c>
      <c r="O139" t="str">
        <f>INDEX('Boundary table'!$B$3:$B$7,MATCH(M139,'Boundary table'!$A$3:$A$7))</f>
        <v>F</v>
      </c>
      <c r="P139">
        <f>Table1[[#This Row],[Math Score]]+Table1[[#This Row],[Reading Score]]+Table1[[#This Row],[Writing Score]]</f>
        <v>181</v>
      </c>
      <c r="Q139" s="16">
        <f>COUNTIF(Table1[[#This Row],[Math Score]],"&lt;60")+COUNTIF(Table1[[#This Row],[Reading Score]],"&lt;60")+COUNTIF(Table1[[#This Row],[Writing Score]],"&lt;60")</f>
        <v>2</v>
      </c>
      <c r="R139" t="str">
        <f>IF(Table1[[#This Row],[Fail Count]]&gt;=2,"At risk","OK")</f>
        <v>At risk</v>
      </c>
    </row>
    <row r="140" spans="1:18">
      <c r="A140" t="str">
        <f t="shared" si="2"/>
        <v>Stu-139</v>
      </c>
      <c r="B140" t="s">
        <v>11</v>
      </c>
      <c r="C140" t="s">
        <v>19</v>
      </c>
      <c r="D140" t="s">
        <v>29</v>
      </c>
      <c r="E140" t="s">
        <v>14</v>
      </c>
      <c r="F140" t="s">
        <v>15</v>
      </c>
      <c r="G140" s="16">
        <v>59</v>
      </c>
      <c r="H140">
        <f>RANK(G140,$G$2:$G$1001,0)+COUNTIF($G$2:G140,G140)-1</f>
        <v>680</v>
      </c>
      <c r="I140" t="str">
        <f>INDEX('Boundary table'!$B$3:$B$7,MATCH(G140,'Boundary table'!$A$3:$A$7,1))</f>
        <v>F</v>
      </c>
      <c r="J140" s="16">
        <v>66</v>
      </c>
      <c r="K140">
        <f>RANK(J140,$J$2:$J$1001,0)+COUNTIF($J$2:J140,J140)-1</f>
        <v>583</v>
      </c>
      <c r="L140" t="str">
        <f>INDEX('Boundary table'!$B$3:$B$7,MATCH(J140,'Boundary table'!$A$3:$A$7,1))</f>
        <v>D</v>
      </c>
      <c r="M140" s="16">
        <v>67</v>
      </c>
      <c r="N140">
        <f>RANK(M140,$M$2:$M$1001,0)+COUNTIF($M$2:M140,M140)-1</f>
        <v>548</v>
      </c>
      <c r="O140" t="str">
        <f>INDEX('Boundary table'!$B$3:$B$7,MATCH(M140,'Boundary table'!$A$3:$A$7))</f>
        <v>D</v>
      </c>
      <c r="P140">
        <f>Table1[[#This Row],[Math Score]]+Table1[[#This Row],[Reading Score]]+Table1[[#This Row],[Writing Score]]</f>
        <v>192</v>
      </c>
      <c r="Q140" s="16">
        <f>COUNTIF(Table1[[#This Row],[Math Score]],"&lt;60")+COUNTIF(Table1[[#This Row],[Reading Score]],"&lt;60")+COUNTIF(Table1[[#This Row],[Writing Score]],"&lt;60")</f>
        <v>1</v>
      </c>
      <c r="R140" t="str">
        <f>IF(Table1[[#This Row],[Fail Count]]&gt;=2,"At risk","OK")</f>
        <v>OK</v>
      </c>
    </row>
    <row r="141" spans="1:18">
      <c r="A141" t="str">
        <f t="shared" si="2"/>
        <v>Stu-140</v>
      </c>
      <c r="B141" t="s">
        <v>27</v>
      </c>
      <c r="C141" t="s">
        <v>31</v>
      </c>
      <c r="D141" t="s">
        <v>20</v>
      </c>
      <c r="E141" t="s">
        <v>14</v>
      </c>
      <c r="F141" t="s">
        <v>21</v>
      </c>
      <c r="G141" s="16">
        <v>71</v>
      </c>
      <c r="H141">
        <f>RANK(G141,$G$2:$G$1001,0)+COUNTIF($G$2:G141,G141)-1</f>
        <v>370</v>
      </c>
      <c r="I141" t="str">
        <f>INDEX('Boundary table'!$B$3:$B$7,MATCH(G141,'Boundary table'!$A$3:$A$7,1))</f>
        <v>C</v>
      </c>
      <c r="J141" s="16">
        <v>61</v>
      </c>
      <c r="K141">
        <f>RANK(J141,$J$2:$J$1001,0)+COUNTIF($J$2:J141,J141)-1</f>
        <v>704</v>
      </c>
      <c r="L141" t="str">
        <f>INDEX('Boundary table'!$B$3:$B$7,MATCH(J141,'Boundary table'!$A$3:$A$7,1))</f>
        <v>D</v>
      </c>
      <c r="M141" s="16">
        <v>69</v>
      </c>
      <c r="N141">
        <f>RANK(M141,$M$2:$M$1001,0)+COUNTIF($M$2:M141,M141)-1</f>
        <v>490</v>
      </c>
      <c r="O141" t="str">
        <f>INDEX('Boundary table'!$B$3:$B$7,MATCH(M141,'Boundary table'!$A$3:$A$7))</f>
        <v>D</v>
      </c>
      <c r="P141">
        <f>Table1[[#This Row],[Math Score]]+Table1[[#This Row],[Reading Score]]+Table1[[#This Row],[Writing Score]]</f>
        <v>201</v>
      </c>
      <c r="Q141" s="16">
        <f>COUNTIF(Table1[[#This Row],[Math Score]],"&lt;60")+COUNTIF(Table1[[#This Row],[Reading Score]],"&lt;60")+COUNTIF(Table1[[#This Row],[Writing Score]],"&lt;60")</f>
        <v>0</v>
      </c>
      <c r="R141" t="str">
        <f>IF(Table1[[#This Row],[Fail Count]]&gt;=2,"At risk","OK")</f>
        <v>OK</v>
      </c>
    </row>
    <row r="142" spans="1:18">
      <c r="A142" t="str">
        <f t="shared" si="2"/>
        <v>Stu-141</v>
      </c>
      <c r="B142" t="s">
        <v>11</v>
      </c>
      <c r="C142" t="s">
        <v>31</v>
      </c>
      <c r="D142" t="s">
        <v>33</v>
      </c>
      <c r="E142" t="s">
        <v>14</v>
      </c>
      <c r="F142" t="s">
        <v>15</v>
      </c>
      <c r="G142" s="16">
        <v>76</v>
      </c>
      <c r="H142">
        <f>RANK(G142,$G$2:$G$1001,0)+COUNTIF($G$2:G142,G142)-1</f>
        <v>256</v>
      </c>
      <c r="I142" t="str">
        <f>INDEX('Boundary table'!$B$3:$B$7,MATCH(G142,'Boundary table'!$A$3:$A$7,1))</f>
        <v>C</v>
      </c>
      <c r="J142" s="16">
        <v>72</v>
      </c>
      <c r="K142">
        <f>RANK(J142,$J$2:$J$1001,0)+COUNTIF($J$2:J142,J142)-1</f>
        <v>440</v>
      </c>
      <c r="L142" t="str">
        <f>INDEX('Boundary table'!$B$3:$B$7,MATCH(J142,'Boundary table'!$A$3:$A$7,1))</f>
        <v>C</v>
      </c>
      <c r="M142" s="16">
        <v>71</v>
      </c>
      <c r="N142">
        <f>RANK(M142,$M$2:$M$1001,0)+COUNTIF($M$2:M142,M142)-1</f>
        <v>441</v>
      </c>
      <c r="O142" t="str">
        <f>INDEX('Boundary table'!$B$3:$B$7,MATCH(M142,'Boundary table'!$A$3:$A$7))</f>
        <v>C</v>
      </c>
      <c r="P142">
        <f>Table1[[#This Row],[Math Score]]+Table1[[#This Row],[Reading Score]]+Table1[[#This Row],[Writing Score]]</f>
        <v>219</v>
      </c>
      <c r="Q142" s="16">
        <f>COUNTIF(Table1[[#This Row],[Math Score]],"&lt;60")+COUNTIF(Table1[[#This Row],[Reading Score]],"&lt;60")+COUNTIF(Table1[[#This Row],[Writing Score]],"&lt;60")</f>
        <v>0</v>
      </c>
      <c r="R142" t="str">
        <f>IF(Table1[[#This Row],[Fail Count]]&gt;=2,"At risk","OK")</f>
        <v>OK</v>
      </c>
    </row>
    <row r="143" spans="1:18">
      <c r="A143" t="str">
        <f t="shared" si="2"/>
        <v>Stu-142</v>
      </c>
      <c r="B143" t="s">
        <v>11</v>
      </c>
      <c r="C143" t="s">
        <v>19</v>
      </c>
      <c r="D143" t="s">
        <v>20</v>
      </c>
      <c r="E143" t="s">
        <v>30</v>
      </c>
      <c r="F143" t="s">
        <v>15</v>
      </c>
      <c r="G143" s="16">
        <v>59</v>
      </c>
      <c r="H143">
        <f>RANK(G143,$G$2:$G$1001,0)+COUNTIF($G$2:G143,G143)-1</f>
        <v>681</v>
      </c>
      <c r="I143" t="str">
        <f>INDEX('Boundary table'!$B$3:$B$7,MATCH(G143,'Boundary table'!$A$3:$A$7,1))</f>
        <v>F</v>
      </c>
      <c r="J143" s="16">
        <v>62</v>
      </c>
      <c r="K143">
        <f>RANK(J143,$J$2:$J$1001,0)+COUNTIF($J$2:J143,J143)-1</f>
        <v>680</v>
      </c>
      <c r="L143" t="str">
        <f>INDEX('Boundary table'!$B$3:$B$7,MATCH(J143,'Boundary table'!$A$3:$A$7,1))</f>
        <v>D</v>
      </c>
      <c r="M143" s="16">
        <v>64</v>
      </c>
      <c r="N143">
        <f>RANK(M143,$M$2:$M$1001,0)+COUNTIF($M$2:M143,M143)-1</f>
        <v>616</v>
      </c>
      <c r="O143" t="str">
        <f>INDEX('Boundary table'!$B$3:$B$7,MATCH(M143,'Boundary table'!$A$3:$A$7))</f>
        <v>D</v>
      </c>
      <c r="P143">
        <f>Table1[[#This Row],[Math Score]]+Table1[[#This Row],[Reading Score]]+Table1[[#This Row],[Writing Score]]</f>
        <v>185</v>
      </c>
      <c r="Q143" s="16">
        <f>COUNTIF(Table1[[#This Row],[Math Score]],"&lt;60")+COUNTIF(Table1[[#This Row],[Reading Score]],"&lt;60")+COUNTIF(Table1[[#This Row],[Writing Score]],"&lt;60")</f>
        <v>1</v>
      </c>
      <c r="R143" t="str">
        <f>IF(Table1[[#This Row],[Fail Count]]&gt;=2,"At risk","OK")</f>
        <v>OK</v>
      </c>
    </row>
    <row r="144" spans="1:18">
      <c r="A144" t="str">
        <f t="shared" si="2"/>
        <v>Stu-143</v>
      </c>
      <c r="B144" t="s">
        <v>11</v>
      </c>
      <c r="C144" t="s">
        <v>34</v>
      </c>
      <c r="D144" t="s">
        <v>20</v>
      </c>
      <c r="E144" t="s">
        <v>30</v>
      </c>
      <c r="F144" t="s">
        <v>21</v>
      </c>
      <c r="G144" s="16">
        <v>42</v>
      </c>
      <c r="H144">
        <f>RANK(G144,$G$2:$G$1001,0)+COUNTIF($G$2:G144,G144)-1</f>
        <v>940</v>
      </c>
      <c r="I144" t="str">
        <f>INDEX('Boundary table'!$B$3:$B$7,MATCH(G144,'Boundary table'!$A$3:$A$7,1))</f>
        <v>F</v>
      </c>
      <c r="J144" s="16">
        <v>55</v>
      </c>
      <c r="K144">
        <f>RANK(J144,$J$2:$J$1001,0)+COUNTIF($J$2:J144,J144)-1</f>
        <v>831</v>
      </c>
      <c r="L144" t="str">
        <f>INDEX('Boundary table'!$B$3:$B$7,MATCH(J144,'Boundary table'!$A$3:$A$7,1))</f>
        <v>F</v>
      </c>
      <c r="M144" s="16">
        <v>54</v>
      </c>
      <c r="N144">
        <f>RANK(M144,$M$2:$M$1001,0)+COUNTIF($M$2:M144,M144)-1</f>
        <v>802</v>
      </c>
      <c r="O144" t="str">
        <f>INDEX('Boundary table'!$B$3:$B$7,MATCH(M144,'Boundary table'!$A$3:$A$7))</f>
        <v>F</v>
      </c>
      <c r="P144">
        <f>Table1[[#This Row],[Math Score]]+Table1[[#This Row],[Reading Score]]+Table1[[#This Row],[Writing Score]]</f>
        <v>151</v>
      </c>
      <c r="Q144" s="16">
        <f>COUNTIF(Table1[[#This Row],[Math Score]],"&lt;60")+COUNTIF(Table1[[#This Row],[Reading Score]],"&lt;60")+COUNTIF(Table1[[#This Row],[Writing Score]],"&lt;60")</f>
        <v>3</v>
      </c>
      <c r="R144" t="str">
        <f>IF(Table1[[#This Row],[Fail Count]]&gt;=2,"At risk","OK")</f>
        <v>At risk</v>
      </c>
    </row>
    <row r="145" spans="1:18">
      <c r="A145" t="str">
        <f t="shared" si="2"/>
        <v>Stu-144</v>
      </c>
      <c r="B145" t="s">
        <v>27</v>
      </c>
      <c r="C145" t="s">
        <v>28</v>
      </c>
      <c r="D145" t="s">
        <v>32</v>
      </c>
      <c r="E145" t="s">
        <v>14</v>
      </c>
      <c r="F145" t="s">
        <v>15</v>
      </c>
      <c r="G145" s="16">
        <v>57</v>
      </c>
      <c r="H145">
        <f>RANK(G145,$G$2:$G$1001,0)+COUNTIF($G$2:G145,G145)-1</f>
        <v>737</v>
      </c>
      <c r="I145" t="str">
        <f>INDEX('Boundary table'!$B$3:$B$7,MATCH(G145,'Boundary table'!$A$3:$A$7,1))</f>
        <v>F</v>
      </c>
      <c r="J145" s="16">
        <v>43</v>
      </c>
      <c r="K145">
        <f>RANK(J145,$J$2:$J$1001,0)+COUNTIF($J$2:J145,J145)-1</f>
        <v>953</v>
      </c>
      <c r="L145" t="str">
        <f>INDEX('Boundary table'!$B$3:$B$7,MATCH(J145,'Boundary table'!$A$3:$A$7,1))</f>
        <v>F</v>
      </c>
      <c r="M145" s="16">
        <v>47</v>
      </c>
      <c r="N145">
        <f>RANK(M145,$M$2:$M$1001,0)+COUNTIF($M$2:M145,M145)-1</f>
        <v>906</v>
      </c>
      <c r="O145" t="str">
        <f>INDEX('Boundary table'!$B$3:$B$7,MATCH(M145,'Boundary table'!$A$3:$A$7))</f>
        <v>F</v>
      </c>
      <c r="P145">
        <f>Table1[[#This Row],[Math Score]]+Table1[[#This Row],[Reading Score]]+Table1[[#This Row],[Writing Score]]</f>
        <v>147</v>
      </c>
      <c r="Q145" s="16">
        <f>COUNTIF(Table1[[#This Row],[Math Score]],"&lt;60")+COUNTIF(Table1[[#This Row],[Reading Score]],"&lt;60")+COUNTIF(Table1[[#This Row],[Writing Score]],"&lt;60")</f>
        <v>3</v>
      </c>
      <c r="R145" t="str">
        <f>IF(Table1[[#This Row],[Fail Count]]&gt;=2,"At risk","OK")</f>
        <v>At risk</v>
      </c>
    </row>
    <row r="146" spans="1:18">
      <c r="A146" t="str">
        <f t="shared" si="2"/>
        <v>Stu-145</v>
      </c>
      <c r="B146" t="s">
        <v>27</v>
      </c>
      <c r="C146" t="s">
        <v>31</v>
      </c>
      <c r="D146" t="s">
        <v>20</v>
      </c>
      <c r="E146" t="s">
        <v>14</v>
      </c>
      <c r="F146" t="s">
        <v>15</v>
      </c>
      <c r="G146" s="16">
        <v>88</v>
      </c>
      <c r="H146">
        <f>RANK(G146,$G$2:$G$1001,0)+COUNTIF($G$2:G146,G146)-1</f>
        <v>69</v>
      </c>
      <c r="I146" t="str">
        <f>INDEX('Boundary table'!$B$3:$B$7,MATCH(G146,'Boundary table'!$A$3:$A$7,1))</f>
        <v>B</v>
      </c>
      <c r="J146" s="16">
        <v>73</v>
      </c>
      <c r="K146">
        <f>RANK(J146,$J$2:$J$1001,0)+COUNTIF($J$2:J146,J146)-1</f>
        <v>406</v>
      </c>
      <c r="L146" t="str">
        <f>INDEX('Boundary table'!$B$3:$B$7,MATCH(J146,'Boundary table'!$A$3:$A$7,1))</f>
        <v>C</v>
      </c>
      <c r="M146" s="16">
        <v>78</v>
      </c>
      <c r="N146">
        <f>RANK(M146,$M$2:$M$1001,0)+COUNTIF($M$2:M146,M146)-1</f>
        <v>257</v>
      </c>
      <c r="O146" t="str">
        <f>INDEX('Boundary table'!$B$3:$B$7,MATCH(M146,'Boundary table'!$A$3:$A$7))</f>
        <v>C</v>
      </c>
      <c r="P146">
        <f>Table1[[#This Row],[Math Score]]+Table1[[#This Row],[Reading Score]]+Table1[[#This Row],[Writing Score]]</f>
        <v>239</v>
      </c>
      <c r="Q146" s="16">
        <f>COUNTIF(Table1[[#This Row],[Math Score]],"&lt;60")+COUNTIF(Table1[[#This Row],[Reading Score]],"&lt;60")+COUNTIF(Table1[[#This Row],[Writing Score]],"&lt;60")</f>
        <v>0</v>
      </c>
      <c r="R146" t="str">
        <f>IF(Table1[[#This Row],[Fail Count]]&gt;=2,"At risk","OK")</f>
        <v>OK</v>
      </c>
    </row>
    <row r="147" spans="1:18">
      <c r="A147" t="str">
        <f t="shared" si="2"/>
        <v>Stu-146</v>
      </c>
      <c r="B147" t="s">
        <v>11</v>
      </c>
      <c r="C147" t="s">
        <v>19</v>
      </c>
      <c r="D147" t="s">
        <v>20</v>
      </c>
      <c r="E147" t="s">
        <v>30</v>
      </c>
      <c r="F147" t="s">
        <v>15</v>
      </c>
      <c r="G147" s="16">
        <v>22</v>
      </c>
      <c r="H147">
        <f>RANK(G147,$G$2:$G$1001,0)+COUNTIF($G$2:G147,G147)-1</f>
        <v>996</v>
      </c>
      <c r="I147" t="str">
        <f>INDEX('Boundary table'!$B$3:$B$7,MATCH(G147,'Boundary table'!$A$3:$A$7,1))</f>
        <v>F</v>
      </c>
      <c r="J147" s="16">
        <v>39</v>
      </c>
      <c r="K147">
        <f>RANK(J147,$J$2:$J$1001,0)+COUNTIF($J$2:J147,J147)-1</f>
        <v>977</v>
      </c>
      <c r="L147" t="str">
        <f>INDEX('Boundary table'!$B$3:$B$7,MATCH(J147,'Boundary table'!$A$3:$A$7,1))</f>
        <v>F</v>
      </c>
      <c r="M147" s="16">
        <v>33</v>
      </c>
      <c r="N147">
        <f>RANK(M147,$M$2:$M$1001,0)+COUNTIF($M$2:M147,M147)-1</f>
        <v>987</v>
      </c>
      <c r="O147" t="str">
        <f>INDEX('Boundary table'!$B$3:$B$7,MATCH(M147,'Boundary table'!$A$3:$A$7))</f>
        <v>F</v>
      </c>
      <c r="P147">
        <f>Table1[[#This Row],[Math Score]]+Table1[[#This Row],[Reading Score]]+Table1[[#This Row],[Writing Score]]</f>
        <v>94</v>
      </c>
      <c r="Q147" s="16">
        <f>COUNTIF(Table1[[#This Row],[Math Score]],"&lt;60")+COUNTIF(Table1[[#This Row],[Reading Score]],"&lt;60")+COUNTIF(Table1[[#This Row],[Writing Score]],"&lt;60")</f>
        <v>3</v>
      </c>
      <c r="R147" t="str">
        <f>IF(Table1[[#This Row],[Fail Count]]&gt;=2,"At risk","OK")</f>
        <v>At risk</v>
      </c>
    </row>
    <row r="148" spans="1:18">
      <c r="A148" t="str">
        <f t="shared" si="2"/>
        <v>Stu-147</v>
      </c>
      <c r="B148" t="s">
        <v>27</v>
      </c>
      <c r="C148" t="s">
        <v>12</v>
      </c>
      <c r="D148" t="s">
        <v>33</v>
      </c>
      <c r="E148" t="s">
        <v>14</v>
      </c>
      <c r="F148" t="s">
        <v>15</v>
      </c>
      <c r="G148" s="16">
        <v>88</v>
      </c>
      <c r="H148">
        <f>RANK(G148,$G$2:$G$1001,0)+COUNTIF($G$2:G148,G148)-1</f>
        <v>70</v>
      </c>
      <c r="I148" t="str">
        <f>INDEX('Boundary table'!$B$3:$B$7,MATCH(G148,'Boundary table'!$A$3:$A$7,1))</f>
        <v>B</v>
      </c>
      <c r="J148" s="16">
        <v>84</v>
      </c>
      <c r="K148">
        <f>RANK(J148,$J$2:$J$1001,0)+COUNTIF($J$2:J148,J148)-1</f>
        <v>154</v>
      </c>
      <c r="L148" t="str">
        <f>INDEX('Boundary table'!$B$3:$B$7,MATCH(J148,'Boundary table'!$A$3:$A$7,1))</f>
        <v>B</v>
      </c>
      <c r="M148" s="16">
        <v>75</v>
      </c>
      <c r="N148">
        <f>RANK(M148,$M$2:$M$1001,0)+COUNTIF($M$2:M148,M148)-1</f>
        <v>334</v>
      </c>
      <c r="O148" t="str">
        <f>INDEX('Boundary table'!$B$3:$B$7,MATCH(M148,'Boundary table'!$A$3:$A$7))</f>
        <v>C</v>
      </c>
      <c r="P148">
        <f>Table1[[#This Row],[Math Score]]+Table1[[#This Row],[Reading Score]]+Table1[[#This Row],[Writing Score]]</f>
        <v>247</v>
      </c>
      <c r="Q148" s="16">
        <f>COUNTIF(Table1[[#This Row],[Math Score]],"&lt;60")+COUNTIF(Table1[[#This Row],[Reading Score]],"&lt;60")+COUNTIF(Table1[[#This Row],[Writing Score]],"&lt;60")</f>
        <v>0</v>
      </c>
      <c r="R148" t="str">
        <f>IF(Table1[[#This Row],[Fail Count]]&gt;=2,"At risk","OK")</f>
        <v>OK</v>
      </c>
    </row>
    <row r="149" spans="1:18">
      <c r="A149" t="str">
        <f t="shared" si="2"/>
        <v>Stu-148</v>
      </c>
      <c r="B149" t="s">
        <v>27</v>
      </c>
      <c r="C149" t="s">
        <v>19</v>
      </c>
      <c r="D149" t="s">
        <v>29</v>
      </c>
      <c r="E149" t="s">
        <v>30</v>
      </c>
      <c r="F149" t="s">
        <v>15</v>
      </c>
      <c r="G149" s="16">
        <v>73</v>
      </c>
      <c r="H149">
        <f>RANK(G149,$G$2:$G$1001,0)+COUNTIF($G$2:G149,G149)-1</f>
        <v>324</v>
      </c>
      <c r="I149" t="str">
        <f>INDEX('Boundary table'!$B$3:$B$7,MATCH(G149,'Boundary table'!$A$3:$A$7,1))</f>
        <v>C</v>
      </c>
      <c r="J149" s="16">
        <v>68</v>
      </c>
      <c r="K149">
        <f>RANK(J149,$J$2:$J$1001,0)+COUNTIF($J$2:J149,J149)-1</f>
        <v>531</v>
      </c>
      <c r="L149" t="str">
        <f>INDEX('Boundary table'!$B$3:$B$7,MATCH(J149,'Boundary table'!$A$3:$A$7,1))</f>
        <v>D</v>
      </c>
      <c r="M149" s="16">
        <v>66</v>
      </c>
      <c r="N149">
        <f>RANK(M149,$M$2:$M$1001,0)+COUNTIF($M$2:M149,M149)-1</f>
        <v>570</v>
      </c>
      <c r="O149" t="str">
        <f>INDEX('Boundary table'!$B$3:$B$7,MATCH(M149,'Boundary table'!$A$3:$A$7))</f>
        <v>D</v>
      </c>
      <c r="P149">
        <f>Table1[[#This Row],[Math Score]]+Table1[[#This Row],[Reading Score]]+Table1[[#This Row],[Writing Score]]</f>
        <v>207</v>
      </c>
      <c r="Q149" s="16">
        <f>COUNTIF(Table1[[#This Row],[Math Score]],"&lt;60")+COUNTIF(Table1[[#This Row],[Reading Score]],"&lt;60")+COUNTIF(Table1[[#This Row],[Writing Score]],"&lt;60")</f>
        <v>0</v>
      </c>
      <c r="R149" t="str">
        <f>IF(Table1[[#This Row],[Fail Count]]&gt;=2,"At risk","OK")</f>
        <v>OK</v>
      </c>
    </row>
    <row r="150" spans="1:18">
      <c r="A150" t="str">
        <f t="shared" si="2"/>
        <v>Stu-149</v>
      </c>
      <c r="B150" t="s">
        <v>11</v>
      </c>
      <c r="C150" t="s">
        <v>31</v>
      </c>
      <c r="D150" t="s">
        <v>13</v>
      </c>
      <c r="E150" t="s">
        <v>14</v>
      </c>
      <c r="F150" t="s">
        <v>21</v>
      </c>
      <c r="G150" s="16">
        <v>68</v>
      </c>
      <c r="H150">
        <f>RANK(G150,$G$2:$G$1001,0)+COUNTIF($G$2:G150,G150)-1</f>
        <v>443</v>
      </c>
      <c r="I150" t="str">
        <f>INDEX('Boundary table'!$B$3:$B$7,MATCH(G150,'Boundary table'!$A$3:$A$7,1))</f>
        <v>D</v>
      </c>
      <c r="J150" s="16">
        <v>75</v>
      </c>
      <c r="K150">
        <f>RANK(J150,$J$2:$J$1001,0)+COUNTIF($J$2:J150,J150)-1</f>
        <v>347</v>
      </c>
      <c r="L150" t="str">
        <f>INDEX('Boundary table'!$B$3:$B$7,MATCH(J150,'Boundary table'!$A$3:$A$7,1))</f>
        <v>C</v>
      </c>
      <c r="M150" s="16">
        <v>81</v>
      </c>
      <c r="N150">
        <f>RANK(M150,$M$2:$M$1001,0)+COUNTIF($M$2:M150,M150)-1</f>
        <v>190</v>
      </c>
      <c r="O150" t="str">
        <f>INDEX('Boundary table'!$B$3:$B$7,MATCH(M150,'Boundary table'!$A$3:$A$7))</f>
        <v>B</v>
      </c>
      <c r="P150">
        <f>Table1[[#This Row],[Math Score]]+Table1[[#This Row],[Reading Score]]+Table1[[#This Row],[Writing Score]]</f>
        <v>224</v>
      </c>
      <c r="Q150" s="16">
        <f>COUNTIF(Table1[[#This Row],[Math Score]],"&lt;60")+COUNTIF(Table1[[#This Row],[Reading Score]],"&lt;60")+COUNTIF(Table1[[#This Row],[Writing Score]],"&lt;60")</f>
        <v>0</v>
      </c>
      <c r="R150" t="str">
        <f>IF(Table1[[#This Row],[Fail Count]]&gt;=2,"At risk","OK")</f>
        <v>OK</v>
      </c>
    </row>
    <row r="151" spans="1:18">
      <c r="A151" t="str">
        <f t="shared" si="2"/>
        <v>Stu-150</v>
      </c>
      <c r="B151" t="s">
        <v>27</v>
      </c>
      <c r="C151" t="s">
        <v>34</v>
      </c>
      <c r="D151" t="s">
        <v>29</v>
      </c>
      <c r="E151" t="s">
        <v>30</v>
      </c>
      <c r="F151" t="s">
        <v>21</v>
      </c>
      <c r="G151" s="16">
        <v>100</v>
      </c>
      <c r="H151">
        <f>RANK(G151,$G$2:$G$1001,0)+COUNTIF($G$2:G151,G151)-1</f>
        <v>1</v>
      </c>
      <c r="I151" t="str">
        <f>INDEX('Boundary table'!$B$3:$B$7,MATCH(G151,'Boundary table'!$A$3:$A$7,1))</f>
        <v>A</v>
      </c>
      <c r="J151" s="16">
        <v>100</v>
      </c>
      <c r="K151">
        <f>RANK(J151,$J$2:$J$1001,0)+COUNTIF($J$2:J151,J151)-1</f>
        <v>3</v>
      </c>
      <c r="L151" t="str">
        <f>INDEX('Boundary table'!$B$3:$B$7,MATCH(J151,'Boundary table'!$A$3:$A$7,1))</f>
        <v>A</v>
      </c>
      <c r="M151" s="16">
        <v>93</v>
      </c>
      <c r="N151">
        <f>RANK(M151,$M$2:$M$1001,0)+COUNTIF($M$2:M151,M151)-1</f>
        <v>43</v>
      </c>
      <c r="O151" t="str">
        <f>INDEX('Boundary table'!$B$3:$B$7,MATCH(M151,'Boundary table'!$A$3:$A$7))</f>
        <v>A</v>
      </c>
      <c r="P151">
        <f>Table1[[#This Row],[Math Score]]+Table1[[#This Row],[Reading Score]]+Table1[[#This Row],[Writing Score]]</f>
        <v>293</v>
      </c>
      <c r="Q151" s="16">
        <f>COUNTIF(Table1[[#This Row],[Math Score]],"&lt;60")+COUNTIF(Table1[[#This Row],[Reading Score]],"&lt;60")+COUNTIF(Table1[[#This Row],[Writing Score]],"&lt;60")</f>
        <v>0</v>
      </c>
      <c r="R151" t="str">
        <f>IF(Table1[[#This Row],[Fail Count]]&gt;=2,"At risk","OK")</f>
        <v>OK</v>
      </c>
    </row>
    <row r="152" spans="1:18">
      <c r="A152" t="str">
        <f t="shared" si="2"/>
        <v>Stu-151</v>
      </c>
      <c r="B152" t="s">
        <v>27</v>
      </c>
      <c r="C152" t="s">
        <v>28</v>
      </c>
      <c r="D152" t="s">
        <v>33</v>
      </c>
      <c r="E152" t="s">
        <v>14</v>
      </c>
      <c r="F152" t="s">
        <v>21</v>
      </c>
      <c r="G152" s="16">
        <v>62</v>
      </c>
      <c r="H152">
        <f>RANK(G152,$G$2:$G$1001,0)+COUNTIF($G$2:G152,G152)-1</f>
        <v>604</v>
      </c>
      <c r="I152" t="str">
        <f>INDEX('Boundary table'!$B$3:$B$7,MATCH(G152,'Boundary table'!$A$3:$A$7,1))</f>
        <v>D</v>
      </c>
      <c r="J152" s="16">
        <v>67</v>
      </c>
      <c r="K152">
        <f>RANK(J152,$J$2:$J$1001,0)+COUNTIF($J$2:J152,J152)-1</f>
        <v>556</v>
      </c>
      <c r="L152" t="str">
        <f>INDEX('Boundary table'!$B$3:$B$7,MATCH(J152,'Boundary table'!$A$3:$A$7,1))</f>
        <v>D</v>
      </c>
      <c r="M152" s="16">
        <v>69</v>
      </c>
      <c r="N152">
        <f>RANK(M152,$M$2:$M$1001,0)+COUNTIF($M$2:M152,M152)-1</f>
        <v>491</v>
      </c>
      <c r="O152" t="str">
        <f>INDEX('Boundary table'!$B$3:$B$7,MATCH(M152,'Boundary table'!$A$3:$A$7))</f>
        <v>D</v>
      </c>
      <c r="P152">
        <f>Table1[[#This Row],[Math Score]]+Table1[[#This Row],[Reading Score]]+Table1[[#This Row],[Writing Score]]</f>
        <v>198</v>
      </c>
      <c r="Q152" s="16">
        <f>COUNTIF(Table1[[#This Row],[Math Score]],"&lt;60")+COUNTIF(Table1[[#This Row],[Reading Score]],"&lt;60")+COUNTIF(Table1[[#This Row],[Writing Score]],"&lt;60")</f>
        <v>0</v>
      </c>
      <c r="R152" t="str">
        <f>IF(Table1[[#This Row],[Fail Count]]&gt;=2,"At risk","OK")</f>
        <v>OK</v>
      </c>
    </row>
    <row r="153" spans="1:18">
      <c r="A153" t="str">
        <f t="shared" si="2"/>
        <v>Stu-152</v>
      </c>
      <c r="B153" t="s">
        <v>27</v>
      </c>
      <c r="C153" t="s">
        <v>28</v>
      </c>
      <c r="D153" t="s">
        <v>13</v>
      </c>
      <c r="E153" t="s">
        <v>14</v>
      </c>
      <c r="F153" t="s">
        <v>15</v>
      </c>
      <c r="G153" s="16">
        <v>77</v>
      </c>
      <c r="H153">
        <f>RANK(G153,$G$2:$G$1001,0)+COUNTIF($G$2:G153,G153)-1</f>
        <v>232</v>
      </c>
      <c r="I153" t="str">
        <f>INDEX('Boundary table'!$B$3:$B$7,MATCH(G153,'Boundary table'!$A$3:$A$7,1))</f>
        <v>C</v>
      </c>
      <c r="J153" s="16">
        <v>67</v>
      </c>
      <c r="K153">
        <f>RANK(J153,$J$2:$J$1001,0)+COUNTIF($J$2:J153,J153)-1</f>
        <v>557</v>
      </c>
      <c r="L153" t="str">
        <f>INDEX('Boundary table'!$B$3:$B$7,MATCH(J153,'Boundary table'!$A$3:$A$7,1))</f>
        <v>D</v>
      </c>
      <c r="M153" s="16">
        <v>68</v>
      </c>
      <c r="N153">
        <f>RANK(M153,$M$2:$M$1001,0)+COUNTIF($M$2:M153,M153)-1</f>
        <v>516</v>
      </c>
      <c r="O153" t="str">
        <f>INDEX('Boundary table'!$B$3:$B$7,MATCH(M153,'Boundary table'!$A$3:$A$7))</f>
        <v>D</v>
      </c>
      <c r="P153">
        <f>Table1[[#This Row],[Math Score]]+Table1[[#This Row],[Reading Score]]+Table1[[#This Row],[Writing Score]]</f>
        <v>212</v>
      </c>
      <c r="Q153" s="16">
        <f>COUNTIF(Table1[[#This Row],[Math Score]],"&lt;60")+COUNTIF(Table1[[#This Row],[Reading Score]],"&lt;60")+COUNTIF(Table1[[#This Row],[Writing Score]],"&lt;60")</f>
        <v>0</v>
      </c>
      <c r="R153" t="str">
        <f>IF(Table1[[#This Row],[Fail Count]]&gt;=2,"At risk","OK")</f>
        <v>OK</v>
      </c>
    </row>
    <row r="154" spans="1:18">
      <c r="A154" t="str">
        <f t="shared" si="2"/>
        <v>Stu-153</v>
      </c>
      <c r="B154" t="s">
        <v>11</v>
      </c>
      <c r="C154" t="s">
        <v>12</v>
      </c>
      <c r="D154" t="s">
        <v>29</v>
      </c>
      <c r="E154" t="s">
        <v>14</v>
      </c>
      <c r="F154" t="s">
        <v>21</v>
      </c>
      <c r="G154" s="16">
        <v>59</v>
      </c>
      <c r="H154">
        <f>RANK(G154,$G$2:$G$1001,0)+COUNTIF($G$2:G154,G154)-1</f>
        <v>682</v>
      </c>
      <c r="I154" t="str">
        <f>INDEX('Boundary table'!$B$3:$B$7,MATCH(G154,'Boundary table'!$A$3:$A$7,1))</f>
        <v>F</v>
      </c>
      <c r="J154" s="16">
        <v>70</v>
      </c>
      <c r="K154">
        <f>RANK(J154,$J$2:$J$1001,0)+COUNTIF($J$2:J154,J154)-1</f>
        <v>491</v>
      </c>
      <c r="L154" t="str">
        <f>INDEX('Boundary table'!$B$3:$B$7,MATCH(J154,'Boundary table'!$A$3:$A$7,1))</f>
        <v>C</v>
      </c>
      <c r="M154" s="16">
        <v>66</v>
      </c>
      <c r="N154">
        <f>RANK(M154,$M$2:$M$1001,0)+COUNTIF($M$2:M154,M154)-1</f>
        <v>571</v>
      </c>
      <c r="O154" t="str">
        <f>INDEX('Boundary table'!$B$3:$B$7,MATCH(M154,'Boundary table'!$A$3:$A$7))</f>
        <v>D</v>
      </c>
      <c r="P154">
        <f>Table1[[#This Row],[Math Score]]+Table1[[#This Row],[Reading Score]]+Table1[[#This Row],[Writing Score]]</f>
        <v>195</v>
      </c>
      <c r="Q154" s="16">
        <f>COUNTIF(Table1[[#This Row],[Math Score]],"&lt;60")+COUNTIF(Table1[[#This Row],[Reading Score]],"&lt;60")+COUNTIF(Table1[[#This Row],[Writing Score]],"&lt;60")</f>
        <v>1</v>
      </c>
      <c r="R154" t="str">
        <f>IF(Table1[[#This Row],[Fail Count]]&gt;=2,"At risk","OK")</f>
        <v>OK</v>
      </c>
    </row>
    <row r="155" spans="1:18">
      <c r="A155" t="str">
        <f t="shared" si="2"/>
        <v>Stu-154</v>
      </c>
      <c r="B155" t="s">
        <v>27</v>
      </c>
      <c r="C155" t="s">
        <v>31</v>
      </c>
      <c r="D155" t="s">
        <v>13</v>
      </c>
      <c r="E155" t="s">
        <v>14</v>
      </c>
      <c r="F155" t="s">
        <v>15</v>
      </c>
      <c r="G155" s="16">
        <v>54</v>
      </c>
      <c r="H155">
        <f>RANK(G155,$G$2:$G$1001,0)+COUNTIF($G$2:G155,G155)-1</f>
        <v>782</v>
      </c>
      <c r="I155" t="str">
        <f>INDEX('Boundary table'!$B$3:$B$7,MATCH(G155,'Boundary table'!$A$3:$A$7,1))</f>
        <v>F</v>
      </c>
      <c r="J155" s="16">
        <v>49</v>
      </c>
      <c r="K155">
        <f>RANK(J155,$J$2:$J$1001,0)+COUNTIF($J$2:J155,J155)-1</f>
        <v>914</v>
      </c>
      <c r="L155" t="str">
        <f>INDEX('Boundary table'!$B$3:$B$7,MATCH(J155,'Boundary table'!$A$3:$A$7,1))</f>
        <v>F</v>
      </c>
      <c r="M155" s="16">
        <v>47</v>
      </c>
      <c r="N155">
        <f>RANK(M155,$M$2:$M$1001,0)+COUNTIF($M$2:M155,M155)-1</f>
        <v>907</v>
      </c>
      <c r="O155" t="str">
        <f>INDEX('Boundary table'!$B$3:$B$7,MATCH(M155,'Boundary table'!$A$3:$A$7))</f>
        <v>F</v>
      </c>
      <c r="P155">
        <f>Table1[[#This Row],[Math Score]]+Table1[[#This Row],[Reading Score]]+Table1[[#This Row],[Writing Score]]</f>
        <v>150</v>
      </c>
      <c r="Q155" s="16">
        <f>COUNTIF(Table1[[#This Row],[Math Score]],"&lt;60")+COUNTIF(Table1[[#This Row],[Reading Score]],"&lt;60")+COUNTIF(Table1[[#This Row],[Writing Score]],"&lt;60")</f>
        <v>3</v>
      </c>
      <c r="R155" t="str">
        <f>IF(Table1[[#This Row],[Fail Count]]&gt;=2,"At risk","OK")</f>
        <v>At risk</v>
      </c>
    </row>
    <row r="156" spans="1:18">
      <c r="A156" t="str">
        <f t="shared" si="2"/>
        <v>Stu-155</v>
      </c>
      <c r="B156" t="s">
        <v>27</v>
      </c>
      <c r="C156" t="s">
        <v>31</v>
      </c>
      <c r="D156" t="s">
        <v>33</v>
      </c>
      <c r="E156" t="s">
        <v>14</v>
      </c>
      <c r="F156" t="s">
        <v>15</v>
      </c>
      <c r="G156" s="16">
        <v>62</v>
      </c>
      <c r="H156">
        <f>RANK(G156,$G$2:$G$1001,0)+COUNTIF($G$2:G156,G156)-1</f>
        <v>605</v>
      </c>
      <c r="I156" t="str">
        <f>INDEX('Boundary table'!$B$3:$B$7,MATCH(G156,'Boundary table'!$A$3:$A$7,1))</f>
        <v>D</v>
      </c>
      <c r="J156" s="16">
        <v>67</v>
      </c>
      <c r="K156">
        <f>RANK(J156,$J$2:$J$1001,0)+COUNTIF($J$2:J156,J156)-1</f>
        <v>558</v>
      </c>
      <c r="L156" t="str">
        <f>INDEX('Boundary table'!$B$3:$B$7,MATCH(J156,'Boundary table'!$A$3:$A$7,1))</f>
        <v>D</v>
      </c>
      <c r="M156" s="16">
        <v>61</v>
      </c>
      <c r="N156">
        <f>RANK(M156,$M$2:$M$1001,0)+COUNTIF($M$2:M156,M156)-1</f>
        <v>683</v>
      </c>
      <c r="O156" t="str">
        <f>INDEX('Boundary table'!$B$3:$B$7,MATCH(M156,'Boundary table'!$A$3:$A$7))</f>
        <v>D</v>
      </c>
      <c r="P156">
        <f>Table1[[#This Row],[Math Score]]+Table1[[#This Row],[Reading Score]]+Table1[[#This Row],[Writing Score]]</f>
        <v>190</v>
      </c>
      <c r="Q156" s="16">
        <f>COUNTIF(Table1[[#This Row],[Math Score]],"&lt;60")+COUNTIF(Table1[[#This Row],[Reading Score]],"&lt;60")+COUNTIF(Table1[[#This Row],[Writing Score]],"&lt;60")</f>
        <v>0</v>
      </c>
      <c r="R156" t="str">
        <f>IF(Table1[[#This Row],[Fail Count]]&gt;=2,"At risk","OK")</f>
        <v>OK</v>
      </c>
    </row>
    <row r="157" spans="1:18">
      <c r="A157" t="str">
        <f t="shared" si="2"/>
        <v>Stu-156</v>
      </c>
      <c r="B157" t="s">
        <v>11</v>
      </c>
      <c r="C157" t="s">
        <v>19</v>
      </c>
      <c r="D157" t="s">
        <v>20</v>
      </c>
      <c r="E157" t="s">
        <v>14</v>
      </c>
      <c r="F157" t="s">
        <v>21</v>
      </c>
      <c r="G157" s="16">
        <v>70</v>
      </c>
      <c r="H157">
        <f>RANK(G157,$G$2:$G$1001,0)+COUNTIF($G$2:G157,G157)-1</f>
        <v>395</v>
      </c>
      <c r="I157" t="str">
        <f>INDEX('Boundary table'!$B$3:$B$7,MATCH(G157,'Boundary table'!$A$3:$A$7,1))</f>
        <v>C</v>
      </c>
      <c r="J157" s="16">
        <v>89</v>
      </c>
      <c r="K157">
        <f>RANK(J157,$J$2:$J$1001,0)+COUNTIF($J$2:J157,J157)-1</f>
        <v>83</v>
      </c>
      <c r="L157" t="str">
        <f>INDEX('Boundary table'!$B$3:$B$7,MATCH(J157,'Boundary table'!$A$3:$A$7,1))</f>
        <v>B</v>
      </c>
      <c r="M157" s="16">
        <v>88</v>
      </c>
      <c r="N157">
        <f>RANK(M157,$M$2:$M$1001,0)+COUNTIF($M$2:M157,M157)-1</f>
        <v>91</v>
      </c>
      <c r="O157" t="str">
        <f>INDEX('Boundary table'!$B$3:$B$7,MATCH(M157,'Boundary table'!$A$3:$A$7))</f>
        <v>B</v>
      </c>
      <c r="P157">
        <f>Table1[[#This Row],[Math Score]]+Table1[[#This Row],[Reading Score]]+Table1[[#This Row],[Writing Score]]</f>
        <v>247</v>
      </c>
      <c r="Q157" s="16">
        <f>COUNTIF(Table1[[#This Row],[Math Score]],"&lt;60")+COUNTIF(Table1[[#This Row],[Reading Score]],"&lt;60")+COUNTIF(Table1[[#This Row],[Writing Score]],"&lt;60")</f>
        <v>0</v>
      </c>
      <c r="R157" t="str">
        <f>IF(Table1[[#This Row],[Fail Count]]&gt;=2,"At risk","OK")</f>
        <v>OK</v>
      </c>
    </row>
    <row r="158" spans="1:18">
      <c r="A158" t="str">
        <f t="shared" si="2"/>
        <v>Stu-157</v>
      </c>
      <c r="B158" t="s">
        <v>11</v>
      </c>
      <c r="C158" t="s">
        <v>34</v>
      </c>
      <c r="D158" t="s">
        <v>32</v>
      </c>
      <c r="E158" t="s">
        <v>30</v>
      </c>
      <c r="F158" t="s">
        <v>21</v>
      </c>
      <c r="G158" s="16">
        <v>66</v>
      </c>
      <c r="H158">
        <f>RANK(G158,$G$2:$G$1001,0)+COUNTIF($G$2:G158,G158)-1</f>
        <v>497</v>
      </c>
      <c r="I158" t="str">
        <f>INDEX('Boundary table'!$B$3:$B$7,MATCH(G158,'Boundary table'!$A$3:$A$7,1))</f>
        <v>D</v>
      </c>
      <c r="J158" s="16">
        <v>74</v>
      </c>
      <c r="K158">
        <f>RANK(J158,$J$2:$J$1001,0)+COUNTIF($J$2:J158,J158)-1</f>
        <v>378</v>
      </c>
      <c r="L158" t="str">
        <f>INDEX('Boundary table'!$B$3:$B$7,MATCH(J158,'Boundary table'!$A$3:$A$7,1))</f>
        <v>C</v>
      </c>
      <c r="M158" s="16">
        <v>78</v>
      </c>
      <c r="N158">
        <f>RANK(M158,$M$2:$M$1001,0)+COUNTIF($M$2:M158,M158)-1</f>
        <v>258</v>
      </c>
      <c r="O158" t="str">
        <f>INDEX('Boundary table'!$B$3:$B$7,MATCH(M158,'Boundary table'!$A$3:$A$7))</f>
        <v>C</v>
      </c>
      <c r="P158">
        <f>Table1[[#This Row],[Math Score]]+Table1[[#This Row],[Reading Score]]+Table1[[#This Row],[Writing Score]]</f>
        <v>218</v>
      </c>
      <c r="Q158" s="16">
        <f>COUNTIF(Table1[[#This Row],[Math Score]],"&lt;60")+COUNTIF(Table1[[#This Row],[Reading Score]],"&lt;60")+COUNTIF(Table1[[#This Row],[Writing Score]],"&lt;60")</f>
        <v>0</v>
      </c>
      <c r="R158" t="str">
        <f>IF(Table1[[#This Row],[Fail Count]]&gt;=2,"At risk","OK")</f>
        <v>OK</v>
      </c>
    </row>
    <row r="159" spans="1:18">
      <c r="A159" t="str">
        <f t="shared" si="2"/>
        <v>Stu-158</v>
      </c>
      <c r="B159" t="s">
        <v>27</v>
      </c>
      <c r="C159" t="s">
        <v>12</v>
      </c>
      <c r="D159" t="s">
        <v>20</v>
      </c>
      <c r="E159" t="s">
        <v>30</v>
      </c>
      <c r="F159" t="s">
        <v>15</v>
      </c>
      <c r="G159" s="16">
        <v>60</v>
      </c>
      <c r="H159">
        <f>RANK(G159,$G$2:$G$1001,0)+COUNTIF($G$2:G159,G159)-1</f>
        <v>664</v>
      </c>
      <c r="I159" t="str">
        <f>INDEX('Boundary table'!$B$3:$B$7,MATCH(G159,'Boundary table'!$A$3:$A$7,1))</f>
        <v>D</v>
      </c>
      <c r="J159" s="16">
        <v>60</v>
      </c>
      <c r="K159">
        <f>RANK(J159,$J$2:$J$1001,0)+COUNTIF($J$2:J159,J159)-1</f>
        <v>727</v>
      </c>
      <c r="L159" t="str">
        <f>INDEX('Boundary table'!$B$3:$B$7,MATCH(J159,'Boundary table'!$A$3:$A$7,1))</f>
        <v>D</v>
      </c>
      <c r="M159" s="16">
        <v>60</v>
      </c>
      <c r="N159">
        <f>RANK(M159,$M$2:$M$1001,0)+COUNTIF($M$2:M159,M159)-1</f>
        <v>700</v>
      </c>
      <c r="O159" t="str">
        <f>INDEX('Boundary table'!$B$3:$B$7,MATCH(M159,'Boundary table'!$A$3:$A$7))</f>
        <v>D</v>
      </c>
      <c r="P159">
        <f>Table1[[#This Row],[Math Score]]+Table1[[#This Row],[Reading Score]]+Table1[[#This Row],[Writing Score]]</f>
        <v>180</v>
      </c>
      <c r="Q159" s="16">
        <f>COUNTIF(Table1[[#This Row],[Math Score]],"&lt;60")+COUNTIF(Table1[[#This Row],[Reading Score]],"&lt;60")+COUNTIF(Table1[[#This Row],[Writing Score]],"&lt;60")</f>
        <v>0</v>
      </c>
      <c r="R159" t="str">
        <f>IF(Table1[[#This Row],[Fail Count]]&gt;=2,"At risk","OK")</f>
        <v>OK</v>
      </c>
    </row>
    <row r="160" spans="1:18">
      <c r="A160" t="str">
        <f t="shared" si="2"/>
        <v>Stu-159</v>
      </c>
      <c r="B160" t="s">
        <v>11</v>
      </c>
      <c r="C160" t="s">
        <v>12</v>
      </c>
      <c r="D160" t="s">
        <v>29</v>
      </c>
      <c r="E160" t="s">
        <v>14</v>
      </c>
      <c r="F160" t="s">
        <v>21</v>
      </c>
      <c r="G160" s="16">
        <v>61</v>
      </c>
      <c r="H160">
        <f>RANK(G160,$G$2:$G$1001,0)+COUNTIF($G$2:G160,G160)-1</f>
        <v>638</v>
      </c>
      <c r="I160" t="str">
        <f>INDEX('Boundary table'!$B$3:$B$7,MATCH(G160,'Boundary table'!$A$3:$A$7,1))</f>
        <v>D</v>
      </c>
      <c r="J160" s="16">
        <v>86</v>
      </c>
      <c r="K160">
        <f>RANK(J160,$J$2:$J$1001,0)+COUNTIF($J$2:J160,J160)-1</f>
        <v>117</v>
      </c>
      <c r="L160" t="str">
        <f>INDEX('Boundary table'!$B$3:$B$7,MATCH(J160,'Boundary table'!$A$3:$A$7,1))</f>
        <v>B</v>
      </c>
      <c r="M160" s="16">
        <v>87</v>
      </c>
      <c r="N160">
        <f>RANK(M160,$M$2:$M$1001,0)+COUNTIF($M$2:M160,M160)-1</f>
        <v>100</v>
      </c>
      <c r="O160" t="str">
        <f>INDEX('Boundary table'!$B$3:$B$7,MATCH(M160,'Boundary table'!$A$3:$A$7))</f>
        <v>B</v>
      </c>
      <c r="P160">
        <f>Table1[[#This Row],[Math Score]]+Table1[[#This Row],[Reading Score]]+Table1[[#This Row],[Writing Score]]</f>
        <v>234</v>
      </c>
      <c r="Q160" s="16">
        <f>COUNTIF(Table1[[#This Row],[Math Score]],"&lt;60")+COUNTIF(Table1[[#This Row],[Reading Score]],"&lt;60")+COUNTIF(Table1[[#This Row],[Writing Score]],"&lt;60")</f>
        <v>0</v>
      </c>
      <c r="R160" t="str">
        <f>IF(Table1[[#This Row],[Fail Count]]&gt;=2,"At risk","OK")</f>
        <v>OK</v>
      </c>
    </row>
    <row r="161" spans="1:18">
      <c r="A161" t="str">
        <f t="shared" si="2"/>
        <v>Stu-160</v>
      </c>
      <c r="B161" t="s">
        <v>27</v>
      </c>
      <c r="C161" t="s">
        <v>31</v>
      </c>
      <c r="D161" t="s">
        <v>29</v>
      </c>
      <c r="E161" t="s">
        <v>30</v>
      </c>
      <c r="F161" t="s">
        <v>15</v>
      </c>
      <c r="G161" s="16">
        <v>66</v>
      </c>
      <c r="H161">
        <f>RANK(G161,$G$2:$G$1001,0)+COUNTIF($G$2:G161,G161)-1</f>
        <v>498</v>
      </c>
      <c r="I161" t="str">
        <f>INDEX('Boundary table'!$B$3:$B$7,MATCH(G161,'Boundary table'!$A$3:$A$7,1))</f>
        <v>D</v>
      </c>
      <c r="J161" s="16">
        <v>62</v>
      </c>
      <c r="K161">
        <f>RANK(J161,$J$2:$J$1001,0)+COUNTIF($J$2:J161,J161)-1</f>
        <v>681</v>
      </c>
      <c r="L161" t="str">
        <f>INDEX('Boundary table'!$B$3:$B$7,MATCH(J161,'Boundary table'!$A$3:$A$7,1))</f>
        <v>D</v>
      </c>
      <c r="M161" s="16">
        <v>64</v>
      </c>
      <c r="N161">
        <f>RANK(M161,$M$2:$M$1001,0)+COUNTIF($M$2:M161,M161)-1</f>
        <v>617</v>
      </c>
      <c r="O161" t="str">
        <f>INDEX('Boundary table'!$B$3:$B$7,MATCH(M161,'Boundary table'!$A$3:$A$7))</f>
        <v>D</v>
      </c>
      <c r="P161">
        <f>Table1[[#This Row],[Math Score]]+Table1[[#This Row],[Reading Score]]+Table1[[#This Row],[Writing Score]]</f>
        <v>192</v>
      </c>
      <c r="Q161" s="16">
        <f>COUNTIF(Table1[[#This Row],[Math Score]],"&lt;60")+COUNTIF(Table1[[#This Row],[Reading Score]],"&lt;60")+COUNTIF(Table1[[#This Row],[Writing Score]],"&lt;60")</f>
        <v>0</v>
      </c>
      <c r="R161" t="str">
        <f>IF(Table1[[#This Row],[Fail Count]]&gt;=2,"At risk","OK")</f>
        <v>OK</v>
      </c>
    </row>
    <row r="162" spans="1:18">
      <c r="A162" t="str">
        <f t="shared" si="2"/>
        <v>Stu-161</v>
      </c>
      <c r="B162" t="s">
        <v>27</v>
      </c>
      <c r="C162" t="s">
        <v>12</v>
      </c>
      <c r="D162" t="s">
        <v>29</v>
      </c>
      <c r="E162" t="s">
        <v>30</v>
      </c>
      <c r="F162" t="s">
        <v>21</v>
      </c>
      <c r="G162" s="16">
        <v>82</v>
      </c>
      <c r="H162">
        <f>RANK(G162,$G$2:$G$1001,0)+COUNTIF($G$2:G162,G162)-1</f>
        <v>140</v>
      </c>
      <c r="I162" t="str">
        <f>INDEX('Boundary table'!$B$3:$B$7,MATCH(G162,'Boundary table'!$A$3:$A$7,1))</f>
        <v>B</v>
      </c>
      <c r="J162" s="16">
        <v>78</v>
      </c>
      <c r="K162">
        <f>RANK(J162,$J$2:$J$1001,0)+COUNTIF($J$2:J162,J162)-1</f>
        <v>272</v>
      </c>
      <c r="L162" t="str">
        <f>INDEX('Boundary table'!$B$3:$B$7,MATCH(J162,'Boundary table'!$A$3:$A$7,1))</f>
        <v>C</v>
      </c>
      <c r="M162" s="16">
        <v>74</v>
      </c>
      <c r="N162">
        <f>RANK(M162,$M$2:$M$1001,0)+COUNTIF($M$2:M162,M162)-1</f>
        <v>360</v>
      </c>
      <c r="O162" t="str">
        <f>INDEX('Boundary table'!$B$3:$B$7,MATCH(M162,'Boundary table'!$A$3:$A$7))</f>
        <v>C</v>
      </c>
      <c r="P162">
        <f>Table1[[#This Row],[Math Score]]+Table1[[#This Row],[Reading Score]]+Table1[[#This Row],[Writing Score]]</f>
        <v>234</v>
      </c>
      <c r="Q162" s="16">
        <f>COUNTIF(Table1[[#This Row],[Math Score]],"&lt;60")+COUNTIF(Table1[[#This Row],[Reading Score]],"&lt;60")+COUNTIF(Table1[[#This Row],[Writing Score]],"&lt;60")</f>
        <v>0</v>
      </c>
      <c r="R162" t="str">
        <f>IF(Table1[[#This Row],[Fail Count]]&gt;=2,"At risk","OK")</f>
        <v>OK</v>
      </c>
    </row>
    <row r="163" spans="1:18">
      <c r="A163" t="str">
        <f t="shared" si="2"/>
        <v>Stu-162</v>
      </c>
      <c r="B163" t="s">
        <v>11</v>
      </c>
      <c r="C163" t="s">
        <v>34</v>
      </c>
      <c r="D163" t="s">
        <v>20</v>
      </c>
      <c r="E163" t="s">
        <v>30</v>
      </c>
      <c r="F163" t="s">
        <v>21</v>
      </c>
      <c r="G163" s="16">
        <v>75</v>
      </c>
      <c r="H163">
        <f>RANK(G163,$G$2:$G$1001,0)+COUNTIF($G$2:G163,G163)-1</f>
        <v>278</v>
      </c>
      <c r="I163" t="str">
        <f>INDEX('Boundary table'!$B$3:$B$7,MATCH(G163,'Boundary table'!$A$3:$A$7,1))</f>
        <v>C</v>
      </c>
      <c r="J163" s="16">
        <v>88</v>
      </c>
      <c r="K163">
        <f>RANK(J163,$J$2:$J$1001,0)+COUNTIF($J$2:J163,J163)-1</f>
        <v>92</v>
      </c>
      <c r="L163" t="str">
        <f>INDEX('Boundary table'!$B$3:$B$7,MATCH(J163,'Boundary table'!$A$3:$A$7,1))</f>
        <v>B</v>
      </c>
      <c r="M163" s="16">
        <v>85</v>
      </c>
      <c r="N163">
        <f>RANK(M163,$M$2:$M$1001,0)+COUNTIF($M$2:M163,M163)-1</f>
        <v>122</v>
      </c>
      <c r="O163" t="str">
        <f>INDEX('Boundary table'!$B$3:$B$7,MATCH(M163,'Boundary table'!$A$3:$A$7))</f>
        <v>B</v>
      </c>
      <c r="P163">
        <f>Table1[[#This Row],[Math Score]]+Table1[[#This Row],[Reading Score]]+Table1[[#This Row],[Writing Score]]</f>
        <v>248</v>
      </c>
      <c r="Q163" s="16">
        <f>COUNTIF(Table1[[#This Row],[Math Score]],"&lt;60")+COUNTIF(Table1[[#This Row],[Reading Score]],"&lt;60")+COUNTIF(Table1[[#This Row],[Writing Score]],"&lt;60")</f>
        <v>0</v>
      </c>
      <c r="R163" t="str">
        <f>IF(Table1[[#This Row],[Fail Count]]&gt;=2,"At risk","OK")</f>
        <v>OK</v>
      </c>
    </row>
    <row r="164" spans="1:18">
      <c r="A164" t="str">
        <f t="shared" si="2"/>
        <v>Stu-163</v>
      </c>
      <c r="B164" t="s">
        <v>27</v>
      </c>
      <c r="C164" t="s">
        <v>12</v>
      </c>
      <c r="D164" t="s">
        <v>26</v>
      </c>
      <c r="E164" t="s">
        <v>30</v>
      </c>
      <c r="F164" t="s">
        <v>15</v>
      </c>
      <c r="G164" s="16">
        <v>49</v>
      </c>
      <c r="H164">
        <f>RANK(G164,$G$2:$G$1001,0)+COUNTIF($G$2:G164,G164)-1</f>
        <v>868</v>
      </c>
      <c r="I164" t="str">
        <f>INDEX('Boundary table'!$B$3:$B$7,MATCH(G164,'Boundary table'!$A$3:$A$7,1))</f>
        <v>F</v>
      </c>
      <c r="J164" s="16">
        <v>53</v>
      </c>
      <c r="K164">
        <f>RANK(J164,$J$2:$J$1001,0)+COUNTIF($J$2:J164,J164)-1</f>
        <v>861</v>
      </c>
      <c r="L164" t="str">
        <f>INDEX('Boundary table'!$B$3:$B$7,MATCH(J164,'Boundary table'!$A$3:$A$7,1))</f>
        <v>F</v>
      </c>
      <c r="M164" s="16">
        <v>52</v>
      </c>
      <c r="N164">
        <f>RANK(M164,$M$2:$M$1001,0)+COUNTIF($M$2:M164,M164)-1</f>
        <v>841</v>
      </c>
      <c r="O164" t="str">
        <f>INDEX('Boundary table'!$B$3:$B$7,MATCH(M164,'Boundary table'!$A$3:$A$7))</f>
        <v>F</v>
      </c>
      <c r="P164">
        <f>Table1[[#This Row],[Math Score]]+Table1[[#This Row],[Reading Score]]+Table1[[#This Row],[Writing Score]]</f>
        <v>154</v>
      </c>
      <c r="Q164" s="16">
        <f>COUNTIF(Table1[[#This Row],[Math Score]],"&lt;60")+COUNTIF(Table1[[#This Row],[Reading Score]],"&lt;60")+COUNTIF(Table1[[#This Row],[Writing Score]],"&lt;60")</f>
        <v>3</v>
      </c>
      <c r="R164" t="str">
        <f>IF(Table1[[#This Row],[Fail Count]]&gt;=2,"At risk","OK")</f>
        <v>At risk</v>
      </c>
    </row>
    <row r="165" spans="1:18">
      <c r="A165" t="str">
        <f t="shared" si="2"/>
        <v>Stu-164</v>
      </c>
      <c r="B165" t="s">
        <v>27</v>
      </c>
      <c r="C165" t="s">
        <v>19</v>
      </c>
      <c r="D165" t="s">
        <v>32</v>
      </c>
      <c r="E165" t="s">
        <v>14</v>
      </c>
      <c r="F165" t="s">
        <v>15</v>
      </c>
      <c r="G165" s="16">
        <v>52</v>
      </c>
      <c r="H165">
        <f>RANK(G165,$G$2:$G$1001,0)+COUNTIF($G$2:G165,G165)-1</f>
        <v>824</v>
      </c>
      <c r="I165" t="str">
        <f>INDEX('Boundary table'!$B$3:$B$7,MATCH(G165,'Boundary table'!$A$3:$A$7,1))</f>
        <v>F</v>
      </c>
      <c r="J165" s="16">
        <v>53</v>
      </c>
      <c r="K165">
        <f>RANK(J165,$J$2:$J$1001,0)+COUNTIF($J$2:J165,J165)-1</f>
        <v>862</v>
      </c>
      <c r="L165" t="str">
        <f>INDEX('Boundary table'!$B$3:$B$7,MATCH(J165,'Boundary table'!$A$3:$A$7,1))</f>
        <v>F</v>
      </c>
      <c r="M165" s="16">
        <v>49</v>
      </c>
      <c r="N165">
        <f>RANK(M165,$M$2:$M$1001,0)+COUNTIF($M$2:M165,M165)-1</f>
        <v>889</v>
      </c>
      <c r="O165" t="str">
        <f>INDEX('Boundary table'!$B$3:$B$7,MATCH(M165,'Boundary table'!$A$3:$A$7))</f>
        <v>F</v>
      </c>
      <c r="P165">
        <f>Table1[[#This Row],[Math Score]]+Table1[[#This Row],[Reading Score]]+Table1[[#This Row],[Writing Score]]</f>
        <v>154</v>
      </c>
      <c r="Q165" s="16">
        <f>COUNTIF(Table1[[#This Row],[Math Score]],"&lt;60")+COUNTIF(Table1[[#This Row],[Reading Score]],"&lt;60")+COUNTIF(Table1[[#This Row],[Writing Score]],"&lt;60")</f>
        <v>3</v>
      </c>
      <c r="R165" t="str">
        <f>IF(Table1[[#This Row],[Fail Count]]&gt;=2,"At risk","OK")</f>
        <v>At risk</v>
      </c>
    </row>
    <row r="166" spans="1:18">
      <c r="A166" t="str">
        <f t="shared" si="2"/>
        <v>Stu-165</v>
      </c>
      <c r="B166" t="s">
        <v>11</v>
      </c>
      <c r="C166" t="s">
        <v>34</v>
      </c>
      <c r="D166" t="s">
        <v>26</v>
      </c>
      <c r="E166" t="s">
        <v>14</v>
      </c>
      <c r="F166" t="s">
        <v>15</v>
      </c>
      <c r="G166" s="16">
        <v>81</v>
      </c>
      <c r="H166">
        <f>RANK(G166,$G$2:$G$1001,0)+COUNTIF($G$2:G166,G166)-1</f>
        <v>156</v>
      </c>
      <c r="I166" t="str">
        <f>INDEX('Boundary table'!$B$3:$B$7,MATCH(G166,'Boundary table'!$A$3:$A$7,1))</f>
        <v>B</v>
      </c>
      <c r="J166" s="16">
        <v>92</v>
      </c>
      <c r="K166">
        <f>RANK(J166,$J$2:$J$1001,0)+COUNTIF($J$2:J166,J166)-1</f>
        <v>48</v>
      </c>
      <c r="L166" t="str">
        <f>INDEX('Boundary table'!$B$3:$B$7,MATCH(J166,'Boundary table'!$A$3:$A$7,1))</f>
        <v>A</v>
      </c>
      <c r="M166" s="16">
        <v>91</v>
      </c>
      <c r="N166">
        <f>RANK(M166,$M$2:$M$1001,0)+COUNTIF($M$2:M166,M166)-1</f>
        <v>58</v>
      </c>
      <c r="O166" t="str">
        <f>INDEX('Boundary table'!$B$3:$B$7,MATCH(M166,'Boundary table'!$A$3:$A$7))</f>
        <v>A</v>
      </c>
      <c r="P166">
        <f>Table1[[#This Row],[Math Score]]+Table1[[#This Row],[Reading Score]]+Table1[[#This Row],[Writing Score]]</f>
        <v>264</v>
      </c>
      <c r="Q166" s="16">
        <f>COUNTIF(Table1[[#This Row],[Math Score]],"&lt;60")+COUNTIF(Table1[[#This Row],[Reading Score]],"&lt;60")+COUNTIF(Table1[[#This Row],[Writing Score]],"&lt;60")</f>
        <v>0</v>
      </c>
      <c r="R166" t="str">
        <f>IF(Table1[[#This Row],[Fail Count]]&gt;=2,"At risk","OK")</f>
        <v>OK</v>
      </c>
    </row>
    <row r="167" spans="1:18">
      <c r="A167" t="str">
        <f t="shared" si="2"/>
        <v>Stu-166</v>
      </c>
      <c r="B167" t="s">
        <v>11</v>
      </c>
      <c r="C167" t="s">
        <v>19</v>
      </c>
      <c r="D167" t="s">
        <v>13</v>
      </c>
      <c r="E167" t="s">
        <v>14</v>
      </c>
      <c r="F167" t="s">
        <v>21</v>
      </c>
      <c r="G167" s="16">
        <v>96</v>
      </c>
      <c r="H167">
        <f>RANK(G167,$G$2:$G$1001,0)+COUNTIF($G$2:G167,G167)-1</f>
        <v>20</v>
      </c>
      <c r="I167" t="str">
        <f>INDEX('Boundary table'!$B$3:$B$7,MATCH(G167,'Boundary table'!$A$3:$A$7,1))</f>
        <v>A</v>
      </c>
      <c r="J167" s="16">
        <v>100</v>
      </c>
      <c r="K167">
        <f>RANK(J167,$J$2:$J$1001,0)+COUNTIF($J$2:J167,J167)-1</f>
        <v>4</v>
      </c>
      <c r="L167" t="str">
        <f>INDEX('Boundary table'!$B$3:$B$7,MATCH(J167,'Boundary table'!$A$3:$A$7,1))</f>
        <v>A</v>
      </c>
      <c r="M167" s="16">
        <v>100</v>
      </c>
      <c r="N167">
        <f>RANK(M167,$M$2:$M$1001,0)+COUNTIF($M$2:M167,M167)-1</f>
        <v>3</v>
      </c>
      <c r="O167" t="str">
        <f>INDEX('Boundary table'!$B$3:$B$7,MATCH(M167,'Boundary table'!$A$3:$A$7))</f>
        <v>A</v>
      </c>
      <c r="P167">
        <f>Table1[[#This Row],[Math Score]]+Table1[[#This Row],[Reading Score]]+Table1[[#This Row],[Writing Score]]</f>
        <v>296</v>
      </c>
      <c r="Q167" s="16">
        <f>COUNTIF(Table1[[#This Row],[Math Score]],"&lt;60")+COUNTIF(Table1[[#This Row],[Reading Score]],"&lt;60")+COUNTIF(Table1[[#This Row],[Writing Score]],"&lt;60")</f>
        <v>0</v>
      </c>
      <c r="R167" t="str">
        <f>IF(Table1[[#This Row],[Fail Count]]&gt;=2,"At risk","OK")</f>
        <v>OK</v>
      </c>
    </row>
    <row r="168" spans="1:18">
      <c r="A168" t="str">
        <f t="shared" si="2"/>
        <v>Stu-167</v>
      </c>
      <c r="B168" t="s">
        <v>27</v>
      </c>
      <c r="C168" t="s">
        <v>19</v>
      </c>
      <c r="D168" t="s">
        <v>32</v>
      </c>
      <c r="E168" t="s">
        <v>30</v>
      </c>
      <c r="F168" t="s">
        <v>21</v>
      </c>
      <c r="G168" s="16">
        <v>53</v>
      </c>
      <c r="H168">
        <f>RANK(G168,$G$2:$G$1001,0)+COUNTIF($G$2:G168,G168)-1</f>
        <v>802</v>
      </c>
      <c r="I168" t="str">
        <f>INDEX('Boundary table'!$B$3:$B$7,MATCH(G168,'Boundary table'!$A$3:$A$7,1))</f>
        <v>F</v>
      </c>
      <c r="J168" s="16">
        <v>51</v>
      </c>
      <c r="K168">
        <f>RANK(J168,$J$2:$J$1001,0)+COUNTIF($J$2:J168,J168)-1</f>
        <v>889</v>
      </c>
      <c r="L168" t="str">
        <f>INDEX('Boundary table'!$B$3:$B$7,MATCH(J168,'Boundary table'!$A$3:$A$7,1))</f>
        <v>F</v>
      </c>
      <c r="M168" s="16">
        <v>51</v>
      </c>
      <c r="N168">
        <f>RANK(M168,$M$2:$M$1001,0)+COUNTIF($M$2:M168,M168)-1</f>
        <v>861</v>
      </c>
      <c r="O168" t="str">
        <f>INDEX('Boundary table'!$B$3:$B$7,MATCH(M168,'Boundary table'!$A$3:$A$7))</f>
        <v>F</v>
      </c>
      <c r="P168">
        <f>Table1[[#This Row],[Math Score]]+Table1[[#This Row],[Reading Score]]+Table1[[#This Row],[Writing Score]]</f>
        <v>155</v>
      </c>
      <c r="Q168" s="16">
        <f>COUNTIF(Table1[[#This Row],[Math Score]],"&lt;60")+COUNTIF(Table1[[#This Row],[Reading Score]],"&lt;60")+COUNTIF(Table1[[#This Row],[Writing Score]],"&lt;60")</f>
        <v>3</v>
      </c>
      <c r="R168" t="str">
        <f>IF(Table1[[#This Row],[Fail Count]]&gt;=2,"At risk","OK")</f>
        <v>At risk</v>
      </c>
    </row>
    <row r="169" spans="1:18">
      <c r="A169" t="str">
        <f t="shared" si="2"/>
        <v>Stu-168</v>
      </c>
      <c r="B169" t="s">
        <v>11</v>
      </c>
      <c r="C169" t="s">
        <v>12</v>
      </c>
      <c r="D169" t="s">
        <v>26</v>
      </c>
      <c r="E169" t="s">
        <v>30</v>
      </c>
      <c r="F169" t="s">
        <v>21</v>
      </c>
      <c r="G169" s="16">
        <v>58</v>
      </c>
      <c r="H169">
        <f>RANK(G169,$G$2:$G$1001,0)+COUNTIF($G$2:G169,G169)-1</f>
        <v>718</v>
      </c>
      <c r="I169" t="str">
        <f>INDEX('Boundary table'!$B$3:$B$7,MATCH(G169,'Boundary table'!$A$3:$A$7,1))</f>
        <v>F</v>
      </c>
      <c r="J169" s="16">
        <v>76</v>
      </c>
      <c r="K169">
        <f>RANK(J169,$J$2:$J$1001,0)+COUNTIF($J$2:J169,J169)-1</f>
        <v>321</v>
      </c>
      <c r="L169" t="str">
        <f>INDEX('Boundary table'!$B$3:$B$7,MATCH(J169,'Boundary table'!$A$3:$A$7,1))</f>
        <v>C</v>
      </c>
      <c r="M169" s="16">
        <v>78</v>
      </c>
      <c r="N169">
        <f>RANK(M169,$M$2:$M$1001,0)+COUNTIF($M$2:M169,M169)-1</f>
        <v>259</v>
      </c>
      <c r="O169" t="str">
        <f>INDEX('Boundary table'!$B$3:$B$7,MATCH(M169,'Boundary table'!$A$3:$A$7))</f>
        <v>C</v>
      </c>
      <c r="P169">
        <f>Table1[[#This Row],[Math Score]]+Table1[[#This Row],[Reading Score]]+Table1[[#This Row],[Writing Score]]</f>
        <v>212</v>
      </c>
      <c r="Q169" s="16">
        <f>COUNTIF(Table1[[#This Row],[Math Score]],"&lt;60")+COUNTIF(Table1[[#This Row],[Reading Score]],"&lt;60")+COUNTIF(Table1[[#This Row],[Writing Score]],"&lt;60")</f>
        <v>1</v>
      </c>
      <c r="R169" t="str">
        <f>IF(Table1[[#This Row],[Fail Count]]&gt;=2,"At risk","OK")</f>
        <v>OK</v>
      </c>
    </row>
    <row r="170" spans="1:18">
      <c r="A170" t="str">
        <f t="shared" si="2"/>
        <v>Stu-169</v>
      </c>
      <c r="B170" t="s">
        <v>11</v>
      </c>
      <c r="C170" t="s">
        <v>12</v>
      </c>
      <c r="D170" t="s">
        <v>32</v>
      </c>
      <c r="E170" t="s">
        <v>14</v>
      </c>
      <c r="F170" t="s">
        <v>21</v>
      </c>
      <c r="G170" s="16">
        <v>68</v>
      </c>
      <c r="H170">
        <f>RANK(G170,$G$2:$G$1001,0)+COUNTIF($G$2:G170,G170)-1</f>
        <v>444</v>
      </c>
      <c r="I170" t="str">
        <f>INDEX('Boundary table'!$B$3:$B$7,MATCH(G170,'Boundary table'!$A$3:$A$7,1))</f>
        <v>D</v>
      </c>
      <c r="J170" s="16">
        <v>83</v>
      </c>
      <c r="K170">
        <f>RANK(J170,$J$2:$J$1001,0)+COUNTIF($J$2:J170,J170)-1</f>
        <v>179</v>
      </c>
      <c r="L170" t="str">
        <f>INDEX('Boundary table'!$B$3:$B$7,MATCH(J170,'Boundary table'!$A$3:$A$7,1))</f>
        <v>B</v>
      </c>
      <c r="M170" s="16">
        <v>78</v>
      </c>
      <c r="N170">
        <f>RANK(M170,$M$2:$M$1001,0)+COUNTIF($M$2:M170,M170)-1</f>
        <v>260</v>
      </c>
      <c r="O170" t="str">
        <f>INDEX('Boundary table'!$B$3:$B$7,MATCH(M170,'Boundary table'!$A$3:$A$7))</f>
        <v>C</v>
      </c>
      <c r="P170">
        <f>Table1[[#This Row],[Math Score]]+Table1[[#This Row],[Reading Score]]+Table1[[#This Row],[Writing Score]]</f>
        <v>229</v>
      </c>
      <c r="Q170" s="16">
        <f>COUNTIF(Table1[[#This Row],[Math Score]],"&lt;60")+COUNTIF(Table1[[#This Row],[Reading Score]],"&lt;60")+COUNTIF(Table1[[#This Row],[Writing Score]],"&lt;60")</f>
        <v>0</v>
      </c>
      <c r="R170" t="str">
        <f>IF(Table1[[#This Row],[Fail Count]]&gt;=2,"At risk","OK")</f>
        <v>OK</v>
      </c>
    </row>
    <row r="171" spans="1:18">
      <c r="A171" t="str">
        <f t="shared" si="2"/>
        <v>Stu-170</v>
      </c>
      <c r="B171" t="s">
        <v>11</v>
      </c>
      <c r="C171" t="s">
        <v>19</v>
      </c>
      <c r="D171" t="s">
        <v>20</v>
      </c>
      <c r="E171" t="s">
        <v>30</v>
      </c>
      <c r="F171" t="s">
        <v>21</v>
      </c>
      <c r="G171" s="16">
        <v>67</v>
      </c>
      <c r="H171">
        <f>RANK(G171,$G$2:$G$1001,0)+COUNTIF($G$2:G171,G171)-1</f>
        <v>470</v>
      </c>
      <c r="I171" t="str">
        <f>INDEX('Boundary table'!$B$3:$B$7,MATCH(G171,'Boundary table'!$A$3:$A$7,1))</f>
        <v>D</v>
      </c>
      <c r="J171" s="16">
        <v>75</v>
      </c>
      <c r="K171">
        <f>RANK(J171,$J$2:$J$1001,0)+COUNTIF($J$2:J171,J171)-1</f>
        <v>348</v>
      </c>
      <c r="L171" t="str">
        <f>INDEX('Boundary table'!$B$3:$B$7,MATCH(J171,'Boundary table'!$A$3:$A$7,1))</f>
        <v>C</v>
      </c>
      <c r="M171" s="16">
        <v>70</v>
      </c>
      <c r="N171">
        <f>RANK(M171,$M$2:$M$1001,0)+COUNTIF($M$2:M171,M171)-1</f>
        <v>462</v>
      </c>
      <c r="O171" t="str">
        <f>INDEX('Boundary table'!$B$3:$B$7,MATCH(M171,'Boundary table'!$A$3:$A$7))</f>
        <v>C</v>
      </c>
      <c r="P171">
        <f>Table1[[#This Row],[Math Score]]+Table1[[#This Row],[Reading Score]]+Table1[[#This Row],[Writing Score]]</f>
        <v>212</v>
      </c>
      <c r="Q171" s="16">
        <f>COUNTIF(Table1[[#This Row],[Math Score]],"&lt;60")+COUNTIF(Table1[[#This Row],[Reading Score]],"&lt;60")+COUNTIF(Table1[[#This Row],[Writing Score]],"&lt;60")</f>
        <v>0</v>
      </c>
      <c r="R171" t="str">
        <f>IF(Table1[[#This Row],[Fail Count]]&gt;=2,"At risk","OK")</f>
        <v>OK</v>
      </c>
    </row>
    <row r="172" spans="1:18">
      <c r="A172" t="str">
        <f t="shared" si="2"/>
        <v>Stu-171</v>
      </c>
      <c r="B172" t="s">
        <v>27</v>
      </c>
      <c r="C172" t="s">
        <v>28</v>
      </c>
      <c r="D172" t="s">
        <v>32</v>
      </c>
      <c r="E172" t="s">
        <v>14</v>
      </c>
      <c r="F172" t="s">
        <v>21</v>
      </c>
      <c r="G172" s="16">
        <v>72</v>
      </c>
      <c r="H172">
        <f>RANK(G172,$G$2:$G$1001,0)+COUNTIF($G$2:G172,G172)-1</f>
        <v>351</v>
      </c>
      <c r="I172" t="str">
        <f>INDEX('Boundary table'!$B$3:$B$7,MATCH(G172,'Boundary table'!$A$3:$A$7,1))</f>
        <v>C</v>
      </c>
      <c r="J172" s="16">
        <v>73</v>
      </c>
      <c r="K172">
        <f>RANK(J172,$J$2:$J$1001,0)+COUNTIF($J$2:J172,J172)-1</f>
        <v>407</v>
      </c>
      <c r="L172" t="str">
        <f>INDEX('Boundary table'!$B$3:$B$7,MATCH(J172,'Boundary table'!$A$3:$A$7,1))</f>
        <v>C</v>
      </c>
      <c r="M172" s="16">
        <v>74</v>
      </c>
      <c r="N172">
        <f>RANK(M172,$M$2:$M$1001,0)+COUNTIF($M$2:M172,M172)-1</f>
        <v>361</v>
      </c>
      <c r="O172" t="str">
        <f>INDEX('Boundary table'!$B$3:$B$7,MATCH(M172,'Boundary table'!$A$3:$A$7))</f>
        <v>C</v>
      </c>
      <c r="P172">
        <f>Table1[[#This Row],[Math Score]]+Table1[[#This Row],[Reading Score]]+Table1[[#This Row],[Writing Score]]</f>
        <v>219</v>
      </c>
      <c r="Q172" s="16">
        <f>COUNTIF(Table1[[#This Row],[Math Score]],"&lt;60")+COUNTIF(Table1[[#This Row],[Reading Score]],"&lt;60")+COUNTIF(Table1[[#This Row],[Writing Score]],"&lt;60")</f>
        <v>0</v>
      </c>
      <c r="R172" t="str">
        <f>IF(Table1[[#This Row],[Fail Count]]&gt;=2,"At risk","OK")</f>
        <v>OK</v>
      </c>
    </row>
    <row r="173" spans="1:18">
      <c r="A173" t="str">
        <f t="shared" si="2"/>
        <v>Stu-172</v>
      </c>
      <c r="B173" t="s">
        <v>27</v>
      </c>
      <c r="C173" t="s">
        <v>34</v>
      </c>
      <c r="D173" t="s">
        <v>33</v>
      </c>
      <c r="E173" t="s">
        <v>14</v>
      </c>
      <c r="F173" t="s">
        <v>15</v>
      </c>
      <c r="G173" s="16">
        <v>94</v>
      </c>
      <c r="H173">
        <f>RANK(G173,$G$2:$G$1001,0)+COUNTIF($G$2:G173,G173)-1</f>
        <v>25</v>
      </c>
      <c r="I173" t="str">
        <f>INDEX('Boundary table'!$B$3:$B$7,MATCH(G173,'Boundary table'!$A$3:$A$7,1))</f>
        <v>A</v>
      </c>
      <c r="J173" s="16">
        <v>88</v>
      </c>
      <c r="K173">
        <f>RANK(J173,$J$2:$J$1001,0)+COUNTIF($J$2:J173,J173)-1</f>
        <v>93</v>
      </c>
      <c r="L173" t="str">
        <f>INDEX('Boundary table'!$B$3:$B$7,MATCH(J173,'Boundary table'!$A$3:$A$7,1))</f>
        <v>B</v>
      </c>
      <c r="M173" s="16">
        <v>78</v>
      </c>
      <c r="N173">
        <f>RANK(M173,$M$2:$M$1001,0)+COUNTIF($M$2:M173,M173)-1</f>
        <v>261</v>
      </c>
      <c r="O173" t="str">
        <f>INDEX('Boundary table'!$B$3:$B$7,MATCH(M173,'Boundary table'!$A$3:$A$7))</f>
        <v>C</v>
      </c>
      <c r="P173">
        <f>Table1[[#This Row],[Math Score]]+Table1[[#This Row],[Reading Score]]+Table1[[#This Row],[Writing Score]]</f>
        <v>260</v>
      </c>
      <c r="Q173" s="16">
        <f>COUNTIF(Table1[[#This Row],[Math Score]],"&lt;60")+COUNTIF(Table1[[#This Row],[Reading Score]],"&lt;60")+COUNTIF(Table1[[#This Row],[Writing Score]],"&lt;60")</f>
        <v>0</v>
      </c>
      <c r="R173" t="str">
        <f>IF(Table1[[#This Row],[Fail Count]]&gt;=2,"At risk","OK")</f>
        <v>OK</v>
      </c>
    </row>
    <row r="174" spans="1:18">
      <c r="A174" t="str">
        <f t="shared" si="2"/>
        <v>Stu-173</v>
      </c>
      <c r="B174" t="s">
        <v>11</v>
      </c>
      <c r="C174" t="s">
        <v>31</v>
      </c>
      <c r="D174" t="s">
        <v>20</v>
      </c>
      <c r="E174" t="s">
        <v>14</v>
      </c>
      <c r="F174" t="s">
        <v>15</v>
      </c>
      <c r="G174" s="16">
        <v>79</v>
      </c>
      <c r="H174">
        <f>RANK(G174,$G$2:$G$1001,0)+COUNTIF($G$2:G174,G174)-1</f>
        <v>198</v>
      </c>
      <c r="I174" t="str">
        <f>INDEX('Boundary table'!$B$3:$B$7,MATCH(G174,'Boundary table'!$A$3:$A$7,1))</f>
        <v>C</v>
      </c>
      <c r="J174" s="16">
        <v>86</v>
      </c>
      <c r="K174">
        <f>RANK(J174,$J$2:$J$1001,0)+COUNTIF($J$2:J174,J174)-1</f>
        <v>118</v>
      </c>
      <c r="L174" t="str">
        <f>INDEX('Boundary table'!$B$3:$B$7,MATCH(J174,'Boundary table'!$A$3:$A$7,1))</f>
        <v>B</v>
      </c>
      <c r="M174" s="16">
        <v>81</v>
      </c>
      <c r="N174">
        <f>RANK(M174,$M$2:$M$1001,0)+COUNTIF($M$2:M174,M174)-1</f>
        <v>191</v>
      </c>
      <c r="O174" t="str">
        <f>INDEX('Boundary table'!$B$3:$B$7,MATCH(M174,'Boundary table'!$A$3:$A$7))</f>
        <v>B</v>
      </c>
      <c r="P174">
        <f>Table1[[#This Row],[Math Score]]+Table1[[#This Row],[Reading Score]]+Table1[[#This Row],[Writing Score]]</f>
        <v>246</v>
      </c>
      <c r="Q174" s="16">
        <f>COUNTIF(Table1[[#This Row],[Math Score]],"&lt;60")+COUNTIF(Table1[[#This Row],[Reading Score]],"&lt;60")+COUNTIF(Table1[[#This Row],[Writing Score]],"&lt;60")</f>
        <v>0</v>
      </c>
      <c r="R174" t="str">
        <f>IF(Table1[[#This Row],[Fail Count]]&gt;=2,"At risk","OK")</f>
        <v>OK</v>
      </c>
    </row>
    <row r="175" spans="1:18">
      <c r="A175" t="str">
        <f t="shared" si="2"/>
        <v>Stu-174</v>
      </c>
      <c r="B175" t="s">
        <v>11</v>
      </c>
      <c r="C175" t="s">
        <v>19</v>
      </c>
      <c r="D175" t="s">
        <v>29</v>
      </c>
      <c r="E175" t="s">
        <v>14</v>
      </c>
      <c r="F175" t="s">
        <v>15</v>
      </c>
      <c r="G175" s="16">
        <v>63</v>
      </c>
      <c r="H175">
        <f>RANK(G175,$G$2:$G$1001,0)+COUNTIF($G$2:G175,G175)-1</f>
        <v>578</v>
      </c>
      <c r="I175" t="str">
        <f>INDEX('Boundary table'!$B$3:$B$7,MATCH(G175,'Boundary table'!$A$3:$A$7,1))</f>
        <v>D</v>
      </c>
      <c r="J175" s="16">
        <v>67</v>
      </c>
      <c r="K175">
        <f>RANK(J175,$J$2:$J$1001,0)+COUNTIF($J$2:J175,J175)-1</f>
        <v>559</v>
      </c>
      <c r="L175" t="str">
        <f>INDEX('Boundary table'!$B$3:$B$7,MATCH(J175,'Boundary table'!$A$3:$A$7,1))</f>
        <v>D</v>
      </c>
      <c r="M175" s="16">
        <v>70</v>
      </c>
      <c r="N175">
        <f>RANK(M175,$M$2:$M$1001,0)+COUNTIF($M$2:M175,M175)-1</f>
        <v>463</v>
      </c>
      <c r="O175" t="str">
        <f>INDEX('Boundary table'!$B$3:$B$7,MATCH(M175,'Boundary table'!$A$3:$A$7))</f>
        <v>C</v>
      </c>
      <c r="P175">
        <f>Table1[[#This Row],[Math Score]]+Table1[[#This Row],[Reading Score]]+Table1[[#This Row],[Writing Score]]</f>
        <v>200</v>
      </c>
      <c r="Q175" s="16">
        <f>COUNTIF(Table1[[#This Row],[Math Score]],"&lt;60")+COUNTIF(Table1[[#This Row],[Reading Score]],"&lt;60")+COUNTIF(Table1[[#This Row],[Writing Score]],"&lt;60")</f>
        <v>0</v>
      </c>
      <c r="R175" t="str">
        <f>IF(Table1[[#This Row],[Fail Count]]&gt;=2,"At risk","OK")</f>
        <v>OK</v>
      </c>
    </row>
    <row r="176" spans="1:18">
      <c r="A176" t="str">
        <f t="shared" si="2"/>
        <v>Stu-175</v>
      </c>
      <c r="B176" t="s">
        <v>11</v>
      </c>
      <c r="C176" t="s">
        <v>19</v>
      </c>
      <c r="D176" t="s">
        <v>13</v>
      </c>
      <c r="E176" t="s">
        <v>30</v>
      </c>
      <c r="F176" t="s">
        <v>21</v>
      </c>
      <c r="G176" s="16">
        <v>43</v>
      </c>
      <c r="H176">
        <f>RANK(G176,$G$2:$G$1001,0)+COUNTIF($G$2:G176,G176)-1</f>
        <v>935</v>
      </c>
      <c r="I176" t="str">
        <f>INDEX('Boundary table'!$B$3:$B$7,MATCH(G176,'Boundary table'!$A$3:$A$7,1))</f>
        <v>F</v>
      </c>
      <c r="J176" s="16">
        <v>51</v>
      </c>
      <c r="K176">
        <f>RANK(J176,$J$2:$J$1001,0)+COUNTIF($J$2:J176,J176)-1</f>
        <v>890</v>
      </c>
      <c r="L176" t="str">
        <f>INDEX('Boundary table'!$B$3:$B$7,MATCH(J176,'Boundary table'!$A$3:$A$7,1))</f>
        <v>F</v>
      </c>
      <c r="M176" s="16">
        <v>54</v>
      </c>
      <c r="N176">
        <f>RANK(M176,$M$2:$M$1001,0)+COUNTIF($M$2:M176,M176)-1</f>
        <v>803</v>
      </c>
      <c r="O176" t="str">
        <f>INDEX('Boundary table'!$B$3:$B$7,MATCH(M176,'Boundary table'!$A$3:$A$7))</f>
        <v>F</v>
      </c>
      <c r="P176">
        <f>Table1[[#This Row],[Math Score]]+Table1[[#This Row],[Reading Score]]+Table1[[#This Row],[Writing Score]]</f>
        <v>148</v>
      </c>
      <c r="Q176" s="16">
        <f>COUNTIF(Table1[[#This Row],[Math Score]],"&lt;60")+COUNTIF(Table1[[#This Row],[Reading Score]],"&lt;60")+COUNTIF(Table1[[#This Row],[Writing Score]],"&lt;60")</f>
        <v>3</v>
      </c>
      <c r="R176" t="str">
        <f>IF(Table1[[#This Row],[Fail Count]]&gt;=2,"At risk","OK")</f>
        <v>At risk</v>
      </c>
    </row>
    <row r="177" spans="1:18">
      <c r="A177" t="str">
        <f t="shared" si="2"/>
        <v>Stu-176</v>
      </c>
      <c r="B177" t="s">
        <v>11</v>
      </c>
      <c r="C177" t="s">
        <v>19</v>
      </c>
      <c r="D177" t="s">
        <v>26</v>
      </c>
      <c r="E177" t="s">
        <v>14</v>
      </c>
      <c r="F177" t="s">
        <v>21</v>
      </c>
      <c r="G177" s="16">
        <v>81</v>
      </c>
      <c r="H177">
        <f>RANK(G177,$G$2:$G$1001,0)+COUNTIF($G$2:G177,G177)-1</f>
        <v>157</v>
      </c>
      <c r="I177" t="str">
        <f>INDEX('Boundary table'!$B$3:$B$7,MATCH(G177,'Boundary table'!$A$3:$A$7,1))</f>
        <v>B</v>
      </c>
      <c r="J177" s="16">
        <v>91</v>
      </c>
      <c r="K177">
        <f>RANK(J177,$J$2:$J$1001,0)+COUNTIF($J$2:J177,J177)-1</f>
        <v>58</v>
      </c>
      <c r="L177" t="str">
        <f>INDEX('Boundary table'!$B$3:$B$7,MATCH(J177,'Boundary table'!$A$3:$A$7,1))</f>
        <v>A</v>
      </c>
      <c r="M177" s="16">
        <v>87</v>
      </c>
      <c r="N177">
        <f>RANK(M177,$M$2:$M$1001,0)+COUNTIF($M$2:M177,M177)-1</f>
        <v>101</v>
      </c>
      <c r="O177" t="str">
        <f>INDEX('Boundary table'!$B$3:$B$7,MATCH(M177,'Boundary table'!$A$3:$A$7))</f>
        <v>B</v>
      </c>
      <c r="P177">
        <f>Table1[[#This Row],[Math Score]]+Table1[[#This Row],[Reading Score]]+Table1[[#This Row],[Writing Score]]</f>
        <v>259</v>
      </c>
      <c r="Q177" s="16">
        <f>COUNTIF(Table1[[#This Row],[Math Score]],"&lt;60")+COUNTIF(Table1[[#This Row],[Reading Score]],"&lt;60")+COUNTIF(Table1[[#This Row],[Writing Score]],"&lt;60")</f>
        <v>0</v>
      </c>
      <c r="R177" t="str">
        <f>IF(Table1[[#This Row],[Fail Count]]&gt;=2,"At risk","OK")</f>
        <v>OK</v>
      </c>
    </row>
    <row r="178" spans="1:18">
      <c r="A178" t="str">
        <f t="shared" si="2"/>
        <v>Stu-177</v>
      </c>
      <c r="B178" t="s">
        <v>11</v>
      </c>
      <c r="C178" t="s">
        <v>12</v>
      </c>
      <c r="D178" t="s">
        <v>32</v>
      </c>
      <c r="E178" t="s">
        <v>30</v>
      </c>
      <c r="F178" t="s">
        <v>21</v>
      </c>
      <c r="G178" s="16">
        <v>46</v>
      </c>
      <c r="H178">
        <f>RANK(G178,$G$2:$G$1001,0)+COUNTIF($G$2:G178,G178)-1</f>
        <v>906</v>
      </c>
      <c r="I178" t="str">
        <f>INDEX('Boundary table'!$B$3:$B$7,MATCH(G178,'Boundary table'!$A$3:$A$7,1))</f>
        <v>F</v>
      </c>
      <c r="J178" s="16">
        <v>54</v>
      </c>
      <c r="K178">
        <f>RANK(J178,$J$2:$J$1001,0)+COUNTIF($J$2:J178,J178)-1</f>
        <v>846</v>
      </c>
      <c r="L178" t="str">
        <f>INDEX('Boundary table'!$B$3:$B$7,MATCH(J178,'Boundary table'!$A$3:$A$7,1))</f>
        <v>F</v>
      </c>
      <c r="M178" s="16">
        <v>58</v>
      </c>
      <c r="N178">
        <f>RANK(M178,$M$2:$M$1001,0)+COUNTIF($M$2:M178,M178)-1</f>
        <v>735</v>
      </c>
      <c r="O178" t="str">
        <f>INDEX('Boundary table'!$B$3:$B$7,MATCH(M178,'Boundary table'!$A$3:$A$7))</f>
        <v>F</v>
      </c>
      <c r="P178">
        <f>Table1[[#This Row],[Math Score]]+Table1[[#This Row],[Reading Score]]+Table1[[#This Row],[Writing Score]]</f>
        <v>158</v>
      </c>
      <c r="Q178" s="16">
        <f>COUNTIF(Table1[[#This Row],[Math Score]],"&lt;60")+COUNTIF(Table1[[#This Row],[Reading Score]],"&lt;60")+COUNTIF(Table1[[#This Row],[Writing Score]],"&lt;60")</f>
        <v>3</v>
      </c>
      <c r="R178" t="str">
        <f>IF(Table1[[#This Row],[Fail Count]]&gt;=2,"At risk","OK")</f>
        <v>At risk</v>
      </c>
    </row>
    <row r="179" spans="1:18">
      <c r="A179" t="str">
        <f t="shared" si="2"/>
        <v>Stu-178</v>
      </c>
      <c r="B179" t="s">
        <v>11</v>
      </c>
      <c r="C179" t="s">
        <v>19</v>
      </c>
      <c r="D179" t="s">
        <v>29</v>
      </c>
      <c r="E179" t="s">
        <v>14</v>
      </c>
      <c r="F179" t="s">
        <v>21</v>
      </c>
      <c r="G179" s="16">
        <v>71</v>
      </c>
      <c r="H179">
        <f>RANK(G179,$G$2:$G$1001,0)+COUNTIF($G$2:G179,G179)-1</f>
        <v>371</v>
      </c>
      <c r="I179" t="str">
        <f>INDEX('Boundary table'!$B$3:$B$7,MATCH(G179,'Boundary table'!$A$3:$A$7,1))</f>
        <v>C</v>
      </c>
      <c r="J179" s="16">
        <v>77</v>
      </c>
      <c r="K179">
        <f>RANK(J179,$J$2:$J$1001,0)+COUNTIF($J$2:J179,J179)-1</f>
        <v>298</v>
      </c>
      <c r="L179" t="str">
        <f>INDEX('Boundary table'!$B$3:$B$7,MATCH(J179,'Boundary table'!$A$3:$A$7,1))</f>
        <v>C</v>
      </c>
      <c r="M179" s="16">
        <v>77</v>
      </c>
      <c r="N179">
        <f>RANK(M179,$M$2:$M$1001,0)+COUNTIF($M$2:M179,M179)-1</f>
        <v>280</v>
      </c>
      <c r="O179" t="str">
        <f>INDEX('Boundary table'!$B$3:$B$7,MATCH(M179,'Boundary table'!$A$3:$A$7))</f>
        <v>C</v>
      </c>
      <c r="P179">
        <f>Table1[[#This Row],[Math Score]]+Table1[[#This Row],[Reading Score]]+Table1[[#This Row],[Writing Score]]</f>
        <v>225</v>
      </c>
      <c r="Q179" s="16">
        <f>COUNTIF(Table1[[#This Row],[Math Score]],"&lt;60")+COUNTIF(Table1[[#This Row],[Reading Score]],"&lt;60")+COUNTIF(Table1[[#This Row],[Writing Score]],"&lt;60")</f>
        <v>0</v>
      </c>
      <c r="R179" t="str">
        <f>IF(Table1[[#This Row],[Fail Count]]&gt;=2,"At risk","OK")</f>
        <v>OK</v>
      </c>
    </row>
    <row r="180" spans="1:18">
      <c r="A180" t="str">
        <f t="shared" si="2"/>
        <v>Stu-179</v>
      </c>
      <c r="B180" t="s">
        <v>11</v>
      </c>
      <c r="C180" t="s">
        <v>12</v>
      </c>
      <c r="D180" t="s">
        <v>26</v>
      </c>
      <c r="E180" t="s">
        <v>30</v>
      </c>
      <c r="F180" t="s">
        <v>21</v>
      </c>
      <c r="G180" s="16">
        <v>52</v>
      </c>
      <c r="H180">
        <f>RANK(G180,$G$2:$G$1001,0)+COUNTIF($G$2:G180,G180)-1</f>
        <v>825</v>
      </c>
      <c r="I180" t="str">
        <f>INDEX('Boundary table'!$B$3:$B$7,MATCH(G180,'Boundary table'!$A$3:$A$7,1))</f>
        <v>F</v>
      </c>
      <c r="J180" s="16">
        <v>70</v>
      </c>
      <c r="K180">
        <f>RANK(J180,$J$2:$J$1001,0)+COUNTIF($J$2:J180,J180)-1</f>
        <v>492</v>
      </c>
      <c r="L180" t="str">
        <f>INDEX('Boundary table'!$B$3:$B$7,MATCH(J180,'Boundary table'!$A$3:$A$7,1))</f>
        <v>C</v>
      </c>
      <c r="M180" s="16">
        <v>62</v>
      </c>
      <c r="N180">
        <f>RANK(M180,$M$2:$M$1001,0)+COUNTIF($M$2:M180,M180)-1</f>
        <v>656</v>
      </c>
      <c r="O180" t="str">
        <f>INDEX('Boundary table'!$B$3:$B$7,MATCH(M180,'Boundary table'!$A$3:$A$7))</f>
        <v>D</v>
      </c>
      <c r="P180">
        <f>Table1[[#This Row],[Math Score]]+Table1[[#This Row],[Reading Score]]+Table1[[#This Row],[Writing Score]]</f>
        <v>184</v>
      </c>
      <c r="Q180" s="16">
        <f>COUNTIF(Table1[[#This Row],[Math Score]],"&lt;60")+COUNTIF(Table1[[#This Row],[Reading Score]],"&lt;60")+COUNTIF(Table1[[#This Row],[Writing Score]],"&lt;60")</f>
        <v>1</v>
      </c>
      <c r="R180" t="str">
        <f>IF(Table1[[#This Row],[Fail Count]]&gt;=2,"At risk","OK")</f>
        <v>OK</v>
      </c>
    </row>
    <row r="181" spans="1:18">
      <c r="A181" t="str">
        <f t="shared" si="2"/>
        <v>Stu-180</v>
      </c>
      <c r="B181" t="s">
        <v>11</v>
      </c>
      <c r="C181" t="s">
        <v>31</v>
      </c>
      <c r="D181" t="s">
        <v>33</v>
      </c>
      <c r="E181" t="s">
        <v>14</v>
      </c>
      <c r="F181" t="s">
        <v>21</v>
      </c>
      <c r="G181" s="16">
        <v>97</v>
      </c>
      <c r="H181">
        <f>RANK(G181,$G$2:$G$1001,0)+COUNTIF($G$2:G181,G181)-1</f>
        <v>15</v>
      </c>
      <c r="I181" t="str">
        <f>INDEX('Boundary table'!$B$3:$B$7,MATCH(G181,'Boundary table'!$A$3:$A$7,1))</f>
        <v>A</v>
      </c>
      <c r="J181" s="16">
        <v>100</v>
      </c>
      <c r="K181">
        <f>RANK(J181,$J$2:$J$1001,0)+COUNTIF($J$2:J181,J181)-1</f>
        <v>5</v>
      </c>
      <c r="L181" t="str">
        <f>INDEX('Boundary table'!$B$3:$B$7,MATCH(J181,'Boundary table'!$A$3:$A$7,1))</f>
        <v>A</v>
      </c>
      <c r="M181" s="16">
        <v>100</v>
      </c>
      <c r="N181">
        <f>RANK(M181,$M$2:$M$1001,0)+COUNTIF($M$2:M181,M181)-1</f>
        <v>4</v>
      </c>
      <c r="O181" t="str">
        <f>INDEX('Boundary table'!$B$3:$B$7,MATCH(M181,'Boundary table'!$A$3:$A$7))</f>
        <v>A</v>
      </c>
      <c r="P181">
        <f>Table1[[#This Row],[Math Score]]+Table1[[#This Row],[Reading Score]]+Table1[[#This Row],[Writing Score]]</f>
        <v>297</v>
      </c>
      <c r="Q181" s="16">
        <f>COUNTIF(Table1[[#This Row],[Math Score]],"&lt;60")+COUNTIF(Table1[[#This Row],[Reading Score]],"&lt;60")+COUNTIF(Table1[[#This Row],[Writing Score]],"&lt;60")</f>
        <v>0</v>
      </c>
      <c r="R181" t="str">
        <f>IF(Table1[[#This Row],[Fail Count]]&gt;=2,"At risk","OK")</f>
        <v>OK</v>
      </c>
    </row>
    <row r="182" spans="1:18">
      <c r="A182" t="str">
        <f t="shared" si="2"/>
        <v>Stu-181</v>
      </c>
      <c r="B182" t="s">
        <v>27</v>
      </c>
      <c r="C182" t="s">
        <v>19</v>
      </c>
      <c r="D182" t="s">
        <v>26</v>
      </c>
      <c r="E182" t="s">
        <v>30</v>
      </c>
      <c r="F182" t="s">
        <v>21</v>
      </c>
      <c r="G182" s="16">
        <v>62</v>
      </c>
      <c r="H182">
        <f>RANK(G182,$G$2:$G$1001,0)+COUNTIF($G$2:G182,G182)-1</f>
        <v>606</v>
      </c>
      <c r="I182" t="str">
        <f>INDEX('Boundary table'!$B$3:$B$7,MATCH(G182,'Boundary table'!$A$3:$A$7,1))</f>
        <v>D</v>
      </c>
      <c r="J182" s="16">
        <v>68</v>
      </c>
      <c r="K182">
        <f>RANK(J182,$J$2:$J$1001,0)+COUNTIF($J$2:J182,J182)-1</f>
        <v>532</v>
      </c>
      <c r="L182" t="str">
        <f>INDEX('Boundary table'!$B$3:$B$7,MATCH(J182,'Boundary table'!$A$3:$A$7,1))</f>
        <v>D</v>
      </c>
      <c r="M182" s="16">
        <v>75</v>
      </c>
      <c r="N182">
        <f>RANK(M182,$M$2:$M$1001,0)+COUNTIF($M$2:M182,M182)-1</f>
        <v>335</v>
      </c>
      <c r="O182" t="str">
        <f>INDEX('Boundary table'!$B$3:$B$7,MATCH(M182,'Boundary table'!$A$3:$A$7))</f>
        <v>C</v>
      </c>
      <c r="P182">
        <f>Table1[[#This Row],[Math Score]]+Table1[[#This Row],[Reading Score]]+Table1[[#This Row],[Writing Score]]</f>
        <v>205</v>
      </c>
      <c r="Q182" s="16">
        <f>COUNTIF(Table1[[#This Row],[Math Score]],"&lt;60")+COUNTIF(Table1[[#This Row],[Reading Score]],"&lt;60")+COUNTIF(Table1[[#This Row],[Writing Score]],"&lt;60")</f>
        <v>0</v>
      </c>
      <c r="R182" t="str">
        <f>IF(Table1[[#This Row],[Fail Count]]&gt;=2,"At risk","OK")</f>
        <v>OK</v>
      </c>
    </row>
    <row r="183" spans="1:18">
      <c r="A183" t="str">
        <f t="shared" si="2"/>
        <v>Stu-182</v>
      </c>
      <c r="B183" t="s">
        <v>11</v>
      </c>
      <c r="C183" t="s">
        <v>19</v>
      </c>
      <c r="D183" t="s">
        <v>20</v>
      </c>
      <c r="E183" t="s">
        <v>30</v>
      </c>
      <c r="F183" t="s">
        <v>15</v>
      </c>
      <c r="G183" s="16">
        <v>46</v>
      </c>
      <c r="H183">
        <f>RANK(G183,$G$2:$G$1001,0)+COUNTIF($G$2:G183,G183)-1</f>
        <v>907</v>
      </c>
      <c r="I183" t="str">
        <f>INDEX('Boundary table'!$B$3:$B$7,MATCH(G183,'Boundary table'!$A$3:$A$7,1))</f>
        <v>F</v>
      </c>
      <c r="J183" s="16">
        <v>64</v>
      </c>
      <c r="K183">
        <f>RANK(J183,$J$2:$J$1001,0)+COUNTIF($J$2:J183,J183)-1</f>
        <v>634</v>
      </c>
      <c r="L183" t="str">
        <f>INDEX('Boundary table'!$B$3:$B$7,MATCH(J183,'Boundary table'!$A$3:$A$7,1))</f>
        <v>D</v>
      </c>
      <c r="M183" s="16">
        <v>66</v>
      </c>
      <c r="N183">
        <f>RANK(M183,$M$2:$M$1001,0)+COUNTIF($M$2:M183,M183)-1</f>
        <v>572</v>
      </c>
      <c r="O183" t="str">
        <f>INDEX('Boundary table'!$B$3:$B$7,MATCH(M183,'Boundary table'!$A$3:$A$7))</f>
        <v>D</v>
      </c>
      <c r="P183">
        <f>Table1[[#This Row],[Math Score]]+Table1[[#This Row],[Reading Score]]+Table1[[#This Row],[Writing Score]]</f>
        <v>176</v>
      </c>
      <c r="Q183" s="16">
        <f>COUNTIF(Table1[[#This Row],[Math Score]],"&lt;60")+COUNTIF(Table1[[#This Row],[Reading Score]],"&lt;60")+COUNTIF(Table1[[#This Row],[Writing Score]],"&lt;60")</f>
        <v>1</v>
      </c>
      <c r="R183" t="str">
        <f>IF(Table1[[#This Row],[Fail Count]]&gt;=2,"At risk","OK")</f>
        <v>OK</v>
      </c>
    </row>
    <row r="184" spans="1:18">
      <c r="A184" t="str">
        <f t="shared" si="2"/>
        <v>Stu-183</v>
      </c>
      <c r="B184" t="s">
        <v>11</v>
      </c>
      <c r="C184" t="s">
        <v>34</v>
      </c>
      <c r="D184" t="s">
        <v>32</v>
      </c>
      <c r="E184" t="s">
        <v>14</v>
      </c>
      <c r="F184" t="s">
        <v>15</v>
      </c>
      <c r="G184" s="16">
        <v>50</v>
      </c>
      <c r="H184">
        <f>RANK(G184,$G$2:$G$1001,0)+COUNTIF($G$2:G184,G184)-1</f>
        <v>855</v>
      </c>
      <c r="I184" t="str">
        <f>INDEX('Boundary table'!$B$3:$B$7,MATCH(G184,'Boundary table'!$A$3:$A$7,1))</f>
        <v>F</v>
      </c>
      <c r="J184" s="16">
        <v>50</v>
      </c>
      <c r="K184">
        <f>RANK(J184,$J$2:$J$1001,0)+COUNTIF($J$2:J184,J184)-1</f>
        <v>904</v>
      </c>
      <c r="L184" t="str">
        <f>INDEX('Boundary table'!$B$3:$B$7,MATCH(J184,'Boundary table'!$A$3:$A$7,1))</f>
        <v>F</v>
      </c>
      <c r="M184" s="16">
        <v>47</v>
      </c>
      <c r="N184">
        <f>RANK(M184,$M$2:$M$1001,0)+COUNTIF($M$2:M184,M184)-1</f>
        <v>908</v>
      </c>
      <c r="O184" t="str">
        <f>INDEX('Boundary table'!$B$3:$B$7,MATCH(M184,'Boundary table'!$A$3:$A$7))</f>
        <v>F</v>
      </c>
      <c r="P184">
        <f>Table1[[#This Row],[Math Score]]+Table1[[#This Row],[Reading Score]]+Table1[[#This Row],[Writing Score]]</f>
        <v>147</v>
      </c>
      <c r="Q184" s="16">
        <f>COUNTIF(Table1[[#This Row],[Math Score]],"&lt;60")+COUNTIF(Table1[[#This Row],[Reading Score]],"&lt;60")+COUNTIF(Table1[[#This Row],[Writing Score]],"&lt;60")</f>
        <v>3</v>
      </c>
      <c r="R184" t="str">
        <f>IF(Table1[[#This Row],[Fail Count]]&gt;=2,"At risk","OK")</f>
        <v>At risk</v>
      </c>
    </row>
    <row r="185" spans="1:18">
      <c r="A185" t="str">
        <f t="shared" si="2"/>
        <v>Stu-184</v>
      </c>
      <c r="B185" t="s">
        <v>11</v>
      </c>
      <c r="C185" t="s">
        <v>31</v>
      </c>
      <c r="D185" t="s">
        <v>29</v>
      </c>
      <c r="E185" t="s">
        <v>14</v>
      </c>
      <c r="F185" t="s">
        <v>15</v>
      </c>
      <c r="G185" s="16">
        <v>65</v>
      </c>
      <c r="H185">
        <f>RANK(G185,$G$2:$G$1001,0)+COUNTIF($G$2:G185,G185)-1</f>
        <v>525</v>
      </c>
      <c r="I185" t="str">
        <f>INDEX('Boundary table'!$B$3:$B$7,MATCH(G185,'Boundary table'!$A$3:$A$7,1))</f>
        <v>D</v>
      </c>
      <c r="J185" s="16">
        <v>69</v>
      </c>
      <c r="K185">
        <f>RANK(J185,$J$2:$J$1001,0)+COUNTIF($J$2:J185,J185)-1</f>
        <v>518</v>
      </c>
      <c r="L185" t="str">
        <f>INDEX('Boundary table'!$B$3:$B$7,MATCH(J185,'Boundary table'!$A$3:$A$7,1))</f>
        <v>D</v>
      </c>
      <c r="M185" s="16">
        <v>70</v>
      </c>
      <c r="N185">
        <f>RANK(M185,$M$2:$M$1001,0)+COUNTIF($M$2:M185,M185)-1</f>
        <v>464</v>
      </c>
      <c r="O185" t="str">
        <f>INDEX('Boundary table'!$B$3:$B$7,MATCH(M185,'Boundary table'!$A$3:$A$7))</f>
        <v>C</v>
      </c>
      <c r="P185">
        <f>Table1[[#This Row],[Math Score]]+Table1[[#This Row],[Reading Score]]+Table1[[#This Row],[Writing Score]]</f>
        <v>204</v>
      </c>
      <c r="Q185" s="16">
        <f>COUNTIF(Table1[[#This Row],[Math Score]],"&lt;60")+COUNTIF(Table1[[#This Row],[Reading Score]],"&lt;60")+COUNTIF(Table1[[#This Row],[Writing Score]],"&lt;60")</f>
        <v>0</v>
      </c>
      <c r="R185" t="str">
        <f>IF(Table1[[#This Row],[Fail Count]]&gt;=2,"At risk","OK")</f>
        <v>OK</v>
      </c>
    </row>
    <row r="186" spans="1:18">
      <c r="A186" t="str">
        <f t="shared" si="2"/>
        <v>Stu-185</v>
      </c>
      <c r="B186" t="s">
        <v>27</v>
      </c>
      <c r="C186" t="s">
        <v>19</v>
      </c>
      <c r="D186" t="s">
        <v>33</v>
      </c>
      <c r="E186" t="s">
        <v>30</v>
      </c>
      <c r="F186" t="s">
        <v>21</v>
      </c>
      <c r="G186" s="16">
        <v>45</v>
      </c>
      <c r="H186">
        <f>RANK(G186,$G$2:$G$1001,0)+COUNTIF($G$2:G186,G186)-1</f>
        <v>917</v>
      </c>
      <c r="I186" t="str">
        <f>INDEX('Boundary table'!$B$3:$B$7,MATCH(G186,'Boundary table'!$A$3:$A$7,1))</f>
        <v>F</v>
      </c>
      <c r="J186" s="16">
        <v>52</v>
      </c>
      <c r="K186">
        <f>RANK(J186,$J$2:$J$1001,0)+COUNTIF($J$2:J186,J186)-1</f>
        <v>873</v>
      </c>
      <c r="L186" t="str">
        <f>INDEX('Boundary table'!$B$3:$B$7,MATCH(J186,'Boundary table'!$A$3:$A$7,1))</f>
        <v>F</v>
      </c>
      <c r="M186" s="16">
        <v>49</v>
      </c>
      <c r="N186">
        <f>RANK(M186,$M$2:$M$1001,0)+COUNTIF($M$2:M186,M186)-1</f>
        <v>890</v>
      </c>
      <c r="O186" t="str">
        <f>INDEX('Boundary table'!$B$3:$B$7,MATCH(M186,'Boundary table'!$A$3:$A$7))</f>
        <v>F</v>
      </c>
      <c r="P186">
        <f>Table1[[#This Row],[Math Score]]+Table1[[#This Row],[Reading Score]]+Table1[[#This Row],[Writing Score]]</f>
        <v>146</v>
      </c>
      <c r="Q186" s="16">
        <f>COUNTIF(Table1[[#This Row],[Math Score]],"&lt;60")+COUNTIF(Table1[[#This Row],[Reading Score]],"&lt;60")+COUNTIF(Table1[[#This Row],[Writing Score]],"&lt;60")</f>
        <v>3</v>
      </c>
      <c r="R186" t="str">
        <f>IF(Table1[[#This Row],[Fail Count]]&gt;=2,"At risk","OK")</f>
        <v>At risk</v>
      </c>
    </row>
    <row r="187" spans="1:18">
      <c r="A187" t="str">
        <f t="shared" si="2"/>
        <v>Stu-186</v>
      </c>
      <c r="B187" t="s">
        <v>27</v>
      </c>
      <c r="C187" t="s">
        <v>19</v>
      </c>
      <c r="D187" t="s">
        <v>29</v>
      </c>
      <c r="E187" t="s">
        <v>30</v>
      </c>
      <c r="F187" t="s">
        <v>21</v>
      </c>
      <c r="G187" s="16">
        <v>65</v>
      </c>
      <c r="H187">
        <f>RANK(G187,$G$2:$G$1001,0)+COUNTIF($G$2:G187,G187)-1</f>
        <v>526</v>
      </c>
      <c r="I187" t="str">
        <f>INDEX('Boundary table'!$B$3:$B$7,MATCH(G187,'Boundary table'!$A$3:$A$7,1))</f>
        <v>D</v>
      </c>
      <c r="J187" s="16">
        <v>67</v>
      </c>
      <c r="K187">
        <f>RANK(J187,$J$2:$J$1001,0)+COUNTIF($J$2:J187,J187)-1</f>
        <v>560</v>
      </c>
      <c r="L187" t="str">
        <f>INDEX('Boundary table'!$B$3:$B$7,MATCH(J187,'Boundary table'!$A$3:$A$7,1))</f>
        <v>D</v>
      </c>
      <c r="M187" s="16">
        <v>65</v>
      </c>
      <c r="N187">
        <f>RANK(M187,$M$2:$M$1001,0)+COUNTIF($M$2:M187,M187)-1</f>
        <v>597</v>
      </c>
      <c r="O187" t="str">
        <f>INDEX('Boundary table'!$B$3:$B$7,MATCH(M187,'Boundary table'!$A$3:$A$7))</f>
        <v>D</v>
      </c>
      <c r="P187">
        <f>Table1[[#This Row],[Math Score]]+Table1[[#This Row],[Reading Score]]+Table1[[#This Row],[Writing Score]]</f>
        <v>197</v>
      </c>
      <c r="Q187" s="16">
        <f>COUNTIF(Table1[[#This Row],[Math Score]],"&lt;60")+COUNTIF(Table1[[#This Row],[Reading Score]],"&lt;60")+COUNTIF(Table1[[#This Row],[Writing Score]],"&lt;60")</f>
        <v>0</v>
      </c>
      <c r="R187" t="str">
        <f>IF(Table1[[#This Row],[Fail Count]]&gt;=2,"At risk","OK")</f>
        <v>OK</v>
      </c>
    </row>
    <row r="188" spans="1:18">
      <c r="A188" t="str">
        <f t="shared" si="2"/>
        <v>Stu-187</v>
      </c>
      <c r="B188" t="s">
        <v>27</v>
      </c>
      <c r="C188" t="s">
        <v>34</v>
      </c>
      <c r="D188" t="s">
        <v>32</v>
      </c>
      <c r="E188" t="s">
        <v>14</v>
      </c>
      <c r="F188" t="s">
        <v>15</v>
      </c>
      <c r="G188" s="16">
        <v>80</v>
      </c>
      <c r="H188">
        <f>RANK(G188,$G$2:$G$1001,0)+COUNTIF($G$2:G188,G188)-1</f>
        <v>178</v>
      </c>
      <c r="I188" t="str">
        <f>INDEX('Boundary table'!$B$3:$B$7,MATCH(G188,'Boundary table'!$A$3:$A$7,1))</f>
        <v>B</v>
      </c>
      <c r="J188" s="16">
        <v>76</v>
      </c>
      <c r="K188">
        <f>RANK(J188,$J$2:$J$1001,0)+COUNTIF($J$2:J188,J188)-1</f>
        <v>322</v>
      </c>
      <c r="L188" t="str">
        <f>INDEX('Boundary table'!$B$3:$B$7,MATCH(J188,'Boundary table'!$A$3:$A$7,1))</f>
        <v>C</v>
      </c>
      <c r="M188" s="16">
        <v>65</v>
      </c>
      <c r="N188">
        <f>RANK(M188,$M$2:$M$1001,0)+COUNTIF($M$2:M188,M188)-1</f>
        <v>598</v>
      </c>
      <c r="O188" t="str">
        <f>INDEX('Boundary table'!$B$3:$B$7,MATCH(M188,'Boundary table'!$A$3:$A$7))</f>
        <v>D</v>
      </c>
      <c r="P188">
        <f>Table1[[#This Row],[Math Score]]+Table1[[#This Row],[Reading Score]]+Table1[[#This Row],[Writing Score]]</f>
        <v>221</v>
      </c>
      <c r="Q188" s="16">
        <f>COUNTIF(Table1[[#This Row],[Math Score]],"&lt;60")+COUNTIF(Table1[[#This Row],[Reading Score]],"&lt;60")+COUNTIF(Table1[[#This Row],[Writing Score]],"&lt;60")</f>
        <v>0</v>
      </c>
      <c r="R188" t="str">
        <f>IF(Table1[[#This Row],[Fail Count]]&gt;=2,"At risk","OK")</f>
        <v>OK</v>
      </c>
    </row>
    <row r="189" spans="1:18">
      <c r="A189" t="str">
        <f t="shared" si="2"/>
        <v>Stu-188</v>
      </c>
      <c r="B189" t="s">
        <v>27</v>
      </c>
      <c r="C189" t="s">
        <v>31</v>
      </c>
      <c r="D189" t="s">
        <v>33</v>
      </c>
      <c r="E189" t="s">
        <v>14</v>
      </c>
      <c r="F189" t="s">
        <v>21</v>
      </c>
      <c r="G189" s="16">
        <v>62</v>
      </c>
      <c r="H189">
        <f>RANK(G189,$G$2:$G$1001,0)+COUNTIF($G$2:G189,G189)-1</f>
        <v>607</v>
      </c>
      <c r="I189" t="str">
        <f>INDEX('Boundary table'!$B$3:$B$7,MATCH(G189,'Boundary table'!$A$3:$A$7,1))</f>
        <v>D</v>
      </c>
      <c r="J189" s="16">
        <v>66</v>
      </c>
      <c r="K189">
        <f>RANK(J189,$J$2:$J$1001,0)+COUNTIF($J$2:J189,J189)-1</f>
        <v>584</v>
      </c>
      <c r="L189" t="str">
        <f>INDEX('Boundary table'!$B$3:$B$7,MATCH(J189,'Boundary table'!$A$3:$A$7,1))</f>
        <v>D</v>
      </c>
      <c r="M189" s="16">
        <v>68</v>
      </c>
      <c r="N189">
        <f>RANK(M189,$M$2:$M$1001,0)+COUNTIF($M$2:M189,M189)-1</f>
        <v>517</v>
      </c>
      <c r="O189" t="str">
        <f>INDEX('Boundary table'!$B$3:$B$7,MATCH(M189,'Boundary table'!$A$3:$A$7))</f>
        <v>D</v>
      </c>
      <c r="P189">
        <f>Table1[[#This Row],[Math Score]]+Table1[[#This Row],[Reading Score]]+Table1[[#This Row],[Writing Score]]</f>
        <v>196</v>
      </c>
      <c r="Q189" s="16">
        <f>COUNTIF(Table1[[#This Row],[Math Score]],"&lt;60")+COUNTIF(Table1[[#This Row],[Reading Score]],"&lt;60")+COUNTIF(Table1[[#This Row],[Writing Score]],"&lt;60")</f>
        <v>0</v>
      </c>
      <c r="R189" t="str">
        <f>IF(Table1[[#This Row],[Fail Count]]&gt;=2,"At risk","OK")</f>
        <v>OK</v>
      </c>
    </row>
    <row r="190" spans="1:18">
      <c r="A190" t="str">
        <f t="shared" si="2"/>
        <v>Stu-189</v>
      </c>
      <c r="B190" t="s">
        <v>27</v>
      </c>
      <c r="C190" t="s">
        <v>12</v>
      </c>
      <c r="D190" t="s">
        <v>33</v>
      </c>
      <c r="E190" t="s">
        <v>30</v>
      </c>
      <c r="F190" t="s">
        <v>15</v>
      </c>
      <c r="G190" s="16">
        <v>48</v>
      </c>
      <c r="H190">
        <f>RANK(G190,$G$2:$G$1001,0)+COUNTIF($G$2:G190,G190)-1</f>
        <v>883</v>
      </c>
      <c r="I190" t="str">
        <f>INDEX('Boundary table'!$B$3:$B$7,MATCH(G190,'Boundary table'!$A$3:$A$7,1))</f>
        <v>F</v>
      </c>
      <c r="J190" s="16">
        <v>52</v>
      </c>
      <c r="K190">
        <f>RANK(J190,$J$2:$J$1001,0)+COUNTIF($J$2:J190,J190)-1</f>
        <v>874</v>
      </c>
      <c r="L190" t="str">
        <f>INDEX('Boundary table'!$B$3:$B$7,MATCH(J190,'Boundary table'!$A$3:$A$7,1))</f>
        <v>F</v>
      </c>
      <c r="M190" s="16">
        <v>45</v>
      </c>
      <c r="N190">
        <f>RANK(M190,$M$2:$M$1001,0)+COUNTIF($M$2:M190,M190)-1</f>
        <v>925</v>
      </c>
      <c r="O190" t="str">
        <f>INDEX('Boundary table'!$B$3:$B$7,MATCH(M190,'Boundary table'!$A$3:$A$7))</f>
        <v>F</v>
      </c>
      <c r="P190">
        <f>Table1[[#This Row],[Math Score]]+Table1[[#This Row],[Reading Score]]+Table1[[#This Row],[Writing Score]]</f>
        <v>145</v>
      </c>
      <c r="Q190" s="16">
        <f>COUNTIF(Table1[[#This Row],[Math Score]],"&lt;60")+COUNTIF(Table1[[#This Row],[Reading Score]],"&lt;60")+COUNTIF(Table1[[#This Row],[Writing Score]],"&lt;60")</f>
        <v>3</v>
      </c>
      <c r="R190" t="str">
        <f>IF(Table1[[#This Row],[Fail Count]]&gt;=2,"At risk","OK")</f>
        <v>At risk</v>
      </c>
    </row>
    <row r="191" spans="1:18">
      <c r="A191" t="str">
        <f t="shared" si="2"/>
        <v>Stu-190</v>
      </c>
      <c r="B191" t="s">
        <v>11</v>
      </c>
      <c r="C191" t="s">
        <v>19</v>
      </c>
      <c r="D191" t="s">
        <v>13</v>
      </c>
      <c r="E191" t="s">
        <v>14</v>
      </c>
      <c r="F191" t="s">
        <v>15</v>
      </c>
      <c r="G191" s="16">
        <v>77</v>
      </c>
      <c r="H191">
        <f>RANK(G191,$G$2:$G$1001,0)+COUNTIF($G$2:G191,G191)-1</f>
        <v>233</v>
      </c>
      <c r="I191" t="str">
        <f>INDEX('Boundary table'!$B$3:$B$7,MATCH(G191,'Boundary table'!$A$3:$A$7,1))</f>
        <v>C</v>
      </c>
      <c r="J191" s="16">
        <v>88</v>
      </c>
      <c r="K191">
        <f>RANK(J191,$J$2:$J$1001,0)+COUNTIF($J$2:J191,J191)-1</f>
        <v>94</v>
      </c>
      <c r="L191" t="str">
        <f>INDEX('Boundary table'!$B$3:$B$7,MATCH(J191,'Boundary table'!$A$3:$A$7,1))</f>
        <v>B</v>
      </c>
      <c r="M191" s="16">
        <v>87</v>
      </c>
      <c r="N191">
        <f>RANK(M191,$M$2:$M$1001,0)+COUNTIF($M$2:M191,M191)-1</f>
        <v>102</v>
      </c>
      <c r="O191" t="str">
        <f>INDEX('Boundary table'!$B$3:$B$7,MATCH(M191,'Boundary table'!$A$3:$A$7))</f>
        <v>B</v>
      </c>
      <c r="P191">
        <f>Table1[[#This Row],[Math Score]]+Table1[[#This Row],[Reading Score]]+Table1[[#This Row],[Writing Score]]</f>
        <v>252</v>
      </c>
      <c r="Q191" s="16">
        <f>COUNTIF(Table1[[#This Row],[Math Score]],"&lt;60")+COUNTIF(Table1[[#This Row],[Reading Score]],"&lt;60")+COUNTIF(Table1[[#This Row],[Writing Score]],"&lt;60")</f>
        <v>0</v>
      </c>
      <c r="R191" t="str">
        <f>IF(Table1[[#This Row],[Fail Count]]&gt;=2,"At risk","OK")</f>
        <v>OK</v>
      </c>
    </row>
    <row r="192" spans="1:18">
      <c r="A192" t="str">
        <f t="shared" si="2"/>
        <v>Stu-191</v>
      </c>
      <c r="B192" t="s">
        <v>11</v>
      </c>
      <c r="C192" t="s">
        <v>34</v>
      </c>
      <c r="D192" t="s">
        <v>29</v>
      </c>
      <c r="E192" t="s">
        <v>14</v>
      </c>
      <c r="F192" t="s">
        <v>15</v>
      </c>
      <c r="G192" s="16">
        <v>66</v>
      </c>
      <c r="H192">
        <f>RANK(G192,$G$2:$G$1001,0)+COUNTIF($G$2:G192,G192)-1</f>
        <v>499</v>
      </c>
      <c r="I192" t="str">
        <f>INDEX('Boundary table'!$B$3:$B$7,MATCH(G192,'Boundary table'!$A$3:$A$7,1))</f>
        <v>D</v>
      </c>
      <c r="J192" s="16">
        <v>65</v>
      </c>
      <c r="K192">
        <f>RANK(J192,$J$2:$J$1001,0)+COUNTIF($J$2:J192,J192)-1</f>
        <v>612</v>
      </c>
      <c r="L192" t="str">
        <f>INDEX('Boundary table'!$B$3:$B$7,MATCH(J192,'Boundary table'!$A$3:$A$7,1))</f>
        <v>D</v>
      </c>
      <c r="M192" s="16">
        <v>69</v>
      </c>
      <c r="N192">
        <f>RANK(M192,$M$2:$M$1001,0)+COUNTIF($M$2:M192,M192)-1</f>
        <v>492</v>
      </c>
      <c r="O192" t="str">
        <f>INDEX('Boundary table'!$B$3:$B$7,MATCH(M192,'Boundary table'!$A$3:$A$7))</f>
        <v>D</v>
      </c>
      <c r="P192">
        <f>Table1[[#This Row],[Math Score]]+Table1[[#This Row],[Reading Score]]+Table1[[#This Row],[Writing Score]]</f>
        <v>200</v>
      </c>
      <c r="Q192" s="16">
        <f>COUNTIF(Table1[[#This Row],[Math Score]],"&lt;60")+COUNTIF(Table1[[#This Row],[Reading Score]],"&lt;60")+COUNTIF(Table1[[#This Row],[Writing Score]],"&lt;60")</f>
        <v>0</v>
      </c>
      <c r="R192" t="str">
        <f>IF(Table1[[#This Row],[Fail Count]]&gt;=2,"At risk","OK")</f>
        <v>OK</v>
      </c>
    </row>
    <row r="193" spans="1:18">
      <c r="A193" t="str">
        <f t="shared" si="2"/>
        <v>Stu-192</v>
      </c>
      <c r="B193" t="s">
        <v>27</v>
      </c>
      <c r="C193" t="s">
        <v>31</v>
      </c>
      <c r="D193" t="s">
        <v>20</v>
      </c>
      <c r="E193" t="s">
        <v>14</v>
      </c>
      <c r="F193" t="s">
        <v>21</v>
      </c>
      <c r="G193" s="16">
        <v>76</v>
      </c>
      <c r="H193">
        <f>RANK(G193,$G$2:$G$1001,0)+COUNTIF($G$2:G193,G193)-1</f>
        <v>257</v>
      </c>
      <c r="I193" t="str">
        <f>INDEX('Boundary table'!$B$3:$B$7,MATCH(G193,'Boundary table'!$A$3:$A$7,1))</f>
        <v>C</v>
      </c>
      <c r="J193" s="16">
        <v>83</v>
      </c>
      <c r="K193">
        <f>RANK(J193,$J$2:$J$1001,0)+COUNTIF($J$2:J193,J193)-1</f>
        <v>180</v>
      </c>
      <c r="L193" t="str">
        <f>INDEX('Boundary table'!$B$3:$B$7,MATCH(J193,'Boundary table'!$A$3:$A$7,1))</f>
        <v>B</v>
      </c>
      <c r="M193" s="16">
        <v>79</v>
      </c>
      <c r="N193">
        <f>RANK(M193,$M$2:$M$1001,0)+COUNTIF($M$2:M193,M193)-1</f>
        <v>238</v>
      </c>
      <c r="O193" t="str">
        <f>INDEX('Boundary table'!$B$3:$B$7,MATCH(M193,'Boundary table'!$A$3:$A$7))</f>
        <v>C</v>
      </c>
      <c r="P193">
        <f>Table1[[#This Row],[Math Score]]+Table1[[#This Row],[Reading Score]]+Table1[[#This Row],[Writing Score]]</f>
        <v>238</v>
      </c>
      <c r="Q193" s="16">
        <f>COUNTIF(Table1[[#This Row],[Math Score]],"&lt;60")+COUNTIF(Table1[[#This Row],[Reading Score]],"&lt;60")+COUNTIF(Table1[[#This Row],[Writing Score]],"&lt;60")</f>
        <v>0</v>
      </c>
      <c r="R193" t="str">
        <f>IF(Table1[[#This Row],[Fail Count]]&gt;=2,"At risk","OK")</f>
        <v>OK</v>
      </c>
    </row>
    <row r="194" spans="1:18">
      <c r="A194" t="str">
        <f t="shared" ref="A194:A257" si="3">"Stu-"&amp;TEXT(ROW()-1,"000")</f>
        <v>Stu-193</v>
      </c>
      <c r="B194" t="s">
        <v>11</v>
      </c>
      <c r="C194" t="s">
        <v>12</v>
      </c>
      <c r="D194" t="s">
        <v>33</v>
      </c>
      <c r="E194" t="s">
        <v>14</v>
      </c>
      <c r="F194" t="s">
        <v>15</v>
      </c>
      <c r="G194" s="16">
        <v>62</v>
      </c>
      <c r="H194">
        <f>RANK(G194,$G$2:$G$1001,0)+COUNTIF($G$2:G194,G194)-1</f>
        <v>608</v>
      </c>
      <c r="I194" t="str">
        <f>INDEX('Boundary table'!$B$3:$B$7,MATCH(G194,'Boundary table'!$A$3:$A$7,1))</f>
        <v>D</v>
      </c>
      <c r="J194" s="16">
        <v>64</v>
      </c>
      <c r="K194">
        <f>RANK(J194,$J$2:$J$1001,0)+COUNTIF($J$2:J194,J194)-1</f>
        <v>635</v>
      </c>
      <c r="L194" t="str">
        <f>INDEX('Boundary table'!$B$3:$B$7,MATCH(J194,'Boundary table'!$A$3:$A$7,1))</f>
        <v>D</v>
      </c>
      <c r="M194" s="16">
        <v>66</v>
      </c>
      <c r="N194">
        <f>RANK(M194,$M$2:$M$1001,0)+COUNTIF($M$2:M194,M194)-1</f>
        <v>573</v>
      </c>
      <c r="O194" t="str">
        <f>INDEX('Boundary table'!$B$3:$B$7,MATCH(M194,'Boundary table'!$A$3:$A$7))</f>
        <v>D</v>
      </c>
      <c r="P194">
        <f>Table1[[#This Row],[Math Score]]+Table1[[#This Row],[Reading Score]]+Table1[[#This Row],[Writing Score]]</f>
        <v>192</v>
      </c>
      <c r="Q194" s="16">
        <f>COUNTIF(Table1[[#This Row],[Math Score]],"&lt;60")+COUNTIF(Table1[[#This Row],[Reading Score]],"&lt;60")+COUNTIF(Table1[[#This Row],[Writing Score]],"&lt;60")</f>
        <v>0</v>
      </c>
      <c r="R194" t="str">
        <f>IF(Table1[[#This Row],[Fail Count]]&gt;=2,"At risk","OK")</f>
        <v>OK</v>
      </c>
    </row>
    <row r="195" spans="1:18">
      <c r="A195" t="str">
        <f t="shared" si="3"/>
        <v>Stu-194</v>
      </c>
      <c r="B195" t="s">
        <v>27</v>
      </c>
      <c r="C195" t="s">
        <v>31</v>
      </c>
      <c r="D195" t="s">
        <v>20</v>
      </c>
      <c r="E195" t="s">
        <v>14</v>
      </c>
      <c r="F195" t="s">
        <v>21</v>
      </c>
      <c r="G195" s="16">
        <v>77</v>
      </c>
      <c r="H195">
        <f>RANK(G195,$G$2:$G$1001,0)+COUNTIF($G$2:G195,G195)-1</f>
        <v>234</v>
      </c>
      <c r="I195" t="str">
        <f>INDEX('Boundary table'!$B$3:$B$7,MATCH(G195,'Boundary table'!$A$3:$A$7,1))</f>
        <v>C</v>
      </c>
      <c r="J195" s="16">
        <v>62</v>
      </c>
      <c r="K195">
        <f>RANK(J195,$J$2:$J$1001,0)+COUNTIF($J$2:J195,J195)-1</f>
        <v>682</v>
      </c>
      <c r="L195" t="str">
        <f>INDEX('Boundary table'!$B$3:$B$7,MATCH(J195,'Boundary table'!$A$3:$A$7,1))</f>
        <v>D</v>
      </c>
      <c r="M195" s="16">
        <v>62</v>
      </c>
      <c r="N195">
        <f>RANK(M195,$M$2:$M$1001,0)+COUNTIF($M$2:M195,M195)-1</f>
        <v>657</v>
      </c>
      <c r="O195" t="str">
        <f>INDEX('Boundary table'!$B$3:$B$7,MATCH(M195,'Boundary table'!$A$3:$A$7))</f>
        <v>D</v>
      </c>
      <c r="P195">
        <f>Table1[[#This Row],[Math Score]]+Table1[[#This Row],[Reading Score]]+Table1[[#This Row],[Writing Score]]</f>
        <v>201</v>
      </c>
      <c r="Q195" s="16">
        <f>COUNTIF(Table1[[#This Row],[Math Score]],"&lt;60")+COUNTIF(Table1[[#This Row],[Reading Score]],"&lt;60")+COUNTIF(Table1[[#This Row],[Writing Score]],"&lt;60")</f>
        <v>0</v>
      </c>
      <c r="R195" t="str">
        <f>IF(Table1[[#This Row],[Fail Count]]&gt;=2,"At risk","OK")</f>
        <v>OK</v>
      </c>
    </row>
    <row r="196" spans="1:18">
      <c r="A196" t="str">
        <f t="shared" si="3"/>
        <v>Stu-195</v>
      </c>
      <c r="B196" t="s">
        <v>11</v>
      </c>
      <c r="C196" t="s">
        <v>19</v>
      </c>
      <c r="D196" t="s">
        <v>26</v>
      </c>
      <c r="E196" t="s">
        <v>14</v>
      </c>
      <c r="F196" t="s">
        <v>21</v>
      </c>
      <c r="G196" s="16">
        <v>69</v>
      </c>
      <c r="H196">
        <f>RANK(G196,$G$2:$G$1001,0)+COUNTIF($G$2:G196,G196)-1</f>
        <v>416</v>
      </c>
      <c r="I196" t="str">
        <f>INDEX('Boundary table'!$B$3:$B$7,MATCH(G196,'Boundary table'!$A$3:$A$7,1))</f>
        <v>D</v>
      </c>
      <c r="J196" s="16">
        <v>84</v>
      </c>
      <c r="K196">
        <f>RANK(J196,$J$2:$J$1001,0)+COUNTIF($J$2:J196,J196)-1</f>
        <v>155</v>
      </c>
      <c r="L196" t="str">
        <f>INDEX('Boundary table'!$B$3:$B$7,MATCH(J196,'Boundary table'!$A$3:$A$7,1))</f>
        <v>B</v>
      </c>
      <c r="M196" s="16">
        <v>85</v>
      </c>
      <c r="N196">
        <f>RANK(M196,$M$2:$M$1001,0)+COUNTIF($M$2:M196,M196)-1</f>
        <v>123</v>
      </c>
      <c r="O196" t="str">
        <f>INDEX('Boundary table'!$B$3:$B$7,MATCH(M196,'Boundary table'!$A$3:$A$7))</f>
        <v>B</v>
      </c>
      <c r="P196">
        <f>Table1[[#This Row],[Math Score]]+Table1[[#This Row],[Reading Score]]+Table1[[#This Row],[Writing Score]]</f>
        <v>238</v>
      </c>
      <c r="Q196" s="16">
        <f>COUNTIF(Table1[[#This Row],[Math Score]],"&lt;60")+COUNTIF(Table1[[#This Row],[Reading Score]],"&lt;60")+COUNTIF(Table1[[#This Row],[Writing Score]],"&lt;60")</f>
        <v>0</v>
      </c>
      <c r="R196" t="str">
        <f>IF(Table1[[#This Row],[Fail Count]]&gt;=2,"At risk","OK")</f>
        <v>OK</v>
      </c>
    </row>
    <row r="197" spans="1:18">
      <c r="A197" t="str">
        <f t="shared" si="3"/>
        <v>Stu-196</v>
      </c>
      <c r="B197" t="s">
        <v>27</v>
      </c>
      <c r="C197" t="s">
        <v>31</v>
      </c>
      <c r="D197" t="s">
        <v>29</v>
      </c>
      <c r="E197" t="s">
        <v>14</v>
      </c>
      <c r="F197" t="s">
        <v>15</v>
      </c>
      <c r="G197" s="16">
        <v>61</v>
      </c>
      <c r="H197">
        <f>RANK(G197,$G$2:$G$1001,0)+COUNTIF($G$2:G197,G197)-1</f>
        <v>639</v>
      </c>
      <c r="I197" t="str">
        <f>INDEX('Boundary table'!$B$3:$B$7,MATCH(G197,'Boundary table'!$A$3:$A$7,1))</f>
        <v>D</v>
      </c>
      <c r="J197" s="16">
        <v>55</v>
      </c>
      <c r="K197">
        <f>RANK(J197,$J$2:$J$1001,0)+COUNTIF($J$2:J197,J197)-1</f>
        <v>832</v>
      </c>
      <c r="L197" t="str">
        <f>INDEX('Boundary table'!$B$3:$B$7,MATCH(J197,'Boundary table'!$A$3:$A$7,1))</f>
        <v>F</v>
      </c>
      <c r="M197" s="16">
        <v>52</v>
      </c>
      <c r="N197">
        <f>RANK(M197,$M$2:$M$1001,0)+COUNTIF($M$2:M197,M197)-1</f>
        <v>842</v>
      </c>
      <c r="O197" t="str">
        <f>INDEX('Boundary table'!$B$3:$B$7,MATCH(M197,'Boundary table'!$A$3:$A$7))</f>
        <v>F</v>
      </c>
      <c r="P197">
        <f>Table1[[#This Row],[Math Score]]+Table1[[#This Row],[Reading Score]]+Table1[[#This Row],[Writing Score]]</f>
        <v>168</v>
      </c>
      <c r="Q197" s="16">
        <f>COUNTIF(Table1[[#This Row],[Math Score]],"&lt;60")+COUNTIF(Table1[[#This Row],[Reading Score]],"&lt;60")+COUNTIF(Table1[[#This Row],[Writing Score]],"&lt;60")</f>
        <v>2</v>
      </c>
      <c r="R197" t="str">
        <f>IF(Table1[[#This Row],[Fail Count]]&gt;=2,"At risk","OK")</f>
        <v>At risk</v>
      </c>
    </row>
    <row r="198" spans="1:18">
      <c r="A198" t="str">
        <f t="shared" si="3"/>
        <v>Stu-197</v>
      </c>
      <c r="B198" t="s">
        <v>27</v>
      </c>
      <c r="C198" t="s">
        <v>19</v>
      </c>
      <c r="D198" t="s">
        <v>33</v>
      </c>
      <c r="E198" t="s">
        <v>30</v>
      </c>
      <c r="F198" t="s">
        <v>21</v>
      </c>
      <c r="G198" s="16">
        <v>59</v>
      </c>
      <c r="H198">
        <f>RANK(G198,$G$2:$G$1001,0)+COUNTIF($G$2:G198,G198)-1</f>
        <v>683</v>
      </c>
      <c r="I198" t="str">
        <f>INDEX('Boundary table'!$B$3:$B$7,MATCH(G198,'Boundary table'!$A$3:$A$7,1))</f>
        <v>F</v>
      </c>
      <c r="J198" s="16">
        <v>69</v>
      </c>
      <c r="K198">
        <f>RANK(J198,$J$2:$J$1001,0)+COUNTIF($J$2:J198,J198)-1</f>
        <v>519</v>
      </c>
      <c r="L198" t="str">
        <f>INDEX('Boundary table'!$B$3:$B$7,MATCH(J198,'Boundary table'!$A$3:$A$7,1))</f>
        <v>D</v>
      </c>
      <c r="M198" s="16">
        <v>65</v>
      </c>
      <c r="N198">
        <f>RANK(M198,$M$2:$M$1001,0)+COUNTIF($M$2:M198,M198)-1</f>
        <v>599</v>
      </c>
      <c r="O198" t="str">
        <f>INDEX('Boundary table'!$B$3:$B$7,MATCH(M198,'Boundary table'!$A$3:$A$7))</f>
        <v>D</v>
      </c>
      <c r="P198">
        <f>Table1[[#This Row],[Math Score]]+Table1[[#This Row],[Reading Score]]+Table1[[#This Row],[Writing Score]]</f>
        <v>193</v>
      </c>
      <c r="Q198" s="16">
        <f>COUNTIF(Table1[[#This Row],[Math Score]],"&lt;60")+COUNTIF(Table1[[#This Row],[Reading Score]],"&lt;60")+COUNTIF(Table1[[#This Row],[Writing Score]],"&lt;60")</f>
        <v>1</v>
      </c>
      <c r="R198" t="str">
        <f>IF(Table1[[#This Row],[Fail Count]]&gt;=2,"At risk","OK")</f>
        <v>OK</v>
      </c>
    </row>
    <row r="199" spans="1:18">
      <c r="A199" t="str">
        <f t="shared" si="3"/>
        <v>Stu-198</v>
      </c>
      <c r="B199" t="s">
        <v>27</v>
      </c>
      <c r="C199" t="s">
        <v>34</v>
      </c>
      <c r="D199" t="s">
        <v>32</v>
      </c>
      <c r="E199" t="s">
        <v>30</v>
      </c>
      <c r="F199" t="s">
        <v>15</v>
      </c>
      <c r="G199" s="16">
        <v>55</v>
      </c>
      <c r="H199">
        <f>RANK(G199,$G$2:$G$1001,0)+COUNTIF($G$2:G199,G199)-1</f>
        <v>765</v>
      </c>
      <c r="I199" t="str">
        <f>INDEX('Boundary table'!$B$3:$B$7,MATCH(G199,'Boundary table'!$A$3:$A$7,1))</f>
        <v>F</v>
      </c>
      <c r="J199" s="16">
        <v>56</v>
      </c>
      <c r="K199">
        <f>RANK(J199,$J$2:$J$1001,0)+COUNTIF($J$2:J199,J199)-1</f>
        <v>811</v>
      </c>
      <c r="L199" t="str">
        <f>INDEX('Boundary table'!$B$3:$B$7,MATCH(J199,'Boundary table'!$A$3:$A$7,1))</f>
        <v>F</v>
      </c>
      <c r="M199" s="16">
        <v>51</v>
      </c>
      <c r="N199">
        <f>RANK(M199,$M$2:$M$1001,0)+COUNTIF($M$2:M199,M199)-1</f>
        <v>862</v>
      </c>
      <c r="O199" t="str">
        <f>INDEX('Boundary table'!$B$3:$B$7,MATCH(M199,'Boundary table'!$A$3:$A$7))</f>
        <v>F</v>
      </c>
      <c r="P199">
        <f>Table1[[#This Row],[Math Score]]+Table1[[#This Row],[Reading Score]]+Table1[[#This Row],[Writing Score]]</f>
        <v>162</v>
      </c>
      <c r="Q199" s="16">
        <f>COUNTIF(Table1[[#This Row],[Math Score]],"&lt;60")+COUNTIF(Table1[[#This Row],[Reading Score]],"&lt;60")+COUNTIF(Table1[[#This Row],[Writing Score]],"&lt;60")</f>
        <v>3</v>
      </c>
      <c r="R199" t="str">
        <f>IF(Table1[[#This Row],[Fail Count]]&gt;=2,"At risk","OK")</f>
        <v>At risk</v>
      </c>
    </row>
    <row r="200" spans="1:18">
      <c r="A200" t="str">
        <f t="shared" si="3"/>
        <v>Stu-199</v>
      </c>
      <c r="B200" t="s">
        <v>11</v>
      </c>
      <c r="C200" t="s">
        <v>12</v>
      </c>
      <c r="D200" t="s">
        <v>20</v>
      </c>
      <c r="E200" t="s">
        <v>30</v>
      </c>
      <c r="F200" t="s">
        <v>15</v>
      </c>
      <c r="G200" s="16">
        <v>45</v>
      </c>
      <c r="H200">
        <f>RANK(G200,$G$2:$G$1001,0)+COUNTIF($G$2:G200,G200)-1</f>
        <v>918</v>
      </c>
      <c r="I200" t="str">
        <f>INDEX('Boundary table'!$B$3:$B$7,MATCH(G200,'Boundary table'!$A$3:$A$7,1))</f>
        <v>F</v>
      </c>
      <c r="J200" s="16">
        <v>53</v>
      </c>
      <c r="K200">
        <f>RANK(J200,$J$2:$J$1001,0)+COUNTIF($J$2:J200,J200)-1</f>
        <v>863</v>
      </c>
      <c r="L200" t="str">
        <f>INDEX('Boundary table'!$B$3:$B$7,MATCH(J200,'Boundary table'!$A$3:$A$7,1))</f>
        <v>F</v>
      </c>
      <c r="M200" s="16">
        <v>55</v>
      </c>
      <c r="N200">
        <f>RANK(M200,$M$2:$M$1001,0)+COUNTIF($M$2:M200,M200)-1</f>
        <v>786</v>
      </c>
      <c r="O200" t="str">
        <f>INDEX('Boundary table'!$B$3:$B$7,MATCH(M200,'Boundary table'!$A$3:$A$7))</f>
        <v>F</v>
      </c>
      <c r="P200">
        <f>Table1[[#This Row],[Math Score]]+Table1[[#This Row],[Reading Score]]+Table1[[#This Row],[Writing Score]]</f>
        <v>153</v>
      </c>
      <c r="Q200" s="16">
        <f>COUNTIF(Table1[[#This Row],[Math Score]],"&lt;60")+COUNTIF(Table1[[#This Row],[Reading Score]],"&lt;60")+COUNTIF(Table1[[#This Row],[Writing Score]],"&lt;60")</f>
        <v>3</v>
      </c>
      <c r="R200" t="str">
        <f>IF(Table1[[#This Row],[Fail Count]]&gt;=2,"At risk","OK")</f>
        <v>At risk</v>
      </c>
    </row>
    <row r="201" spans="1:18">
      <c r="A201" t="str">
        <f t="shared" si="3"/>
        <v>Stu-200</v>
      </c>
      <c r="B201" t="s">
        <v>11</v>
      </c>
      <c r="C201" t="s">
        <v>12</v>
      </c>
      <c r="D201" t="s">
        <v>13</v>
      </c>
      <c r="E201" t="s">
        <v>30</v>
      </c>
      <c r="F201" t="s">
        <v>15</v>
      </c>
      <c r="G201" s="16">
        <v>78</v>
      </c>
      <c r="H201">
        <f>RANK(G201,$G$2:$G$1001,0)+COUNTIF($G$2:G201,G201)-1</f>
        <v>219</v>
      </c>
      <c r="I201" t="str">
        <f>INDEX('Boundary table'!$B$3:$B$7,MATCH(G201,'Boundary table'!$A$3:$A$7,1))</f>
        <v>C</v>
      </c>
      <c r="J201" s="16">
        <v>79</v>
      </c>
      <c r="K201">
        <f>RANK(J201,$J$2:$J$1001,0)+COUNTIF($J$2:J201,J201)-1</f>
        <v>252</v>
      </c>
      <c r="L201" t="str">
        <f>INDEX('Boundary table'!$B$3:$B$7,MATCH(J201,'Boundary table'!$A$3:$A$7,1))</f>
        <v>C</v>
      </c>
      <c r="M201" s="16">
        <v>76</v>
      </c>
      <c r="N201">
        <f>RANK(M201,$M$2:$M$1001,0)+COUNTIF($M$2:M201,M201)-1</f>
        <v>306</v>
      </c>
      <c r="O201" t="str">
        <f>INDEX('Boundary table'!$B$3:$B$7,MATCH(M201,'Boundary table'!$A$3:$A$7))</f>
        <v>C</v>
      </c>
      <c r="P201">
        <f>Table1[[#This Row],[Math Score]]+Table1[[#This Row],[Reading Score]]+Table1[[#This Row],[Writing Score]]</f>
        <v>233</v>
      </c>
      <c r="Q201" s="16">
        <f>COUNTIF(Table1[[#This Row],[Math Score]],"&lt;60")+COUNTIF(Table1[[#This Row],[Reading Score]],"&lt;60")+COUNTIF(Table1[[#This Row],[Writing Score]],"&lt;60")</f>
        <v>0</v>
      </c>
      <c r="R201" t="str">
        <f>IF(Table1[[#This Row],[Fail Count]]&gt;=2,"At risk","OK")</f>
        <v>OK</v>
      </c>
    </row>
    <row r="202" spans="1:18">
      <c r="A202" t="str">
        <f t="shared" si="3"/>
        <v>Stu-201</v>
      </c>
      <c r="B202" t="s">
        <v>11</v>
      </c>
      <c r="C202" t="s">
        <v>19</v>
      </c>
      <c r="D202" t="s">
        <v>29</v>
      </c>
      <c r="E202" t="s">
        <v>14</v>
      </c>
      <c r="F202" t="s">
        <v>21</v>
      </c>
      <c r="G202" s="16">
        <v>67</v>
      </c>
      <c r="H202">
        <f>RANK(G202,$G$2:$G$1001,0)+COUNTIF($G$2:G202,G202)-1</f>
        <v>471</v>
      </c>
      <c r="I202" t="str">
        <f>INDEX('Boundary table'!$B$3:$B$7,MATCH(G202,'Boundary table'!$A$3:$A$7,1))</f>
        <v>D</v>
      </c>
      <c r="J202" s="16">
        <v>84</v>
      </c>
      <c r="K202">
        <f>RANK(J202,$J$2:$J$1001,0)+COUNTIF($J$2:J202,J202)-1</f>
        <v>156</v>
      </c>
      <c r="L202" t="str">
        <f>INDEX('Boundary table'!$B$3:$B$7,MATCH(J202,'Boundary table'!$A$3:$A$7,1))</f>
        <v>B</v>
      </c>
      <c r="M202" s="16">
        <v>86</v>
      </c>
      <c r="N202">
        <f>RANK(M202,$M$2:$M$1001,0)+COUNTIF($M$2:M202,M202)-1</f>
        <v>113</v>
      </c>
      <c r="O202" t="str">
        <f>INDEX('Boundary table'!$B$3:$B$7,MATCH(M202,'Boundary table'!$A$3:$A$7))</f>
        <v>B</v>
      </c>
      <c r="P202">
        <f>Table1[[#This Row],[Math Score]]+Table1[[#This Row],[Reading Score]]+Table1[[#This Row],[Writing Score]]</f>
        <v>237</v>
      </c>
      <c r="Q202" s="16">
        <f>COUNTIF(Table1[[#This Row],[Math Score]],"&lt;60")+COUNTIF(Table1[[#This Row],[Reading Score]],"&lt;60")+COUNTIF(Table1[[#This Row],[Writing Score]],"&lt;60")</f>
        <v>0</v>
      </c>
      <c r="R202" t="str">
        <f>IF(Table1[[#This Row],[Fail Count]]&gt;=2,"At risk","OK")</f>
        <v>OK</v>
      </c>
    </row>
    <row r="203" spans="1:18">
      <c r="A203" t="str">
        <f t="shared" si="3"/>
        <v>Stu-202</v>
      </c>
      <c r="B203" t="s">
        <v>11</v>
      </c>
      <c r="C203" t="s">
        <v>31</v>
      </c>
      <c r="D203" t="s">
        <v>20</v>
      </c>
      <c r="E203" t="s">
        <v>30</v>
      </c>
      <c r="F203" t="s">
        <v>15</v>
      </c>
      <c r="G203" s="16">
        <v>65</v>
      </c>
      <c r="H203">
        <f>RANK(G203,$G$2:$G$1001,0)+COUNTIF($G$2:G203,G203)-1</f>
        <v>527</v>
      </c>
      <c r="I203" t="str">
        <f>INDEX('Boundary table'!$B$3:$B$7,MATCH(G203,'Boundary table'!$A$3:$A$7,1))</f>
        <v>D</v>
      </c>
      <c r="J203" s="16">
        <v>81</v>
      </c>
      <c r="K203">
        <f>RANK(J203,$J$2:$J$1001,0)+COUNTIF($J$2:J203,J203)-1</f>
        <v>216</v>
      </c>
      <c r="L203" t="str">
        <f>INDEX('Boundary table'!$B$3:$B$7,MATCH(J203,'Boundary table'!$A$3:$A$7,1))</f>
        <v>B</v>
      </c>
      <c r="M203" s="16">
        <v>77</v>
      </c>
      <c r="N203">
        <f>RANK(M203,$M$2:$M$1001,0)+COUNTIF($M$2:M203,M203)-1</f>
        <v>281</v>
      </c>
      <c r="O203" t="str">
        <f>INDEX('Boundary table'!$B$3:$B$7,MATCH(M203,'Boundary table'!$A$3:$A$7))</f>
        <v>C</v>
      </c>
      <c r="P203">
        <f>Table1[[#This Row],[Math Score]]+Table1[[#This Row],[Reading Score]]+Table1[[#This Row],[Writing Score]]</f>
        <v>223</v>
      </c>
      <c r="Q203" s="16">
        <f>COUNTIF(Table1[[#This Row],[Math Score]],"&lt;60")+COUNTIF(Table1[[#This Row],[Reading Score]],"&lt;60")+COUNTIF(Table1[[#This Row],[Writing Score]],"&lt;60")</f>
        <v>0</v>
      </c>
      <c r="R203" t="str">
        <f>IF(Table1[[#This Row],[Fail Count]]&gt;=2,"At risk","OK")</f>
        <v>OK</v>
      </c>
    </row>
    <row r="204" spans="1:18">
      <c r="A204" t="str">
        <f t="shared" si="3"/>
        <v>Stu-203</v>
      </c>
      <c r="B204" t="s">
        <v>27</v>
      </c>
      <c r="C204" t="s">
        <v>19</v>
      </c>
      <c r="D204" t="s">
        <v>29</v>
      </c>
      <c r="E204" t="s">
        <v>14</v>
      </c>
      <c r="F204" t="s">
        <v>15</v>
      </c>
      <c r="G204" s="16">
        <v>69</v>
      </c>
      <c r="H204">
        <f>RANK(G204,$G$2:$G$1001,0)+COUNTIF($G$2:G204,G204)-1</f>
        <v>417</v>
      </c>
      <c r="I204" t="str">
        <f>INDEX('Boundary table'!$B$3:$B$7,MATCH(G204,'Boundary table'!$A$3:$A$7,1))</f>
        <v>D</v>
      </c>
      <c r="J204" s="16">
        <v>77</v>
      </c>
      <c r="K204">
        <f>RANK(J204,$J$2:$J$1001,0)+COUNTIF($J$2:J204,J204)-1</f>
        <v>299</v>
      </c>
      <c r="L204" t="str">
        <f>INDEX('Boundary table'!$B$3:$B$7,MATCH(J204,'Boundary table'!$A$3:$A$7,1))</f>
        <v>C</v>
      </c>
      <c r="M204" s="16">
        <v>69</v>
      </c>
      <c r="N204">
        <f>RANK(M204,$M$2:$M$1001,0)+COUNTIF($M$2:M204,M204)-1</f>
        <v>493</v>
      </c>
      <c r="O204" t="str">
        <f>INDEX('Boundary table'!$B$3:$B$7,MATCH(M204,'Boundary table'!$A$3:$A$7))</f>
        <v>D</v>
      </c>
      <c r="P204">
        <f>Table1[[#This Row],[Math Score]]+Table1[[#This Row],[Reading Score]]+Table1[[#This Row],[Writing Score]]</f>
        <v>215</v>
      </c>
      <c r="Q204" s="16">
        <f>COUNTIF(Table1[[#This Row],[Math Score]],"&lt;60")+COUNTIF(Table1[[#This Row],[Reading Score]],"&lt;60")+COUNTIF(Table1[[#This Row],[Writing Score]],"&lt;60")</f>
        <v>0</v>
      </c>
      <c r="R204" t="str">
        <f>IF(Table1[[#This Row],[Fail Count]]&gt;=2,"At risk","OK")</f>
        <v>OK</v>
      </c>
    </row>
    <row r="205" spans="1:18">
      <c r="A205" t="str">
        <f t="shared" si="3"/>
        <v>Stu-204</v>
      </c>
      <c r="B205" t="s">
        <v>11</v>
      </c>
      <c r="C205" t="s">
        <v>12</v>
      </c>
      <c r="D205" t="s">
        <v>29</v>
      </c>
      <c r="E205" t="s">
        <v>14</v>
      </c>
      <c r="F205" t="s">
        <v>15</v>
      </c>
      <c r="G205" s="16">
        <v>57</v>
      </c>
      <c r="H205">
        <f>RANK(G205,$G$2:$G$1001,0)+COUNTIF($G$2:G205,G205)-1</f>
        <v>738</v>
      </c>
      <c r="I205" t="str">
        <f>INDEX('Boundary table'!$B$3:$B$7,MATCH(G205,'Boundary table'!$A$3:$A$7,1))</f>
        <v>F</v>
      </c>
      <c r="J205" s="16">
        <v>69</v>
      </c>
      <c r="K205">
        <f>RANK(J205,$J$2:$J$1001,0)+COUNTIF($J$2:J205,J205)-1</f>
        <v>520</v>
      </c>
      <c r="L205" t="str">
        <f>INDEX('Boundary table'!$B$3:$B$7,MATCH(J205,'Boundary table'!$A$3:$A$7,1))</f>
        <v>D</v>
      </c>
      <c r="M205" s="16">
        <v>68</v>
      </c>
      <c r="N205">
        <f>RANK(M205,$M$2:$M$1001,0)+COUNTIF($M$2:M205,M205)-1</f>
        <v>518</v>
      </c>
      <c r="O205" t="str">
        <f>INDEX('Boundary table'!$B$3:$B$7,MATCH(M205,'Boundary table'!$A$3:$A$7))</f>
        <v>D</v>
      </c>
      <c r="P205">
        <f>Table1[[#This Row],[Math Score]]+Table1[[#This Row],[Reading Score]]+Table1[[#This Row],[Writing Score]]</f>
        <v>194</v>
      </c>
      <c r="Q205" s="16">
        <f>COUNTIF(Table1[[#This Row],[Math Score]],"&lt;60")+COUNTIF(Table1[[#This Row],[Reading Score]],"&lt;60")+COUNTIF(Table1[[#This Row],[Writing Score]],"&lt;60")</f>
        <v>1</v>
      </c>
      <c r="R205" t="str">
        <f>IF(Table1[[#This Row],[Fail Count]]&gt;=2,"At risk","OK")</f>
        <v>OK</v>
      </c>
    </row>
    <row r="206" spans="1:18">
      <c r="A206" t="str">
        <f t="shared" si="3"/>
        <v>Stu-205</v>
      </c>
      <c r="B206" t="s">
        <v>27</v>
      </c>
      <c r="C206" t="s">
        <v>19</v>
      </c>
      <c r="D206" t="s">
        <v>20</v>
      </c>
      <c r="E206" t="s">
        <v>14</v>
      </c>
      <c r="F206" t="s">
        <v>15</v>
      </c>
      <c r="G206" s="16">
        <v>59</v>
      </c>
      <c r="H206">
        <f>RANK(G206,$G$2:$G$1001,0)+COUNTIF($G$2:G206,G206)-1</f>
        <v>684</v>
      </c>
      <c r="I206" t="str">
        <f>INDEX('Boundary table'!$B$3:$B$7,MATCH(G206,'Boundary table'!$A$3:$A$7,1))</f>
        <v>F</v>
      </c>
      <c r="J206" s="16">
        <v>41</v>
      </c>
      <c r="K206">
        <f>RANK(J206,$J$2:$J$1001,0)+COUNTIF($J$2:J206,J206)-1</f>
        <v>970</v>
      </c>
      <c r="L206" t="str">
        <f>INDEX('Boundary table'!$B$3:$B$7,MATCH(J206,'Boundary table'!$A$3:$A$7,1))</f>
        <v>F</v>
      </c>
      <c r="M206" s="16">
        <v>42</v>
      </c>
      <c r="N206">
        <f>RANK(M206,$M$2:$M$1001,0)+COUNTIF($M$2:M206,M206)-1</f>
        <v>952</v>
      </c>
      <c r="O206" t="str">
        <f>INDEX('Boundary table'!$B$3:$B$7,MATCH(M206,'Boundary table'!$A$3:$A$7))</f>
        <v>F</v>
      </c>
      <c r="P206">
        <f>Table1[[#This Row],[Math Score]]+Table1[[#This Row],[Reading Score]]+Table1[[#This Row],[Writing Score]]</f>
        <v>142</v>
      </c>
      <c r="Q206" s="16">
        <f>COUNTIF(Table1[[#This Row],[Math Score]],"&lt;60")+COUNTIF(Table1[[#This Row],[Reading Score]],"&lt;60")+COUNTIF(Table1[[#This Row],[Writing Score]],"&lt;60")</f>
        <v>3</v>
      </c>
      <c r="R206" t="str">
        <f>IF(Table1[[#This Row],[Fail Count]]&gt;=2,"At risk","OK")</f>
        <v>At risk</v>
      </c>
    </row>
    <row r="207" spans="1:18">
      <c r="A207" t="str">
        <f t="shared" si="3"/>
        <v>Stu-206</v>
      </c>
      <c r="B207" t="s">
        <v>27</v>
      </c>
      <c r="C207" t="s">
        <v>31</v>
      </c>
      <c r="D207" t="s">
        <v>33</v>
      </c>
      <c r="E207" t="s">
        <v>14</v>
      </c>
      <c r="F207" t="s">
        <v>21</v>
      </c>
      <c r="G207" s="16">
        <v>74</v>
      </c>
      <c r="H207">
        <f>RANK(G207,$G$2:$G$1001,0)+COUNTIF($G$2:G207,G207)-1</f>
        <v>299</v>
      </c>
      <c r="I207" t="str">
        <f>INDEX('Boundary table'!$B$3:$B$7,MATCH(G207,'Boundary table'!$A$3:$A$7,1))</f>
        <v>C</v>
      </c>
      <c r="J207" s="16">
        <v>71</v>
      </c>
      <c r="K207">
        <f>RANK(J207,$J$2:$J$1001,0)+COUNTIF($J$2:J207,J207)-1</f>
        <v>471</v>
      </c>
      <c r="L207" t="str">
        <f>INDEX('Boundary table'!$B$3:$B$7,MATCH(J207,'Boundary table'!$A$3:$A$7,1))</f>
        <v>C</v>
      </c>
      <c r="M207" s="16">
        <v>78</v>
      </c>
      <c r="N207">
        <f>RANK(M207,$M$2:$M$1001,0)+COUNTIF($M$2:M207,M207)-1</f>
        <v>262</v>
      </c>
      <c r="O207" t="str">
        <f>INDEX('Boundary table'!$B$3:$B$7,MATCH(M207,'Boundary table'!$A$3:$A$7))</f>
        <v>C</v>
      </c>
      <c r="P207">
        <f>Table1[[#This Row],[Math Score]]+Table1[[#This Row],[Reading Score]]+Table1[[#This Row],[Writing Score]]</f>
        <v>223</v>
      </c>
      <c r="Q207" s="16">
        <f>COUNTIF(Table1[[#This Row],[Math Score]],"&lt;60")+COUNTIF(Table1[[#This Row],[Reading Score]],"&lt;60")+COUNTIF(Table1[[#This Row],[Writing Score]],"&lt;60")</f>
        <v>0</v>
      </c>
      <c r="R207" t="str">
        <f>IF(Table1[[#This Row],[Fail Count]]&gt;=2,"At risk","OK")</f>
        <v>OK</v>
      </c>
    </row>
    <row r="208" spans="1:18">
      <c r="A208" t="str">
        <f t="shared" si="3"/>
        <v>Stu-207</v>
      </c>
      <c r="B208" t="s">
        <v>27</v>
      </c>
      <c r="C208" t="s">
        <v>34</v>
      </c>
      <c r="D208" t="s">
        <v>13</v>
      </c>
      <c r="E208" t="s">
        <v>14</v>
      </c>
      <c r="F208" t="s">
        <v>15</v>
      </c>
      <c r="G208" s="16">
        <v>82</v>
      </c>
      <c r="H208">
        <f>RANK(G208,$G$2:$G$1001,0)+COUNTIF($G$2:G208,G208)-1</f>
        <v>141</v>
      </c>
      <c r="I208" t="str">
        <f>INDEX('Boundary table'!$B$3:$B$7,MATCH(G208,'Boundary table'!$A$3:$A$7,1))</f>
        <v>B</v>
      </c>
      <c r="J208" s="16">
        <v>62</v>
      </c>
      <c r="K208">
        <f>RANK(J208,$J$2:$J$1001,0)+COUNTIF($J$2:J208,J208)-1</f>
        <v>683</v>
      </c>
      <c r="L208" t="str">
        <f>INDEX('Boundary table'!$B$3:$B$7,MATCH(J208,'Boundary table'!$A$3:$A$7,1))</f>
        <v>D</v>
      </c>
      <c r="M208" s="16">
        <v>62</v>
      </c>
      <c r="N208">
        <f>RANK(M208,$M$2:$M$1001,0)+COUNTIF($M$2:M208,M208)-1</f>
        <v>658</v>
      </c>
      <c r="O208" t="str">
        <f>INDEX('Boundary table'!$B$3:$B$7,MATCH(M208,'Boundary table'!$A$3:$A$7))</f>
        <v>D</v>
      </c>
      <c r="P208">
        <f>Table1[[#This Row],[Math Score]]+Table1[[#This Row],[Reading Score]]+Table1[[#This Row],[Writing Score]]</f>
        <v>206</v>
      </c>
      <c r="Q208" s="16">
        <f>COUNTIF(Table1[[#This Row],[Math Score]],"&lt;60")+COUNTIF(Table1[[#This Row],[Reading Score]],"&lt;60")+COUNTIF(Table1[[#This Row],[Writing Score]],"&lt;60")</f>
        <v>0</v>
      </c>
      <c r="R208" t="str">
        <f>IF(Table1[[#This Row],[Fail Count]]&gt;=2,"At risk","OK")</f>
        <v>OK</v>
      </c>
    </row>
    <row r="209" spans="1:18">
      <c r="A209" t="str">
        <f t="shared" si="3"/>
        <v>Stu-208</v>
      </c>
      <c r="B209" t="s">
        <v>27</v>
      </c>
      <c r="C209" t="s">
        <v>34</v>
      </c>
      <c r="D209" t="s">
        <v>32</v>
      </c>
      <c r="E209" t="s">
        <v>14</v>
      </c>
      <c r="F209" t="s">
        <v>21</v>
      </c>
      <c r="G209" s="16">
        <v>81</v>
      </c>
      <c r="H209">
        <f>RANK(G209,$G$2:$G$1001,0)+COUNTIF($G$2:G209,G209)-1</f>
        <v>158</v>
      </c>
      <c r="I209" t="str">
        <f>INDEX('Boundary table'!$B$3:$B$7,MATCH(G209,'Boundary table'!$A$3:$A$7,1))</f>
        <v>B</v>
      </c>
      <c r="J209" s="16">
        <v>80</v>
      </c>
      <c r="K209">
        <f>RANK(J209,$J$2:$J$1001,0)+COUNTIF($J$2:J209,J209)-1</f>
        <v>239</v>
      </c>
      <c r="L209" t="str">
        <f>INDEX('Boundary table'!$B$3:$B$7,MATCH(J209,'Boundary table'!$A$3:$A$7,1))</f>
        <v>B</v>
      </c>
      <c r="M209" s="16">
        <v>76</v>
      </c>
      <c r="N209">
        <f>RANK(M209,$M$2:$M$1001,0)+COUNTIF($M$2:M209,M209)-1</f>
        <v>307</v>
      </c>
      <c r="O209" t="str">
        <f>INDEX('Boundary table'!$B$3:$B$7,MATCH(M209,'Boundary table'!$A$3:$A$7))</f>
        <v>C</v>
      </c>
      <c r="P209">
        <f>Table1[[#This Row],[Math Score]]+Table1[[#This Row],[Reading Score]]+Table1[[#This Row],[Writing Score]]</f>
        <v>237</v>
      </c>
      <c r="Q209" s="16">
        <f>COUNTIF(Table1[[#This Row],[Math Score]],"&lt;60")+COUNTIF(Table1[[#This Row],[Reading Score]],"&lt;60")+COUNTIF(Table1[[#This Row],[Writing Score]],"&lt;60")</f>
        <v>0</v>
      </c>
      <c r="R209" t="str">
        <f>IF(Table1[[#This Row],[Fail Count]]&gt;=2,"At risk","OK")</f>
        <v>OK</v>
      </c>
    </row>
    <row r="210" spans="1:18">
      <c r="A210" t="str">
        <f t="shared" si="3"/>
        <v>Stu-209</v>
      </c>
      <c r="B210" t="s">
        <v>11</v>
      </c>
      <c r="C210" t="s">
        <v>12</v>
      </c>
      <c r="D210" t="s">
        <v>20</v>
      </c>
      <c r="E210" t="s">
        <v>30</v>
      </c>
      <c r="F210" t="s">
        <v>15</v>
      </c>
      <c r="G210" s="16">
        <v>74</v>
      </c>
      <c r="H210">
        <f>RANK(G210,$G$2:$G$1001,0)+COUNTIF($G$2:G210,G210)-1</f>
        <v>300</v>
      </c>
      <c r="I210" t="str">
        <f>INDEX('Boundary table'!$B$3:$B$7,MATCH(G210,'Boundary table'!$A$3:$A$7,1))</f>
        <v>C</v>
      </c>
      <c r="J210" s="16">
        <v>81</v>
      </c>
      <c r="K210">
        <f>RANK(J210,$J$2:$J$1001,0)+COUNTIF($J$2:J210,J210)-1</f>
        <v>217</v>
      </c>
      <c r="L210" t="str">
        <f>INDEX('Boundary table'!$B$3:$B$7,MATCH(J210,'Boundary table'!$A$3:$A$7,1))</f>
        <v>B</v>
      </c>
      <c r="M210" s="16">
        <v>76</v>
      </c>
      <c r="N210">
        <f>RANK(M210,$M$2:$M$1001,0)+COUNTIF($M$2:M210,M210)-1</f>
        <v>308</v>
      </c>
      <c r="O210" t="str">
        <f>INDEX('Boundary table'!$B$3:$B$7,MATCH(M210,'Boundary table'!$A$3:$A$7))</f>
        <v>C</v>
      </c>
      <c r="P210">
        <f>Table1[[#This Row],[Math Score]]+Table1[[#This Row],[Reading Score]]+Table1[[#This Row],[Writing Score]]</f>
        <v>231</v>
      </c>
      <c r="Q210" s="16">
        <f>COUNTIF(Table1[[#This Row],[Math Score]],"&lt;60")+COUNTIF(Table1[[#This Row],[Reading Score]],"&lt;60")+COUNTIF(Table1[[#This Row],[Writing Score]],"&lt;60")</f>
        <v>0</v>
      </c>
      <c r="R210" t="str">
        <f>IF(Table1[[#This Row],[Fail Count]]&gt;=2,"At risk","OK")</f>
        <v>OK</v>
      </c>
    </row>
    <row r="211" spans="1:18">
      <c r="A211" t="str">
        <f t="shared" si="3"/>
        <v>Stu-210</v>
      </c>
      <c r="B211" t="s">
        <v>11</v>
      </c>
      <c r="C211" t="s">
        <v>12</v>
      </c>
      <c r="D211" t="s">
        <v>20</v>
      </c>
      <c r="E211" t="s">
        <v>30</v>
      </c>
      <c r="F211" t="s">
        <v>15</v>
      </c>
      <c r="G211" s="16">
        <v>58</v>
      </c>
      <c r="H211">
        <f>RANK(G211,$G$2:$G$1001,0)+COUNTIF($G$2:G211,G211)-1</f>
        <v>719</v>
      </c>
      <c r="I211" t="str">
        <f>INDEX('Boundary table'!$B$3:$B$7,MATCH(G211,'Boundary table'!$A$3:$A$7,1))</f>
        <v>F</v>
      </c>
      <c r="J211" s="16">
        <v>61</v>
      </c>
      <c r="K211">
        <f>RANK(J211,$J$2:$J$1001,0)+COUNTIF($J$2:J211,J211)-1</f>
        <v>705</v>
      </c>
      <c r="L211" t="str">
        <f>INDEX('Boundary table'!$B$3:$B$7,MATCH(J211,'Boundary table'!$A$3:$A$7,1))</f>
        <v>D</v>
      </c>
      <c r="M211" s="16">
        <v>66</v>
      </c>
      <c r="N211">
        <f>RANK(M211,$M$2:$M$1001,0)+COUNTIF($M$2:M211,M211)-1</f>
        <v>574</v>
      </c>
      <c r="O211" t="str">
        <f>INDEX('Boundary table'!$B$3:$B$7,MATCH(M211,'Boundary table'!$A$3:$A$7))</f>
        <v>D</v>
      </c>
      <c r="P211">
        <f>Table1[[#This Row],[Math Score]]+Table1[[#This Row],[Reading Score]]+Table1[[#This Row],[Writing Score]]</f>
        <v>185</v>
      </c>
      <c r="Q211" s="16">
        <f>COUNTIF(Table1[[#This Row],[Math Score]],"&lt;60")+COUNTIF(Table1[[#This Row],[Reading Score]],"&lt;60")+COUNTIF(Table1[[#This Row],[Writing Score]],"&lt;60")</f>
        <v>1</v>
      </c>
      <c r="R211" t="str">
        <f>IF(Table1[[#This Row],[Fail Count]]&gt;=2,"At risk","OK")</f>
        <v>OK</v>
      </c>
    </row>
    <row r="212" spans="1:18">
      <c r="A212" t="str">
        <f t="shared" si="3"/>
        <v>Stu-211</v>
      </c>
      <c r="B212" t="s">
        <v>27</v>
      </c>
      <c r="C212" t="s">
        <v>31</v>
      </c>
      <c r="D212" t="s">
        <v>33</v>
      </c>
      <c r="E212" t="s">
        <v>30</v>
      </c>
      <c r="F212" t="s">
        <v>21</v>
      </c>
      <c r="G212" s="16">
        <v>80</v>
      </c>
      <c r="H212">
        <f>RANK(G212,$G$2:$G$1001,0)+COUNTIF($G$2:G212,G212)-1</f>
        <v>179</v>
      </c>
      <c r="I212" t="str">
        <f>INDEX('Boundary table'!$B$3:$B$7,MATCH(G212,'Boundary table'!$A$3:$A$7,1))</f>
        <v>B</v>
      </c>
      <c r="J212" s="16">
        <v>79</v>
      </c>
      <c r="K212">
        <f>RANK(J212,$J$2:$J$1001,0)+COUNTIF($J$2:J212,J212)-1</f>
        <v>253</v>
      </c>
      <c r="L212" t="str">
        <f>INDEX('Boundary table'!$B$3:$B$7,MATCH(J212,'Boundary table'!$A$3:$A$7,1))</f>
        <v>C</v>
      </c>
      <c r="M212" s="16">
        <v>79</v>
      </c>
      <c r="N212">
        <f>RANK(M212,$M$2:$M$1001,0)+COUNTIF($M$2:M212,M212)-1</f>
        <v>239</v>
      </c>
      <c r="O212" t="str">
        <f>INDEX('Boundary table'!$B$3:$B$7,MATCH(M212,'Boundary table'!$A$3:$A$7))</f>
        <v>C</v>
      </c>
      <c r="P212">
        <f>Table1[[#This Row],[Math Score]]+Table1[[#This Row],[Reading Score]]+Table1[[#This Row],[Writing Score]]</f>
        <v>238</v>
      </c>
      <c r="Q212" s="16">
        <f>COUNTIF(Table1[[#This Row],[Math Score]],"&lt;60")+COUNTIF(Table1[[#This Row],[Reading Score]],"&lt;60")+COUNTIF(Table1[[#This Row],[Writing Score]],"&lt;60")</f>
        <v>0</v>
      </c>
      <c r="R212" t="str">
        <f>IF(Table1[[#This Row],[Fail Count]]&gt;=2,"At risk","OK")</f>
        <v>OK</v>
      </c>
    </row>
    <row r="213" spans="1:18">
      <c r="A213" t="str">
        <f t="shared" si="3"/>
        <v>Stu-212</v>
      </c>
      <c r="B213" t="s">
        <v>27</v>
      </c>
      <c r="C213" t="s">
        <v>19</v>
      </c>
      <c r="D213" t="s">
        <v>20</v>
      </c>
      <c r="E213" t="s">
        <v>30</v>
      </c>
      <c r="F213" t="s">
        <v>15</v>
      </c>
      <c r="G213" s="16">
        <v>35</v>
      </c>
      <c r="H213">
        <f>RANK(G213,$G$2:$G$1001,0)+COUNTIF($G$2:G213,G213)-1</f>
        <v>974</v>
      </c>
      <c r="I213" t="str">
        <f>INDEX('Boundary table'!$B$3:$B$7,MATCH(G213,'Boundary table'!$A$3:$A$7,1))</f>
        <v>F</v>
      </c>
      <c r="J213" s="16">
        <v>28</v>
      </c>
      <c r="K213">
        <f>RANK(J213,$J$2:$J$1001,0)+COUNTIF($J$2:J213,J213)-1</f>
        <v>995</v>
      </c>
      <c r="L213" t="str">
        <f>INDEX('Boundary table'!$B$3:$B$7,MATCH(J213,'Boundary table'!$A$3:$A$7,1))</f>
        <v>F</v>
      </c>
      <c r="M213" s="16">
        <v>27</v>
      </c>
      <c r="N213">
        <f>RANK(M213,$M$2:$M$1001,0)+COUNTIF($M$2:M213,M213)-1</f>
        <v>993</v>
      </c>
      <c r="O213" t="str">
        <f>INDEX('Boundary table'!$B$3:$B$7,MATCH(M213,'Boundary table'!$A$3:$A$7))</f>
        <v>F</v>
      </c>
      <c r="P213">
        <f>Table1[[#This Row],[Math Score]]+Table1[[#This Row],[Reading Score]]+Table1[[#This Row],[Writing Score]]</f>
        <v>90</v>
      </c>
      <c r="Q213" s="16">
        <f>COUNTIF(Table1[[#This Row],[Math Score]],"&lt;60")+COUNTIF(Table1[[#This Row],[Reading Score]],"&lt;60")+COUNTIF(Table1[[#This Row],[Writing Score]],"&lt;60")</f>
        <v>3</v>
      </c>
      <c r="R213" t="str">
        <f>IF(Table1[[#This Row],[Fail Count]]&gt;=2,"At risk","OK")</f>
        <v>At risk</v>
      </c>
    </row>
    <row r="214" spans="1:18">
      <c r="A214" t="str">
        <f t="shared" si="3"/>
        <v>Stu-213</v>
      </c>
      <c r="B214" t="s">
        <v>11</v>
      </c>
      <c r="C214" t="s">
        <v>19</v>
      </c>
      <c r="D214" t="s">
        <v>32</v>
      </c>
      <c r="E214" t="s">
        <v>30</v>
      </c>
      <c r="F214" t="s">
        <v>15</v>
      </c>
      <c r="G214" s="16">
        <v>42</v>
      </c>
      <c r="H214">
        <f>RANK(G214,$G$2:$G$1001,0)+COUNTIF($G$2:G214,G214)-1</f>
        <v>941</v>
      </c>
      <c r="I214" t="str">
        <f>INDEX('Boundary table'!$B$3:$B$7,MATCH(G214,'Boundary table'!$A$3:$A$7,1))</f>
        <v>F</v>
      </c>
      <c r="J214" s="16">
        <v>62</v>
      </c>
      <c r="K214">
        <f>RANK(J214,$J$2:$J$1001,0)+COUNTIF($J$2:J214,J214)-1</f>
        <v>684</v>
      </c>
      <c r="L214" t="str">
        <f>INDEX('Boundary table'!$B$3:$B$7,MATCH(J214,'Boundary table'!$A$3:$A$7,1))</f>
        <v>D</v>
      </c>
      <c r="M214" s="16">
        <v>60</v>
      </c>
      <c r="N214">
        <f>RANK(M214,$M$2:$M$1001,0)+COUNTIF($M$2:M214,M214)-1</f>
        <v>701</v>
      </c>
      <c r="O214" t="str">
        <f>INDEX('Boundary table'!$B$3:$B$7,MATCH(M214,'Boundary table'!$A$3:$A$7))</f>
        <v>D</v>
      </c>
      <c r="P214">
        <f>Table1[[#This Row],[Math Score]]+Table1[[#This Row],[Reading Score]]+Table1[[#This Row],[Writing Score]]</f>
        <v>164</v>
      </c>
      <c r="Q214" s="16">
        <f>COUNTIF(Table1[[#This Row],[Math Score]],"&lt;60")+COUNTIF(Table1[[#This Row],[Reading Score]],"&lt;60")+COUNTIF(Table1[[#This Row],[Writing Score]],"&lt;60")</f>
        <v>1</v>
      </c>
      <c r="R214" t="str">
        <f>IF(Table1[[#This Row],[Fail Count]]&gt;=2,"At risk","OK")</f>
        <v>OK</v>
      </c>
    </row>
    <row r="215" spans="1:18">
      <c r="A215" t="str">
        <f t="shared" si="3"/>
        <v>Stu-214</v>
      </c>
      <c r="B215" t="s">
        <v>27</v>
      </c>
      <c r="C215" t="s">
        <v>19</v>
      </c>
      <c r="D215" t="s">
        <v>29</v>
      </c>
      <c r="E215" t="s">
        <v>30</v>
      </c>
      <c r="F215" t="s">
        <v>21</v>
      </c>
      <c r="G215" s="16">
        <v>60</v>
      </c>
      <c r="H215">
        <f>RANK(G215,$G$2:$G$1001,0)+COUNTIF($G$2:G215,G215)-1</f>
        <v>665</v>
      </c>
      <c r="I215" t="str">
        <f>INDEX('Boundary table'!$B$3:$B$7,MATCH(G215,'Boundary table'!$A$3:$A$7,1))</f>
        <v>D</v>
      </c>
      <c r="J215" s="16">
        <v>51</v>
      </c>
      <c r="K215">
        <f>RANK(J215,$J$2:$J$1001,0)+COUNTIF($J$2:J215,J215)-1</f>
        <v>891</v>
      </c>
      <c r="L215" t="str">
        <f>INDEX('Boundary table'!$B$3:$B$7,MATCH(J215,'Boundary table'!$A$3:$A$7,1))</f>
        <v>F</v>
      </c>
      <c r="M215" s="16">
        <v>56</v>
      </c>
      <c r="N215">
        <f>RANK(M215,$M$2:$M$1001,0)+COUNTIF($M$2:M215,M215)-1</f>
        <v>774</v>
      </c>
      <c r="O215" t="str">
        <f>INDEX('Boundary table'!$B$3:$B$7,MATCH(M215,'Boundary table'!$A$3:$A$7))</f>
        <v>F</v>
      </c>
      <c r="P215">
        <f>Table1[[#This Row],[Math Score]]+Table1[[#This Row],[Reading Score]]+Table1[[#This Row],[Writing Score]]</f>
        <v>167</v>
      </c>
      <c r="Q215" s="16">
        <f>COUNTIF(Table1[[#This Row],[Math Score]],"&lt;60")+COUNTIF(Table1[[#This Row],[Reading Score]],"&lt;60")+COUNTIF(Table1[[#This Row],[Writing Score]],"&lt;60")</f>
        <v>2</v>
      </c>
      <c r="R215" t="str">
        <f>IF(Table1[[#This Row],[Fail Count]]&gt;=2,"At risk","OK")</f>
        <v>At risk</v>
      </c>
    </row>
    <row r="216" spans="1:18">
      <c r="A216" t="str">
        <f t="shared" si="3"/>
        <v>Stu-215</v>
      </c>
      <c r="B216" t="s">
        <v>27</v>
      </c>
      <c r="C216" t="s">
        <v>34</v>
      </c>
      <c r="D216" t="s">
        <v>32</v>
      </c>
      <c r="E216" t="s">
        <v>14</v>
      </c>
      <c r="F216" t="s">
        <v>21</v>
      </c>
      <c r="G216" s="16">
        <v>87</v>
      </c>
      <c r="H216">
        <f>RANK(G216,$G$2:$G$1001,0)+COUNTIF($G$2:G216,G216)-1</f>
        <v>83</v>
      </c>
      <c r="I216" t="str">
        <f>INDEX('Boundary table'!$B$3:$B$7,MATCH(G216,'Boundary table'!$A$3:$A$7,1))</f>
        <v>B</v>
      </c>
      <c r="J216" s="16">
        <v>91</v>
      </c>
      <c r="K216">
        <f>RANK(J216,$J$2:$J$1001,0)+COUNTIF($J$2:J216,J216)-1</f>
        <v>59</v>
      </c>
      <c r="L216" t="str">
        <f>INDEX('Boundary table'!$B$3:$B$7,MATCH(J216,'Boundary table'!$A$3:$A$7,1))</f>
        <v>A</v>
      </c>
      <c r="M216" s="16">
        <v>81</v>
      </c>
      <c r="N216">
        <f>RANK(M216,$M$2:$M$1001,0)+COUNTIF($M$2:M216,M216)-1</f>
        <v>192</v>
      </c>
      <c r="O216" t="str">
        <f>INDEX('Boundary table'!$B$3:$B$7,MATCH(M216,'Boundary table'!$A$3:$A$7))</f>
        <v>B</v>
      </c>
      <c r="P216">
        <f>Table1[[#This Row],[Math Score]]+Table1[[#This Row],[Reading Score]]+Table1[[#This Row],[Writing Score]]</f>
        <v>259</v>
      </c>
      <c r="Q216" s="16">
        <f>COUNTIF(Table1[[#This Row],[Math Score]],"&lt;60")+COUNTIF(Table1[[#This Row],[Reading Score]],"&lt;60")+COUNTIF(Table1[[#This Row],[Writing Score]],"&lt;60")</f>
        <v>0</v>
      </c>
      <c r="R216" t="str">
        <f>IF(Table1[[#This Row],[Fail Count]]&gt;=2,"At risk","OK")</f>
        <v>OK</v>
      </c>
    </row>
    <row r="217" spans="1:18">
      <c r="A217" t="str">
        <f t="shared" si="3"/>
        <v>Stu-216</v>
      </c>
      <c r="B217" t="s">
        <v>27</v>
      </c>
      <c r="C217" t="s">
        <v>12</v>
      </c>
      <c r="D217" t="s">
        <v>33</v>
      </c>
      <c r="E217" t="s">
        <v>14</v>
      </c>
      <c r="F217" t="s">
        <v>21</v>
      </c>
      <c r="G217" s="16">
        <v>84</v>
      </c>
      <c r="H217">
        <f>RANK(G217,$G$2:$G$1001,0)+COUNTIF($G$2:G217,G217)-1</f>
        <v>119</v>
      </c>
      <c r="I217" t="str">
        <f>INDEX('Boundary table'!$B$3:$B$7,MATCH(G217,'Boundary table'!$A$3:$A$7,1))</f>
        <v>B</v>
      </c>
      <c r="J217" s="16">
        <v>83</v>
      </c>
      <c r="K217">
        <f>RANK(J217,$J$2:$J$1001,0)+COUNTIF($J$2:J217,J217)-1</f>
        <v>181</v>
      </c>
      <c r="L217" t="str">
        <f>INDEX('Boundary table'!$B$3:$B$7,MATCH(J217,'Boundary table'!$A$3:$A$7,1))</f>
        <v>B</v>
      </c>
      <c r="M217" s="16">
        <v>75</v>
      </c>
      <c r="N217">
        <f>RANK(M217,$M$2:$M$1001,0)+COUNTIF($M$2:M217,M217)-1</f>
        <v>336</v>
      </c>
      <c r="O217" t="str">
        <f>INDEX('Boundary table'!$B$3:$B$7,MATCH(M217,'Boundary table'!$A$3:$A$7))</f>
        <v>C</v>
      </c>
      <c r="P217">
        <f>Table1[[#This Row],[Math Score]]+Table1[[#This Row],[Reading Score]]+Table1[[#This Row],[Writing Score]]</f>
        <v>242</v>
      </c>
      <c r="Q217" s="16">
        <f>COUNTIF(Table1[[#This Row],[Math Score]],"&lt;60")+COUNTIF(Table1[[#This Row],[Reading Score]],"&lt;60")+COUNTIF(Table1[[#This Row],[Writing Score]],"&lt;60")</f>
        <v>0</v>
      </c>
      <c r="R217" t="str">
        <f>IF(Table1[[#This Row],[Fail Count]]&gt;=2,"At risk","OK")</f>
        <v>OK</v>
      </c>
    </row>
    <row r="218" spans="1:18">
      <c r="A218" t="str">
        <f t="shared" si="3"/>
        <v>Stu-217</v>
      </c>
      <c r="B218" t="s">
        <v>11</v>
      </c>
      <c r="C218" t="s">
        <v>34</v>
      </c>
      <c r="D218" t="s">
        <v>29</v>
      </c>
      <c r="E218" t="s">
        <v>30</v>
      </c>
      <c r="F218" t="s">
        <v>21</v>
      </c>
      <c r="G218" s="16">
        <v>83</v>
      </c>
      <c r="H218">
        <f>RANK(G218,$G$2:$G$1001,0)+COUNTIF($G$2:G218,G218)-1</f>
        <v>130</v>
      </c>
      <c r="I218" t="str">
        <f>INDEX('Boundary table'!$B$3:$B$7,MATCH(G218,'Boundary table'!$A$3:$A$7,1))</f>
        <v>B</v>
      </c>
      <c r="J218" s="16">
        <v>86</v>
      </c>
      <c r="K218">
        <f>RANK(J218,$J$2:$J$1001,0)+COUNTIF($J$2:J218,J218)-1</f>
        <v>119</v>
      </c>
      <c r="L218" t="str">
        <f>INDEX('Boundary table'!$B$3:$B$7,MATCH(J218,'Boundary table'!$A$3:$A$7,1))</f>
        <v>B</v>
      </c>
      <c r="M218" s="16">
        <v>88</v>
      </c>
      <c r="N218">
        <f>RANK(M218,$M$2:$M$1001,0)+COUNTIF($M$2:M218,M218)-1</f>
        <v>92</v>
      </c>
      <c r="O218" t="str">
        <f>INDEX('Boundary table'!$B$3:$B$7,MATCH(M218,'Boundary table'!$A$3:$A$7))</f>
        <v>B</v>
      </c>
      <c r="P218">
        <f>Table1[[#This Row],[Math Score]]+Table1[[#This Row],[Reading Score]]+Table1[[#This Row],[Writing Score]]</f>
        <v>257</v>
      </c>
      <c r="Q218" s="16">
        <f>COUNTIF(Table1[[#This Row],[Math Score]],"&lt;60")+COUNTIF(Table1[[#This Row],[Reading Score]],"&lt;60")+COUNTIF(Table1[[#This Row],[Writing Score]],"&lt;60")</f>
        <v>0</v>
      </c>
      <c r="R218" t="str">
        <f>IF(Table1[[#This Row],[Fail Count]]&gt;=2,"At risk","OK")</f>
        <v>OK</v>
      </c>
    </row>
    <row r="219" spans="1:18">
      <c r="A219" t="str">
        <f t="shared" si="3"/>
        <v>Stu-218</v>
      </c>
      <c r="B219" t="s">
        <v>11</v>
      </c>
      <c r="C219" t="s">
        <v>19</v>
      </c>
      <c r="D219" t="s">
        <v>32</v>
      </c>
      <c r="E219" t="s">
        <v>30</v>
      </c>
      <c r="F219" t="s">
        <v>15</v>
      </c>
      <c r="G219" s="16">
        <v>34</v>
      </c>
      <c r="H219">
        <f>RANK(G219,$G$2:$G$1001,0)+COUNTIF($G$2:G219,G219)-1</f>
        <v>979</v>
      </c>
      <c r="I219" t="str">
        <f>INDEX('Boundary table'!$B$3:$B$7,MATCH(G219,'Boundary table'!$A$3:$A$7,1))</f>
        <v>F</v>
      </c>
      <c r="J219" s="16">
        <v>42</v>
      </c>
      <c r="K219">
        <f>RANK(J219,$J$2:$J$1001,0)+COUNTIF($J$2:J219,J219)-1</f>
        <v>963</v>
      </c>
      <c r="L219" t="str">
        <f>INDEX('Boundary table'!$B$3:$B$7,MATCH(J219,'Boundary table'!$A$3:$A$7,1))</f>
        <v>F</v>
      </c>
      <c r="M219" s="16">
        <v>39</v>
      </c>
      <c r="N219">
        <f>RANK(M219,$M$2:$M$1001,0)+COUNTIF($M$2:M219,M219)-1</f>
        <v>970</v>
      </c>
      <c r="O219" t="str">
        <f>INDEX('Boundary table'!$B$3:$B$7,MATCH(M219,'Boundary table'!$A$3:$A$7))</f>
        <v>F</v>
      </c>
      <c r="P219">
        <f>Table1[[#This Row],[Math Score]]+Table1[[#This Row],[Reading Score]]+Table1[[#This Row],[Writing Score]]</f>
        <v>115</v>
      </c>
      <c r="Q219" s="16">
        <f>COUNTIF(Table1[[#This Row],[Math Score]],"&lt;60")+COUNTIF(Table1[[#This Row],[Reading Score]],"&lt;60")+COUNTIF(Table1[[#This Row],[Writing Score]],"&lt;60")</f>
        <v>3</v>
      </c>
      <c r="R219" t="str">
        <f>IF(Table1[[#This Row],[Fail Count]]&gt;=2,"At risk","OK")</f>
        <v>At risk</v>
      </c>
    </row>
    <row r="220" spans="1:18">
      <c r="A220" t="str">
        <f t="shared" si="3"/>
        <v>Stu-219</v>
      </c>
      <c r="B220" t="s">
        <v>27</v>
      </c>
      <c r="C220" t="s">
        <v>12</v>
      </c>
      <c r="D220" t="s">
        <v>32</v>
      </c>
      <c r="E220" t="s">
        <v>30</v>
      </c>
      <c r="F220" t="s">
        <v>15</v>
      </c>
      <c r="G220" s="16">
        <v>66</v>
      </c>
      <c r="H220">
        <f>RANK(G220,$G$2:$G$1001,0)+COUNTIF($G$2:G220,G220)-1</f>
        <v>500</v>
      </c>
      <c r="I220" t="str">
        <f>INDEX('Boundary table'!$B$3:$B$7,MATCH(G220,'Boundary table'!$A$3:$A$7,1))</f>
        <v>D</v>
      </c>
      <c r="J220" s="16">
        <v>77</v>
      </c>
      <c r="K220">
        <f>RANK(J220,$J$2:$J$1001,0)+COUNTIF($J$2:J220,J220)-1</f>
        <v>300</v>
      </c>
      <c r="L220" t="str">
        <f>INDEX('Boundary table'!$B$3:$B$7,MATCH(J220,'Boundary table'!$A$3:$A$7,1))</f>
        <v>C</v>
      </c>
      <c r="M220" s="16">
        <v>70</v>
      </c>
      <c r="N220">
        <f>RANK(M220,$M$2:$M$1001,0)+COUNTIF($M$2:M220,M220)-1</f>
        <v>465</v>
      </c>
      <c r="O220" t="str">
        <f>INDEX('Boundary table'!$B$3:$B$7,MATCH(M220,'Boundary table'!$A$3:$A$7))</f>
        <v>C</v>
      </c>
      <c r="P220">
        <f>Table1[[#This Row],[Math Score]]+Table1[[#This Row],[Reading Score]]+Table1[[#This Row],[Writing Score]]</f>
        <v>213</v>
      </c>
      <c r="Q220" s="16">
        <f>COUNTIF(Table1[[#This Row],[Math Score]],"&lt;60")+COUNTIF(Table1[[#This Row],[Reading Score]],"&lt;60")+COUNTIF(Table1[[#This Row],[Writing Score]],"&lt;60")</f>
        <v>0</v>
      </c>
      <c r="R220" t="str">
        <f>IF(Table1[[#This Row],[Fail Count]]&gt;=2,"At risk","OK")</f>
        <v>OK</v>
      </c>
    </row>
    <row r="221" spans="1:18">
      <c r="A221" t="str">
        <f t="shared" si="3"/>
        <v>Stu-220</v>
      </c>
      <c r="B221" t="s">
        <v>27</v>
      </c>
      <c r="C221" t="s">
        <v>12</v>
      </c>
      <c r="D221" t="s">
        <v>33</v>
      </c>
      <c r="E221" t="s">
        <v>14</v>
      </c>
      <c r="F221" t="s">
        <v>21</v>
      </c>
      <c r="G221" s="16">
        <v>61</v>
      </c>
      <c r="H221">
        <f>RANK(G221,$G$2:$G$1001,0)+COUNTIF($G$2:G221,G221)-1</f>
        <v>640</v>
      </c>
      <c r="I221" t="str">
        <f>INDEX('Boundary table'!$B$3:$B$7,MATCH(G221,'Boundary table'!$A$3:$A$7,1))</f>
        <v>D</v>
      </c>
      <c r="J221" s="16">
        <v>56</v>
      </c>
      <c r="K221">
        <f>RANK(J221,$J$2:$J$1001,0)+COUNTIF($J$2:J221,J221)-1</f>
        <v>812</v>
      </c>
      <c r="L221" t="str">
        <f>INDEX('Boundary table'!$B$3:$B$7,MATCH(J221,'Boundary table'!$A$3:$A$7,1))</f>
        <v>F</v>
      </c>
      <c r="M221" s="16">
        <v>56</v>
      </c>
      <c r="N221">
        <f>RANK(M221,$M$2:$M$1001,0)+COUNTIF($M$2:M221,M221)-1</f>
        <v>775</v>
      </c>
      <c r="O221" t="str">
        <f>INDEX('Boundary table'!$B$3:$B$7,MATCH(M221,'Boundary table'!$A$3:$A$7))</f>
        <v>F</v>
      </c>
      <c r="P221">
        <f>Table1[[#This Row],[Math Score]]+Table1[[#This Row],[Reading Score]]+Table1[[#This Row],[Writing Score]]</f>
        <v>173</v>
      </c>
      <c r="Q221" s="16">
        <f>COUNTIF(Table1[[#This Row],[Math Score]],"&lt;60")+COUNTIF(Table1[[#This Row],[Reading Score]],"&lt;60")+COUNTIF(Table1[[#This Row],[Writing Score]],"&lt;60")</f>
        <v>2</v>
      </c>
      <c r="R221" t="str">
        <f>IF(Table1[[#This Row],[Fail Count]]&gt;=2,"At risk","OK")</f>
        <v>At risk</v>
      </c>
    </row>
    <row r="222" spans="1:18">
      <c r="A222" t="str">
        <f t="shared" si="3"/>
        <v>Stu-221</v>
      </c>
      <c r="B222" t="s">
        <v>11</v>
      </c>
      <c r="C222" t="s">
        <v>31</v>
      </c>
      <c r="D222" t="s">
        <v>32</v>
      </c>
      <c r="E222" t="s">
        <v>14</v>
      </c>
      <c r="F222" t="s">
        <v>21</v>
      </c>
      <c r="G222" s="16">
        <v>56</v>
      </c>
      <c r="H222">
        <f>RANK(G222,$G$2:$G$1001,0)+COUNTIF($G$2:G222,G222)-1</f>
        <v>754</v>
      </c>
      <c r="I222" t="str">
        <f>INDEX('Boundary table'!$B$3:$B$7,MATCH(G222,'Boundary table'!$A$3:$A$7,1))</f>
        <v>F</v>
      </c>
      <c r="J222" s="16">
        <v>68</v>
      </c>
      <c r="K222">
        <f>RANK(J222,$J$2:$J$1001,0)+COUNTIF($J$2:J222,J222)-1</f>
        <v>533</v>
      </c>
      <c r="L222" t="str">
        <f>INDEX('Boundary table'!$B$3:$B$7,MATCH(J222,'Boundary table'!$A$3:$A$7,1))</f>
        <v>D</v>
      </c>
      <c r="M222" s="16">
        <v>74</v>
      </c>
      <c r="N222">
        <f>RANK(M222,$M$2:$M$1001,0)+COUNTIF($M$2:M222,M222)-1</f>
        <v>362</v>
      </c>
      <c r="O222" t="str">
        <f>INDEX('Boundary table'!$B$3:$B$7,MATCH(M222,'Boundary table'!$A$3:$A$7))</f>
        <v>C</v>
      </c>
      <c r="P222">
        <f>Table1[[#This Row],[Math Score]]+Table1[[#This Row],[Reading Score]]+Table1[[#This Row],[Writing Score]]</f>
        <v>198</v>
      </c>
      <c r="Q222" s="16">
        <f>COUNTIF(Table1[[#This Row],[Math Score]],"&lt;60")+COUNTIF(Table1[[#This Row],[Reading Score]],"&lt;60")+COUNTIF(Table1[[#This Row],[Writing Score]],"&lt;60")</f>
        <v>1</v>
      </c>
      <c r="R222" t="str">
        <f>IF(Table1[[#This Row],[Fail Count]]&gt;=2,"At risk","OK")</f>
        <v>OK</v>
      </c>
    </row>
    <row r="223" spans="1:18">
      <c r="A223" t="str">
        <f t="shared" si="3"/>
        <v>Stu-222</v>
      </c>
      <c r="B223" t="s">
        <v>27</v>
      </c>
      <c r="C223" t="s">
        <v>12</v>
      </c>
      <c r="D223" t="s">
        <v>29</v>
      </c>
      <c r="E223" t="s">
        <v>14</v>
      </c>
      <c r="F223" t="s">
        <v>15</v>
      </c>
      <c r="G223" s="16">
        <v>87</v>
      </c>
      <c r="H223">
        <f>RANK(G223,$G$2:$G$1001,0)+COUNTIF($G$2:G223,G223)-1</f>
        <v>84</v>
      </c>
      <c r="I223" t="str">
        <f>INDEX('Boundary table'!$B$3:$B$7,MATCH(G223,'Boundary table'!$A$3:$A$7,1))</f>
        <v>B</v>
      </c>
      <c r="J223" s="16">
        <v>85</v>
      </c>
      <c r="K223">
        <f>RANK(J223,$J$2:$J$1001,0)+COUNTIF($J$2:J223,J223)-1</f>
        <v>135</v>
      </c>
      <c r="L223" t="str">
        <f>INDEX('Boundary table'!$B$3:$B$7,MATCH(J223,'Boundary table'!$A$3:$A$7,1))</f>
        <v>B</v>
      </c>
      <c r="M223" s="16">
        <v>73</v>
      </c>
      <c r="N223">
        <f>RANK(M223,$M$2:$M$1001,0)+COUNTIF($M$2:M223,M223)-1</f>
        <v>390</v>
      </c>
      <c r="O223" t="str">
        <f>INDEX('Boundary table'!$B$3:$B$7,MATCH(M223,'Boundary table'!$A$3:$A$7))</f>
        <v>C</v>
      </c>
      <c r="P223">
        <f>Table1[[#This Row],[Math Score]]+Table1[[#This Row],[Reading Score]]+Table1[[#This Row],[Writing Score]]</f>
        <v>245</v>
      </c>
      <c r="Q223" s="16">
        <f>COUNTIF(Table1[[#This Row],[Math Score]],"&lt;60")+COUNTIF(Table1[[#This Row],[Reading Score]],"&lt;60")+COUNTIF(Table1[[#This Row],[Writing Score]],"&lt;60")</f>
        <v>0</v>
      </c>
      <c r="R223" t="str">
        <f>IF(Table1[[#This Row],[Fail Count]]&gt;=2,"At risk","OK")</f>
        <v>OK</v>
      </c>
    </row>
    <row r="224" spans="1:18">
      <c r="A224" t="str">
        <f t="shared" si="3"/>
        <v>Stu-223</v>
      </c>
      <c r="B224" t="s">
        <v>11</v>
      </c>
      <c r="C224" t="s">
        <v>19</v>
      </c>
      <c r="D224" t="s">
        <v>33</v>
      </c>
      <c r="E224" t="s">
        <v>30</v>
      </c>
      <c r="F224" t="s">
        <v>15</v>
      </c>
      <c r="G224" s="16">
        <v>55</v>
      </c>
      <c r="H224">
        <f>RANK(G224,$G$2:$G$1001,0)+COUNTIF($G$2:G224,G224)-1</f>
        <v>766</v>
      </c>
      <c r="I224" t="str">
        <f>INDEX('Boundary table'!$B$3:$B$7,MATCH(G224,'Boundary table'!$A$3:$A$7,1))</f>
        <v>F</v>
      </c>
      <c r="J224" s="16">
        <v>65</v>
      </c>
      <c r="K224">
        <f>RANK(J224,$J$2:$J$1001,0)+COUNTIF($J$2:J224,J224)-1</f>
        <v>613</v>
      </c>
      <c r="L224" t="str">
        <f>INDEX('Boundary table'!$B$3:$B$7,MATCH(J224,'Boundary table'!$A$3:$A$7,1))</f>
        <v>D</v>
      </c>
      <c r="M224" s="16">
        <v>62</v>
      </c>
      <c r="N224">
        <f>RANK(M224,$M$2:$M$1001,0)+COUNTIF($M$2:M224,M224)-1</f>
        <v>659</v>
      </c>
      <c r="O224" t="str">
        <f>INDEX('Boundary table'!$B$3:$B$7,MATCH(M224,'Boundary table'!$A$3:$A$7))</f>
        <v>D</v>
      </c>
      <c r="P224">
        <f>Table1[[#This Row],[Math Score]]+Table1[[#This Row],[Reading Score]]+Table1[[#This Row],[Writing Score]]</f>
        <v>182</v>
      </c>
      <c r="Q224" s="16">
        <f>COUNTIF(Table1[[#This Row],[Math Score]],"&lt;60")+COUNTIF(Table1[[#This Row],[Reading Score]],"&lt;60")+COUNTIF(Table1[[#This Row],[Writing Score]],"&lt;60")</f>
        <v>1</v>
      </c>
      <c r="R224" t="str">
        <f>IF(Table1[[#This Row],[Fail Count]]&gt;=2,"At risk","OK")</f>
        <v>OK</v>
      </c>
    </row>
    <row r="225" spans="1:18">
      <c r="A225" t="str">
        <f t="shared" si="3"/>
        <v>Stu-224</v>
      </c>
      <c r="B225" t="s">
        <v>27</v>
      </c>
      <c r="C225" t="s">
        <v>31</v>
      </c>
      <c r="D225" t="s">
        <v>33</v>
      </c>
      <c r="E225" t="s">
        <v>14</v>
      </c>
      <c r="F225" t="s">
        <v>15</v>
      </c>
      <c r="G225" s="16">
        <v>86</v>
      </c>
      <c r="H225">
        <f>RANK(G225,$G$2:$G$1001,0)+COUNTIF($G$2:G225,G225)-1</f>
        <v>96</v>
      </c>
      <c r="I225" t="str">
        <f>INDEX('Boundary table'!$B$3:$B$7,MATCH(G225,'Boundary table'!$A$3:$A$7,1))</f>
        <v>B</v>
      </c>
      <c r="J225" s="16">
        <v>80</v>
      </c>
      <c r="K225">
        <f>RANK(J225,$J$2:$J$1001,0)+COUNTIF($J$2:J225,J225)-1</f>
        <v>240</v>
      </c>
      <c r="L225" t="str">
        <f>INDEX('Boundary table'!$B$3:$B$7,MATCH(J225,'Boundary table'!$A$3:$A$7,1))</f>
        <v>B</v>
      </c>
      <c r="M225" s="16">
        <v>75</v>
      </c>
      <c r="N225">
        <f>RANK(M225,$M$2:$M$1001,0)+COUNTIF($M$2:M225,M225)-1</f>
        <v>337</v>
      </c>
      <c r="O225" t="str">
        <f>INDEX('Boundary table'!$B$3:$B$7,MATCH(M225,'Boundary table'!$A$3:$A$7))</f>
        <v>C</v>
      </c>
      <c r="P225">
        <f>Table1[[#This Row],[Math Score]]+Table1[[#This Row],[Reading Score]]+Table1[[#This Row],[Writing Score]]</f>
        <v>241</v>
      </c>
      <c r="Q225" s="16">
        <f>COUNTIF(Table1[[#This Row],[Math Score]],"&lt;60")+COUNTIF(Table1[[#This Row],[Reading Score]],"&lt;60")+COUNTIF(Table1[[#This Row],[Writing Score]],"&lt;60")</f>
        <v>0</v>
      </c>
      <c r="R225" t="str">
        <f>IF(Table1[[#This Row],[Fail Count]]&gt;=2,"At risk","OK")</f>
        <v>OK</v>
      </c>
    </row>
    <row r="226" spans="1:18">
      <c r="A226" t="str">
        <f t="shared" si="3"/>
        <v>Stu-225</v>
      </c>
      <c r="B226" t="s">
        <v>11</v>
      </c>
      <c r="C226" t="s">
        <v>12</v>
      </c>
      <c r="D226" t="s">
        <v>29</v>
      </c>
      <c r="E226" t="s">
        <v>14</v>
      </c>
      <c r="F226" t="s">
        <v>21</v>
      </c>
      <c r="G226" s="16">
        <v>52</v>
      </c>
      <c r="H226">
        <f>RANK(G226,$G$2:$G$1001,0)+COUNTIF($G$2:G226,G226)-1</f>
        <v>826</v>
      </c>
      <c r="I226" t="str">
        <f>INDEX('Boundary table'!$B$3:$B$7,MATCH(G226,'Boundary table'!$A$3:$A$7,1))</f>
        <v>F</v>
      </c>
      <c r="J226" s="16">
        <v>66</v>
      </c>
      <c r="K226">
        <f>RANK(J226,$J$2:$J$1001,0)+COUNTIF($J$2:J226,J226)-1</f>
        <v>585</v>
      </c>
      <c r="L226" t="str">
        <f>INDEX('Boundary table'!$B$3:$B$7,MATCH(J226,'Boundary table'!$A$3:$A$7,1))</f>
        <v>D</v>
      </c>
      <c r="M226" s="16">
        <v>73</v>
      </c>
      <c r="N226">
        <f>RANK(M226,$M$2:$M$1001,0)+COUNTIF($M$2:M226,M226)-1</f>
        <v>391</v>
      </c>
      <c r="O226" t="str">
        <f>INDEX('Boundary table'!$B$3:$B$7,MATCH(M226,'Boundary table'!$A$3:$A$7))</f>
        <v>C</v>
      </c>
      <c r="P226">
        <f>Table1[[#This Row],[Math Score]]+Table1[[#This Row],[Reading Score]]+Table1[[#This Row],[Writing Score]]</f>
        <v>191</v>
      </c>
      <c r="Q226" s="16">
        <f>COUNTIF(Table1[[#This Row],[Math Score]],"&lt;60")+COUNTIF(Table1[[#This Row],[Reading Score]],"&lt;60")+COUNTIF(Table1[[#This Row],[Writing Score]],"&lt;60")</f>
        <v>1</v>
      </c>
      <c r="R226" t="str">
        <f>IF(Table1[[#This Row],[Fail Count]]&gt;=2,"At risk","OK")</f>
        <v>OK</v>
      </c>
    </row>
    <row r="227" spans="1:18">
      <c r="A227" t="str">
        <f t="shared" si="3"/>
        <v>Stu-226</v>
      </c>
      <c r="B227" t="s">
        <v>11</v>
      </c>
      <c r="C227" t="s">
        <v>34</v>
      </c>
      <c r="D227" t="s">
        <v>26</v>
      </c>
      <c r="E227" t="s">
        <v>30</v>
      </c>
      <c r="F227" t="s">
        <v>15</v>
      </c>
      <c r="G227" s="16">
        <v>45</v>
      </c>
      <c r="H227">
        <f>RANK(G227,$G$2:$G$1001,0)+COUNTIF($G$2:G227,G227)-1</f>
        <v>919</v>
      </c>
      <c r="I227" t="str">
        <f>INDEX('Boundary table'!$B$3:$B$7,MATCH(G227,'Boundary table'!$A$3:$A$7,1))</f>
        <v>F</v>
      </c>
      <c r="J227" s="16">
        <v>56</v>
      </c>
      <c r="K227">
        <f>RANK(J227,$J$2:$J$1001,0)+COUNTIF($J$2:J227,J227)-1</f>
        <v>813</v>
      </c>
      <c r="L227" t="str">
        <f>INDEX('Boundary table'!$B$3:$B$7,MATCH(J227,'Boundary table'!$A$3:$A$7,1))</f>
        <v>F</v>
      </c>
      <c r="M227" s="16">
        <v>54</v>
      </c>
      <c r="N227">
        <f>RANK(M227,$M$2:$M$1001,0)+COUNTIF($M$2:M227,M227)-1</f>
        <v>804</v>
      </c>
      <c r="O227" t="str">
        <f>INDEX('Boundary table'!$B$3:$B$7,MATCH(M227,'Boundary table'!$A$3:$A$7))</f>
        <v>F</v>
      </c>
      <c r="P227">
        <f>Table1[[#This Row],[Math Score]]+Table1[[#This Row],[Reading Score]]+Table1[[#This Row],[Writing Score]]</f>
        <v>155</v>
      </c>
      <c r="Q227" s="16">
        <f>COUNTIF(Table1[[#This Row],[Math Score]],"&lt;60")+COUNTIF(Table1[[#This Row],[Reading Score]],"&lt;60")+COUNTIF(Table1[[#This Row],[Writing Score]],"&lt;60")</f>
        <v>3</v>
      </c>
      <c r="R227" t="str">
        <f>IF(Table1[[#This Row],[Fail Count]]&gt;=2,"At risk","OK")</f>
        <v>At risk</v>
      </c>
    </row>
    <row r="228" spans="1:18">
      <c r="A228" t="str">
        <f t="shared" si="3"/>
        <v>Stu-227</v>
      </c>
      <c r="B228" t="s">
        <v>11</v>
      </c>
      <c r="C228" t="s">
        <v>19</v>
      </c>
      <c r="D228" t="s">
        <v>20</v>
      </c>
      <c r="E228" t="s">
        <v>14</v>
      </c>
      <c r="F228" t="s">
        <v>15</v>
      </c>
      <c r="G228" s="16">
        <v>72</v>
      </c>
      <c r="H228">
        <f>RANK(G228,$G$2:$G$1001,0)+COUNTIF($G$2:G228,G228)-1</f>
        <v>352</v>
      </c>
      <c r="I228" t="str">
        <f>INDEX('Boundary table'!$B$3:$B$7,MATCH(G228,'Boundary table'!$A$3:$A$7,1))</f>
        <v>C</v>
      </c>
      <c r="J228" s="16">
        <v>72</v>
      </c>
      <c r="K228">
        <f>RANK(J228,$J$2:$J$1001,0)+COUNTIF($J$2:J228,J228)-1</f>
        <v>441</v>
      </c>
      <c r="L228" t="str">
        <f>INDEX('Boundary table'!$B$3:$B$7,MATCH(J228,'Boundary table'!$A$3:$A$7,1))</f>
        <v>C</v>
      </c>
      <c r="M228" s="16">
        <v>71</v>
      </c>
      <c r="N228">
        <f>RANK(M228,$M$2:$M$1001,0)+COUNTIF($M$2:M228,M228)-1</f>
        <v>442</v>
      </c>
      <c r="O228" t="str">
        <f>INDEX('Boundary table'!$B$3:$B$7,MATCH(M228,'Boundary table'!$A$3:$A$7))</f>
        <v>C</v>
      </c>
      <c r="P228">
        <f>Table1[[#This Row],[Math Score]]+Table1[[#This Row],[Reading Score]]+Table1[[#This Row],[Writing Score]]</f>
        <v>215</v>
      </c>
      <c r="Q228" s="16">
        <f>COUNTIF(Table1[[#This Row],[Math Score]],"&lt;60")+COUNTIF(Table1[[#This Row],[Reading Score]],"&lt;60")+COUNTIF(Table1[[#This Row],[Writing Score]],"&lt;60")</f>
        <v>0</v>
      </c>
      <c r="R228" t="str">
        <f>IF(Table1[[#This Row],[Fail Count]]&gt;=2,"At risk","OK")</f>
        <v>OK</v>
      </c>
    </row>
    <row r="229" spans="1:18">
      <c r="A229" t="str">
        <f t="shared" si="3"/>
        <v>Stu-228</v>
      </c>
      <c r="B229" t="s">
        <v>27</v>
      </c>
      <c r="C229" t="s">
        <v>31</v>
      </c>
      <c r="D229" t="s">
        <v>32</v>
      </c>
      <c r="E229" t="s">
        <v>14</v>
      </c>
      <c r="F229" t="s">
        <v>15</v>
      </c>
      <c r="G229" s="16">
        <v>57</v>
      </c>
      <c r="H229">
        <f>RANK(G229,$G$2:$G$1001,0)+COUNTIF($G$2:G229,G229)-1</f>
        <v>739</v>
      </c>
      <c r="I229" t="str">
        <f>INDEX('Boundary table'!$B$3:$B$7,MATCH(G229,'Boundary table'!$A$3:$A$7,1))</f>
        <v>F</v>
      </c>
      <c r="J229" s="16">
        <v>50</v>
      </c>
      <c r="K229">
        <f>RANK(J229,$J$2:$J$1001,0)+COUNTIF($J$2:J229,J229)-1</f>
        <v>905</v>
      </c>
      <c r="L229" t="str">
        <f>INDEX('Boundary table'!$B$3:$B$7,MATCH(J229,'Boundary table'!$A$3:$A$7,1))</f>
        <v>F</v>
      </c>
      <c r="M229" s="16">
        <v>54</v>
      </c>
      <c r="N229">
        <f>RANK(M229,$M$2:$M$1001,0)+COUNTIF($M$2:M229,M229)-1</f>
        <v>805</v>
      </c>
      <c r="O229" t="str">
        <f>INDEX('Boundary table'!$B$3:$B$7,MATCH(M229,'Boundary table'!$A$3:$A$7))</f>
        <v>F</v>
      </c>
      <c r="P229">
        <f>Table1[[#This Row],[Math Score]]+Table1[[#This Row],[Reading Score]]+Table1[[#This Row],[Writing Score]]</f>
        <v>161</v>
      </c>
      <c r="Q229" s="16">
        <f>COUNTIF(Table1[[#This Row],[Math Score]],"&lt;60")+COUNTIF(Table1[[#This Row],[Reading Score]],"&lt;60")+COUNTIF(Table1[[#This Row],[Writing Score]],"&lt;60")</f>
        <v>3</v>
      </c>
      <c r="R229" t="str">
        <f>IF(Table1[[#This Row],[Fail Count]]&gt;=2,"At risk","OK")</f>
        <v>At risk</v>
      </c>
    </row>
    <row r="230" spans="1:18">
      <c r="A230" t="str">
        <f t="shared" si="3"/>
        <v>Stu-229</v>
      </c>
      <c r="B230" t="s">
        <v>27</v>
      </c>
      <c r="C230" t="s">
        <v>28</v>
      </c>
      <c r="D230" t="s">
        <v>33</v>
      </c>
      <c r="E230" t="s">
        <v>30</v>
      </c>
      <c r="F230" t="s">
        <v>15</v>
      </c>
      <c r="G230" s="16">
        <v>68</v>
      </c>
      <c r="H230">
        <f>RANK(G230,$G$2:$G$1001,0)+COUNTIF($G$2:G230,G230)-1</f>
        <v>445</v>
      </c>
      <c r="I230" t="str">
        <f>INDEX('Boundary table'!$B$3:$B$7,MATCH(G230,'Boundary table'!$A$3:$A$7,1))</f>
        <v>D</v>
      </c>
      <c r="J230" s="16">
        <v>72</v>
      </c>
      <c r="K230">
        <f>RANK(J230,$J$2:$J$1001,0)+COUNTIF($J$2:J230,J230)-1</f>
        <v>442</v>
      </c>
      <c r="L230" t="str">
        <f>INDEX('Boundary table'!$B$3:$B$7,MATCH(J230,'Boundary table'!$A$3:$A$7,1))</f>
        <v>C</v>
      </c>
      <c r="M230" s="16">
        <v>64</v>
      </c>
      <c r="N230">
        <f>RANK(M230,$M$2:$M$1001,0)+COUNTIF($M$2:M230,M230)-1</f>
        <v>618</v>
      </c>
      <c r="O230" t="str">
        <f>INDEX('Boundary table'!$B$3:$B$7,MATCH(M230,'Boundary table'!$A$3:$A$7))</f>
        <v>D</v>
      </c>
      <c r="P230">
        <f>Table1[[#This Row],[Math Score]]+Table1[[#This Row],[Reading Score]]+Table1[[#This Row],[Writing Score]]</f>
        <v>204</v>
      </c>
      <c r="Q230" s="16">
        <f>COUNTIF(Table1[[#This Row],[Math Score]],"&lt;60")+COUNTIF(Table1[[#This Row],[Reading Score]],"&lt;60")+COUNTIF(Table1[[#This Row],[Writing Score]],"&lt;60")</f>
        <v>0</v>
      </c>
      <c r="R230" t="str">
        <f>IF(Table1[[#This Row],[Fail Count]]&gt;=2,"At risk","OK")</f>
        <v>OK</v>
      </c>
    </row>
    <row r="231" spans="1:18">
      <c r="A231" t="str">
        <f t="shared" si="3"/>
        <v>Stu-230</v>
      </c>
      <c r="B231" t="s">
        <v>11</v>
      </c>
      <c r="C231" t="s">
        <v>19</v>
      </c>
      <c r="D231" t="s">
        <v>20</v>
      </c>
      <c r="E231" t="s">
        <v>14</v>
      </c>
      <c r="F231" t="s">
        <v>21</v>
      </c>
      <c r="G231" s="16">
        <v>88</v>
      </c>
      <c r="H231">
        <f>RANK(G231,$G$2:$G$1001,0)+COUNTIF($G$2:G231,G231)-1</f>
        <v>71</v>
      </c>
      <c r="I231" t="str">
        <f>INDEX('Boundary table'!$B$3:$B$7,MATCH(G231,'Boundary table'!$A$3:$A$7,1))</f>
        <v>B</v>
      </c>
      <c r="J231" s="16">
        <v>95</v>
      </c>
      <c r="K231">
        <f>RANK(J231,$J$2:$J$1001,0)+COUNTIF($J$2:J231,J231)-1</f>
        <v>33</v>
      </c>
      <c r="L231" t="str">
        <f>INDEX('Boundary table'!$B$3:$B$7,MATCH(J231,'Boundary table'!$A$3:$A$7,1))</f>
        <v>A</v>
      </c>
      <c r="M231" s="16">
        <v>94</v>
      </c>
      <c r="N231">
        <f>RANK(M231,$M$2:$M$1001,0)+COUNTIF($M$2:M231,M231)-1</f>
        <v>35</v>
      </c>
      <c r="O231" t="str">
        <f>INDEX('Boundary table'!$B$3:$B$7,MATCH(M231,'Boundary table'!$A$3:$A$7))</f>
        <v>A</v>
      </c>
      <c r="P231">
        <f>Table1[[#This Row],[Math Score]]+Table1[[#This Row],[Reading Score]]+Table1[[#This Row],[Writing Score]]</f>
        <v>277</v>
      </c>
      <c r="Q231" s="16">
        <f>COUNTIF(Table1[[#This Row],[Math Score]],"&lt;60")+COUNTIF(Table1[[#This Row],[Reading Score]],"&lt;60")+COUNTIF(Table1[[#This Row],[Writing Score]],"&lt;60")</f>
        <v>0</v>
      </c>
      <c r="R231" t="str">
        <f>IF(Table1[[#This Row],[Fail Count]]&gt;=2,"At risk","OK")</f>
        <v>OK</v>
      </c>
    </row>
    <row r="232" spans="1:18">
      <c r="A232" t="str">
        <f t="shared" si="3"/>
        <v>Stu-231</v>
      </c>
      <c r="B232" t="s">
        <v>27</v>
      </c>
      <c r="C232" t="s">
        <v>31</v>
      </c>
      <c r="D232" t="s">
        <v>20</v>
      </c>
      <c r="E232" t="s">
        <v>14</v>
      </c>
      <c r="F232" t="s">
        <v>15</v>
      </c>
      <c r="G232" s="16">
        <v>76</v>
      </c>
      <c r="H232">
        <f>RANK(G232,$G$2:$G$1001,0)+COUNTIF($G$2:G232,G232)-1</f>
        <v>258</v>
      </c>
      <c r="I232" t="str">
        <f>INDEX('Boundary table'!$B$3:$B$7,MATCH(G232,'Boundary table'!$A$3:$A$7,1))</f>
        <v>C</v>
      </c>
      <c r="J232" s="16">
        <v>64</v>
      </c>
      <c r="K232">
        <f>RANK(J232,$J$2:$J$1001,0)+COUNTIF($J$2:J232,J232)-1</f>
        <v>636</v>
      </c>
      <c r="L232" t="str">
        <f>INDEX('Boundary table'!$B$3:$B$7,MATCH(J232,'Boundary table'!$A$3:$A$7,1))</f>
        <v>D</v>
      </c>
      <c r="M232" s="16">
        <v>66</v>
      </c>
      <c r="N232">
        <f>RANK(M232,$M$2:$M$1001,0)+COUNTIF($M$2:M232,M232)-1</f>
        <v>575</v>
      </c>
      <c r="O232" t="str">
        <f>INDEX('Boundary table'!$B$3:$B$7,MATCH(M232,'Boundary table'!$A$3:$A$7))</f>
        <v>D</v>
      </c>
      <c r="P232">
        <f>Table1[[#This Row],[Math Score]]+Table1[[#This Row],[Reading Score]]+Table1[[#This Row],[Writing Score]]</f>
        <v>206</v>
      </c>
      <c r="Q232" s="16">
        <f>COUNTIF(Table1[[#This Row],[Math Score]],"&lt;60")+COUNTIF(Table1[[#This Row],[Reading Score]],"&lt;60")+COUNTIF(Table1[[#This Row],[Writing Score]],"&lt;60")</f>
        <v>0</v>
      </c>
      <c r="R232" t="str">
        <f>IF(Table1[[#This Row],[Fail Count]]&gt;=2,"At risk","OK")</f>
        <v>OK</v>
      </c>
    </row>
    <row r="233" spans="1:18">
      <c r="A233" t="str">
        <f t="shared" si="3"/>
        <v>Stu-232</v>
      </c>
      <c r="B233" t="s">
        <v>27</v>
      </c>
      <c r="C233" t="s">
        <v>19</v>
      </c>
      <c r="D233" t="s">
        <v>29</v>
      </c>
      <c r="E233" t="s">
        <v>14</v>
      </c>
      <c r="F233" t="s">
        <v>15</v>
      </c>
      <c r="G233" s="16">
        <v>46</v>
      </c>
      <c r="H233">
        <f>RANK(G233,$G$2:$G$1001,0)+COUNTIF($G$2:G233,G233)-1</f>
        <v>908</v>
      </c>
      <c r="I233" t="str">
        <f>INDEX('Boundary table'!$B$3:$B$7,MATCH(G233,'Boundary table'!$A$3:$A$7,1))</f>
        <v>F</v>
      </c>
      <c r="J233" s="16">
        <v>43</v>
      </c>
      <c r="K233">
        <f>RANK(J233,$J$2:$J$1001,0)+COUNTIF($J$2:J233,J233)-1</f>
        <v>954</v>
      </c>
      <c r="L233" t="str">
        <f>INDEX('Boundary table'!$B$3:$B$7,MATCH(J233,'Boundary table'!$A$3:$A$7,1))</f>
        <v>F</v>
      </c>
      <c r="M233" s="16">
        <v>42</v>
      </c>
      <c r="N233">
        <f>RANK(M233,$M$2:$M$1001,0)+COUNTIF($M$2:M233,M233)-1</f>
        <v>953</v>
      </c>
      <c r="O233" t="str">
        <f>INDEX('Boundary table'!$B$3:$B$7,MATCH(M233,'Boundary table'!$A$3:$A$7))</f>
        <v>F</v>
      </c>
      <c r="P233">
        <f>Table1[[#This Row],[Math Score]]+Table1[[#This Row],[Reading Score]]+Table1[[#This Row],[Writing Score]]</f>
        <v>131</v>
      </c>
      <c r="Q233" s="16">
        <f>COUNTIF(Table1[[#This Row],[Math Score]],"&lt;60")+COUNTIF(Table1[[#This Row],[Reading Score]],"&lt;60")+COUNTIF(Table1[[#This Row],[Writing Score]],"&lt;60")</f>
        <v>3</v>
      </c>
      <c r="R233" t="str">
        <f>IF(Table1[[#This Row],[Fail Count]]&gt;=2,"At risk","OK")</f>
        <v>At risk</v>
      </c>
    </row>
    <row r="234" spans="1:18">
      <c r="A234" t="str">
        <f t="shared" si="3"/>
        <v>Stu-233</v>
      </c>
      <c r="B234" t="s">
        <v>11</v>
      </c>
      <c r="C234" t="s">
        <v>12</v>
      </c>
      <c r="D234" t="s">
        <v>13</v>
      </c>
      <c r="E234" t="s">
        <v>14</v>
      </c>
      <c r="F234" t="s">
        <v>15</v>
      </c>
      <c r="G234" s="16">
        <v>67</v>
      </c>
      <c r="H234">
        <f>RANK(G234,$G$2:$G$1001,0)+COUNTIF($G$2:G234,G234)-1</f>
        <v>472</v>
      </c>
      <c r="I234" t="str">
        <f>INDEX('Boundary table'!$B$3:$B$7,MATCH(G234,'Boundary table'!$A$3:$A$7,1))</f>
        <v>D</v>
      </c>
      <c r="J234" s="16">
        <v>86</v>
      </c>
      <c r="K234">
        <f>RANK(J234,$J$2:$J$1001,0)+COUNTIF($J$2:J234,J234)-1</f>
        <v>120</v>
      </c>
      <c r="L234" t="str">
        <f>INDEX('Boundary table'!$B$3:$B$7,MATCH(J234,'Boundary table'!$A$3:$A$7,1))</f>
        <v>B</v>
      </c>
      <c r="M234" s="16">
        <v>83</v>
      </c>
      <c r="N234">
        <f>RANK(M234,$M$2:$M$1001,0)+COUNTIF($M$2:M234,M234)-1</f>
        <v>153</v>
      </c>
      <c r="O234" t="str">
        <f>INDEX('Boundary table'!$B$3:$B$7,MATCH(M234,'Boundary table'!$A$3:$A$7))</f>
        <v>B</v>
      </c>
      <c r="P234">
        <f>Table1[[#This Row],[Math Score]]+Table1[[#This Row],[Reading Score]]+Table1[[#This Row],[Writing Score]]</f>
        <v>236</v>
      </c>
      <c r="Q234" s="16">
        <f>COUNTIF(Table1[[#This Row],[Math Score]],"&lt;60")+COUNTIF(Table1[[#This Row],[Reading Score]],"&lt;60")+COUNTIF(Table1[[#This Row],[Writing Score]],"&lt;60")</f>
        <v>0</v>
      </c>
      <c r="R234" t="str">
        <f>IF(Table1[[#This Row],[Fail Count]]&gt;=2,"At risk","OK")</f>
        <v>OK</v>
      </c>
    </row>
    <row r="235" spans="1:18">
      <c r="A235" t="str">
        <f t="shared" si="3"/>
        <v>Stu-234</v>
      </c>
      <c r="B235" t="s">
        <v>27</v>
      </c>
      <c r="C235" t="s">
        <v>34</v>
      </c>
      <c r="D235" t="s">
        <v>33</v>
      </c>
      <c r="E235" t="s">
        <v>14</v>
      </c>
      <c r="F235" t="s">
        <v>15</v>
      </c>
      <c r="G235" s="16">
        <v>92</v>
      </c>
      <c r="H235">
        <f>RANK(G235,$G$2:$G$1001,0)+COUNTIF($G$2:G235,G235)-1</f>
        <v>36</v>
      </c>
      <c r="I235" t="str">
        <f>INDEX('Boundary table'!$B$3:$B$7,MATCH(G235,'Boundary table'!$A$3:$A$7,1))</f>
        <v>A</v>
      </c>
      <c r="J235" s="16">
        <v>87</v>
      </c>
      <c r="K235">
        <f>RANK(J235,$J$2:$J$1001,0)+COUNTIF($J$2:J235,J235)-1</f>
        <v>102</v>
      </c>
      <c r="L235" t="str">
        <f>INDEX('Boundary table'!$B$3:$B$7,MATCH(J235,'Boundary table'!$A$3:$A$7,1))</f>
        <v>B</v>
      </c>
      <c r="M235" s="16">
        <v>78</v>
      </c>
      <c r="N235">
        <f>RANK(M235,$M$2:$M$1001,0)+COUNTIF($M$2:M235,M235)-1</f>
        <v>263</v>
      </c>
      <c r="O235" t="str">
        <f>INDEX('Boundary table'!$B$3:$B$7,MATCH(M235,'Boundary table'!$A$3:$A$7))</f>
        <v>C</v>
      </c>
      <c r="P235">
        <f>Table1[[#This Row],[Math Score]]+Table1[[#This Row],[Reading Score]]+Table1[[#This Row],[Writing Score]]</f>
        <v>257</v>
      </c>
      <c r="Q235" s="16">
        <f>COUNTIF(Table1[[#This Row],[Math Score]],"&lt;60")+COUNTIF(Table1[[#This Row],[Reading Score]],"&lt;60")+COUNTIF(Table1[[#This Row],[Writing Score]],"&lt;60")</f>
        <v>0</v>
      </c>
      <c r="R235" t="str">
        <f>IF(Table1[[#This Row],[Fail Count]]&gt;=2,"At risk","OK")</f>
        <v>OK</v>
      </c>
    </row>
    <row r="236" spans="1:18">
      <c r="A236" t="str">
        <f t="shared" si="3"/>
        <v>Stu-235</v>
      </c>
      <c r="B236" t="s">
        <v>27</v>
      </c>
      <c r="C236" t="s">
        <v>19</v>
      </c>
      <c r="D236" t="s">
        <v>13</v>
      </c>
      <c r="E236" t="s">
        <v>14</v>
      </c>
      <c r="F236" t="s">
        <v>21</v>
      </c>
      <c r="G236" s="16">
        <v>83</v>
      </c>
      <c r="H236">
        <f>RANK(G236,$G$2:$G$1001,0)+COUNTIF($G$2:G236,G236)-1</f>
        <v>131</v>
      </c>
      <c r="I236" t="str">
        <f>INDEX('Boundary table'!$B$3:$B$7,MATCH(G236,'Boundary table'!$A$3:$A$7,1))</f>
        <v>B</v>
      </c>
      <c r="J236" s="16">
        <v>82</v>
      </c>
      <c r="K236">
        <f>RANK(J236,$J$2:$J$1001,0)+COUNTIF($J$2:J236,J236)-1</f>
        <v>193</v>
      </c>
      <c r="L236" t="str">
        <f>INDEX('Boundary table'!$B$3:$B$7,MATCH(J236,'Boundary table'!$A$3:$A$7,1))</f>
        <v>B</v>
      </c>
      <c r="M236" s="16">
        <v>84</v>
      </c>
      <c r="N236">
        <f>RANK(M236,$M$2:$M$1001,0)+COUNTIF($M$2:M236,M236)-1</f>
        <v>137</v>
      </c>
      <c r="O236" t="str">
        <f>INDEX('Boundary table'!$B$3:$B$7,MATCH(M236,'Boundary table'!$A$3:$A$7))</f>
        <v>B</v>
      </c>
      <c r="P236">
        <f>Table1[[#This Row],[Math Score]]+Table1[[#This Row],[Reading Score]]+Table1[[#This Row],[Writing Score]]</f>
        <v>249</v>
      </c>
      <c r="Q236" s="16">
        <f>COUNTIF(Table1[[#This Row],[Math Score]],"&lt;60")+COUNTIF(Table1[[#This Row],[Reading Score]],"&lt;60")+COUNTIF(Table1[[#This Row],[Writing Score]],"&lt;60")</f>
        <v>0</v>
      </c>
      <c r="R236" t="str">
        <f>IF(Table1[[#This Row],[Fail Count]]&gt;=2,"At risk","OK")</f>
        <v>OK</v>
      </c>
    </row>
    <row r="237" spans="1:18">
      <c r="A237" t="str">
        <f t="shared" si="3"/>
        <v>Stu-236</v>
      </c>
      <c r="B237" t="s">
        <v>27</v>
      </c>
      <c r="C237" t="s">
        <v>31</v>
      </c>
      <c r="D237" t="s">
        <v>29</v>
      </c>
      <c r="E237" t="s">
        <v>14</v>
      </c>
      <c r="F237" t="s">
        <v>15</v>
      </c>
      <c r="G237" s="16">
        <v>80</v>
      </c>
      <c r="H237">
        <f>RANK(G237,$G$2:$G$1001,0)+COUNTIF($G$2:G237,G237)-1</f>
        <v>180</v>
      </c>
      <c r="I237" t="str">
        <f>INDEX('Boundary table'!$B$3:$B$7,MATCH(G237,'Boundary table'!$A$3:$A$7,1))</f>
        <v>B</v>
      </c>
      <c r="J237" s="16">
        <v>75</v>
      </c>
      <c r="K237">
        <f>RANK(J237,$J$2:$J$1001,0)+COUNTIF($J$2:J237,J237)-1</f>
        <v>349</v>
      </c>
      <c r="L237" t="str">
        <f>INDEX('Boundary table'!$B$3:$B$7,MATCH(J237,'Boundary table'!$A$3:$A$7,1))</f>
        <v>C</v>
      </c>
      <c r="M237" s="16">
        <v>77</v>
      </c>
      <c r="N237">
        <f>RANK(M237,$M$2:$M$1001,0)+COUNTIF($M$2:M237,M237)-1</f>
        <v>282</v>
      </c>
      <c r="O237" t="str">
        <f>INDEX('Boundary table'!$B$3:$B$7,MATCH(M237,'Boundary table'!$A$3:$A$7))</f>
        <v>C</v>
      </c>
      <c r="P237">
        <f>Table1[[#This Row],[Math Score]]+Table1[[#This Row],[Reading Score]]+Table1[[#This Row],[Writing Score]]</f>
        <v>232</v>
      </c>
      <c r="Q237" s="16">
        <f>COUNTIF(Table1[[#This Row],[Math Score]],"&lt;60")+COUNTIF(Table1[[#This Row],[Reading Score]],"&lt;60")+COUNTIF(Table1[[#This Row],[Writing Score]],"&lt;60")</f>
        <v>0</v>
      </c>
      <c r="R237" t="str">
        <f>IF(Table1[[#This Row],[Fail Count]]&gt;=2,"At risk","OK")</f>
        <v>OK</v>
      </c>
    </row>
    <row r="238" spans="1:18">
      <c r="A238" t="str">
        <f t="shared" si="3"/>
        <v>Stu-237</v>
      </c>
      <c r="B238" t="s">
        <v>27</v>
      </c>
      <c r="C238" t="s">
        <v>31</v>
      </c>
      <c r="D238" t="s">
        <v>13</v>
      </c>
      <c r="E238" t="s">
        <v>30</v>
      </c>
      <c r="F238" t="s">
        <v>15</v>
      </c>
      <c r="G238" s="16">
        <v>63</v>
      </c>
      <c r="H238">
        <f>RANK(G238,$G$2:$G$1001,0)+COUNTIF($G$2:G238,G238)-1</f>
        <v>579</v>
      </c>
      <c r="I238" t="str">
        <f>INDEX('Boundary table'!$B$3:$B$7,MATCH(G238,'Boundary table'!$A$3:$A$7,1))</f>
        <v>D</v>
      </c>
      <c r="J238" s="16">
        <v>66</v>
      </c>
      <c r="K238">
        <f>RANK(J238,$J$2:$J$1001,0)+COUNTIF($J$2:J238,J238)-1</f>
        <v>586</v>
      </c>
      <c r="L238" t="str">
        <f>INDEX('Boundary table'!$B$3:$B$7,MATCH(J238,'Boundary table'!$A$3:$A$7,1))</f>
        <v>D</v>
      </c>
      <c r="M238" s="16">
        <v>67</v>
      </c>
      <c r="N238">
        <f>RANK(M238,$M$2:$M$1001,0)+COUNTIF($M$2:M238,M238)-1</f>
        <v>549</v>
      </c>
      <c r="O238" t="str">
        <f>INDEX('Boundary table'!$B$3:$B$7,MATCH(M238,'Boundary table'!$A$3:$A$7))</f>
        <v>D</v>
      </c>
      <c r="P238">
        <f>Table1[[#This Row],[Math Score]]+Table1[[#This Row],[Reading Score]]+Table1[[#This Row],[Writing Score]]</f>
        <v>196</v>
      </c>
      <c r="Q238" s="16">
        <f>COUNTIF(Table1[[#This Row],[Math Score]],"&lt;60")+COUNTIF(Table1[[#This Row],[Reading Score]],"&lt;60")+COUNTIF(Table1[[#This Row],[Writing Score]],"&lt;60")</f>
        <v>0</v>
      </c>
      <c r="R238" t="str">
        <f>IF(Table1[[#This Row],[Fail Count]]&gt;=2,"At risk","OK")</f>
        <v>OK</v>
      </c>
    </row>
    <row r="239" spans="1:18">
      <c r="A239" t="str">
        <f t="shared" si="3"/>
        <v>Stu-238</v>
      </c>
      <c r="B239" t="s">
        <v>11</v>
      </c>
      <c r="C239" t="s">
        <v>31</v>
      </c>
      <c r="D239" t="s">
        <v>33</v>
      </c>
      <c r="E239" t="s">
        <v>14</v>
      </c>
      <c r="F239" t="s">
        <v>21</v>
      </c>
      <c r="G239" s="16">
        <v>64</v>
      </c>
      <c r="H239">
        <f>RANK(G239,$G$2:$G$1001,0)+COUNTIF($G$2:G239,G239)-1</f>
        <v>555</v>
      </c>
      <c r="I239" t="str">
        <f>INDEX('Boundary table'!$B$3:$B$7,MATCH(G239,'Boundary table'!$A$3:$A$7,1))</f>
        <v>D</v>
      </c>
      <c r="J239" s="16">
        <v>60</v>
      </c>
      <c r="K239">
        <f>RANK(J239,$J$2:$J$1001,0)+COUNTIF($J$2:J239,J239)-1</f>
        <v>728</v>
      </c>
      <c r="L239" t="str">
        <f>INDEX('Boundary table'!$B$3:$B$7,MATCH(J239,'Boundary table'!$A$3:$A$7,1))</f>
        <v>D</v>
      </c>
      <c r="M239" s="16">
        <v>74</v>
      </c>
      <c r="N239">
        <f>RANK(M239,$M$2:$M$1001,0)+COUNTIF($M$2:M239,M239)-1</f>
        <v>363</v>
      </c>
      <c r="O239" t="str">
        <f>INDEX('Boundary table'!$B$3:$B$7,MATCH(M239,'Boundary table'!$A$3:$A$7))</f>
        <v>C</v>
      </c>
      <c r="P239">
        <f>Table1[[#This Row],[Math Score]]+Table1[[#This Row],[Reading Score]]+Table1[[#This Row],[Writing Score]]</f>
        <v>198</v>
      </c>
      <c r="Q239" s="16">
        <f>COUNTIF(Table1[[#This Row],[Math Score]],"&lt;60")+COUNTIF(Table1[[#This Row],[Reading Score]],"&lt;60")+COUNTIF(Table1[[#This Row],[Writing Score]],"&lt;60")</f>
        <v>0</v>
      </c>
      <c r="R239" t="str">
        <f>IF(Table1[[#This Row],[Fail Count]]&gt;=2,"At risk","OK")</f>
        <v>OK</v>
      </c>
    </row>
    <row r="240" spans="1:18">
      <c r="A240" t="str">
        <f t="shared" si="3"/>
        <v>Stu-239</v>
      </c>
      <c r="B240" t="s">
        <v>27</v>
      </c>
      <c r="C240" t="s">
        <v>12</v>
      </c>
      <c r="D240" t="s">
        <v>20</v>
      </c>
      <c r="E240" t="s">
        <v>14</v>
      </c>
      <c r="F240" t="s">
        <v>15</v>
      </c>
      <c r="G240" s="16">
        <v>54</v>
      </c>
      <c r="H240">
        <f>RANK(G240,$G$2:$G$1001,0)+COUNTIF($G$2:G240,G240)-1</f>
        <v>783</v>
      </c>
      <c r="I240" t="str">
        <f>INDEX('Boundary table'!$B$3:$B$7,MATCH(G240,'Boundary table'!$A$3:$A$7,1))</f>
        <v>F</v>
      </c>
      <c r="J240" s="16">
        <v>52</v>
      </c>
      <c r="K240">
        <f>RANK(J240,$J$2:$J$1001,0)+COUNTIF($J$2:J240,J240)-1</f>
        <v>875</v>
      </c>
      <c r="L240" t="str">
        <f>INDEX('Boundary table'!$B$3:$B$7,MATCH(J240,'Boundary table'!$A$3:$A$7,1))</f>
        <v>F</v>
      </c>
      <c r="M240" s="16">
        <v>51</v>
      </c>
      <c r="N240">
        <f>RANK(M240,$M$2:$M$1001,0)+COUNTIF($M$2:M240,M240)-1</f>
        <v>863</v>
      </c>
      <c r="O240" t="str">
        <f>INDEX('Boundary table'!$B$3:$B$7,MATCH(M240,'Boundary table'!$A$3:$A$7))</f>
        <v>F</v>
      </c>
      <c r="P240">
        <f>Table1[[#This Row],[Math Score]]+Table1[[#This Row],[Reading Score]]+Table1[[#This Row],[Writing Score]]</f>
        <v>157</v>
      </c>
      <c r="Q240" s="16">
        <f>COUNTIF(Table1[[#This Row],[Math Score]],"&lt;60")+COUNTIF(Table1[[#This Row],[Reading Score]],"&lt;60")+COUNTIF(Table1[[#This Row],[Writing Score]],"&lt;60")</f>
        <v>3</v>
      </c>
      <c r="R240" t="str">
        <f>IF(Table1[[#This Row],[Fail Count]]&gt;=2,"At risk","OK")</f>
        <v>At risk</v>
      </c>
    </row>
    <row r="241" spans="1:18">
      <c r="A241" t="str">
        <f t="shared" si="3"/>
        <v>Stu-240</v>
      </c>
      <c r="B241" t="s">
        <v>27</v>
      </c>
      <c r="C241" t="s">
        <v>19</v>
      </c>
      <c r="D241" t="s">
        <v>29</v>
      </c>
      <c r="E241" t="s">
        <v>14</v>
      </c>
      <c r="F241" t="s">
        <v>15</v>
      </c>
      <c r="G241" s="16">
        <v>84</v>
      </c>
      <c r="H241">
        <f>RANK(G241,$G$2:$G$1001,0)+COUNTIF($G$2:G241,G241)-1</f>
        <v>120</v>
      </c>
      <c r="I241" t="str">
        <f>INDEX('Boundary table'!$B$3:$B$7,MATCH(G241,'Boundary table'!$A$3:$A$7,1))</f>
        <v>B</v>
      </c>
      <c r="J241" s="16">
        <v>80</v>
      </c>
      <c r="K241">
        <f>RANK(J241,$J$2:$J$1001,0)+COUNTIF($J$2:J241,J241)-1</f>
        <v>241</v>
      </c>
      <c r="L241" t="str">
        <f>INDEX('Boundary table'!$B$3:$B$7,MATCH(J241,'Boundary table'!$A$3:$A$7,1))</f>
        <v>B</v>
      </c>
      <c r="M241" s="16">
        <v>80</v>
      </c>
      <c r="N241">
        <f>RANK(M241,$M$2:$M$1001,0)+COUNTIF($M$2:M241,M241)-1</f>
        <v>210</v>
      </c>
      <c r="O241" t="str">
        <f>INDEX('Boundary table'!$B$3:$B$7,MATCH(M241,'Boundary table'!$A$3:$A$7))</f>
        <v>B</v>
      </c>
      <c r="P241">
        <f>Table1[[#This Row],[Math Score]]+Table1[[#This Row],[Reading Score]]+Table1[[#This Row],[Writing Score]]</f>
        <v>244</v>
      </c>
      <c r="Q241" s="16">
        <f>COUNTIF(Table1[[#This Row],[Math Score]],"&lt;60")+COUNTIF(Table1[[#This Row],[Reading Score]],"&lt;60")+COUNTIF(Table1[[#This Row],[Writing Score]],"&lt;60")</f>
        <v>0</v>
      </c>
      <c r="R241" t="str">
        <f>IF(Table1[[#This Row],[Fail Count]]&gt;=2,"At risk","OK")</f>
        <v>OK</v>
      </c>
    </row>
    <row r="242" spans="1:18">
      <c r="A242" t="str">
        <f t="shared" si="3"/>
        <v>Stu-241</v>
      </c>
      <c r="B242" t="s">
        <v>27</v>
      </c>
      <c r="C242" t="s">
        <v>31</v>
      </c>
      <c r="D242" t="s">
        <v>32</v>
      </c>
      <c r="E242" t="s">
        <v>30</v>
      </c>
      <c r="F242" t="s">
        <v>21</v>
      </c>
      <c r="G242" s="16">
        <v>73</v>
      </c>
      <c r="H242">
        <f>RANK(G242,$G$2:$G$1001,0)+COUNTIF($G$2:G242,G242)-1</f>
        <v>325</v>
      </c>
      <c r="I242" t="str">
        <f>INDEX('Boundary table'!$B$3:$B$7,MATCH(G242,'Boundary table'!$A$3:$A$7,1))</f>
        <v>C</v>
      </c>
      <c r="J242" s="16">
        <v>68</v>
      </c>
      <c r="K242">
        <f>RANK(J242,$J$2:$J$1001,0)+COUNTIF($J$2:J242,J242)-1</f>
        <v>534</v>
      </c>
      <c r="L242" t="str">
        <f>INDEX('Boundary table'!$B$3:$B$7,MATCH(J242,'Boundary table'!$A$3:$A$7,1))</f>
        <v>D</v>
      </c>
      <c r="M242" s="16">
        <v>66</v>
      </c>
      <c r="N242">
        <f>RANK(M242,$M$2:$M$1001,0)+COUNTIF($M$2:M242,M242)-1</f>
        <v>576</v>
      </c>
      <c r="O242" t="str">
        <f>INDEX('Boundary table'!$B$3:$B$7,MATCH(M242,'Boundary table'!$A$3:$A$7))</f>
        <v>D</v>
      </c>
      <c r="P242">
        <f>Table1[[#This Row],[Math Score]]+Table1[[#This Row],[Reading Score]]+Table1[[#This Row],[Writing Score]]</f>
        <v>207</v>
      </c>
      <c r="Q242" s="16">
        <f>COUNTIF(Table1[[#This Row],[Math Score]],"&lt;60")+COUNTIF(Table1[[#This Row],[Reading Score]],"&lt;60")+COUNTIF(Table1[[#This Row],[Writing Score]],"&lt;60")</f>
        <v>0</v>
      </c>
      <c r="R242" t="str">
        <f>IF(Table1[[#This Row],[Fail Count]]&gt;=2,"At risk","OK")</f>
        <v>OK</v>
      </c>
    </row>
    <row r="243" spans="1:18">
      <c r="A243" t="str">
        <f t="shared" si="3"/>
        <v>Stu-242</v>
      </c>
      <c r="B243" t="s">
        <v>11</v>
      </c>
      <c r="C243" t="s">
        <v>34</v>
      </c>
      <c r="D243" t="s">
        <v>13</v>
      </c>
      <c r="E243" t="s">
        <v>14</v>
      </c>
      <c r="F243" t="s">
        <v>15</v>
      </c>
      <c r="G243" s="16">
        <v>80</v>
      </c>
      <c r="H243">
        <f>RANK(G243,$G$2:$G$1001,0)+COUNTIF($G$2:G243,G243)-1</f>
        <v>181</v>
      </c>
      <c r="I243" t="str">
        <f>INDEX('Boundary table'!$B$3:$B$7,MATCH(G243,'Boundary table'!$A$3:$A$7,1))</f>
        <v>B</v>
      </c>
      <c r="J243" s="16">
        <v>83</v>
      </c>
      <c r="K243">
        <f>RANK(J243,$J$2:$J$1001,0)+COUNTIF($J$2:J243,J243)-1</f>
        <v>182</v>
      </c>
      <c r="L243" t="str">
        <f>INDEX('Boundary table'!$B$3:$B$7,MATCH(J243,'Boundary table'!$A$3:$A$7,1))</f>
        <v>B</v>
      </c>
      <c r="M243" s="16">
        <v>83</v>
      </c>
      <c r="N243">
        <f>RANK(M243,$M$2:$M$1001,0)+COUNTIF($M$2:M243,M243)-1</f>
        <v>154</v>
      </c>
      <c r="O243" t="str">
        <f>INDEX('Boundary table'!$B$3:$B$7,MATCH(M243,'Boundary table'!$A$3:$A$7))</f>
        <v>B</v>
      </c>
      <c r="P243">
        <f>Table1[[#This Row],[Math Score]]+Table1[[#This Row],[Reading Score]]+Table1[[#This Row],[Writing Score]]</f>
        <v>246</v>
      </c>
      <c r="Q243" s="16">
        <f>COUNTIF(Table1[[#This Row],[Math Score]],"&lt;60")+COUNTIF(Table1[[#This Row],[Reading Score]],"&lt;60")+COUNTIF(Table1[[#This Row],[Writing Score]],"&lt;60")</f>
        <v>0</v>
      </c>
      <c r="R243" t="str">
        <f>IF(Table1[[#This Row],[Fail Count]]&gt;=2,"At risk","OK")</f>
        <v>OK</v>
      </c>
    </row>
    <row r="244" spans="1:18">
      <c r="A244" t="str">
        <f t="shared" si="3"/>
        <v>Stu-243</v>
      </c>
      <c r="B244" t="s">
        <v>11</v>
      </c>
      <c r="C244" t="s">
        <v>31</v>
      </c>
      <c r="D244" t="s">
        <v>32</v>
      </c>
      <c r="E244" t="s">
        <v>14</v>
      </c>
      <c r="F244" t="s">
        <v>15</v>
      </c>
      <c r="G244" s="16">
        <v>56</v>
      </c>
      <c r="H244">
        <f>RANK(G244,$G$2:$G$1001,0)+COUNTIF($G$2:G244,G244)-1</f>
        <v>755</v>
      </c>
      <c r="I244" t="str">
        <f>INDEX('Boundary table'!$B$3:$B$7,MATCH(G244,'Boundary table'!$A$3:$A$7,1))</f>
        <v>F</v>
      </c>
      <c r="J244" s="16">
        <v>52</v>
      </c>
      <c r="K244">
        <f>RANK(J244,$J$2:$J$1001,0)+COUNTIF($J$2:J244,J244)-1</f>
        <v>876</v>
      </c>
      <c r="L244" t="str">
        <f>INDEX('Boundary table'!$B$3:$B$7,MATCH(J244,'Boundary table'!$A$3:$A$7,1))</f>
        <v>F</v>
      </c>
      <c r="M244" s="16">
        <v>55</v>
      </c>
      <c r="N244">
        <f>RANK(M244,$M$2:$M$1001,0)+COUNTIF($M$2:M244,M244)-1</f>
        <v>787</v>
      </c>
      <c r="O244" t="str">
        <f>INDEX('Boundary table'!$B$3:$B$7,MATCH(M244,'Boundary table'!$A$3:$A$7))</f>
        <v>F</v>
      </c>
      <c r="P244">
        <f>Table1[[#This Row],[Math Score]]+Table1[[#This Row],[Reading Score]]+Table1[[#This Row],[Writing Score]]</f>
        <v>163</v>
      </c>
      <c r="Q244" s="16">
        <f>COUNTIF(Table1[[#This Row],[Math Score]],"&lt;60")+COUNTIF(Table1[[#This Row],[Reading Score]],"&lt;60")+COUNTIF(Table1[[#This Row],[Writing Score]],"&lt;60")</f>
        <v>3</v>
      </c>
      <c r="R244" t="str">
        <f>IF(Table1[[#This Row],[Fail Count]]&gt;=2,"At risk","OK")</f>
        <v>At risk</v>
      </c>
    </row>
    <row r="245" spans="1:18">
      <c r="A245" t="str">
        <f t="shared" si="3"/>
        <v>Stu-244</v>
      </c>
      <c r="B245" t="s">
        <v>27</v>
      </c>
      <c r="C245" t="s">
        <v>34</v>
      </c>
      <c r="D245" t="s">
        <v>20</v>
      </c>
      <c r="E245" t="s">
        <v>14</v>
      </c>
      <c r="F245" t="s">
        <v>15</v>
      </c>
      <c r="G245" s="16">
        <v>59</v>
      </c>
      <c r="H245">
        <f>RANK(G245,$G$2:$G$1001,0)+COUNTIF($G$2:G245,G245)-1</f>
        <v>685</v>
      </c>
      <c r="I245" t="str">
        <f>INDEX('Boundary table'!$B$3:$B$7,MATCH(G245,'Boundary table'!$A$3:$A$7,1))</f>
        <v>F</v>
      </c>
      <c r="J245" s="16">
        <v>51</v>
      </c>
      <c r="K245">
        <f>RANK(J245,$J$2:$J$1001,0)+COUNTIF($J$2:J245,J245)-1</f>
        <v>892</v>
      </c>
      <c r="L245" t="str">
        <f>INDEX('Boundary table'!$B$3:$B$7,MATCH(J245,'Boundary table'!$A$3:$A$7,1))</f>
        <v>F</v>
      </c>
      <c r="M245" s="16">
        <v>43</v>
      </c>
      <c r="N245">
        <f>RANK(M245,$M$2:$M$1001,0)+COUNTIF($M$2:M245,M245)-1</f>
        <v>941</v>
      </c>
      <c r="O245" t="str">
        <f>INDEX('Boundary table'!$B$3:$B$7,MATCH(M245,'Boundary table'!$A$3:$A$7))</f>
        <v>F</v>
      </c>
      <c r="P245">
        <f>Table1[[#This Row],[Math Score]]+Table1[[#This Row],[Reading Score]]+Table1[[#This Row],[Writing Score]]</f>
        <v>153</v>
      </c>
      <c r="Q245" s="16">
        <f>COUNTIF(Table1[[#This Row],[Math Score]],"&lt;60")+COUNTIF(Table1[[#This Row],[Reading Score]],"&lt;60")+COUNTIF(Table1[[#This Row],[Writing Score]],"&lt;60")</f>
        <v>3</v>
      </c>
      <c r="R245" t="str">
        <f>IF(Table1[[#This Row],[Fail Count]]&gt;=2,"At risk","OK")</f>
        <v>At risk</v>
      </c>
    </row>
    <row r="246" spans="1:18">
      <c r="A246" t="str">
        <f t="shared" si="3"/>
        <v>Stu-245</v>
      </c>
      <c r="B246" t="s">
        <v>27</v>
      </c>
      <c r="C246" t="s">
        <v>31</v>
      </c>
      <c r="D246" t="s">
        <v>33</v>
      </c>
      <c r="E246" t="s">
        <v>14</v>
      </c>
      <c r="F246" t="s">
        <v>15</v>
      </c>
      <c r="G246" s="16">
        <v>75</v>
      </c>
      <c r="H246">
        <f>RANK(G246,$G$2:$G$1001,0)+COUNTIF($G$2:G246,G246)-1</f>
        <v>279</v>
      </c>
      <c r="I246" t="str">
        <f>INDEX('Boundary table'!$B$3:$B$7,MATCH(G246,'Boundary table'!$A$3:$A$7,1))</f>
        <v>C</v>
      </c>
      <c r="J246" s="16">
        <v>74</v>
      </c>
      <c r="K246">
        <f>RANK(J246,$J$2:$J$1001,0)+COUNTIF($J$2:J246,J246)-1</f>
        <v>379</v>
      </c>
      <c r="L246" t="str">
        <f>INDEX('Boundary table'!$B$3:$B$7,MATCH(J246,'Boundary table'!$A$3:$A$7,1))</f>
        <v>C</v>
      </c>
      <c r="M246" s="16">
        <v>69</v>
      </c>
      <c r="N246">
        <f>RANK(M246,$M$2:$M$1001,0)+COUNTIF($M$2:M246,M246)-1</f>
        <v>494</v>
      </c>
      <c r="O246" t="str">
        <f>INDEX('Boundary table'!$B$3:$B$7,MATCH(M246,'Boundary table'!$A$3:$A$7))</f>
        <v>D</v>
      </c>
      <c r="P246">
        <f>Table1[[#This Row],[Math Score]]+Table1[[#This Row],[Reading Score]]+Table1[[#This Row],[Writing Score]]</f>
        <v>218</v>
      </c>
      <c r="Q246" s="16">
        <f>COUNTIF(Table1[[#This Row],[Math Score]],"&lt;60")+COUNTIF(Table1[[#This Row],[Reading Score]],"&lt;60")+COUNTIF(Table1[[#This Row],[Writing Score]],"&lt;60")</f>
        <v>0</v>
      </c>
      <c r="R246" t="str">
        <f>IF(Table1[[#This Row],[Fail Count]]&gt;=2,"At risk","OK")</f>
        <v>OK</v>
      </c>
    </row>
    <row r="247" spans="1:18">
      <c r="A247" t="str">
        <f t="shared" si="3"/>
        <v>Stu-246</v>
      </c>
      <c r="B247" t="s">
        <v>27</v>
      </c>
      <c r="C247" t="s">
        <v>19</v>
      </c>
      <c r="D247" t="s">
        <v>29</v>
      </c>
      <c r="E247" t="s">
        <v>14</v>
      </c>
      <c r="F247" t="s">
        <v>15</v>
      </c>
      <c r="G247" s="16">
        <v>85</v>
      </c>
      <c r="H247">
        <f>RANK(G247,$G$2:$G$1001,0)+COUNTIF($G$2:G247,G247)-1</f>
        <v>105</v>
      </c>
      <c r="I247" t="str">
        <f>INDEX('Boundary table'!$B$3:$B$7,MATCH(G247,'Boundary table'!$A$3:$A$7,1))</f>
        <v>B</v>
      </c>
      <c r="J247" s="16">
        <v>76</v>
      </c>
      <c r="K247">
        <f>RANK(J247,$J$2:$J$1001,0)+COUNTIF($J$2:J247,J247)-1</f>
        <v>323</v>
      </c>
      <c r="L247" t="str">
        <f>INDEX('Boundary table'!$B$3:$B$7,MATCH(J247,'Boundary table'!$A$3:$A$7,1))</f>
        <v>C</v>
      </c>
      <c r="M247" s="16">
        <v>71</v>
      </c>
      <c r="N247">
        <f>RANK(M247,$M$2:$M$1001,0)+COUNTIF($M$2:M247,M247)-1</f>
        <v>443</v>
      </c>
      <c r="O247" t="str">
        <f>INDEX('Boundary table'!$B$3:$B$7,MATCH(M247,'Boundary table'!$A$3:$A$7))</f>
        <v>C</v>
      </c>
      <c r="P247">
        <f>Table1[[#This Row],[Math Score]]+Table1[[#This Row],[Reading Score]]+Table1[[#This Row],[Writing Score]]</f>
        <v>232</v>
      </c>
      <c r="Q247" s="16">
        <f>COUNTIF(Table1[[#This Row],[Math Score]],"&lt;60")+COUNTIF(Table1[[#This Row],[Reading Score]],"&lt;60")+COUNTIF(Table1[[#This Row],[Writing Score]],"&lt;60")</f>
        <v>0</v>
      </c>
      <c r="R247" t="str">
        <f>IF(Table1[[#This Row],[Fail Count]]&gt;=2,"At risk","OK")</f>
        <v>OK</v>
      </c>
    </row>
    <row r="248" spans="1:18">
      <c r="A248" t="str">
        <f t="shared" si="3"/>
        <v>Stu-247</v>
      </c>
      <c r="B248" t="s">
        <v>27</v>
      </c>
      <c r="C248" t="s">
        <v>34</v>
      </c>
      <c r="D248" t="s">
        <v>29</v>
      </c>
      <c r="E248" t="s">
        <v>14</v>
      </c>
      <c r="F248" t="s">
        <v>15</v>
      </c>
      <c r="G248" s="16">
        <v>89</v>
      </c>
      <c r="H248">
        <f>RANK(G248,$G$2:$G$1001,0)+COUNTIF($G$2:G248,G248)-1</f>
        <v>60</v>
      </c>
      <c r="I248" t="str">
        <f>INDEX('Boundary table'!$B$3:$B$7,MATCH(G248,'Boundary table'!$A$3:$A$7,1))</f>
        <v>B</v>
      </c>
      <c r="J248" s="16">
        <v>76</v>
      </c>
      <c r="K248">
        <f>RANK(J248,$J$2:$J$1001,0)+COUNTIF($J$2:J248,J248)-1</f>
        <v>324</v>
      </c>
      <c r="L248" t="str">
        <f>INDEX('Boundary table'!$B$3:$B$7,MATCH(J248,'Boundary table'!$A$3:$A$7,1))</f>
        <v>C</v>
      </c>
      <c r="M248" s="16">
        <v>74</v>
      </c>
      <c r="N248">
        <f>RANK(M248,$M$2:$M$1001,0)+COUNTIF($M$2:M248,M248)-1</f>
        <v>364</v>
      </c>
      <c r="O248" t="str">
        <f>INDEX('Boundary table'!$B$3:$B$7,MATCH(M248,'Boundary table'!$A$3:$A$7))</f>
        <v>C</v>
      </c>
      <c r="P248">
        <f>Table1[[#This Row],[Math Score]]+Table1[[#This Row],[Reading Score]]+Table1[[#This Row],[Writing Score]]</f>
        <v>239</v>
      </c>
      <c r="Q248" s="16">
        <f>COUNTIF(Table1[[#This Row],[Math Score]],"&lt;60")+COUNTIF(Table1[[#This Row],[Reading Score]],"&lt;60")+COUNTIF(Table1[[#This Row],[Writing Score]],"&lt;60")</f>
        <v>0</v>
      </c>
      <c r="R248" t="str">
        <f>IF(Table1[[#This Row],[Fail Count]]&gt;=2,"At risk","OK")</f>
        <v>OK</v>
      </c>
    </row>
    <row r="249" spans="1:18">
      <c r="A249" t="str">
        <f t="shared" si="3"/>
        <v>Stu-248</v>
      </c>
      <c r="B249" t="s">
        <v>11</v>
      </c>
      <c r="C249" t="s">
        <v>12</v>
      </c>
      <c r="D249" t="s">
        <v>32</v>
      </c>
      <c r="E249" t="s">
        <v>14</v>
      </c>
      <c r="F249" t="s">
        <v>21</v>
      </c>
      <c r="G249" s="16">
        <v>58</v>
      </c>
      <c r="H249">
        <f>RANK(G249,$G$2:$G$1001,0)+COUNTIF($G$2:G249,G249)-1</f>
        <v>720</v>
      </c>
      <c r="I249" t="str">
        <f>INDEX('Boundary table'!$B$3:$B$7,MATCH(G249,'Boundary table'!$A$3:$A$7,1))</f>
        <v>F</v>
      </c>
      <c r="J249" s="16">
        <v>70</v>
      </c>
      <c r="K249">
        <f>RANK(J249,$J$2:$J$1001,0)+COUNTIF($J$2:J249,J249)-1</f>
        <v>493</v>
      </c>
      <c r="L249" t="str">
        <f>INDEX('Boundary table'!$B$3:$B$7,MATCH(J249,'Boundary table'!$A$3:$A$7,1))</f>
        <v>C</v>
      </c>
      <c r="M249" s="16">
        <v>68</v>
      </c>
      <c r="N249">
        <f>RANK(M249,$M$2:$M$1001,0)+COUNTIF($M$2:M249,M249)-1</f>
        <v>519</v>
      </c>
      <c r="O249" t="str">
        <f>INDEX('Boundary table'!$B$3:$B$7,MATCH(M249,'Boundary table'!$A$3:$A$7))</f>
        <v>D</v>
      </c>
      <c r="P249">
        <f>Table1[[#This Row],[Math Score]]+Table1[[#This Row],[Reading Score]]+Table1[[#This Row],[Writing Score]]</f>
        <v>196</v>
      </c>
      <c r="Q249" s="16">
        <f>COUNTIF(Table1[[#This Row],[Math Score]],"&lt;60")+COUNTIF(Table1[[#This Row],[Reading Score]],"&lt;60")+COUNTIF(Table1[[#This Row],[Writing Score]],"&lt;60")</f>
        <v>1</v>
      </c>
      <c r="R249" t="str">
        <f>IF(Table1[[#This Row],[Fail Count]]&gt;=2,"At risk","OK")</f>
        <v>OK</v>
      </c>
    </row>
    <row r="250" spans="1:18">
      <c r="A250" t="str">
        <f t="shared" si="3"/>
        <v>Stu-249</v>
      </c>
      <c r="B250" t="s">
        <v>11</v>
      </c>
      <c r="C250" t="s">
        <v>12</v>
      </c>
      <c r="D250" t="s">
        <v>32</v>
      </c>
      <c r="E250" t="s">
        <v>14</v>
      </c>
      <c r="F250" t="s">
        <v>15</v>
      </c>
      <c r="G250" s="16">
        <v>65</v>
      </c>
      <c r="H250">
        <f>RANK(G250,$G$2:$G$1001,0)+COUNTIF($G$2:G250,G250)-1</f>
        <v>528</v>
      </c>
      <c r="I250" t="str">
        <f>INDEX('Boundary table'!$B$3:$B$7,MATCH(G250,'Boundary table'!$A$3:$A$7,1))</f>
        <v>D</v>
      </c>
      <c r="J250" s="16">
        <v>64</v>
      </c>
      <c r="K250">
        <f>RANK(J250,$J$2:$J$1001,0)+COUNTIF($J$2:J250,J250)-1</f>
        <v>637</v>
      </c>
      <c r="L250" t="str">
        <f>INDEX('Boundary table'!$B$3:$B$7,MATCH(J250,'Boundary table'!$A$3:$A$7,1))</f>
        <v>D</v>
      </c>
      <c r="M250" s="16">
        <v>62</v>
      </c>
      <c r="N250">
        <f>RANK(M250,$M$2:$M$1001,0)+COUNTIF($M$2:M250,M250)-1</f>
        <v>660</v>
      </c>
      <c r="O250" t="str">
        <f>INDEX('Boundary table'!$B$3:$B$7,MATCH(M250,'Boundary table'!$A$3:$A$7))</f>
        <v>D</v>
      </c>
      <c r="P250">
        <f>Table1[[#This Row],[Math Score]]+Table1[[#This Row],[Reading Score]]+Table1[[#This Row],[Writing Score]]</f>
        <v>191</v>
      </c>
      <c r="Q250" s="16">
        <f>COUNTIF(Table1[[#This Row],[Math Score]],"&lt;60")+COUNTIF(Table1[[#This Row],[Reading Score]],"&lt;60")+COUNTIF(Table1[[#This Row],[Writing Score]],"&lt;60")</f>
        <v>0</v>
      </c>
      <c r="R250" t="str">
        <f>IF(Table1[[#This Row],[Fail Count]]&gt;=2,"At risk","OK")</f>
        <v>OK</v>
      </c>
    </row>
    <row r="251" spans="1:18">
      <c r="A251" t="str">
        <f t="shared" si="3"/>
        <v>Stu-250</v>
      </c>
      <c r="B251" t="s">
        <v>27</v>
      </c>
      <c r="C251" t="s">
        <v>19</v>
      </c>
      <c r="D251" t="s">
        <v>32</v>
      </c>
      <c r="E251" t="s">
        <v>14</v>
      </c>
      <c r="F251" t="s">
        <v>15</v>
      </c>
      <c r="G251" s="16">
        <v>68</v>
      </c>
      <c r="H251">
        <f>RANK(G251,$G$2:$G$1001,0)+COUNTIF($G$2:G251,G251)-1</f>
        <v>446</v>
      </c>
      <c r="I251" t="str">
        <f>INDEX('Boundary table'!$B$3:$B$7,MATCH(G251,'Boundary table'!$A$3:$A$7,1))</f>
        <v>D</v>
      </c>
      <c r="J251" s="16">
        <v>60</v>
      </c>
      <c r="K251">
        <f>RANK(J251,$J$2:$J$1001,0)+COUNTIF($J$2:J251,J251)-1</f>
        <v>729</v>
      </c>
      <c r="L251" t="str">
        <f>INDEX('Boundary table'!$B$3:$B$7,MATCH(J251,'Boundary table'!$A$3:$A$7,1))</f>
        <v>D</v>
      </c>
      <c r="M251" s="16">
        <v>53</v>
      </c>
      <c r="N251">
        <f>RANK(M251,$M$2:$M$1001,0)+COUNTIF($M$2:M251,M251)-1</f>
        <v>824</v>
      </c>
      <c r="O251" t="str">
        <f>INDEX('Boundary table'!$B$3:$B$7,MATCH(M251,'Boundary table'!$A$3:$A$7))</f>
        <v>F</v>
      </c>
      <c r="P251">
        <f>Table1[[#This Row],[Math Score]]+Table1[[#This Row],[Reading Score]]+Table1[[#This Row],[Writing Score]]</f>
        <v>181</v>
      </c>
      <c r="Q251" s="16">
        <f>COUNTIF(Table1[[#This Row],[Math Score]],"&lt;60")+COUNTIF(Table1[[#This Row],[Reading Score]],"&lt;60")+COUNTIF(Table1[[#This Row],[Writing Score]],"&lt;60")</f>
        <v>1</v>
      </c>
      <c r="R251" t="str">
        <f>IF(Table1[[#This Row],[Fail Count]]&gt;=2,"At risk","OK")</f>
        <v>OK</v>
      </c>
    </row>
    <row r="252" spans="1:18">
      <c r="A252" t="str">
        <f t="shared" si="3"/>
        <v>Stu-251</v>
      </c>
      <c r="B252" t="s">
        <v>27</v>
      </c>
      <c r="C252" t="s">
        <v>28</v>
      </c>
      <c r="D252" t="s">
        <v>33</v>
      </c>
      <c r="E252" t="s">
        <v>14</v>
      </c>
      <c r="F252" t="s">
        <v>21</v>
      </c>
      <c r="G252" s="16">
        <v>47</v>
      </c>
      <c r="H252">
        <f>RANK(G252,$G$2:$G$1001,0)+COUNTIF($G$2:G252,G252)-1</f>
        <v>896</v>
      </c>
      <c r="I252" t="str">
        <f>INDEX('Boundary table'!$B$3:$B$7,MATCH(G252,'Boundary table'!$A$3:$A$7,1))</f>
        <v>F</v>
      </c>
      <c r="J252" s="16">
        <v>49</v>
      </c>
      <c r="K252">
        <f>RANK(J252,$J$2:$J$1001,0)+COUNTIF($J$2:J252,J252)-1</f>
        <v>915</v>
      </c>
      <c r="L252" t="str">
        <f>INDEX('Boundary table'!$B$3:$B$7,MATCH(J252,'Boundary table'!$A$3:$A$7,1))</f>
        <v>F</v>
      </c>
      <c r="M252" s="16">
        <v>49</v>
      </c>
      <c r="N252">
        <f>RANK(M252,$M$2:$M$1001,0)+COUNTIF($M$2:M252,M252)-1</f>
        <v>891</v>
      </c>
      <c r="O252" t="str">
        <f>INDEX('Boundary table'!$B$3:$B$7,MATCH(M252,'Boundary table'!$A$3:$A$7))</f>
        <v>F</v>
      </c>
      <c r="P252">
        <f>Table1[[#This Row],[Math Score]]+Table1[[#This Row],[Reading Score]]+Table1[[#This Row],[Writing Score]]</f>
        <v>145</v>
      </c>
      <c r="Q252" s="16">
        <f>COUNTIF(Table1[[#This Row],[Math Score]],"&lt;60")+COUNTIF(Table1[[#This Row],[Reading Score]],"&lt;60")+COUNTIF(Table1[[#This Row],[Writing Score]],"&lt;60")</f>
        <v>3</v>
      </c>
      <c r="R252" t="str">
        <f>IF(Table1[[#This Row],[Fail Count]]&gt;=2,"At risk","OK")</f>
        <v>At risk</v>
      </c>
    </row>
    <row r="253" spans="1:18">
      <c r="A253" t="str">
        <f t="shared" si="3"/>
        <v>Stu-252</v>
      </c>
      <c r="B253" t="s">
        <v>11</v>
      </c>
      <c r="C253" t="s">
        <v>31</v>
      </c>
      <c r="D253" t="s">
        <v>20</v>
      </c>
      <c r="E253" t="s">
        <v>30</v>
      </c>
      <c r="F253" t="s">
        <v>15</v>
      </c>
      <c r="G253" s="16">
        <v>71</v>
      </c>
      <c r="H253">
        <f>RANK(G253,$G$2:$G$1001,0)+COUNTIF($G$2:G253,G253)-1</f>
        <v>372</v>
      </c>
      <c r="I253" t="str">
        <f>INDEX('Boundary table'!$B$3:$B$7,MATCH(G253,'Boundary table'!$A$3:$A$7,1))</f>
        <v>C</v>
      </c>
      <c r="J253" s="16">
        <v>83</v>
      </c>
      <c r="K253">
        <f>RANK(J253,$J$2:$J$1001,0)+COUNTIF($J$2:J253,J253)-1</f>
        <v>183</v>
      </c>
      <c r="L253" t="str">
        <f>INDEX('Boundary table'!$B$3:$B$7,MATCH(J253,'Boundary table'!$A$3:$A$7,1))</f>
        <v>B</v>
      </c>
      <c r="M253" s="16">
        <v>83</v>
      </c>
      <c r="N253">
        <f>RANK(M253,$M$2:$M$1001,0)+COUNTIF($M$2:M253,M253)-1</f>
        <v>155</v>
      </c>
      <c r="O253" t="str">
        <f>INDEX('Boundary table'!$B$3:$B$7,MATCH(M253,'Boundary table'!$A$3:$A$7))</f>
        <v>B</v>
      </c>
      <c r="P253">
        <f>Table1[[#This Row],[Math Score]]+Table1[[#This Row],[Reading Score]]+Table1[[#This Row],[Writing Score]]</f>
        <v>237</v>
      </c>
      <c r="Q253" s="16">
        <f>COUNTIF(Table1[[#This Row],[Math Score]],"&lt;60")+COUNTIF(Table1[[#This Row],[Reading Score]],"&lt;60")+COUNTIF(Table1[[#This Row],[Writing Score]],"&lt;60")</f>
        <v>0</v>
      </c>
      <c r="R253" t="str">
        <f>IF(Table1[[#This Row],[Fail Count]]&gt;=2,"At risk","OK")</f>
        <v>OK</v>
      </c>
    </row>
    <row r="254" spans="1:18">
      <c r="A254" t="str">
        <f t="shared" si="3"/>
        <v>Stu-253</v>
      </c>
      <c r="B254" t="s">
        <v>11</v>
      </c>
      <c r="C254" t="s">
        <v>12</v>
      </c>
      <c r="D254" t="s">
        <v>33</v>
      </c>
      <c r="E254" t="s">
        <v>14</v>
      </c>
      <c r="F254" t="s">
        <v>21</v>
      </c>
      <c r="G254" s="16">
        <v>60</v>
      </c>
      <c r="H254">
        <f>RANK(G254,$G$2:$G$1001,0)+COUNTIF($G$2:G254,G254)-1</f>
        <v>666</v>
      </c>
      <c r="I254" t="str">
        <f>INDEX('Boundary table'!$B$3:$B$7,MATCH(G254,'Boundary table'!$A$3:$A$7,1))</f>
        <v>D</v>
      </c>
      <c r="J254" s="16">
        <v>70</v>
      </c>
      <c r="K254">
        <f>RANK(J254,$J$2:$J$1001,0)+COUNTIF($J$2:J254,J254)-1</f>
        <v>494</v>
      </c>
      <c r="L254" t="str">
        <f>INDEX('Boundary table'!$B$3:$B$7,MATCH(J254,'Boundary table'!$A$3:$A$7,1))</f>
        <v>C</v>
      </c>
      <c r="M254" s="16">
        <v>70</v>
      </c>
      <c r="N254">
        <f>RANK(M254,$M$2:$M$1001,0)+COUNTIF($M$2:M254,M254)-1</f>
        <v>466</v>
      </c>
      <c r="O254" t="str">
        <f>INDEX('Boundary table'!$B$3:$B$7,MATCH(M254,'Boundary table'!$A$3:$A$7))</f>
        <v>C</v>
      </c>
      <c r="P254">
        <f>Table1[[#This Row],[Math Score]]+Table1[[#This Row],[Reading Score]]+Table1[[#This Row],[Writing Score]]</f>
        <v>200</v>
      </c>
      <c r="Q254" s="16">
        <f>COUNTIF(Table1[[#This Row],[Math Score]],"&lt;60")+COUNTIF(Table1[[#This Row],[Reading Score]],"&lt;60")+COUNTIF(Table1[[#This Row],[Writing Score]],"&lt;60")</f>
        <v>0</v>
      </c>
      <c r="R254" t="str">
        <f>IF(Table1[[#This Row],[Fail Count]]&gt;=2,"At risk","OK")</f>
        <v>OK</v>
      </c>
    </row>
    <row r="255" spans="1:18">
      <c r="A255" t="str">
        <f t="shared" si="3"/>
        <v>Stu-254</v>
      </c>
      <c r="B255" t="s">
        <v>27</v>
      </c>
      <c r="C255" t="s">
        <v>31</v>
      </c>
      <c r="D255" t="s">
        <v>26</v>
      </c>
      <c r="E255" t="s">
        <v>14</v>
      </c>
      <c r="F255" t="s">
        <v>15</v>
      </c>
      <c r="G255" s="16">
        <v>80</v>
      </c>
      <c r="H255">
        <f>RANK(G255,$G$2:$G$1001,0)+COUNTIF($G$2:G255,G255)-1</f>
        <v>182</v>
      </c>
      <c r="I255" t="str">
        <f>INDEX('Boundary table'!$B$3:$B$7,MATCH(G255,'Boundary table'!$A$3:$A$7,1))</f>
        <v>B</v>
      </c>
      <c r="J255" s="16">
        <v>80</v>
      </c>
      <c r="K255">
        <f>RANK(J255,$J$2:$J$1001,0)+COUNTIF($J$2:J255,J255)-1</f>
        <v>242</v>
      </c>
      <c r="L255" t="str">
        <f>INDEX('Boundary table'!$B$3:$B$7,MATCH(J255,'Boundary table'!$A$3:$A$7,1))</f>
        <v>B</v>
      </c>
      <c r="M255" s="16">
        <v>72</v>
      </c>
      <c r="N255">
        <f>RANK(M255,$M$2:$M$1001,0)+COUNTIF($M$2:M255,M255)-1</f>
        <v>419</v>
      </c>
      <c r="O255" t="str">
        <f>INDEX('Boundary table'!$B$3:$B$7,MATCH(M255,'Boundary table'!$A$3:$A$7))</f>
        <v>C</v>
      </c>
      <c r="P255">
        <f>Table1[[#This Row],[Math Score]]+Table1[[#This Row],[Reading Score]]+Table1[[#This Row],[Writing Score]]</f>
        <v>232</v>
      </c>
      <c r="Q255" s="16">
        <f>COUNTIF(Table1[[#This Row],[Math Score]],"&lt;60")+COUNTIF(Table1[[#This Row],[Reading Score]],"&lt;60")+COUNTIF(Table1[[#This Row],[Writing Score]],"&lt;60")</f>
        <v>0</v>
      </c>
      <c r="R255" t="str">
        <f>IF(Table1[[#This Row],[Fail Count]]&gt;=2,"At risk","OK")</f>
        <v>OK</v>
      </c>
    </row>
    <row r="256" spans="1:18">
      <c r="A256" t="str">
        <f t="shared" si="3"/>
        <v>Stu-255</v>
      </c>
      <c r="B256" t="s">
        <v>27</v>
      </c>
      <c r="C256" t="s">
        <v>31</v>
      </c>
      <c r="D256" t="s">
        <v>32</v>
      </c>
      <c r="E256" t="s">
        <v>14</v>
      </c>
      <c r="F256" t="s">
        <v>15</v>
      </c>
      <c r="G256" s="16">
        <v>54</v>
      </c>
      <c r="H256">
        <f>RANK(G256,$G$2:$G$1001,0)+COUNTIF($G$2:G256,G256)-1</f>
        <v>784</v>
      </c>
      <c r="I256" t="str">
        <f>INDEX('Boundary table'!$B$3:$B$7,MATCH(G256,'Boundary table'!$A$3:$A$7,1))</f>
        <v>F</v>
      </c>
      <c r="J256" s="16">
        <v>52</v>
      </c>
      <c r="K256">
        <f>RANK(J256,$J$2:$J$1001,0)+COUNTIF($J$2:J256,J256)-1</f>
        <v>877</v>
      </c>
      <c r="L256" t="str">
        <f>INDEX('Boundary table'!$B$3:$B$7,MATCH(J256,'Boundary table'!$A$3:$A$7,1))</f>
        <v>F</v>
      </c>
      <c r="M256" s="16">
        <v>52</v>
      </c>
      <c r="N256">
        <f>RANK(M256,$M$2:$M$1001,0)+COUNTIF($M$2:M256,M256)-1</f>
        <v>843</v>
      </c>
      <c r="O256" t="str">
        <f>INDEX('Boundary table'!$B$3:$B$7,MATCH(M256,'Boundary table'!$A$3:$A$7))</f>
        <v>F</v>
      </c>
      <c r="P256">
        <f>Table1[[#This Row],[Math Score]]+Table1[[#This Row],[Reading Score]]+Table1[[#This Row],[Writing Score]]</f>
        <v>158</v>
      </c>
      <c r="Q256" s="16">
        <f>COUNTIF(Table1[[#This Row],[Math Score]],"&lt;60")+COUNTIF(Table1[[#This Row],[Reading Score]],"&lt;60")+COUNTIF(Table1[[#This Row],[Writing Score]],"&lt;60")</f>
        <v>3</v>
      </c>
      <c r="R256" t="str">
        <f>IF(Table1[[#This Row],[Fail Count]]&gt;=2,"At risk","OK")</f>
        <v>At risk</v>
      </c>
    </row>
    <row r="257" spans="1:18">
      <c r="A257" t="str">
        <f t="shared" si="3"/>
        <v>Stu-256</v>
      </c>
      <c r="B257" t="s">
        <v>11</v>
      </c>
      <c r="C257" t="s">
        <v>34</v>
      </c>
      <c r="D257" t="s">
        <v>20</v>
      </c>
      <c r="E257" t="s">
        <v>14</v>
      </c>
      <c r="F257" t="s">
        <v>15</v>
      </c>
      <c r="G257" s="16">
        <v>62</v>
      </c>
      <c r="H257">
        <f>RANK(G257,$G$2:$G$1001,0)+COUNTIF($G$2:G257,G257)-1</f>
        <v>609</v>
      </c>
      <c r="I257" t="str">
        <f>INDEX('Boundary table'!$B$3:$B$7,MATCH(G257,'Boundary table'!$A$3:$A$7,1))</f>
        <v>D</v>
      </c>
      <c r="J257" s="16">
        <v>73</v>
      </c>
      <c r="K257">
        <f>RANK(J257,$J$2:$J$1001,0)+COUNTIF($J$2:J257,J257)-1</f>
        <v>408</v>
      </c>
      <c r="L257" t="str">
        <f>INDEX('Boundary table'!$B$3:$B$7,MATCH(J257,'Boundary table'!$A$3:$A$7,1))</f>
        <v>C</v>
      </c>
      <c r="M257" s="16">
        <v>70</v>
      </c>
      <c r="N257">
        <f>RANK(M257,$M$2:$M$1001,0)+COUNTIF($M$2:M257,M257)-1</f>
        <v>467</v>
      </c>
      <c r="O257" t="str">
        <f>INDEX('Boundary table'!$B$3:$B$7,MATCH(M257,'Boundary table'!$A$3:$A$7))</f>
        <v>C</v>
      </c>
      <c r="P257">
        <f>Table1[[#This Row],[Math Score]]+Table1[[#This Row],[Reading Score]]+Table1[[#This Row],[Writing Score]]</f>
        <v>205</v>
      </c>
      <c r="Q257" s="16">
        <f>COUNTIF(Table1[[#This Row],[Math Score]],"&lt;60")+COUNTIF(Table1[[#This Row],[Reading Score]],"&lt;60")+COUNTIF(Table1[[#This Row],[Writing Score]],"&lt;60")</f>
        <v>0</v>
      </c>
      <c r="R257" t="str">
        <f>IF(Table1[[#This Row],[Fail Count]]&gt;=2,"At risk","OK")</f>
        <v>OK</v>
      </c>
    </row>
    <row r="258" spans="1:18">
      <c r="A258" t="str">
        <f t="shared" ref="A258:A321" si="4">"Stu-"&amp;TEXT(ROW()-1,"000")</f>
        <v>Stu-257</v>
      </c>
      <c r="B258" t="s">
        <v>11</v>
      </c>
      <c r="C258" t="s">
        <v>19</v>
      </c>
      <c r="D258" t="s">
        <v>29</v>
      </c>
      <c r="E258" t="s">
        <v>30</v>
      </c>
      <c r="F258" t="s">
        <v>15</v>
      </c>
      <c r="G258" s="16">
        <v>64</v>
      </c>
      <c r="H258">
        <f>RANK(G258,$G$2:$G$1001,0)+COUNTIF($G$2:G258,G258)-1</f>
        <v>556</v>
      </c>
      <c r="I258" t="str">
        <f>INDEX('Boundary table'!$B$3:$B$7,MATCH(G258,'Boundary table'!$A$3:$A$7,1))</f>
        <v>D</v>
      </c>
      <c r="J258" s="16">
        <v>73</v>
      </c>
      <c r="K258">
        <f>RANK(J258,$J$2:$J$1001,0)+COUNTIF($J$2:J258,J258)-1</f>
        <v>409</v>
      </c>
      <c r="L258" t="str">
        <f>INDEX('Boundary table'!$B$3:$B$7,MATCH(J258,'Boundary table'!$A$3:$A$7,1))</f>
        <v>C</v>
      </c>
      <c r="M258" s="16">
        <v>68</v>
      </c>
      <c r="N258">
        <f>RANK(M258,$M$2:$M$1001,0)+COUNTIF($M$2:M258,M258)-1</f>
        <v>520</v>
      </c>
      <c r="O258" t="str">
        <f>INDEX('Boundary table'!$B$3:$B$7,MATCH(M258,'Boundary table'!$A$3:$A$7))</f>
        <v>D</v>
      </c>
      <c r="P258">
        <f>Table1[[#This Row],[Math Score]]+Table1[[#This Row],[Reading Score]]+Table1[[#This Row],[Writing Score]]</f>
        <v>205</v>
      </c>
      <c r="Q258" s="16">
        <f>COUNTIF(Table1[[#This Row],[Math Score]],"&lt;60")+COUNTIF(Table1[[#This Row],[Reading Score]],"&lt;60")+COUNTIF(Table1[[#This Row],[Writing Score]],"&lt;60")</f>
        <v>0</v>
      </c>
      <c r="R258" t="str">
        <f>IF(Table1[[#This Row],[Fail Count]]&gt;=2,"At risk","OK")</f>
        <v>OK</v>
      </c>
    </row>
    <row r="259" spans="1:18">
      <c r="A259" t="str">
        <f t="shared" si="4"/>
        <v>Stu-258</v>
      </c>
      <c r="B259" t="s">
        <v>27</v>
      </c>
      <c r="C259" t="s">
        <v>19</v>
      </c>
      <c r="D259" t="s">
        <v>29</v>
      </c>
      <c r="E259" t="s">
        <v>14</v>
      </c>
      <c r="F259" t="s">
        <v>21</v>
      </c>
      <c r="G259" s="16">
        <v>78</v>
      </c>
      <c r="H259">
        <f>RANK(G259,$G$2:$G$1001,0)+COUNTIF($G$2:G259,G259)-1</f>
        <v>220</v>
      </c>
      <c r="I259" t="str">
        <f>INDEX('Boundary table'!$B$3:$B$7,MATCH(G259,'Boundary table'!$A$3:$A$7,1))</f>
        <v>C</v>
      </c>
      <c r="J259" s="16">
        <v>77</v>
      </c>
      <c r="K259">
        <f>RANK(J259,$J$2:$J$1001,0)+COUNTIF($J$2:J259,J259)-1</f>
        <v>301</v>
      </c>
      <c r="L259" t="str">
        <f>INDEX('Boundary table'!$B$3:$B$7,MATCH(J259,'Boundary table'!$A$3:$A$7,1))</f>
        <v>C</v>
      </c>
      <c r="M259" s="16">
        <v>77</v>
      </c>
      <c r="N259">
        <f>RANK(M259,$M$2:$M$1001,0)+COUNTIF($M$2:M259,M259)-1</f>
        <v>283</v>
      </c>
      <c r="O259" t="str">
        <f>INDEX('Boundary table'!$B$3:$B$7,MATCH(M259,'Boundary table'!$A$3:$A$7))</f>
        <v>C</v>
      </c>
      <c r="P259">
        <f>Table1[[#This Row],[Math Score]]+Table1[[#This Row],[Reading Score]]+Table1[[#This Row],[Writing Score]]</f>
        <v>232</v>
      </c>
      <c r="Q259" s="16">
        <f>COUNTIF(Table1[[#This Row],[Math Score]],"&lt;60")+COUNTIF(Table1[[#This Row],[Reading Score]],"&lt;60")+COUNTIF(Table1[[#This Row],[Writing Score]],"&lt;60")</f>
        <v>0</v>
      </c>
      <c r="R259" t="str">
        <f>IF(Table1[[#This Row],[Fail Count]]&gt;=2,"At risk","OK")</f>
        <v>OK</v>
      </c>
    </row>
    <row r="260" spans="1:18">
      <c r="A260" t="str">
        <f t="shared" si="4"/>
        <v>Stu-259</v>
      </c>
      <c r="B260" t="s">
        <v>11</v>
      </c>
      <c r="C260" t="s">
        <v>12</v>
      </c>
      <c r="D260" t="s">
        <v>20</v>
      </c>
      <c r="E260" t="s">
        <v>14</v>
      </c>
      <c r="F260" t="s">
        <v>15</v>
      </c>
      <c r="G260" s="16">
        <v>70</v>
      </c>
      <c r="H260">
        <f>RANK(G260,$G$2:$G$1001,0)+COUNTIF($G$2:G260,G260)-1</f>
        <v>396</v>
      </c>
      <c r="I260" t="str">
        <f>INDEX('Boundary table'!$B$3:$B$7,MATCH(G260,'Boundary table'!$A$3:$A$7,1))</f>
        <v>C</v>
      </c>
      <c r="J260" s="16">
        <v>75</v>
      </c>
      <c r="K260">
        <f>RANK(J260,$J$2:$J$1001,0)+COUNTIF($J$2:J260,J260)-1</f>
        <v>350</v>
      </c>
      <c r="L260" t="str">
        <f>INDEX('Boundary table'!$B$3:$B$7,MATCH(J260,'Boundary table'!$A$3:$A$7,1))</f>
        <v>C</v>
      </c>
      <c r="M260" s="16">
        <v>78</v>
      </c>
      <c r="N260">
        <f>RANK(M260,$M$2:$M$1001,0)+COUNTIF($M$2:M260,M260)-1</f>
        <v>264</v>
      </c>
      <c r="O260" t="str">
        <f>INDEX('Boundary table'!$B$3:$B$7,MATCH(M260,'Boundary table'!$A$3:$A$7))</f>
        <v>C</v>
      </c>
      <c r="P260">
        <f>Table1[[#This Row],[Math Score]]+Table1[[#This Row],[Reading Score]]+Table1[[#This Row],[Writing Score]]</f>
        <v>223</v>
      </c>
      <c r="Q260" s="16">
        <f>COUNTIF(Table1[[#This Row],[Math Score]],"&lt;60")+COUNTIF(Table1[[#This Row],[Reading Score]],"&lt;60")+COUNTIF(Table1[[#This Row],[Writing Score]],"&lt;60")</f>
        <v>0</v>
      </c>
      <c r="R260" t="str">
        <f>IF(Table1[[#This Row],[Fail Count]]&gt;=2,"At risk","OK")</f>
        <v>OK</v>
      </c>
    </row>
    <row r="261" spans="1:18">
      <c r="A261" t="str">
        <f t="shared" si="4"/>
        <v>Stu-260</v>
      </c>
      <c r="B261" t="s">
        <v>11</v>
      </c>
      <c r="C261" t="s">
        <v>19</v>
      </c>
      <c r="D261" t="s">
        <v>26</v>
      </c>
      <c r="E261" t="s">
        <v>30</v>
      </c>
      <c r="F261" t="s">
        <v>21</v>
      </c>
      <c r="G261" s="16">
        <v>65</v>
      </c>
      <c r="H261">
        <f>RANK(G261,$G$2:$G$1001,0)+COUNTIF($G$2:G261,G261)-1</f>
        <v>529</v>
      </c>
      <c r="I261" t="str">
        <f>INDEX('Boundary table'!$B$3:$B$7,MATCH(G261,'Boundary table'!$A$3:$A$7,1))</f>
        <v>D</v>
      </c>
      <c r="J261" s="16">
        <v>81</v>
      </c>
      <c r="K261">
        <f>RANK(J261,$J$2:$J$1001,0)+COUNTIF($J$2:J261,J261)-1</f>
        <v>218</v>
      </c>
      <c r="L261" t="str">
        <f>INDEX('Boundary table'!$B$3:$B$7,MATCH(J261,'Boundary table'!$A$3:$A$7,1))</f>
        <v>B</v>
      </c>
      <c r="M261" s="16">
        <v>81</v>
      </c>
      <c r="N261">
        <f>RANK(M261,$M$2:$M$1001,0)+COUNTIF($M$2:M261,M261)-1</f>
        <v>193</v>
      </c>
      <c r="O261" t="str">
        <f>INDEX('Boundary table'!$B$3:$B$7,MATCH(M261,'Boundary table'!$A$3:$A$7))</f>
        <v>B</v>
      </c>
      <c r="P261">
        <f>Table1[[#This Row],[Math Score]]+Table1[[#This Row],[Reading Score]]+Table1[[#This Row],[Writing Score]]</f>
        <v>227</v>
      </c>
      <c r="Q261" s="16">
        <f>COUNTIF(Table1[[#This Row],[Math Score]],"&lt;60")+COUNTIF(Table1[[#This Row],[Reading Score]],"&lt;60")+COUNTIF(Table1[[#This Row],[Writing Score]],"&lt;60")</f>
        <v>0</v>
      </c>
      <c r="R261" t="str">
        <f>IF(Table1[[#This Row],[Fail Count]]&gt;=2,"At risk","OK")</f>
        <v>OK</v>
      </c>
    </row>
    <row r="262" spans="1:18">
      <c r="A262" t="str">
        <f t="shared" si="4"/>
        <v>Stu-261</v>
      </c>
      <c r="B262" t="s">
        <v>11</v>
      </c>
      <c r="C262" t="s">
        <v>19</v>
      </c>
      <c r="D262" t="s">
        <v>33</v>
      </c>
      <c r="E262" t="s">
        <v>30</v>
      </c>
      <c r="F262" t="s">
        <v>21</v>
      </c>
      <c r="G262" s="16">
        <v>64</v>
      </c>
      <c r="H262">
        <f>RANK(G262,$G$2:$G$1001,0)+COUNTIF($G$2:G262,G262)-1</f>
        <v>557</v>
      </c>
      <c r="I262" t="str">
        <f>INDEX('Boundary table'!$B$3:$B$7,MATCH(G262,'Boundary table'!$A$3:$A$7,1))</f>
        <v>D</v>
      </c>
      <c r="J262" s="16">
        <v>79</v>
      </c>
      <c r="K262">
        <f>RANK(J262,$J$2:$J$1001,0)+COUNTIF($J$2:J262,J262)-1</f>
        <v>254</v>
      </c>
      <c r="L262" t="str">
        <f>INDEX('Boundary table'!$B$3:$B$7,MATCH(J262,'Boundary table'!$A$3:$A$7,1))</f>
        <v>C</v>
      </c>
      <c r="M262" s="16">
        <v>77</v>
      </c>
      <c r="N262">
        <f>RANK(M262,$M$2:$M$1001,0)+COUNTIF($M$2:M262,M262)-1</f>
        <v>284</v>
      </c>
      <c r="O262" t="str">
        <f>INDEX('Boundary table'!$B$3:$B$7,MATCH(M262,'Boundary table'!$A$3:$A$7))</f>
        <v>C</v>
      </c>
      <c r="P262">
        <f>Table1[[#This Row],[Math Score]]+Table1[[#This Row],[Reading Score]]+Table1[[#This Row],[Writing Score]]</f>
        <v>220</v>
      </c>
      <c r="Q262" s="16">
        <f>COUNTIF(Table1[[#This Row],[Math Score]],"&lt;60")+COUNTIF(Table1[[#This Row],[Reading Score]],"&lt;60")+COUNTIF(Table1[[#This Row],[Writing Score]],"&lt;60")</f>
        <v>0</v>
      </c>
      <c r="R262" t="str">
        <f>IF(Table1[[#This Row],[Fail Count]]&gt;=2,"At risk","OK")</f>
        <v>OK</v>
      </c>
    </row>
    <row r="263" spans="1:18">
      <c r="A263" t="str">
        <f t="shared" si="4"/>
        <v>Stu-262</v>
      </c>
      <c r="B263" t="s">
        <v>27</v>
      </c>
      <c r="C263" t="s">
        <v>19</v>
      </c>
      <c r="D263" t="s">
        <v>20</v>
      </c>
      <c r="E263" t="s">
        <v>14</v>
      </c>
      <c r="F263" t="s">
        <v>21</v>
      </c>
      <c r="G263" s="16">
        <v>79</v>
      </c>
      <c r="H263">
        <f>RANK(G263,$G$2:$G$1001,0)+COUNTIF($G$2:G263,G263)-1</f>
        <v>199</v>
      </c>
      <c r="I263" t="str">
        <f>INDEX('Boundary table'!$B$3:$B$7,MATCH(G263,'Boundary table'!$A$3:$A$7,1))</f>
        <v>C</v>
      </c>
      <c r="J263" s="16">
        <v>79</v>
      </c>
      <c r="K263">
        <f>RANK(J263,$J$2:$J$1001,0)+COUNTIF($J$2:J263,J263)-1</f>
        <v>255</v>
      </c>
      <c r="L263" t="str">
        <f>INDEX('Boundary table'!$B$3:$B$7,MATCH(J263,'Boundary table'!$A$3:$A$7,1))</f>
        <v>C</v>
      </c>
      <c r="M263" s="16">
        <v>78</v>
      </c>
      <c r="N263">
        <f>RANK(M263,$M$2:$M$1001,0)+COUNTIF($M$2:M263,M263)-1</f>
        <v>265</v>
      </c>
      <c r="O263" t="str">
        <f>INDEX('Boundary table'!$B$3:$B$7,MATCH(M263,'Boundary table'!$A$3:$A$7))</f>
        <v>C</v>
      </c>
      <c r="P263">
        <f>Table1[[#This Row],[Math Score]]+Table1[[#This Row],[Reading Score]]+Table1[[#This Row],[Writing Score]]</f>
        <v>236</v>
      </c>
      <c r="Q263" s="16">
        <f>COUNTIF(Table1[[#This Row],[Math Score]],"&lt;60")+COUNTIF(Table1[[#This Row],[Reading Score]],"&lt;60")+COUNTIF(Table1[[#This Row],[Writing Score]],"&lt;60")</f>
        <v>0</v>
      </c>
      <c r="R263" t="str">
        <f>IF(Table1[[#This Row],[Fail Count]]&gt;=2,"At risk","OK")</f>
        <v>OK</v>
      </c>
    </row>
    <row r="264" spans="1:18">
      <c r="A264" t="str">
        <f t="shared" si="4"/>
        <v>Stu-263</v>
      </c>
      <c r="B264" t="s">
        <v>11</v>
      </c>
      <c r="C264" t="s">
        <v>19</v>
      </c>
      <c r="D264" t="s">
        <v>33</v>
      </c>
      <c r="E264" t="s">
        <v>30</v>
      </c>
      <c r="F264" t="s">
        <v>15</v>
      </c>
      <c r="G264" s="16">
        <v>44</v>
      </c>
      <c r="H264">
        <f>RANK(G264,$G$2:$G$1001,0)+COUNTIF($G$2:G264,G264)-1</f>
        <v>927</v>
      </c>
      <c r="I264" t="str">
        <f>INDEX('Boundary table'!$B$3:$B$7,MATCH(G264,'Boundary table'!$A$3:$A$7,1))</f>
        <v>F</v>
      </c>
      <c r="J264" s="16">
        <v>50</v>
      </c>
      <c r="K264">
        <f>RANK(J264,$J$2:$J$1001,0)+COUNTIF($J$2:J264,J264)-1</f>
        <v>906</v>
      </c>
      <c r="L264" t="str">
        <f>INDEX('Boundary table'!$B$3:$B$7,MATCH(J264,'Boundary table'!$A$3:$A$7,1))</f>
        <v>F</v>
      </c>
      <c r="M264" s="16">
        <v>51</v>
      </c>
      <c r="N264">
        <f>RANK(M264,$M$2:$M$1001,0)+COUNTIF($M$2:M264,M264)-1</f>
        <v>864</v>
      </c>
      <c r="O264" t="str">
        <f>INDEX('Boundary table'!$B$3:$B$7,MATCH(M264,'Boundary table'!$A$3:$A$7))</f>
        <v>F</v>
      </c>
      <c r="P264">
        <f>Table1[[#This Row],[Math Score]]+Table1[[#This Row],[Reading Score]]+Table1[[#This Row],[Writing Score]]</f>
        <v>145</v>
      </c>
      <c r="Q264" s="16">
        <f>COUNTIF(Table1[[#This Row],[Math Score]],"&lt;60")+COUNTIF(Table1[[#This Row],[Reading Score]],"&lt;60")+COUNTIF(Table1[[#This Row],[Writing Score]],"&lt;60")</f>
        <v>3</v>
      </c>
      <c r="R264" t="str">
        <f>IF(Table1[[#This Row],[Fail Count]]&gt;=2,"At risk","OK")</f>
        <v>At risk</v>
      </c>
    </row>
    <row r="265" spans="1:18">
      <c r="A265" t="str">
        <f t="shared" si="4"/>
        <v>Stu-264</v>
      </c>
      <c r="B265" t="s">
        <v>11</v>
      </c>
      <c r="C265" t="s">
        <v>34</v>
      </c>
      <c r="D265" t="s">
        <v>32</v>
      </c>
      <c r="E265" t="s">
        <v>14</v>
      </c>
      <c r="F265" t="s">
        <v>15</v>
      </c>
      <c r="G265" s="16">
        <v>99</v>
      </c>
      <c r="H265">
        <f>RANK(G265,$G$2:$G$1001,0)+COUNTIF($G$2:G265,G265)-1</f>
        <v>9</v>
      </c>
      <c r="I265" t="str">
        <f>INDEX('Boundary table'!$B$3:$B$7,MATCH(G265,'Boundary table'!$A$3:$A$7,1))</f>
        <v>A</v>
      </c>
      <c r="J265" s="16">
        <v>93</v>
      </c>
      <c r="K265">
        <f>RANK(J265,$J$2:$J$1001,0)+COUNTIF($J$2:J265,J265)-1</f>
        <v>42</v>
      </c>
      <c r="L265" t="str">
        <f>INDEX('Boundary table'!$B$3:$B$7,MATCH(J265,'Boundary table'!$A$3:$A$7,1))</f>
        <v>A</v>
      </c>
      <c r="M265" s="16">
        <v>90</v>
      </c>
      <c r="N265">
        <f>RANK(M265,$M$2:$M$1001,0)+COUNTIF($M$2:M265,M265)-1</f>
        <v>70</v>
      </c>
      <c r="O265" t="str">
        <f>INDEX('Boundary table'!$B$3:$B$7,MATCH(M265,'Boundary table'!$A$3:$A$7))</f>
        <v>A</v>
      </c>
      <c r="P265">
        <f>Table1[[#This Row],[Math Score]]+Table1[[#This Row],[Reading Score]]+Table1[[#This Row],[Writing Score]]</f>
        <v>282</v>
      </c>
      <c r="Q265" s="16">
        <f>COUNTIF(Table1[[#This Row],[Math Score]],"&lt;60")+COUNTIF(Table1[[#This Row],[Reading Score]],"&lt;60")+COUNTIF(Table1[[#This Row],[Writing Score]],"&lt;60")</f>
        <v>0</v>
      </c>
      <c r="R265" t="str">
        <f>IF(Table1[[#This Row],[Fail Count]]&gt;=2,"At risk","OK")</f>
        <v>OK</v>
      </c>
    </row>
    <row r="266" spans="1:18">
      <c r="A266" t="str">
        <f t="shared" si="4"/>
        <v>Stu-265</v>
      </c>
      <c r="B266" t="s">
        <v>27</v>
      </c>
      <c r="C266" t="s">
        <v>31</v>
      </c>
      <c r="D266" t="s">
        <v>32</v>
      </c>
      <c r="E266" t="s">
        <v>14</v>
      </c>
      <c r="F266" t="s">
        <v>15</v>
      </c>
      <c r="G266" s="16">
        <v>76</v>
      </c>
      <c r="H266">
        <f>RANK(G266,$G$2:$G$1001,0)+COUNTIF($G$2:G266,G266)-1</f>
        <v>259</v>
      </c>
      <c r="I266" t="str">
        <f>INDEX('Boundary table'!$B$3:$B$7,MATCH(G266,'Boundary table'!$A$3:$A$7,1))</f>
        <v>C</v>
      </c>
      <c r="J266" s="16">
        <v>73</v>
      </c>
      <c r="K266">
        <f>RANK(J266,$J$2:$J$1001,0)+COUNTIF($J$2:J266,J266)-1</f>
        <v>410</v>
      </c>
      <c r="L266" t="str">
        <f>INDEX('Boundary table'!$B$3:$B$7,MATCH(J266,'Boundary table'!$A$3:$A$7,1))</f>
        <v>C</v>
      </c>
      <c r="M266" s="16">
        <v>68</v>
      </c>
      <c r="N266">
        <f>RANK(M266,$M$2:$M$1001,0)+COUNTIF($M$2:M266,M266)-1</f>
        <v>521</v>
      </c>
      <c r="O266" t="str">
        <f>INDEX('Boundary table'!$B$3:$B$7,MATCH(M266,'Boundary table'!$A$3:$A$7))</f>
        <v>D</v>
      </c>
      <c r="P266">
        <f>Table1[[#This Row],[Math Score]]+Table1[[#This Row],[Reading Score]]+Table1[[#This Row],[Writing Score]]</f>
        <v>217</v>
      </c>
      <c r="Q266" s="16">
        <f>COUNTIF(Table1[[#This Row],[Math Score]],"&lt;60")+COUNTIF(Table1[[#This Row],[Reading Score]],"&lt;60")+COUNTIF(Table1[[#This Row],[Writing Score]],"&lt;60")</f>
        <v>0</v>
      </c>
      <c r="R266" t="str">
        <f>IF(Table1[[#This Row],[Fail Count]]&gt;=2,"At risk","OK")</f>
        <v>OK</v>
      </c>
    </row>
    <row r="267" spans="1:18">
      <c r="A267" t="str">
        <f t="shared" si="4"/>
        <v>Stu-266</v>
      </c>
      <c r="B267" t="s">
        <v>27</v>
      </c>
      <c r="C267" t="s">
        <v>31</v>
      </c>
      <c r="D267" t="s">
        <v>33</v>
      </c>
      <c r="E267" t="s">
        <v>30</v>
      </c>
      <c r="F267" t="s">
        <v>15</v>
      </c>
      <c r="G267" s="16">
        <v>59</v>
      </c>
      <c r="H267">
        <f>RANK(G267,$G$2:$G$1001,0)+COUNTIF($G$2:G267,G267)-1</f>
        <v>686</v>
      </c>
      <c r="I267" t="str">
        <f>INDEX('Boundary table'!$B$3:$B$7,MATCH(G267,'Boundary table'!$A$3:$A$7,1))</f>
        <v>F</v>
      </c>
      <c r="J267" s="16">
        <v>42</v>
      </c>
      <c r="K267">
        <f>RANK(J267,$J$2:$J$1001,0)+COUNTIF($J$2:J267,J267)-1</f>
        <v>964</v>
      </c>
      <c r="L267" t="str">
        <f>INDEX('Boundary table'!$B$3:$B$7,MATCH(J267,'Boundary table'!$A$3:$A$7,1))</f>
        <v>F</v>
      </c>
      <c r="M267" s="16">
        <v>41</v>
      </c>
      <c r="N267">
        <f>RANK(M267,$M$2:$M$1001,0)+COUNTIF($M$2:M267,M267)-1</f>
        <v>960</v>
      </c>
      <c r="O267" t="str">
        <f>INDEX('Boundary table'!$B$3:$B$7,MATCH(M267,'Boundary table'!$A$3:$A$7))</f>
        <v>F</v>
      </c>
      <c r="P267">
        <f>Table1[[#This Row],[Math Score]]+Table1[[#This Row],[Reading Score]]+Table1[[#This Row],[Writing Score]]</f>
        <v>142</v>
      </c>
      <c r="Q267" s="16">
        <f>COUNTIF(Table1[[#This Row],[Math Score]],"&lt;60")+COUNTIF(Table1[[#This Row],[Reading Score]],"&lt;60")+COUNTIF(Table1[[#This Row],[Writing Score]],"&lt;60")</f>
        <v>3</v>
      </c>
      <c r="R267" t="str">
        <f>IF(Table1[[#This Row],[Fail Count]]&gt;=2,"At risk","OK")</f>
        <v>At risk</v>
      </c>
    </row>
    <row r="268" spans="1:18">
      <c r="A268" t="str">
        <f t="shared" si="4"/>
        <v>Stu-267</v>
      </c>
      <c r="B268" t="s">
        <v>11</v>
      </c>
      <c r="C268" t="s">
        <v>19</v>
      </c>
      <c r="D268" t="s">
        <v>13</v>
      </c>
      <c r="E268" t="s">
        <v>14</v>
      </c>
      <c r="F268" t="s">
        <v>15</v>
      </c>
      <c r="G268" s="16">
        <v>63</v>
      </c>
      <c r="H268">
        <f>RANK(G268,$G$2:$G$1001,0)+COUNTIF($G$2:G268,G268)-1</f>
        <v>580</v>
      </c>
      <c r="I268" t="str">
        <f>INDEX('Boundary table'!$B$3:$B$7,MATCH(G268,'Boundary table'!$A$3:$A$7,1))</f>
        <v>D</v>
      </c>
      <c r="J268" s="16">
        <v>75</v>
      </c>
      <c r="K268">
        <f>RANK(J268,$J$2:$J$1001,0)+COUNTIF($J$2:J268,J268)-1</f>
        <v>351</v>
      </c>
      <c r="L268" t="str">
        <f>INDEX('Boundary table'!$B$3:$B$7,MATCH(J268,'Boundary table'!$A$3:$A$7,1))</f>
        <v>C</v>
      </c>
      <c r="M268" s="16">
        <v>81</v>
      </c>
      <c r="N268">
        <f>RANK(M268,$M$2:$M$1001,0)+COUNTIF($M$2:M268,M268)-1</f>
        <v>194</v>
      </c>
      <c r="O268" t="str">
        <f>INDEX('Boundary table'!$B$3:$B$7,MATCH(M268,'Boundary table'!$A$3:$A$7))</f>
        <v>B</v>
      </c>
      <c r="P268">
        <f>Table1[[#This Row],[Math Score]]+Table1[[#This Row],[Reading Score]]+Table1[[#This Row],[Writing Score]]</f>
        <v>219</v>
      </c>
      <c r="Q268" s="16">
        <f>COUNTIF(Table1[[#This Row],[Math Score]],"&lt;60")+COUNTIF(Table1[[#This Row],[Reading Score]],"&lt;60")+COUNTIF(Table1[[#This Row],[Writing Score]],"&lt;60")</f>
        <v>0</v>
      </c>
      <c r="R268" t="str">
        <f>IF(Table1[[#This Row],[Fail Count]]&gt;=2,"At risk","OK")</f>
        <v>OK</v>
      </c>
    </row>
    <row r="269" spans="1:18">
      <c r="A269" t="str">
        <f t="shared" si="4"/>
        <v>Stu-268</v>
      </c>
      <c r="B269" t="s">
        <v>11</v>
      </c>
      <c r="C269" t="s">
        <v>31</v>
      </c>
      <c r="D269" t="s">
        <v>32</v>
      </c>
      <c r="E269" t="s">
        <v>14</v>
      </c>
      <c r="F269" t="s">
        <v>15</v>
      </c>
      <c r="G269" s="16">
        <v>69</v>
      </c>
      <c r="H269">
        <f>RANK(G269,$G$2:$G$1001,0)+COUNTIF($G$2:G269,G269)-1</f>
        <v>418</v>
      </c>
      <c r="I269" t="str">
        <f>INDEX('Boundary table'!$B$3:$B$7,MATCH(G269,'Boundary table'!$A$3:$A$7,1))</f>
        <v>D</v>
      </c>
      <c r="J269" s="16">
        <v>72</v>
      </c>
      <c r="K269">
        <f>RANK(J269,$J$2:$J$1001,0)+COUNTIF($J$2:J269,J269)-1</f>
        <v>443</v>
      </c>
      <c r="L269" t="str">
        <f>INDEX('Boundary table'!$B$3:$B$7,MATCH(J269,'Boundary table'!$A$3:$A$7,1))</f>
        <v>C</v>
      </c>
      <c r="M269" s="16">
        <v>77</v>
      </c>
      <c r="N269">
        <f>RANK(M269,$M$2:$M$1001,0)+COUNTIF($M$2:M269,M269)-1</f>
        <v>285</v>
      </c>
      <c r="O269" t="str">
        <f>INDEX('Boundary table'!$B$3:$B$7,MATCH(M269,'Boundary table'!$A$3:$A$7))</f>
        <v>C</v>
      </c>
      <c r="P269">
        <f>Table1[[#This Row],[Math Score]]+Table1[[#This Row],[Reading Score]]+Table1[[#This Row],[Writing Score]]</f>
        <v>218</v>
      </c>
      <c r="Q269" s="16">
        <f>COUNTIF(Table1[[#This Row],[Math Score]],"&lt;60")+COUNTIF(Table1[[#This Row],[Reading Score]],"&lt;60")+COUNTIF(Table1[[#This Row],[Writing Score]],"&lt;60")</f>
        <v>0</v>
      </c>
      <c r="R269" t="str">
        <f>IF(Table1[[#This Row],[Fail Count]]&gt;=2,"At risk","OK")</f>
        <v>OK</v>
      </c>
    </row>
    <row r="270" spans="1:18">
      <c r="A270" t="str">
        <f t="shared" si="4"/>
        <v>Stu-269</v>
      </c>
      <c r="B270" t="s">
        <v>11</v>
      </c>
      <c r="C270" t="s">
        <v>31</v>
      </c>
      <c r="D270" t="s">
        <v>29</v>
      </c>
      <c r="E270" t="s">
        <v>14</v>
      </c>
      <c r="F270" t="s">
        <v>21</v>
      </c>
      <c r="G270" s="16">
        <v>88</v>
      </c>
      <c r="H270">
        <f>RANK(G270,$G$2:$G$1001,0)+COUNTIF($G$2:G270,G270)-1</f>
        <v>72</v>
      </c>
      <c r="I270" t="str">
        <f>INDEX('Boundary table'!$B$3:$B$7,MATCH(G270,'Boundary table'!$A$3:$A$7,1))</f>
        <v>B</v>
      </c>
      <c r="J270" s="16">
        <v>92</v>
      </c>
      <c r="K270">
        <f>RANK(J270,$J$2:$J$1001,0)+COUNTIF($J$2:J270,J270)-1</f>
        <v>49</v>
      </c>
      <c r="L270" t="str">
        <f>INDEX('Boundary table'!$B$3:$B$7,MATCH(J270,'Boundary table'!$A$3:$A$7,1))</f>
        <v>A</v>
      </c>
      <c r="M270" s="16">
        <v>95</v>
      </c>
      <c r="N270">
        <f>RANK(M270,$M$2:$M$1001,0)+COUNTIF($M$2:M270,M270)-1</f>
        <v>27</v>
      </c>
      <c r="O270" t="str">
        <f>INDEX('Boundary table'!$B$3:$B$7,MATCH(M270,'Boundary table'!$A$3:$A$7))</f>
        <v>A</v>
      </c>
      <c r="P270">
        <f>Table1[[#This Row],[Math Score]]+Table1[[#This Row],[Reading Score]]+Table1[[#This Row],[Writing Score]]</f>
        <v>275</v>
      </c>
      <c r="Q270" s="16">
        <f>COUNTIF(Table1[[#This Row],[Math Score]],"&lt;60")+COUNTIF(Table1[[#This Row],[Reading Score]],"&lt;60")+COUNTIF(Table1[[#This Row],[Writing Score]],"&lt;60")</f>
        <v>0</v>
      </c>
      <c r="R270" t="str">
        <f>IF(Table1[[#This Row],[Fail Count]]&gt;=2,"At risk","OK")</f>
        <v>OK</v>
      </c>
    </row>
    <row r="271" spans="1:18">
      <c r="A271" t="str">
        <f t="shared" si="4"/>
        <v>Stu-270</v>
      </c>
      <c r="B271" t="s">
        <v>11</v>
      </c>
      <c r="C271" t="s">
        <v>34</v>
      </c>
      <c r="D271" t="s">
        <v>20</v>
      </c>
      <c r="E271" t="s">
        <v>30</v>
      </c>
      <c r="F271" t="s">
        <v>15</v>
      </c>
      <c r="G271" s="16">
        <v>71</v>
      </c>
      <c r="H271">
        <f>RANK(G271,$G$2:$G$1001,0)+COUNTIF($G$2:G271,G271)-1</f>
        <v>373</v>
      </c>
      <c r="I271" t="str">
        <f>INDEX('Boundary table'!$B$3:$B$7,MATCH(G271,'Boundary table'!$A$3:$A$7,1))</f>
        <v>C</v>
      </c>
      <c r="J271" s="16">
        <v>76</v>
      </c>
      <c r="K271">
        <f>RANK(J271,$J$2:$J$1001,0)+COUNTIF($J$2:J271,J271)-1</f>
        <v>325</v>
      </c>
      <c r="L271" t="str">
        <f>INDEX('Boundary table'!$B$3:$B$7,MATCH(J271,'Boundary table'!$A$3:$A$7,1))</f>
        <v>C</v>
      </c>
      <c r="M271" s="16">
        <v>70</v>
      </c>
      <c r="N271">
        <f>RANK(M271,$M$2:$M$1001,0)+COUNTIF($M$2:M271,M271)-1</f>
        <v>468</v>
      </c>
      <c r="O271" t="str">
        <f>INDEX('Boundary table'!$B$3:$B$7,MATCH(M271,'Boundary table'!$A$3:$A$7))</f>
        <v>C</v>
      </c>
      <c r="P271">
        <f>Table1[[#This Row],[Math Score]]+Table1[[#This Row],[Reading Score]]+Table1[[#This Row],[Writing Score]]</f>
        <v>217</v>
      </c>
      <c r="Q271" s="16">
        <f>COUNTIF(Table1[[#This Row],[Math Score]],"&lt;60")+COUNTIF(Table1[[#This Row],[Reading Score]],"&lt;60")+COUNTIF(Table1[[#This Row],[Writing Score]],"&lt;60")</f>
        <v>0</v>
      </c>
      <c r="R271" t="str">
        <f>IF(Table1[[#This Row],[Fail Count]]&gt;=2,"At risk","OK")</f>
        <v>OK</v>
      </c>
    </row>
    <row r="272" spans="1:18">
      <c r="A272" t="str">
        <f t="shared" si="4"/>
        <v>Stu-271</v>
      </c>
      <c r="B272" t="s">
        <v>27</v>
      </c>
      <c r="C272" t="s">
        <v>19</v>
      </c>
      <c r="D272" t="s">
        <v>13</v>
      </c>
      <c r="E272" t="s">
        <v>14</v>
      </c>
      <c r="F272" t="s">
        <v>15</v>
      </c>
      <c r="G272" s="16">
        <v>69</v>
      </c>
      <c r="H272">
        <f>RANK(G272,$G$2:$G$1001,0)+COUNTIF($G$2:G272,G272)-1</f>
        <v>419</v>
      </c>
      <c r="I272" t="str">
        <f>INDEX('Boundary table'!$B$3:$B$7,MATCH(G272,'Boundary table'!$A$3:$A$7,1))</f>
        <v>D</v>
      </c>
      <c r="J272" s="16">
        <v>63</v>
      </c>
      <c r="K272">
        <f>RANK(J272,$J$2:$J$1001,0)+COUNTIF($J$2:J272,J272)-1</f>
        <v>663</v>
      </c>
      <c r="L272" t="str">
        <f>INDEX('Boundary table'!$B$3:$B$7,MATCH(J272,'Boundary table'!$A$3:$A$7,1))</f>
        <v>D</v>
      </c>
      <c r="M272" s="16">
        <v>61</v>
      </c>
      <c r="N272">
        <f>RANK(M272,$M$2:$M$1001,0)+COUNTIF($M$2:M272,M272)-1</f>
        <v>684</v>
      </c>
      <c r="O272" t="str">
        <f>INDEX('Boundary table'!$B$3:$B$7,MATCH(M272,'Boundary table'!$A$3:$A$7))</f>
        <v>D</v>
      </c>
      <c r="P272">
        <f>Table1[[#This Row],[Math Score]]+Table1[[#This Row],[Reading Score]]+Table1[[#This Row],[Writing Score]]</f>
        <v>193</v>
      </c>
      <c r="Q272" s="16">
        <f>COUNTIF(Table1[[#This Row],[Math Score]],"&lt;60")+COUNTIF(Table1[[#This Row],[Reading Score]],"&lt;60")+COUNTIF(Table1[[#This Row],[Writing Score]],"&lt;60")</f>
        <v>0</v>
      </c>
      <c r="R272" t="str">
        <f>IF(Table1[[#This Row],[Fail Count]]&gt;=2,"At risk","OK")</f>
        <v>OK</v>
      </c>
    </row>
    <row r="273" spans="1:18">
      <c r="A273" t="str">
        <f t="shared" si="4"/>
        <v>Stu-272</v>
      </c>
      <c r="B273" t="s">
        <v>27</v>
      </c>
      <c r="C273" t="s">
        <v>19</v>
      </c>
      <c r="D273" t="s">
        <v>20</v>
      </c>
      <c r="E273" t="s">
        <v>14</v>
      </c>
      <c r="F273" t="s">
        <v>15</v>
      </c>
      <c r="G273" s="16">
        <v>58</v>
      </c>
      <c r="H273">
        <f>RANK(G273,$G$2:$G$1001,0)+COUNTIF($G$2:G273,G273)-1</f>
        <v>721</v>
      </c>
      <c r="I273" t="str">
        <f>INDEX('Boundary table'!$B$3:$B$7,MATCH(G273,'Boundary table'!$A$3:$A$7,1))</f>
        <v>F</v>
      </c>
      <c r="J273" s="16">
        <v>49</v>
      </c>
      <c r="K273">
        <f>RANK(J273,$J$2:$J$1001,0)+COUNTIF($J$2:J273,J273)-1</f>
        <v>916</v>
      </c>
      <c r="L273" t="str">
        <f>INDEX('Boundary table'!$B$3:$B$7,MATCH(J273,'Boundary table'!$A$3:$A$7,1))</f>
        <v>F</v>
      </c>
      <c r="M273" s="16">
        <v>42</v>
      </c>
      <c r="N273">
        <f>RANK(M273,$M$2:$M$1001,0)+COUNTIF($M$2:M273,M273)-1</f>
        <v>954</v>
      </c>
      <c r="O273" t="str">
        <f>INDEX('Boundary table'!$B$3:$B$7,MATCH(M273,'Boundary table'!$A$3:$A$7))</f>
        <v>F</v>
      </c>
      <c r="P273">
        <f>Table1[[#This Row],[Math Score]]+Table1[[#This Row],[Reading Score]]+Table1[[#This Row],[Writing Score]]</f>
        <v>149</v>
      </c>
      <c r="Q273" s="16">
        <f>COUNTIF(Table1[[#This Row],[Math Score]],"&lt;60")+COUNTIF(Table1[[#This Row],[Reading Score]],"&lt;60")+COUNTIF(Table1[[#This Row],[Writing Score]],"&lt;60")</f>
        <v>3</v>
      </c>
      <c r="R273" t="str">
        <f>IF(Table1[[#This Row],[Fail Count]]&gt;=2,"At risk","OK")</f>
        <v>At risk</v>
      </c>
    </row>
    <row r="274" spans="1:18">
      <c r="A274" t="str">
        <f t="shared" si="4"/>
        <v>Stu-273</v>
      </c>
      <c r="B274" t="s">
        <v>11</v>
      </c>
      <c r="C274" t="s">
        <v>31</v>
      </c>
      <c r="D274" t="s">
        <v>29</v>
      </c>
      <c r="E274" t="s">
        <v>30</v>
      </c>
      <c r="F274" t="s">
        <v>15</v>
      </c>
      <c r="G274" s="16">
        <v>47</v>
      </c>
      <c r="H274">
        <f>RANK(G274,$G$2:$G$1001,0)+COUNTIF($G$2:G274,G274)-1</f>
        <v>897</v>
      </c>
      <c r="I274" t="str">
        <f>INDEX('Boundary table'!$B$3:$B$7,MATCH(G274,'Boundary table'!$A$3:$A$7,1))</f>
        <v>F</v>
      </c>
      <c r="J274" s="16">
        <v>53</v>
      </c>
      <c r="K274">
        <f>RANK(J274,$J$2:$J$1001,0)+COUNTIF($J$2:J274,J274)-1</f>
        <v>864</v>
      </c>
      <c r="L274" t="str">
        <f>INDEX('Boundary table'!$B$3:$B$7,MATCH(J274,'Boundary table'!$A$3:$A$7,1))</f>
        <v>F</v>
      </c>
      <c r="M274" s="16">
        <v>58</v>
      </c>
      <c r="N274">
        <f>RANK(M274,$M$2:$M$1001,0)+COUNTIF($M$2:M274,M274)-1</f>
        <v>736</v>
      </c>
      <c r="O274" t="str">
        <f>INDEX('Boundary table'!$B$3:$B$7,MATCH(M274,'Boundary table'!$A$3:$A$7))</f>
        <v>F</v>
      </c>
      <c r="P274">
        <f>Table1[[#This Row],[Math Score]]+Table1[[#This Row],[Reading Score]]+Table1[[#This Row],[Writing Score]]</f>
        <v>158</v>
      </c>
      <c r="Q274" s="16">
        <f>COUNTIF(Table1[[#This Row],[Math Score]],"&lt;60")+COUNTIF(Table1[[#This Row],[Reading Score]],"&lt;60")+COUNTIF(Table1[[#This Row],[Writing Score]],"&lt;60")</f>
        <v>3</v>
      </c>
      <c r="R274" t="str">
        <f>IF(Table1[[#This Row],[Fail Count]]&gt;=2,"At risk","OK")</f>
        <v>At risk</v>
      </c>
    </row>
    <row r="275" spans="1:18">
      <c r="A275" t="str">
        <f t="shared" si="4"/>
        <v>Stu-274</v>
      </c>
      <c r="B275" t="s">
        <v>11</v>
      </c>
      <c r="C275" t="s">
        <v>31</v>
      </c>
      <c r="D275" t="s">
        <v>20</v>
      </c>
      <c r="E275" t="s">
        <v>14</v>
      </c>
      <c r="F275" t="s">
        <v>15</v>
      </c>
      <c r="G275" s="16">
        <v>65</v>
      </c>
      <c r="H275">
        <f>RANK(G275,$G$2:$G$1001,0)+COUNTIF($G$2:G275,G275)-1</f>
        <v>530</v>
      </c>
      <c r="I275" t="str">
        <f>INDEX('Boundary table'!$B$3:$B$7,MATCH(G275,'Boundary table'!$A$3:$A$7,1))</f>
        <v>D</v>
      </c>
      <c r="J275" s="16">
        <v>70</v>
      </c>
      <c r="K275">
        <f>RANK(J275,$J$2:$J$1001,0)+COUNTIF($J$2:J275,J275)-1</f>
        <v>495</v>
      </c>
      <c r="L275" t="str">
        <f>INDEX('Boundary table'!$B$3:$B$7,MATCH(J275,'Boundary table'!$A$3:$A$7,1))</f>
        <v>C</v>
      </c>
      <c r="M275" s="16">
        <v>71</v>
      </c>
      <c r="N275">
        <f>RANK(M275,$M$2:$M$1001,0)+COUNTIF($M$2:M275,M275)-1</f>
        <v>444</v>
      </c>
      <c r="O275" t="str">
        <f>INDEX('Boundary table'!$B$3:$B$7,MATCH(M275,'Boundary table'!$A$3:$A$7))</f>
        <v>C</v>
      </c>
      <c r="P275">
        <f>Table1[[#This Row],[Math Score]]+Table1[[#This Row],[Reading Score]]+Table1[[#This Row],[Writing Score]]</f>
        <v>206</v>
      </c>
      <c r="Q275" s="16">
        <f>COUNTIF(Table1[[#This Row],[Math Score]],"&lt;60")+COUNTIF(Table1[[#This Row],[Reading Score]],"&lt;60")+COUNTIF(Table1[[#This Row],[Writing Score]],"&lt;60")</f>
        <v>0</v>
      </c>
      <c r="R275" t="str">
        <f>IF(Table1[[#This Row],[Fail Count]]&gt;=2,"At risk","OK")</f>
        <v>OK</v>
      </c>
    </row>
    <row r="276" spans="1:18">
      <c r="A276" t="str">
        <f t="shared" si="4"/>
        <v>Stu-275</v>
      </c>
      <c r="B276" t="s">
        <v>27</v>
      </c>
      <c r="C276" t="s">
        <v>12</v>
      </c>
      <c r="D276" t="s">
        <v>20</v>
      </c>
      <c r="E276" t="s">
        <v>14</v>
      </c>
      <c r="F276" t="s">
        <v>21</v>
      </c>
      <c r="G276" s="16">
        <v>88</v>
      </c>
      <c r="H276">
        <f>RANK(G276,$G$2:$G$1001,0)+COUNTIF($G$2:G276,G276)-1</f>
        <v>73</v>
      </c>
      <c r="I276" t="str">
        <f>INDEX('Boundary table'!$B$3:$B$7,MATCH(G276,'Boundary table'!$A$3:$A$7,1))</f>
        <v>B</v>
      </c>
      <c r="J276" s="16">
        <v>85</v>
      </c>
      <c r="K276">
        <f>RANK(J276,$J$2:$J$1001,0)+COUNTIF($J$2:J276,J276)-1</f>
        <v>136</v>
      </c>
      <c r="L276" t="str">
        <f>INDEX('Boundary table'!$B$3:$B$7,MATCH(J276,'Boundary table'!$A$3:$A$7,1))</f>
        <v>B</v>
      </c>
      <c r="M276" s="16">
        <v>76</v>
      </c>
      <c r="N276">
        <f>RANK(M276,$M$2:$M$1001,0)+COUNTIF($M$2:M276,M276)-1</f>
        <v>309</v>
      </c>
      <c r="O276" t="str">
        <f>INDEX('Boundary table'!$B$3:$B$7,MATCH(M276,'Boundary table'!$A$3:$A$7))</f>
        <v>C</v>
      </c>
      <c r="P276">
        <f>Table1[[#This Row],[Math Score]]+Table1[[#This Row],[Reading Score]]+Table1[[#This Row],[Writing Score]]</f>
        <v>249</v>
      </c>
      <c r="Q276" s="16">
        <f>COUNTIF(Table1[[#This Row],[Math Score]],"&lt;60")+COUNTIF(Table1[[#This Row],[Reading Score]],"&lt;60")+COUNTIF(Table1[[#This Row],[Writing Score]],"&lt;60")</f>
        <v>0</v>
      </c>
      <c r="R276" t="str">
        <f>IF(Table1[[#This Row],[Fail Count]]&gt;=2,"At risk","OK")</f>
        <v>OK</v>
      </c>
    </row>
    <row r="277" spans="1:18">
      <c r="A277" t="str">
        <f t="shared" si="4"/>
        <v>Stu-276</v>
      </c>
      <c r="B277" t="s">
        <v>27</v>
      </c>
      <c r="C277" t="s">
        <v>19</v>
      </c>
      <c r="D277" t="s">
        <v>13</v>
      </c>
      <c r="E277" t="s">
        <v>14</v>
      </c>
      <c r="F277" t="s">
        <v>15</v>
      </c>
      <c r="G277" s="16">
        <v>83</v>
      </c>
      <c r="H277">
        <f>RANK(G277,$G$2:$G$1001,0)+COUNTIF($G$2:G277,G277)-1</f>
        <v>132</v>
      </c>
      <c r="I277" t="str">
        <f>INDEX('Boundary table'!$B$3:$B$7,MATCH(G277,'Boundary table'!$A$3:$A$7,1))</f>
        <v>B</v>
      </c>
      <c r="J277" s="16">
        <v>78</v>
      </c>
      <c r="K277">
        <f>RANK(J277,$J$2:$J$1001,0)+COUNTIF($J$2:J277,J277)-1</f>
        <v>273</v>
      </c>
      <c r="L277" t="str">
        <f>INDEX('Boundary table'!$B$3:$B$7,MATCH(J277,'Boundary table'!$A$3:$A$7,1))</f>
        <v>C</v>
      </c>
      <c r="M277" s="16">
        <v>73</v>
      </c>
      <c r="N277">
        <f>RANK(M277,$M$2:$M$1001,0)+COUNTIF($M$2:M277,M277)-1</f>
        <v>392</v>
      </c>
      <c r="O277" t="str">
        <f>INDEX('Boundary table'!$B$3:$B$7,MATCH(M277,'Boundary table'!$A$3:$A$7))</f>
        <v>C</v>
      </c>
      <c r="P277">
        <f>Table1[[#This Row],[Math Score]]+Table1[[#This Row],[Reading Score]]+Table1[[#This Row],[Writing Score]]</f>
        <v>234</v>
      </c>
      <c r="Q277" s="16">
        <f>COUNTIF(Table1[[#This Row],[Math Score]],"&lt;60")+COUNTIF(Table1[[#This Row],[Reading Score]],"&lt;60")+COUNTIF(Table1[[#This Row],[Writing Score]],"&lt;60")</f>
        <v>0</v>
      </c>
      <c r="R277" t="str">
        <f>IF(Table1[[#This Row],[Fail Count]]&gt;=2,"At risk","OK")</f>
        <v>OK</v>
      </c>
    </row>
    <row r="278" spans="1:18">
      <c r="A278" t="str">
        <f t="shared" si="4"/>
        <v>Stu-277</v>
      </c>
      <c r="B278" t="s">
        <v>11</v>
      </c>
      <c r="C278" t="s">
        <v>19</v>
      </c>
      <c r="D278" t="s">
        <v>33</v>
      </c>
      <c r="E278" t="s">
        <v>14</v>
      </c>
      <c r="F278" t="s">
        <v>21</v>
      </c>
      <c r="G278" s="16">
        <v>85</v>
      </c>
      <c r="H278">
        <f>RANK(G278,$G$2:$G$1001,0)+COUNTIF($G$2:G278,G278)-1</f>
        <v>106</v>
      </c>
      <c r="I278" t="str">
        <f>INDEX('Boundary table'!$B$3:$B$7,MATCH(G278,'Boundary table'!$A$3:$A$7,1))</f>
        <v>B</v>
      </c>
      <c r="J278" s="16">
        <v>92</v>
      </c>
      <c r="K278">
        <f>RANK(J278,$J$2:$J$1001,0)+COUNTIF($J$2:J278,J278)-1</f>
        <v>50</v>
      </c>
      <c r="L278" t="str">
        <f>INDEX('Boundary table'!$B$3:$B$7,MATCH(J278,'Boundary table'!$A$3:$A$7,1))</f>
        <v>A</v>
      </c>
      <c r="M278" s="16">
        <v>93</v>
      </c>
      <c r="N278">
        <f>RANK(M278,$M$2:$M$1001,0)+COUNTIF($M$2:M278,M278)-1</f>
        <v>44</v>
      </c>
      <c r="O278" t="str">
        <f>INDEX('Boundary table'!$B$3:$B$7,MATCH(M278,'Boundary table'!$A$3:$A$7))</f>
        <v>A</v>
      </c>
      <c r="P278">
        <f>Table1[[#This Row],[Math Score]]+Table1[[#This Row],[Reading Score]]+Table1[[#This Row],[Writing Score]]</f>
        <v>270</v>
      </c>
      <c r="Q278" s="16">
        <f>COUNTIF(Table1[[#This Row],[Math Score]],"&lt;60")+COUNTIF(Table1[[#This Row],[Reading Score]],"&lt;60")+COUNTIF(Table1[[#This Row],[Writing Score]],"&lt;60")</f>
        <v>0</v>
      </c>
      <c r="R278" t="str">
        <f>IF(Table1[[#This Row],[Fail Count]]&gt;=2,"At risk","OK")</f>
        <v>OK</v>
      </c>
    </row>
    <row r="279" spans="1:18">
      <c r="A279" t="str">
        <f t="shared" si="4"/>
        <v>Stu-278</v>
      </c>
      <c r="B279" t="s">
        <v>11</v>
      </c>
      <c r="C279" t="s">
        <v>34</v>
      </c>
      <c r="D279" t="s">
        <v>32</v>
      </c>
      <c r="E279" t="s">
        <v>14</v>
      </c>
      <c r="F279" t="s">
        <v>21</v>
      </c>
      <c r="G279" s="16">
        <v>59</v>
      </c>
      <c r="H279">
        <f>RANK(G279,$G$2:$G$1001,0)+COUNTIF($G$2:G279,G279)-1</f>
        <v>687</v>
      </c>
      <c r="I279" t="str">
        <f>INDEX('Boundary table'!$B$3:$B$7,MATCH(G279,'Boundary table'!$A$3:$A$7,1))</f>
        <v>F</v>
      </c>
      <c r="J279" s="16">
        <v>63</v>
      </c>
      <c r="K279">
        <f>RANK(J279,$J$2:$J$1001,0)+COUNTIF($J$2:J279,J279)-1</f>
        <v>664</v>
      </c>
      <c r="L279" t="str">
        <f>INDEX('Boundary table'!$B$3:$B$7,MATCH(J279,'Boundary table'!$A$3:$A$7,1))</f>
        <v>D</v>
      </c>
      <c r="M279" s="16">
        <v>75</v>
      </c>
      <c r="N279">
        <f>RANK(M279,$M$2:$M$1001,0)+COUNTIF($M$2:M279,M279)-1</f>
        <v>338</v>
      </c>
      <c r="O279" t="str">
        <f>INDEX('Boundary table'!$B$3:$B$7,MATCH(M279,'Boundary table'!$A$3:$A$7))</f>
        <v>C</v>
      </c>
      <c r="P279">
        <f>Table1[[#This Row],[Math Score]]+Table1[[#This Row],[Reading Score]]+Table1[[#This Row],[Writing Score]]</f>
        <v>197</v>
      </c>
      <c r="Q279" s="16">
        <f>COUNTIF(Table1[[#This Row],[Math Score]],"&lt;60")+COUNTIF(Table1[[#This Row],[Reading Score]],"&lt;60")+COUNTIF(Table1[[#This Row],[Writing Score]],"&lt;60")</f>
        <v>1</v>
      </c>
      <c r="R279" t="str">
        <f>IF(Table1[[#This Row],[Fail Count]]&gt;=2,"At risk","OK")</f>
        <v>OK</v>
      </c>
    </row>
    <row r="280" spans="1:18">
      <c r="A280" t="str">
        <f t="shared" si="4"/>
        <v>Stu-279</v>
      </c>
      <c r="B280" t="s">
        <v>11</v>
      </c>
      <c r="C280" t="s">
        <v>19</v>
      </c>
      <c r="D280" t="s">
        <v>33</v>
      </c>
      <c r="E280" t="s">
        <v>30</v>
      </c>
      <c r="F280" t="s">
        <v>15</v>
      </c>
      <c r="G280" s="16">
        <v>65</v>
      </c>
      <c r="H280">
        <f>RANK(G280,$G$2:$G$1001,0)+COUNTIF($G$2:G280,G280)-1</f>
        <v>531</v>
      </c>
      <c r="I280" t="str">
        <f>INDEX('Boundary table'!$B$3:$B$7,MATCH(G280,'Boundary table'!$A$3:$A$7,1))</f>
        <v>D</v>
      </c>
      <c r="J280" s="16">
        <v>86</v>
      </c>
      <c r="K280">
        <f>RANK(J280,$J$2:$J$1001,0)+COUNTIF($J$2:J280,J280)-1</f>
        <v>121</v>
      </c>
      <c r="L280" t="str">
        <f>INDEX('Boundary table'!$B$3:$B$7,MATCH(J280,'Boundary table'!$A$3:$A$7,1))</f>
        <v>B</v>
      </c>
      <c r="M280" s="16">
        <v>80</v>
      </c>
      <c r="N280">
        <f>RANK(M280,$M$2:$M$1001,0)+COUNTIF($M$2:M280,M280)-1</f>
        <v>211</v>
      </c>
      <c r="O280" t="str">
        <f>INDEX('Boundary table'!$B$3:$B$7,MATCH(M280,'Boundary table'!$A$3:$A$7))</f>
        <v>B</v>
      </c>
      <c r="P280">
        <f>Table1[[#This Row],[Math Score]]+Table1[[#This Row],[Reading Score]]+Table1[[#This Row],[Writing Score]]</f>
        <v>231</v>
      </c>
      <c r="Q280" s="16">
        <f>COUNTIF(Table1[[#This Row],[Math Score]],"&lt;60")+COUNTIF(Table1[[#This Row],[Reading Score]],"&lt;60")+COUNTIF(Table1[[#This Row],[Writing Score]],"&lt;60")</f>
        <v>0</v>
      </c>
      <c r="R280" t="str">
        <f>IF(Table1[[#This Row],[Fail Count]]&gt;=2,"At risk","OK")</f>
        <v>OK</v>
      </c>
    </row>
    <row r="281" spans="1:18">
      <c r="A281" t="str">
        <f t="shared" si="4"/>
        <v>Stu-280</v>
      </c>
      <c r="B281" t="s">
        <v>27</v>
      </c>
      <c r="C281" t="s">
        <v>12</v>
      </c>
      <c r="D281" t="s">
        <v>13</v>
      </c>
      <c r="E281" t="s">
        <v>30</v>
      </c>
      <c r="F281" t="s">
        <v>15</v>
      </c>
      <c r="G281" s="16">
        <v>73</v>
      </c>
      <c r="H281">
        <f>RANK(G281,$G$2:$G$1001,0)+COUNTIF($G$2:G281,G281)-1</f>
        <v>326</v>
      </c>
      <c r="I281" t="str">
        <f>INDEX('Boundary table'!$B$3:$B$7,MATCH(G281,'Boundary table'!$A$3:$A$7,1))</f>
        <v>C</v>
      </c>
      <c r="J281" s="16">
        <v>56</v>
      </c>
      <c r="K281">
        <f>RANK(J281,$J$2:$J$1001,0)+COUNTIF($J$2:J281,J281)-1</f>
        <v>814</v>
      </c>
      <c r="L281" t="str">
        <f>INDEX('Boundary table'!$B$3:$B$7,MATCH(J281,'Boundary table'!$A$3:$A$7,1))</f>
        <v>F</v>
      </c>
      <c r="M281" s="16">
        <v>57</v>
      </c>
      <c r="N281">
        <f>RANK(M281,$M$2:$M$1001,0)+COUNTIF($M$2:M281,M281)-1</f>
        <v>754</v>
      </c>
      <c r="O281" t="str">
        <f>INDEX('Boundary table'!$B$3:$B$7,MATCH(M281,'Boundary table'!$A$3:$A$7))</f>
        <v>F</v>
      </c>
      <c r="P281">
        <f>Table1[[#This Row],[Math Score]]+Table1[[#This Row],[Reading Score]]+Table1[[#This Row],[Writing Score]]</f>
        <v>186</v>
      </c>
      <c r="Q281" s="16">
        <f>COUNTIF(Table1[[#This Row],[Math Score]],"&lt;60")+COUNTIF(Table1[[#This Row],[Reading Score]],"&lt;60")+COUNTIF(Table1[[#This Row],[Writing Score]],"&lt;60")</f>
        <v>2</v>
      </c>
      <c r="R281" t="str">
        <f>IF(Table1[[#This Row],[Fail Count]]&gt;=2,"At risk","OK")</f>
        <v>At risk</v>
      </c>
    </row>
    <row r="282" spans="1:18">
      <c r="A282" t="str">
        <f t="shared" si="4"/>
        <v>Stu-281</v>
      </c>
      <c r="B282" t="s">
        <v>27</v>
      </c>
      <c r="C282" t="s">
        <v>31</v>
      </c>
      <c r="D282" t="s">
        <v>32</v>
      </c>
      <c r="E282" t="s">
        <v>14</v>
      </c>
      <c r="F282" t="s">
        <v>15</v>
      </c>
      <c r="G282" s="16">
        <v>53</v>
      </c>
      <c r="H282">
        <f>RANK(G282,$G$2:$G$1001,0)+COUNTIF($G$2:G282,G282)-1</f>
        <v>803</v>
      </c>
      <c r="I282" t="str">
        <f>INDEX('Boundary table'!$B$3:$B$7,MATCH(G282,'Boundary table'!$A$3:$A$7,1))</f>
        <v>F</v>
      </c>
      <c r="J282" s="16">
        <v>52</v>
      </c>
      <c r="K282">
        <f>RANK(J282,$J$2:$J$1001,0)+COUNTIF($J$2:J282,J282)-1</f>
        <v>878</v>
      </c>
      <c r="L282" t="str">
        <f>INDEX('Boundary table'!$B$3:$B$7,MATCH(J282,'Boundary table'!$A$3:$A$7,1))</f>
        <v>F</v>
      </c>
      <c r="M282" s="16">
        <v>42</v>
      </c>
      <c r="N282">
        <f>RANK(M282,$M$2:$M$1001,0)+COUNTIF($M$2:M282,M282)-1</f>
        <v>955</v>
      </c>
      <c r="O282" t="str">
        <f>INDEX('Boundary table'!$B$3:$B$7,MATCH(M282,'Boundary table'!$A$3:$A$7))</f>
        <v>F</v>
      </c>
      <c r="P282">
        <f>Table1[[#This Row],[Math Score]]+Table1[[#This Row],[Reading Score]]+Table1[[#This Row],[Writing Score]]</f>
        <v>147</v>
      </c>
      <c r="Q282" s="16">
        <f>COUNTIF(Table1[[#This Row],[Math Score]],"&lt;60")+COUNTIF(Table1[[#This Row],[Reading Score]],"&lt;60")+COUNTIF(Table1[[#This Row],[Writing Score]],"&lt;60")</f>
        <v>3</v>
      </c>
      <c r="R282" t="str">
        <f>IF(Table1[[#This Row],[Fail Count]]&gt;=2,"At risk","OK")</f>
        <v>At risk</v>
      </c>
    </row>
    <row r="283" spans="1:18">
      <c r="A283" t="str">
        <f t="shared" si="4"/>
        <v>Stu-282</v>
      </c>
      <c r="B283" t="s">
        <v>27</v>
      </c>
      <c r="C283" t="s">
        <v>31</v>
      </c>
      <c r="D283" t="s">
        <v>32</v>
      </c>
      <c r="E283" t="s">
        <v>14</v>
      </c>
      <c r="F283" t="s">
        <v>15</v>
      </c>
      <c r="G283" s="16">
        <v>45</v>
      </c>
      <c r="H283">
        <f>RANK(G283,$G$2:$G$1001,0)+COUNTIF($G$2:G283,G283)-1</f>
        <v>920</v>
      </c>
      <c r="I283" t="str">
        <f>INDEX('Boundary table'!$B$3:$B$7,MATCH(G283,'Boundary table'!$A$3:$A$7,1))</f>
        <v>F</v>
      </c>
      <c r="J283" s="16">
        <v>48</v>
      </c>
      <c r="K283">
        <f>RANK(J283,$J$2:$J$1001,0)+COUNTIF($J$2:J283,J283)-1</f>
        <v>921</v>
      </c>
      <c r="L283" t="str">
        <f>INDEX('Boundary table'!$B$3:$B$7,MATCH(J283,'Boundary table'!$A$3:$A$7,1))</f>
        <v>F</v>
      </c>
      <c r="M283" s="16">
        <v>46</v>
      </c>
      <c r="N283">
        <f>RANK(M283,$M$2:$M$1001,0)+COUNTIF($M$2:M283,M283)-1</f>
        <v>915</v>
      </c>
      <c r="O283" t="str">
        <f>INDEX('Boundary table'!$B$3:$B$7,MATCH(M283,'Boundary table'!$A$3:$A$7))</f>
        <v>F</v>
      </c>
      <c r="P283">
        <f>Table1[[#This Row],[Math Score]]+Table1[[#This Row],[Reading Score]]+Table1[[#This Row],[Writing Score]]</f>
        <v>139</v>
      </c>
      <c r="Q283" s="16">
        <f>COUNTIF(Table1[[#This Row],[Math Score]],"&lt;60")+COUNTIF(Table1[[#This Row],[Reading Score]],"&lt;60")+COUNTIF(Table1[[#This Row],[Writing Score]],"&lt;60")</f>
        <v>3</v>
      </c>
      <c r="R283" t="str">
        <f>IF(Table1[[#This Row],[Fail Count]]&gt;=2,"At risk","OK")</f>
        <v>At risk</v>
      </c>
    </row>
    <row r="284" spans="1:18">
      <c r="A284" t="str">
        <f t="shared" si="4"/>
        <v>Stu-283</v>
      </c>
      <c r="B284" t="s">
        <v>11</v>
      </c>
      <c r="C284" t="s">
        <v>31</v>
      </c>
      <c r="D284" t="s">
        <v>13</v>
      </c>
      <c r="E284" t="s">
        <v>30</v>
      </c>
      <c r="F284" t="s">
        <v>15</v>
      </c>
      <c r="G284" s="16">
        <v>73</v>
      </c>
      <c r="H284">
        <f>RANK(G284,$G$2:$G$1001,0)+COUNTIF($G$2:G284,G284)-1</f>
        <v>327</v>
      </c>
      <c r="I284" t="str">
        <f>INDEX('Boundary table'!$B$3:$B$7,MATCH(G284,'Boundary table'!$A$3:$A$7,1))</f>
        <v>C</v>
      </c>
      <c r="J284" s="16">
        <v>79</v>
      </c>
      <c r="K284">
        <f>RANK(J284,$J$2:$J$1001,0)+COUNTIF($J$2:J284,J284)-1</f>
        <v>256</v>
      </c>
      <c r="L284" t="str">
        <f>INDEX('Boundary table'!$B$3:$B$7,MATCH(J284,'Boundary table'!$A$3:$A$7,1))</f>
        <v>C</v>
      </c>
      <c r="M284" s="16">
        <v>84</v>
      </c>
      <c r="N284">
        <f>RANK(M284,$M$2:$M$1001,0)+COUNTIF($M$2:M284,M284)-1</f>
        <v>138</v>
      </c>
      <c r="O284" t="str">
        <f>INDEX('Boundary table'!$B$3:$B$7,MATCH(M284,'Boundary table'!$A$3:$A$7))</f>
        <v>B</v>
      </c>
      <c r="P284">
        <f>Table1[[#This Row],[Math Score]]+Table1[[#This Row],[Reading Score]]+Table1[[#This Row],[Writing Score]]</f>
        <v>236</v>
      </c>
      <c r="Q284" s="16">
        <f>COUNTIF(Table1[[#This Row],[Math Score]],"&lt;60")+COUNTIF(Table1[[#This Row],[Reading Score]],"&lt;60")+COUNTIF(Table1[[#This Row],[Writing Score]],"&lt;60")</f>
        <v>0</v>
      </c>
      <c r="R284" t="str">
        <f>IF(Table1[[#This Row],[Fail Count]]&gt;=2,"At risk","OK")</f>
        <v>OK</v>
      </c>
    </row>
    <row r="285" spans="1:18">
      <c r="A285" t="str">
        <f t="shared" si="4"/>
        <v>Stu-284</v>
      </c>
      <c r="B285" t="s">
        <v>11</v>
      </c>
      <c r="C285" t="s">
        <v>31</v>
      </c>
      <c r="D285" t="s">
        <v>20</v>
      </c>
      <c r="E285" t="s">
        <v>30</v>
      </c>
      <c r="F285" t="s">
        <v>21</v>
      </c>
      <c r="G285" s="16">
        <v>70</v>
      </c>
      <c r="H285">
        <f>RANK(G285,$G$2:$G$1001,0)+COUNTIF($G$2:G285,G285)-1</f>
        <v>397</v>
      </c>
      <c r="I285" t="str">
        <f>INDEX('Boundary table'!$B$3:$B$7,MATCH(G285,'Boundary table'!$A$3:$A$7,1))</f>
        <v>C</v>
      </c>
      <c r="J285" s="16">
        <v>78</v>
      </c>
      <c r="K285">
        <f>RANK(J285,$J$2:$J$1001,0)+COUNTIF($J$2:J285,J285)-1</f>
        <v>274</v>
      </c>
      <c r="L285" t="str">
        <f>INDEX('Boundary table'!$B$3:$B$7,MATCH(J285,'Boundary table'!$A$3:$A$7,1))</f>
        <v>C</v>
      </c>
      <c r="M285" s="16">
        <v>78</v>
      </c>
      <c r="N285">
        <f>RANK(M285,$M$2:$M$1001,0)+COUNTIF($M$2:M285,M285)-1</f>
        <v>266</v>
      </c>
      <c r="O285" t="str">
        <f>INDEX('Boundary table'!$B$3:$B$7,MATCH(M285,'Boundary table'!$A$3:$A$7))</f>
        <v>C</v>
      </c>
      <c r="P285">
        <f>Table1[[#This Row],[Math Score]]+Table1[[#This Row],[Reading Score]]+Table1[[#This Row],[Writing Score]]</f>
        <v>226</v>
      </c>
      <c r="Q285" s="16">
        <f>COUNTIF(Table1[[#This Row],[Math Score]],"&lt;60")+COUNTIF(Table1[[#This Row],[Reading Score]],"&lt;60")+COUNTIF(Table1[[#This Row],[Writing Score]],"&lt;60")</f>
        <v>0</v>
      </c>
      <c r="R285" t="str">
        <f>IF(Table1[[#This Row],[Fail Count]]&gt;=2,"At risk","OK")</f>
        <v>OK</v>
      </c>
    </row>
    <row r="286" spans="1:18">
      <c r="A286" t="str">
        <f t="shared" si="4"/>
        <v>Stu-285</v>
      </c>
      <c r="B286" t="s">
        <v>11</v>
      </c>
      <c r="C286" t="s">
        <v>12</v>
      </c>
      <c r="D286" t="s">
        <v>33</v>
      </c>
      <c r="E286" t="s">
        <v>14</v>
      </c>
      <c r="F286" t="s">
        <v>15</v>
      </c>
      <c r="G286" s="16">
        <v>37</v>
      </c>
      <c r="H286">
        <f>RANK(G286,$G$2:$G$1001,0)+COUNTIF($G$2:G286,G286)-1</f>
        <v>968</v>
      </c>
      <c r="I286" t="str">
        <f>INDEX('Boundary table'!$B$3:$B$7,MATCH(G286,'Boundary table'!$A$3:$A$7,1))</f>
        <v>F</v>
      </c>
      <c r="J286" s="16">
        <v>46</v>
      </c>
      <c r="K286">
        <f>RANK(J286,$J$2:$J$1001,0)+COUNTIF($J$2:J286,J286)-1</f>
        <v>935</v>
      </c>
      <c r="L286" t="str">
        <f>INDEX('Boundary table'!$B$3:$B$7,MATCH(J286,'Boundary table'!$A$3:$A$7,1))</f>
        <v>F</v>
      </c>
      <c r="M286" s="16">
        <v>46</v>
      </c>
      <c r="N286">
        <f>RANK(M286,$M$2:$M$1001,0)+COUNTIF($M$2:M286,M286)-1</f>
        <v>916</v>
      </c>
      <c r="O286" t="str">
        <f>INDEX('Boundary table'!$B$3:$B$7,MATCH(M286,'Boundary table'!$A$3:$A$7))</f>
        <v>F</v>
      </c>
      <c r="P286">
        <f>Table1[[#This Row],[Math Score]]+Table1[[#This Row],[Reading Score]]+Table1[[#This Row],[Writing Score]]</f>
        <v>129</v>
      </c>
      <c r="Q286" s="16">
        <f>COUNTIF(Table1[[#This Row],[Math Score]],"&lt;60")+COUNTIF(Table1[[#This Row],[Reading Score]],"&lt;60")+COUNTIF(Table1[[#This Row],[Writing Score]],"&lt;60")</f>
        <v>3</v>
      </c>
      <c r="R286" t="str">
        <f>IF(Table1[[#This Row],[Fail Count]]&gt;=2,"At risk","OK")</f>
        <v>At risk</v>
      </c>
    </row>
    <row r="287" spans="1:18">
      <c r="A287" t="str">
        <f t="shared" si="4"/>
        <v>Stu-286</v>
      </c>
      <c r="B287" t="s">
        <v>27</v>
      </c>
      <c r="C287" t="s">
        <v>12</v>
      </c>
      <c r="D287" t="s">
        <v>29</v>
      </c>
      <c r="E287" t="s">
        <v>14</v>
      </c>
      <c r="F287" t="s">
        <v>21</v>
      </c>
      <c r="G287" s="16">
        <v>81</v>
      </c>
      <c r="H287">
        <f>RANK(G287,$G$2:$G$1001,0)+COUNTIF($G$2:G287,G287)-1</f>
        <v>159</v>
      </c>
      <c r="I287" t="str">
        <f>INDEX('Boundary table'!$B$3:$B$7,MATCH(G287,'Boundary table'!$A$3:$A$7,1))</f>
        <v>B</v>
      </c>
      <c r="J287" s="16">
        <v>82</v>
      </c>
      <c r="K287">
        <f>RANK(J287,$J$2:$J$1001,0)+COUNTIF($J$2:J287,J287)-1</f>
        <v>194</v>
      </c>
      <c r="L287" t="str">
        <f>INDEX('Boundary table'!$B$3:$B$7,MATCH(J287,'Boundary table'!$A$3:$A$7,1))</f>
        <v>B</v>
      </c>
      <c r="M287" s="16">
        <v>82</v>
      </c>
      <c r="N287">
        <f>RANK(M287,$M$2:$M$1001,0)+COUNTIF($M$2:M287,M287)-1</f>
        <v>172</v>
      </c>
      <c r="O287" t="str">
        <f>INDEX('Boundary table'!$B$3:$B$7,MATCH(M287,'Boundary table'!$A$3:$A$7))</f>
        <v>B</v>
      </c>
      <c r="P287">
        <f>Table1[[#This Row],[Math Score]]+Table1[[#This Row],[Reading Score]]+Table1[[#This Row],[Writing Score]]</f>
        <v>245</v>
      </c>
      <c r="Q287" s="16">
        <f>COUNTIF(Table1[[#This Row],[Math Score]],"&lt;60")+COUNTIF(Table1[[#This Row],[Reading Score]],"&lt;60")+COUNTIF(Table1[[#This Row],[Writing Score]],"&lt;60")</f>
        <v>0</v>
      </c>
      <c r="R287" t="str">
        <f>IF(Table1[[#This Row],[Fail Count]]&gt;=2,"At risk","OK")</f>
        <v>OK</v>
      </c>
    </row>
    <row r="288" spans="1:18">
      <c r="A288" t="str">
        <f t="shared" si="4"/>
        <v>Stu-287</v>
      </c>
      <c r="B288" t="s">
        <v>27</v>
      </c>
      <c r="C288" t="s">
        <v>34</v>
      </c>
      <c r="D288" t="s">
        <v>29</v>
      </c>
      <c r="E288" t="s">
        <v>14</v>
      </c>
      <c r="F288" t="s">
        <v>21</v>
      </c>
      <c r="G288" s="16">
        <v>97</v>
      </c>
      <c r="H288">
        <f>RANK(G288,$G$2:$G$1001,0)+COUNTIF($G$2:G288,G288)-1</f>
        <v>16</v>
      </c>
      <c r="I288" t="str">
        <f>INDEX('Boundary table'!$B$3:$B$7,MATCH(G288,'Boundary table'!$A$3:$A$7,1))</f>
        <v>A</v>
      </c>
      <c r="J288" s="16">
        <v>82</v>
      </c>
      <c r="K288">
        <f>RANK(J288,$J$2:$J$1001,0)+COUNTIF($J$2:J288,J288)-1</f>
        <v>195</v>
      </c>
      <c r="L288" t="str">
        <f>INDEX('Boundary table'!$B$3:$B$7,MATCH(J288,'Boundary table'!$A$3:$A$7,1))</f>
        <v>B</v>
      </c>
      <c r="M288" s="16">
        <v>88</v>
      </c>
      <c r="N288">
        <f>RANK(M288,$M$2:$M$1001,0)+COUNTIF($M$2:M288,M288)-1</f>
        <v>93</v>
      </c>
      <c r="O288" t="str">
        <f>INDEX('Boundary table'!$B$3:$B$7,MATCH(M288,'Boundary table'!$A$3:$A$7))</f>
        <v>B</v>
      </c>
      <c r="P288">
        <f>Table1[[#This Row],[Math Score]]+Table1[[#This Row],[Reading Score]]+Table1[[#This Row],[Writing Score]]</f>
        <v>267</v>
      </c>
      <c r="Q288" s="16">
        <f>COUNTIF(Table1[[#This Row],[Math Score]],"&lt;60")+COUNTIF(Table1[[#This Row],[Reading Score]],"&lt;60")+COUNTIF(Table1[[#This Row],[Writing Score]],"&lt;60")</f>
        <v>0</v>
      </c>
      <c r="R288" t="str">
        <f>IF(Table1[[#This Row],[Fail Count]]&gt;=2,"At risk","OK")</f>
        <v>OK</v>
      </c>
    </row>
    <row r="289" spans="1:18">
      <c r="A289" t="str">
        <f t="shared" si="4"/>
        <v>Stu-288</v>
      </c>
      <c r="B289" t="s">
        <v>11</v>
      </c>
      <c r="C289" t="s">
        <v>12</v>
      </c>
      <c r="D289" t="s">
        <v>33</v>
      </c>
      <c r="E289" t="s">
        <v>14</v>
      </c>
      <c r="F289" t="s">
        <v>15</v>
      </c>
      <c r="G289" s="16">
        <v>67</v>
      </c>
      <c r="H289">
        <f>RANK(G289,$G$2:$G$1001,0)+COUNTIF($G$2:G289,G289)-1</f>
        <v>473</v>
      </c>
      <c r="I289" t="str">
        <f>INDEX('Boundary table'!$B$3:$B$7,MATCH(G289,'Boundary table'!$A$3:$A$7,1))</f>
        <v>D</v>
      </c>
      <c r="J289" s="16">
        <v>89</v>
      </c>
      <c r="K289">
        <f>RANK(J289,$J$2:$J$1001,0)+COUNTIF($J$2:J289,J289)-1</f>
        <v>84</v>
      </c>
      <c r="L289" t="str">
        <f>INDEX('Boundary table'!$B$3:$B$7,MATCH(J289,'Boundary table'!$A$3:$A$7,1))</f>
        <v>B</v>
      </c>
      <c r="M289" s="16">
        <v>82</v>
      </c>
      <c r="N289">
        <f>RANK(M289,$M$2:$M$1001,0)+COUNTIF($M$2:M289,M289)-1</f>
        <v>173</v>
      </c>
      <c r="O289" t="str">
        <f>INDEX('Boundary table'!$B$3:$B$7,MATCH(M289,'Boundary table'!$A$3:$A$7))</f>
        <v>B</v>
      </c>
      <c r="P289">
        <f>Table1[[#This Row],[Math Score]]+Table1[[#This Row],[Reading Score]]+Table1[[#This Row],[Writing Score]]</f>
        <v>238</v>
      </c>
      <c r="Q289" s="16">
        <f>COUNTIF(Table1[[#This Row],[Math Score]],"&lt;60")+COUNTIF(Table1[[#This Row],[Reading Score]],"&lt;60")+COUNTIF(Table1[[#This Row],[Writing Score]],"&lt;60")</f>
        <v>0</v>
      </c>
      <c r="R289" t="str">
        <f>IF(Table1[[#This Row],[Fail Count]]&gt;=2,"At risk","OK")</f>
        <v>OK</v>
      </c>
    </row>
    <row r="290" spans="1:18">
      <c r="A290" t="str">
        <f t="shared" si="4"/>
        <v>Stu-289</v>
      </c>
      <c r="B290" t="s">
        <v>27</v>
      </c>
      <c r="C290" t="s">
        <v>12</v>
      </c>
      <c r="D290" t="s">
        <v>13</v>
      </c>
      <c r="E290" t="s">
        <v>30</v>
      </c>
      <c r="F290" t="s">
        <v>15</v>
      </c>
      <c r="G290" s="16">
        <v>88</v>
      </c>
      <c r="H290">
        <f>RANK(G290,$G$2:$G$1001,0)+COUNTIF($G$2:G290,G290)-1</f>
        <v>74</v>
      </c>
      <c r="I290" t="str">
        <f>INDEX('Boundary table'!$B$3:$B$7,MATCH(G290,'Boundary table'!$A$3:$A$7,1))</f>
        <v>B</v>
      </c>
      <c r="J290" s="16">
        <v>75</v>
      </c>
      <c r="K290">
        <f>RANK(J290,$J$2:$J$1001,0)+COUNTIF($J$2:J290,J290)-1</f>
        <v>352</v>
      </c>
      <c r="L290" t="str">
        <f>INDEX('Boundary table'!$B$3:$B$7,MATCH(J290,'Boundary table'!$A$3:$A$7,1))</f>
        <v>C</v>
      </c>
      <c r="M290" s="16">
        <v>76</v>
      </c>
      <c r="N290">
        <f>RANK(M290,$M$2:$M$1001,0)+COUNTIF($M$2:M290,M290)-1</f>
        <v>310</v>
      </c>
      <c r="O290" t="str">
        <f>INDEX('Boundary table'!$B$3:$B$7,MATCH(M290,'Boundary table'!$A$3:$A$7))</f>
        <v>C</v>
      </c>
      <c r="P290">
        <f>Table1[[#This Row],[Math Score]]+Table1[[#This Row],[Reading Score]]+Table1[[#This Row],[Writing Score]]</f>
        <v>239</v>
      </c>
      <c r="Q290" s="16">
        <f>COUNTIF(Table1[[#This Row],[Math Score]],"&lt;60")+COUNTIF(Table1[[#This Row],[Reading Score]],"&lt;60")+COUNTIF(Table1[[#This Row],[Writing Score]],"&lt;60")</f>
        <v>0</v>
      </c>
      <c r="R290" t="str">
        <f>IF(Table1[[#This Row],[Fail Count]]&gt;=2,"At risk","OK")</f>
        <v>OK</v>
      </c>
    </row>
    <row r="291" spans="1:18">
      <c r="A291" t="str">
        <f t="shared" si="4"/>
        <v>Stu-290</v>
      </c>
      <c r="B291" t="s">
        <v>27</v>
      </c>
      <c r="C291" t="s">
        <v>34</v>
      </c>
      <c r="D291" t="s">
        <v>33</v>
      </c>
      <c r="E291" t="s">
        <v>14</v>
      </c>
      <c r="F291" t="s">
        <v>21</v>
      </c>
      <c r="G291" s="16">
        <v>77</v>
      </c>
      <c r="H291">
        <f>RANK(G291,$G$2:$G$1001,0)+COUNTIF($G$2:G291,G291)-1</f>
        <v>235</v>
      </c>
      <c r="I291" t="str">
        <f>INDEX('Boundary table'!$B$3:$B$7,MATCH(G291,'Boundary table'!$A$3:$A$7,1))</f>
        <v>C</v>
      </c>
      <c r="J291" s="16">
        <v>76</v>
      </c>
      <c r="K291">
        <f>RANK(J291,$J$2:$J$1001,0)+COUNTIF($J$2:J291,J291)-1</f>
        <v>326</v>
      </c>
      <c r="L291" t="str">
        <f>INDEX('Boundary table'!$B$3:$B$7,MATCH(J291,'Boundary table'!$A$3:$A$7,1))</f>
        <v>C</v>
      </c>
      <c r="M291" s="16">
        <v>77</v>
      </c>
      <c r="N291">
        <f>RANK(M291,$M$2:$M$1001,0)+COUNTIF($M$2:M291,M291)-1</f>
        <v>286</v>
      </c>
      <c r="O291" t="str">
        <f>INDEX('Boundary table'!$B$3:$B$7,MATCH(M291,'Boundary table'!$A$3:$A$7))</f>
        <v>C</v>
      </c>
      <c r="P291">
        <f>Table1[[#This Row],[Math Score]]+Table1[[#This Row],[Reading Score]]+Table1[[#This Row],[Writing Score]]</f>
        <v>230</v>
      </c>
      <c r="Q291" s="16">
        <f>COUNTIF(Table1[[#This Row],[Math Score]],"&lt;60")+COUNTIF(Table1[[#This Row],[Reading Score]],"&lt;60")+COUNTIF(Table1[[#This Row],[Writing Score]],"&lt;60")</f>
        <v>0</v>
      </c>
      <c r="R291" t="str">
        <f>IF(Table1[[#This Row],[Fail Count]]&gt;=2,"At risk","OK")</f>
        <v>OK</v>
      </c>
    </row>
    <row r="292" spans="1:18">
      <c r="A292" t="str">
        <f t="shared" si="4"/>
        <v>Stu-291</v>
      </c>
      <c r="B292" t="s">
        <v>27</v>
      </c>
      <c r="C292" t="s">
        <v>19</v>
      </c>
      <c r="D292" t="s">
        <v>29</v>
      </c>
      <c r="E292" t="s">
        <v>14</v>
      </c>
      <c r="F292" t="s">
        <v>15</v>
      </c>
      <c r="G292" s="16">
        <v>76</v>
      </c>
      <c r="H292">
        <f>RANK(G292,$G$2:$G$1001,0)+COUNTIF($G$2:G292,G292)-1</f>
        <v>260</v>
      </c>
      <c r="I292" t="str">
        <f>INDEX('Boundary table'!$B$3:$B$7,MATCH(G292,'Boundary table'!$A$3:$A$7,1))</f>
        <v>C</v>
      </c>
      <c r="J292" s="16">
        <v>70</v>
      </c>
      <c r="K292">
        <f>RANK(J292,$J$2:$J$1001,0)+COUNTIF($J$2:J292,J292)-1</f>
        <v>496</v>
      </c>
      <c r="L292" t="str">
        <f>INDEX('Boundary table'!$B$3:$B$7,MATCH(J292,'Boundary table'!$A$3:$A$7,1))</f>
        <v>C</v>
      </c>
      <c r="M292" s="16">
        <v>68</v>
      </c>
      <c r="N292">
        <f>RANK(M292,$M$2:$M$1001,0)+COUNTIF($M$2:M292,M292)-1</f>
        <v>522</v>
      </c>
      <c r="O292" t="str">
        <f>INDEX('Boundary table'!$B$3:$B$7,MATCH(M292,'Boundary table'!$A$3:$A$7))</f>
        <v>D</v>
      </c>
      <c r="P292">
        <f>Table1[[#This Row],[Math Score]]+Table1[[#This Row],[Reading Score]]+Table1[[#This Row],[Writing Score]]</f>
        <v>214</v>
      </c>
      <c r="Q292" s="16">
        <f>COUNTIF(Table1[[#This Row],[Math Score]],"&lt;60")+COUNTIF(Table1[[#This Row],[Reading Score]],"&lt;60")+COUNTIF(Table1[[#This Row],[Writing Score]],"&lt;60")</f>
        <v>0</v>
      </c>
      <c r="R292" t="str">
        <f>IF(Table1[[#This Row],[Fail Count]]&gt;=2,"At risk","OK")</f>
        <v>OK</v>
      </c>
    </row>
    <row r="293" spans="1:18">
      <c r="A293" t="str">
        <f t="shared" si="4"/>
        <v>Stu-292</v>
      </c>
      <c r="B293" t="s">
        <v>27</v>
      </c>
      <c r="C293" t="s">
        <v>31</v>
      </c>
      <c r="D293" t="s">
        <v>33</v>
      </c>
      <c r="E293" t="s">
        <v>14</v>
      </c>
      <c r="F293" t="s">
        <v>15</v>
      </c>
      <c r="G293" s="16">
        <v>86</v>
      </c>
      <c r="H293">
        <f>RANK(G293,$G$2:$G$1001,0)+COUNTIF($G$2:G293,G293)-1</f>
        <v>97</v>
      </c>
      <c r="I293" t="str">
        <f>INDEX('Boundary table'!$B$3:$B$7,MATCH(G293,'Boundary table'!$A$3:$A$7,1))</f>
        <v>B</v>
      </c>
      <c r="J293" s="16">
        <v>73</v>
      </c>
      <c r="K293">
        <f>RANK(J293,$J$2:$J$1001,0)+COUNTIF($J$2:J293,J293)-1</f>
        <v>411</v>
      </c>
      <c r="L293" t="str">
        <f>INDEX('Boundary table'!$B$3:$B$7,MATCH(J293,'Boundary table'!$A$3:$A$7,1))</f>
        <v>C</v>
      </c>
      <c r="M293" s="16">
        <v>70</v>
      </c>
      <c r="N293">
        <f>RANK(M293,$M$2:$M$1001,0)+COUNTIF($M$2:M293,M293)-1</f>
        <v>469</v>
      </c>
      <c r="O293" t="str">
        <f>INDEX('Boundary table'!$B$3:$B$7,MATCH(M293,'Boundary table'!$A$3:$A$7))</f>
        <v>C</v>
      </c>
      <c r="P293">
        <f>Table1[[#This Row],[Math Score]]+Table1[[#This Row],[Reading Score]]+Table1[[#This Row],[Writing Score]]</f>
        <v>229</v>
      </c>
      <c r="Q293" s="16">
        <f>COUNTIF(Table1[[#This Row],[Math Score]],"&lt;60")+COUNTIF(Table1[[#This Row],[Reading Score]],"&lt;60")+COUNTIF(Table1[[#This Row],[Writing Score]],"&lt;60")</f>
        <v>0</v>
      </c>
      <c r="R293" t="str">
        <f>IF(Table1[[#This Row],[Fail Count]]&gt;=2,"At risk","OK")</f>
        <v>OK</v>
      </c>
    </row>
    <row r="294" spans="1:18">
      <c r="A294" t="str">
        <f t="shared" si="4"/>
        <v>Stu-293</v>
      </c>
      <c r="B294" t="s">
        <v>27</v>
      </c>
      <c r="C294" t="s">
        <v>19</v>
      </c>
      <c r="D294" t="s">
        <v>33</v>
      </c>
      <c r="E294" t="s">
        <v>14</v>
      </c>
      <c r="F294" t="s">
        <v>21</v>
      </c>
      <c r="G294" s="16">
        <v>63</v>
      </c>
      <c r="H294">
        <f>RANK(G294,$G$2:$G$1001,0)+COUNTIF($G$2:G294,G294)-1</f>
        <v>581</v>
      </c>
      <c r="I294" t="str">
        <f>INDEX('Boundary table'!$B$3:$B$7,MATCH(G294,'Boundary table'!$A$3:$A$7,1))</f>
        <v>D</v>
      </c>
      <c r="J294" s="16">
        <v>60</v>
      </c>
      <c r="K294">
        <f>RANK(J294,$J$2:$J$1001,0)+COUNTIF($J$2:J294,J294)-1</f>
        <v>730</v>
      </c>
      <c r="L294" t="str">
        <f>INDEX('Boundary table'!$B$3:$B$7,MATCH(J294,'Boundary table'!$A$3:$A$7,1))</f>
        <v>D</v>
      </c>
      <c r="M294" s="16">
        <v>57</v>
      </c>
      <c r="N294">
        <f>RANK(M294,$M$2:$M$1001,0)+COUNTIF($M$2:M294,M294)-1</f>
        <v>755</v>
      </c>
      <c r="O294" t="str">
        <f>INDEX('Boundary table'!$B$3:$B$7,MATCH(M294,'Boundary table'!$A$3:$A$7))</f>
        <v>F</v>
      </c>
      <c r="P294">
        <f>Table1[[#This Row],[Math Score]]+Table1[[#This Row],[Reading Score]]+Table1[[#This Row],[Writing Score]]</f>
        <v>180</v>
      </c>
      <c r="Q294" s="16">
        <f>COUNTIF(Table1[[#This Row],[Math Score]],"&lt;60")+COUNTIF(Table1[[#This Row],[Reading Score]],"&lt;60")+COUNTIF(Table1[[#This Row],[Writing Score]],"&lt;60")</f>
        <v>1</v>
      </c>
      <c r="R294" t="str">
        <f>IF(Table1[[#This Row],[Fail Count]]&gt;=2,"At risk","OK")</f>
        <v>OK</v>
      </c>
    </row>
    <row r="295" spans="1:18">
      <c r="A295" t="str">
        <f t="shared" si="4"/>
        <v>Stu-294</v>
      </c>
      <c r="B295" t="s">
        <v>11</v>
      </c>
      <c r="C295" t="s">
        <v>34</v>
      </c>
      <c r="D295" t="s">
        <v>13</v>
      </c>
      <c r="E295" t="s">
        <v>14</v>
      </c>
      <c r="F295" t="s">
        <v>15</v>
      </c>
      <c r="G295" s="16">
        <v>65</v>
      </c>
      <c r="H295">
        <f>RANK(G295,$G$2:$G$1001,0)+COUNTIF($G$2:G295,G295)-1</f>
        <v>532</v>
      </c>
      <c r="I295" t="str">
        <f>INDEX('Boundary table'!$B$3:$B$7,MATCH(G295,'Boundary table'!$A$3:$A$7,1))</f>
        <v>D</v>
      </c>
      <c r="J295" s="16">
        <v>73</v>
      </c>
      <c r="K295">
        <f>RANK(J295,$J$2:$J$1001,0)+COUNTIF($J$2:J295,J295)-1</f>
        <v>412</v>
      </c>
      <c r="L295" t="str">
        <f>INDEX('Boundary table'!$B$3:$B$7,MATCH(J295,'Boundary table'!$A$3:$A$7,1))</f>
        <v>C</v>
      </c>
      <c r="M295" s="16">
        <v>75</v>
      </c>
      <c r="N295">
        <f>RANK(M295,$M$2:$M$1001,0)+COUNTIF($M$2:M295,M295)-1</f>
        <v>339</v>
      </c>
      <c r="O295" t="str">
        <f>INDEX('Boundary table'!$B$3:$B$7,MATCH(M295,'Boundary table'!$A$3:$A$7))</f>
        <v>C</v>
      </c>
      <c r="P295">
        <f>Table1[[#This Row],[Math Score]]+Table1[[#This Row],[Reading Score]]+Table1[[#This Row],[Writing Score]]</f>
        <v>213</v>
      </c>
      <c r="Q295" s="16">
        <f>COUNTIF(Table1[[#This Row],[Math Score]],"&lt;60")+COUNTIF(Table1[[#This Row],[Reading Score]],"&lt;60")+COUNTIF(Table1[[#This Row],[Writing Score]],"&lt;60")</f>
        <v>0</v>
      </c>
      <c r="R295" t="str">
        <f>IF(Table1[[#This Row],[Fail Count]]&gt;=2,"At risk","OK")</f>
        <v>OK</v>
      </c>
    </row>
    <row r="296" spans="1:18">
      <c r="A296" t="str">
        <f t="shared" si="4"/>
        <v>Stu-295</v>
      </c>
      <c r="B296" t="s">
        <v>27</v>
      </c>
      <c r="C296" t="s">
        <v>31</v>
      </c>
      <c r="D296" t="s">
        <v>32</v>
      </c>
      <c r="E296" t="s">
        <v>30</v>
      </c>
      <c r="F296" t="s">
        <v>21</v>
      </c>
      <c r="G296" s="16">
        <v>78</v>
      </c>
      <c r="H296">
        <f>RANK(G296,$G$2:$G$1001,0)+COUNTIF($G$2:G296,G296)-1</f>
        <v>221</v>
      </c>
      <c r="I296" t="str">
        <f>INDEX('Boundary table'!$B$3:$B$7,MATCH(G296,'Boundary table'!$A$3:$A$7,1))</f>
        <v>C</v>
      </c>
      <c r="J296" s="16">
        <v>77</v>
      </c>
      <c r="K296">
        <f>RANK(J296,$J$2:$J$1001,0)+COUNTIF($J$2:J296,J296)-1</f>
        <v>302</v>
      </c>
      <c r="L296" t="str">
        <f>INDEX('Boundary table'!$B$3:$B$7,MATCH(J296,'Boundary table'!$A$3:$A$7,1))</f>
        <v>C</v>
      </c>
      <c r="M296" s="16">
        <v>80</v>
      </c>
      <c r="N296">
        <f>RANK(M296,$M$2:$M$1001,0)+COUNTIF($M$2:M296,M296)-1</f>
        <v>212</v>
      </c>
      <c r="O296" t="str">
        <f>INDEX('Boundary table'!$B$3:$B$7,MATCH(M296,'Boundary table'!$A$3:$A$7))</f>
        <v>B</v>
      </c>
      <c r="P296">
        <f>Table1[[#This Row],[Math Score]]+Table1[[#This Row],[Reading Score]]+Table1[[#This Row],[Writing Score]]</f>
        <v>235</v>
      </c>
      <c r="Q296" s="16">
        <f>COUNTIF(Table1[[#This Row],[Math Score]],"&lt;60")+COUNTIF(Table1[[#This Row],[Reading Score]],"&lt;60")+COUNTIF(Table1[[#This Row],[Writing Score]],"&lt;60")</f>
        <v>0</v>
      </c>
      <c r="R296" t="str">
        <f>IF(Table1[[#This Row],[Fail Count]]&gt;=2,"At risk","OK")</f>
        <v>OK</v>
      </c>
    </row>
    <row r="297" spans="1:18">
      <c r="A297" t="str">
        <f t="shared" si="4"/>
        <v>Stu-296</v>
      </c>
      <c r="B297" t="s">
        <v>27</v>
      </c>
      <c r="C297" t="s">
        <v>12</v>
      </c>
      <c r="D297" t="s">
        <v>29</v>
      </c>
      <c r="E297" t="s">
        <v>30</v>
      </c>
      <c r="F297" t="s">
        <v>15</v>
      </c>
      <c r="G297" s="16">
        <v>67</v>
      </c>
      <c r="H297">
        <f>RANK(G297,$G$2:$G$1001,0)+COUNTIF($G$2:G297,G297)-1</f>
        <v>474</v>
      </c>
      <c r="I297" t="str">
        <f>INDEX('Boundary table'!$B$3:$B$7,MATCH(G297,'Boundary table'!$A$3:$A$7,1))</f>
        <v>D</v>
      </c>
      <c r="J297" s="16">
        <v>62</v>
      </c>
      <c r="K297">
        <f>RANK(J297,$J$2:$J$1001,0)+COUNTIF($J$2:J297,J297)-1</f>
        <v>685</v>
      </c>
      <c r="L297" t="str">
        <f>INDEX('Boundary table'!$B$3:$B$7,MATCH(J297,'Boundary table'!$A$3:$A$7,1))</f>
        <v>D</v>
      </c>
      <c r="M297" s="16">
        <v>60</v>
      </c>
      <c r="N297">
        <f>RANK(M297,$M$2:$M$1001,0)+COUNTIF($M$2:M297,M297)-1</f>
        <v>702</v>
      </c>
      <c r="O297" t="str">
        <f>INDEX('Boundary table'!$B$3:$B$7,MATCH(M297,'Boundary table'!$A$3:$A$7))</f>
        <v>D</v>
      </c>
      <c r="P297">
        <f>Table1[[#This Row],[Math Score]]+Table1[[#This Row],[Reading Score]]+Table1[[#This Row],[Writing Score]]</f>
        <v>189</v>
      </c>
      <c r="Q297" s="16">
        <f>COUNTIF(Table1[[#This Row],[Math Score]],"&lt;60")+COUNTIF(Table1[[#This Row],[Reading Score]],"&lt;60")+COUNTIF(Table1[[#This Row],[Writing Score]],"&lt;60")</f>
        <v>0</v>
      </c>
      <c r="R297" t="str">
        <f>IF(Table1[[#This Row],[Fail Count]]&gt;=2,"At risk","OK")</f>
        <v>OK</v>
      </c>
    </row>
    <row r="298" spans="1:18">
      <c r="A298" t="str">
        <f t="shared" si="4"/>
        <v>Stu-297</v>
      </c>
      <c r="B298" t="s">
        <v>27</v>
      </c>
      <c r="C298" t="s">
        <v>28</v>
      </c>
      <c r="D298" t="s">
        <v>33</v>
      </c>
      <c r="E298" t="s">
        <v>14</v>
      </c>
      <c r="F298" t="s">
        <v>21</v>
      </c>
      <c r="G298" s="16">
        <v>46</v>
      </c>
      <c r="H298">
        <f>RANK(G298,$G$2:$G$1001,0)+COUNTIF($G$2:G298,G298)-1</f>
        <v>909</v>
      </c>
      <c r="I298" t="str">
        <f>INDEX('Boundary table'!$B$3:$B$7,MATCH(G298,'Boundary table'!$A$3:$A$7,1))</f>
        <v>F</v>
      </c>
      <c r="J298" s="16">
        <v>41</v>
      </c>
      <c r="K298">
        <f>RANK(J298,$J$2:$J$1001,0)+COUNTIF($J$2:J298,J298)-1</f>
        <v>971</v>
      </c>
      <c r="L298" t="str">
        <f>INDEX('Boundary table'!$B$3:$B$7,MATCH(J298,'Boundary table'!$A$3:$A$7,1))</f>
        <v>F</v>
      </c>
      <c r="M298" s="16">
        <v>43</v>
      </c>
      <c r="N298">
        <f>RANK(M298,$M$2:$M$1001,0)+COUNTIF($M$2:M298,M298)-1</f>
        <v>942</v>
      </c>
      <c r="O298" t="str">
        <f>INDEX('Boundary table'!$B$3:$B$7,MATCH(M298,'Boundary table'!$A$3:$A$7))</f>
        <v>F</v>
      </c>
      <c r="P298">
        <f>Table1[[#This Row],[Math Score]]+Table1[[#This Row],[Reading Score]]+Table1[[#This Row],[Writing Score]]</f>
        <v>130</v>
      </c>
      <c r="Q298" s="16">
        <f>COUNTIF(Table1[[#This Row],[Math Score]],"&lt;60")+COUNTIF(Table1[[#This Row],[Reading Score]],"&lt;60")+COUNTIF(Table1[[#This Row],[Writing Score]],"&lt;60")</f>
        <v>3</v>
      </c>
      <c r="R298" t="str">
        <f>IF(Table1[[#This Row],[Fail Count]]&gt;=2,"At risk","OK")</f>
        <v>At risk</v>
      </c>
    </row>
    <row r="299" spans="1:18">
      <c r="A299" t="str">
        <f t="shared" si="4"/>
        <v>Stu-298</v>
      </c>
      <c r="B299" t="s">
        <v>27</v>
      </c>
      <c r="C299" t="s">
        <v>34</v>
      </c>
      <c r="D299" t="s">
        <v>29</v>
      </c>
      <c r="E299" t="s">
        <v>14</v>
      </c>
      <c r="F299" t="s">
        <v>21</v>
      </c>
      <c r="G299" s="16">
        <v>71</v>
      </c>
      <c r="H299">
        <f>RANK(G299,$G$2:$G$1001,0)+COUNTIF($G$2:G299,G299)-1</f>
        <v>374</v>
      </c>
      <c r="I299" t="str">
        <f>INDEX('Boundary table'!$B$3:$B$7,MATCH(G299,'Boundary table'!$A$3:$A$7,1))</f>
        <v>C</v>
      </c>
      <c r="J299" s="16">
        <v>74</v>
      </c>
      <c r="K299">
        <f>RANK(J299,$J$2:$J$1001,0)+COUNTIF($J$2:J299,J299)-1</f>
        <v>380</v>
      </c>
      <c r="L299" t="str">
        <f>INDEX('Boundary table'!$B$3:$B$7,MATCH(J299,'Boundary table'!$A$3:$A$7,1))</f>
        <v>C</v>
      </c>
      <c r="M299" s="16">
        <v>68</v>
      </c>
      <c r="N299">
        <f>RANK(M299,$M$2:$M$1001,0)+COUNTIF($M$2:M299,M299)-1</f>
        <v>523</v>
      </c>
      <c r="O299" t="str">
        <f>INDEX('Boundary table'!$B$3:$B$7,MATCH(M299,'Boundary table'!$A$3:$A$7))</f>
        <v>D</v>
      </c>
      <c r="P299">
        <f>Table1[[#This Row],[Math Score]]+Table1[[#This Row],[Reading Score]]+Table1[[#This Row],[Writing Score]]</f>
        <v>213</v>
      </c>
      <c r="Q299" s="16">
        <f>COUNTIF(Table1[[#This Row],[Math Score]],"&lt;60")+COUNTIF(Table1[[#This Row],[Reading Score]],"&lt;60")+COUNTIF(Table1[[#This Row],[Writing Score]],"&lt;60")</f>
        <v>0</v>
      </c>
      <c r="R299" t="str">
        <f>IF(Table1[[#This Row],[Fail Count]]&gt;=2,"At risk","OK")</f>
        <v>OK</v>
      </c>
    </row>
    <row r="300" spans="1:18">
      <c r="A300" t="str">
        <f t="shared" si="4"/>
        <v>Stu-299</v>
      </c>
      <c r="B300" t="s">
        <v>27</v>
      </c>
      <c r="C300" t="s">
        <v>19</v>
      </c>
      <c r="D300" t="s">
        <v>32</v>
      </c>
      <c r="E300" t="s">
        <v>30</v>
      </c>
      <c r="F300" t="s">
        <v>21</v>
      </c>
      <c r="G300" s="16">
        <v>40</v>
      </c>
      <c r="H300">
        <f>RANK(G300,$G$2:$G$1001,0)+COUNTIF($G$2:G300,G300)-1</f>
        <v>954</v>
      </c>
      <c r="I300" t="str">
        <f>INDEX('Boundary table'!$B$3:$B$7,MATCH(G300,'Boundary table'!$A$3:$A$7,1))</f>
        <v>F</v>
      </c>
      <c r="J300" s="16">
        <v>46</v>
      </c>
      <c r="K300">
        <f>RANK(J300,$J$2:$J$1001,0)+COUNTIF($J$2:J300,J300)-1</f>
        <v>936</v>
      </c>
      <c r="L300" t="str">
        <f>INDEX('Boundary table'!$B$3:$B$7,MATCH(J300,'Boundary table'!$A$3:$A$7,1))</f>
        <v>F</v>
      </c>
      <c r="M300" s="16">
        <v>50</v>
      </c>
      <c r="N300">
        <f>RANK(M300,$M$2:$M$1001,0)+COUNTIF($M$2:M300,M300)-1</f>
        <v>880</v>
      </c>
      <c r="O300" t="str">
        <f>INDEX('Boundary table'!$B$3:$B$7,MATCH(M300,'Boundary table'!$A$3:$A$7))</f>
        <v>F</v>
      </c>
      <c r="P300">
        <f>Table1[[#This Row],[Math Score]]+Table1[[#This Row],[Reading Score]]+Table1[[#This Row],[Writing Score]]</f>
        <v>136</v>
      </c>
      <c r="Q300" s="16">
        <f>COUNTIF(Table1[[#This Row],[Math Score]],"&lt;60")+COUNTIF(Table1[[#This Row],[Reading Score]],"&lt;60")+COUNTIF(Table1[[#This Row],[Writing Score]],"&lt;60")</f>
        <v>3</v>
      </c>
      <c r="R300" t="str">
        <f>IF(Table1[[#This Row],[Fail Count]]&gt;=2,"At risk","OK")</f>
        <v>At risk</v>
      </c>
    </row>
    <row r="301" spans="1:18">
      <c r="A301" t="str">
        <f t="shared" si="4"/>
        <v>Stu-300</v>
      </c>
      <c r="B301" t="s">
        <v>27</v>
      </c>
      <c r="C301" t="s">
        <v>31</v>
      </c>
      <c r="D301" t="s">
        <v>29</v>
      </c>
      <c r="E301" t="s">
        <v>30</v>
      </c>
      <c r="F301" t="s">
        <v>15</v>
      </c>
      <c r="G301" s="16">
        <v>90</v>
      </c>
      <c r="H301">
        <f>RANK(G301,$G$2:$G$1001,0)+COUNTIF($G$2:G301,G301)-1</f>
        <v>52</v>
      </c>
      <c r="I301" t="str">
        <f>INDEX('Boundary table'!$B$3:$B$7,MATCH(G301,'Boundary table'!$A$3:$A$7,1))</f>
        <v>A</v>
      </c>
      <c r="J301" s="16">
        <v>87</v>
      </c>
      <c r="K301">
        <f>RANK(J301,$J$2:$J$1001,0)+COUNTIF($J$2:J301,J301)-1</f>
        <v>103</v>
      </c>
      <c r="L301" t="str">
        <f>INDEX('Boundary table'!$B$3:$B$7,MATCH(J301,'Boundary table'!$A$3:$A$7,1))</f>
        <v>B</v>
      </c>
      <c r="M301" s="16">
        <v>75</v>
      </c>
      <c r="N301">
        <f>RANK(M301,$M$2:$M$1001,0)+COUNTIF($M$2:M301,M301)-1</f>
        <v>340</v>
      </c>
      <c r="O301" t="str">
        <f>INDEX('Boundary table'!$B$3:$B$7,MATCH(M301,'Boundary table'!$A$3:$A$7))</f>
        <v>C</v>
      </c>
      <c r="P301">
        <f>Table1[[#This Row],[Math Score]]+Table1[[#This Row],[Reading Score]]+Table1[[#This Row],[Writing Score]]</f>
        <v>252</v>
      </c>
      <c r="Q301" s="16">
        <f>COUNTIF(Table1[[#This Row],[Math Score]],"&lt;60")+COUNTIF(Table1[[#This Row],[Reading Score]],"&lt;60")+COUNTIF(Table1[[#This Row],[Writing Score]],"&lt;60")</f>
        <v>0</v>
      </c>
      <c r="R301" t="str">
        <f>IF(Table1[[#This Row],[Fail Count]]&gt;=2,"At risk","OK")</f>
        <v>OK</v>
      </c>
    </row>
    <row r="302" spans="1:18">
      <c r="A302" t="str">
        <f t="shared" si="4"/>
        <v>Stu-301</v>
      </c>
      <c r="B302" t="s">
        <v>27</v>
      </c>
      <c r="C302" t="s">
        <v>28</v>
      </c>
      <c r="D302" t="s">
        <v>20</v>
      </c>
      <c r="E302" t="s">
        <v>30</v>
      </c>
      <c r="F302" t="s">
        <v>21</v>
      </c>
      <c r="G302" s="16">
        <v>81</v>
      </c>
      <c r="H302">
        <f>RANK(G302,$G$2:$G$1001,0)+COUNTIF($G$2:G302,G302)-1</f>
        <v>160</v>
      </c>
      <c r="I302" t="str">
        <f>INDEX('Boundary table'!$B$3:$B$7,MATCH(G302,'Boundary table'!$A$3:$A$7,1))</f>
        <v>B</v>
      </c>
      <c r="J302" s="16">
        <v>78</v>
      </c>
      <c r="K302">
        <f>RANK(J302,$J$2:$J$1001,0)+COUNTIF($J$2:J302,J302)-1</f>
        <v>275</v>
      </c>
      <c r="L302" t="str">
        <f>INDEX('Boundary table'!$B$3:$B$7,MATCH(J302,'Boundary table'!$A$3:$A$7,1))</f>
        <v>C</v>
      </c>
      <c r="M302" s="16">
        <v>81</v>
      </c>
      <c r="N302">
        <f>RANK(M302,$M$2:$M$1001,0)+COUNTIF($M$2:M302,M302)-1</f>
        <v>195</v>
      </c>
      <c r="O302" t="str">
        <f>INDEX('Boundary table'!$B$3:$B$7,MATCH(M302,'Boundary table'!$A$3:$A$7))</f>
        <v>B</v>
      </c>
      <c r="P302">
        <f>Table1[[#This Row],[Math Score]]+Table1[[#This Row],[Reading Score]]+Table1[[#This Row],[Writing Score]]</f>
        <v>240</v>
      </c>
      <c r="Q302" s="16">
        <f>COUNTIF(Table1[[#This Row],[Math Score]],"&lt;60")+COUNTIF(Table1[[#This Row],[Reading Score]],"&lt;60")+COUNTIF(Table1[[#This Row],[Writing Score]],"&lt;60")</f>
        <v>0</v>
      </c>
      <c r="R302" t="str">
        <f>IF(Table1[[#This Row],[Fail Count]]&gt;=2,"At risk","OK")</f>
        <v>OK</v>
      </c>
    </row>
    <row r="303" spans="1:18">
      <c r="A303" t="str">
        <f t="shared" si="4"/>
        <v>Stu-302</v>
      </c>
      <c r="B303" t="s">
        <v>27</v>
      </c>
      <c r="C303" t="s">
        <v>31</v>
      </c>
      <c r="D303" t="s">
        <v>33</v>
      </c>
      <c r="E303" t="s">
        <v>30</v>
      </c>
      <c r="F303" t="s">
        <v>15</v>
      </c>
      <c r="G303" s="16">
        <v>56</v>
      </c>
      <c r="H303">
        <f>RANK(G303,$G$2:$G$1001,0)+COUNTIF($G$2:G303,G303)-1</f>
        <v>756</v>
      </c>
      <c r="I303" t="str">
        <f>INDEX('Boundary table'!$B$3:$B$7,MATCH(G303,'Boundary table'!$A$3:$A$7,1))</f>
        <v>F</v>
      </c>
      <c r="J303" s="16">
        <v>54</v>
      </c>
      <c r="K303">
        <f>RANK(J303,$J$2:$J$1001,0)+COUNTIF($J$2:J303,J303)-1</f>
        <v>847</v>
      </c>
      <c r="L303" t="str">
        <f>INDEX('Boundary table'!$B$3:$B$7,MATCH(J303,'Boundary table'!$A$3:$A$7,1))</f>
        <v>F</v>
      </c>
      <c r="M303" s="16">
        <v>52</v>
      </c>
      <c r="N303">
        <f>RANK(M303,$M$2:$M$1001,0)+COUNTIF($M$2:M303,M303)-1</f>
        <v>844</v>
      </c>
      <c r="O303" t="str">
        <f>INDEX('Boundary table'!$B$3:$B$7,MATCH(M303,'Boundary table'!$A$3:$A$7))</f>
        <v>F</v>
      </c>
      <c r="P303">
        <f>Table1[[#This Row],[Math Score]]+Table1[[#This Row],[Reading Score]]+Table1[[#This Row],[Writing Score]]</f>
        <v>162</v>
      </c>
      <c r="Q303" s="16">
        <f>COUNTIF(Table1[[#This Row],[Math Score]],"&lt;60")+COUNTIF(Table1[[#This Row],[Reading Score]],"&lt;60")+COUNTIF(Table1[[#This Row],[Writing Score]],"&lt;60")</f>
        <v>3</v>
      </c>
      <c r="R303" t="str">
        <f>IF(Table1[[#This Row],[Fail Count]]&gt;=2,"At risk","OK")</f>
        <v>At risk</v>
      </c>
    </row>
    <row r="304" spans="1:18">
      <c r="A304" t="str">
        <f t="shared" si="4"/>
        <v>Stu-303</v>
      </c>
      <c r="B304" t="s">
        <v>11</v>
      </c>
      <c r="C304" t="s">
        <v>19</v>
      </c>
      <c r="D304" t="s">
        <v>29</v>
      </c>
      <c r="E304" t="s">
        <v>14</v>
      </c>
      <c r="F304" t="s">
        <v>21</v>
      </c>
      <c r="G304" s="16">
        <v>67</v>
      </c>
      <c r="H304">
        <f>RANK(G304,$G$2:$G$1001,0)+COUNTIF($G$2:G304,G304)-1</f>
        <v>475</v>
      </c>
      <c r="I304" t="str">
        <f>INDEX('Boundary table'!$B$3:$B$7,MATCH(G304,'Boundary table'!$A$3:$A$7,1))</f>
        <v>D</v>
      </c>
      <c r="J304" s="16">
        <v>84</v>
      </c>
      <c r="K304">
        <f>RANK(J304,$J$2:$J$1001,0)+COUNTIF($J$2:J304,J304)-1</f>
        <v>157</v>
      </c>
      <c r="L304" t="str">
        <f>INDEX('Boundary table'!$B$3:$B$7,MATCH(J304,'Boundary table'!$A$3:$A$7,1))</f>
        <v>B</v>
      </c>
      <c r="M304" s="16">
        <v>81</v>
      </c>
      <c r="N304">
        <f>RANK(M304,$M$2:$M$1001,0)+COUNTIF($M$2:M304,M304)-1</f>
        <v>196</v>
      </c>
      <c r="O304" t="str">
        <f>INDEX('Boundary table'!$B$3:$B$7,MATCH(M304,'Boundary table'!$A$3:$A$7))</f>
        <v>B</v>
      </c>
      <c r="P304">
        <f>Table1[[#This Row],[Math Score]]+Table1[[#This Row],[Reading Score]]+Table1[[#This Row],[Writing Score]]</f>
        <v>232</v>
      </c>
      <c r="Q304" s="16">
        <f>COUNTIF(Table1[[#This Row],[Math Score]],"&lt;60")+COUNTIF(Table1[[#This Row],[Reading Score]],"&lt;60")+COUNTIF(Table1[[#This Row],[Writing Score]],"&lt;60")</f>
        <v>0</v>
      </c>
      <c r="R304" t="str">
        <f>IF(Table1[[#This Row],[Fail Count]]&gt;=2,"At risk","OK")</f>
        <v>OK</v>
      </c>
    </row>
    <row r="305" spans="1:18">
      <c r="A305" t="str">
        <f t="shared" si="4"/>
        <v>Stu-304</v>
      </c>
      <c r="B305" t="s">
        <v>27</v>
      </c>
      <c r="C305" t="s">
        <v>12</v>
      </c>
      <c r="D305" t="s">
        <v>29</v>
      </c>
      <c r="E305" t="s">
        <v>14</v>
      </c>
      <c r="F305" t="s">
        <v>15</v>
      </c>
      <c r="G305" s="16">
        <v>80</v>
      </c>
      <c r="H305">
        <f>RANK(G305,$G$2:$G$1001,0)+COUNTIF($G$2:G305,G305)-1</f>
        <v>183</v>
      </c>
      <c r="I305" t="str">
        <f>INDEX('Boundary table'!$B$3:$B$7,MATCH(G305,'Boundary table'!$A$3:$A$7,1))</f>
        <v>B</v>
      </c>
      <c r="J305" s="16">
        <v>76</v>
      </c>
      <c r="K305">
        <f>RANK(J305,$J$2:$J$1001,0)+COUNTIF($J$2:J305,J305)-1</f>
        <v>327</v>
      </c>
      <c r="L305" t="str">
        <f>INDEX('Boundary table'!$B$3:$B$7,MATCH(J305,'Boundary table'!$A$3:$A$7,1))</f>
        <v>C</v>
      </c>
      <c r="M305" s="16">
        <v>64</v>
      </c>
      <c r="N305">
        <f>RANK(M305,$M$2:$M$1001,0)+COUNTIF($M$2:M305,M305)-1</f>
        <v>619</v>
      </c>
      <c r="O305" t="str">
        <f>INDEX('Boundary table'!$B$3:$B$7,MATCH(M305,'Boundary table'!$A$3:$A$7))</f>
        <v>D</v>
      </c>
      <c r="P305">
        <f>Table1[[#This Row],[Math Score]]+Table1[[#This Row],[Reading Score]]+Table1[[#This Row],[Writing Score]]</f>
        <v>220</v>
      </c>
      <c r="Q305" s="16">
        <f>COUNTIF(Table1[[#This Row],[Math Score]],"&lt;60")+COUNTIF(Table1[[#This Row],[Reading Score]],"&lt;60")+COUNTIF(Table1[[#This Row],[Writing Score]],"&lt;60")</f>
        <v>0</v>
      </c>
      <c r="R305" t="str">
        <f>IF(Table1[[#This Row],[Fail Count]]&gt;=2,"At risk","OK")</f>
        <v>OK</v>
      </c>
    </row>
    <row r="306" spans="1:18">
      <c r="A306" t="str">
        <f t="shared" si="4"/>
        <v>Stu-305</v>
      </c>
      <c r="B306" t="s">
        <v>11</v>
      </c>
      <c r="C306" t="s">
        <v>19</v>
      </c>
      <c r="D306" t="s">
        <v>29</v>
      </c>
      <c r="E306" t="s">
        <v>14</v>
      </c>
      <c r="F306" t="s">
        <v>21</v>
      </c>
      <c r="G306" s="16">
        <v>74</v>
      </c>
      <c r="H306">
        <f>RANK(G306,$G$2:$G$1001,0)+COUNTIF($G$2:G306,G306)-1</f>
        <v>301</v>
      </c>
      <c r="I306" t="str">
        <f>INDEX('Boundary table'!$B$3:$B$7,MATCH(G306,'Boundary table'!$A$3:$A$7,1))</f>
        <v>C</v>
      </c>
      <c r="J306" s="16">
        <v>75</v>
      </c>
      <c r="K306">
        <f>RANK(J306,$J$2:$J$1001,0)+COUNTIF($J$2:J306,J306)-1</f>
        <v>353</v>
      </c>
      <c r="L306" t="str">
        <f>INDEX('Boundary table'!$B$3:$B$7,MATCH(J306,'Boundary table'!$A$3:$A$7,1))</f>
        <v>C</v>
      </c>
      <c r="M306" s="16">
        <v>83</v>
      </c>
      <c r="N306">
        <f>RANK(M306,$M$2:$M$1001,0)+COUNTIF($M$2:M306,M306)-1</f>
        <v>156</v>
      </c>
      <c r="O306" t="str">
        <f>INDEX('Boundary table'!$B$3:$B$7,MATCH(M306,'Boundary table'!$A$3:$A$7))</f>
        <v>B</v>
      </c>
      <c r="P306">
        <f>Table1[[#This Row],[Math Score]]+Table1[[#This Row],[Reading Score]]+Table1[[#This Row],[Writing Score]]</f>
        <v>232</v>
      </c>
      <c r="Q306" s="16">
        <f>COUNTIF(Table1[[#This Row],[Math Score]],"&lt;60")+COUNTIF(Table1[[#This Row],[Reading Score]],"&lt;60")+COUNTIF(Table1[[#This Row],[Writing Score]],"&lt;60")</f>
        <v>0</v>
      </c>
      <c r="R306" t="str">
        <f>IF(Table1[[#This Row],[Fail Count]]&gt;=2,"At risk","OK")</f>
        <v>OK</v>
      </c>
    </row>
    <row r="307" spans="1:18">
      <c r="A307" t="str">
        <f t="shared" si="4"/>
        <v>Stu-306</v>
      </c>
      <c r="B307" t="s">
        <v>27</v>
      </c>
      <c r="C307" t="s">
        <v>28</v>
      </c>
      <c r="D307" t="s">
        <v>20</v>
      </c>
      <c r="E307" t="s">
        <v>14</v>
      </c>
      <c r="F307" t="s">
        <v>15</v>
      </c>
      <c r="G307" s="16">
        <v>69</v>
      </c>
      <c r="H307">
        <f>RANK(G307,$G$2:$G$1001,0)+COUNTIF($G$2:G307,G307)-1</f>
        <v>420</v>
      </c>
      <c r="I307" t="str">
        <f>INDEX('Boundary table'!$B$3:$B$7,MATCH(G307,'Boundary table'!$A$3:$A$7,1))</f>
        <v>D</v>
      </c>
      <c r="J307" s="16">
        <v>67</v>
      </c>
      <c r="K307">
        <f>RANK(J307,$J$2:$J$1001,0)+COUNTIF($J$2:J307,J307)-1</f>
        <v>561</v>
      </c>
      <c r="L307" t="str">
        <f>INDEX('Boundary table'!$B$3:$B$7,MATCH(J307,'Boundary table'!$A$3:$A$7,1))</f>
        <v>D</v>
      </c>
      <c r="M307" s="16">
        <v>69</v>
      </c>
      <c r="N307">
        <f>RANK(M307,$M$2:$M$1001,0)+COUNTIF($M$2:M307,M307)-1</f>
        <v>495</v>
      </c>
      <c r="O307" t="str">
        <f>INDEX('Boundary table'!$B$3:$B$7,MATCH(M307,'Boundary table'!$A$3:$A$7))</f>
        <v>D</v>
      </c>
      <c r="P307">
        <f>Table1[[#This Row],[Math Score]]+Table1[[#This Row],[Reading Score]]+Table1[[#This Row],[Writing Score]]</f>
        <v>205</v>
      </c>
      <c r="Q307" s="16">
        <f>COUNTIF(Table1[[#This Row],[Math Score]],"&lt;60")+COUNTIF(Table1[[#This Row],[Reading Score]],"&lt;60")+COUNTIF(Table1[[#This Row],[Writing Score]],"&lt;60")</f>
        <v>0</v>
      </c>
      <c r="R307" t="str">
        <f>IF(Table1[[#This Row],[Fail Count]]&gt;=2,"At risk","OK")</f>
        <v>OK</v>
      </c>
    </row>
    <row r="308" spans="1:18">
      <c r="A308" t="str">
        <f t="shared" si="4"/>
        <v>Stu-307</v>
      </c>
      <c r="B308" t="s">
        <v>27</v>
      </c>
      <c r="C308" t="s">
        <v>34</v>
      </c>
      <c r="D308" t="s">
        <v>20</v>
      </c>
      <c r="E308" t="s">
        <v>14</v>
      </c>
      <c r="F308" t="s">
        <v>21</v>
      </c>
      <c r="G308" s="16">
        <v>99</v>
      </c>
      <c r="H308">
        <f>RANK(G308,$G$2:$G$1001,0)+COUNTIF($G$2:G308,G308)-1</f>
        <v>10</v>
      </c>
      <c r="I308" t="str">
        <f>INDEX('Boundary table'!$B$3:$B$7,MATCH(G308,'Boundary table'!$A$3:$A$7,1))</f>
        <v>A</v>
      </c>
      <c r="J308" s="16">
        <v>87</v>
      </c>
      <c r="K308">
        <f>RANK(J308,$J$2:$J$1001,0)+COUNTIF($J$2:J308,J308)-1</f>
        <v>104</v>
      </c>
      <c r="L308" t="str">
        <f>INDEX('Boundary table'!$B$3:$B$7,MATCH(J308,'Boundary table'!$A$3:$A$7,1))</f>
        <v>B</v>
      </c>
      <c r="M308" s="16">
        <v>81</v>
      </c>
      <c r="N308">
        <f>RANK(M308,$M$2:$M$1001,0)+COUNTIF($M$2:M308,M308)-1</f>
        <v>197</v>
      </c>
      <c r="O308" t="str">
        <f>INDEX('Boundary table'!$B$3:$B$7,MATCH(M308,'Boundary table'!$A$3:$A$7))</f>
        <v>B</v>
      </c>
      <c r="P308">
        <f>Table1[[#This Row],[Math Score]]+Table1[[#This Row],[Reading Score]]+Table1[[#This Row],[Writing Score]]</f>
        <v>267</v>
      </c>
      <c r="Q308" s="16">
        <f>COUNTIF(Table1[[#This Row],[Math Score]],"&lt;60")+COUNTIF(Table1[[#This Row],[Reading Score]],"&lt;60")+COUNTIF(Table1[[#This Row],[Writing Score]],"&lt;60")</f>
        <v>0</v>
      </c>
      <c r="R308" t="str">
        <f>IF(Table1[[#This Row],[Fail Count]]&gt;=2,"At risk","OK")</f>
        <v>OK</v>
      </c>
    </row>
    <row r="309" spans="1:18">
      <c r="A309" t="str">
        <f t="shared" si="4"/>
        <v>Stu-308</v>
      </c>
      <c r="B309" t="s">
        <v>27</v>
      </c>
      <c r="C309" t="s">
        <v>19</v>
      </c>
      <c r="D309" t="s">
        <v>33</v>
      </c>
      <c r="E309" t="s">
        <v>14</v>
      </c>
      <c r="F309" t="s">
        <v>15</v>
      </c>
      <c r="G309" s="16">
        <v>51</v>
      </c>
      <c r="H309">
        <f>RANK(G309,$G$2:$G$1001,0)+COUNTIF($G$2:G309,G309)-1</f>
        <v>844</v>
      </c>
      <c r="I309" t="str">
        <f>INDEX('Boundary table'!$B$3:$B$7,MATCH(G309,'Boundary table'!$A$3:$A$7,1))</f>
        <v>F</v>
      </c>
      <c r="J309" s="16">
        <v>52</v>
      </c>
      <c r="K309">
        <f>RANK(J309,$J$2:$J$1001,0)+COUNTIF($J$2:J309,J309)-1</f>
        <v>879</v>
      </c>
      <c r="L309" t="str">
        <f>INDEX('Boundary table'!$B$3:$B$7,MATCH(J309,'Boundary table'!$A$3:$A$7,1))</f>
        <v>F</v>
      </c>
      <c r="M309" s="16">
        <v>44</v>
      </c>
      <c r="N309">
        <f>RANK(M309,$M$2:$M$1001,0)+COUNTIF($M$2:M309,M309)-1</f>
        <v>932</v>
      </c>
      <c r="O309" t="str">
        <f>INDEX('Boundary table'!$B$3:$B$7,MATCH(M309,'Boundary table'!$A$3:$A$7))</f>
        <v>F</v>
      </c>
      <c r="P309">
        <f>Table1[[#This Row],[Math Score]]+Table1[[#This Row],[Reading Score]]+Table1[[#This Row],[Writing Score]]</f>
        <v>147</v>
      </c>
      <c r="Q309" s="16">
        <f>COUNTIF(Table1[[#This Row],[Math Score]],"&lt;60")+COUNTIF(Table1[[#This Row],[Reading Score]],"&lt;60")+COUNTIF(Table1[[#This Row],[Writing Score]],"&lt;60")</f>
        <v>3</v>
      </c>
      <c r="R309" t="str">
        <f>IF(Table1[[#This Row],[Fail Count]]&gt;=2,"At risk","OK")</f>
        <v>At risk</v>
      </c>
    </row>
    <row r="310" spans="1:18">
      <c r="A310" t="str">
        <f t="shared" si="4"/>
        <v>Stu-309</v>
      </c>
      <c r="B310" t="s">
        <v>11</v>
      </c>
      <c r="C310" t="s">
        <v>12</v>
      </c>
      <c r="D310" t="s">
        <v>29</v>
      </c>
      <c r="E310" t="s">
        <v>30</v>
      </c>
      <c r="F310" t="s">
        <v>15</v>
      </c>
      <c r="G310" s="16">
        <v>53</v>
      </c>
      <c r="H310">
        <f>RANK(G310,$G$2:$G$1001,0)+COUNTIF($G$2:G310,G310)-1</f>
        <v>804</v>
      </c>
      <c r="I310" t="str">
        <f>INDEX('Boundary table'!$B$3:$B$7,MATCH(G310,'Boundary table'!$A$3:$A$7,1))</f>
        <v>F</v>
      </c>
      <c r="J310" s="16">
        <v>71</v>
      </c>
      <c r="K310">
        <f>RANK(J310,$J$2:$J$1001,0)+COUNTIF($J$2:J310,J310)-1</f>
        <v>472</v>
      </c>
      <c r="L310" t="str">
        <f>INDEX('Boundary table'!$B$3:$B$7,MATCH(J310,'Boundary table'!$A$3:$A$7,1))</f>
        <v>C</v>
      </c>
      <c r="M310" s="16">
        <v>67</v>
      </c>
      <c r="N310">
        <f>RANK(M310,$M$2:$M$1001,0)+COUNTIF($M$2:M310,M310)-1</f>
        <v>550</v>
      </c>
      <c r="O310" t="str">
        <f>INDEX('Boundary table'!$B$3:$B$7,MATCH(M310,'Boundary table'!$A$3:$A$7))</f>
        <v>D</v>
      </c>
      <c r="P310">
        <f>Table1[[#This Row],[Math Score]]+Table1[[#This Row],[Reading Score]]+Table1[[#This Row],[Writing Score]]</f>
        <v>191</v>
      </c>
      <c r="Q310" s="16">
        <f>COUNTIF(Table1[[#This Row],[Math Score]],"&lt;60")+COUNTIF(Table1[[#This Row],[Reading Score]],"&lt;60")+COUNTIF(Table1[[#This Row],[Writing Score]],"&lt;60")</f>
        <v>1</v>
      </c>
      <c r="R310" t="str">
        <f>IF(Table1[[#This Row],[Fail Count]]&gt;=2,"At risk","OK")</f>
        <v>OK</v>
      </c>
    </row>
    <row r="311" spans="1:18">
      <c r="A311" t="str">
        <f t="shared" si="4"/>
        <v>Stu-310</v>
      </c>
      <c r="B311" t="s">
        <v>11</v>
      </c>
      <c r="C311" t="s">
        <v>31</v>
      </c>
      <c r="D311" t="s">
        <v>32</v>
      </c>
      <c r="E311" t="s">
        <v>30</v>
      </c>
      <c r="F311" t="s">
        <v>15</v>
      </c>
      <c r="G311" s="16">
        <v>49</v>
      </c>
      <c r="H311">
        <f>RANK(G311,$G$2:$G$1001,0)+COUNTIF($G$2:G311,G311)-1</f>
        <v>869</v>
      </c>
      <c r="I311" t="str">
        <f>INDEX('Boundary table'!$B$3:$B$7,MATCH(G311,'Boundary table'!$A$3:$A$7,1))</f>
        <v>F</v>
      </c>
      <c r="J311" s="16">
        <v>57</v>
      </c>
      <c r="K311">
        <f>RANK(J311,$J$2:$J$1001,0)+COUNTIF($J$2:J311,J311)-1</f>
        <v>795</v>
      </c>
      <c r="L311" t="str">
        <f>INDEX('Boundary table'!$B$3:$B$7,MATCH(J311,'Boundary table'!$A$3:$A$7,1))</f>
        <v>F</v>
      </c>
      <c r="M311" s="16">
        <v>52</v>
      </c>
      <c r="N311">
        <f>RANK(M311,$M$2:$M$1001,0)+COUNTIF($M$2:M311,M311)-1</f>
        <v>845</v>
      </c>
      <c r="O311" t="str">
        <f>INDEX('Boundary table'!$B$3:$B$7,MATCH(M311,'Boundary table'!$A$3:$A$7))</f>
        <v>F</v>
      </c>
      <c r="P311">
        <f>Table1[[#This Row],[Math Score]]+Table1[[#This Row],[Reading Score]]+Table1[[#This Row],[Writing Score]]</f>
        <v>158</v>
      </c>
      <c r="Q311" s="16">
        <f>COUNTIF(Table1[[#This Row],[Math Score]],"&lt;60")+COUNTIF(Table1[[#This Row],[Reading Score]],"&lt;60")+COUNTIF(Table1[[#This Row],[Writing Score]],"&lt;60")</f>
        <v>3</v>
      </c>
      <c r="R311" t="str">
        <f>IF(Table1[[#This Row],[Fail Count]]&gt;=2,"At risk","OK")</f>
        <v>At risk</v>
      </c>
    </row>
    <row r="312" spans="1:18">
      <c r="A312" t="str">
        <f t="shared" si="4"/>
        <v>Stu-311</v>
      </c>
      <c r="B312" t="s">
        <v>11</v>
      </c>
      <c r="C312" t="s">
        <v>12</v>
      </c>
      <c r="D312" t="s">
        <v>29</v>
      </c>
      <c r="E312" t="s">
        <v>14</v>
      </c>
      <c r="F312" t="s">
        <v>15</v>
      </c>
      <c r="G312" s="16">
        <v>73</v>
      </c>
      <c r="H312">
        <f>RANK(G312,$G$2:$G$1001,0)+COUNTIF($G$2:G312,G312)-1</f>
        <v>328</v>
      </c>
      <c r="I312" t="str">
        <f>INDEX('Boundary table'!$B$3:$B$7,MATCH(G312,'Boundary table'!$A$3:$A$7,1))</f>
        <v>C</v>
      </c>
      <c r="J312" s="16">
        <v>76</v>
      </c>
      <c r="K312">
        <f>RANK(J312,$J$2:$J$1001,0)+COUNTIF($J$2:J312,J312)-1</f>
        <v>328</v>
      </c>
      <c r="L312" t="str">
        <f>INDEX('Boundary table'!$B$3:$B$7,MATCH(J312,'Boundary table'!$A$3:$A$7,1))</f>
        <v>C</v>
      </c>
      <c r="M312" s="16">
        <v>80</v>
      </c>
      <c r="N312">
        <f>RANK(M312,$M$2:$M$1001,0)+COUNTIF($M$2:M312,M312)-1</f>
        <v>213</v>
      </c>
      <c r="O312" t="str">
        <f>INDEX('Boundary table'!$B$3:$B$7,MATCH(M312,'Boundary table'!$A$3:$A$7))</f>
        <v>B</v>
      </c>
      <c r="P312">
        <f>Table1[[#This Row],[Math Score]]+Table1[[#This Row],[Reading Score]]+Table1[[#This Row],[Writing Score]]</f>
        <v>229</v>
      </c>
      <c r="Q312" s="16">
        <f>COUNTIF(Table1[[#This Row],[Math Score]],"&lt;60")+COUNTIF(Table1[[#This Row],[Reading Score]],"&lt;60")+COUNTIF(Table1[[#This Row],[Writing Score]],"&lt;60")</f>
        <v>0</v>
      </c>
      <c r="R312" t="str">
        <f>IF(Table1[[#This Row],[Fail Count]]&gt;=2,"At risk","OK")</f>
        <v>OK</v>
      </c>
    </row>
    <row r="313" spans="1:18">
      <c r="A313" t="str">
        <f t="shared" si="4"/>
        <v>Stu-312</v>
      </c>
      <c r="B313" t="s">
        <v>27</v>
      </c>
      <c r="C313" t="s">
        <v>12</v>
      </c>
      <c r="D313" t="s">
        <v>13</v>
      </c>
      <c r="E313" t="s">
        <v>14</v>
      </c>
      <c r="F313" t="s">
        <v>15</v>
      </c>
      <c r="G313" s="16">
        <v>66</v>
      </c>
      <c r="H313">
        <f>RANK(G313,$G$2:$G$1001,0)+COUNTIF($G$2:G313,G313)-1</f>
        <v>501</v>
      </c>
      <c r="I313" t="str">
        <f>INDEX('Boundary table'!$B$3:$B$7,MATCH(G313,'Boundary table'!$A$3:$A$7,1))</f>
        <v>D</v>
      </c>
      <c r="J313" s="16">
        <v>60</v>
      </c>
      <c r="K313">
        <f>RANK(J313,$J$2:$J$1001,0)+COUNTIF($J$2:J313,J313)-1</f>
        <v>731</v>
      </c>
      <c r="L313" t="str">
        <f>INDEX('Boundary table'!$B$3:$B$7,MATCH(J313,'Boundary table'!$A$3:$A$7,1))</f>
        <v>D</v>
      </c>
      <c r="M313" s="16">
        <v>57</v>
      </c>
      <c r="N313">
        <f>RANK(M313,$M$2:$M$1001,0)+COUNTIF($M$2:M313,M313)-1</f>
        <v>756</v>
      </c>
      <c r="O313" t="str">
        <f>INDEX('Boundary table'!$B$3:$B$7,MATCH(M313,'Boundary table'!$A$3:$A$7))</f>
        <v>F</v>
      </c>
      <c r="P313">
        <f>Table1[[#This Row],[Math Score]]+Table1[[#This Row],[Reading Score]]+Table1[[#This Row],[Writing Score]]</f>
        <v>183</v>
      </c>
      <c r="Q313" s="16">
        <f>COUNTIF(Table1[[#This Row],[Math Score]],"&lt;60")+COUNTIF(Table1[[#This Row],[Reading Score]],"&lt;60")+COUNTIF(Table1[[#This Row],[Writing Score]],"&lt;60")</f>
        <v>1</v>
      </c>
      <c r="R313" t="str">
        <f>IF(Table1[[#This Row],[Fail Count]]&gt;=2,"At risk","OK")</f>
        <v>OK</v>
      </c>
    </row>
    <row r="314" spans="1:18">
      <c r="A314" t="str">
        <f t="shared" si="4"/>
        <v>Stu-313</v>
      </c>
      <c r="B314" t="s">
        <v>27</v>
      </c>
      <c r="C314" t="s">
        <v>31</v>
      </c>
      <c r="D314" t="s">
        <v>13</v>
      </c>
      <c r="E314" t="s">
        <v>14</v>
      </c>
      <c r="F314" t="s">
        <v>21</v>
      </c>
      <c r="G314" s="16">
        <v>67</v>
      </c>
      <c r="H314">
        <f>RANK(G314,$G$2:$G$1001,0)+COUNTIF($G$2:G314,G314)-1</f>
        <v>476</v>
      </c>
      <c r="I314" t="str">
        <f>INDEX('Boundary table'!$B$3:$B$7,MATCH(G314,'Boundary table'!$A$3:$A$7,1))</f>
        <v>D</v>
      </c>
      <c r="J314" s="16">
        <v>61</v>
      </c>
      <c r="K314">
        <f>RANK(J314,$J$2:$J$1001,0)+COUNTIF($J$2:J314,J314)-1</f>
        <v>706</v>
      </c>
      <c r="L314" t="str">
        <f>INDEX('Boundary table'!$B$3:$B$7,MATCH(J314,'Boundary table'!$A$3:$A$7,1))</f>
        <v>D</v>
      </c>
      <c r="M314" s="16">
        <v>68</v>
      </c>
      <c r="N314">
        <f>RANK(M314,$M$2:$M$1001,0)+COUNTIF($M$2:M314,M314)-1</f>
        <v>524</v>
      </c>
      <c r="O314" t="str">
        <f>INDEX('Boundary table'!$B$3:$B$7,MATCH(M314,'Boundary table'!$A$3:$A$7))</f>
        <v>D</v>
      </c>
      <c r="P314">
        <f>Table1[[#This Row],[Math Score]]+Table1[[#This Row],[Reading Score]]+Table1[[#This Row],[Writing Score]]</f>
        <v>196</v>
      </c>
      <c r="Q314" s="16">
        <f>COUNTIF(Table1[[#This Row],[Math Score]],"&lt;60")+COUNTIF(Table1[[#This Row],[Reading Score]],"&lt;60")+COUNTIF(Table1[[#This Row],[Writing Score]],"&lt;60")</f>
        <v>0</v>
      </c>
      <c r="R314" t="str">
        <f>IF(Table1[[#This Row],[Fail Count]]&gt;=2,"At risk","OK")</f>
        <v>OK</v>
      </c>
    </row>
    <row r="315" spans="1:18">
      <c r="A315" t="str">
        <f t="shared" si="4"/>
        <v>Stu-314</v>
      </c>
      <c r="B315" t="s">
        <v>11</v>
      </c>
      <c r="C315" t="s">
        <v>19</v>
      </c>
      <c r="D315" t="s">
        <v>29</v>
      </c>
      <c r="E315" t="s">
        <v>30</v>
      </c>
      <c r="F315" t="s">
        <v>21</v>
      </c>
      <c r="G315" s="16">
        <v>68</v>
      </c>
      <c r="H315">
        <f>RANK(G315,$G$2:$G$1001,0)+COUNTIF($G$2:G315,G315)-1</f>
        <v>447</v>
      </c>
      <c r="I315" t="str">
        <f>INDEX('Boundary table'!$B$3:$B$7,MATCH(G315,'Boundary table'!$A$3:$A$7,1))</f>
        <v>D</v>
      </c>
      <c r="J315" s="16">
        <v>67</v>
      </c>
      <c r="K315">
        <f>RANK(J315,$J$2:$J$1001,0)+COUNTIF($J$2:J315,J315)-1</f>
        <v>562</v>
      </c>
      <c r="L315" t="str">
        <f>INDEX('Boundary table'!$B$3:$B$7,MATCH(J315,'Boundary table'!$A$3:$A$7,1))</f>
        <v>D</v>
      </c>
      <c r="M315" s="16">
        <v>69</v>
      </c>
      <c r="N315">
        <f>RANK(M315,$M$2:$M$1001,0)+COUNTIF($M$2:M315,M315)-1</f>
        <v>496</v>
      </c>
      <c r="O315" t="str">
        <f>INDEX('Boundary table'!$B$3:$B$7,MATCH(M315,'Boundary table'!$A$3:$A$7))</f>
        <v>D</v>
      </c>
      <c r="P315">
        <f>Table1[[#This Row],[Math Score]]+Table1[[#This Row],[Reading Score]]+Table1[[#This Row],[Writing Score]]</f>
        <v>204</v>
      </c>
      <c r="Q315" s="16">
        <f>COUNTIF(Table1[[#This Row],[Math Score]],"&lt;60")+COUNTIF(Table1[[#This Row],[Reading Score]],"&lt;60")+COUNTIF(Table1[[#This Row],[Writing Score]],"&lt;60")</f>
        <v>0</v>
      </c>
      <c r="R315" t="str">
        <f>IF(Table1[[#This Row],[Fail Count]]&gt;=2,"At risk","OK")</f>
        <v>OK</v>
      </c>
    </row>
    <row r="316" spans="1:18">
      <c r="A316" t="str">
        <f t="shared" si="4"/>
        <v>Stu-315</v>
      </c>
      <c r="B316" t="s">
        <v>11</v>
      </c>
      <c r="C316" t="s">
        <v>19</v>
      </c>
      <c r="D316" t="s">
        <v>13</v>
      </c>
      <c r="E316" t="s">
        <v>14</v>
      </c>
      <c r="F316" t="s">
        <v>21</v>
      </c>
      <c r="G316" s="16">
        <v>59</v>
      </c>
      <c r="H316">
        <f>RANK(G316,$G$2:$G$1001,0)+COUNTIF($G$2:G316,G316)-1</f>
        <v>688</v>
      </c>
      <c r="I316" t="str">
        <f>INDEX('Boundary table'!$B$3:$B$7,MATCH(G316,'Boundary table'!$A$3:$A$7,1))</f>
        <v>F</v>
      </c>
      <c r="J316" s="16">
        <v>64</v>
      </c>
      <c r="K316">
        <f>RANK(J316,$J$2:$J$1001,0)+COUNTIF($J$2:J316,J316)-1</f>
        <v>638</v>
      </c>
      <c r="L316" t="str">
        <f>INDEX('Boundary table'!$B$3:$B$7,MATCH(J316,'Boundary table'!$A$3:$A$7,1))</f>
        <v>D</v>
      </c>
      <c r="M316" s="16">
        <v>75</v>
      </c>
      <c r="N316">
        <f>RANK(M316,$M$2:$M$1001,0)+COUNTIF($M$2:M316,M316)-1</f>
        <v>341</v>
      </c>
      <c r="O316" t="str">
        <f>INDEX('Boundary table'!$B$3:$B$7,MATCH(M316,'Boundary table'!$A$3:$A$7))</f>
        <v>C</v>
      </c>
      <c r="P316">
        <f>Table1[[#This Row],[Math Score]]+Table1[[#This Row],[Reading Score]]+Table1[[#This Row],[Writing Score]]</f>
        <v>198</v>
      </c>
      <c r="Q316" s="16">
        <f>COUNTIF(Table1[[#This Row],[Math Score]],"&lt;60")+COUNTIF(Table1[[#This Row],[Reading Score]],"&lt;60")+COUNTIF(Table1[[#This Row],[Writing Score]],"&lt;60")</f>
        <v>1</v>
      </c>
      <c r="R316" t="str">
        <f>IF(Table1[[#This Row],[Fail Count]]&gt;=2,"At risk","OK")</f>
        <v>OK</v>
      </c>
    </row>
    <row r="317" spans="1:18">
      <c r="A317" t="str">
        <f t="shared" si="4"/>
        <v>Stu-316</v>
      </c>
      <c r="B317" t="s">
        <v>27</v>
      </c>
      <c r="C317" t="s">
        <v>19</v>
      </c>
      <c r="D317" t="s">
        <v>32</v>
      </c>
      <c r="E317" t="s">
        <v>14</v>
      </c>
      <c r="F317" t="s">
        <v>15</v>
      </c>
      <c r="G317" s="16">
        <v>71</v>
      </c>
      <c r="H317">
        <f>RANK(G317,$G$2:$G$1001,0)+COUNTIF($G$2:G317,G317)-1</f>
        <v>375</v>
      </c>
      <c r="I317" t="str">
        <f>INDEX('Boundary table'!$B$3:$B$7,MATCH(G317,'Boundary table'!$A$3:$A$7,1))</f>
        <v>C</v>
      </c>
      <c r="J317" s="16">
        <v>66</v>
      </c>
      <c r="K317">
        <f>RANK(J317,$J$2:$J$1001,0)+COUNTIF($J$2:J317,J317)-1</f>
        <v>587</v>
      </c>
      <c r="L317" t="str">
        <f>INDEX('Boundary table'!$B$3:$B$7,MATCH(J317,'Boundary table'!$A$3:$A$7,1))</f>
        <v>D</v>
      </c>
      <c r="M317" s="16">
        <v>65</v>
      </c>
      <c r="N317">
        <f>RANK(M317,$M$2:$M$1001,0)+COUNTIF($M$2:M317,M317)-1</f>
        <v>600</v>
      </c>
      <c r="O317" t="str">
        <f>INDEX('Boundary table'!$B$3:$B$7,MATCH(M317,'Boundary table'!$A$3:$A$7))</f>
        <v>D</v>
      </c>
      <c r="P317">
        <f>Table1[[#This Row],[Math Score]]+Table1[[#This Row],[Reading Score]]+Table1[[#This Row],[Writing Score]]</f>
        <v>202</v>
      </c>
      <c r="Q317" s="16">
        <f>COUNTIF(Table1[[#This Row],[Math Score]],"&lt;60")+COUNTIF(Table1[[#This Row],[Reading Score]],"&lt;60")+COUNTIF(Table1[[#This Row],[Writing Score]],"&lt;60")</f>
        <v>0</v>
      </c>
      <c r="R317" t="str">
        <f>IF(Table1[[#This Row],[Fail Count]]&gt;=2,"At risk","OK")</f>
        <v>OK</v>
      </c>
    </row>
    <row r="318" spans="1:18">
      <c r="A318" t="str">
        <f t="shared" si="4"/>
        <v>Stu-317</v>
      </c>
      <c r="B318" t="s">
        <v>11</v>
      </c>
      <c r="C318" t="s">
        <v>31</v>
      </c>
      <c r="D318" t="s">
        <v>26</v>
      </c>
      <c r="E318" t="s">
        <v>14</v>
      </c>
      <c r="F318" t="s">
        <v>21</v>
      </c>
      <c r="G318" s="16">
        <v>77</v>
      </c>
      <c r="H318">
        <f>RANK(G318,$G$2:$G$1001,0)+COUNTIF($G$2:G318,G318)-1</f>
        <v>236</v>
      </c>
      <c r="I318" t="str">
        <f>INDEX('Boundary table'!$B$3:$B$7,MATCH(G318,'Boundary table'!$A$3:$A$7,1))</f>
        <v>C</v>
      </c>
      <c r="J318" s="16">
        <v>82</v>
      </c>
      <c r="K318">
        <f>RANK(J318,$J$2:$J$1001,0)+COUNTIF($J$2:J318,J318)-1</f>
        <v>196</v>
      </c>
      <c r="L318" t="str">
        <f>INDEX('Boundary table'!$B$3:$B$7,MATCH(J318,'Boundary table'!$A$3:$A$7,1))</f>
        <v>B</v>
      </c>
      <c r="M318" s="16">
        <v>91</v>
      </c>
      <c r="N318">
        <f>RANK(M318,$M$2:$M$1001,0)+COUNTIF($M$2:M318,M318)-1</f>
        <v>59</v>
      </c>
      <c r="O318" t="str">
        <f>INDEX('Boundary table'!$B$3:$B$7,MATCH(M318,'Boundary table'!$A$3:$A$7))</f>
        <v>A</v>
      </c>
      <c r="P318">
        <f>Table1[[#This Row],[Math Score]]+Table1[[#This Row],[Reading Score]]+Table1[[#This Row],[Writing Score]]</f>
        <v>250</v>
      </c>
      <c r="Q318" s="16">
        <f>COUNTIF(Table1[[#This Row],[Math Score]],"&lt;60")+COUNTIF(Table1[[#This Row],[Reading Score]],"&lt;60")+COUNTIF(Table1[[#This Row],[Writing Score]],"&lt;60")</f>
        <v>0</v>
      </c>
      <c r="R318" t="str">
        <f>IF(Table1[[#This Row],[Fail Count]]&gt;=2,"At risk","OK")</f>
        <v>OK</v>
      </c>
    </row>
    <row r="319" spans="1:18">
      <c r="A319" t="str">
        <f t="shared" si="4"/>
        <v>Stu-318</v>
      </c>
      <c r="B319" t="s">
        <v>27</v>
      </c>
      <c r="C319" t="s">
        <v>19</v>
      </c>
      <c r="D319" t="s">
        <v>29</v>
      </c>
      <c r="E319" t="s">
        <v>14</v>
      </c>
      <c r="F319" t="s">
        <v>15</v>
      </c>
      <c r="G319" s="16">
        <v>83</v>
      </c>
      <c r="H319">
        <f>RANK(G319,$G$2:$G$1001,0)+COUNTIF($G$2:G319,G319)-1</f>
        <v>133</v>
      </c>
      <c r="I319" t="str">
        <f>INDEX('Boundary table'!$B$3:$B$7,MATCH(G319,'Boundary table'!$A$3:$A$7,1))</f>
        <v>B</v>
      </c>
      <c r="J319" s="16">
        <v>72</v>
      </c>
      <c r="K319">
        <f>RANK(J319,$J$2:$J$1001,0)+COUNTIF($J$2:J319,J319)-1</f>
        <v>444</v>
      </c>
      <c r="L319" t="str">
        <f>INDEX('Boundary table'!$B$3:$B$7,MATCH(J319,'Boundary table'!$A$3:$A$7,1))</f>
        <v>C</v>
      </c>
      <c r="M319" s="16">
        <v>78</v>
      </c>
      <c r="N319">
        <f>RANK(M319,$M$2:$M$1001,0)+COUNTIF($M$2:M319,M319)-1</f>
        <v>267</v>
      </c>
      <c r="O319" t="str">
        <f>INDEX('Boundary table'!$B$3:$B$7,MATCH(M319,'Boundary table'!$A$3:$A$7))</f>
        <v>C</v>
      </c>
      <c r="P319">
        <f>Table1[[#This Row],[Math Score]]+Table1[[#This Row],[Reading Score]]+Table1[[#This Row],[Writing Score]]</f>
        <v>233</v>
      </c>
      <c r="Q319" s="16">
        <f>COUNTIF(Table1[[#This Row],[Math Score]],"&lt;60")+COUNTIF(Table1[[#This Row],[Reading Score]],"&lt;60")+COUNTIF(Table1[[#This Row],[Writing Score]],"&lt;60")</f>
        <v>0</v>
      </c>
      <c r="R319" t="str">
        <f>IF(Table1[[#This Row],[Fail Count]]&gt;=2,"At risk","OK")</f>
        <v>OK</v>
      </c>
    </row>
    <row r="320" spans="1:18">
      <c r="A320" t="str">
        <f t="shared" si="4"/>
        <v>Stu-319</v>
      </c>
      <c r="B320" t="s">
        <v>27</v>
      </c>
      <c r="C320" t="s">
        <v>12</v>
      </c>
      <c r="D320" t="s">
        <v>13</v>
      </c>
      <c r="E320" t="s">
        <v>14</v>
      </c>
      <c r="F320" t="s">
        <v>15</v>
      </c>
      <c r="G320" s="16">
        <v>63</v>
      </c>
      <c r="H320">
        <f>RANK(G320,$G$2:$G$1001,0)+COUNTIF($G$2:G320,G320)-1</f>
        <v>582</v>
      </c>
      <c r="I320" t="str">
        <f>INDEX('Boundary table'!$B$3:$B$7,MATCH(G320,'Boundary table'!$A$3:$A$7,1))</f>
        <v>D</v>
      </c>
      <c r="J320" s="16">
        <v>71</v>
      </c>
      <c r="K320">
        <f>RANK(J320,$J$2:$J$1001,0)+COUNTIF($J$2:J320,J320)-1</f>
        <v>473</v>
      </c>
      <c r="L320" t="str">
        <f>INDEX('Boundary table'!$B$3:$B$7,MATCH(J320,'Boundary table'!$A$3:$A$7,1))</f>
        <v>C</v>
      </c>
      <c r="M320" s="16">
        <v>69</v>
      </c>
      <c r="N320">
        <f>RANK(M320,$M$2:$M$1001,0)+COUNTIF($M$2:M320,M320)-1</f>
        <v>497</v>
      </c>
      <c r="O320" t="str">
        <f>INDEX('Boundary table'!$B$3:$B$7,MATCH(M320,'Boundary table'!$A$3:$A$7))</f>
        <v>D</v>
      </c>
      <c r="P320">
        <f>Table1[[#This Row],[Math Score]]+Table1[[#This Row],[Reading Score]]+Table1[[#This Row],[Writing Score]]</f>
        <v>203</v>
      </c>
      <c r="Q320" s="16">
        <f>COUNTIF(Table1[[#This Row],[Math Score]],"&lt;60")+COUNTIF(Table1[[#This Row],[Reading Score]],"&lt;60")+COUNTIF(Table1[[#This Row],[Writing Score]],"&lt;60")</f>
        <v>0</v>
      </c>
      <c r="R320" t="str">
        <f>IF(Table1[[#This Row],[Fail Count]]&gt;=2,"At risk","OK")</f>
        <v>OK</v>
      </c>
    </row>
    <row r="321" spans="1:18">
      <c r="A321" t="str">
        <f t="shared" si="4"/>
        <v>Stu-320</v>
      </c>
      <c r="B321" t="s">
        <v>11</v>
      </c>
      <c r="C321" t="s">
        <v>31</v>
      </c>
      <c r="D321" t="s">
        <v>29</v>
      </c>
      <c r="E321" t="s">
        <v>30</v>
      </c>
      <c r="F321" t="s">
        <v>15</v>
      </c>
      <c r="G321" s="16">
        <v>56</v>
      </c>
      <c r="H321">
        <f>RANK(G321,$G$2:$G$1001,0)+COUNTIF($G$2:G321,G321)-1</f>
        <v>757</v>
      </c>
      <c r="I321" t="str">
        <f>INDEX('Boundary table'!$B$3:$B$7,MATCH(G321,'Boundary table'!$A$3:$A$7,1))</f>
        <v>F</v>
      </c>
      <c r="J321" s="16">
        <v>65</v>
      </c>
      <c r="K321">
        <f>RANK(J321,$J$2:$J$1001,0)+COUNTIF($J$2:J321,J321)-1</f>
        <v>614</v>
      </c>
      <c r="L321" t="str">
        <f>INDEX('Boundary table'!$B$3:$B$7,MATCH(J321,'Boundary table'!$A$3:$A$7,1))</f>
        <v>D</v>
      </c>
      <c r="M321" s="16">
        <v>63</v>
      </c>
      <c r="N321">
        <f>RANK(M321,$M$2:$M$1001,0)+COUNTIF($M$2:M321,M321)-1</f>
        <v>640</v>
      </c>
      <c r="O321" t="str">
        <f>INDEX('Boundary table'!$B$3:$B$7,MATCH(M321,'Boundary table'!$A$3:$A$7))</f>
        <v>D</v>
      </c>
      <c r="P321">
        <f>Table1[[#This Row],[Math Score]]+Table1[[#This Row],[Reading Score]]+Table1[[#This Row],[Writing Score]]</f>
        <v>184</v>
      </c>
      <c r="Q321" s="16">
        <f>COUNTIF(Table1[[#This Row],[Math Score]],"&lt;60")+COUNTIF(Table1[[#This Row],[Reading Score]],"&lt;60")+COUNTIF(Table1[[#This Row],[Writing Score]],"&lt;60")</f>
        <v>1</v>
      </c>
      <c r="R321" t="str">
        <f>IF(Table1[[#This Row],[Fail Count]]&gt;=2,"At risk","OK")</f>
        <v>OK</v>
      </c>
    </row>
    <row r="322" spans="1:18">
      <c r="A322" t="str">
        <f t="shared" ref="A322:A385" si="5">"Stu-"&amp;TEXT(ROW()-1,"000")</f>
        <v>Stu-321</v>
      </c>
      <c r="B322" t="s">
        <v>11</v>
      </c>
      <c r="C322" t="s">
        <v>19</v>
      </c>
      <c r="D322" t="s">
        <v>32</v>
      </c>
      <c r="E322" t="s">
        <v>30</v>
      </c>
      <c r="F322" t="s">
        <v>21</v>
      </c>
      <c r="G322" s="16">
        <v>67</v>
      </c>
      <c r="H322">
        <f>RANK(G322,$G$2:$G$1001,0)+COUNTIF($G$2:G322,G322)-1</f>
        <v>477</v>
      </c>
      <c r="I322" t="str">
        <f>INDEX('Boundary table'!$B$3:$B$7,MATCH(G322,'Boundary table'!$A$3:$A$7,1))</f>
        <v>D</v>
      </c>
      <c r="J322" s="16">
        <v>79</v>
      </c>
      <c r="K322">
        <f>RANK(J322,$J$2:$J$1001,0)+COUNTIF($J$2:J322,J322)-1</f>
        <v>257</v>
      </c>
      <c r="L322" t="str">
        <f>INDEX('Boundary table'!$B$3:$B$7,MATCH(J322,'Boundary table'!$A$3:$A$7,1))</f>
        <v>C</v>
      </c>
      <c r="M322" s="16">
        <v>84</v>
      </c>
      <c r="N322">
        <f>RANK(M322,$M$2:$M$1001,0)+COUNTIF($M$2:M322,M322)-1</f>
        <v>139</v>
      </c>
      <c r="O322" t="str">
        <f>INDEX('Boundary table'!$B$3:$B$7,MATCH(M322,'Boundary table'!$A$3:$A$7))</f>
        <v>B</v>
      </c>
      <c r="P322">
        <f>Table1[[#This Row],[Math Score]]+Table1[[#This Row],[Reading Score]]+Table1[[#This Row],[Writing Score]]</f>
        <v>230</v>
      </c>
      <c r="Q322" s="16">
        <f>COUNTIF(Table1[[#This Row],[Math Score]],"&lt;60")+COUNTIF(Table1[[#This Row],[Reading Score]],"&lt;60")+COUNTIF(Table1[[#This Row],[Writing Score]],"&lt;60")</f>
        <v>0</v>
      </c>
      <c r="R322" t="str">
        <f>IF(Table1[[#This Row],[Fail Count]]&gt;=2,"At risk","OK")</f>
        <v>OK</v>
      </c>
    </row>
    <row r="323" spans="1:18">
      <c r="A323" t="str">
        <f t="shared" si="5"/>
        <v>Stu-322</v>
      </c>
      <c r="B323" t="s">
        <v>11</v>
      </c>
      <c r="C323" t="s">
        <v>34</v>
      </c>
      <c r="D323" t="s">
        <v>32</v>
      </c>
      <c r="E323" t="s">
        <v>14</v>
      </c>
      <c r="F323" t="s">
        <v>15</v>
      </c>
      <c r="G323" s="16">
        <v>75</v>
      </c>
      <c r="H323">
        <f>RANK(G323,$G$2:$G$1001,0)+COUNTIF($G$2:G323,G323)-1</f>
        <v>280</v>
      </c>
      <c r="I323" t="str">
        <f>INDEX('Boundary table'!$B$3:$B$7,MATCH(G323,'Boundary table'!$A$3:$A$7,1))</f>
        <v>C</v>
      </c>
      <c r="J323" s="16">
        <v>86</v>
      </c>
      <c r="K323">
        <f>RANK(J323,$J$2:$J$1001,0)+COUNTIF($J$2:J323,J323)-1</f>
        <v>122</v>
      </c>
      <c r="L323" t="str">
        <f>INDEX('Boundary table'!$B$3:$B$7,MATCH(J323,'Boundary table'!$A$3:$A$7,1))</f>
        <v>B</v>
      </c>
      <c r="M323" s="16">
        <v>79</v>
      </c>
      <c r="N323">
        <f>RANK(M323,$M$2:$M$1001,0)+COUNTIF($M$2:M323,M323)-1</f>
        <v>240</v>
      </c>
      <c r="O323" t="str">
        <f>INDEX('Boundary table'!$B$3:$B$7,MATCH(M323,'Boundary table'!$A$3:$A$7))</f>
        <v>C</v>
      </c>
      <c r="P323">
        <f>Table1[[#This Row],[Math Score]]+Table1[[#This Row],[Reading Score]]+Table1[[#This Row],[Writing Score]]</f>
        <v>240</v>
      </c>
      <c r="Q323" s="16">
        <f>COUNTIF(Table1[[#This Row],[Math Score]],"&lt;60")+COUNTIF(Table1[[#This Row],[Reading Score]],"&lt;60")+COUNTIF(Table1[[#This Row],[Writing Score]],"&lt;60")</f>
        <v>0</v>
      </c>
      <c r="R323" t="str">
        <f>IF(Table1[[#This Row],[Fail Count]]&gt;=2,"At risk","OK")</f>
        <v>OK</v>
      </c>
    </row>
    <row r="324" spans="1:18">
      <c r="A324" t="str">
        <f t="shared" si="5"/>
        <v>Stu-323</v>
      </c>
      <c r="B324" t="s">
        <v>11</v>
      </c>
      <c r="C324" t="s">
        <v>19</v>
      </c>
      <c r="D324" t="s">
        <v>20</v>
      </c>
      <c r="E324" t="s">
        <v>14</v>
      </c>
      <c r="F324" t="s">
        <v>15</v>
      </c>
      <c r="G324" s="16">
        <v>71</v>
      </c>
      <c r="H324">
        <f>RANK(G324,$G$2:$G$1001,0)+COUNTIF($G$2:G324,G324)-1</f>
        <v>376</v>
      </c>
      <c r="I324" t="str">
        <f>INDEX('Boundary table'!$B$3:$B$7,MATCH(G324,'Boundary table'!$A$3:$A$7,1))</f>
        <v>C</v>
      </c>
      <c r="J324" s="16">
        <v>81</v>
      </c>
      <c r="K324">
        <f>RANK(J324,$J$2:$J$1001,0)+COUNTIF($J$2:J324,J324)-1</f>
        <v>219</v>
      </c>
      <c r="L324" t="str">
        <f>INDEX('Boundary table'!$B$3:$B$7,MATCH(J324,'Boundary table'!$A$3:$A$7,1))</f>
        <v>B</v>
      </c>
      <c r="M324" s="16">
        <v>80</v>
      </c>
      <c r="N324">
        <f>RANK(M324,$M$2:$M$1001,0)+COUNTIF($M$2:M324,M324)-1</f>
        <v>214</v>
      </c>
      <c r="O324" t="str">
        <f>INDEX('Boundary table'!$B$3:$B$7,MATCH(M324,'Boundary table'!$A$3:$A$7))</f>
        <v>B</v>
      </c>
      <c r="P324">
        <f>Table1[[#This Row],[Math Score]]+Table1[[#This Row],[Reading Score]]+Table1[[#This Row],[Writing Score]]</f>
        <v>232</v>
      </c>
      <c r="Q324" s="16">
        <f>COUNTIF(Table1[[#This Row],[Math Score]],"&lt;60")+COUNTIF(Table1[[#This Row],[Reading Score]],"&lt;60")+COUNTIF(Table1[[#This Row],[Writing Score]],"&lt;60")</f>
        <v>0</v>
      </c>
      <c r="R324" t="str">
        <f>IF(Table1[[#This Row],[Fail Count]]&gt;=2,"At risk","OK")</f>
        <v>OK</v>
      </c>
    </row>
    <row r="325" spans="1:18">
      <c r="A325" t="str">
        <f t="shared" si="5"/>
        <v>Stu-324</v>
      </c>
      <c r="B325" t="s">
        <v>11</v>
      </c>
      <c r="C325" t="s">
        <v>19</v>
      </c>
      <c r="D325" t="s">
        <v>33</v>
      </c>
      <c r="E325" t="s">
        <v>30</v>
      </c>
      <c r="F325" t="s">
        <v>15</v>
      </c>
      <c r="G325" s="16">
        <v>43</v>
      </c>
      <c r="H325">
        <f>RANK(G325,$G$2:$G$1001,0)+COUNTIF($G$2:G325,G325)-1</f>
        <v>936</v>
      </c>
      <c r="I325" t="str">
        <f>INDEX('Boundary table'!$B$3:$B$7,MATCH(G325,'Boundary table'!$A$3:$A$7,1))</f>
        <v>F</v>
      </c>
      <c r="J325" s="16">
        <v>53</v>
      </c>
      <c r="K325">
        <f>RANK(J325,$J$2:$J$1001,0)+COUNTIF($J$2:J325,J325)-1</f>
        <v>865</v>
      </c>
      <c r="L325" t="str">
        <f>INDEX('Boundary table'!$B$3:$B$7,MATCH(J325,'Boundary table'!$A$3:$A$7,1))</f>
        <v>F</v>
      </c>
      <c r="M325" s="16">
        <v>53</v>
      </c>
      <c r="N325">
        <f>RANK(M325,$M$2:$M$1001,0)+COUNTIF($M$2:M325,M325)-1</f>
        <v>825</v>
      </c>
      <c r="O325" t="str">
        <f>INDEX('Boundary table'!$B$3:$B$7,MATCH(M325,'Boundary table'!$A$3:$A$7))</f>
        <v>F</v>
      </c>
      <c r="P325">
        <f>Table1[[#This Row],[Math Score]]+Table1[[#This Row],[Reading Score]]+Table1[[#This Row],[Writing Score]]</f>
        <v>149</v>
      </c>
      <c r="Q325" s="16">
        <f>COUNTIF(Table1[[#This Row],[Math Score]],"&lt;60")+COUNTIF(Table1[[#This Row],[Reading Score]],"&lt;60")+COUNTIF(Table1[[#This Row],[Writing Score]],"&lt;60")</f>
        <v>3</v>
      </c>
      <c r="R325" t="str">
        <f>IF(Table1[[#This Row],[Fail Count]]&gt;=2,"At risk","OK")</f>
        <v>At risk</v>
      </c>
    </row>
    <row r="326" spans="1:18">
      <c r="A326" t="str">
        <f t="shared" si="5"/>
        <v>Stu-325</v>
      </c>
      <c r="B326" t="s">
        <v>11</v>
      </c>
      <c r="C326" t="s">
        <v>19</v>
      </c>
      <c r="D326" t="s">
        <v>32</v>
      </c>
      <c r="E326" t="s">
        <v>30</v>
      </c>
      <c r="F326" t="s">
        <v>15</v>
      </c>
      <c r="G326" s="16">
        <v>41</v>
      </c>
      <c r="H326">
        <f>RANK(G326,$G$2:$G$1001,0)+COUNTIF($G$2:G326,G326)-1</f>
        <v>946</v>
      </c>
      <c r="I326" t="str">
        <f>INDEX('Boundary table'!$B$3:$B$7,MATCH(G326,'Boundary table'!$A$3:$A$7,1))</f>
        <v>F</v>
      </c>
      <c r="J326" s="16">
        <v>46</v>
      </c>
      <c r="K326">
        <f>RANK(J326,$J$2:$J$1001,0)+COUNTIF($J$2:J326,J326)-1</f>
        <v>937</v>
      </c>
      <c r="L326" t="str">
        <f>INDEX('Boundary table'!$B$3:$B$7,MATCH(J326,'Boundary table'!$A$3:$A$7,1))</f>
        <v>F</v>
      </c>
      <c r="M326" s="16">
        <v>43</v>
      </c>
      <c r="N326">
        <f>RANK(M326,$M$2:$M$1001,0)+COUNTIF($M$2:M326,M326)-1</f>
        <v>943</v>
      </c>
      <c r="O326" t="str">
        <f>INDEX('Boundary table'!$B$3:$B$7,MATCH(M326,'Boundary table'!$A$3:$A$7))</f>
        <v>F</v>
      </c>
      <c r="P326">
        <f>Table1[[#This Row],[Math Score]]+Table1[[#This Row],[Reading Score]]+Table1[[#This Row],[Writing Score]]</f>
        <v>130</v>
      </c>
      <c r="Q326" s="16">
        <f>COUNTIF(Table1[[#This Row],[Math Score]],"&lt;60")+COUNTIF(Table1[[#This Row],[Reading Score]],"&lt;60")+COUNTIF(Table1[[#This Row],[Writing Score]],"&lt;60")</f>
        <v>3</v>
      </c>
      <c r="R326" t="str">
        <f>IF(Table1[[#This Row],[Fail Count]]&gt;=2,"At risk","OK")</f>
        <v>At risk</v>
      </c>
    </row>
    <row r="327" spans="1:18">
      <c r="A327" t="str">
        <f t="shared" si="5"/>
        <v>Stu-326</v>
      </c>
      <c r="B327" t="s">
        <v>11</v>
      </c>
      <c r="C327" t="s">
        <v>19</v>
      </c>
      <c r="D327" t="s">
        <v>20</v>
      </c>
      <c r="E327" t="s">
        <v>14</v>
      </c>
      <c r="F327" t="s">
        <v>15</v>
      </c>
      <c r="G327" s="16">
        <v>82</v>
      </c>
      <c r="H327">
        <f>RANK(G327,$G$2:$G$1001,0)+COUNTIF($G$2:G327,G327)-1</f>
        <v>142</v>
      </c>
      <c r="I327" t="str">
        <f>INDEX('Boundary table'!$B$3:$B$7,MATCH(G327,'Boundary table'!$A$3:$A$7,1))</f>
        <v>B</v>
      </c>
      <c r="J327" s="16">
        <v>90</v>
      </c>
      <c r="K327">
        <f>RANK(J327,$J$2:$J$1001,0)+COUNTIF($J$2:J327,J327)-1</f>
        <v>65</v>
      </c>
      <c r="L327" t="str">
        <f>INDEX('Boundary table'!$B$3:$B$7,MATCH(J327,'Boundary table'!$A$3:$A$7,1))</f>
        <v>A</v>
      </c>
      <c r="M327" s="16">
        <v>94</v>
      </c>
      <c r="N327">
        <f>RANK(M327,$M$2:$M$1001,0)+COUNTIF($M$2:M327,M327)-1</f>
        <v>36</v>
      </c>
      <c r="O327" t="str">
        <f>INDEX('Boundary table'!$B$3:$B$7,MATCH(M327,'Boundary table'!$A$3:$A$7))</f>
        <v>A</v>
      </c>
      <c r="P327">
        <f>Table1[[#This Row],[Math Score]]+Table1[[#This Row],[Reading Score]]+Table1[[#This Row],[Writing Score]]</f>
        <v>266</v>
      </c>
      <c r="Q327" s="16">
        <f>COUNTIF(Table1[[#This Row],[Math Score]],"&lt;60")+COUNTIF(Table1[[#This Row],[Reading Score]],"&lt;60")+COUNTIF(Table1[[#This Row],[Writing Score]],"&lt;60")</f>
        <v>0</v>
      </c>
      <c r="R327" t="str">
        <f>IF(Table1[[#This Row],[Fail Count]]&gt;=2,"At risk","OK")</f>
        <v>OK</v>
      </c>
    </row>
    <row r="328" spans="1:18">
      <c r="A328" t="str">
        <f t="shared" si="5"/>
        <v>Stu-327</v>
      </c>
      <c r="B328" t="s">
        <v>27</v>
      </c>
      <c r="C328" t="s">
        <v>19</v>
      </c>
      <c r="D328" t="s">
        <v>20</v>
      </c>
      <c r="E328" t="s">
        <v>14</v>
      </c>
      <c r="F328" t="s">
        <v>15</v>
      </c>
      <c r="G328" s="16">
        <v>61</v>
      </c>
      <c r="H328">
        <f>RANK(G328,$G$2:$G$1001,0)+COUNTIF($G$2:G328,G328)-1</f>
        <v>641</v>
      </c>
      <c r="I328" t="str">
        <f>INDEX('Boundary table'!$B$3:$B$7,MATCH(G328,'Boundary table'!$A$3:$A$7,1))</f>
        <v>D</v>
      </c>
      <c r="J328" s="16">
        <v>61</v>
      </c>
      <c r="K328">
        <f>RANK(J328,$J$2:$J$1001,0)+COUNTIF($J$2:J328,J328)-1</f>
        <v>707</v>
      </c>
      <c r="L328" t="str">
        <f>INDEX('Boundary table'!$B$3:$B$7,MATCH(J328,'Boundary table'!$A$3:$A$7,1))</f>
        <v>D</v>
      </c>
      <c r="M328" s="16">
        <v>62</v>
      </c>
      <c r="N328">
        <f>RANK(M328,$M$2:$M$1001,0)+COUNTIF($M$2:M328,M328)-1</f>
        <v>661</v>
      </c>
      <c r="O328" t="str">
        <f>INDEX('Boundary table'!$B$3:$B$7,MATCH(M328,'Boundary table'!$A$3:$A$7))</f>
        <v>D</v>
      </c>
      <c r="P328">
        <f>Table1[[#This Row],[Math Score]]+Table1[[#This Row],[Reading Score]]+Table1[[#This Row],[Writing Score]]</f>
        <v>184</v>
      </c>
      <c r="Q328" s="16">
        <f>COUNTIF(Table1[[#This Row],[Math Score]],"&lt;60")+COUNTIF(Table1[[#This Row],[Reading Score]],"&lt;60")+COUNTIF(Table1[[#This Row],[Writing Score]],"&lt;60")</f>
        <v>0</v>
      </c>
      <c r="R328" t="str">
        <f>IF(Table1[[#This Row],[Fail Count]]&gt;=2,"At risk","OK")</f>
        <v>OK</v>
      </c>
    </row>
    <row r="329" spans="1:18">
      <c r="A329" t="str">
        <f t="shared" si="5"/>
        <v>Stu-328</v>
      </c>
      <c r="B329" t="s">
        <v>27</v>
      </c>
      <c r="C329" t="s">
        <v>28</v>
      </c>
      <c r="D329" t="s">
        <v>20</v>
      </c>
      <c r="E329" t="s">
        <v>30</v>
      </c>
      <c r="F329" t="s">
        <v>15</v>
      </c>
      <c r="G329" s="16">
        <v>28</v>
      </c>
      <c r="H329">
        <f>RANK(G329,$G$2:$G$1001,0)+COUNTIF($G$2:G329,G329)-1</f>
        <v>990</v>
      </c>
      <c r="I329" t="str">
        <f>INDEX('Boundary table'!$B$3:$B$7,MATCH(G329,'Boundary table'!$A$3:$A$7,1))</f>
        <v>F</v>
      </c>
      <c r="J329" s="16">
        <v>23</v>
      </c>
      <c r="K329">
        <f>RANK(J329,$J$2:$J$1001,0)+COUNTIF($J$2:J329,J329)-1</f>
        <v>999</v>
      </c>
      <c r="L329" t="str">
        <f>INDEX('Boundary table'!$B$3:$B$7,MATCH(J329,'Boundary table'!$A$3:$A$7,1))</f>
        <v>F</v>
      </c>
      <c r="M329" s="16">
        <v>19</v>
      </c>
      <c r="N329">
        <f>RANK(M329,$M$2:$M$1001,0)+COUNTIF($M$2:M329,M329)-1</f>
        <v>998</v>
      </c>
      <c r="O329" t="str">
        <f>INDEX('Boundary table'!$B$3:$B$7,MATCH(M329,'Boundary table'!$A$3:$A$7))</f>
        <v>F</v>
      </c>
      <c r="P329">
        <f>Table1[[#This Row],[Math Score]]+Table1[[#This Row],[Reading Score]]+Table1[[#This Row],[Writing Score]]</f>
        <v>70</v>
      </c>
      <c r="Q329" s="16">
        <f>COUNTIF(Table1[[#This Row],[Math Score]],"&lt;60")+COUNTIF(Table1[[#This Row],[Reading Score]],"&lt;60")+COUNTIF(Table1[[#This Row],[Writing Score]],"&lt;60")</f>
        <v>3</v>
      </c>
      <c r="R329" t="str">
        <f>IF(Table1[[#This Row],[Fail Count]]&gt;=2,"At risk","OK")</f>
        <v>At risk</v>
      </c>
    </row>
    <row r="330" spans="1:18">
      <c r="A330" t="str">
        <f t="shared" si="5"/>
        <v>Stu-329</v>
      </c>
      <c r="B330" t="s">
        <v>27</v>
      </c>
      <c r="C330" t="s">
        <v>19</v>
      </c>
      <c r="D330" t="s">
        <v>29</v>
      </c>
      <c r="E330" t="s">
        <v>14</v>
      </c>
      <c r="F330" t="s">
        <v>21</v>
      </c>
      <c r="G330" s="16">
        <v>82</v>
      </c>
      <c r="H330">
        <f>RANK(G330,$G$2:$G$1001,0)+COUNTIF($G$2:G330,G330)-1</f>
        <v>143</v>
      </c>
      <c r="I330" t="str">
        <f>INDEX('Boundary table'!$B$3:$B$7,MATCH(G330,'Boundary table'!$A$3:$A$7,1))</f>
        <v>B</v>
      </c>
      <c r="J330" s="16">
        <v>75</v>
      </c>
      <c r="K330">
        <f>RANK(J330,$J$2:$J$1001,0)+COUNTIF($J$2:J330,J330)-1</f>
        <v>354</v>
      </c>
      <c r="L330" t="str">
        <f>INDEX('Boundary table'!$B$3:$B$7,MATCH(J330,'Boundary table'!$A$3:$A$7,1))</f>
        <v>C</v>
      </c>
      <c r="M330" s="16">
        <v>77</v>
      </c>
      <c r="N330">
        <f>RANK(M330,$M$2:$M$1001,0)+COUNTIF($M$2:M330,M330)-1</f>
        <v>287</v>
      </c>
      <c r="O330" t="str">
        <f>INDEX('Boundary table'!$B$3:$B$7,MATCH(M330,'Boundary table'!$A$3:$A$7))</f>
        <v>C</v>
      </c>
      <c r="P330">
        <f>Table1[[#This Row],[Math Score]]+Table1[[#This Row],[Reading Score]]+Table1[[#This Row],[Writing Score]]</f>
        <v>234</v>
      </c>
      <c r="Q330" s="16">
        <f>COUNTIF(Table1[[#This Row],[Math Score]],"&lt;60")+COUNTIF(Table1[[#This Row],[Reading Score]],"&lt;60")+COUNTIF(Table1[[#This Row],[Writing Score]],"&lt;60")</f>
        <v>0</v>
      </c>
      <c r="R330" t="str">
        <f>IF(Table1[[#This Row],[Fail Count]]&gt;=2,"At risk","OK")</f>
        <v>OK</v>
      </c>
    </row>
    <row r="331" spans="1:18">
      <c r="A331" t="str">
        <f t="shared" si="5"/>
        <v>Stu-330</v>
      </c>
      <c r="B331" t="s">
        <v>11</v>
      </c>
      <c r="C331" t="s">
        <v>12</v>
      </c>
      <c r="D331" t="s">
        <v>33</v>
      </c>
      <c r="E331" t="s">
        <v>14</v>
      </c>
      <c r="F331" t="s">
        <v>15</v>
      </c>
      <c r="G331" s="16">
        <v>41</v>
      </c>
      <c r="H331">
        <f>RANK(G331,$G$2:$G$1001,0)+COUNTIF($G$2:G331,G331)-1</f>
        <v>947</v>
      </c>
      <c r="I331" t="str">
        <f>INDEX('Boundary table'!$B$3:$B$7,MATCH(G331,'Boundary table'!$A$3:$A$7,1))</f>
        <v>F</v>
      </c>
      <c r="J331" s="16">
        <v>55</v>
      </c>
      <c r="K331">
        <f>RANK(J331,$J$2:$J$1001,0)+COUNTIF($J$2:J331,J331)-1</f>
        <v>833</v>
      </c>
      <c r="L331" t="str">
        <f>INDEX('Boundary table'!$B$3:$B$7,MATCH(J331,'Boundary table'!$A$3:$A$7,1))</f>
        <v>F</v>
      </c>
      <c r="M331" s="16">
        <v>51</v>
      </c>
      <c r="N331">
        <f>RANK(M331,$M$2:$M$1001,0)+COUNTIF($M$2:M331,M331)-1</f>
        <v>865</v>
      </c>
      <c r="O331" t="str">
        <f>INDEX('Boundary table'!$B$3:$B$7,MATCH(M331,'Boundary table'!$A$3:$A$7))</f>
        <v>F</v>
      </c>
      <c r="P331">
        <f>Table1[[#This Row],[Math Score]]+Table1[[#This Row],[Reading Score]]+Table1[[#This Row],[Writing Score]]</f>
        <v>147</v>
      </c>
      <c r="Q331" s="16">
        <f>COUNTIF(Table1[[#This Row],[Math Score]],"&lt;60")+COUNTIF(Table1[[#This Row],[Reading Score]],"&lt;60")+COUNTIF(Table1[[#This Row],[Writing Score]],"&lt;60")</f>
        <v>3</v>
      </c>
      <c r="R331" t="str">
        <f>IF(Table1[[#This Row],[Fail Count]]&gt;=2,"At risk","OK")</f>
        <v>At risk</v>
      </c>
    </row>
    <row r="332" spans="1:18">
      <c r="A332" t="str">
        <f t="shared" si="5"/>
        <v>Stu-331</v>
      </c>
      <c r="B332" t="s">
        <v>27</v>
      </c>
      <c r="C332" t="s">
        <v>19</v>
      </c>
      <c r="D332" t="s">
        <v>32</v>
      </c>
      <c r="E332" t="s">
        <v>14</v>
      </c>
      <c r="F332" t="s">
        <v>15</v>
      </c>
      <c r="G332" s="16">
        <v>71</v>
      </c>
      <c r="H332">
        <f>RANK(G332,$G$2:$G$1001,0)+COUNTIF($G$2:G332,G332)-1</f>
        <v>377</v>
      </c>
      <c r="I332" t="str">
        <f>INDEX('Boundary table'!$B$3:$B$7,MATCH(G332,'Boundary table'!$A$3:$A$7,1))</f>
        <v>C</v>
      </c>
      <c r="J332" s="16">
        <v>60</v>
      </c>
      <c r="K332">
        <f>RANK(J332,$J$2:$J$1001,0)+COUNTIF($J$2:J332,J332)-1</f>
        <v>732</v>
      </c>
      <c r="L332" t="str">
        <f>INDEX('Boundary table'!$B$3:$B$7,MATCH(J332,'Boundary table'!$A$3:$A$7,1))</f>
        <v>D</v>
      </c>
      <c r="M332" s="16">
        <v>61</v>
      </c>
      <c r="N332">
        <f>RANK(M332,$M$2:$M$1001,0)+COUNTIF($M$2:M332,M332)-1</f>
        <v>685</v>
      </c>
      <c r="O332" t="str">
        <f>INDEX('Boundary table'!$B$3:$B$7,MATCH(M332,'Boundary table'!$A$3:$A$7))</f>
        <v>D</v>
      </c>
      <c r="P332">
        <f>Table1[[#This Row],[Math Score]]+Table1[[#This Row],[Reading Score]]+Table1[[#This Row],[Writing Score]]</f>
        <v>192</v>
      </c>
      <c r="Q332" s="16">
        <f>COUNTIF(Table1[[#This Row],[Math Score]],"&lt;60")+COUNTIF(Table1[[#This Row],[Reading Score]],"&lt;60")+COUNTIF(Table1[[#This Row],[Writing Score]],"&lt;60")</f>
        <v>0</v>
      </c>
      <c r="R332" t="str">
        <f>IF(Table1[[#This Row],[Fail Count]]&gt;=2,"At risk","OK")</f>
        <v>OK</v>
      </c>
    </row>
    <row r="333" spans="1:18">
      <c r="A333" t="str">
        <f t="shared" si="5"/>
        <v>Stu-332</v>
      </c>
      <c r="B333" t="s">
        <v>27</v>
      </c>
      <c r="C333" t="s">
        <v>19</v>
      </c>
      <c r="D333" t="s">
        <v>29</v>
      </c>
      <c r="E333" t="s">
        <v>14</v>
      </c>
      <c r="F333" t="s">
        <v>15</v>
      </c>
      <c r="G333" s="16">
        <v>47</v>
      </c>
      <c r="H333">
        <f>RANK(G333,$G$2:$G$1001,0)+COUNTIF($G$2:G333,G333)-1</f>
        <v>898</v>
      </c>
      <c r="I333" t="str">
        <f>INDEX('Boundary table'!$B$3:$B$7,MATCH(G333,'Boundary table'!$A$3:$A$7,1))</f>
        <v>F</v>
      </c>
      <c r="J333" s="16">
        <v>37</v>
      </c>
      <c r="K333">
        <f>RANK(J333,$J$2:$J$1001,0)+COUNTIF($J$2:J333,J333)-1</f>
        <v>985</v>
      </c>
      <c r="L333" t="str">
        <f>INDEX('Boundary table'!$B$3:$B$7,MATCH(J333,'Boundary table'!$A$3:$A$7,1))</f>
        <v>F</v>
      </c>
      <c r="M333" s="16">
        <v>35</v>
      </c>
      <c r="N333">
        <f>RANK(M333,$M$2:$M$1001,0)+COUNTIF($M$2:M333,M333)-1</f>
        <v>983</v>
      </c>
      <c r="O333" t="str">
        <f>INDEX('Boundary table'!$B$3:$B$7,MATCH(M333,'Boundary table'!$A$3:$A$7))</f>
        <v>F</v>
      </c>
      <c r="P333">
        <f>Table1[[#This Row],[Math Score]]+Table1[[#This Row],[Reading Score]]+Table1[[#This Row],[Writing Score]]</f>
        <v>119</v>
      </c>
      <c r="Q333" s="16">
        <f>COUNTIF(Table1[[#This Row],[Math Score]],"&lt;60")+COUNTIF(Table1[[#This Row],[Reading Score]],"&lt;60")+COUNTIF(Table1[[#This Row],[Writing Score]],"&lt;60")</f>
        <v>3</v>
      </c>
      <c r="R333" t="str">
        <f>IF(Table1[[#This Row],[Fail Count]]&gt;=2,"At risk","OK")</f>
        <v>At risk</v>
      </c>
    </row>
    <row r="334" spans="1:18">
      <c r="A334" t="str">
        <f t="shared" si="5"/>
        <v>Stu-333</v>
      </c>
      <c r="B334" t="s">
        <v>27</v>
      </c>
      <c r="C334" t="s">
        <v>34</v>
      </c>
      <c r="D334" t="s">
        <v>29</v>
      </c>
      <c r="E334" t="s">
        <v>14</v>
      </c>
      <c r="F334" t="s">
        <v>21</v>
      </c>
      <c r="G334" s="16">
        <v>62</v>
      </c>
      <c r="H334">
        <f>RANK(G334,$G$2:$G$1001,0)+COUNTIF($G$2:G334,G334)-1</f>
        <v>610</v>
      </c>
      <c r="I334" t="str">
        <f>INDEX('Boundary table'!$B$3:$B$7,MATCH(G334,'Boundary table'!$A$3:$A$7,1))</f>
        <v>D</v>
      </c>
      <c r="J334" s="16">
        <v>56</v>
      </c>
      <c r="K334">
        <f>RANK(J334,$J$2:$J$1001,0)+COUNTIF($J$2:J334,J334)-1</f>
        <v>815</v>
      </c>
      <c r="L334" t="str">
        <f>INDEX('Boundary table'!$B$3:$B$7,MATCH(J334,'Boundary table'!$A$3:$A$7,1))</f>
        <v>F</v>
      </c>
      <c r="M334" s="16">
        <v>53</v>
      </c>
      <c r="N334">
        <f>RANK(M334,$M$2:$M$1001,0)+COUNTIF($M$2:M334,M334)-1</f>
        <v>826</v>
      </c>
      <c r="O334" t="str">
        <f>INDEX('Boundary table'!$B$3:$B$7,MATCH(M334,'Boundary table'!$A$3:$A$7))</f>
        <v>F</v>
      </c>
      <c r="P334">
        <f>Table1[[#This Row],[Math Score]]+Table1[[#This Row],[Reading Score]]+Table1[[#This Row],[Writing Score]]</f>
        <v>171</v>
      </c>
      <c r="Q334" s="16">
        <f>COUNTIF(Table1[[#This Row],[Math Score]],"&lt;60")+COUNTIF(Table1[[#This Row],[Reading Score]],"&lt;60")+COUNTIF(Table1[[#This Row],[Writing Score]],"&lt;60")</f>
        <v>2</v>
      </c>
      <c r="R334" t="str">
        <f>IF(Table1[[#This Row],[Fail Count]]&gt;=2,"At risk","OK")</f>
        <v>At risk</v>
      </c>
    </row>
    <row r="335" spans="1:18">
      <c r="A335" t="str">
        <f t="shared" si="5"/>
        <v>Stu-334</v>
      </c>
      <c r="B335" t="s">
        <v>27</v>
      </c>
      <c r="C335" t="s">
        <v>12</v>
      </c>
      <c r="D335" t="s">
        <v>29</v>
      </c>
      <c r="E335" t="s">
        <v>14</v>
      </c>
      <c r="F335" t="s">
        <v>15</v>
      </c>
      <c r="G335" s="16">
        <v>90</v>
      </c>
      <c r="H335">
        <f>RANK(G335,$G$2:$G$1001,0)+COUNTIF($G$2:G335,G335)-1</f>
        <v>53</v>
      </c>
      <c r="I335" t="str">
        <f>INDEX('Boundary table'!$B$3:$B$7,MATCH(G335,'Boundary table'!$A$3:$A$7,1))</f>
        <v>A</v>
      </c>
      <c r="J335" s="16">
        <v>78</v>
      </c>
      <c r="K335">
        <f>RANK(J335,$J$2:$J$1001,0)+COUNTIF($J$2:J335,J335)-1</f>
        <v>276</v>
      </c>
      <c r="L335" t="str">
        <f>INDEX('Boundary table'!$B$3:$B$7,MATCH(J335,'Boundary table'!$A$3:$A$7,1))</f>
        <v>C</v>
      </c>
      <c r="M335" s="16">
        <v>81</v>
      </c>
      <c r="N335">
        <f>RANK(M335,$M$2:$M$1001,0)+COUNTIF($M$2:M335,M335)-1</f>
        <v>198</v>
      </c>
      <c r="O335" t="str">
        <f>INDEX('Boundary table'!$B$3:$B$7,MATCH(M335,'Boundary table'!$A$3:$A$7))</f>
        <v>B</v>
      </c>
      <c r="P335">
        <f>Table1[[#This Row],[Math Score]]+Table1[[#This Row],[Reading Score]]+Table1[[#This Row],[Writing Score]]</f>
        <v>249</v>
      </c>
      <c r="Q335" s="16">
        <f>COUNTIF(Table1[[#This Row],[Math Score]],"&lt;60")+COUNTIF(Table1[[#This Row],[Reading Score]],"&lt;60")+COUNTIF(Table1[[#This Row],[Writing Score]],"&lt;60")</f>
        <v>0</v>
      </c>
      <c r="R335" t="str">
        <f>IF(Table1[[#This Row],[Fail Count]]&gt;=2,"At risk","OK")</f>
        <v>OK</v>
      </c>
    </row>
    <row r="336" spans="1:18">
      <c r="A336" t="str">
        <f t="shared" si="5"/>
        <v>Stu-335</v>
      </c>
      <c r="B336" t="s">
        <v>11</v>
      </c>
      <c r="C336" t="s">
        <v>19</v>
      </c>
      <c r="D336" t="s">
        <v>13</v>
      </c>
      <c r="E336" t="s">
        <v>14</v>
      </c>
      <c r="F336" t="s">
        <v>15</v>
      </c>
      <c r="G336" s="16">
        <v>83</v>
      </c>
      <c r="H336">
        <f>RANK(G336,$G$2:$G$1001,0)+COUNTIF($G$2:G336,G336)-1</f>
        <v>134</v>
      </c>
      <c r="I336" t="str">
        <f>INDEX('Boundary table'!$B$3:$B$7,MATCH(G336,'Boundary table'!$A$3:$A$7,1))</f>
        <v>B</v>
      </c>
      <c r="J336" s="16">
        <v>93</v>
      </c>
      <c r="K336">
        <f>RANK(J336,$J$2:$J$1001,0)+COUNTIF($J$2:J336,J336)-1</f>
        <v>43</v>
      </c>
      <c r="L336" t="str">
        <f>INDEX('Boundary table'!$B$3:$B$7,MATCH(J336,'Boundary table'!$A$3:$A$7,1))</f>
        <v>A</v>
      </c>
      <c r="M336" s="16">
        <v>95</v>
      </c>
      <c r="N336">
        <f>RANK(M336,$M$2:$M$1001,0)+COUNTIF($M$2:M336,M336)-1</f>
        <v>28</v>
      </c>
      <c r="O336" t="str">
        <f>INDEX('Boundary table'!$B$3:$B$7,MATCH(M336,'Boundary table'!$A$3:$A$7))</f>
        <v>A</v>
      </c>
      <c r="P336">
        <f>Table1[[#This Row],[Math Score]]+Table1[[#This Row],[Reading Score]]+Table1[[#This Row],[Writing Score]]</f>
        <v>271</v>
      </c>
      <c r="Q336" s="16">
        <f>COUNTIF(Table1[[#This Row],[Math Score]],"&lt;60")+COUNTIF(Table1[[#This Row],[Reading Score]],"&lt;60")+COUNTIF(Table1[[#This Row],[Writing Score]],"&lt;60")</f>
        <v>0</v>
      </c>
      <c r="R336" t="str">
        <f>IF(Table1[[#This Row],[Fail Count]]&gt;=2,"At risk","OK")</f>
        <v>OK</v>
      </c>
    </row>
    <row r="337" spans="1:18">
      <c r="A337" t="str">
        <f t="shared" si="5"/>
        <v>Stu-336</v>
      </c>
      <c r="B337" t="s">
        <v>11</v>
      </c>
      <c r="C337" t="s">
        <v>12</v>
      </c>
      <c r="D337" t="s">
        <v>20</v>
      </c>
      <c r="E337" t="s">
        <v>30</v>
      </c>
      <c r="F337" t="s">
        <v>15</v>
      </c>
      <c r="G337" s="16">
        <v>61</v>
      </c>
      <c r="H337">
        <f>RANK(G337,$G$2:$G$1001,0)+COUNTIF($G$2:G337,G337)-1</f>
        <v>642</v>
      </c>
      <c r="I337" t="str">
        <f>INDEX('Boundary table'!$B$3:$B$7,MATCH(G337,'Boundary table'!$A$3:$A$7,1))</f>
        <v>D</v>
      </c>
      <c r="J337" s="16">
        <v>68</v>
      </c>
      <c r="K337">
        <f>RANK(J337,$J$2:$J$1001,0)+COUNTIF($J$2:J337,J337)-1</f>
        <v>535</v>
      </c>
      <c r="L337" t="str">
        <f>INDEX('Boundary table'!$B$3:$B$7,MATCH(J337,'Boundary table'!$A$3:$A$7,1))</f>
        <v>D</v>
      </c>
      <c r="M337" s="16">
        <v>66</v>
      </c>
      <c r="N337">
        <f>RANK(M337,$M$2:$M$1001,0)+COUNTIF($M$2:M337,M337)-1</f>
        <v>577</v>
      </c>
      <c r="O337" t="str">
        <f>INDEX('Boundary table'!$B$3:$B$7,MATCH(M337,'Boundary table'!$A$3:$A$7))</f>
        <v>D</v>
      </c>
      <c r="P337">
        <f>Table1[[#This Row],[Math Score]]+Table1[[#This Row],[Reading Score]]+Table1[[#This Row],[Writing Score]]</f>
        <v>195</v>
      </c>
      <c r="Q337" s="16">
        <f>COUNTIF(Table1[[#This Row],[Math Score]],"&lt;60")+COUNTIF(Table1[[#This Row],[Reading Score]],"&lt;60")+COUNTIF(Table1[[#This Row],[Writing Score]],"&lt;60")</f>
        <v>0</v>
      </c>
      <c r="R337" t="str">
        <f>IF(Table1[[#This Row],[Fail Count]]&gt;=2,"At risk","OK")</f>
        <v>OK</v>
      </c>
    </row>
    <row r="338" spans="1:18">
      <c r="A338" t="str">
        <f t="shared" si="5"/>
        <v>Stu-337</v>
      </c>
      <c r="B338" t="s">
        <v>27</v>
      </c>
      <c r="C338" t="s">
        <v>31</v>
      </c>
      <c r="D338" t="s">
        <v>33</v>
      </c>
      <c r="E338" t="s">
        <v>14</v>
      </c>
      <c r="F338" t="s">
        <v>21</v>
      </c>
      <c r="G338" s="16">
        <v>76</v>
      </c>
      <c r="H338">
        <f>RANK(G338,$G$2:$G$1001,0)+COUNTIF($G$2:G338,G338)-1</f>
        <v>261</v>
      </c>
      <c r="I338" t="str">
        <f>INDEX('Boundary table'!$B$3:$B$7,MATCH(G338,'Boundary table'!$A$3:$A$7,1))</f>
        <v>C</v>
      </c>
      <c r="J338" s="16">
        <v>70</v>
      </c>
      <c r="K338">
        <f>RANK(J338,$J$2:$J$1001,0)+COUNTIF($J$2:J338,J338)-1</f>
        <v>497</v>
      </c>
      <c r="L338" t="str">
        <f>INDEX('Boundary table'!$B$3:$B$7,MATCH(J338,'Boundary table'!$A$3:$A$7,1))</f>
        <v>C</v>
      </c>
      <c r="M338" s="16">
        <v>69</v>
      </c>
      <c r="N338">
        <f>RANK(M338,$M$2:$M$1001,0)+COUNTIF($M$2:M338,M338)-1</f>
        <v>498</v>
      </c>
      <c r="O338" t="str">
        <f>INDEX('Boundary table'!$B$3:$B$7,MATCH(M338,'Boundary table'!$A$3:$A$7))</f>
        <v>D</v>
      </c>
      <c r="P338">
        <f>Table1[[#This Row],[Math Score]]+Table1[[#This Row],[Reading Score]]+Table1[[#This Row],[Writing Score]]</f>
        <v>215</v>
      </c>
      <c r="Q338" s="16">
        <f>COUNTIF(Table1[[#This Row],[Math Score]],"&lt;60")+COUNTIF(Table1[[#This Row],[Reading Score]],"&lt;60")+COUNTIF(Table1[[#This Row],[Writing Score]],"&lt;60")</f>
        <v>0</v>
      </c>
      <c r="R338" t="str">
        <f>IF(Table1[[#This Row],[Fail Count]]&gt;=2,"At risk","OK")</f>
        <v>OK</v>
      </c>
    </row>
    <row r="339" spans="1:18">
      <c r="A339" t="str">
        <f t="shared" si="5"/>
        <v>Stu-338</v>
      </c>
      <c r="B339" t="s">
        <v>27</v>
      </c>
      <c r="C339" t="s">
        <v>19</v>
      </c>
      <c r="D339" t="s">
        <v>29</v>
      </c>
      <c r="E339" t="s">
        <v>14</v>
      </c>
      <c r="F339" t="s">
        <v>15</v>
      </c>
      <c r="G339" s="16">
        <v>49</v>
      </c>
      <c r="H339">
        <f>RANK(G339,$G$2:$G$1001,0)+COUNTIF($G$2:G339,G339)-1</f>
        <v>870</v>
      </c>
      <c r="I339" t="str">
        <f>INDEX('Boundary table'!$B$3:$B$7,MATCH(G339,'Boundary table'!$A$3:$A$7,1))</f>
        <v>F</v>
      </c>
      <c r="J339" s="16">
        <v>51</v>
      </c>
      <c r="K339">
        <f>RANK(J339,$J$2:$J$1001,0)+COUNTIF($J$2:J339,J339)-1</f>
        <v>893</v>
      </c>
      <c r="L339" t="str">
        <f>INDEX('Boundary table'!$B$3:$B$7,MATCH(J339,'Boundary table'!$A$3:$A$7,1))</f>
        <v>F</v>
      </c>
      <c r="M339" s="16">
        <v>43</v>
      </c>
      <c r="N339">
        <f>RANK(M339,$M$2:$M$1001,0)+COUNTIF($M$2:M339,M339)-1</f>
        <v>944</v>
      </c>
      <c r="O339" t="str">
        <f>INDEX('Boundary table'!$B$3:$B$7,MATCH(M339,'Boundary table'!$A$3:$A$7))</f>
        <v>F</v>
      </c>
      <c r="P339">
        <f>Table1[[#This Row],[Math Score]]+Table1[[#This Row],[Reading Score]]+Table1[[#This Row],[Writing Score]]</f>
        <v>143</v>
      </c>
      <c r="Q339" s="16">
        <f>COUNTIF(Table1[[#This Row],[Math Score]],"&lt;60")+COUNTIF(Table1[[#This Row],[Reading Score]],"&lt;60")+COUNTIF(Table1[[#This Row],[Writing Score]],"&lt;60")</f>
        <v>3</v>
      </c>
      <c r="R339" t="str">
        <f>IF(Table1[[#This Row],[Fail Count]]&gt;=2,"At risk","OK")</f>
        <v>At risk</v>
      </c>
    </row>
    <row r="340" spans="1:18">
      <c r="A340" t="str">
        <f t="shared" si="5"/>
        <v>Stu-339</v>
      </c>
      <c r="B340" t="s">
        <v>11</v>
      </c>
      <c r="C340" t="s">
        <v>12</v>
      </c>
      <c r="D340" t="s">
        <v>33</v>
      </c>
      <c r="E340" t="s">
        <v>30</v>
      </c>
      <c r="F340" t="s">
        <v>15</v>
      </c>
      <c r="G340" s="16">
        <v>24</v>
      </c>
      <c r="H340">
        <f>RANK(G340,$G$2:$G$1001,0)+COUNTIF($G$2:G340,G340)-1</f>
        <v>994</v>
      </c>
      <c r="I340" t="str">
        <f>INDEX('Boundary table'!$B$3:$B$7,MATCH(G340,'Boundary table'!$A$3:$A$7,1))</f>
        <v>F</v>
      </c>
      <c r="J340" s="16">
        <v>38</v>
      </c>
      <c r="K340">
        <f>RANK(J340,$J$2:$J$1001,0)+COUNTIF($J$2:J340,J340)-1</f>
        <v>981</v>
      </c>
      <c r="L340" t="str">
        <f>INDEX('Boundary table'!$B$3:$B$7,MATCH(J340,'Boundary table'!$A$3:$A$7,1))</f>
        <v>F</v>
      </c>
      <c r="M340" s="16">
        <v>27</v>
      </c>
      <c r="N340">
        <f>RANK(M340,$M$2:$M$1001,0)+COUNTIF($M$2:M340,M340)-1</f>
        <v>994</v>
      </c>
      <c r="O340" t="str">
        <f>INDEX('Boundary table'!$B$3:$B$7,MATCH(M340,'Boundary table'!$A$3:$A$7))</f>
        <v>F</v>
      </c>
      <c r="P340">
        <f>Table1[[#This Row],[Math Score]]+Table1[[#This Row],[Reading Score]]+Table1[[#This Row],[Writing Score]]</f>
        <v>89</v>
      </c>
      <c r="Q340" s="16">
        <f>COUNTIF(Table1[[#This Row],[Math Score]],"&lt;60")+COUNTIF(Table1[[#This Row],[Reading Score]],"&lt;60")+COUNTIF(Table1[[#This Row],[Writing Score]],"&lt;60")</f>
        <v>3</v>
      </c>
      <c r="R340" t="str">
        <f>IF(Table1[[#This Row],[Fail Count]]&gt;=2,"At risk","OK")</f>
        <v>At risk</v>
      </c>
    </row>
    <row r="341" spans="1:18">
      <c r="A341" t="str">
        <f t="shared" si="5"/>
        <v>Stu-340</v>
      </c>
      <c r="B341" t="s">
        <v>11</v>
      </c>
      <c r="C341" t="s">
        <v>31</v>
      </c>
      <c r="D341" t="s">
        <v>33</v>
      </c>
      <c r="E341" t="s">
        <v>30</v>
      </c>
      <c r="F341" t="s">
        <v>21</v>
      </c>
      <c r="G341" s="16">
        <v>35</v>
      </c>
      <c r="H341">
        <f>RANK(G341,$G$2:$G$1001,0)+COUNTIF($G$2:G341,G341)-1</f>
        <v>975</v>
      </c>
      <c r="I341" t="str">
        <f>INDEX('Boundary table'!$B$3:$B$7,MATCH(G341,'Boundary table'!$A$3:$A$7,1))</f>
        <v>F</v>
      </c>
      <c r="J341" s="16">
        <v>55</v>
      </c>
      <c r="K341">
        <f>RANK(J341,$J$2:$J$1001,0)+COUNTIF($J$2:J341,J341)-1</f>
        <v>834</v>
      </c>
      <c r="L341" t="str">
        <f>INDEX('Boundary table'!$B$3:$B$7,MATCH(J341,'Boundary table'!$A$3:$A$7,1))</f>
        <v>F</v>
      </c>
      <c r="M341" s="16">
        <v>60</v>
      </c>
      <c r="N341">
        <f>RANK(M341,$M$2:$M$1001,0)+COUNTIF($M$2:M341,M341)-1</f>
        <v>703</v>
      </c>
      <c r="O341" t="str">
        <f>INDEX('Boundary table'!$B$3:$B$7,MATCH(M341,'Boundary table'!$A$3:$A$7))</f>
        <v>D</v>
      </c>
      <c r="P341">
        <f>Table1[[#This Row],[Math Score]]+Table1[[#This Row],[Reading Score]]+Table1[[#This Row],[Writing Score]]</f>
        <v>150</v>
      </c>
      <c r="Q341" s="16">
        <f>COUNTIF(Table1[[#This Row],[Math Score]],"&lt;60")+COUNTIF(Table1[[#This Row],[Reading Score]],"&lt;60")+COUNTIF(Table1[[#This Row],[Writing Score]],"&lt;60")</f>
        <v>2</v>
      </c>
      <c r="R341" t="str">
        <f>IF(Table1[[#This Row],[Fail Count]]&gt;=2,"At risk","OK")</f>
        <v>At risk</v>
      </c>
    </row>
    <row r="342" spans="1:18">
      <c r="A342" t="str">
        <f t="shared" si="5"/>
        <v>Stu-341</v>
      </c>
      <c r="B342" t="s">
        <v>27</v>
      </c>
      <c r="C342" t="s">
        <v>19</v>
      </c>
      <c r="D342" t="s">
        <v>32</v>
      </c>
      <c r="E342" t="s">
        <v>30</v>
      </c>
      <c r="F342" t="s">
        <v>15</v>
      </c>
      <c r="G342" s="16">
        <v>58</v>
      </c>
      <c r="H342">
        <f>RANK(G342,$G$2:$G$1001,0)+COUNTIF($G$2:G342,G342)-1</f>
        <v>722</v>
      </c>
      <c r="I342" t="str">
        <f>INDEX('Boundary table'!$B$3:$B$7,MATCH(G342,'Boundary table'!$A$3:$A$7,1))</f>
        <v>F</v>
      </c>
      <c r="J342" s="16">
        <v>61</v>
      </c>
      <c r="K342">
        <f>RANK(J342,$J$2:$J$1001,0)+COUNTIF($J$2:J342,J342)-1</f>
        <v>708</v>
      </c>
      <c r="L342" t="str">
        <f>INDEX('Boundary table'!$B$3:$B$7,MATCH(J342,'Boundary table'!$A$3:$A$7,1))</f>
        <v>D</v>
      </c>
      <c r="M342" s="16">
        <v>52</v>
      </c>
      <c r="N342">
        <f>RANK(M342,$M$2:$M$1001,0)+COUNTIF($M$2:M342,M342)-1</f>
        <v>846</v>
      </c>
      <c r="O342" t="str">
        <f>INDEX('Boundary table'!$B$3:$B$7,MATCH(M342,'Boundary table'!$A$3:$A$7))</f>
        <v>F</v>
      </c>
      <c r="P342">
        <f>Table1[[#This Row],[Math Score]]+Table1[[#This Row],[Reading Score]]+Table1[[#This Row],[Writing Score]]</f>
        <v>171</v>
      </c>
      <c r="Q342" s="16">
        <f>COUNTIF(Table1[[#This Row],[Math Score]],"&lt;60")+COUNTIF(Table1[[#This Row],[Reading Score]],"&lt;60")+COUNTIF(Table1[[#This Row],[Writing Score]],"&lt;60")</f>
        <v>2</v>
      </c>
      <c r="R342" t="str">
        <f>IF(Table1[[#This Row],[Fail Count]]&gt;=2,"At risk","OK")</f>
        <v>At risk</v>
      </c>
    </row>
    <row r="343" spans="1:18">
      <c r="A343" t="str">
        <f t="shared" si="5"/>
        <v>Stu-342</v>
      </c>
      <c r="B343" t="s">
        <v>11</v>
      </c>
      <c r="C343" t="s">
        <v>19</v>
      </c>
      <c r="D343" t="s">
        <v>32</v>
      </c>
      <c r="E343" t="s">
        <v>14</v>
      </c>
      <c r="F343" t="s">
        <v>15</v>
      </c>
      <c r="G343" s="16">
        <v>61</v>
      </c>
      <c r="H343">
        <f>RANK(G343,$G$2:$G$1001,0)+COUNTIF($G$2:G343,G343)-1</f>
        <v>643</v>
      </c>
      <c r="I343" t="str">
        <f>INDEX('Boundary table'!$B$3:$B$7,MATCH(G343,'Boundary table'!$A$3:$A$7,1))</f>
        <v>D</v>
      </c>
      <c r="J343" s="16">
        <v>73</v>
      </c>
      <c r="K343">
        <f>RANK(J343,$J$2:$J$1001,0)+COUNTIF($J$2:J343,J343)-1</f>
        <v>413</v>
      </c>
      <c r="L343" t="str">
        <f>INDEX('Boundary table'!$B$3:$B$7,MATCH(J343,'Boundary table'!$A$3:$A$7,1))</f>
        <v>C</v>
      </c>
      <c r="M343" s="16">
        <v>63</v>
      </c>
      <c r="N343">
        <f>RANK(M343,$M$2:$M$1001,0)+COUNTIF($M$2:M343,M343)-1</f>
        <v>641</v>
      </c>
      <c r="O343" t="str">
        <f>INDEX('Boundary table'!$B$3:$B$7,MATCH(M343,'Boundary table'!$A$3:$A$7))</f>
        <v>D</v>
      </c>
      <c r="P343">
        <f>Table1[[#This Row],[Math Score]]+Table1[[#This Row],[Reading Score]]+Table1[[#This Row],[Writing Score]]</f>
        <v>197</v>
      </c>
      <c r="Q343" s="16">
        <f>COUNTIF(Table1[[#This Row],[Math Score]],"&lt;60")+COUNTIF(Table1[[#This Row],[Reading Score]],"&lt;60")+COUNTIF(Table1[[#This Row],[Writing Score]],"&lt;60")</f>
        <v>0</v>
      </c>
      <c r="R343" t="str">
        <f>IF(Table1[[#This Row],[Fail Count]]&gt;=2,"At risk","OK")</f>
        <v>OK</v>
      </c>
    </row>
    <row r="344" spans="1:18">
      <c r="A344" t="str">
        <f t="shared" si="5"/>
        <v>Stu-343</v>
      </c>
      <c r="B344" t="s">
        <v>11</v>
      </c>
      <c r="C344" t="s">
        <v>12</v>
      </c>
      <c r="D344" t="s">
        <v>32</v>
      </c>
      <c r="E344" t="s">
        <v>14</v>
      </c>
      <c r="F344" t="s">
        <v>21</v>
      </c>
      <c r="G344" s="16">
        <v>69</v>
      </c>
      <c r="H344">
        <f>RANK(G344,$G$2:$G$1001,0)+COUNTIF($G$2:G344,G344)-1</f>
        <v>421</v>
      </c>
      <c r="I344" t="str">
        <f>INDEX('Boundary table'!$B$3:$B$7,MATCH(G344,'Boundary table'!$A$3:$A$7,1))</f>
        <v>D</v>
      </c>
      <c r="J344" s="16">
        <v>76</v>
      </c>
      <c r="K344">
        <f>RANK(J344,$J$2:$J$1001,0)+COUNTIF($J$2:J344,J344)-1</f>
        <v>329</v>
      </c>
      <c r="L344" t="str">
        <f>INDEX('Boundary table'!$B$3:$B$7,MATCH(J344,'Boundary table'!$A$3:$A$7,1))</f>
        <v>C</v>
      </c>
      <c r="M344" s="16">
        <v>74</v>
      </c>
      <c r="N344">
        <f>RANK(M344,$M$2:$M$1001,0)+COUNTIF($M$2:M344,M344)-1</f>
        <v>365</v>
      </c>
      <c r="O344" t="str">
        <f>INDEX('Boundary table'!$B$3:$B$7,MATCH(M344,'Boundary table'!$A$3:$A$7))</f>
        <v>C</v>
      </c>
      <c r="P344">
        <f>Table1[[#This Row],[Math Score]]+Table1[[#This Row],[Reading Score]]+Table1[[#This Row],[Writing Score]]</f>
        <v>219</v>
      </c>
      <c r="Q344" s="16">
        <f>COUNTIF(Table1[[#This Row],[Math Score]],"&lt;60")+COUNTIF(Table1[[#This Row],[Reading Score]],"&lt;60")+COUNTIF(Table1[[#This Row],[Writing Score]],"&lt;60")</f>
        <v>0</v>
      </c>
      <c r="R344" t="str">
        <f>IF(Table1[[#This Row],[Fail Count]]&gt;=2,"At risk","OK")</f>
        <v>OK</v>
      </c>
    </row>
    <row r="345" spans="1:18">
      <c r="A345" t="str">
        <f t="shared" si="5"/>
        <v>Stu-344</v>
      </c>
      <c r="B345" t="s">
        <v>27</v>
      </c>
      <c r="C345" t="s">
        <v>31</v>
      </c>
      <c r="D345" t="s">
        <v>29</v>
      </c>
      <c r="E345" t="s">
        <v>14</v>
      </c>
      <c r="F345" t="s">
        <v>21</v>
      </c>
      <c r="G345" s="16">
        <v>67</v>
      </c>
      <c r="H345">
        <f>RANK(G345,$G$2:$G$1001,0)+COUNTIF($G$2:G345,G345)-1</f>
        <v>478</v>
      </c>
      <c r="I345" t="str">
        <f>INDEX('Boundary table'!$B$3:$B$7,MATCH(G345,'Boundary table'!$A$3:$A$7,1))</f>
        <v>D</v>
      </c>
      <c r="J345" s="16">
        <v>72</v>
      </c>
      <c r="K345">
        <f>RANK(J345,$J$2:$J$1001,0)+COUNTIF($J$2:J345,J345)-1</f>
        <v>445</v>
      </c>
      <c r="L345" t="str">
        <f>INDEX('Boundary table'!$B$3:$B$7,MATCH(J345,'Boundary table'!$A$3:$A$7,1))</f>
        <v>C</v>
      </c>
      <c r="M345" s="16">
        <v>67</v>
      </c>
      <c r="N345">
        <f>RANK(M345,$M$2:$M$1001,0)+COUNTIF($M$2:M345,M345)-1</f>
        <v>551</v>
      </c>
      <c r="O345" t="str">
        <f>INDEX('Boundary table'!$B$3:$B$7,MATCH(M345,'Boundary table'!$A$3:$A$7))</f>
        <v>D</v>
      </c>
      <c r="P345">
        <f>Table1[[#This Row],[Math Score]]+Table1[[#This Row],[Reading Score]]+Table1[[#This Row],[Writing Score]]</f>
        <v>206</v>
      </c>
      <c r="Q345" s="16">
        <f>COUNTIF(Table1[[#This Row],[Math Score]],"&lt;60")+COUNTIF(Table1[[#This Row],[Reading Score]],"&lt;60")+COUNTIF(Table1[[#This Row],[Writing Score]],"&lt;60")</f>
        <v>0</v>
      </c>
      <c r="R345" t="str">
        <f>IF(Table1[[#This Row],[Fail Count]]&gt;=2,"At risk","OK")</f>
        <v>OK</v>
      </c>
    </row>
    <row r="346" spans="1:18">
      <c r="A346" t="str">
        <f t="shared" si="5"/>
        <v>Stu-345</v>
      </c>
      <c r="B346" t="s">
        <v>27</v>
      </c>
      <c r="C346" t="s">
        <v>31</v>
      </c>
      <c r="D346" t="s">
        <v>20</v>
      </c>
      <c r="E346" t="s">
        <v>14</v>
      </c>
      <c r="F346" t="s">
        <v>15</v>
      </c>
      <c r="G346" s="16">
        <v>79</v>
      </c>
      <c r="H346">
        <f>RANK(G346,$G$2:$G$1001,0)+COUNTIF($G$2:G346,G346)-1</f>
        <v>200</v>
      </c>
      <c r="I346" t="str">
        <f>INDEX('Boundary table'!$B$3:$B$7,MATCH(G346,'Boundary table'!$A$3:$A$7,1))</f>
        <v>C</v>
      </c>
      <c r="J346" s="16">
        <v>73</v>
      </c>
      <c r="K346">
        <f>RANK(J346,$J$2:$J$1001,0)+COUNTIF($J$2:J346,J346)-1</f>
        <v>414</v>
      </c>
      <c r="L346" t="str">
        <f>INDEX('Boundary table'!$B$3:$B$7,MATCH(J346,'Boundary table'!$A$3:$A$7,1))</f>
        <v>C</v>
      </c>
      <c r="M346" s="16">
        <v>67</v>
      </c>
      <c r="N346">
        <f>RANK(M346,$M$2:$M$1001,0)+COUNTIF($M$2:M346,M346)-1</f>
        <v>552</v>
      </c>
      <c r="O346" t="str">
        <f>INDEX('Boundary table'!$B$3:$B$7,MATCH(M346,'Boundary table'!$A$3:$A$7))</f>
        <v>D</v>
      </c>
      <c r="P346">
        <f>Table1[[#This Row],[Math Score]]+Table1[[#This Row],[Reading Score]]+Table1[[#This Row],[Writing Score]]</f>
        <v>219</v>
      </c>
      <c r="Q346" s="16">
        <f>COUNTIF(Table1[[#This Row],[Math Score]],"&lt;60")+COUNTIF(Table1[[#This Row],[Reading Score]],"&lt;60")+COUNTIF(Table1[[#This Row],[Writing Score]],"&lt;60")</f>
        <v>0</v>
      </c>
      <c r="R346" t="str">
        <f>IF(Table1[[#This Row],[Fail Count]]&gt;=2,"At risk","OK")</f>
        <v>OK</v>
      </c>
    </row>
    <row r="347" spans="1:18">
      <c r="A347" t="str">
        <f t="shared" si="5"/>
        <v>Stu-346</v>
      </c>
      <c r="B347" t="s">
        <v>11</v>
      </c>
      <c r="C347" t="s">
        <v>19</v>
      </c>
      <c r="D347" t="s">
        <v>32</v>
      </c>
      <c r="E347" t="s">
        <v>14</v>
      </c>
      <c r="F347" t="s">
        <v>15</v>
      </c>
      <c r="G347" s="16">
        <v>72</v>
      </c>
      <c r="H347">
        <f>RANK(G347,$G$2:$G$1001,0)+COUNTIF($G$2:G347,G347)-1</f>
        <v>353</v>
      </c>
      <c r="I347" t="str">
        <f>INDEX('Boundary table'!$B$3:$B$7,MATCH(G347,'Boundary table'!$A$3:$A$7,1))</f>
        <v>C</v>
      </c>
      <c r="J347" s="16">
        <v>80</v>
      </c>
      <c r="K347">
        <f>RANK(J347,$J$2:$J$1001,0)+COUNTIF($J$2:J347,J347)-1</f>
        <v>243</v>
      </c>
      <c r="L347" t="str">
        <f>INDEX('Boundary table'!$B$3:$B$7,MATCH(J347,'Boundary table'!$A$3:$A$7,1))</f>
        <v>B</v>
      </c>
      <c r="M347" s="16">
        <v>75</v>
      </c>
      <c r="N347">
        <f>RANK(M347,$M$2:$M$1001,0)+COUNTIF($M$2:M347,M347)-1</f>
        <v>342</v>
      </c>
      <c r="O347" t="str">
        <f>INDEX('Boundary table'!$B$3:$B$7,MATCH(M347,'Boundary table'!$A$3:$A$7))</f>
        <v>C</v>
      </c>
      <c r="P347">
        <f>Table1[[#This Row],[Math Score]]+Table1[[#This Row],[Reading Score]]+Table1[[#This Row],[Writing Score]]</f>
        <v>227</v>
      </c>
      <c r="Q347" s="16">
        <f>COUNTIF(Table1[[#This Row],[Math Score]],"&lt;60")+COUNTIF(Table1[[#This Row],[Reading Score]],"&lt;60")+COUNTIF(Table1[[#This Row],[Writing Score]],"&lt;60")</f>
        <v>0</v>
      </c>
      <c r="R347" t="str">
        <f>IF(Table1[[#This Row],[Fail Count]]&gt;=2,"At risk","OK")</f>
        <v>OK</v>
      </c>
    </row>
    <row r="348" spans="1:18">
      <c r="A348" t="str">
        <f t="shared" si="5"/>
        <v>Stu-347</v>
      </c>
      <c r="B348" t="s">
        <v>27</v>
      </c>
      <c r="C348" t="s">
        <v>12</v>
      </c>
      <c r="D348" t="s">
        <v>20</v>
      </c>
      <c r="E348" t="s">
        <v>14</v>
      </c>
      <c r="F348" t="s">
        <v>15</v>
      </c>
      <c r="G348" s="16">
        <v>62</v>
      </c>
      <c r="H348">
        <f>RANK(G348,$G$2:$G$1001,0)+COUNTIF($G$2:G348,G348)-1</f>
        <v>611</v>
      </c>
      <c r="I348" t="str">
        <f>INDEX('Boundary table'!$B$3:$B$7,MATCH(G348,'Boundary table'!$A$3:$A$7,1))</f>
        <v>D</v>
      </c>
      <c r="J348" s="16">
        <v>61</v>
      </c>
      <c r="K348">
        <f>RANK(J348,$J$2:$J$1001,0)+COUNTIF($J$2:J348,J348)-1</f>
        <v>709</v>
      </c>
      <c r="L348" t="str">
        <f>INDEX('Boundary table'!$B$3:$B$7,MATCH(J348,'Boundary table'!$A$3:$A$7,1))</f>
        <v>D</v>
      </c>
      <c r="M348" s="16">
        <v>57</v>
      </c>
      <c r="N348">
        <f>RANK(M348,$M$2:$M$1001,0)+COUNTIF($M$2:M348,M348)-1</f>
        <v>757</v>
      </c>
      <c r="O348" t="str">
        <f>INDEX('Boundary table'!$B$3:$B$7,MATCH(M348,'Boundary table'!$A$3:$A$7))</f>
        <v>F</v>
      </c>
      <c r="P348">
        <f>Table1[[#This Row],[Math Score]]+Table1[[#This Row],[Reading Score]]+Table1[[#This Row],[Writing Score]]</f>
        <v>180</v>
      </c>
      <c r="Q348" s="16">
        <f>COUNTIF(Table1[[#This Row],[Math Score]],"&lt;60")+COUNTIF(Table1[[#This Row],[Reading Score]],"&lt;60")+COUNTIF(Table1[[#This Row],[Writing Score]],"&lt;60")</f>
        <v>1</v>
      </c>
      <c r="R348" t="str">
        <f>IF(Table1[[#This Row],[Fail Count]]&gt;=2,"At risk","OK")</f>
        <v>OK</v>
      </c>
    </row>
    <row r="349" spans="1:18">
      <c r="A349" t="str">
        <f t="shared" si="5"/>
        <v>Stu-348</v>
      </c>
      <c r="B349" t="s">
        <v>11</v>
      </c>
      <c r="C349" t="s">
        <v>19</v>
      </c>
      <c r="D349" t="s">
        <v>13</v>
      </c>
      <c r="E349" t="s">
        <v>14</v>
      </c>
      <c r="F349" t="s">
        <v>21</v>
      </c>
      <c r="G349" s="16">
        <v>77</v>
      </c>
      <c r="H349">
        <f>RANK(G349,$G$2:$G$1001,0)+COUNTIF($G$2:G349,G349)-1</f>
        <v>237</v>
      </c>
      <c r="I349" t="str">
        <f>INDEX('Boundary table'!$B$3:$B$7,MATCH(G349,'Boundary table'!$A$3:$A$7,1))</f>
        <v>C</v>
      </c>
      <c r="J349" s="16">
        <v>94</v>
      </c>
      <c r="K349">
        <f>RANK(J349,$J$2:$J$1001,0)+COUNTIF($J$2:J349,J349)-1</f>
        <v>38</v>
      </c>
      <c r="L349" t="str">
        <f>INDEX('Boundary table'!$B$3:$B$7,MATCH(J349,'Boundary table'!$A$3:$A$7,1))</f>
        <v>A</v>
      </c>
      <c r="M349" s="16">
        <v>95</v>
      </c>
      <c r="N349">
        <f>RANK(M349,$M$2:$M$1001,0)+COUNTIF($M$2:M349,M349)-1</f>
        <v>29</v>
      </c>
      <c r="O349" t="str">
        <f>INDEX('Boundary table'!$B$3:$B$7,MATCH(M349,'Boundary table'!$A$3:$A$7))</f>
        <v>A</v>
      </c>
      <c r="P349">
        <f>Table1[[#This Row],[Math Score]]+Table1[[#This Row],[Reading Score]]+Table1[[#This Row],[Writing Score]]</f>
        <v>266</v>
      </c>
      <c r="Q349" s="16">
        <f>COUNTIF(Table1[[#This Row],[Math Score]],"&lt;60")+COUNTIF(Table1[[#This Row],[Reading Score]],"&lt;60")+COUNTIF(Table1[[#This Row],[Writing Score]],"&lt;60")</f>
        <v>0</v>
      </c>
      <c r="R349" t="str">
        <f>IF(Table1[[#This Row],[Fail Count]]&gt;=2,"At risk","OK")</f>
        <v>OK</v>
      </c>
    </row>
    <row r="350" spans="1:18">
      <c r="A350" t="str">
        <f t="shared" si="5"/>
        <v>Stu-349</v>
      </c>
      <c r="B350" t="s">
        <v>27</v>
      </c>
      <c r="C350" t="s">
        <v>31</v>
      </c>
      <c r="D350" t="s">
        <v>32</v>
      </c>
      <c r="E350" t="s">
        <v>30</v>
      </c>
      <c r="F350" t="s">
        <v>15</v>
      </c>
      <c r="G350" s="16">
        <v>75</v>
      </c>
      <c r="H350">
        <f>RANK(G350,$G$2:$G$1001,0)+COUNTIF($G$2:G350,G350)-1</f>
        <v>281</v>
      </c>
      <c r="I350" t="str">
        <f>INDEX('Boundary table'!$B$3:$B$7,MATCH(G350,'Boundary table'!$A$3:$A$7,1))</f>
        <v>C</v>
      </c>
      <c r="J350" s="16">
        <v>74</v>
      </c>
      <c r="K350">
        <f>RANK(J350,$J$2:$J$1001,0)+COUNTIF($J$2:J350,J350)-1</f>
        <v>381</v>
      </c>
      <c r="L350" t="str">
        <f>INDEX('Boundary table'!$B$3:$B$7,MATCH(J350,'Boundary table'!$A$3:$A$7,1))</f>
        <v>C</v>
      </c>
      <c r="M350" s="16">
        <v>66</v>
      </c>
      <c r="N350">
        <f>RANK(M350,$M$2:$M$1001,0)+COUNTIF($M$2:M350,M350)-1</f>
        <v>578</v>
      </c>
      <c r="O350" t="str">
        <f>INDEX('Boundary table'!$B$3:$B$7,MATCH(M350,'Boundary table'!$A$3:$A$7))</f>
        <v>D</v>
      </c>
      <c r="P350">
        <f>Table1[[#This Row],[Math Score]]+Table1[[#This Row],[Reading Score]]+Table1[[#This Row],[Writing Score]]</f>
        <v>215</v>
      </c>
      <c r="Q350" s="16">
        <f>COUNTIF(Table1[[#This Row],[Math Score]],"&lt;60")+COUNTIF(Table1[[#This Row],[Reading Score]],"&lt;60")+COUNTIF(Table1[[#This Row],[Writing Score]],"&lt;60")</f>
        <v>0</v>
      </c>
      <c r="R350" t="str">
        <f>IF(Table1[[#This Row],[Fail Count]]&gt;=2,"At risk","OK")</f>
        <v>OK</v>
      </c>
    </row>
    <row r="351" spans="1:18">
      <c r="A351" t="str">
        <f t="shared" si="5"/>
        <v>Stu-350</v>
      </c>
      <c r="B351" t="s">
        <v>27</v>
      </c>
      <c r="C351" t="s">
        <v>34</v>
      </c>
      <c r="D351" t="s">
        <v>29</v>
      </c>
      <c r="E351" t="s">
        <v>14</v>
      </c>
      <c r="F351" t="s">
        <v>15</v>
      </c>
      <c r="G351" s="16">
        <v>87</v>
      </c>
      <c r="H351">
        <f>RANK(G351,$G$2:$G$1001,0)+COUNTIF($G$2:G351,G351)-1</f>
        <v>85</v>
      </c>
      <c r="I351" t="str">
        <f>INDEX('Boundary table'!$B$3:$B$7,MATCH(G351,'Boundary table'!$A$3:$A$7,1))</f>
        <v>B</v>
      </c>
      <c r="J351" s="16">
        <v>74</v>
      </c>
      <c r="K351">
        <f>RANK(J351,$J$2:$J$1001,0)+COUNTIF($J$2:J351,J351)-1</f>
        <v>382</v>
      </c>
      <c r="L351" t="str">
        <f>INDEX('Boundary table'!$B$3:$B$7,MATCH(J351,'Boundary table'!$A$3:$A$7,1))</f>
        <v>C</v>
      </c>
      <c r="M351" s="16">
        <v>76</v>
      </c>
      <c r="N351">
        <f>RANK(M351,$M$2:$M$1001,0)+COUNTIF($M$2:M351,M351)-1</f>
        <v>311</v>
      </c>
      <c r="O351" t="str">
        <f>INDEX('Boundary table'!$B$3:$B$7,MATCH(M351,'Boundary table'!$A$3:$A$7))</f>
        <v>C</v>
      </c>
      <c r="P351">
        <f>Table1[[#This Row],[Math Score]]+Table1[[#This Row],[Reading Score]]+Table1[[#This Row],[Writing Score]]</f>
        <v>237</v>
      </c>
      <c r="Q351" s="16">
        <f>COUNTIF(Table1[[#This Row],[Math Score]],"&lt;60")+COUNTIF(Table1[[#This Row],[Reading Score]],"&lt;60")+COUNTIF(Table1[[#This Row],[Writing Score]],"&lt;60")</f>
        <v>0</v>
      </c>
      <c r="R351" t="str">
        <f>IF(Table1[[#This Row],[Fail Count]]&gt;=2,"At risk","OK")</f>
        <v>OK</v>
      </c>
    </row>
    <row r="352" spans="1:18">
      <c r="A352" t="str">
        <f t="shared" si="5"/>
        <v>Stu-351</v>
      </c>
      <c r="B352" t="s">
        <v>11</v>
      </c>
      <c r="C352" t="s">
        <v>12</v>
      </c>
      <c r="D352" t="s">
        <v>13</v>
      </c>
      <c r="E352" t="s">
        <v>14</v>
      </c>
      <c r="F352" t="s">
        <v>15</v>
      </c>
      <c r="G352" s="16">
        <v>52</v>
      </c>
      <c r="H352">
        <f>RANK(G352,$G$2:$G$1001,0)+COUNTIF($G$2:G352,G352)-1</f>
        <v>827</v>
      </c>
      <c r="I352" t="str">
        <f>INDEX('Boundary table'!$B$3:$B$7,MATCH(G352,'Boundary table'!$A$3:$A$7,1))</f>
        <v>F</v>
      </c>
      <c r="J352" s="16">
        <v>65</v>
      </c>
      <c r="K352">
        <f>RANK(J352,$J$2:$J$1001,0)+COUNTIF($J$2:J352,J352)-1</f>
        <v>615</v>
      </c>
      <c r="L352" t="str">
        <f>INDEX('Boundary table'!$B$3:$B$7,MATCH(J352,'Boundary table'!$A$3:$A$7,1))</f>
        <v>D</v>
      </c>
      <c r="M352" s="16">
        <v>69</v>
      </c>
      <c r="N352">
        <f>RANK(M352,$M$2:$M$1001,0)+COUNTIF($M$2:M352,M352)-1</f>
        <v>499</v>
      </c>
      <c r="O352" t="str">
        <f>INDEX('Boundary table'!$B$3:$B$7,MATCH(M352,'Boundary table'!$A$3:$A$7))</f>
        <v>D</v>
      </c>
      <c r="P352">
        <f>Table1[[#This Row],[Math Score]]+Table1[[#This Row],[Reading Score]]+Table1[[#This Row],[Writing Score]]</f>
        <v>186</v>
      </c>
      <c r="Q352" s="16">
        <f>COUNTIF(Table1[[#This Row],[Math Score]],"&lt;60")+COUNTIF(Table1[[#This Row],[Reading Score]],"&lt;60")+COUNTIF(Table1[[#This Row],[Writing Score]],"&lt;60")</f>
        <v>1</v>
      </c>
      <c r="R352" t="str">
        <f>IF(Table1[[#This Row],[Fail Count]]&gt;=2,"At risk","OK")</f>
        <v>OK</v>
      </c>
    </row>
    <row r="353" spans="1:18">
      <c r="A353" t="str">
        <f t="shared" si="5"/>
        <v>Stu-352</v>
      </c>
      <c r="B353" t="s">
        <v>27</v>
      </c>
      <c r="C353" t="s">
        <v>34</v>
      </c>
      <c r="D353" t="s">
        <v>20</v>
      </c>
      <c r="E353" t="s">
        <v>14</v>
      </c>
      <c r="F353" t="s">
        <v>15</v>
      </c>
      <c r="G353" s="16">
        <v>66</v>
      </c>
      <c r="H353">
        <f>RANK(G353,$G$2:$G$1001,0)+COUNTIF($G$2:G353,G353)-1</f>
        <v>502</v>
      </c>
      <c r="I353" t="str">
        <f>INDEX('Boundary table'!$B$3:$B$7,MATCH(G353,'Boundary table'!$A$3:$A$7,1))</f>
        <v>D</v>
      </c>
      <c r="J353" s="16">
        <v>57</v>
      </c>
      <c r="K353">
        <f>RANK(J353,$J$2:$J$1001,0)+COUNTIF($J$2:J353,J353)-1</f>
        <v>796</v>
      </c>
      <c r="L353" t="str">
        <f>INDEX('Boundary table'!$B$3:$B$7,MATCH(J353,'Boundary table'!$A$3:$A$7,1))</f>
        <v>F</v>
      </c>
      <c r="M353" s="16">
        <v>52</v>
      </c>
      <c r="N353">
        <f>RANK(M353,$M$2:$M$1001,0)+COUNTIF($M$2:M353,M353)-1</f>
        <v>847</v>
      </c>
      <c r="O353" t="str">
        <f>INDEX('Boundary table'!$B$3:$B$7,MATCH(M353,'Boundary table'!$A$3:$A$7))</f>
        <v>F</v>
      </c>
      <c r="P353">
        <f>Table1[[#This Row],[Math Score]]+Table1[[#This Row],[Reading Score]]+Table1[[#This Row],[Writing Score]]</f>
        <v>175</v>
      </c>
      <c r="Q353" s="16">
        <f>COUNTIF(Table1[[#This Row],[Math Score]],"&lt;60")+COUNTIF(Table1[[#This Row],[Reading Score]],"&lt;60")+COUNTIF(Table1[[#This Row],[Writing Score]],"&lt;60")</f>
        <v>2</v>
      </c>
      <c r="R353" t="str">
        <f>IF(Table1[[#This Row],[Fail Count]]&gt;=2,"At risk","OK")</f>
        <v>At risk</v>
      </c>
    </row>
    <row r="354" spans="1:18">
      <c r="A354" t="str">
        <f t="shared" si="5"/>
        <v>Stu-353</v>
      </c>
      <c r="B354" t="s">
        <v>11</v>
      </c>
      <c r="C354" t="s">
        <v>19</v>
      </c>
      <c r="D354" t="s">
        <v>20</v>
      </c>
      <c r="E354" t="s">
        <v>14</v>
      </c>
      <c r="F354" t="s">
        <v>21</v>
      </c>
      <c r="G354" s="16">
        <v>63</v>
      </c>
      <c r="H354">
        <f>RANK(G354,$G$2:$G$1001,0)+COUNTIF($G$2:G354,G354)-1</f>
        <v>583</v>
      </c>
      <c r="I354" t="str">
        <f>INDEX('Boundary table'!$B$3:$B$7,MATCH(G354,'Boundary table'!$A$3:$A$7,1))</f>
        <v>D</v>
      </c>
      <c r="J354" s="16">
        <v>78</v>
      </c>
      <c r="K354">
        <f>RANK(J354,$J$2:$J$1001,0)+COUNTIF($J$2:J354,J354)-1</f>
        <v>277</v>
      </c>
      <c r="L354" t="str">
        <f>INDEX('Boundary table'!$B$3:$B$7,MATCH(J354,'Boundary table'!$A$3:$A$7,1))</f>
        <v>C</v>
      </c>
      <c r="M354" s="16">
        <v>80</v>
      </c>
      <c r="N354">
        <f>RANK(M354,$M$2:$M$1001,0)+COUNTIF($M$2:M354,M354)-1</f>
        <v>215</v>
      </c>
      <c r="O354" t="str">
        <f>INDEX('Boundary table'!$B$3:$B$7,MATCH(M354,'Boundary table'!$A$3:$A$7))</f>
        <v>B</v>
      </c>
      <c r="P354">
        <f>Table1[[#This Row],[Math Score]]+Table1[[#This Row],[Reading Score]]+Table1[[#This Row],[Writing Score]]</f>
        <v>221</v>
      </c>
      <c r="Q354" s="16">
        <f>COUNTIF(Table1[[#This Row],[Math Score]],"&lt;60")+COUNTIF(Table1[[#This Row],[Reading Score]],"&lt;60")+COUNTIF(Table1[[#This Row],[Writing Score]],"&lt;60")</f>
        <v>0</v>
      </c>
      <c r="R354" t="str">
        <f>IF(Table1[[#This Row],[Fail Count]]&gt;=2,"At risk","OK")</f>
        <v>OK</v>
      </c>
    </row>
    <row r="355" spans="1:18">
      <c r="A355" t="str">
        <f t="shared" si="5"/>
        <v>Stu-354</v>
      </c>
      <c r="B355" t="s">
        <v>11</v>
      </c>
      <c r="C355" t="s">
        <v>19</v>
      </c>
      <c r="D355" t="s">
        <v>29</v>
      </c>
      <c r="E355" t="s">
        <v>14</v>
      </c>
      <c r="F355" t="s">
        <v>15</v>
      </c>
      <c r="G355" s="16">
        <v>46</v>
      </c>
      <c r="H355">
        <f>RANK(G355,$G$2:$G$1001,0)+COUNTIF($G$2:G355,G355)-1</f>
        <v>910</v>
      </c>
      <c r="I355" t="str">
        <f>INDEX('Boundary table'!$B$3:$B$7,MATCH(G355,'Boundary table'!$A$3:$A$7,1))</f>
        <v>F</v>
      </c>
      <c r="J355" s="16">
        <v>58</v>
      </c>
      <c r="K355">
        <f>RANK(J355,$J$2:$J$1001,0)+COUNTIF($J$2:J355,J355)-1</f>
        <v>769</v>
      </c>
      <c r="L355" t="str">
        <f>INDEX('Boundary table'!$B$3:$B$7,MATCH(J355,'Boundary table'!$A$3:$A$7,1))</f>
        <v>F</v>
      </c>
      <c r="M355" s="16">
        <v>57</v>
      </c>
      <c r="N355">
        <f>RANK(M355,$M$2:$M$1001,0)+COUNTIF($M$2:M355,M355)-1</f>
        <v>758</v>
      </c>
      <c r="O355" t="str">
        <f>INDEX('Boundary table'!$B$3:$B$7,MATCH(M355,'Boundary table'!$A$3:$A$7))</f>
        <v>F</v>
      </c>
      <c r="P355">
        <f>Table1[[#This Row],[Math Score]]+Table1[[#This Row],[Reading Score]]+Table1[[#This Row],[Writing Score]]</f>
        <v>161</v>
      </c>
      <c r="Q355" s="16">
        <f>COUNTIF(Table1[[#This Row],[Math Score]],"&lt;60")+COUNTIF(Table1[[#This Row],[Reading Score]],"&lt;60")+COUNTIF(Table1[[#This Row],[Writing Score]],"&lt;60")</f>
        <v>3</v>
      </c>
      <c r="R355" t="str">
        <f>IF(Table1[[#This Row],[Fail Count]]&gt;=2,"At risk","OK")</f>
        <v>At risk</v>
      </c>
    </row>
    <row r="356" spans="1:18">
      <c r="A356" t="str">
        <f t="shared" si="5"/>
        <v>Stu-355</v>
      </c>
      <c r="B356" t="s">
        <v>11</v>
      </c>
      <c r="C356" t="s">
        <v>19</v>
      </c>
      <c r="D356" t="s">
        <v>20</v>
      </c>
      <c r="E356" t="s">
        <v>14</v>
      </c>
      <c r="F356" t="s">
        <v>15</v>
      </c>
      <c r="G356" s="16">
        <v>59</v>
      </c>
      <c r="H356">
        <f>RANK(G356,$G$2:$G$1001,0)+COUNTIF($G$2:G356,G356)-1</f>
        <v>689</v>
      </c>
      <c r="I356" t="str">
        <f>INDEX('Boundary table'!$B$3:$B$7,MATCH(G356,'Boundary table'!$A$3:$A$7,1))</f>
        <v>F</v>
      </c>
      <c r="J356" s="16">
        <v>71</v>
      </c>
      <c r="K356">
        <f>RANK(J356,$J$2:$J$1001,0)+COUNTIF($J$2:J356,J356)-1</f>
        <v>474</v>
      </c>
      <c r="L356" t="str">
        <f>INDEX('Boundary table'!$B$3:$B$7,MATCH(J356,'Boundary table'!$A$3:$A$7,1))</f>
        <v>C</v>
      </c>
      <c r="M356" s="16">
        <v>70</v>
      </c>
      <c r="N356">
        <f>RANK(M356,$M$2:$M$1001,0)+COUNTIF($M$2:M356,M356)-1</f>
        <v>470</v>
      </c>
      <c r="O356" t="str">
        <f>INDEX('Boundary table'!$B$3:$B$7,MATCH(M356,'Boundary table'!$A$3:$A$7))</f>
        <v>C</v>
      </c>
      <c r="P356">
        <f>Table1[[#This Row],[Math Score]]+Table1[[#This Row],[Reading Score]]+Table1[[#This Row],[Writing Score]]</f>
        <v>200</v>
      </c>
      <c r="Q356" s="16">
        <f>COUNTIF(Table1[[#This Row],[Math Score]],"&lt;60")+COUNTIF(Table1[[#This Row],[Reading Score]],"&lt;60")+COUNTIF(Table1[[#This Row],[Writing Score]],"&lt;60")</f>
        <v>1</v>
      </c>
      <c r="R356" t="str">
        <f>IF(Table1[[#This Row],[Fail Count]]&gt;=2,"At risk","OK")</f>
        <v>OK</v>
      </c>
    </row>
    <row r="357" spans="1:18">
      <c r="A357" t="str">
        <f t="shared" si="5"/>
        <v>Stu-356</v>
      </c>
      <c r="B357" t="s">
        <v>11</v>
      </c>
      <c r="C357" t="s">
        <v>12</v>
      </c>
      <c r="D357" t="s">
        <v>13</v>
      </c>
      <c r="E357" t="s">
        <v>14</v>
      </c>
      <c r="F357" t="s">
        <v>15</v>
      </c>
      <c r="G357" s="16">
        <v>61</v>
      </c>
      <c r="H357">
        <f>RANK(G357,$G$2:$G$1001,0)+COUNTIF($G$2:G357,G357)-1</f>
        <v>644</v>
      </c>
      <c r="I357" t="str">
        <f>INDEX('Boundary table'!$B$3:$B$7,MATCH(G357,'Boundary table'!$A$3:$A$7,1))</f>
        <v>D</v>
      </c>
      <c r="J357" s="16">
        <v>72</v>
      </c>
      <c r="K357">
        <f>RANK(J357,$J$2:$J$1001,0)+COUNTIF($J$2:J357,J357)-1</f>
        <v>446</v>
      </c>
      <c r="L357" t="str">
        <f>INDEX('Boundary table'!$B$3:$B$7,MATCH(J357,'Boundary table'!$A$3:$A$7,1))</f>
        <v>C</v>
      </c>
      <c r="M357" s="16">
        <v>70</v>
      </c>
      <c r="N357">
        <f>RANK(M357,$M$2:$M$1001,0)+COUNTIF($M$2:M357,M357)-1</f>
        <v>471</v>
      </c>
      <c r="O357" t="str">
        <f>INDEX('Boundary table'!$B$3:$B$7,MATCH(M357,'Boundary table'!$A$3:$A$7))</f>
        <v>C</v>
      </c>
      <c r="P357">
        <f>Table1[[#This Row],[Math Score]]+Table1[[#This Row],[Reading Score]]+Table1[[#This Row],[Writing Score]]</f>
        <v>203</v>
      </c>
      <c r="Q357" s="16">
        <f>COUNTIF(Table1[[#This Row],[Math Score]],"&lt;60")+COUNTIF(Table1[[#This Row],[Reading Score]],"&lt;60")+COUNTIF(Table1[[#This Row],[Writing Score]],"&lt;60")</f>
        <v>0</v>
      </c>
      <c r="R357" t="str">
        <f>IF(Table1[[#This Row],[Fail Count]]&gt;=2,"At risk","OK")</f>
        <v>OK</v>
      </c>
    </row>
    <row r="358" spans="1:18">
      <c r="A358" t="str">
        <f t="shared" si="5"/>
        <v>Stu-357</v>
      </c>
      <c r="B358" t="s">
        <v>27</v>
      </c>
      <c r="C358" t="s">
        <v>28</v>
      </c>
      <c r="D358" t="s">
        <v>29</v>
      </c>
      <c r="E358" t="s">
        <v>14</v>
      </c>
      <c r="F358" t="s">
        <v>15</v>
      </c>
      <c r="G358" s="16">
        <v>63</v>
      </c>
      <c r="H358">
        <f>RANK(G358,$G$2:$G$1001,0)+COUNTIF($G$2:G358,G358)-1</f>
        <v>584</v>
      </c>
      <c r="I358" t="str">
        <f>INDEX('Boundary table'!$B$3:$B$7,MATCH(G358,'Boundary table'!$A$3:$A$7,1))</f>
        <v>D</v>
      </c>
      <c r="J358" s="16">
        <v>61</v>
      </c>
      <c r="K358">
        <f>RANK(J358,$J$2:$J$1001,0)+COUNTIF($J$2:J358,J358)-1</f>
        <v>710</v>
      </c>
      <c r="L358" t="str">
        <f>INDEX('Boundary table'!$B$3:$B$7,MATCH(J358,'Boundary table'!$A$3:$A$7,1))</f>
        <v>D</v>
      </c>
      <c r="M358" s="16">
        <v>61</v>
      </c>
      <c r="N358">
        <f>RANK(M358,$M$2:$M$1001,0)+COUNTIF($M$2:M358,M358)-1</f>
        <v>686</v>
      </c>
      <c r="O358" t="str">
        <f>INDEX('Boundary table'!$B$3:$B$7,MATCH(M358,'Boundary table'!$A$3:$A$7))</f>
        <v>D</v>
      </c>
      <c r="P358">
        <f>Table1[[#This Row],[Math Score]]+Table1[[#This Row],[Reading Score]]+Table1[[#This Row],[Writing Score]]</f>
        <v>185</v>
      </c>
      <c r="Q358" s="16">
        <f>COUNTIF(Table1[[#This Row],[Math Score]],"&lt;60")+COUNTIF(Table1[[#This Row],[Reading Score]],"&lt;60")+COUNTIF(Table1[[#This Row],[Writing Score]],"&lt;60")</f>
        <v>0</v>
      </c>
      <c r="R358" t="str">
        <f>IF(Table1[[#This Row],[Fail Count]]&gt;=2,"At risk","OK")</f>
        <v>OK</v>
      </c>
    </row>
    <row r="359" spans="1:18">
      <c r="A359" t="str">
        <f t="shared" si="5"/>
        <v>Stu-358</v>
      </c>
      <c r="B359" t="s">
        <v>11</v>
      </c>
      <c r="C359" t="s">
        <v>19</v>
      </c>
      <c r="D359" t="s">
        <v>20</v>
      </c>
      <c r="E359" t="s">
        <v>30</v>
      </c>
      <c r="F359" t="s">
        <v>21</v>
      </c>
      <c r="G359" s="16">
        <v>42</v>
      </c>
      <c r="H359">
        <f>RANK(G359,$G$2:$G$1001,0)+COUNTIF($G$2:G359,G359)-1</f>
        <v>942</v>
      </c>
      <c r="I359" t="str">
        <f>INDEX('Boundary table'!$B$3:$B$7,MATCH(G359,'Boundary table'!$A$3:$A$7,1))</f>
        <v>F</v>
      </c>
      <c r="J359" s="16">
        <v>66</v>
      </c>
      <c r="K359">
        <f>RANK(J359,$J$2:$J$1001,0)+COUNTIF($J$2:J359,J359)-1</f>
        <v>588</v>
      </c>
      <c r="L359" t="str">
        <f>INDEX('Boundary table'!$B$3:$B$7,MATCH(J359,'Boundary table'!$A$3:$A$7,1))</f>
        <v>D</v>
      </c>
      <c r="M359" s="16">
        <v>69</v>
      </c>
      <c r="N359">
        <f>RANK(M359,$M$2:$M$1001,0)+COUNTIF($M$2:M359,M359)-1</f>
        <v>500</v>
      </c>
      <c r="O359" t="str">
        <f>INDEX('Boundary table'!$B$3:$B$7,MATCH(M359,'Boundary table'!$A$3:$A$7))</f>
        <v>D</v>
      </c>
      <c r="P359">
        <f>Table1[[#This Row],[Math Score]]+Table1[[#This Row],[Reading Score]]+Table1[[#This Row],[Writing Score]]</f>
        <v>177</v>
      </c>
      <c r="Q359" s="16">
        <f>COUNTIF(Table1[[#This Row],[Math Score]],"&lt;60")+COUNTIF(Table1[[#This Row],[Reading Score]],"&lt;60")+COUNTIF(Table1[[#This Row],[Writing Score]],"&lt;60")</f>
        <v>1</v>
      </c>
      <c r="R359" t="str">
        <f>IF(Table1[[#This Row],[Fail Count]]&gt;=2,"At risk","OK")</f>
        <v>OK</v>
      </c>
    </row>
    <row r="360" spans="1:18">
      <c r="A360" t="str">
        <f t="shared" si="5"/>
        <v>Stu-359</v>
      </c>
      <c r="B360" t="s">
        <v>27</v>
      </c>
      <c r="C360" t="s">
        <v>31</v>
      </c>
      <c r="D360" t="s">
        <v>20</v>
      </c>
      <c r="E360" t="s">
        <v>30</v>
      </c>
      <c r="F360" t="s">
        <v>15</v>
      </c>
      <c r="G360" s="16">
        <v>59</v>
      </c>
      <c r="H360">
        <f>RANK(G360,$G$2:$G$1001,0)+COUNTIF($G$2:G360,G360)-1</f>
        <v>690</v>
      </c>
      <c r="I360" t="str">
        <f>INDEX('Boundary table'!$B$3:$B$7,MATCH(G360,'Boundary table'!$A$3:$A$7,1))</f>
        <v>F</v>
      </c>
      <c r="J360" s="16">
        <v>62</v>
      </c>
      <c r="K360">
        <f>RANK(J360,$J$2:$J$1001,0)+COUNTIF($J$2:J360,J360)-1</f>
        <v>686</v>
      </c>
      <c r="L360" t="str">
        <f>INDEX('Boundary table'!$B$3:$B$7,MATCH(J360,'Boundary table'!$A$3:$A$7,1))</f>
        <v>D</v>
      </c>
      <c r="M360" s="16">
        <v>61</v>
      </c>
      <c r="N360">
        <f>RANK(M360,$M$2:$M$1001,0)+COUNTIF($M$2:M360,M360)-1</f>
        <v>687</v>
      </c>
      <c r="O360" t="str">
        <f>INDEX('Boundary table'!$B$3:$B$7,MATCH(M360,'Boundary table'!$A$3:$A$7))</f>
        <v>D</v>
      </c>
      <c r="P360">
        <f>Table1[[#This Row],[Math Score]]+Table1[[#This Row],[Reading Score]]+Table1[[#This Row],[Writing Score]]</f>
        <v>182</v>
      </c>
      <c r="Q360" s="16">
        <f>COUNTIF(Table1[[#This Row],[Math Score]],"&lt;60")+COUNTIF(Table1[[#This Row],[Reading Score]],"&lt;60")+COUNTIF(Table1[[#This Row],[Writing Score]],"&lt;60")</f>
        <v>1</v>
      </c>
      <c r="R360" t="str">
        <f>IF(Table1[[#This Row],[Fail Count]]&gt;=2,"At risk","OK")</f>
        <v>OK</v>
      </c>
    </row>
    <row r="361" spans="1:18">
      <c r="A361" t="str">
        <f t="shared" si="5"/>
        <v>Stu-360</v>
      </c>
      <c r="B361" t="s">
        <v>11</v>
      </c>
      <c r="C361" t="s">
        <v>31</v>
      </c>
      <c r="D361" t="s">
        <v>20</v>
      </c>
      <c r="E361" t="s">
        <v>14</v>
      </c>
      <c r="F361" t="s">
        <v>15</v>
      </c>
      <c r="G361" s="16">
        <v>80</v>
      </c>
      <c r="H361">
        <f>RANK(G361,$G$2:$G$1001,0)+COUNTIF($G$2:G361,G361)-1</f>
        <v>184</v>
      </c>
      <c r="I361" t="str">
        <f>INDEX('Boundary table'!$B$3:$B$7,MATCH(G361,'Boundary table'!$A$3:$A$7,1))</f>
        <v>B</v>
      </c>
      <c r="J361" s="16">
        <v>90</v>
      </c>
      <c r="K361">
        <f>RANK(J361,$J$2:$J$1001,0)+COUNTIF($J$2:J361,J361)-1</f>
        <v>66</v>
      </c>
      <c r="L361" t="str">
        <f>INDEX('Boundary table'!$B$3:$B$7,MATCH(J361,'Boundary table'!$A$3:$A$7,1))</f>
        <v>A</v>
      </c>
      <c r="M361" s="16">
        <v>89</v>
      </c>
      <c r="N361">
        <f>RANK(M361,$M$2:$M$1001,0)+COUNTIF($M$2:M361,M361)-1</f>
        <v>81</v>
      </c>
      <c r="O361" t="str">
        <f>INDEX('Boundary table'!$B$3:$B$7,MATCH(M361,'Boundary table'!$A$3:$A$7))</f>
        <v>B</v>
      </c>
      <c r="P361">
        <f>Table1[[#This Row],[Math Score]]+Table1[[#This Row],[Reading Score]]+Table1[[#This Row],[Writing Score]]</f>
        <v>259</v>
      </c>
      <c r="Q361" s="16">
        <f>COUNTIF(Table1[[#This Row],[Math Score]],"&lt;60")+COUNTIF(Table1[[#This Row],[Reading Score]],"&lt;60")+COUNTIF(Table1[[#This Row],[Writing Score]],"&lt;60")</f>
        <v>0</v>
      </c>
      <c r="R361" t="str">
        <f>IF(Table1[[#This Row],[Fail Count]]&gt;=2,"At risk","OK")</f>
        <v>OK</v>
      </c>
    </row>
    <row r="362" spans="1:18">
      <c r="A362" t="str">
        <f t="shared" si="5"/>
        <v>Stu-361</v>
      </c>
      <c r="B362" t="s">
        <v>11</v>
      </c>
      <c r="C362" t="s">
        <v>12</v>
      </c>
      <c r="D362" t="s">
        <v>32</v>
      </c>
      <c r="E362" t="s">
        <v>14</v>
      </c>
      <c r="F362" t="s">
        <v>15</v>
      </c>
      <c r="G362" s="16">
        <v>58</v>
      </c>
      <c r="H362">
        <f>RANK(G362,$G$2:$G$1001,0)+COUNTIF($G$2:G362,G362)-1</f>
        <v>723</v>
      </c>
      <c r="I362" t="str">
        <f>INDEX('Boundary table'!$B$3:$B$7,MATCH(G362,'Boundary table'!$A$3:$A$7,1))</f>
        <v>F</v>
      </c>
      <c r="J362" s="16">
        <v>62</v>
      </c>
      <c r="K362">
        <f>RANK(J362,$J$2:$J$1001,0)+COUNTIF($J$2:J362,J362)-1</f>
        <v>687</v>
      </c>
      <c r="L362" t="str">
        <f>INDEX('Boundary table'!$B$3:$B$7,MATCH(J362,'Boundary table'!$A$3:$A$7,1))</f>
        <v>D</v>
      </c>
      <c r="M362" s="16">
        <v>59</v>
      </c>
      <c r="N362">
        <f>RANK(M362,$M$2:$M$1001,0)+COUNTIF($M$2:M362,M362)-1</f>
        <v>722</v>
      </c>
      <c r="O362" t="str">
        <f>INDEX('Boundary table'!$B$3:$B$7,MATCH(M362,'Boundary table'!$A$3:$A$7))</f>
        <v>F</v>
      </c>
      <c r="P362">
        <f>Table1[[#This Row],[Math Score]]+Table1[[#This Row],[Reading Score]]+Table1[[#This Row],[Writing Score]]</f>
        <v>179</v>
      </c>
      <c r="Q362" s="16">
        <f>COUNTIF(Table1[[#This Row],[Math Score]],"&lt;60")+COUNTIF(Table1[[#This Row],[Reading Score]],"&lt;60")+COUNTIF(Table1[[#This Row],[Writing Score]],"&lt;60")</f>
        <v>2</v>
      </c>
      <c r="R362" t="str">
        <f>IF(Table1[[#This Row],[Fail Count]]&gt;=2,"At risk","OK")</f>
        <v>At risk</v>
      </c>
    </row>
    <row r="363" spans="1:18">
      <c r="A363" t="str">
        <f t="shared" si="5"/>
        <v>Stu-362</v>
      </c>
      <c r="B363" t="s">
        <v>27</v>
      </c>
      <c r="C363" t="s">
        <v>12</v>
      </c>
      <c r="D363" t="s">
        <v>33</v>
      </c>
      <c r="E363" t="s">
        <v>14</v>
      </c>
      <c r="F363" t="s">
        <v>21</v>
      </c>
      <c r="G363" s="16">
        <v>85</v>
      </c>
      <c r="H363">
        <f>RANK(G363,$G$2:$G$1001,0)+COUNTIF($G$2:G363,G363)-1</f>
        <v>107</v>
      </c>
      <c r="I363" t="str">
        <f>INDEX('Boundary table'!$B$3:$B$7,MATCH(G363,'Boundary table'!$A$3:$A$7,1))</f>
        <v>B</v>
      </c>
      <c r="J363" s="16">
        <v>84</v>
      </c>
      <c r="K363">
        <f>RANK(J363,$J$2:$J$1001,0)+COUNTIF($J$2:J363,J363)-1</f>
        <v>158</v>
      </c>
      <c r="L363" t="str">
        <f>INDEX('Boundary table'!$B$3:$B$7,MATCH(J363,'Boundary table'!$A$3:$A$7,1))</f>
        <v>B</v>
      </c>
      <c r="M363" s="16">
        <v>78</v>
      </c>
      <c r="N363">
        <f>RANK(M363,$M$2:$M$1001,0)+COUNTIF($M$2:M363,M363)-1</f>
        <v>268</v>
      </c>
      <c r="O363" t="str">
        <f>INDEX('Boundary table'!$B$3:$B$7,MATCH(M363,'Boundary table'!$A$3:$A$7))</f>
        <v>C</v>
      </c>
      <c r="P363">
        <f>Table1[[#This Row],[Math Score]]+Table1[[#This Row],[Reading Score]]+Table1[[#This Row],[Writing Score]]</f>
        <v>247</v>
      </c>
      <c r="Q363" s="16">
        <f>COUNTIF(Table1[[#This Row],[Math Score]],"&lt;60")+COUNTIF(Table1[[#This Row],[Reading Score]],"&lt;60")+COUNTIF(Table1[[#This Row],[Writing Score]],"&lt;60")</f>
        <v>0</v>
      </c>
      <c r="R363" t="str">
        <f>IF(Table1[[#This Row],[Fail Count]]&gt;=2,"At risk","OK")</f>
        <v>OK</v>
      </c>
    </row>
    <row r="364" spans="1:18">
      <c r="A364" t="str">
        <f t="shared" si="5"/>
        <v>Stu-363</v>
      </c>
      <c r="B364" t="s">
        <v>11</v>
      </c>
      <c r="C364" t="s">
        <v>19</v>
      </c>
      <c r="D364" t="s">
        <v>20</v>
      </c>
      <c r="E364" t="s">
        <v>14</v>
      </c>
      <c r="F364" t="s">
        <v>15</v>
      </c>
      <c r="G364" s="16">
        <v>52</v>
      </c>
      <c r="H364">
        <f>RANK(G364,$G$2:$G$1001,0)+COUNTIF($G$2:G364,G364)-1</f>
        <v>828</v>
      </c>
      <c r="I364" t="str">
        <f>INDEX('Boundary table'!$B$3:$B$7,MATCH(G364,'Boundary table'!$A$3:$A$7,1))</f>
        <v>F</v>
      </c>
      <c r="J364" s="16">
        <v>58</v>
      </c>
      <c r="K364">
        <f>RANK(J364,$J$2:$J$1001,0)+COUNTIF($J$2:J364,J364)-1</f>
        <v>770</v>
      </c>
      <c r="L364" t="str">
        <f>INDEX('Boundary table'!$B$3:$B$7,MATCH(J364,'Boundary table'!$A$3:$A$7,1))</f>
        <v>F</v>
      </c>
      <c r="M364" s="16">
        <v>58</v>
      </c>
      <c r="N364">
        <f>RANK(M364,$M$2:$M$1001,0)+COUNTIF($M$2:M364,M364)-1</f>
        <v>737</v>
      </c>
      <c r="O364" t="str">
        <f>INDEX('Boundary table'!$B$3:$B$7,MATCH(M364,'Boundary table'!$A$3:$A$7))</f>
        <v>F</v>
      </c>
      <c r="P364">
        <f>Table1[[#This Row],[Math Score]]+Table1[[#This Row],[Reading Score]]+Table1[[#This Row],[Writing Score]]</f>
        <v>168</v>
      </c>
      <c r="Q364" s="16">
        <f>COUNTIF(Table1[[#This Row],[Math Score]],"&lt;60")+COUNTIF(Table1[[#This Row],[Reading Score]],"&lt;60")+COUNTIF(Table1[[#This Row],[Writing Score]],"&lt;60")</f>
        <v>3</v>
      </c>
      <c r="R364" t="str">
        <f>IF(Table1[[#This Row],[Fail Count]]&gt;=2,"At risk","OK")</f>
        <v>At risk</v>
      </c>
    </row>
    <row r="365" spans="1:18">
      <c r="A365" t="str">
        <f t="shared" si="5"/>
        <v>Stu-364</v>
      </c>
      <c r="B365" t="s">
        <v>11</v>
      </c>
      <c r="C365" t="s">
        <v>31</v>
      </c>
      <c r="D365" t="s">
        <v>33</v>
      </c>
      <c r="E365" t="s">
        <v>30</v>
      </c>
      <c r="F365" t="s">
        <v>15</v>
      </c>
      <c r="G365" s="16">
        <v>27</v>
      </c>
      <c r="H365">
        <f>RANK(G365,$G$2:$G$1001,0)+COUNTIF($G$2:G365,G365)-1</f>
        <v>992</v>
      </c>
      <c r="I365" t="str">
        <f>INDEX('Boundary table'!$B$3:$B$7,MATCH(G365,'Boundary table'!$A$3:$A$7,1))</f>
        <v>F</v>
      </c>
      <c r="J365" s="16">
        <v>34</v>
      </c>
      <c r="K365">
        <f>RANK(J365,$J$2:$J$1001,0)+COUNTIF($J$2:J365,J365)-1</f>
        <v>987</v>
      </c>
      <c r="L365" t="str">
        <f>INDEX('Boundary table'!$B$3:$B$7,MATCH(J365,'Boundary table'!$A$3:$A$7,1))</f>
        <v>F</v>
      </c>
      <c r="M365" s="16">
        <v>32</v>
      </c>
      <c r="N365">
        <f>RANK(M365,$M$2:$M$1001,0)+COUNTIF($M$2:M365,M365)-1</f>
        <v>989</v>
      </c>
      <c r="O365" t="str">
        <f>INDEX('Boundary table'!$B$3:$B$7,MATCH(M365,'Boundary table'!$A$3:$A$7))</f>
        <v>F</v>
      </c>
      <c r="P365">
        <f>Table1[[#This Row],[Math Score]]+Table1[[#This Row],[Reading Score]]+Table1[[#This Row],[Writing Score]]</f>
        <v>93</v>
      </c>
      <c r="Q365" s="16">
        <f>COUNTIF(Table1[[#This Row],[Math Score]],"&lt;60")+COUNTIF(Table1[[#This Row],[Reading Score]],"&lt;60")+COUNTIF(Table1[[#This Row],[Writing Score]],"&lt;60")</f>
        <v>3</v>
      </c>
      <c r="R365" t="str">
        <f>IF(Table1[[#This Row],[Fail Count]]&gt;=2,"At risk","OK")</f>
        <v>At risk</v>
      </c>
    </row>
    <row r="366" spans="1:18">
      <c r="A366" t="str">
        <f t="shared" si="5"/>
        <v>Stu-365</v>
      </c>
      <c r="B366" t="s">
        <v>27</v>
      </c>
      <c r="C366" t="s">
        <v>19</v>
      </c>
      <c r="D366" t="s">
        <v>20</v>
      </c>
      <c r="E366" t="s">
        <v>14</v>
      </c>
      <c r="F366" t="s">
        <v>15</v>
      </c>
      <c r="G366" s="16">
        <v>59</v>
      </c>
      <c r="H366">
        <f>RANK(G366,$G$2:$G$1001,0)+COUNTIF($G$2:G366,G366)-1</f>
        <v>691</v>
      </c>
      <c r="I366" t="str">
        <f>INDEX('Boundary table'!$B$3:$B$7,MATCH(G366,'Boundary table'!$A$3:$A$7,1))</f>
        <v>F</v>
      </c>
      <c r="J366" s="16">
        <v>60</v>
      </c>
      <c r="K366">
        <f>RANK(J366,$J$2:$J$1001,0)+COUNTIF($J$2:J366,J366)-1</f>
        <v>733</v>
      </c>
      <c r="L366" t="str">
        <f>INDEX('Boundary table'!$B$3:$B$7,MATCH(J366,'Boundary table'!$A$3:$A$7,1))</f>
        <v>D</v>
      </c>
      <c r="M366" s="16">
        <v>58</v>
      </c>
      <c r="N366">
        <f>RANK(M366,$M$2:$M$1001,0)+COUNTIF($M$2:M366,M366)-1</f>
        <v>738</v>
      </c>
      <c r="O366" t="str">
        <f>INDEX('Boundary table'!$B$3:$B$7,MATCH(M366,'Boundary table'!$A$3:$A$7))</f>
        <v>F</v>
      </c>
      <c r="P366">
        <f>Table1[[#This Row],[Math Score]]+Table1[[#This Row],[Reading Score]]+Table1[[#This Row],[Writing Score]]</f>
        <v>177</v>
      </c>
      <c r="Q366" s="16">
        <f>COUNTIF(Table1[[#This Row],[Math Score]],"&lt;60")+COUNTIF(Table1[[#This Row],[Reading Score]],"&lt;60")+COUNTIF(Table1[[#This Row],[Writing Score]],"&lt;60")</f>
        <v>2</v>
      </c>
      <c r="R366" t="str">
        <f>IF(Table1[[#This Row],[Fail Count]]&gt;=2,"At risk","OK")</f>
        <v>At risk</v>
      </c>
    </row>
    <row r="367" spans="1:18">
      <c r="A367" t="str">
        <f t="shared" si="5"/>
        <v>Stu-366</v>
      </c>
      <c r="B367" t="s">
        <v>27</v>
      </c>
      <c r="C367" t="s">
        <v>28</v>
      </c>
      <c r="D367" t="s">
        <v>13</v>
      </c>
      <c r="E367" t="s">
        <v>30</v>
      </c>
      <c r="F367" t="s">
        <v>21</v>
      </c>
      <c r="G367" s="16">
        <v>49</v>
      </c>
      <c r="H367">
        <f>RANK(G367,$G$2:$G$1001,0)+COUNTIF($G$2:G367,G367)-1</f>
        <v>871</v>
      </c>
      <c r="I367" t="str">
        <f>INDEX('Boundary table'!$B$3:$B$7,MATCH(G367,'Boundary table'!$A$3:$A$7,1))</f>
        <v>F</v>
      </c>
      <c r="J367" s="16">
        <v>58</v>
      </c>
      <c r="K367">
        <f>RANK(J367,$J$2:$J$1001,0)+COUNTIF($J$2:J367,J367)-1</f>
        <v>771</v>
      </c>
      <c r="L367" t="str">
        <f>INDEX('Boundary table'!$B$3:$B$7,MATCH(J367,'Boundary table'!$A$3:$A$7,1))</f>
        <v>F</v>
      </c>
      <c r="M367" s="16">
        <v>60</v>
      </c>
      <c r="N367">
        <f>RANK(M367,$M$2:$M$1001,0)+COUNTIF($M$2:M367,M367)-1</f>
        <v>704</v>
      </c>
      <c r="O367" t="str">
        <f>INDEX('Boundary table'!$B$3:$B$7,MATCH(M367,'Boundary table'!$A$3:$A$7))</f>
        <v>D</v>
      </c>
      <c r="P367">
        <f>Table1[[#This Row],[Math Score]]+Table1[[#This Row],[Reading Score]]+Table1[[#This Row],[Writing Score]]</f>
        <v>167</v>
      </c>
      <c r="Q367" s="16">
        <f>COUNTIF(Table1[[#This Row],[Math Score]],"&lt;60")+COUNTIF(Table1[[#This Row],[Reading Score]],"&lt;60")+COUNTIF(Table1[[#This Row],[Writing Score]],"&lt;60")</f>
        <v>2</v>
      </c>
      <c r="R367" t="str">
        <f>IF(Table1[[#This Row],[Fail Count]]&gt;=2,"At risk","OK")</f>
        <v>At risk</v>
      </c>
    </row>
    <row r="368" spans="1:18">
      <c r="A368" t="str">
        <f t="shared" si="5"/>
        <v>Stu-367</v>
      </c>
      <c r="B368" t="s">
        <v>27</v>
      </c>
      <c r="C368" t="s">
        <v>19</v>
      </c>
      <c r="D368" t="s">
        <v>32</v>
      </c>
      <c r="E368" t="s">
        <v>14</v>
      </c>
      <c r="F368" t="s">
        <v>21</v>
      </c>
      <c r="G368" s="16">
        <v>69</v>
      </c>
      <c r="H368">
        <f>RANK(G368,$G$2:$G$1001,0)+COUNTIF($G$2:G368,G368)-1</f>
        <v>422</v>
      </c>
      <c r="I368" t="str">
        <f>INDEX('Boundary table'!$B$3:$B$7,MATCH(G368,'Boundary table'!$A$3:$A$7,1))</f>
        <v>D</v>
      </c>
      <c r="J368" s="16">
        <v>58</v>
      </c>
      <c r="K368">
        <f>RANK(J368,$J$2:$J$1001,0)+COUNTIF($J$2:J368,J368)-1</f>
        <v>772</v>
      </c>
      <c r="L368" t="str">
        <f>INDEX('Boundary table'!$B$3:$B$7,MATCH(J368,'Boundary table'!$A$3:$A$7,1))</f>
        <v>F</v>
      </c>
      <c r="M368" s="16">
        <v>53</v>
      </c>
      <c r="N368">
        <f>RANK(M368,$M$2:$M$1001,0)+COUNTIF($M$2:M368,M368)-1</f>
        <v>827</v>
      </c>
      <c r="O368" t="str">
        <f>INDEX('Boundary table'!$B$3:$B$7,MATCH(M368,'Boundary table'!$A$3:$A$7))</f>
        <v>F</v>
      </c>
      <c r="P368">
        <f>Table1[[#This Row],[Math Score]]+Table1[[#This Row],[Reading Score]]+Table1[[#This Row],[Writing Score]]</f>
        <v>180</v>
      </c>
      <c r="Q368" s="16">
        <f>COUNTIF(Table1[[#This Row],[Math Score]],"&lt;60")+COUNTIF(Table1[[#This Row],[Reading Score]],"&lt;60")+COUNTIF(Table1[[#This Row],[Writing Score]],"&lt;60")</f>
        <v>2</v>
      </c>
      <c r="R368" t="str">
        <f>IF(Table1[[#This Row],[Fail Count]]&gt;=2,"At risk","OK")</f>
        <v>At risk</v>
      </c>
    </row>
    <row r="369" spans="1:18">
      <c r="A369" t="str">
        <f t="shared" si="5"/>
        <v>Stu-368</v>
      </c>
      <c r="B369" t="s">
        <v>27</v>
      </c>
      <c r="C369" t="s">
        <v>19</v>
      </c>
      <c r="D369" t="s">
        <v>13</v>
      </c>
      <c r="E369" t="s">
        <v>30</v>
      </c>
      <c r="F369" t="s">
        <v>15</v>
      </c>
      <c r="G369" s="16">
        <v>61</v>
      </c>
      <c r="H369">
        <f>RANK(G369,$G$2:$G$1001,0)+COUNTIF($G$2:G369,G369)-1</f>
        <v>645</v>
      </c>
      <c r="I369" t="str">
        <f>INDEX('Boundary table'!$B$3:$B$7,MATCH(G369,'Boundary table'!$A$3:$A$7,1))</f>
        <v>D</v>
      </c>
      <c r="J369" s="16">
        <v>66</v>
      </c>
      <c r="K369">
        <f>RANK(J369,$J$2:$J$1001,0)+COUNTIF($J$2:J369,J369)-1</f>
        <v>589</v>
      </c>
      <c r="L369" t="str">
        <f>INDEX('Boundary table'!$B$3:$B$7,MATCH(J369,'Boundary table'!$A$3:$A$7,1))</f>
        <v>D</v>
      </c>
      <c r="M369" s="16">
        <v>61</v>
      </c>
      <c r="N369">
        <f>RANK(M369,$M$2:$M$1001,0)+COUNTIF($M$2:M369,M369)-1</f>
        <v>688</v>
      </c>
      <c r="O369" t="str">
        <f>INDEX('Boundary table'!$B$3:$B$7,MATCH(M369,'Boundary table'!$A$3:$A$7))</f>
        <v>D</v>
      </c>
      <c r="P369">
        <f>Table1[[#This Row],[Math Score]]+Table1[[#This Row],[Reading Score]]+Table1[[#This Row],[Writing Score]]</f>
        <v>188</v>
      </c>
      <c r="Q369" s="16">
        <f>COUNTIF(Table1[[#This Row],[Math Score]],"&lt;60")+COUNTIF(Table1[[#This Row],[Reading Score]],"&lt;60")+COUNTIF(Table1[[#This Row],[Writing Score]],"&lt;60")</f>
        <v>0</v>
      </c>
      <c r="R369" t="str">
        <f>IF(Table1[[#This Row],[Fail Count]]&gt;=2,"At risk","OK")</f>
        <v>OK</v>
      </c>
    </row>
    <row r="370" spans="1:18">
      <c r="A370" t="str">
        <f t="shared" si="5"/>
        <v>Stu-369</v>
      </c>
      <c r="B370" t="s">
        <v>11</v>
      </c>
      <c r="C370" t="s">
        <v>28</v>
      </c>
      <c r="D370" t="s">
        <v>33</v>
      </c>
      <c r="E370" t="s">
        <v>30</v>
      </c>
      <c r="F370" t="s">
        <v>15</v>
      </c>
      <c r="G370" s="16">
        <v>44</v>
      </c>
      <c r="H370">
        <f>RANK(G370,$G$2:$G$1001,0)+COUNTIF($G$2:G370,G370)-1</f>
        <v>928</v>
      </c>
      <c r="I370" t="str">
        <f>INDEX('Boundary table'!$B$3:$B$7,MATCH(G370,'Boundary table'!$A$3:$A$7,1))</f>
        <v>F</v>
      </c>
      <c r="J370" s="16">
        <v>64</v>
      </c>
      <c r="K370">
        <f>RANK(J370,$J$2:$J$1001,0)+COUNTIF($J$2:J370,J370)-1</f>
        <v>639</v>
      </c>
      <c r="L370" t="str">
        <f>INDEX('Boundary table'!$B$3:$B$7,MATCH(J370,'Boundary table'!$A$3:$A$7,1))</f>
        <v>D</v>
      </c>
      <c r="M370" s="16">
        <v>58</v>
      </c>
      <c r="N370">
        <f>RANK(M370,$M$2:$M$1001,0)+COUNTIF($M$2:M370,M370)-1</f>
        <v>739</v>
      </c>
      <c r="O370" t="str">
        <f>INDEX('Boundary table'!$B$3:$B$7,MATCH(M370,'Boundary table'!$A$3:$A$7))</f>
        <v>F</v>
      </c>
      <c r="P370">
        <f>Table1[[#This Row],[Math Score]]+Table1[[#This Row],[Reading Score]]+Table1[[#This Row],[Writing Score]]</f>
        <v>166</v>
      </c>
      <c r="Q370" s="16">
        <f>COUNTIF(Table1[[#This Row],[Math Score]],"&lt;60")+COUNTIF(Table1[[#This Row],[Reading Score]],"&lt;60")+COUNTIF(Table1[[#This Row],[Writing Score]],"&lt;60")</f>
        <v>2</v>
      </c>
      <c r="R370" t="str">
        <f>IF(Table1[[#This Row],[Fail Count]]&gt;=2,"At risk","OK")</f>
        <v>At risk</v>
      </c>
    </row>
    <row r="371" spans="1:18">
      <c r="A371" t="str">
        <f t="shared" si="5"/>
        <v>Stu-370</v>
      </c>
      <c r="B371" t="s">
        <v>11</v>
      </c>
      <c r="C371" t="s">
        <v>31</v>
      </c>
      <c r="D371" t="s">
        <v>33</v>
      </c>
      <c r="E371" t="s">
        <v>14</v>
      </c>
      <c r="F371" t="s">
        <v>15</v>
      </c>
      <c r="G371" s="16">
        <v>73</v>
      </c>
      <c r="H371">
        <f>RANK(G371,$G$2:$G$1001,0)+COUNTIF($G$2:G371,G371)-1</f>
        <v>329</v>
      </c>
      <c r="I371" t="str">
        <f>INDEX('Boundary table'!$B$3:$B$7,MATCH(G371,'Boundary table'!$A$3:$A$7,1))</f>
        <v>C</v>
      </c>
      <c r="J371" s="16">
        <v>84</v>
      </c>
      <c r="K371">
        <f>RANK(J371,$J$2:$J$1001,0)+COUNTIF($J$2:J371,J371)-1</f>
        <v>159</v>
      </c>
      <c r="L371" t="str">
        <f>INDEX('Boundary table'!$B$3:$B$7,MATCH(J371,'Boundary table'!$A$3:$A$7,1))</f>
        <v>B</v>
      </c>
      <c r="M371" s="16">
        <v>85</v>
      </c>
      <c r="N371">
        <f>RANK(M371,$M$2:$M$1001,0)+COUNTIF($M$2:M371,M371)-1</f>
        <v>124</v>
      </c>
      <c r="O371" t="str">
        <f>INDEX('Boundary table'!$B$3:$B$7,MATCH(M371,'Boundary table'!$A$3:$A$7))</f>
        <v>B</v>
      </c>
      <c r="P371">
        <f>Table1[[#This Row],[Math Score]]+Table1[[#This Row],[Reading Score]]+Table1[[#This Row],[Writing Score]]</f>
        <v>242</v>
      </c>
      <c r="Q371" s="16">
        <f>COUNTIF(Table1[[#This Row],[Math Score]],"&lt;60")+COUNTIF(Table1[[#This Row],[Reading Score]],"&lt;60")+COUNTIF(Table1[[#This Row],[Writing Score]],"&lt;60")</f>
        <v>0</v>
      </c>
      <c r="R371" t="str">
        <f>IF(Table1[[#This Row],[Fail Count]]&gt;=2,"At risk","OK")</f>
        <v>OK</v>
      </c>
    </row>
    <row r="372" spans="1:18">
      <c r="A372" t="str">
        <f t="shared" si="5"/>
        <v>Stu-371</v>
      </c>
      <c r="B372" t="s">
        <v>27</v>
      </c>
      <c r="C372" t="s">
        <v>34</v>
      </c>
      <c r="D372" t="s">
        <v>20</v>
      </c>
      <c r="E372" t="s">
        <v>14</v>
      </c>
      <c r="F372" t="s">
        <v>15</v>
      </c>
      <c r="G372" s="16">
        <v>84</v>
      </c>
      <c r="H372">
        <f>RANK(G372,$G$2:$G$1001,0)+COUNTIF($G$2:G372,G372)-1</f>
        <v>121</v>
      </c>
      <c r="I372" t="str">
        <f>INDEX('Boundary table'!$B$3:$B$7,MATCH(G372,'Boundary table'!$A$3:$A$7,1))</f>
        <v>B</v>
      </c>
      <c r="J372" s="16">
        <v>77</v>
      </c>
      <c r="K372">
        <f>RANK(J372,$J$2:$J$1001,0)+COUNTIF($J$2:J372,J372)-1</f>
        <v>303</v>
      </c>
      <c r="L372" t="str">
        <f>INDEX('Boundary table'!$B$3:$B$7,MATCH(J372,'Boundary table'!$A$3:$A$7,1))</f>
        <v>C</v>
      </c>
      <c r="M372" s="16">
        <v>71</v>
      </c>
      <c r="N372">
        <f>RANK(M372,$M$2:$M$1001,0)+COUNTIF($M$2:M372,M372)-1</f>
        <v>445</v>
      </c>
      <c r="O372" t="str">
        <f>INDEX('Boundary table'!$B$3:$B$7,MATCH(M372,'Boundary table'!$A$3:$A$7))</f>
        <v>C</v>
      </c>
      <c r="P372">
        <f>Table1[[#This Row],[Math Score]]+Table1[[#This Row],[Reading Score]]+Table1[[#This Row],[Writing Score]]</f>
        <v>232</v>
      </c>
      <c r="Q372" s="16">
        <f>COUNTIF(Table1[[#This Row],[Math Score]],"&lt;60")+COUNTIF(Table1[[#This Row],[Reading Score]],"&lt;60")+COUNTIF(Table1[[#This Row],[Writing Score]],"&lt;60")</f>
        <v>0</v>
      </c>
      <c r="R372" t="str">
        <f>IF(Table1[[#This Row],[Fail Count]]&gt;=2,"At risk","OK")</f>
        <v>OK</v>
      </c>
    </row>
    <row r="373" spans="1:18">
      <c r="A373" t="str">
        <f t="shared" si="5"/>
        <v>Stu-372</v>
      </c>
      <c r="B373" t="s">
        <v>11</v>
      </c>
      <c r="C373" t="s">
        <v>19</v>
      </c>
      <c r="D373" t="s">
        <v>20</v>
      </c>
      <c r="E373" t="s">
        <v>30</v>
      </c>
      <c r="F373" t="s">
        <v>21</v>
      </c>
      <c r="G373" s="16">
        <v>45</v>
      </c>
      <c r="H373">
        <f>RANK(G373,$G$2:$G$1001,0)+COUNTIF($G$2:G373,G373)-1</f>
        <v>921</v>
      </c>
      <c r="I373" t="str">
        <f>INDEX('Boundary table'!$B$3:$B$7,MATCH(G373,'Boundary table'!$A$3:$A$7,1))</f>
        <v>F</v>
      </c>
      <c r="J373" s="16">
        <v>73</v>
      </c>
      <c r="K373">
        <f>RANK(J373,$J$2:$J$1001,0)+COUNTIF($J$2:J373,J373)-1</f>
        <v>415</v>
      </c>
      <c r="L373" t="str">
        <f>INDEX('Boundary table'!$B$3:$B$7,MATCH(J373,'Boundary table'!$A$3:$A$7,1))</f>
        <v>C</v>
      </c>
      <c r="M373" s="16">
        <v>70</v>
      </c>
      <c r="N373">
        <f>RANK(M373,$M$2:$M$1001,0)+COUNTIF($M$2:M373,M373)-1</f>
        <v>472</v>
      </c>
      <c r="O373" t="str">
        <f>INDEX('Boundary table'!$B$3:$B$7,MATCH(M373,'Boundary table'!$A$3:$A$7))</f>
        <v>C</v>
      </c>
      <c r="P373">
        <f>Table1[[#This Row],[Math Score]]+Table1[[#This Row],[Reading Score]]+Table1[[#This Row],[Writing Score]]</f>
        <v>188</v>
      </c>
      <c r="Q373" s="16">
        <f>COUNTIF(Table1[[#This Row],[Math Score]],"&lt;60")+COUNTIF(Table1[[#This Row],[Reading Score]],"&lt;60")+COUNTIF(Table1[[#This Row],[Writing Score]],"&lt;60")</f>
        <v>1</v>
      </c>
      <c r="R373" t="str">
        <f>IF(Table1[[#This Row],[Fail Count]]&gt;=2,"At risk","OK")</f>
        <v>OK</v>
      </c>
    </row>
    <row r="374" spans="1:18">
      <c r="A374" t="str">
        <f t="shared" si="5"/>
        <v>Stu-373</v>
      </c>
      <c r="B374" t="s">
        <v>27</v>
      </c>
      <c r="C374" t="s">
        <v>31</v>
      </c>
      <c r="D374" t="s">
        <v>33</v>
      </c>
      <c r="E374" t="s">
        <v>14</v>
      </c>
      <c r="F374" t="s">
        <v>15</v>
      </c>
      <c r="G374" s="16">
        <v>74</v>
      </c>
      <c r="H374">
        <f>RANK(G374,$G$2:$G$1001,0)+COUNTIF($G$2:G374,G374)-1</f>
        <v>302</v>
      </c>
      <c r="I374" t="str">
        <f>INDEX('Boundary table'!$B$3:$B$7,MATCH(G374,'Boundary table'!$A$3:$A$7,1))</f>
        <v>C</v>
      </c>
      <c r="J374" s="16">
        <v>74</v>
      </c>
      <c r="K374">
        <f>RANK(J374,$J$2:$J$1001,0)+COUNTIF($J$2:J374,J374)-1</f>
        <v>383</v>
      </c>
      <c r="L374" t="str">
        <f>INDEX('Boundary table'!$B$3:$B$7,MATCH(J374,'Boundary table'!$A$3:$A$7,1))</f>
        <v>C</v>
      </c>
      <c r="M374" s="16">
        <v>72</v>
      </c>
      <c r="N374">
        <f>RANK(M374,$M$2:$M$1001,0)+COUNTIF($M$2:M374,M374)-1</f>
        <v>420</v>
      </c>
      <c r="O374" t="str">
        <f>INDEX('Boundary table'!$B$3:$B$7,MATCH(M374,'Boundary table'!$A$3:$A$7))</f>
        <v>C</v>
      </c>
      <c r="P374">
        <f>Table1[[#This Row],[Math Score]]+Table1[[#This Row],[Reading Score]]+Table1[[#This Row],[Writing Score]]</f>
        <v>220</v>
      </c>
      <c r="Q374" s="16">
        <f>COUNTIF(Table1[[#This Row],[Math Score]],"&lt;60")+COUNTIF(Table1[[#This Row],[Reading Score]],"&lt;60")+COUNTIF(Table1[[#This Row],[Writing Score]],"&lt;60")</f>
        <v>0</v>
      </c>
      <c r="R374" t="str">
        <f>IF(Table1[[#This Row],[Fail Count]]&gt;=2,"At risk","OK")</f>
        <v>OK</v>
      </c>
    </row>
    <row r="375" spans="1:18">
      <c r="A375" t="str">
        <f t="shared" si="5"/>
        <v>Stu-374</v>
      </c>
      <c r="B375" t="s">
        <v>11</v>
      </c>
      <c r="C375" t="s">
        <v>31</v>
      </c>
      <c r="D375" t="s">
        <v>20</v>
      </c>
      <c r="E375" t="s">
        <v>14</v>
      </c>
      <c r="F375" t="s">
        <v>21</v>
      </c>
      <c r="G375" s="16">
        <v>82</v>
      </c>
      <c r="H375">
        <f>RANK(G375,$G$2:$G$1001,0)+COUNTIF($G$2:G375,G375)-1</f>
        <v>144</v>
      </c>
      <c r="I375" t="str">
        <f>INDEX('Boundary table'!$B$3:$B$7,MATCH(G375,'Boundary table'!$A$3:$A$7,1))</f>
        <v>B</v>
      </c>
      <c r="J375" s="16">
        <v>97</v>
      </c>
      <c r="K375">
        <f>RANK(J375,$J$2:$J$1001,0)+COUNTIF($J$2:J375,J375)-1</f>
        <v>21</v>
      </c>
      <c r="L375" t="str">
        <f>INDEX('Boundary table'!$B$3:$B$7,MATCH(J375,'Boundary table'!$A$3:$A$7,1))</f>
        <v>A</v>
      </c>
      <c r="M375" s="16">
        <v>96</v>
      </c>
      <c r="N375">
        <f>RANK(M375,$M$2:$M$1001,0)+COUNTIF($M$2:M375,M375)-1</f>
        <v>23</v>
      </c>
      <c r="O375" t="str">
        <f>INDEX('Boundary table'!$B$3:$B$7,MATCH(M375,'Boundary table'!$A$3:$A$7))</f>
        <v>A</v>
      </c>
      <c r="P375">
        <f>Table1[[#This Row],[Math Score]]+Table1[[#This Row],[Reading Score]]+Table1[[#This Row],[Writing Score]]</f>
        <v>275</v>
      </c>
      <c r="Q375" s="16">
        <f>COUNTIF(Table1[[#This Row],[Math Score]],"&lt;60")+COUNTIF(Table1[[#This Row],[Reading Score]],"&lt;60")+COUNTIF(Table1[[#This Row],[Writing Score]],"&lt;60")</f>
        <v>0</v>
      </c>
      <c r="R375" t="str">
        <f>IF(Table1[[#This Row],[Fail Count]]&gt;=2,"At risk","OK")</f>
        <v>OK</v>
      </c>
    </row>
    <row r="376" spans="1:18">
      <c r="A376" t="str">
        <f t="shared" si="5"/>
        <v>Stu-375</v>
      </c>
      <c r="B376" t="s">
        <v>11</v>
      </c>
      <c r="C376" t="s">
        <v>31</v>
      </c>
      <c r="D376" t="s">
        <v>13</v>
      </c>
      <c r="E376" t="s">
        <v>14</v>
      </c>
      <c r="F376" t="s">
        <v>15</v>
      </c>
      <c r="G376" s="16">
        <v>59</v>
      </c>
      <c r="H376">
        <f>RANK(G376,$G$2:$G$1001,0)+COUNTIF($G$2:G376,G376)-1</f>
        <v>692</v>
      </c>
      <c r="I376" t="str">
        <f>INDEX('Boundary table'!$B$3:$B$7,MATCH(G376,'Boundary table'!$A$3:$A$7,1))</f>
        <v>F</v>
      </c>
      <c r="J376" s="16">
        <v>70</v>
      </c>
      <c r="K376">
        <f>RANK(J376,$J$2:$J$1001,0)+COUNTIF($J$2:J376,J376)-1</f>
        <v>498</v>
      </c>
      <c r="L376" t="str">
        <f>INDEX('Boundary table'!$B$3:$B$7,MATCH(J376,'Boundary table'!$A$3:$A$7,1))</f>
        <v>C</v>
      </c>
      <c r="M376" s="16">
        <v>73</v>
      </c>
      <c r="N376">
        <f>RANK(M376,$M$2:$M$1001,0)+COUNTIF($M$2:M376,M376)-1</f>
        <v>393</v>
      </c>
      <c r="O376" t="str">
        <f>INDEX('Boundary table'!$B$3:$B$7,MATCH(M376,'Boundary table'!$A$3:$A$7))</f>
        <v>C</v>
      </c>
      <c r="P376">
        <f>Table1[[#This Row],[Math Score]]+Table1[[#This Row],[Reading Score]]+Table1[[#This Row],[Writing Score]]</f>
        <v>202</v>
      </c>
      <c r="Q376" s="16">
        <f>COUNTIF(Table1[[#This Row],[Math Score]],"&lt;60")+COUNTIF(Table1[[#This Row],[Reading Score]],"&lt;60")+COUNTIF(Table1[[#This Row],[Writing Score]],"&lt;60")</f>
        <v>1</v>
      </c>
      <c r="R376" t="str">
        <f>IF(Table1[[#This Row],[Fail Count]]&gt;=2,"At risk","OK")</f>
        <v>OK</v>
      </c>
    </row>
    <row r="377" spans="1:18">
      <c r="A377" t="str">
        <f t="shared" si="5"/>
        <v>Stu-376</v>
      </c>
      <c r="B377" t="s">
        <v>27</v>
      </c>
      <c r="C377" t="s">
        <v>34</v>
      </c>
      <c r="D377" t="s">
        <v>29</v>
      </c>
      <c r="E377" t="s">
        <v>30</v>
      </c>
      <c r="F377" t="s">
        <v>15</v>
      </c>
      <c r="G377" s="16">
        <v>46</v>
      </c>
      <c r="H377">
        <f>RANK(G377,$G$2:$G$1001,0)+COUNTIF($G$2:G377,G377)-1</f>
        <v>911</v>
      </c>
      <c r="I377" t="str">
        <f>INDEX('Boundary table'!$B$3:$B$7,MATCH(G377,'Boundary table'!$A$3:$A$7,1))</f>
        <v>F</v>
      </c>
      <c r="J377" s="16">
        <v>43</v>
      </c>
      <c r="K377">
        <f>RANK(J377,$J$2:$J$1001,0)+COUNTIF($J$2:J377,J377)-1</f>
        <v>955</v>
      </c>
      <c r="L377" t="str">
        <f>INDEX('Boundary table'!$B$3:$B$7,MATCH(J377,'Boundary table'!$A$3:$A$7,1))</f>
        <v>F</v>
      </c>
      <c r="M377" s="16">
        <v>41</v>
      </c>
      <c r="N377">
        <f>RANK(M377,$M$2:$M$1001,0)+COUNTIF($M$2:M377,M377)-1</f>
        <v>961</v>
      </c>
      <c r="O377" t="str">
        <f>INDEX('Boundary table'!$B$3:$B$7,MATCH(M377,'Boundary table'!$A$3:$A$7))</f>
        <v>F</v>
      </c>
      <c r="P377">
        <f>Table1[[#This Row],[Math Score]]+Table1[[#This Row],[Reading Score]]+Table1[[#This Row],[Writing Score]]</f>
        <v>130</v>
      </c>
      <c r="Q377" s="16">
        <f>COUNTIF(Table1[[#This Row],[Math Score]],"&lt;60")+COUNTIF(Table1[[#This Row],[Reading Score]],"&lt;60")+COUNTIF(Table1[[#This Row],[Writing Score]],"&lt;60")</f>
        <v>3</v>
      </c>
      <c r="R377" t="str">
        <f>IF(Table1[[#This Row],[Fail Count]]&gt;=2,"At risk","OK")</f>
        <v>At risk</v>
      </c>
    </row>
    <row r="378" spans="1:18">
      <c r="A378" t="str">
        <f t="shared" si="5"/>
        <v>Stu-377</v>
      </c>
      <c r="B378" t="s">
        <v>11</v>
      </c>
      <c r="C378" t="s">
        <v>31</v>
      </c>
      <c r="D378" t="s">
        <v>33</v>
      </c>
      <c r="E378" t="s">
        <v>14</v>
      </c>
      <c r="F378" t="s">
        <v>15</v>
      </c>
      <c r="G378" s="16">
        <v>80</v>
      </c>
      <c r="H378">
        <f>RANK(G378,$G$2:$G$1001,0)+COUNTIF($G$2:G378,G378)-1</f>
        <v>185</v>
      </c>
      <c r="I378" t="str">
        <f>INDEX('Boundary table'!$B$3:$B$7,MATCH(G378,'Boundary table'!$A$3:$A$7,1))</f>
        <v>B</v>
      </c>
      <c r="J378" s="16">
        <v>90</v>
      </c>
      <c r="K378">
        <f>RANK(J378,$J$2:$J$1001,0)+COUNTIF($J$2:J378,J378)-1</f>
        <v>67</v>
      </c>
      <c r="L378" t="str">
        <f>INDEX('Boundary table'!$B$3:$B$7,MATCH(J378,'Boundary table'!$A$3:$A$7,1))</f>
        <v>A</v>
      </c>
      <c r="M378" s="16">
        <v>82</v>
      </c>
      <c r="N378">
        <f>RANK(M378,$M$2:$M$1001,0)+COUNTIF($M$2:M378,M378)-1</f>
        <v>174</v>
      </c>
      <c r="O378" t="str">
        <f>INDEX('Boundary table'!$B$3:$B$7,MATCH(M378,'Boundary table'!$A$3:$A$7))</f>
        <v>B</v>
      </c>
      <c r="P378">
        <f>Table1[[#This Row],[Math Score]]+Table1[[#This Row],[Reading Score]]+Table1[[#This Row],[Writing Score]]</f>
        <v>252</v>
      </c>
      <c r="Q378" s="16">
        <f>COUNTIF(Table1[[#This Row],[Math Score]],"&lt;60")+COUNTIF(Table1[[#This Row],[Reading Score]],"&lt;60")+COUNTIF(Table1[[#This Row],[Writing Score]],"&lt;60")</f>
        <v>0</v>
      </c>
      <c r="R378" t="str">
        <f>IF(Table1[[#This Row],[Fail Count]]&gt;=2,"At risk","OK")</f>
        <v>OK</v>
      </c>
    </row>
    <row r="379" spans="1:18">
      <c r="A379" t="str">
        <f t="shared" si="5"/>
        <v>Stu-378</v>
      </c>
      <c r="B379" t="s">
        <v>11</v>
      </c>
      <c r="C379" t="s">
        <v>31</v>
      </c>
      <c r="D379" t="s">
        <v>26</v>
      </c>
      <c r="E379" t="s">
        <v>30</v>
      </c>
      <c r="F379" t="s">
        <v>21</v>
      </c>
      <c r="G379" s="16">
        <v>85</v>
      </c>
      <c r="H379">
        <f>RANK(G379,$G$2:$G$1001,0)+COUNTIF($G$2:G379,G379)-1</f>
        <v>108</v>
      </c>
      <c r="I379" t="str">
        <f>INDEX('Boundary table'!$B$3:$B$7,MATCH(G379,'Boundary table'!$A$3:$A$7,1))</f>
        <v>B</v>
      </c>
      <c r="J379" s="16">
        <v>95</v>
      </c>
      <c r="K379">
        <f>RANK(J379,$J$2:$J$1001,0)+COUNTIF($J$2:J379,J379)-1</f>
        <v>34</v>
      </c>
      <c r="L379" t="str">
        <f>INDEX('Boundary table'!$B$3:$B$7,MATCH(J379,'Boundary table'!$A$3:$A$7,1))</f>
        <v>A</v>
      </c>
      <c r="M379" s="16">
        <v>100</v>
      </c>
      <c r="N379">
        <f>RANK(M379,$M$2:$M$1001,0)+COUNTIF($M$2:M379,M379)-1</f>
        <v>5</v>
      </c>
      <c r="O379" t="str">
        <f>INDEX('Boundary table'!$B$3:$B$7,MATCH(M379,'Boundary table'!$A$3:$A$7))</f>
        <v>A</v>
      </c>
      <c r="P379">
        <f>Table1[[#This Row],[Math Score]]+Table1[[#This Row],[Reading Score]]+Table1[[#This Row],[Writing Score]]</f>
        <v>280</v>
      </c>
      <c r="Q379" s="16">
        <f>COUNTIF(Table1[[#This Row],[Math Score]],"&lt;60")+COUNTIF(Table1[[#This Row],[Reading Score]],"&lt;60")+COUNTIF(Table1[[#This Row],[Writing Score]],"&lt;60")</f>
        <v>0</v>
      </c>
      <c r="R379" t="str">
        <f>IF(Table1[[#This Row],[Fail Count]]&gt;=2,"At risk","OK")</f>
        <v>OK</v>
      </c>
    </row>
    <row r="380" spans="1:18">
      <c r="A380" t="str">
        <f t="shared" si="5"/>
        <v>Stu-379</v>
      </c>
      <c r="B380" t="s">
        <v>11</v>
      </c>
      <c r="C380" t="s">
        <v>28</v>
      </c>
      <c r="D380" t="s">
        <v>33</v>
      </c>
      <c r="E380" t="s">
        <v>14</v>
      </c>
      <c r="F380" t="s">
        <v>15</v>
      </c>
      <c r="G380" s="16">
        <v>71</v>
      </c>
      <c r="H380">
        <f>RANK(G380,$G$2:$G$1001,0)+COUNTIF($G$2:G380,G380)-1</f>
        <v>378</v>
      </c>
      <c r="I380" t="str">
        <f>INDEX('Boundary table'!$B$3:$B$7,MATCH(G380,'Boundary table'!$A$3:$A$7,1))</f>
        <v>C</v>
      </c>
      <c r="J380" s="16">
        <v>83</v>
      </c>
      <c r="K380">
        <f>RANK(J380,$J$2:$J$1001,0)+COUNTIF($J$2:J380,J380)-1</f>
        <v>184</v>
      </c>
      <c r="L380" t="str">
        <f>INDEX('Boundary table'!$B$3:$B$7,MATCH(J380,'Boundary table'!$A$3:$A$7,1))</f>
        <v>B</v>
      </c>
      <c r="M380" s="16">
        <v>77</v>
      </c>
      <c r="N380">
        <f>RANK(M380,$M$2:$M$1001,0)+COUNTIF($M$2:M380,M380)-1</f>
        <v>288</v>
      </c>
      <c r="O380" t="str">
        <f>INDEX('Boundary table'!$B$3:$B$7,MATCH(M380,'Boundary table'!$A$3:$A$7))</f>
        <v>C</v>
      </c>
      <c r="P380">
        <f>Table1[[#This Row],[Math Score]]+Table1[[#This Row],[Reading Score]]+Table1[[#This Row],[Writing Score]]</f>
        <v>231</v>
      </c>
      <c r="Q380" s="16">
        <f>COUNTIF(Table1[[#This Row],[Math Score]],"&lt;60")+COUNTIF(Table1[[#This Row],[Reading Score]],"&lt;60")+COUNTIF(Table1[[#This Row],[Writing Score]],"&lt;60")</f>
        <v>0</v>
      </c>
      <c r="R380" t="str">
        <f>IF(Table1[[#This Row],[Fail Count]]&gt;=2,"At risk","OK")</f>
        <v>OK</v>
      </c>
    </row>
    <row r="381" spans="1:18">
      <c r="A381" t="str">
        <f t="shared" si="5"/>
        <v>Stu-380</v>
      </c>
      <c r="B381" t="s">
        <v>27</v>
      </c>
      <c r="C381" t="s">
        <v>28</v>
      </c>
      <c r="D381" t="s">
        <v>13</v>
      </c>
      <c r="E381" t="s">
        <v>14</v>
      </c>
      <c r="F381" t="s">
        <v>15</v>
      </c>
      <c r="G381" s="16">
        <v>66</v>
      </c>
      <c r="H381">
        <f>RANK(G381,$G$2:$G$1001,0)+COUNTIF($G$2:G381,G381)-1</f>
        <v>503</v>
      </c>
      <c r="I381" t="str">
        <f>INDEX('Boundary table'!$B$3:$B$7,MATCH(G381,'Boundary table'!$A$3:$A$7,1))</f>
        <v>D</v>
      </c>
      <c r="J381" s="16">
        <v>64</v>
      </c>
      <c r="K381">
        <f>RANK(J381,$J$2:$J$1001,0)+COUNTIF($J$2:J381,J381)-1</f>
        <v>640</v>
      </c>
      <c r="L381" t="str">
        <f>INDEX('Boundary table'!$B$3:$B$7,MATCH(J381,'Boundary table'!$A$3:$A$7,1))</f>
        <v>D</v>
      </c>
      <c r="M381" s="16">
        <v>62</v>
      </c>
      <c r="N381">
        <f>RANK(M381,$M$2:$M$1001,0)+COUNTIF($M$2:M381,M381)-1</f>
        <v>662</v>
      </c>
      <c r="O381" t="str">
        <f>INDEX('Boundary table'!$B$3:$B$7,MATCH(M381,'Boundary table'!$A$3:$A$7))</f>
        <v>D</v>
      </c>
      <c r="P381">
        <f>Table1[[#This Row],[Math Score]]+Table1[[#This Row],[Reading Score]]+Table1[[#This Row],[Writing Score]]</f>
        <v>192</v>
      </c>
      <c r="Q381" s="16">
        <f>COUNTIF(Table1[[#This Row],[Math Score]],"&lt;60")+COUNTIF(Table1[[#This Row],[Reading Score]],"&lt;60")+COUNTIF(Table1[[#This Row],[Writing Score]],"&lt;60")</f>
        <v>0</v>
      </c>
      <c r="R381" t="str">
        <f>IF(Table1[[#This Row],[Fail Count]]&gt;=2,"At risk","OK")</f>
        <v>OK</v>
      </c>
    </row>
    <row r="382" spans="1:18">
      <c r="A382" t="str">
        <f t="shared" si="5"/>
        <v>Stu-381</v>
      </c>
      <c r="B382" t="s">
        <v>11</v>
      </c>
      <c r="C382" t="s">
        <v>12</v>
      </c>
      <c r="D382" t="s">
        <v>29</v>
      </c>
      <c r="E382" t="s">
        <v>14</v>
      </c>
      <c r="F382" t="s">
        <v>15</v>
      </c>
      <c r="G382" s="16">
        <v>80</v>
      </c>
      <c r="H382">
        <f>RANK(G382,$G$2:$G$1001,0)+COUNTIF($G$2:G382,G382)-1</f>
        <v>186</v>
      </c>
      <c r="I382" t="str">
        <f>INDEX('Boundary table'!$B$3:$B$7,MATCH(G382,'Boundary table'!$A$3:$A$7,1))</f>
        <v>B</v>
      </c>
      <c r="J382" s="16">
        <v>86</v>
      </c>
      <c r="K382">
        <f>RANK(J382,$J$2:$J$1001,0)+COUNTIF($J$2:J382,J382)-1</f>
        <v>123</v>
      </c>
      <c r="L382" t="str">
        <f>INDEX('Boundary table'!$B$3:$B$7,MATCH(J382,'Boundary table'!$A$3:$A$7,1))</f>
        <v>B</v>
      </c>
      <c r="M382" s="16">
        <v>83</v>
      </c>
      <c r="N382">
        <f>RANK(M382,$M$2:$M$1001,0)+COUNTIF($M$2:M382,M382)-1</f>
        <v>157</v>
      </c>
      <c r="O382" t="str">
        <f>INDEX('Boundary table'!$B$3:$B$7,MATCH(M382,'Boundary table'!$A$3:$A$7))</f>
        <v>B</v>
      </c>
      <c r="P382">
        <f>Table1[[#This Row],[Math Score]]+Table1[[#This Row],[Reading Score]]+Table1[[#This Row],[Writing Score]]</f>
        <v>249</v>
      </c>
      <c r="Q382" s="16">
        <f>COUNTIF(Table1[[#This Row],[Math Score]],"&lt;60")+COUNTIF(Table1[[#This Row],[Reading Score]],"&lt;60")+COUNTIF(Table1[[#This Row],[Writing Score]],"&lt;60")</f>
        <v>0</v>
      </c>
      <c r="R382" t="str">
        <f>IF(Table1[[#This Row],[Fail Count]]&gt;=2,"At risk","OK")</f>
        <v>OK</v>
      </c>
    </row>
    <row r="383" spans="1:18">
      <c r="A383" t="str">
        <f t="shared" si="5"/>
        <v>Stu-382</v>
      </c>
      <c r="B383" t="s">
        <v>27</v>
      </c>
      <c r="C383" t="s">
        <v>19</v>
      </c>
      <c r="D383" t="s">
        <v>29</v>
      </c>
      <c r="E383" t="s">
        <v>14</v>
      </c>
      <c r="F383" t="s">
        <v>21</v>
      </c>
      <c r="G383" s="16">
        <v>87</v>
      </c>
      <c r="H383">
        <f>RANK(G383,$G$2:$G$1001,0)+COUNTIF($G$2:G383,G383)-1</f>
        <v>86</v>
      </c>
      <c r="I383" t="str">
        <f>INDEX('Boundary table'!$B$3:$B$7,MATCH(G383,'Boundary table'!$A$3:$A$7,1))</f>
        <v>B</v>
      </c>
      <c r="J383" s="16">
        <v>100</v>
      </c>
      <c r="K383">
        <f>RANK(J383,$J$2:$J$1001,0)+COUNTIF($J$2:J383,J383)-1</f>
        <v>6</v>
      </c>
      <c r="L383" t="str">
        <f>INDEX('Boundary table'!$B$3:$B$7,MATCH(J383,'Boundary table'!$A$3:$A$7,1))</f>
        <v>A</v>
      </c>
      <c r="M383" s="16">
        <v>95</v>
      </c>
      <c r="N383">
        <f>RANK(M383,$M$2:$M$1001,0)+COUNTIF($M$2:M383,M383)-1</f>
        <v>30</v>
      </c>
      <c r="O383" t="str">
        <f>INDEX('Boundary table'!$B$3:$B$7,MATCH(M383,'Boundary table'!$A$3:$A$7))</f>
        <v>A</v>
      </c>
      <c r="P383">
        <f>Table1[[#This Row],[Math Score]]+Table1[[#This Row],[Reading Score]]+Table1[[#This Row],[Writing Score]]</f>
        <v>282</v>
      </c>
      <c r="Q383" s="16">
        <f>COUNTIF(Table1[[#This Row],[Math Score]],"&lt;60")+COUNTIF(Table1[[#This Row],[Reading Score]],"&lt;60")+COUNTIF(Table1[[#This Row],[Writing Score]],"&lt;60")</f>
        <v>0</v>
      </c>
      <c r="R383" t="str">
        <f>IF(Table1[[#This Row],[Fail Count]]&gt;=2,"At risk","OK")</f>
        <v>OK</v>
      </c>
    </row>
    <row r="384" spans="1:18">
      <c r="A384" t="str">
        <f t="shared" si="5"/>
        <v>Stu-383</v>
      </c>
      <c r="B384" t="s">
        <v>27</v>
      </c>
      <c r="C384" t="s">
        <v>19</v>
      </c>
      <c r="D384" t="s">
        <v>26</v>
      </c>
      <c r="E384" t="s">
        <v>30</v>
      </c>
      <c r="F384" t="s">
        <v>15</v>
      </c>
      <c r="G384" s="16">
        <v>79</v>
      </c>
      <c r="H384">
        <f>RANK(G384,$G$2:$G$1001,0)+COUNTIF($G$2:G384,G384)-1</f>
        <v>201</v>
      </c>
      <c r="I384" t="str">
        <f>INDEX('Boundary table'!$B$3:$B$7,MATCH(G384,'Boundary table'!$A$3:$A$7,1))</f>
        <v>C</v>
      </c>
      <c r="J384" s="16">
        <v>81</v>
      </c>
      <c r="K384">
        <f>RANK(J384,$J$2:$J$1001,0)+COUNTIF($J$2:J384,J384)-1</f>
        <v>220</v>
      </c>
      <c r="L384" t="str">
        <f>INDEX('Boundary table'!$B$3:$B$7,MATCH(J384,'Boundary table'!$A$3:$A$7,1))</f>
        <v>B</v>
      </c>
      <c r="M384" s="16">
        <v>71</v>
      </c>
      <c r="N384">
        <f>RANK(M384,$M$2:$M$1001,0)+COUNTIF($M$2:M384,M384)-1</f>
        <v>446</v>
      </c>
      <c r="O384" t="str">
        <f>INDEX('Boundary table'!$B$3:$B$7,MATCH(M384,'Boundary table'!$A$3:$A$7))</f>
        <v>C</v>
      </c>
      <c r="P384">
        <f>Table1[[#This Row],[Math Score]]+Table1[[#This Row],[Reading Score]]+Table1[[#This Row],[Writing Score]]</f>
        <v>231</v>
      </c>
      <c r="Q384" s="16">
        <f>COUNTIF(Table1[[#This Row],[Math Score]],"&lt;60")+COUNTIF(Table1[[#This Row],[Reading Score]],"&lt;60")+COUNTIF(Table1[[#This Row],[Writing Score]],"&lt;60")</f>
        <v>0</v>
      </c>
      <c r="R384" t="str">
        <f>IF(Table1[[#This Row],[Fail Count]]&gt;=2,"At risk","OK")</f>
        <v>OK</v>
      </c>
    </row>
    <row r="385" spans="1:18">
      <c r="A385" t="str">
        <f t="shared" si="5"/>
        <v>Stu-384</v>
      </c>
      <c r="B385" t="s">
        <v>11</v>
      </c>
      <c r="C385" t="s">
        <v>34</v>
      </c>
      <c r="D385" t="s">
        <v>33</v>
      </c>
      <c r="E385" t="s">
        <v>30</v>
      </c>
      <c r="F385" t="s">
        <v>15</v>
      </c>
      <c r="G385" s="16">
        <v>38</v>
      </c>
      <c r="H385">
        <f>RANK(G385,$G$2:$G$1001,0)+COUNTIF($G$2:G385,G385)-1</f>
        <v>966</v>
      </c>
      <c r="I385" t="str">
        <f>INDEX('Boundary table'!$B$3:$B$7,MATCH(G385,'Boundary table'!$A$3:$A$7,1))</f>
        <v>F</v>
      </c>
      <c r="J385" s="16">
        <v>49</v>
      </c>
      <c r="K385">
        <f>RANK(J385,$J$2:$J$1001,0)+COUNTIF($J$2:J385,J385)-1</f>
        <v>917</v>
      </c>
      <c r="L385" t="str">
        <f>INDEX('Boundary table'!$B$3:$B$7,MATCH(J385,'Boundary table'!$A$3:$A$7,1))</f>
        <v>F</v>
      </c>
      <c r="M385" s="16">
        <v>45</v>
      </c>
      <c r="N385">
        <f>RANK(M385,$M$2:$M$1001,0)+COUNTIF($M$2:M385,M385)-1</f>
        <v>926</v>
      </c>
      <c r="O385" t="str">
        <f>INDEX('Boundary table'!$B$3:$B$7,MATCH(M385,'Boundary table'!$A$3:$A$7))</f>
        <v>F</v>
      </c>
      <c r="P385">
        <f>Table1[[#This Row],[Math Score]]+Table1[[#This Row],[Reading Score]]+Table1[[#This Row],[Writing Score]]</f>
        <v>132</v>
      </c>
      <c r="Q385" s="16">
        <f>COUNTIF(Table1[[#This Row],[Math Score]],"&lt;60")+COUNTIF(Table1[[#This Row],[Reading Score]],"&lt;60")+COUNTIF(Table1[[#This Row],[Writing Score]],"&lt;60")</f>
        <v>3</v>
      </c>
      <c r="R385" t="str">
        <f>IF(Table1[[#This Row],[Fail Count]]&gt;=2,"At risk","OK")</f>
        <v>At risk</v>
      </c>
    </row>
    <row r="386" spans="1:18">
      <c r="A386" t="str">
        <f t="shared" ref="A386:A449" si="6">"Stu-"&amp;TEXT(ROW()-1,"000")</f>
        <v>Stu-385</v>
      </c>
      <c r="B386" t="s">
        <v>11</v>
      </c>
      <c r="C386" t="s">
        <v>28</v>
      </c>
      <c r="D386" t="s">
        <v>33</v>
      </c>
      <c r="E386" t="s">
        <v>30</v>
      </c>
      <c r="F386" t="s">
        <v>15</v>
      </c>
      <c r="G386" s="16">
        <v>38</v>
      </c>
      <c r="H386">
        <f>RANK(G386,$G$2:$G$1001,0)+COUNTIF($G$2:G386,G386)-1</f>
        <v>967</v>
      </c>
      <c r="I386" t="str">
        <f>INDEX('Boundary table'!$B$3:$B$7,MATCH(G386,'Boundary table'!$A$3:$A$7,1))</f>
        <v>F</v>
      </c>
      <c r="J386" s="16">
        <v>43</v>
      </c>
      <c r="K386">
        <f>RANK(J386,$J$2:$J$1001,0)+COUNTIF($J$2:J386,J386)-1</f>
        <v>956</v>
      </c>
      <c r="L386" t="str">
        <f>INDEX('Boundary table'!$B$3:$B$7,MATCH(J386,'Boundary table'!$A$3:$A$7,1))</f>
        <v>F</v>
      </c>
      <c r="M386" s="16">
        <v>43</v>
      </c>
      <c r="N386">
        <f>RANK(M386,$M$2:$M$1001,0)+COUNTIF($M$2:M386,M386)-1</f>
        <v>945</v>
      </c>
      <c r="O386" t="str">
        <f>INDEX('Boundary table'!$B$3:$B$7,MATCH(M386,'Boundary table'!$A$3:$A$7))</f>
        <v>F</v>
      </c>
      <c r="P386">
        <f>Table1[[#This Row],[Math Score]]+Table1[[#This Row],[Reading Score]]+Table1[[#This Row],[Writing Score]]</f>
        <v>124</v>
      </c>
      <c r="Q386" s="16">
        <f>COUNTIF(Table1[[#This Row],[Math Score]],"&lt;60")+COUNTIF(Table1[[#This Row],[Reading Score]],"&lt;60")+COUNTIF(Table1[[#This Row],[Writing Score]],"&lt;60")</f>
        <v>3</v>
      </c>
      <c r="R386" t="str">
        <f>IF(Table1[[#This Row],[Fail Count]]&gt;=2,"At risk","OK")</f>
        <v>At risk</v>
      </c>
    </row>
    <row r="387" spans="1:18">
      <c r="A387" t="str">
        <f t="shared" si="6"/>
        <v>Stu-386</v>
      </c>
      <c r="B387" t="s">
        <v>11</v>
      </c>
      <c r="C387" t="s">
        <v>34</v>
      </c>
      <c r="D387" t="s">
        <v>20</v>
      </c>
      <c r="E387" t="s">
        <v>14</v>
      </c>
      <c r="F387" t="s">
        <v>15</v>
      </c>
      <c r="G387" s="16">
        <v>67</v>
      </c>
      <c r="H387">
        <f>RANK(G387,$G$2:$G$1001,0)+COUNTIF($G$2:G387,G387)-1</f>
        <v>479</v>
      </c>
      <c r="I387" t="str">
        <f>INDEX('Boundary table'!$B$3:$B$7,MATCH(G387,'Boundary table'!$A$3:$A$7,1))</f>
        <v>D</v>
      </c>
      <c r="J387" s="16">
        <v>76</v>
      </c>
      <c r="K387">
        <f>RANK(J387,$J$2:$J$1001,0)+COUNTIF($J$2:J387,J387)-1</f>
        <v>330</v>
      </c>
      <c r="L387" t="str">
        <f>INDEX('Boundary table'!$B$3:$B$7,MATCH(J387,'Boundary table'!$A$3:$A$7,1))</f>
        <v>C</v>
      </c>
      <c r="M387" s="16">
        <v>75</v>
      </c>
      <c r="N387">
        <f>RANK(M387,$M$2:$M$1001,0)+COUNTIF($M$2:M387,M387)-1</f>
        <v>343</v>
      </c>
      <c r="O387" t="str">
        <f>INDEX('Boundary table'!$B$3:$B$7,MATCH(M387,'Boundary table'!$A$3:$A$7))</f>
        <v>C</v>
      </c>
      <c r="P387">
        <f>Table1[[#This Row],[Math Score]]+Table1[[#This Row],[Reading Score]]+Table1[[#This Row],[Writing Score]]</f>
        <v>218</v>
      </c>
      <c r="Q387" s="16">
        <f>COUNTIF(Table1[[#This Row],[Math Score]],"&lt;60")+COUNTIF(Table1[[#This Row],[Reading Score]],"&lt;60")+COUNTIF(Table1[[#This Row],[Writing Score]],"&lt;60")</f>
        <v>0</v>
      </c>
      <c r="R387" t="str">
        <f>IF(Table1[[#This Row],[Fail Count]]&gt;=2,"At risk","OK")</f>
        <v>OK</v>
      </c>
    </row>
    <row r="388" spans="1:18">
      <c r="A388" t="str">
        <f t="shared" si="6"/>
        <v>Stu-387</v>
      </c>
      <c r="B388" t="s">
        <v>11</v>
      </c>
      <c r="C388" t="s">
        <v>34</v>
      </c>
      <c r="D388" t="s">
        <v>13</v>
      </c>
      <c r="E388" t="s">
        <v>14</v>
      </c>
      <c r="F388" t="s">
        <v>15</v>
      </c>
      <c r="G388" s="16">
        <v>64</v>
      </c>
      <c r="H388">
        <f>RANK(G388,$G$2:$G$1001,0)+COUNTIF($G$2:G388,G388)-1</f>
        <v>558</v>
      </c>
      <c r="I388" t="str">
        <f>INDEX('Boundary table'!$B$3:$B$7,MATCH(G388,'Boundary table'!$A$3:$A$7,1))</f>
        <v>D</v>
      </c>
      <c r="J388" s="16">
        <v>73</v>
      </c>
      <c r="K388">
        <f>RANK(J388,$J$2:$J$1001,0)+COUNTIF($J$2:J388,J388)-1</f>
        <v>416</v>
      </c>
      <c r="L388" t="str">
        <f>INDEX('Boundary table'!$B$3:$B$7,MATCH(J388,'Boundary table'!$A$3:$A$7,1))</f>
        <v>C</v>
      </c>
      <c r="M388" s="16">
        <v>70</v>
      </c>
      <c r="N388">
        <f>RANK(M388,$M$2:$M$1001,0)+COUNTIF($M$2:M388,M388)-1</f>
        <v>473</v>
      </c>
      <c r="O388" t="str">
        <f>INDEX('Boundary table'!$B$3:$B$7,MATCH(M388,'Boundary table'!$A$3:$A$7))</f>
        <v>C</v>
      </c>
      <c r="P388">
        <f>Table1[[#This Row],[Math Score]]+Table1[[#This Row],[Reading Score]]+Table1[[#This Row],[Writing Score]]</f>
        <v>207</v>
      </c>
      <c r="Q388" s="16">
        <f>COUNTIF(Table1[[#This Row],[Math Score]],"&lt;60")+COUNTIF(Table1[[#This Row],[Reading Score]],"&lt;60")+COUNTIF(Table1[[#This Row],[Writing Score]],"&lt;60")</f>
        <v>0</v>
      </c>
      <c r="R388" t="str">
        <f>IF(Table1[[#This Row],[Fail Count]]&gt;=2,"At risk","OK")</f>
        <v>OK</v>
      </c>
    </row>
    <row r="389" spans="1:18">
      <c r="A389" t="str">
        <f t="shared" si="6"/>
        <v>Stu-388</v>
      </c>
      <c r="B389" t="s">
        <v>11</v>
      </c>
      <c r="C389" t="s">
        <v>19</v>
      </c>
      <c r="D389" t="s">
        <v>29</v>
      </c>
      <c r="E389" t="s">
        <v>30</v>
      </c>
      <c r="F389" t="s">
        <v>15</v>
      </c>
      <c r="G389" s="16">
        <v>57</v>
      </c>
      <c r="H389">
        <f>RANK(G389,$G$2:$G$1001,0)+COUNTIF($G$2:G389,G389)-1</f>
        <v>740</v>
      </c>
      <c r="I389" t="str">
        <f>INDEX('Boundary table'!$B$3:$B$7,MATCH(G389,'Boundary table'!$A$3:$A$7,1))</f>
        <v>F</v>
      </c>
      <c r="J389" s="16">
        <v>78</v>
      </c>
      <c r="K389">
        <f>RANK(J389,$J$2:$J$1001,0)+COUNTIF($J$2:J389,J389)-1</f>
        <v>278</v>
      </c>
      <c r="L389" t="str">
        <f>INDEX('Boundary table'!$B$3:$B$7,MATCH(J389,'Boundary table'!$A$3:$A$7,1))</f>
        <v>C</v>
      </c>
      <c r="M389" s="16">
        <v>67</v>
      </c>
      <c r="N389">
        <f>RANK(M389,$M$2:$M$1001,0)+COUNTIF($M$2:M389,M389)-1</f>
        <v>553</v>
      </c>
      <c r="O389" t="str">
        <f>INDEX('Boundary table'!$B$3:$B$7,MATCH(M389,'Boundary table'!$A$3:$A$7))</f>
        <v>D</v>
      </c>
      <c r="P389">
        <f>Table1[[#This Row],[Math Score]]+Table1[[#This Row],[Reading Score]]+Table1[[#This Row],[Writing Score]]</f>
        <v>202</v>
      </c>
      <c r="Q389" s="16">
        <f>COUNTIF(Table1[[#This Row],[Math Score]],"&lt;60")+COUNTIF(Table1[[#This Row],[Reading Score]],"&lt;60")+COUNTIF(Table1[[#This Row],[Writing Score]],"&lt;60")</f>
        <v>1</v>
      </c>
      <c r="R389" t="str">
        <f>IF(Table1[[#This Row],[Fail Count]]&gt;=2,"At risk","OK")</f>
        <v>OK</v>
      </c>
    </row>
    <row r="390" spans="1:18">
      <c r="A390" t="str">
        <f t="shared" si="6"/>
        <v>Stu-389</v>
      </c>
      <c r="B390" t="s">
        <v>11</v>
      </c>
      <c r="C390" t="s">
        <v>31</v>
      </c>
      <c r="D390" t="s">
        <v>32</v>
      </c>
      <c r="E390" t="s">
        <v>14</v>
      </c>
      <c r="F390" t="s">
        <v>15</v>
      </c>
      <c r="G390" s="16">
        <v>62</v>
      </c>
      <c r="H390">
        <f>RANK(G390,$G$2:$G$1001,0)+COUNTIF($G$2:G390,G390)-1</f>
        <v>612</v>
      </c>
      <c r="I390" t="str">
        <f>INDEX('Boundary table'!$B$3:$B$7,MATCH(G390,'Boundary table'!$A$3:$A$7,1))</f>
        <v>D</v>
      </c>
      <c r="J390" s="16">
        <v>64</v>
      </c>
      <c r="K390">
        <f>RANK(J390,$J$2:$J$1001,0)+COUNTIF($J$2:J390,J390)-1</f>
        <v>641</v>
      </c>
      <c r="L390" t="str">
        <f>INDEX('Boundary table'!$B$3:$B$7,MATCH(J390,'Boundary table'!$A$3:$A$7,1))</f>
        <v>D</v>
      </c>
      <c r="M390" s="16">
        <v>64</v>
      </c>
      <c r="N390">
        <f>RANK(M390,$M$2:$M$1001,0)+COUNTIF($M$2:M390,M390)-1</f>
        <v>620</v>
      </c>
      <c r="O390" t="str">
        <f>INDEX('Boundary table'!$B$3:$B$7,MATCH(M390,'Boundary table'!$A$3:$A$7))</f>
        <v>D</v>
      </c>
      <c r="P390">
        <f>Table1[[#This Row],[Math Score]]+Table1[[#This Row],[Reading Score]]+Table1[[#This Row],[Writing Score]]</f>
        <v>190</v>
      </c>
      <c r="Q390" s="16">
        <f>COUNTIF(Table1[[#This Row],[Math Score]],"&lt;60")+COUNTIF(Table1[[#This Row],[Reading Score]],"&lt;60")+COUNTIF(Table1[[#This Row],[Writing Score]],"&lt;60")</f>
        <v>0</v>
      </c>
      <c r="R390" t="str">
        <f>IF(Table1[[#This Row],[Fail Count]]&gt;=2,"At risk","OK")</f>
        <v>OK</v>
      </c>
    </row>
    <row r="391" spans="1:18">
      <c r="A391" t="str">
        <f t="shared" si="6"/>
        <v>Stu-390</v>
      </c>
      <c r="B391" t="s">
        <v>27</v>
      </c>
      <c r="C391" t="s">
        <v>31</v>
      </c>
      <c r="D391" t="s">
        <v>26</v>
      </c>
      <c r="E391" t="s">
        <v>14</v>
      </c>
      <c r="F391" t="s">
        <v>15</v>
      </c>
      <c r="G391" s="16">
        <v>73</v>
      </c>
      <c r="H391">
        <f>RANK(G391,$G$2:$G$1001,0)+COUNTIF($G$2:G391,G391)-1</f>
        <v>330</v>
      </c>
      <c r="I391" t="str">
        <f>INDEX('Boundary table'!$B$3:$B$7,MATCH(G391,'Boundary table'!$A$3:$A$7,1))</f>
        <v>C</v>
      </c>
      <c r="J391" s="16">
        <v>70</v>
      </c>
      <c r="K391">
        <f>RANK(J391,$J$2:$J$1001,0)+COUNTIF($J$2:J391,J391)-1</f>
        <v>499</v>
      </c>
      <c r="L391" t="str">
        <f>INDEX('Boundary table'!$B$3:$B$7,MATCH(J391,'Boundary table'!$A$3:$A$7,1))</f>
        <v>C</v>
      </c>
      <c r="M391" s="16">
        <v>75</v>
      </c>
      <c r="N391">
        <f>RANK(M391,$M$2:$M$1001,0)+COUNTIF($M$2:M391,M391)-1</f>
        <v>344</v>
      </c>
      <c r="O391" t="str">
        <f>INDEX('Boundary table'!$B$3:$B$7,MATCH(M391,'Boundary table'!$A$3:$A$7))</f>
        <v>C</v>
      </c>
      <c r="P391">
        <f>Table1[[#This Row],[Math Score]]+Table1[[#This Row],[Reading Score]]+Table1[[#This Row],[Writing Score]]</f>
        <v>218</v>
      </c>
      <c r="Q391" s="16">
        <f>COUNTIF(Table1[[#This Row],[Math Score]],"&lt;60")+COUNTIF(Table1[[#This Row],[Reading Score]],"&lt;60")+COUNTIF(Table1[[#This Row],[Writing Score]],"&lt;60")</f>
        <v>0</v>
      </c>
      <c r="R391" t="str">
        <f>IF(Table1[[#This Row],[Fail Count]]&gt;=2,"At risk","OK")</f>
        <v>OK</v>
      </c>
    </row>
    <row r="392" spans="1:18">
      <c r="A392" t="str">
        <f t="shared" si="6"/>
        <v>Stu-391</v>
      </c>
      <c r="B392" t="s">
        <v>27</v>
      </c>
      <c r="C392" t="s">
        <v>34</v>
      </c>
      <c r="D392" t="s">
        <v>33</v>
      </c>
      <c r="E392" t="s">
        <v>30</v>
      </c>
      <c r="F392" t="s">
        <v>21</v>
      </c>
      <c r="G392" s="16">
        <v>73</v>
      </c>
      <c r="H392">
        <f>RANK(G392,$G$2:$G$1001,0)+COUNTIF($G$2:G392,G392)-1</f>
        <v>331</v>
      </c>
      <c r="I392" t="str">
        <f>INDEX('Boundary table'!$B$3:$B$7,MATCH(G392,'Boundary table'!$A$3:$A$7,1))</f>
        <v>C</v>
      </c>
      <c r="J392" s="16">
        <v>67</v>
      </c>
      <c r="K392">
        <f>RANK(J392,$J$2:$J$1001,0)+COUNTIF($J$2:J392,J392)-1</f>
        <v>563</v>
      </c>
      <c r="L392" t="str">
        <f>INDEX('Boundary table'!$B$3:$B$7,MATCH(J392,'Boundary table'!$A$3:$A$7,1))</f>
        <v>D</v>
      </c>
      <c r="M392" s="16">
        <v>59</v>
      </c>
      <c r="N392">
        <f>RANK(M392,$M$2:$M$1001,0)+COUNTIF($M$2:M392,M392)-1</f>
        <v>723</v>
      </c>
      <c r="O392" t="str">
        <f>INDEX('Boundary table'!$B$3:$B$7,MATCH(M392,'Boundary table'!$A$3:$A$7))</f>
        <v>F</v>
      </c>
      <c r="P392">
        <f>Table1[[#This Row],[Math Score]]+Table1[[#This Row],[Reading Score]]+Table1[[#This Row],[Writing Score]]</f>
        <v>199</v>
      </c>
      <c r="Q392" s="16">
        <f>COUNTIF(Table1[[#This Row],[Math Score]],"&lt;60")+COUNTIF(Table1[[#This Row],[Reading Score]],"&lt;60")+COUNTIF(Table1[[#This Row],[Writing Score]],"&lt;60")</f>
        <v>1</v>
      </c>
      <c r="R392" t="str">
        <f>IF(Table1[[#This Row],[Fail Count]]&gt;=2,"At risk","OK")</f>
        <v>OK</v>
      </c>
    </row>
    <row r="393" spans="1:18">
      <c r="A393" t="str">
        <f t="shared" si="6"/>
        <v>Stu-392</v>
      </c>
      <c r="B393" t="s">
        <v>11</v>
      </c>
      <c r="C393" t="s">
        <v>31</v>
      </c>
      <c r="D393" t="s">
        <v>20</v>
      </c>
      <c r="E393" t="s">
        <v>14</v>
      </c>
      <c r="F393" t="s">
        <v>15</v>
      </c>
      <c r="G393" s="16">
        <v>77</v>
      </c>
      <c r="H393">
        <f>RANK(G393,$G$2:$G$1001,0)+COUNTIF($G$2:G393,G393)-1</f>
        <v>238</v>
      </c>
      <c r="I393" t="str">
        <f>INDEX('Boundary table'!$B$3:$B$7,MATCH(G393,'Boundary table'!$A$3:$A$7,1))</f>
        <v>C</v>
      </c>
      <c r="J393" s="16">
        <v>68</v>
      </c>
      <c r="K393">
        <f>RANK(J393,$J$2:$J$1001,0)+COUNTIF($J$2:J393,J393)-1</f>
        <v>536</v>
      </c>
      <c r="L393" t="str">
        <f>INDEX('Boundary table'!$B$3:$B$7,MATCH(J393,'Boundary table'!$A$3:$A$7,1))</f>
        <v>D</v>
      </c>
      <c r="M393" s="16">
        <v>77</v>
      </c>
      <c r="N393">
        <f>RANK(M393,$M$2:$M$1001,0)+COUNTIF($M$2:M393,M393)-1</f>
        <v>289</v>
      </c>
      <c r="O393" t="str">
        <f>INDEX('Boundary table'!$B$3:$B$7,MATCH(M393,'Boundary table'!$A$3:$A$7))</f>
        <v>C</v>
      </c>
      <c r="P393">
        <f>Table1[[#This Row],[Math Score]]+Table1[[#This Row],[Reading Score]]+Table1[[#This Row],[Writing Score]]</f>
        <v>222</v>
      </c>
      <c r="Q393" s="16">
        <f>COUNTIF(Table1[[#This Row],[Math Score]],"&lt;60")+COUNTIF(Table1[[#This Row],[Reading Score]],"&lt;60")+COUNTIF(Table1[[#This Row],[Writing Score]],"&lt;60")</f>
        <v>0</v>
      </c>
      <c r="R393" t="str">
        <f>IF(Table1[[#This Row],[Fail Count]]&gt;=2,"At risk","OK")</f>
        <v>OK</v>
      </c>
    </row>
    <row r="394" spans="1:18">
      <c r="A394" t="str">
        <f t="shared" si="6"/>
        <v>Stu-393</v>
      </c>
      <c r="B394" t="s">
        <v>27</v>
      </c>
      <c r="C394" t="s">
        <v>34</v>
      </c>
      <c r="D394" t="s">
        <v>20</v>
      </c>
      <c r="E394" t="s">
        <v>14</v>
      </c>
      <c r="F394" t="s">
        <v>15</v>
      </c>
      <c r="G394" s="16">
        <v>76</v>
      </c>
      <c r="H394">
        <f>RANK(G394,$G$2:$G$1001,0)+COUNTIF($G$2:G394,G394)-1</f>
        <v>262</v>
      </c>
      <c r="I394" t="str">
        <f>INDEX('Boundary table'!$B$3:$B$7,MATCH(G394,'Boundary table'!$A$3:$A$7,1))</f>
        <v>C</v>
      </c>
      <c r="J394" s="16">
        <v>67</v>
      </c>
      <c r="K394">
        <f>RANK(J394,$J$2:$J$1001,0)+COUNTIF($J$2:J394,J394)-1</f>
        <v>564</v>
      </c>
      <c r="L394" t="str">
        <f>INDEX('Boundary table'!$B$3:$B$7,MATCH(J394,'Boundary table'!$A$3:$A$7,1))</f>
        <v>D</v>
      </c>
      <c r="M394" s="16">
        <v>67</v>
      </c>
      <c r="N394">
        <f>RANK(M394,$M$2:$M$1001,0)+COUNTIF($M$2:M394,M394)-1</f>
        <v>554</v>
      </c>
      <c r="O394" t="str">
        <f>INDEX('Boundary table'!$B$3:$B$7,MATCH(M394,'Boundary table'!$A$3:$A$7))</f>
        <v>D</v>
      </c>
      <c r="P394">
        <f>Table1[[#This Row],[Math Score]]+Table1[[#This Row],[Reading Score]]+Table1[[#This Row],[Writing Score]]</f>
        <v>210</v>
      </c>
      <c r="Q394" s="16">
        <f>COUNTIF(Table1[[#This Row],[Math Score]],"&lt;60")+COUNTIF(Table1[[#This Row],[Reading Score]],"&lt;60")+COUNTIF(Table1[[#This Row],[Writing Score]],"&lt;60")</f>
        <v>0</v>
      </c>
      <c r="R394" t="str">
        <f>IF(Table1[[#This Row],[Fail Count]]&gt;=2,"At risk","OK")</f>
        <v>OK</v>
      </c>
    </row>
    <row r="395" spans="1:18">
      <c r="A395" t="str">
        <f t="shared" si="6"/>
        <v>Stu-394</v>
      </c>
      <c r="B395" t="s">
        <v>27</v>
      </c>
      <c r="C395" t="s">
        <v>19</v>
      </c>
      <c r="D395" t="s">
        <v>29</v>
      </c>
      <c r="E395" t="s">
        <v>14</v>
      </c>
      <c r="F395" t="s">
        <v>21</v>
      </c>
      <c r="G395" s="16">
        <v>57</v>
      </c>
      <c r="H395">
        <f>RANK(G395,$G$2:$G$1001,0)+COUNTIF($G$2:G395,G395)-1</f>
        <v>741</v>
      </c>
      <c r="I395" t="str">
        <f>INDEX('Boundary table'!$B$3:$B$7,MATCH(G395,'Boundary table'!$A$3:$A$7,1))</f>
        <v>F</v>
      </c>
      <c r="J395" s="16">
        <v>54</v>
      </c>
      <c r="K395">
        <f>RANK(J395,$J$2:$J$1001,0)+COUNTIF($J$2:J395,J395)-1</f>
        <v>848</v>
      </c>
      <c r="L395" t="str">
        <f>INDEX('Boundary table'!$B$3:$B$7,MATCH(J395,'Boundary table'!$A$3:$A$7,1))</f>
        <v>F</v>
      </c>
      <c r="M395" s="16">
        <v>56</v>
      </c>
      <c r="N395">
        <f>RANK(M395,$M$2:$M$1001,0)+COUNTIF($M$2:M395,M395)-1</f>
        <v>776</v>
      </c>
      <c r="O395" t="str">
        <f>INDEX('Boundary table'!$B$3:$B$7,MATCH(M395,'Boundary table'!$A$3:$A$7))</f>
        <v>F</v>
      </c>
      <c r="P395">
        <f>Table1[[#This Row],[Math Score]]+Table1[[#This Row],[Reading Score]]+Table1[[#This Row],[Writing Score]]</f>
        <v>167</v>
      </c>
      <c r="Q395" s="16">
        <f>COUNTIF(Table1[[#This Row],[Math Score]],"&lt;60")+COUNTIF(Table1[[#This Row],[Reading Score]],"&lt;60")+COUNTIF(Table1[[#This Row],[Writing Score]],"&lt;60")</f>
        <v>3</v>
      </c>
      <c r="R395" t="str">
        <f>IF(Table1[[#This Row],[Fail Count]]&gt;=2,"At risk","OK")</f>
        <v>At risk</v>
      </c>
    </row>
    <row r="396" spans="1:18">
      <c r="A396" t="str">
        <f t="shared" si="6"/>
        <v>Stu-395</v>
      </c>
      <c r="B396" t="s">
        <v>11</v>
      </c>
      <c r="C396" t="s">
        <v>19</v>
      </c>
      <c r="D396" t="s">
        <v>33</v>
      </c>
      <c r="E396" t="s">
        <v>14</v>
      </c>
      <c r="F396" t="s">
        <v>21</v>
      </c>
      <c r="G396" s="16">
        <v>65</v>
      </c>
      <c r="H396">
        <f>RANK(G396,$G$2:$G$1001,0)+COUNTIF($G$2:G396,G396)-1</f>
        <v>533</v>
      </c>
      <c r="I396" t="str">
        <f>INDEX('Boundary table'!$B$3:$B$7,MATCH(G396,'Boundary table'!$A$3:$A$7,1))</f>
        <v>D</v>
      </c>
      <c r="J396" s="16">
        <v>74</v>
      </c>
      <c r="K396">
        <f>RANK(J396,$J$2:$J$1001,0)+COUNTIF($J$2:J396,J396)-1</f>
        <v>384</v>
      </c>
      <c r="L396" t="str">
        <f>INDEX('Boundary table'!$B$3:$B$7,MATCH(J396,'Boundary table'!$A$3:$A$7,1))</f>
        <v>C</v>
      </c>
      <c r="M396" s="16">
        <v>77</v>
      </c>
      <c r="N396">
        <f>RANK(M396,$M$2:$M$1001,0)+COUNTIF($M$2:M396,M396)-1</f>
        <v>290</v>
      </c>
      <c r="O396" t="str">
        <f>INDEX('Boundary table'!$B$3:$B$7,MATCH(M396,'Boundary table'!$A$3:$A$7))</f>
        <v>C</v>
      </c>
      <c r="P396">
        <f>Table1[[#This Row],[Math Score]]+Table1[[#This Row],[Reading Score]]+Table1[[#This Row],[Writing Score]]</f>
        <v>216</v>
      </c>
      <c r="Q396" s="16">
        <f>COUNTIF(Table1[[#This Row],[Math Score]],"&lt;60")+COUNTIF(Table1[[#This Row],[Reading Score]],"&lt;60")+COUNTIF(Table1[[#This Row],[Writing Score]],"&lt;60")</f>
        <v>0</v>
      </c>
      <c r="R396" t="str">
        <f>IF(Table1[[#This Row],[Fail Count]]&gt;=2,"At risk","OK")</f>
        <v>OK</v>
      </c>
    </row>
    <row r="397" spans="1:18">
      <c r="A397" t="str">
        <f t="shared" si="6"/>
        <v>Stu-396</v>
      </c>
      <c r="B397" t="s">
        <v>27</v>
      </c>
      <c r="C397" t="s">
        <v>28</v>
      </c>
      <c r="D397" t="s">
        <v>32</v>
      </c>
      <c r="E397" t="s">
        <v>30</v>
      </c>
      <c r="F397" t="s">
        <v>15</v>
      </c>
      <c r="G397" s="16">
        <v>48</v>
      </c>
      <c r="H397">
        <f>RANK(G397,$G$2:$G$1001,0)+COUNTIF($G$2:G397,G397)-1</f>
        <v>884</v>
      </c>
      <c r="I397" t="str">
        <f>INDEX('Boundary table'!$B$3:$B$7,MATCH(G397,'Boundary table'!$A$3:$A$7,1))</f>
        <v>F</v>
      </c>
      <c r="J397" s="16">
        <v>45</v>
      </c>
      <c r="K397">
        <f>RANK(J397,$J$2:$J$1001,0)+COUNTIF($J$2:J397,J397)-1</f>
        <v>943</v>
      </c>
      <c r="L397" t="str">
        <f>INDEX('Boundary table'!$B$3:$B$7,MATCH(J397,'Boundary table'!$A$3:$A$7,1))</f>
        <v>F</v>
      </c>
      <c r="M397" s="16">
        <v>41</v>
      </c>
      <c r="N397">
        <f>RANK(M397,$M$2:$M$1001,0)+COUNTIF($M$2:M397,M397)-1</f>
        <v>962</v>
      </c>
      <c r="O397" t="str">
        <f>INDEX('Boundary table'!$B$3:$B$7,MATCH(M397,'Boundary table'!$A$3:$A$7))</f>
        <v>F</v>
      </c>
      <c r="P397">
        <f>Table1[[#This Row],[Math Score]]+Table1[[#This Row],[Reading Score]]+Table1[[#This Row],[Writing Score]]</f>
        <v>134</v>
      </c>
      <c r="Q397" s="16">
        <f>COUNTIF(Table1[[#This Row],[Math Score]],"&lt;60")+COUNTIF(Table1[[#This Row],[Reading Score]],"&lt;60")+COUNTIF(Table1[[#This Row],[Writing Score]],"&lt;60")</f>
        <v>3</v>
      </c>
      <c r="R397" t="str">
        <f>IF(Table1[[#This Row],[Fail Count]]&gt;=2,"At risk","OK")</f>
        <v>At risk</v>
      </c>
    </row>
    <row r="398" spans="1:18">
      <c r="A398" t="str">
        <f t="shared" si="6"/>
        <v>Stu-397</v>
      </c>
      <c r="B398" t="s">
        <v>11</v>
      </c>
      <c r="C398" t="s">
        <v>12</v>
      </c>
      <c r="D398" t="s">
        <v>32</v>
      </c>
      <c r="E398" t="s">
        <v>30</v>
      </c>
      <c r="F398" t="s">
        <v>15</v>
      </c>
      <c r="G398" s="16">
        <v>50</v>
      </c>
      <c r="H398">
        <f>RANK(G398,$G$2:$G$1001,0)+COUNTIF($G$2:G398,G398)-1</f>
        <v>856</v>
      </c>
      <c r="I398" t="str">
        <f>INDEX('Boundary table'!$B$3:$B$7,MATCH(G398,'Boundary table'!$A$3:$A$7,1))</f>
        <v>F</v>
      </c>
      <c r="J398" s="16">
        <v>67</v>
      </c>
      <c r="K398">
        <f>RANK(J398,$J$2:$J$1001,0)+COUNTIF($J$2:J398,J398)-1</f>
        <v>565</v>
      </c>
      <c r="L398" t="str">
        <f>INDEX('Boundary table'!$B$3:$B$7,MATCH(J398,'Boundary table'!$A$3:$A$7,1))</f>
        <v>D</v>
      </c>
      <c r="M398" s="16">
        <v>63</v>
      </c>
      <c r="N398">
        <f>RANK(M398,$M$2:$M$1001,0)+COUNTIF($M$2:M398,M398)-1</f>
        <v>642</v>
      </c>
      <c r="O398" t="str">
        <f>INDEX('Boundary table'!$B$3:$B$7,MATCH(M398,'Boundary table'!$A$3:$A$7))</f>
        <v>D</v>
      </c>
      <c r="P398">
        <f>Table1[[#This Row],[Math Score]]+Table1[[#This Row],[Reading Score]]+Table1[[#This Row],[Writing Score]]</f>
        <v>180</v>
      </c>
      <c r="Q398" s="16">
        <f>COUNTIF(Table1[[#This Row],[Math Score]],"&lt;60")+COUNTIF(Table1[[#This Row],[Reading Score]],"&lt;60")+COUNTIF(Table1[[#This Row],[Writing Score]],"&lt;60")</f>
        <v>1</v>
      </c>
      <c r="R398" t="str">
        <f>IF(Table1[[#This Row],[Fail Count]]&gt;=2,"At risk","OK")</f>
        <v>OK</v>
      </c>
    </row>
    <row r="399" spans="1:18">
      <c r="A399" t="str">
        <f t="shared" si="6"/>
        <v>Stu-398</v>
      </c>
      <c r="B399" t="s">
        <v>11</v>
      </c>
      <c r="C399" t="s">
        <v>19</v>
      </c>
      <c r="D399" t="s">
        <v>29</v>
      </c>
      <c r="E399" t="s">
        <v>14</v>
      </c>
      <c r="F399" t="s">
        <v>15</v>
      </c>
      <c r="G399" s="16">
        <v>85</v>
      </c>
      <c r="H399">
        <f>RANK(G399,$G$2:$G$1001,0)+COUNTIF($G$2:G399,G399)-1</f>
        <v>109</v>
      </c>
      <c r="I399" t="str">
        <f>INDEX('Boundary table'!$B$3:$B$7,MATCH(G399,'Boundary table'!$A$3:$A$7,1))</f>
        <v>B</v>
      </c>
      <c r="J399" s="16">
        <v>89</v>
      </c>
      <c r="K399">
        <f>RANK(J399,$J$2:$J$1001,0)+COUNTIF($J$2:J399,J399)-1</f>
        <v>85</v>
      </c>
      <c r="L399" t="str">
        <f>INDEX('Boundary table'!$B$3:$B$7,MATCH(J399,'Boundary table'!$A$3:$A$7,1))</f>
        <v>B</v>
      </c>
      <c r="M399" s="16">
        <v>95</v>
      </c>
      <c r="N399">
        <f>RANK(M399,$M$2:$M$1001,0)+COUNTIF($M$2:M399,M399)-1</f>
        <v>31</v>
      </c>
      <c r="O399" t="str">
        <f>INDEX('Boundary table'!$B$3:$B$7,MATCH(M399,'Boundary table'!$A$3:$A$7))</f>
        <v>A</v>
      </c>
      <c r="P399">
        <f>Table1[[#This Row],[Math Score]]+Table1[[#This Row],[Reading Score]]+Table1[[#This Row],[Writing Score]]</f>
        <v>269</v>
      </c>
      <c r="Q399" s="16">
        <f>COUNTIF(Table1[[#This Row],[Math Score]],"&lt;60")+COUNTIF(Table1[[#This Row],[Reading Score]],"&lt;60")+COUNTIF(Table1[[#This Row],[Writing Score]],"&lt;60")</f>
        <v>0</v>
      </c>
      <c r="R399" t="str">
        <f>IF(Table1[[#This Row],[Fail Count]]&gt;=2,"At risk","OK")</f>
        <v>OK</v>
      </c>
    </row>
    <row r="400" spans="1:18">
      <c r="A400" t="str">
        <f t="shared" si="6"/>
        <v>Stu-399</v>
      </c>
      <c r="B400" t="s">
        <v>27</v>
      </c>
      <c r="C400" t="s">
        <v>12</v>
      </c>
      <c r="D400" t="s">
        <v>33</v>
      </c>
      <c r="E400" t="s">
        <v>14</v>
      </c>
      <c r="F400" t="s">
        <v>15</v>
      </c>
      <c r="G400" s="16">
        <v>74</v>
      </c>
      <c r="H400">
        <f>RANK(G400,$G$2:$G$1001,0)+COUNTIF($G$2:G400,G400)-1</f>
        <v>303</v>
      </c>
      <c r="I400" t="str">
        <f>INDEX('Boundary table'!$B$3:$B$7,MATCH(G400,'Boundary table'!$A$3:$A$7,1))</f>
        <v>C</v>
      </c>
      <c r="J400" s="16">
        <v>63</v>
      </c>
      <c r="K400">
        <f>RANK(J400,$J$2:$J$1001,0)+COUNTIF($J$2:J400,J400)-1</f>
        <v>665</v>
      </c>
      <c r="L400" t="str">
        <f>INDEX('Boundary table'!$B$3:$B$7,MATCH(J400,'Boundary table'!$A$3:$A$7,1))</f>
        <v>D</v>
      </c>
      <c r="M400" s="16">
        <v>57</v>
      </c>
      <c r="N400">
        <f>RANK(M400,$M$2:$M$1001,0)+COUNTIF($M$2:M400,M400)-1</f>
        <v>759</v>
      </c>
      <c r="O400" t="str">
        <f>INDEX('Boundary table'!$B$3:$B$7,MATCH(M400,'Boundary table'!$A$3:$A$7))</f>
        <v>F</v>
      </c>
      <c r="P400">
        <f>Table1[[#This Row],[Math Score]]+Table1[[#This Row],[Reading Score]]+Table1[[#This Row],[Writing Score]]</f>
        <v>194</v>
      </c>
      <c r="Q400" s="16">
        <f>COUNTIF(Table1[[#This Row],[Math Score]],"&lt;60")+COUNTIF(Table1[[#This Row],[Reading Score]],"&lt;60")+COUNTIF(Table1[[#This Row],[Writing Score]],"&lt;60")</f>
        <v>1</v>
      </c>
      <c r="R400" t="str">
        <f>IF(Table1[[#This Row],[Fail Count]]&gt;=2,"At risk","OK")</f>
        <v>OK</v>
      </c>
    </row>
    <row r="401" spans="1:18">
      <c r="A401" t="str">
        <f t="shared" si="6"/>
        <v>Stu-400</v>
      </c>
      <c r="B401" t="s">
        <v>27</v>
      </c>
      <c r="C401" t="s">
        <v>31</v>
      </c>
      <c r="D401" t="s">
        <v>33</v>
      </c>
      <c r="E401" t="s">
        <v>14</v>
      </c>
      <c r="F401" t="s">
        <v>15</v>
      </c>
      <c r="G401" s="16">
        <v>60</v>
      </c>
      <c r="H401">
        <f>RANK(G401,$G$2:$G$1001,0)+COUNTIF($G$2:G401,G401)-1</f>
        <v>667</v>
      </c>
      <c r="I401" t="str">
        <f>INDEX('Boundary table'!$B$3:$B$7,MATCH(G401,'Boundary table'!$A$3:$A$7,1))</f>
        <v>D</v>
      </c>
      <c r="J401" s="16">
        <v>59</v>
      </c>
      <c r="K401">
        <f>RANK(J401,$J$2:$J$1001,0)+COUNTIF($J$2:J401,J401)-1</f>
        <v>748</v>
      </c>
      <c r="L401" t="str">
        <f>INDEX('Boundary table'!$B$3:$B$7,MATCH(J401,'Boundary table'!$A$3:$A$7,1))</f>
        <v>F</v>
      </c>
      <c r="M401" s="16">
        <v>54</v>
      </c>
      <c r="N401">
        <f>RANK(M401,$M$2:$M$1001,0)+COUNTIF($M$2:M401,M401)-1</f>
        <v>806</v>
      </c>
      <c r="O401" t="str">
        <f>INDEX('Boundary table'!$B$3:$B$7,MATCH(M401,'Boundary table'!$A$3:$A$7))</f>
        <v>F</v>
      </c>
      <c r="P401">
        <f>Table1[[#This Row],[Math Score]]+Table1[[#This Row],[Reading Score]]+Table1[[#This Row],[Writing Score]]</f>
        <v>173</v>
      </c>
      <c r="Q401" s="16">
        <f>COUNTIF(Table1[[#This Row],[Math Score]],"&lt;60")+COUNTIF(Table1[[#This Row],[Reading Score]],"&lt;60")+COUNTIF(Table1[[#This Row],[Writing Score]],"&lt;60")</f>
        <v>2</v>
      </c>
      <c r="R401" t="str">
        <f>IF(Table1[[#This Row],[Fail Count]]&gt;=2,"At risk","OK")</f>
        <v>At risk</v>
      </c>
    </row>
    <row r="402" spans="1:18">
      <c r="A402" t="str">
        <f t="shared" si="6"/>
        <v>Stu-401</v>
      </c>
      <c r="B402" t="s">
        <v>11</v>
      </c>
      <c r="C402" t="s">
        <v>19</v>
      </c>
      <c r="D402" t="s">
        <v>33</v>
      </c>
      <c r="E402" t="s">
        <v>14</v>
      </c>
      <c r="F402" t="s">
        <v>21</v>
      </c>
      <c r="G402" s="16">
        <v>59</v>
      </c>
      <c r="H402">
        <f>RANK(G402,$G$2:$G$1001,0)+COUNTIF($G$2:G402,G402)-1</f>
        <v>693</v>
      </c>
      <c r="I402" t="str">
        <f>INDEX('Boundary table'!$B$3:$B$7,MATCH(G402,'Boundary table'!$A$3:$A$7,1))</f>
        <v>F</v>
      </c>
      <c r="J402" s="16">
        <v>54</v>
      </c>
      <c r="K402">
        <f>RANK(J402,$J$2:$J$1001,0)+COUNTIF($J$2:J402,J402)-1</f>
        <v>849</v>
      </c>
      <c r="L402" t="str">
        <f>INDEX('Boundary table'!$B$3:$B$7,MATCH(J402,'Boundary table'!$A$3:$A$7,1))</f>
        <v>F</v>
      </c>
      <c r="M402" s="16">
        <v>67</v>
      </c>
      <c r="N402">
        <f>RANK(M402,$M$2:$M$1001,0)+COUNTIF($M$2:M402,M402)-1</f>
        <v>555</v>
      </c>
      <c r="O402" t="str">
        <f>INDEX('Boundary table'!$B$3:$B$7,MATCH(M402,'Boundary table'!$A$3:$A$7))</f>
        <v>D</v>
      </c>
      <c r="P402">
        <f>Table1[[#This Row],[Math Score]]+Table1[[#This Row],[Reading Score]]+Table1[[#This Row],[Writing Score]]</f>
        <v>180</v>
      </c>
      <c r="Q402" s="16">
        <f>COUNTIF(Table1[[#This Row],[Math Score]],"&lt;60")+COUNTIF(Table1[[#This Row],[Reading Score]],"&lt;60")+COUNTIF(Table1[[#This Row],[Writing Score]],"&lt;60")</f>
        <v>2</v>
      </c>
      <c r="R402" t="str">
        <f>IF(Table1[[#This Row],[Fail Count]]&gt;=2,"At risk","OK")</f>
        <v>At risk</v>
      </c>
    </row>
    <row r="403" spans="1:18">
      <c r="A403" t="str">
        <f t="shared" si="6"/>
        <v>Stu-402</v>
      </c>
      <c r="B403" t="s">
        <v>27</v>
      </c>
      <c r="C403" t="s">
        <v>28</v>
      </c>
      <c r="D403" t="s">
        <v>20</v>
      </c>
      <c r="E403" t="s">
        <v>14</v>
      </c>
      <c r="F403" t="s">
        <v>15</v>
      </c>
      <c r="G403" s="16">
        <v>53</v>
      </c>
      <c r="H403">
        <f>RANK(G403,$G$2:$G$1001,0)+COUNTIF($G$2:G403,G403)-1</f>
        <v>805</v>
      </c>
      <c r="I403" t="str">
        <f>INDEX('Boundary table'!$B$3:$B$7,MATCH(G403,'Boundary table'!$A$3:$A$7,1))</f>
        <v>F</v>
      </c>
      <c r="J403" s="16">
        <v>43</v>
      </c>
      <c r="K403">
        <f>RANK(J403,$J$2:$J$1001,0)+COUNTIF($J$2:J403,J403)-1</f>
        <v>957</v>
      </c>
      <c r="L403" t="str">
        <f>INDEX('Boundary table'!$B$3:$B$7,MATCH(J403,'Boundary table'!$A$3:$A$7,1))</f>
        <v>F</v>
      </c>
      <c r="M403" s="16">
        <v>43</v>
      </c>
      <c r="N403">
        <f>RANK(M403,$M$2:$M$1001,0)+COUNTIF($M$2:M403,M403)-1</f>
        <v>946</v>
      </c>
      <c r="O403" t="str">
        <f>INDEX('Boundary table'!$B$3:$B$7,MATCH(M403,'Boundary table'!$A$3:$A$7))</f>
        <v>F</v>
      </c>
      <c r="P403">
        <f>Table1[[#This Row],[Math Score]]+Table1[[#This Row],[Reading Score]]+Table1[[#This Row],[Writing Score]]</f>
        <v>139</v>
      </c>
      <c r="Q403" s="16">
        <f>COUNTIF(Table1[[#This Row],[Math Score]],"&lt;60")+COUNTIF(Table1[[#This Row],[Reading Score]],"&lt;60")+COUNTIF(Table1[[#This Row],[Writing Score]],"&lt;60")</f>
        <v>3</v>
      </c>
      <c r="R403" t="str">
        <f>IF(Table1[[#This Row],[Fail Count]]&gt;=2,"At risk","OK")</f>
        <v>At risk</v>
      </c>
    </row>
    <row r="404" spans="1:18">
      <c r="A404" t="str">
        <f t="shared" si="6"/>
        <v>Stu-403</v>
      </c>
      <c r="B404" t="s">
        <v>11</v>
      </c>
      <c r="C404" t="s">
        <v>28</v>
      </c>
      <c r="D404" t="s">
        <v>20</v>
      </c>
      <c r="E404" t="s">
        <v>30</v>
      </c>
      <c r="F404" t="s">
        <v>15</v>
      </c>
      <c r="G404" s="16">
        <v>49</v>
      </c>
      <c r="H404">
        <f>RANK(G404,$G$2:$G$1001,0)+COUNTIF($G$2:G404,G404)-1</f>
        <v>872</v>
      </c>
      <c r="I404" t="str">
        <f>INDEX('Boundary table'!$B$3:$B$7,MATCH(G404,'Boundary table'!$A$3:$A$7,1))</f>
        <v>F</v>
      </c>
      <c r="J404" s="16">
        <v>65</v>
      </c>
      <c r="K404">
        <f>RANK(J404,$J$2:$J$1001,0)+COUNTIF($J$2:J404,J404)-1</f>
        <v>616</v>
      </c>
      <c r="L404" t="str">
        <f>INDEX('Boundary table'!$B$3:$B$7,MATCH(J404,'Boundary table'!$A$3:$A$7,1))</f>
        <v>D</v>
      </c>
      <c r="M404" s="16">
        <v>55</v>
      </c>
      <c r="N404">
        <f>RANK(M404,$M$2:$M$1001,0)+COUNTIF($M$2:M404,M404)-1</f>
        <v>788</v>
      </c>
      <c r="O404" t="str">
        <f>INDEX('Boundary table'!$B$3:$B$7,MATCH(M404,'Boundary table'!$A$3:$A$7))</f>
        <v>F</v>
      </c>
      <c r="P404">
        <f>Table1[[#This Row],[Math Score]]+Table1[[#This Row],[Reading Score]]+Table1[[#This Row],[Writing Score]]</f>
        <v>169</v>
      </c>
      <c r="Q404" s="16">
        <f>COUNTIF(Table1[[#This Row],[Math Score]],"&lt;60")+COUNTIF(Table1[[#This Row],[Reading Score]],"&lt;60")+COUNTIF(Table1[[#This Row],[Writing Score]],"&lt;60")</f>
        <v>2</v>
      </c>
      <c r="R404" t="str">
        <f>IF(Table1[[#This Row],[Fail Count]]&gt;=2,"At risk","OK")</f>
        <v>At risk</v>
      </c>
    </row>
    <row r="405" spans="1:18">
      <c r="A405" t="str">
        <f t="shared" si="6"/>
        <v>Stu-404</v>
      </c>
      <c r="B405" t="s">
        <v>11</v>
      </c>
      <c r="C405" t="s">
        <v>31</v>
      </c>
      <c r="D405" t="s">
        <v>32</v>
      </c>
      <c r="E405" t="s">
        <v>14</v>
      </c>
      <c r="F405" t="s">
        <v>21</v>
      </c>
      <c r="G405" s="16">
        <v>88</v>
      </c>
      <c r="H405">
        <f>RANK(G405,$G$2:$G$1001,0)+COUNTIF($G$2:G405,G405)-1</f>
        <v>75</v>
      </c>
      <c r="I405" t="str">
        <f>INDEX('Boundary table'!$B$3:$B$7,MATCH(G405,'Boundary table'!$A$3:$A$7,1))</f>
        <v>B</v>
      </c>
      <c r="J405" s="16">
        <v>99</v>
      </c>
      <c r="K405">
        <f>RANK(J405,$J$2:$J$1001,0)+COUNTIF($J$2:J405,J405)-1</f>
        <v>18</v>
      </c>
      <c r="L405" t="str">
        <f>INDEX('Boundary table'!$B$3:$B$7,MATCH(J405,'Boundary table'!$A$3:$A$7,1))</f>
        <v>A</v>
      </c>
      <c r="M405" s="16">
        <v>100</v>
      </c>
      <c r="N405">
        <f>RANK(M405,$M$2:$M$1001,0)+COUNTIF($M$2:M405,M405)-1</f>
        <v>6</v>
      </c>
      <c r="O405" t="str">
        <f>INDEX('Boundary table'!$B$3:$B$7,MATCH(M405,'Boundary table'!$A$3:$A$7))</f>
        <v>A</v>
      </c>
      <c r="P405">
        <f>Table1[[#This Row],[Math Score]]+Table1[[#This Row],[Reading Score]]+Table1[[#This Row],[Writing Score]]</f>
        <v>287</v>
      </c>
      <c r="Q405" s="16">
        <f>COUNTIF(Table1[[#This Row],[Math Score]],"&lt;60")+COUNTIF(Table1[[#This Row],[Reading Score]],"&lt;60")+COUNTIF(Table1[[#This Row],[Writing Score]],"&lt;60")</f>
        <v>0</v>
      </c>
      <c r="R405" t="str">
        <f>IF(Table1[[#This Row],[Fail Count]]&gt;=2,"At risk","OK")</f>
        <v>OK</v>
      </c>
    </row>
    <row r="406" spans="1:18">
      <c r="A406" t="str">
        <f t="shared" si="6"/>
        <v>Stu-405</v>
      </c>
      <c r="B406" t="s">
        <v>11</v>
      </c>
      <c r="C406" t="s">
        <v>19</v>
      </c>
      <c r="D406" t="s">
        <v>32</v>
      </c>
      <c r="E406" t="s">
        <v>14</v>
      </c>
      <c r="F406" t="s">
        <v>15</v>
      </c>
      <c r="G406" s="16">
        <v>54</v>
      </c>
      <c r="H406">
        <f>RANK(G406,$G$2:$G$1001,0)+COUNTIF($G$2:G406,G406)-1</f>
        <v>785</v>
      </c>
      <c r="I406" t="str">
        <f>INDEX('Boundary table'!$B$3:$B$7,MATCH(G406,'Boundary table'!$A$3:$A$7,1))</f>
        <v>F</v>
      </c>
      <c r="J406" s="16">
        <v>59</v>
      </c>
      <c r="K406">
        <f>RANK(J406,$J$2:$J$1001,0)+COUNTIF($J$2:J406,J406)-1</f>
        <v>749</v>
      </c>
      <c r="L406" t="str">
        <f>INDEX('Boundary table'!$B$3:$B$7,MATCH(J406,'Boundary table'!$A$3:$A$7,1))</f>
        <v>F</v>
      </c>
      <c r="M406" s="16">
        <v>62</v>
      </c>
      <c r="N406">
        <f>RANK(M406,$M$2:$M$1001,0)+COUNTIF($M$2:M406,M406)-1</f>
        <v>663</v>
      </c>
      <c r="O406" t="str">
        <f>INDEX('Boundary table'!$B$3:$B$7,MATCH(M406,'Boundary table'!$A$3:$A$7))</f>
        <v>D</v>
      </c>
      <c r="P406">
        <f>Table1[[#This Row],[Math Score]]+Table1[[#This Row],[Reading Score]]+Table1[[#This Row],[Writing Score]]</f>
        <v>175</v>
      </c>
      <c r="Q406" s="16">
        <f>COUNTIF(Table1[[#This Row],[Math Score]],"&lt;60")+COUNTIF(Table1[[#This Row],[Reading Score]],"&lt;60")+COUNTIF(Table1[[#This Row],[Writing Score]],"&lt;60")</f>
        <v>2</v>
      </c>
      <c r="R406" t="str">
        <f>IF(Table1[[#This Row],[Fail Count]]&gt;=2,"At risk","OK")</f>
        <v>At risk</v>
      </c>
    </row>
    <row r="407" spans="1:18">
      <c r="A407" t="str">
        <f t="shared" si="6"/>
        <v>Stu-406</v>
      </c>
      <c r="B407" t="s">
        <v>11</v>
      </c>
      <c r="C407" t="s">
        <v>19</v>
      </c>
      <c r="D407" t="s">
        <v>33</v>
      </c>
      <c r="E407" t="s">
        <v>14</v>
      </c>
      <c r="F407" t="s">
        <v>15</v>
      </c>
      <c r="G407" s="16">
        <v>63</v>
      </c>
      <c r="H407">
        <f>RANK(G407,$G$2:$G$1001,0)+COUNTIF($G$2:G407,G407)-1</f>
        <v>585</v>
      </c>
      <c r="I407" t="str">
        <f>INDEX('Boundary table'!$B$3:$B$7,MATCH(G407,'Boundary table'!$A$3:$A$7,1))</f>
        <v>D</v>
      </c>
      <c r="J407" s="16">
        <v>73</v>
      </c>
      <c r="K407">
        <f>RANK(J407,$J$2:$J$1001,0)+COUNTIF($J$2:J407,J407)-1</f>
        <v>417</v>
      </c>
      <c r="L407" t="str">
        <f>INDEX('Boundary table'!$B$3:$B$7,MATCH(J407,'Boundary table'!$A$3:$A$7,1))</f>
        <v>C</v>
      </c>
      <c r="M407" s="16">
        <v>68</v>
      </c>
      <c r="N407">
        <f>RANK(M407,$M$2:$M$1001,0)+COUNTIF($M$2:M407,M407)-1</f>
        <v>525</v>
      </c>
      <c r="O407" t="str">
        <f>INDEX('Boundary table'!$B$3:$B$7,MATCH(M407,'Boundary table'!$A$3:$A$7))</f>
        <v>D</v>
      </c>
      <c r="P407">
        <f>Table1[[#This Row],[Math Score]]+Table1[[#This Row],[Reading Score]]+Table1[[#This Row],[Writing Score]]</f>
        <v>204</v>
      </c>
      <c r="Q407" s="16">
        <f>COUNTIF(Table1[[#This Row],[Math Score]],"&lt;60")+COUNTIF(Table1[[#This Row],[Reading Score]],"&lt;60")+COUNTIF(Table1[[#This Row],[Writing Score]],"&lt;60")</f>
        <v>0</v>
      </c>
      <c r="R407" t="str">
        <f>IF(Table1[[#This Row],[Fail Count]]&gt;=2,"At risk","OK")</f>
        <v>OK</v>
      </c>
    </row>
    <row r="408" spans="1:18">
      <c r="A408" t="str">
        <f t="shared" si="6"/>
        <v>Stu-407</v>
      </c>
      <c r="B408" t="s">
        <v>27</v>
      </c>
      <c r="C408" t="s">
        <v>12</v>
      </c>
      <c r="D408" t="s">
        <v>29</v>
      </c>
      <c r="E408" t="s">
        <v>14</v>
      </c>
      <c r="F408" t="s">
        <v>21</v>
      </c>
      <c r="G408" s="16">
        <v>65</v>
      </c>
      <c r="H408">
        <f>RANK(G408,$G$2:$G$1001,0)+COUNTIF($G$2:G408,G408)-1</f>
        <v>534</v>
      </c>
      <c r="I408" t="str">
        <f>INDEX('Boundary table'!$B$3:$B$7,MATCH(G408,'Boundary table'!$A$3:$A$7,1))</f>
        <v>D</v>
      </c>
      <c r="J408" s="16">
        <v>65</v>
      </c>
      <c r="K408">
        <f>RANK(J408,$J$2:$J$1001,0)+COUNTIF($J$2:J408,J408)-1</f>
        <v>617</v>
      </c>
      <c r="L408" t="str">
        <f>INDEX('Boundary table'!$B$3:$B$7,MATCH(J408,'Boundary table'!$A$3:$A$7,1))</f>
        <v>D</v>
      </c>
      <c r="M408" s="16">
        <v>63</v>
      </c>
      <c r="N408">
        <f>RANK(M408,$M$2:$M$1001,0)+COUNTIF($M$2:M408,M408)-1</f>
        <v>643</v>
      </c>
      <c r="O408" t="str">
        <f>INDEX('Boundary table'!$B$3:$B$7,MATCH(M408,'Boundary table'!$A$3:$A$7))</f>
        <v>D</v>
      </c>
      <c r="P408">
        <f>Table1[[#This Row],[Math Score]]+Table1[[#This Row],[Reading Score]]+Table1[[#This Row],[Writing Score]]</f>
        <v>193</v>
      </c>
      <c r="Q408" s="16">
        <f>COUNTIF(Table1[[#This Row],[Math Score]],"&lt;60")+COUNTIF(Table1[[#This Row],[Reading Score]],"&lt;60")+COUNTIF(Table1[[#This Row],[Writing Score]],"&lt;60")</f>
        <v>0</v>
      </c>
      <c r="R408" t="str">
        <f>IF(Table1[[#This Row],[Fail Count]]&gt;=2,"At risk","OK")</f>
        <v>OK</v>
      </c>
    </row>
    <row r="409" spans="1:18">
      <c r="A409" t="str">
        <f t="shared" si="6"/>
        <v>Stu-408</v>
      </c>
      <c r="B409" t="s">
        <v>11</v>
      </c>
      <c r="C409" t="s">
        <v>12</v>
      </c>
      <c r="D409" t="s">
        <v>29</v>
      </c>
      <c r="E409" t="s">
        <v>14</v>
      </c>
      <c r="F409" t="s">
        <v>15</v>
      </c>
      <c r="G409" s="16">
        <v>82</v>
      </c>
      <c r="H409">
        <f>RANK(G409,$G$2:$G$1001,0)+COUNTIF($G$2:G409,G409)-1</f>
        <v>145</v>
      </c>
      <c r="I409" t="str">
        <f>INDEX('Boundary table'!$B$3:$B$7,MATCH(G409,'Boundary table'!$A$3:$A$7,1))</f>
        <v>B</v>
      </c>
      <c r="J409" s="16">
        <v>80</v>
      </c>
      <c r="K409">
        <f>RANK(J409,$J$2:$J$1001,0)+COUNTIF($J$2:J409,J409)-1</f>
        <v>244</v>
      </c>
      <c r="L409" t="str">
        <f>INDEX('Boundary table'!$B$3:$B$7,MATCH(J409,'Boundary table'!$A$3:$A$7,1))</f>
        <v>B</v>
      </c>
      <c r="M409" s="16">
        <v>77</v>
      </c>
      <c r="N409">
        <f>RANK(M409,$M$2:$M$1001,0)+COUNTIF($M$2:M409,M409)-1</f>
        <v>291</v>
      </c>
      <c r="O409" t="str">
        <f>INDEX('Boundary table'!$B$3:$B$7,MATCH(M409,'Boundary table'!$A$3:$A$7))</f>
        <v>C</v>
      </c>
      <c r="P409">
        <f>Table1[[#This Row],[Math Score]]+Table1[[#This Row],[Reading Score]]+Table1[[#This Row],[Writing Score]]</f>
        <v>239</v>
      </c>
      <c r="Q409" s="16">
        <f>COUNTIF(Table1[[#This Row],[Math Score]],"&lt;60")+COUNTIF(Table1[[#This Row],[Reading Score]],"&lt;60")+COUNTIF(Table1[[#This Row],[Writing Score]],"&lt;60")</f>
        <v>0</v>
      </c>
      <c r="R409" t="str">
        <f>IF(Table1[[#This Row],[Fail Count]]&gt;=2,"At risk","OK")</f>
        <v>OK</v>
      </c>
    </row>
    <row r="410" spans="1:18">
      <c r="A410" t="str">
        <f t="shared" si="6"/>
        <v>Stu-409</v>
      </c>
      <c r="B410" t="s">
        <v>11</v>
      </c>
      <c r="C410" t="s">
        <v>31</v>
      </c>
      <c r="D410" t="s">
        <v>32</v>
      </c>
      <c r="E410" t="s">
        <v>30</v>
      </c>
      <c r="F410" t="s">
        <v>21</v>
      </c>
      <c r="G410" s="16">
        <v>52</v>
      </c>
      <c r="H410">
        <f>RANK(G410,$G$2:$G$1001,0)+COUNTIF($G$2:G410,G410)-1</f>
        <v>829</v>
      </c>
      <c r="I410" t="str">
        <f>INDEX('Boundary table'!$B$3:$B$7,MATCH(G410,'Boundary table'!$A$3:$A$7,1))</f>
        <v>F</v>
      </c>
      <c r="J410" s="16">
        <v>57</v>
      </c>
      <c r="K410">
        <f>RANK(J410,$J$2:$J$1001,0)+COUNTIF($J$2:J410,J410)-1</f>
        <v>797</v>
      </c>
      <c r="L410" t="str">
        <f>INDEX('Boundary table'!$B$3:$B$7,MATCH(J410,'Boundary table'!$A$3:$A$7,1))</f>
        <v>F</v>
      </c>
      <c r="M410" s="16">
        <v>56</v>
      </c>
      <c r="N410">
        <f>RANK(M410,$M$2:$M$1001,0)+COUNTIF($M$2:M410,M410)-1</f>
        <v>777</v>
      </c>
      <c r="O410" t="str">
        <f>INDEX('Boundary table'!$B$3:$B$7,MATCH(M410,'Boundary table'!$A$3:$A$7))</f>
        <v>F</v>
      </c>
      <c r="P410">
        <f>Table1[[#This Row],[Math Score]]+Table1[[#This Row],[Reading Score]]+Table1[[#This Row],[Writing Score]]</f>
        <v>165</v>
      </c>
      <c r="Q410" s="16">
        <f>COUNTIF(Table1[[#This Row],[Math Score]],"&lt;60")+COUNTIF(Table1[[#This Row],[Reading Score]],"&lt;60")+COUNTIF(Table1[[#This Row],[Writing Score]],"&lt;60")</f>
        <v>3</v>
      </c>
      <c r="R410" t="str">
        <f>IF(Table1[[#This Row],[Fail Count]]&gt;=2,"At risk","OK")</f>
        <v>At risk</v>
      </c>
    </row>
    <row r="411" spans="1:18">
      <c r="A411" t="str">
        <f t="shared" si="6"/>
        <v>Stu-410</v>
      </c>
      <c r="B411" t="s">
        <v>27</v>
      </c>
      <c r="C411" t="s">
        <v>31</v>
      </c>
      <c r="D411" t="s">
        <v>29</v>
      </c>
      <c r="E411" t="s">
        <v>14</v>
      </c>
      <c r="F411" t="s">
        <v>21</v>
      </c>
      <c r="G411" s="16">
        <v>87</v>
      </c>
      <c r="H411">
        <f>RANK(G411,$G$2:$G$1001,0)+COUNTIF($G$2:G411,G411)-1</f>
        <v>87</v>
      </c>
      <c r="I411" t="str">
        <f>INDEX('Boundary table'!$B$3:$B$7,MATCH(G411,'Boundary table'!$A$3:$A$7,1))</f>
        <v>B</v>
      </c>
      <c r="J411" s="16">
        <v>84</v>
      </c>
      <c r="K411">
        <f>RANK(J411,$J$2:$J$1001,0)+COUNTIF($J$2:J411,J411)-1</f>
        <v>160</v>
      </c>
      <c r="L411" t="str">
        <f>INDEX('Boundary table'!$B$3:$B$7,MATCH(J411,'Boundary table'!$A$3:$A$7,1))</f>
        <v>B</v>
      </c>
      <c r="M411" s="16">
        <v>85</v>
      </c>
      <c r="N411">
        <f>RANK(M411,$M$2:$M$1001,0)+COUNTIF($M$2:M411,M411)-1</f>
        <v>125</v>
      </c>
      <c r="O411" t="str">
        <f>INDEX('Boundary table'!$B$3:$B$7,MATCH(M411,'Boundary table'!$A$3:$A$7))</f>
        <v>B</v>
      </c>
      <c r="P411">
        <f>Table1[[#This Row],[Math Score]]+Table1[[#This Row],[Reading Score]]+Table1[[#This Row],[Writing Score]]</f>
        <v>256</v>
      </c>
      <c r="Q411" s="16">
        <f>COUNTIF(Table1[[#This Row],[Math Score]],"&lt;60")+COUNTIF(Table1[[#This Row],[Reading Score]],"&lt;60")+COUNTIF(Table1[[#This Row],[Writing Score]],"&lt;60")</f>
        <v>0</v>
      </c>
      <c r="R411" t="str">
        <f>IF(Table1[[#This Row],[Fail Count]]&gt;=2,"At risk","OK")</f>
        <v>OK</v>
      </c>
    </row>
    <row r="412" spans="1:18">
      <c r="A412" t="str">
        <f t="shared" si="6"/>
        <v>Stu-411</v>
      </c>
      <c r="B412" t="s">
        <v>11</v>
      </c>
      <c r="C412" t="s">
        <v>31</v>
      </c>
      <c r="D412" t="s">
        <v>26</v>
      </c>
      <c r="E412" t="s">
        <v>14</v>
      </c>
      <c r="F412" t="s">
        <v>21</v>
      </c>
      <c r="G412" s="16">
        <v>70</v>
      </c>
      <c r="H412">
        <f>RANK(G412,$G$2:$G$1001,0)+COUNTIF($G$2:G412,G412)-1</f>
        <v>398</v>
      </c>
      <c r="I412" t="str">
        <f>INDEX('Boundary table'!$B$3:$B$7,MATCH(G412,'Boundary table'!$A$3:$A$7,1))</f>
        <v>C</v>
      </c>
      <c r="J412" s="16">
        <v>71</v>
      </c>
      <c r="K412">
        <f>RANK(J412,$J$2:$J$1001,0)+COUNTIF($J$2:J412,J412)-1</f>
        <v>475</v>
      </c>
      <c r="L412" t="str">
        <f>INDEX('Boundary table'!$B$3:$B$7,MATCH(J412,'Boundary table'!$A$3:$A$7,1))</f>
        <v>C</v>
      </c>
      <c r="M412" s="16">
        <v>74</v>
      </c>
      <c r="N412">
        <f>RANK(M412,$M$2:$M$1001,0)+COUNTIF($M$2:M412,M412)-1</f>
        <v>366</v>
      </c>
      <c r="O412" t="str">
        <f>INDEX('Boundary table'!$B$3:$B$7,MATCH(M412,'Boundary table'!$A$3:$A$7))</f>
        <v>C</v>
      </c>
      <c r="P412">
        <f>Table1[[#This Row],[Math Score]]+Table1[[#This Row],[Reading Score]]+Table1[[#This Row],[Writing Score]]</f>
        <v>215</v>
      </c>
      <c r="Q412" s="16">
        <f>COUNTIF(Table1[[#This Row],[Math Score]],"&lt;60")+COUNTIF(Table1[[#This Row],[Reading Score]],"&lt;60")+COUNTIF(Table1[[#This Row],[Writing Score]],"&lt;60")</f>
        <v>0</v>
      </c>
      <c r="R412" t="str">
        <f>IF(Table1[[#This Row],[Fail Count]]&gt;=2,"At risk","OK")</f>
        <v>OK</v>
      </c>
    </row>
    <row r="413" spans="1:18">
      <c r="A413" t="str">
        <f t="shared" si="6"/>
        <v>Stu-412</v>
      </c>
      <c r="B413" t="s">
        <v>27</v>
      </c>
      <c r="C413" t="s">
        <v>34</v>
      </c>
      <c r="D413" t="s">
        <v>20</v>
      </c>
      <c r="E413" t="s">
        <v>14</v>
      </c>
      <c r="F413" t="s">
        <v>21</v>
      </c>
      <c r="G413" s="16">
        <v>84</v>
      </c>
      <c r="H413">
        <f>RANK(G413,$G$2:$G$1001,0)+COUNTIF($G$2:G413,G413)-1</f>
        <v>122</v>
      </c>
      <c r="I413" t="str">
        <f>INDEX('Boundary table'!$B$3:$B$7,MATCH(G413,'Boundary table'!$A$3:$A$7,1))</f>
        <v>B</v>
      </c>
      <c r="J413" s="16">
        <v>83</v>
      </c>
      <c r="K413">
        <f>RANK(J413,$J$2:$J$1001,0)+COUNTIF($J$2:J413,J413)-1</f>
        <v>185</v>
      </c>
      <c r="L413" t="str">
        <f>INDEX('Boundary table'!$B$3:$B$7,MATCH(J413,'Boundary table'!$A$3:$A$7,1))</f>
        <v>B</v>
      </c>
      <c r="M413" s="16">
        <v>78</v>
      </c>
      <c r="N413">
        <f>RANK(M413,$M$2:$M$1001,0)+COUNTIF($M$2:M413,M413)-1</f>
        <v>269</v>
      </c>
      <c r="O413" t="str">
        <f>INDEX('Boundary table'!$B$3:$B$7,MATCH(M413,'Boundary table'!$A$3:$A$7))</f>
        <v>C</v>
      </c>
      <c r="P413">
        <f>Table1[[#This Row],[Math Score]]+Table1[[#This Row],[Reading Score]]+Table1[[#This Row],[Writing Score]]</f>
        <v>245</v>
      </c>
      <c r="Q413" s="16">
        <f>COUNTIF(Table1[[#This Row],[Math Score]],"&lt;60")+COUNTIF(Table1[[#This Row],[Reading Score]],"&lt;60")+COUNTIF(Table1[[#This Row],[Writing Score]],"&lt;60")</f>
        <v>0</v>
      </c>
      <c r="R413" t="str">
        <f>IF(Table1[[#This Row],[Fail Count]]&gt;=2,"At risk","OK")</f>
        <v>OK</v>
      </c>
    </row>
    <row r="414" spans="1:18">
      <c r="A414" t="str">
        <f t="shared" si="6"/>
        <v>Stu-413</v>
      </c>
      <c r="B414" t="s">
        <v>27</v>
      </c>
      <c r="C414" t="s">
        <v>31</v>
      </c>
      <c r="D414" t="s">
        <v>29</v>
      </c>
      <c r="E414" t="s">
        <v>14</v>
      </c>
      <c r="F414" t="s">
        <v>15</v>
      </c>
      <c r="G414" s="16">
        <v>71</v>
      </c>
      <c r="H414">
        <f>RANK(G414,$G$2:$G$1001,0)+COUNTIF($G$2:G414,G414)-1</f>
        <v>379</v>
      </c>
      <c r="I414" t="str">
        <f>INDEX('Boundary table'!$B$3:$B$7,MATCH(G414,'Boundary table'!$A$3:$A$7,1))</f>
        <v>C</v>
      </c>
      <c r="J414" s="16">
        <v>66</v>
      </c>
      <c r="K414">
        <f>RANK(J414,$J$2:$J$1001,0)+COUNTIF($J$2:J414,J414)-1</f>
        <v>590</v>
      </c>
      <c r="L414" t="str">
        <f>INDEX('Boundary table'!$B$3:$B$7,MATCH(J414,'Boundary table'!$A$3:$A$7,1))</f>
        <v>D</v>
      </c>
      <c r="M414" s="16">
        <v>60</v>
      </c>
      <c r="N414">
        <f>RANK(M414,$M$2:$M$1001,0)+COUNTIF($M$2:M414,M414)-1</f>
        <v>705</v>
      </c>
      <c r="O414" t="str">
        <f>INDEX('Boundary table'!$B$3:$B$7,MATCH(M414,'Boundary table'!$A$3:$A$7))</f>
        <v>D</v>
      </c>
      <c r="P414">
        <f>Table1[[#This Row],[Math Score]]+Table1[[#This Row],[Reading Score]]+Table1[[#This Row],[Writing Score]]</f>
        <v>197</v>
      </c>
      <c r="Q414" s="16">
        <f>COUNTIF(Table1[[#This Row],[Math Score]],"&lt;60")+COUNTIF(Table1[[#This Row],[Reading Score]],"&lt;60")+COUNTIF(Table1[[#This Row],[Writing Score]],"&lt;60")</f>
        <v>0</v>
      </c>
      <c r="R414" t="str">
        <f>IF(Table1[[#This Row],[Fail Count]]&gt;=2,"At risk","OK")</f>
        <v>OK</v>
      </c>
    </row>
    <row r="415" spans="1:18">
      <c r="A415" t="str">
        <f t="shared" si="6"/>
        <v>Stu-414</v>
      </c>
      <c r="B415" t="s">
        <v>27</v>
      </c>
      <c r="C415" t="s">
        <v>12</v>
      </c>
      <c r="D415" t="s">
        <v>33</v>
      </c>
      <c r="E415" t="s">
        <v>14</v>
      </c>
      <c r="F415" t="s">
        <v>21</v>
      </c>
      <c r="G415" s="16">
        <v>63</v>
      </c>
      <c r="H415">
        <f>RANK(G415,$G$2:$G$1001,0)+COUNTIF($G$2:G415,G415)-1</f>
        <v>586</v>
      </c>
      <c r="I415" t="str">
        <f>INDEX('Boundary table'!$B$3:$B$7,MATCH(G415,'Boundary table'!$A$3:$A$7,1))</f>
        <v>D</v>
      </c>
      <c r="J415" s="16">
        <v>67</v>
      </c>
      <c r="K415">
        <f>RANK(J415,$J$2:$J$1001,0)+COUNTIF($J$2:J415,J415)-1</f>
        <v>566</v>
      </c>
      <c r="L415" t="str">
        <f>INDEX('Boundary table'!$B$3:$B$7,MATCH(J415,'Boundary table'!$A$3:$A$7,1))</f>
        <v>D</v>
      </c>
      <c r="M415" s="16">
        <v>67</v>
      </c>
      <c r="N415">
        <f>RANK(M415,$M$2:$M$1001,0)+COUNTIF($M$2:M415,M415)-1</f>
        <v>556</v>
      </c>
      <c r="O415" t="str">
        <f>INDEX('Boundary table'!$B$3:$B$7,MATCH(M415,'Boundary table'!$A$3:$A$7))</f>
        <v>D</v>
      </c>
      <c r="P415">
        <f>Table1[[#This Row],[Math Score]]+Table1[[#This Row],[Reading Score]]+Table1[[#This Row],[Writing Score]]</f>
        <v>197</v>
      </c>
      <c r="Q415" s="16">
        <f>COUNTIF(Table1[[#This Row],[Math Score]],"&lt;60")+COUNTIF(Table1[[#This Row],[Reading Score]],"&lt;60")+COUNTIF(Table1[[#This Row],[Writing Score]],"&lt;60")</f>
        <v>0</v>
      </c>
      <c r="R415" t="str">
        <f>IF(Table1[[#This Row],[Fail Count]]&gt;=2,"At risk","OK")</f>
        <v>OK</v>
      </c>
    </row>
    <row r="416" spans="1:18">
      <c r="A416" t="str">
        <f t="shared" si="6"/>
        <v>Stu-415</v>
      </c>
      <c r="B416" t="s">
        <v>11</v>
      </c>
      <c r="C416" t="s">
        <v>19</v>
      </c>
      <c r="D416" t="s">
        <v>13</v>
      </c>
      <c r="E416" t="s">
        <v>30</v>
      </c>
      <c r="F416" t="s">
        <v>21</v>
      </c>
      <c r="G416" s="16">
        <v>51</v>
      </c>
      <c r="H416">
        <f>RANK(G416,$G$2:$G$1001,0)+COUNTIF($G$2:G416,G416)-1</f>
        <v>845</v>
      </c>
      <c r="I416" t="str">
        <f>INDEX('Boundary table'!$B$3:$B$7,MATCH(G416,'Boundary table'!$A$3:$A$7,1))</f>
        <v>F</v>
      </c>
      <c r="J416" s="16">
        <v>72</v>
      </c>
      <c r="K416">
        <f>RANK(J416,$J$2:$J$1001,0)+COUNTIF($J$2:J416,J416)-1</f>
        <v>447</v>
      </c>
      <c r="L416" t="str">
        <f>INDEX('Boundary table'!$B$3:$B$7,MATCH(J416,'Boundary table'!$A$3:$A$7,1))</f>
        <v>C</v>
      </c>
      <c r="M416" s="16">
        <v>79</v>
      </c>
      <c r="N416">
        <f>RANK(M416,$M$2:$M$1001,0)+COUNTIF($M$2:M416,M416)-1</f>
        <v>241</v>
      </c>
      <c r="O416" t="str">
        <f>INDEX('Boundary table'!$B$3:$B$7,MATCH(M416,'Boundary table'!$A$3:$A$7))</f>
        <v>C</v>
      </c>
      <c r="P416">
        <f>Table1[[#This Row],[Math Score]]+Table1[[#This Row],[Reading Score]]+Table1[[#This Row],[Writing Score]]</f>
        <v>202</v>
      </c>
      <c r="Q416" s="16">
        <f>COUNTIF(Table1[[#This Row],[Math Score]],"&lt;60")+COUNTIF(Table1[[#This Row],[Reading Score]],"&lt;60")+COUNTIF(Table1[[#This Row],[Writing Score]],"&lt;60")</f>
        <v>1</v>
      </c>
      <c r="R416" t="str">
        <f>IF(Table1[[#This Row],[Fail Count]]&gt;=2,"At risk","OK")</f>
        <v>OK</v>
      </c>
    </row>
    <row r="417" spans="1:18">
      <c r="A417" t="str">
        <f t="shared" si="6"/>
        <v>Stu-416</v>
      </c>
      <c r="B417" t="s">
        <v>27</v>
      </c>
      <c r="C417" t="s">
        <v>34</v>
      </c>
      <c r="D417" t="s">
        <v>32</v>
      </c>
      <c r="E417" t="s">
        <v>14</v>
      </c>
      <c r="F417" t="s">
        <v>15</v>
      </c>
      <c r="G417" s="16">
        <v>84</v>
      </c>
      <c r="H417">
        <f>RANK(G417,$G$2:$G$1001,0)+COUNTIF($G$2:G417,G417)-1</f>
        <v>123</v>
      </c>
      <c r="I417" t="str">
        <f>INDEX('Boundary table'!$B$3:$B$7,MATCH(G417,'Boundary table'!$A$3:$A$7,1))</f>
        <v>B</v>
      </c>
      <c r="J417" s="16">
        <v>73</v>
      </c>
      <c r="K417">
        <f>RANK(J417,$J$2:$J$1001,0)+COUNTIF($J$2:J417,J417)-1</f>
        <v>418</v>
      </c>
      <c r="L417" t="str">
        <f>INDEX('Boundary table'!$B$3:$B$7,MATCH(J417,'Boundary table'!$A$3:$A$7,1))</f>
        <v>C</v>
      </c>
      <c r="M417" s="16">
        <v>69</v>
      </c>
      <c r="N417">
        <f>RANK(M417,$M$2:$M$1001,0)+COUNTIF($M$2:M417,M417)-1</f>
        <v>501</v>
      </c>
      <c r="O417" t="str">
        <f>INDEX('Boundary table'!$B$3:$B$7,MATCH(M417,'Boundary table'!$A$3:$A$7))</f>
        <v>D</v>
      </c>
      <c r="P417">
        <f>Table1[[#This Row],[Math Score]]+Table1[[#This Row],[Reading Score]]+Table1[[#This Row],[Writing Score]]</f>
        <v>226</v>
      </c>
      <c r="Q417" s="16">
        <f>COUNTIF(Table1[[#This Row],[Math Score]],"&lt;60")+COUNTIF(Table1[[#This Row],[Reading Score]],"&lt;60")+COUNTIF(Table1[[#This Row],[Writing Score]],"&lt;60")</f>
        <v>0</v>
      </c>
      <c r="R417" t="str">
        <f>IF(Table1[[#This Row],[Fail Count]]&gt;=2,"At risk","OK")</f>
        <v>OK</v>
      </c>
    </row>
    <row r="418" spans="1:18">
      <c r="A418" t="str">
        <f t="shared" si="6"/>
        <v>Stu-417</v>
      </c>
      <c r="B418" t="s">
        <v>27</v>
      </c>
      <c r="C418" t="s">
        <v>19</v>
      </c>
      <c r="D418" t="s">
        <v>13</v>
      </c>
      <c r="E418" t="s">
        <v>14</v>
      </c>
      <c r="F418" t="s">
        <v>21</v>
      </c>
      <c r="G418" s="16">
        <v>71</v>
      </c>
      <c r="H418">
        <f>RANK(G418,$G$2:$G$1001,0)+COUNTIF($G$2:G418,G418)-1</f>
        <v>380</v>
      </c>
      <c r="I418" t="str">
        <f>INDEX('Boundary table'!$B$3:$B$7,MATCH(G418,'Boundary table'!$A$3:$A$7,1))</f>
        <v>C</v>
      </c>
      <c r="J418" s="16">
        <v>74</v>
      </c>
      <c r="K418">
        <f>RANK(J418,$J$2:$J$1001,0)+COUNTIF($J$2:J418,J418)-1</f>
        <v>385</v>
      </c>
      <c r="L418" t="str">
        <f>INDEX('Boundary table'!$B$3:$B$7,MATCH(J418,'Boundary table'!$A$3:$A$7,1))</f>
        <v>C</v>
      </c>
      <c r="M418" s="16">
        <v>68</v>
      </c>
      <c r="N418">
        <f>RANK(M418,$M$2:$M$1001,0)+COUNTIF($M$2:M418,M418)-1</f>
        <v>526</v>
      </c>
      <c r="O418" t="str">
        <f>INDEX('Boundary table'!$B$3:$B$7,MATCH(M418,'Boundary table'!$A$3:$A$7))</f>
        <v>D</v>
      </c>
      <c r="P418">
        <f>Table1[[#This Row],[Math Score]]+Table1[[#This Row],[Reading Score]]+Table1[[#This Row],[Writing Score]]</f>
        <v>213</v>
      </c>
      <c r="Q418" s="16">
        <f>COUNTIF(Table1[[#This Row],[Math Score]],"&lt;60")+COUNTIF(Table1[[#This Row],[Reading Score]],"&lt;60")+COUNTIF(Table1[[#This Row],[Writing Score]],"&lt;60")</f>
        <v>0</v>
      </c>
      <c r="R418" t="str">
        <f>IF(Table1[[#This Row],[Fail Count]]&gt;=2,"At risk","OK")</f>
        <v>OK</v>
      </c>
    </row>
    <row r="419" spans="1:18">
      <c r="A419" t="str">
        <f t="shared" si="6"/>
        <v>Stu-418</v>
      </c>
      <c r="B419" t="s">
        <v>27</v>
      </c>
      <c r="C419" t="s">
        <v>19</v>
      </c>
      <c r="D419" t="s">
        <v>29</v>
      </c>
      <c r="E419" t="s">
        <v>14</v>
      </c>
      <c r="F419" t="s">
        <v>15</v>
      </c>
      <c r="G419" s="16">
        <v>74</v>
      </c>
      <c r="H419">
        <f>RANK(G419,$G$2:$G$1001,0)+COUNTIF($G$2:G419,G419)-1</f>
        <v>304</v>
      </c>
      <c r="I419" t="str">
        <f>INDEX('Boundary table'!$B$3:$B$7,MATCH(G419,'Boundary table'!$A$3:$A$7,1))</f>
        <v>C</v>
      </c>
      <c r="J419" s="16">
        <v>73</v>
      </c>
      <c r="K419">
        <f>RANK(J419,$J$2:$J$1001,0)+COUNTIF($J$2:J419,J419)-1</f>
        <v>419</v>
      </c>
      <c r="L419" t="str">
        <f>INDEX('Boundary table'!$B$3:$B$7,MATCH(J419,'Boundary table'!$A$3:$A$7,1))</f>
        <v>C</v>
      </c>
      <c r="M419" s="16">
        <v>67</v>
      </c>
      <c r="N419">
        <f>RANK(M419,$M$2:$M$1001,0)+COUNTIF($M$2:M419,M419)-1</f>
        <v>557</v>
      </c>
      <c r="O419" t="str">
        <f>INDEX('Boundary table'!$B$3:$B$7,MATCH(M419,'Boundary table'!$A$3:$A$7))</f>
        <v>D</v>
      </c>
      <c r="P419">
        <f>Table1[[#This Row],[Math Score]]+Table1[[#This Row],[Reading Score]]+Table1[[#This Row],[Writing Score]]</f>
        <v>214</v>
      </c>
      <c r="Q419" s="16">
        <f>COUNTIF(Table1[[#This Row],[Math Score]],"&lt;60")+COUNTIF(Table1[[#This Row],[Reading Score]],"&lt;60")+COUNTIF(Table1[[#This Row],[Writing Score]],"&lt;60")</f>
        <v>0</v>
      </c>
      <c r="R419" t="str">
        <f>IF(Table1[[#This Row],[Fail Count]]&gt;=2,"At risk","OK")</f>
        <v>OK</v>
      </c>
    </row>
    <row r="420" spans="1:18">
      <c r="A420" t="str">
        <f t="shared" si="6"/>
        <v>Stu-419</v>
      </c>
      <c r="B420" t="s">
        <v>27</v>
      </c>
      <c r="C420" t="s">
        <v>31</v>
      </c>
      <c r="D420" t="s">
        <v>20</v>
      </c>
      <c r="E420" t="s">
        <v>14</v>
      </c>
      <c r="F420" t="s">
        <v>15</v>
      </c>
      <c r="G420" s="16">
        <v>68</v>
      </c>
      <c r="H420">
        <f>RANK(G420,$G$2:$G$1001,0)+COUNTIF($G$2:G420,G420)-1</f>
        <v>448</v>
      </c>
      <c r="I420" t="str">
        <f>INDEX('Boundary table'!$B$3:$B$7,MATCH(G420,'Boundary table'!$A$3:$A$7,1))</f>
        <v>D</v>
      </c>
      <c r="J420" s="16">
        <v>59</v>
      </c>
      <c r="K420">
        <f>RANK(J420,$J$2:$J$1001,0)+COUNTIF($J$2:J420,J420)-1</f>
        <v>750</v>
      </c>
      <c r="L420" t="str">
        <f>INDEX('Boundary table'!$B$3:$B$7,MATCH(J420,'Boundary table'!$A$3:$A$7,1))</f>
        <v>F</v>
      </c>
      <c r="M420" s="16">
        <v>62</v>
      </c>
      <c r="N420">
        <f>RANK(M420,$M$2:$M$1001,0)+COUNTIF($M$2:M420,M420)-1</f>
        <v>664</v>
      </c>
      <c r="O420" t="str">
        <f>INDEX('Boundary table'!$B$3:$B$7,MATCH(M420,'Boundary table'!$A$3:$A$7))</f>
        <v>D</v>
      </c>
      <c r="P420">
        <f>Table1[[#This Row],[Math Score]]+Table1[[#This Row],[Reading Score]]+Table1[[#This Row],[Writing Score]]</f>
        <v>189</v>
      </c>
      <c r="Q420" s="16">
        <f>COUNTIF(Table1[[#This Row],[Math Score]],"&lt;60")+COUNTIF(Table1[[#This Row],[Reading Score]],"&lt;60")+COUNTIF(Table1[[#This Row],[Writing Score]],"&lt;60")</f>
        <v>1</v>
      </c>
      <c r="R420" t="str">
        <f>IF(Table1[[#This Row],[Fail Count]]&gt;=2,"At risk","OK")</f>
        <v>OK</v>
      </c>
    </row>
    <row r="421" spans="1:18">
      <c r="A421" t="str">
        <f t="shared" si="6"/>
        <v>Stu-420</v>
      </c>
      <c r="B421" t="s">
        <v>27</v>
      </c>
      <c r="C421" t="s">
        <v>34</v>
      </c>
      <c r="D421" t="s">
        <v>32</v>
      </c>
      <c r="E421" t="s">
        <v>30</v>
      </c>
      <c r="F421" t="s">
        <v>21</v>
      </c>
      <c r="G421" s="16">
        <v>57</v>
      </c>
      <c r="H421">
        <f>RANK(G421,$G$2:$G$1001,0)+COUNTIF($G$2:G421,G421)-1</f>
        <v>742</v>
      </c>
      <c r="I421" t="str">
        <f>INDEX('Boundary table'!$B$3:$B$7,MATCH(G421,'Boundary table'!$A$3:$A$7,1))</f>
        <v>F</v>
      </c>
      <c r="J421" s="16">
        <v>56</v>
      </c>
      <c r="K421">
        <f>RANK(J421,$J$2:$J$1001,0)+COUNTIF($J$2:J421,J421)-1</f>
        <v>816</v>
      </c>
      <c r="L421" t="str">
        <f>INDEX('Boundary table'!$B$3:$B$7,MATCH(J421,'Boundary table'!$A$3:$A$7,1))</f>
        <v>F</v>
      </c>
      <c r="M421" s="16">
        <v>54</v>
      </c>
      <c r="N421">
        <f>RANK(M421,$M$2:$M$1001,0)+COUNTIF($M$2:M421,M421)-1</f>
        <v>807</v>
      </c>
      <c r="O421" t="str">
        <f>INDEX('Boundary table'!$B$3:$B$7,MATCH(M421,'Boundary table'!$A$3:$A$7))</f>
        <v>F</v>
      </c>
      <c r="P421">
        <f>Table1[[#This Row],[Math Score]]+Table1[[#This Row],[Reading Score]]+Table1[[#This Row],[Writing Score]]</f>
        <v>167</v>
      </c>
      <c r="Q421" s="16">
        <f>COUNTIF(Table1[[#This Row],[Math Score]],"&lt;60")+COUNTIF(Table1[[#This Row],[Reading Score]],"&lt;60")+COUNTIF(Table1[[#This Row],[Writing Score]],"&lt;60")</f>
        <v>3</v>
      </c>
      <c r="R421" t="str">
        <f>IF(Table1[[#This Row],[Fail Count]]&gt;=2,"At risk","OK")</f>
        <v>At risk</v>
      </c>
    </row>
    <row r="422" spans="1:18">
      <c r="A422" t="str">
        <f t="shared" si="6"/>
        <v>Stu-421</v>
      </c>
      <c r="B422" t="s">
        <v>11</v>
      </c>
      <c r="C422" t="s">
        <v>19</v>
      </c>
      <c r="D422" t="s">
        <v>29</v>
      </c>
      <c r="E422" t="s">
        <v>30</v>
      </c>
      <c r="F422" t="s">
        <v>21</v>
      </c>
      <c r="G422" s="16">
        <v>82</v>
      </c>
      <c r="H422">
        <f>RANK(G422,$G$2:$G$1001,0)+COUNTIF($G$2:G422,G422)-1</f>
        <v>146</v>
      </c>
      <c r="I422" t="str">
        <f>INDEX('Boundary table'!$B$3:$B$7,MATCH(G422,'Boundary table'!$A$3:$A$7,1))</f>
        <v>B</v>
      </c>
      <c r="J422" s="16">
        <v>93</v>
      </c>
      <c r="K422">
        <f>RANK(J422,$J$2:$J$1001,0)+COUNTIF($J$2:J422,J422)-1</f>
        <v>44</v>
      </c>
      <c r="L422" t="str">
        <f>INDEX('Boundary table'!$B$3:$B$7,MATCH(J422,'Boundary table'!$A$3:$A$7,1))</f>
        <v>A</v>
      </c>
      <c r="M422" s="16">
        <v>93</v>
      </c>
      <c r="N422">
        <f>RANK(M422,$M$2:$M$1001,0)+COUNTIF($M$2:M422,M422)-1</f>
        <v>45</v>
      </c>
      <c r="O422" t="str">
        <f>INDEX('Boundary table'!$B$3:$B$7,MATCH(M422,'Boundary table'!$A$3:$A$7))</f>
        <v>A</v>
      </c>
      <c r="P422">
        <f>Table1[[#This Row],[Math Score]]+Table1[[#This Row],[Reading Score]]+Table1[[#This Row],[Writing Score]]</f>
        <v>268</v>
      </c>
      <c r="Q422" s="16">
        <f>COUNTIF(Table1[[#This Row],[Math Score]],"&lt;60")+COUNTIF(Table1[[#This Row],[Reading Score]],"&lt;60")+COUNTIF(Table1[[#This Row],[Writing Score]],"&lt;60")</f>
        <v>0</v>
      </c>
      <c r="R422" t="str">
        <f>IF(Table1[[#This Row],[Fail Count]]&gt;=2,"At risk","OK")</f>
        <v>OK</v>
      </c>
    </row>
    <row r="423" spans="1:18">
      <c r="A423" t="str">
        <f t="shared" si="6"/>
        <v>Stu-422</v>
      </c>
      <c r="B423" t="s">
        <v>11</v>
      </c>
      <c r="C423" t="s">
        <v>31</v>
      </c>
      <c r="D423" t="s">
        <v>32</v>
      </c>
      <c r="E423" t="s">
        <v>14</v>
      </c>
      <c r="F423" t="s">
        <v>21</v>
      </c>
      <c r="G423" s="16">
        <v>57</v>
      </c>
      <c r="H423">
        <f>RANK(G423,$G$2:$G$1001,0)+COUNTIF($G$2:G423,G423)-1</f>
        <v>743</v>
      </c>
      <c r="I423" t="str">
        <f>INDEX('Boundary table'!$B$3:$B$7,MATCH(G423,'Boundary table'!$A$3:$A$7,1))</f>
        <v>F</v>
      </c>
      <c r="J423" s="16">
        <v>58</v>
      </c>
      <c r="K423">
        <f>RANK(J423,$J$2:$J$1001,0)+COUNTIF($J$2:J423,J423)-1</f>
        <v>773</v>
      </c>
      <c r="L423" t="str">
        <f>INDEX('Boundary table'!$B$3:$B$7,MATCH(J423,'Boundary table'!$A$3:$A$7,1))</f>
        <v>F</v>
      </c>
      <c r="M423" s="16">
        <v>64</v>
      </c>
      <c r="N423">
        <f>RANK(M423,$M$2:$M$1001,0)+COUNTIF($M$2:M423,M423)-1</f>
        <v>621</v>
      </c>
      <c r="O423" t="str">
        <f>INDEX('Boundary table'!$B$3:$B$7,MATCH(M423,'Boundary table'!$A$3:$A$7))</f>
        <v>D</v>
      </c>
      <c r="P423">
        <f>Table1[[#This Row],[Math Score]]+Table1[[#This Row],[Reading Score]]+Table1[[#This Row],[Writing Score]]</f>
        <v>179</v>
      </c>
      <c r="Q423" s="16">
        <f>COUNTIF(Table1[[#This Row],[Math Score]],"&lt;60")+COUNTIF(Table1[[#This Row],[Reading Score]],"&lt;60")+COUNTIF(Table1[[#This Row],[Writing Score]],"&lt;60")</f>
        <v>2</v>
      </c>
      <c r="R423" t="str">
        <f>IF(Table1[[#This Row],[Fail Count]]&gt;=2,"At risk","OK")</f>
        <v>At risk</v>
      </c>
    </row>
    <row r="424" spans="1:18">
      <c r="A424" t="str">
        <f t="shared" si="6"/>
        <v>Stu-423</v>
      </c>
      <c r="B424" t="s">
        <v>11</v>
      </c>
      <c r="C424" t="s">
        <v>31</v>
      </c>
      <c r="D424" t="s">
        <v>26</v>
      </c>
      <c r="E424" t="s">
        <v>30</v>
      </c>
      <c r="F424" t="s">
        <v>21</v>
      </c>
      <c r="G424" s="16">
        <v>47</v>
      </c>
      <c r="H424">
        <f>RANK(G424,$G$2:$G$1001,0)+COUNTIF($G$2:G424,G424)-1</f>
        <v>899</v>
      </c>
      <c r="I424" t="str">
        <f>INDEX('Boundary table'!$B$3:$B$7,MATCH(G424,'Boundary table'!$A$3:$A$7,1))</f>
        <v>F</v>
      </c>
      <c r="J424" s="16">
        <v>58</v>
      </c>
      <c r="K424">
        <f>RANK(J424,$J$2:$J$1001,0)+COUNTIF($J$2:J424,J424)-1</f>
        <v>774</v>
      </c>
      <c r="L424" t="str">
        <f>INDEX('Boundary table'!$B$3:$B$7,MATCH(J424,'Boundary table'!$A$3:$A$7,1))</f>
        <v>F</v>
      </c>
      <c r="M424" s="16">
        <v>67</v>
      </c>
      <c r="N424">
        <f>RANK(M424,$M$2:$M$1001,0)+COUNTIF($M$2:M424,M424)-1</f>
        <v>558</v>
      </c>
      <c r="O424" t="str">
        <f>INDEX('Boundary table'!$B$3:$B$7,MATCH(M424,'Boundary table'!$A$3:$A$7))</f>
        <v>D</v>
      </c>
      <c r="P424">
        <f>Table1[[#This Row],[Math Score]]+Table1[[#This Row],[Reading Score]]+Table1[[#This Row],[Writing Score]]</f>
        <v>172</v>
      </c>
      <c r="Q424" s="16">
        <f>COUNTIF(Table1[[#This Row],[Math Score]],"&lt;60")+COUNTIF(Table1[[#This Row],[Reading Score]],"&lt;60")+COUNTIF(Table1[[#This Row],[Writing Score]],"&lt;60")</f>
        <v>2</v>
      </c>
      <c r="R424" t="str">
        <f>IF(Table1[[#This Row],[Fail Count]]&gt;=2,"At risk","OK")</f>
        <v>At risk</v>
      </c>
    </row>
    <row r="425" spans="1:18">
      <c r="A425" t="str">
        <f t="shared" si="6"/>
        <v>Stu-424</v>
      </c>
      <c r="B425" t="s">
        <v>11</v>
      </c>
      <c r="C425" t="s">
        <v>28</v>
      </c>
      <c r="D425" t="s">
        <v>33</v>
      </c>
      <c r="E425" t="s">
        <v>14</v>
      </c>
      <c r="F425" t="s">
        <v>21</v>
      </c>
      <c r="G425" s="16">
        <v>59</v>
      </c>
      <c r="H425">
        <f>RANK(G425,$G$2:$G$1001,0)+COUNTIF($G$2:G425,G425)-1</f>
        <v>694</v>
      </c>
      <c r="I425" t="str">
        <f>INDEX('Boundary table'!$B$3:$B$7,MATCH(G425,'Boundary table'!$A$3:$A$7,1))</f>
        <v>F</v>
      </c>
      <c r="J425" s="16">
        <v>85</v>
      </c>
      <c r="K425">
        <f>RANK(J425,$J$2:$J$1001,0)+COUNTIF($J$2:J425,J425)-1</f>
        <v>137</v>
      </c>
      <c r="L425" t="str">
        <f>INDEX('Boundary table'!$B$3:$B$7,MATCH(J425,'Boundary table'!$A$3:$A$7,1))</f>
        <v>B</v>
      </c>
      <c r="M425" s="16">
        <v>80</v>
      </c>
      <c r="N425">
        <f>RANK(M425,$M$2:$M$1001,0)+COUNTIF($M$2:M425,M425)-1</f>
        <v>216</v>
      </c>
      <c r="O425" t="str">
        <f>INDEX('Boundary table'!$B$3:$B$7,MATCH(M425,'Boundary table'!$A$3:$A$7))</f>
        <v>B</v>
      </c>
      <c r="P425">
        <f>Table1[[#This Row],[Math Score]]+Table1[[#This Row],[Reading Score]]+Table1[[#This Row],[Writing Score]]</f>
        <v>224</v>
      </c>
      <c r="Q425" s="16">
        <f>COUNTIF(Table1[[#This Row],[Math Score]],"&lt;60")+COUNTIF(Table1[[#This Row],[Reading Score]],"&lt;60")+COUNTIF(Table1[[#This Row],[Writing Score]],"&lt;60")</f>
        <v>1</v>
      </c>
      <c r="R425" t="str">
        <f>IF(Table1[[#This Row],[Fail Count]]&gt;=2,"At risk","OK")</f>
        <v>OK</v>
      </c>
    </row>
    <row r="426" spans="1:18">
      <c r="A426" t="str">
        <f t="shared" si="6"/>
        <v>Stu-425</v>
      </c>
      <c r="B426" t="s">
        <v>27</v>
      </c>
      <c r="C426" t="s">
        <v>12</v>
      </c>
      <c r="D426" t="s">
        <v>20</v>
      </c>
      <c r="E426" t="s">
        <v>30</v>
      </c>
      <c r="F426" t="s">
        <v>15</v>
      </c>
      <c r="G426" s="16">
        <v>41</v>
      </c>
      <c r="H426">
        <f>RANK(G426,$G$2:$G$1001,0)+COUNTIF($G$2:G426,G426)-1</f>
        <v>948</v>
      </c>
      <c r="I426" t="str">
        <f>INDEX('Boundary table'!$B$3:$B$7,MATCH(G426,'Boundary table'!$A$3:$A$7,1))</f>
        <v>F</v>
      </c>
      <c r="J426" s="16">
        <v>39</v>
      </c>
      <c r="K426">
        <f>RANK(J426,$J$2:$J$1001,0)+COUNTIF($J$2:J426,J426)-1</f>
        <v>978</v>
      </c>
      <c r="L426" t="str">
        <f>INDEX('Boundary table'!$B$3:$B$7,MATCH(J426,'Boundary table'!$A$3:$A$7,1))</f>
        <v>F</v>
      </c>
      <c r="M426" s="16">
        <v>34</v>
      </c>
      <c r="N426">
        <f>RANK(M426,$M$2:$M$1001,0)+COUNTIF($M$2:M426,M426)-1</f>
        <v>986</v>
      </c>
      <c r="O426" t="str">
        <f>INDEX('Boundary table'!$B$3:$B$7,MATCH(M426,'Boundary table'!$A$3:$A$7))</f>
        <v>F</v>
      </c>
      <c r="P426">
        <f>Table1[[#This Row],[Math Score]]+Table1[[#This Row],[Reading Score]]+Table1[[#This Row],[Writing Score]]</f>
        <v>114</v>
      </c>
      <c r="Q426" s="16">
        <f>COUNTIF(Table1[[#This Row],[Math Score]],"&lt;60")+COUNTIF(Table1[[#This Row],[Reading Score]],"&lt;60")+COUNTIF(Table1[[#This Row],[Writing Score]],"&lt;60")</f>
        <v>3</v>
      </c>
      <c r="R426" t="str">
        <f>IF(Table1[[#This Row],[Fail Count]]&gt;=2,"At risk","OK")</f>
        <v>At risk</v>
      </c>
    </row>
    <row r="427" spans="1:18">
      <c r="A427" t="str">
        <f t="shared" si="6"/>
        <v>Stu-426</v>
      </c>
      <c r="B427" t="s">
        <v>11</v>
      </c>
      <c r="C427" t="s">
        <v>19</v>
      </c>
      <c r="D427" t="s">
        <v>20</v>
      </c>
      <c r="E427" t="s">
        <v>30</v>
      </c>
      <c r="F427" t="s">
        <v>15</v>
      </c>
      <c r="G427" s="16">
        <v>62</v>
      </c>
      <c r="H427">
        <f>RANK(G427,$G$2:$G$1001,0)+COUNTIF($G$2:G427,G427)-1</f>
        <v>613</v>
      </c>
      <c r="I427" t="str">
        <f>INDEX('Boundary table'!$B$3:$B$7,MATCH(G427,'Boundary table'!$A$3:$A$7,1))</f>
        <v>D</v>
      </c>
      <c r="J427" s="16">
        <v>67</v>
      </c>
      <c r="K427">
        <f>RANK(J427,$J$2:$J$1001,0)+COUNTIF($J$2:J427,J427)-1</f>
        <v>567</v>
      </c>
      <c r="L427" t="str">
        <f>INDEX('Boundary table'!$B$3:$B$7,MATCH(J427,'Boundary table'!$A$3:$A$7,1))</f>
        <v>D</v>
      </c>
      <c r="M427" s="16">
        <v>62</v>
      </c>
      <c r="N427">
        <f>RANK(M427,$M$2:$M$1001,0)+COUNTIF($M$2:M427,M427)-1</f>
        <v>665</v>
      </c>
      <c r="O427" t="str">
        <f>INDEX('Boundary table'!$B$3:$B$7,MATCH(M427,'Boundary table'!$A$3:$A$7))</f>
        <v>D</v>
      </c>
      <c r="P427">
        <f>Table1[[#This Row],[Math Score]]+Table1[[#This Row],[Reading Score]]+Table1[[#This Row],[Writing Score]]</f>
        <v>191</v>
      </c>
      <c r="Q427" s="16">
        <f>COUNTIF(Table1[[#This Row],[Math Score]],"&lt;60")+COUNTIF(Table1[[#This Row],[Reading Score]],"&lt;60")+COUNTIF(Table1[[#This Row],[Writing Score]],"&lt;60")</f>
        <v>0</v>
      </c>
      <c r="R427" t="str">
        <f>IF(Table1[[#This Row],[Fail Count]]&gt;=2,"At risk","OK")</f>
        <v>OK</v>
      </c>
    </row>
    <row r="428" spans="1:18">
      <c r="A428" t="str">
        <f t="shared" si="6"/>
        <v>Stu-427</v>
      </c>
      <c r="B428" t="s">
        <v>27</v>
      </c>
      <c r="C428" t="s">
        <v>19</v>
      </c>
      <c r="D428" t="s">
        <v>13</v>
      </c>
      <c r="E428" t="s">
        <v>14</v>
      </c>
      <c r="F428" t="s">
        <v>15</v>
      </c>
      <c r="G428" s="16">
        <v>86</v>
      </c>
      <c r="H428">
        <f>RANK(G428,$G$2:$G$1001,0)+COUNTIF($G$2:G428,G428)-1</f>
        <v>98</v>
      </c>
      <c r="I428" t="str">
        <f>INDEX('Boundary table'!$B$3:$B$7,MATCH(G428,'Boundary table'!$A$3:$A$7,1))</f>
        <v>B</v>
      </c>
      <c r="J428" s="16">
        <v>83</v>
      </c>
      <c r="K428">
        <f>RANK(J428,$J$2:$J$1001,0)+COUNTIF($J$2:J428,J428)-1</f>
        <v>186</v>
      </c>
      <c r="L428" t="str">
        <f>INDEX('Boundary table'!$B$3:$B$7,MATCH(J428,'Boundary table'!$A$3:$A$7,1))</f>
        <v>B</v>
      </c>
      <c r="M428" s="16">
        <v>86</v>
      </c>
      <c r="N428">
        <f>RANK(M428,$M$2:$M$1001,0)+COUNTIF($M$2:M428,M428)-1</f>
        <v>114</v>
      </c>
      <c r="O428" t="str">
        <f>INDEX('Boundary table'!$B$3:$B$7,MATCH(M428,'Boundary table'!$A$3:$A$7))</f>
        <v>B</v>
      </c>
      <c r="P428">
        <f>Table1[[#This Row],[Math Score]]+Table1[[#This Row],[Reading Score]]+Table1[[#This Row],[Writing Score]]</f>
        <v>255</v>
      </c>
      <c r="Q428" s="16">
        <f>COUNTIF(Table1[[#This Row],[Math Score]],"&lt;60")+COUNTIF(Table1[[#This Row],[Reading Score]],"&lt;60")+COUNTIF(Table1[[#This Row],[Writing Score]],"&lt;60")</f>
        <v>0</v>
      </c>
      <c r="R428" t="str">
        <f>IF(Table1[[#This Row],[Fail Count]]&gt;=2,"At risk","OK")</f>
        <v>OK</v>
      </c>
    </row>
    <row r="429" spans="1:18">
      <c r="A429" t="str">
        <f t="shared" si="6"/>
        <v>Stu-428</v>
      </c>
      <c r="B429" t="s">
        <v>27</v>
      </c>
      <c r="C429" t="s">
        <v>19</v>
      </c>
      <c r="D429" t="s">
        <v>33</v>
      </c>
      <c r="E429" t="s">
        <v>30</v>
      </c>
      <c r="F429" t="s">
        <v>15</v>
      </c>
      <c r="G429" s="16">
        <v>69</v>
      </c>
      <c r="H429">
        <f>RANK(G429,$G$2:$G$1001,0)+COUNTIF($G$2:G429,G429)-1</f>
        <v>423</v>
      </c>
      <c r="I429" t="str">
        <f>INDEX('Boundary table'!$B$3:$B$7,MATCH(G429,'Boundary table'!$A$3:$A$7,1))</f>
        <v>D</v>
      </c>
      <c r="J429" s="16">
        <v>71</v>
      </c>
      <c r="K429">
        <f>RANK(J429,$J$2:$J$1001,0)+COUNTIF($J$2:J429,J429)-1</f>
        <v>476</v>
      </c>
      <c r="L429" t="str">
        <f>INDEX('Boundary table'!$B$3:$B$7,MATCH(J429,'Boundary table'!$A$3:$A$7,1))</f>
        <v>C</v>
      </c>
      <c r="M429" s="16">
        <v>65</v>
      </c>
      <c r="N429">
        <f>RANK(M429,$M$2:$M$1001,0)+COUNTIF($M$2:M429,M429)-1</f>
        <v>601</v>
      </c>
      <c r="O429" t="str">
        <f>INDEX('Boundary table'!$B$3:$B$7,MATCH(M429,'Boundary table'!$A$3:$A$7))</f>
        <v>D</v>
      </c>
      <c r="P429">
        <f>Table1[[#This Row],[Math Score]]+Table1[[#This Row],[Reading Score]]+Table1[[#This Row],[Writing Score]]</f>
        <v>205</v>
      </c>
      <c r="Q429" s="16">
        <f>COUNTIF(Table1[[#This Row],[Math Score]],"&lt;60")+COUNTIF(Table1[[#This Row],[Reading Score]],"&lt;60")+COUNTIF(Table1[[#This Row],[Writing Score]],"&lt;60")</f>
        <v>0</v>
      </c>
      <c r="R429" t="str">
        <f>IF(Table1[[#This Row],[Fail Count]]&gt;=2,"At risk","OK")</f>
        <v>OK</v>
      </c>
    </row>
    <row r="430" spans="1:18">
      <c r="A430" t="str">
        <f t="shared" si="6"/>
        <v>Stu-429</v>
      </c>
      <c r="B430" t="s">
        <v>27</v>
      </c>
      <c r="C430" t="s">
        <v>28</v>
      </c>
      <c r="D430" t="s">
        <v>33</v>
      </c>
      <c r="E430" t="s">
        <v>30</v>
      </c>
      <c r="F430" t="s">
        <v>15</v>
      </c>
      <c r="G430" s="16">
        <v>65</v>
      </c>
      <c r="H430">
        <f>RANK(G430,$G$2:$G$1001,0)+COUNTIF($G$2:G430,G430)-1</f>
        <v>535</v>
      </c>
      <c r="I430" t="str">
        <f>INDEX('Boundary table'!$B$3:$B$7,MATCH(G430,'Boundary table'!$A$3:$A$7,1))</f>
        <v>D</v>
      </c>
      <c r="J430" s="16">
        <v>59</v>
      </c>
      <c r="K430">
        <f>RANK(J430,$J$2:$J$1001,0)+COUNTIF($J$2:J430,J430)-1</f>
        <v>751</v>
      </c>
      <c r="L430" t="str">
        <f>INDEX('Boundary table'!$B$3:$B$7,MATCH(J430,'Boundary table'!$A$3:$A$7,1))</f>
        <v>F</v>
      </c>
      <c r="M430" s="16">
        <v>53</v>
      </c>
      <c r="N430">
        <f>RANK(M430,$M$2:$M$1001,0)+COUNTIF($M$2:M430,M430)-1</f>
        <v>828</v>
      </c>
      <c r="O430" t="str">
        <f>INDEX('Boundary table'!$B$3:$B$7,MATCH(M430,'Boundary table'!$A$3:$A$7))</f>
        <v>F</v>
      </c>
      <c r="P430">
        <f>Table1[[#This Row],[Math Score]]+Table1[[#This Row],[Reading Score]]+Table1[[#This Row],[Writing Score]]</f>
        <v>177</v>
      </c>
      <c r="Q430" s="16">
        <f>COUNTIF(Table1[[#This Row],[Math Score]],"&lt;60")+COUNTIF(Table1[[#This Row],[Reading Score]],"&lt;60")+COUNTIF(Table1[[#This Row],[Writing Score]],"&lt;60")</f>
        <v>2</v>
      </c>
      <c r="R430" t="str">
        <f>IF(Table1[[#This Row],[Fail Count]]&gt;=2,"At risk","OK")</f>
        <v>At risk</v>
      </c>
    </row>
    <row r="431" spans="1:18">
      <c r="A431" t="str">
        <f t="shared" si="6"/>
        <v>Stu-430</v>
      </c>
      <c r="B431" t="s">
        <v>27</v>
      </c>
      <c r="C431" t="s">
        <v>19</v>
      </c>
      <c r="D431" t="s">
        <v>33</v>
      </c>
      <c r="E431" t="s">
        <v>30</v>
      </c>
      <c r="F431" t="s">
        <v>15</v>
      </c>
      <c r="G431" s="16">
        <v>68</v>
      </c>
      <c r="H431">
        <f>RANK(G431,$G$2:$G$1001,0)+COUNTIF($G$2:G431,G431)-1</f>
        <v>449</v>
      </c>
      <c r="I431" t="str">
        <f>INDEX('Boundary table'!$B$3:$B$7,MATCH(G431,'Boundary table'!$A$3:$A$7,1))</f>
        <v>D</v>
      </c>
      <c r="J431" s="16">
        <v>63</v>
      </c>
      <c r="K431">
        <f>RANK(J431,$J$2:$J$1001,0)+COUNTIF($J$2:J431,J431)-1</f>
        <v>666</v>
      </c>
      <c r="L431" t="str">
        <f>INDEX('Boundary table'!$B$3:$B$7,MATCH(J431,'Boundary table'!$A$3:$A$7,1))</f>
        <v>D</v>
      </c>
      <c r="M431" s="16">
        <v>54</v>
      </c>
      <c r="N431">
        <f>RANK(M431,$M$2:$M$1001,0)+COUNTIF($M$2:M431,M431)-1</f>
        <v>808</v>
      </c>
      <c r="O431" t="str">
        <f>INDEX('Boundary table'!$B$3:$B$7,MATCH(M431,'Boundary table'!$A$3:$A$7))</f>
        <v>F</v>
      </c>
      <c r="P431">
        <f>Table1[[#This Row],[Math Score]]+Table1[[#This Row],[Reading Score]]+Table1[[#This Row],[Writing Score]]</f>
        <v>185</v>
      </c>
      <c r="Q431" s="16">
        <f>COUNTIF(Table1[[#This Row],[Math Score]],"&lt;60")+COUNTIF(Table1[[#This Row],[Reading Score]],"&lt;60")+COUNTIF(Table1[[#This Row],[Writing Score]],"&lt;60")</f>
        <v>1</v>
      </c>
      <c r="R431" t="str">
        <f>IF(Table1[[#This Row],[Fail Count]]&gt;=2,"At risk","OK")</f>
        <v>OK</v>
      </c>
    </row>
    <row r="432" spans="1:18">
      <c r="A432" t="str">
        <f t="shared" si="6"/>
        <v>Stu-431</v>
      </c>
      <c r="B432" t="s">
        <v>27</v>
      </c>
      <c r="C432" t="s">
        <v>19</v>
      </c>
      <c r="D432" t="s">
        <v>29</v>
      </c>
      <c r="E432" t="s">
        <v>30</v>
      </c>
      <c r="F432" t="s">
        <v>15</v>
      </c>
      <c r="G432" s="16">
        <v>64</v>
      </c>
      <c r="H432">
        <f>RANK(G432,$G$2:$G$1001,0)+COUNTIF($G$2:G432,G432)-1</f>
        <v>559</v>
      </c>
      <c r="I432" t="str">
        <f>INDEX('Boundary table'!$B$3:$B$7,MATCH(G432,'Boundary table'!$A$3:$A$7,1))</f>
        <v>D</v>
      </c>
      <c r="J432" s="16">
        <v>66</v>
      </c>
      <c r="K432">
        <f>RANK(J432,$J$2:$J$1001,0)+COUNTIF($J$2:J432,J432)-1</f>
        <v>591</v>
      </c>
      <c r="L432" t="str">
        <f>INDEX('Boundary table'!$B$3:$B$7,MATCH(J432,'Boundary table'!$A$3:$A$7,1))</f>
        <v>D</v>
      </c>
      <c r="M432" s="16">
        <v>59</v>
      </c>
      <c r="N432">
        <f>RANK(M432,$M$2:$M$1001,0)+COUNTIF($M$2:M432,M432)-1</f>
        <v>724</v>
      </c>
      <c r="O432" t="str">
        <f>INDEX('Boundary table'!$B$3:$B$7,MATCH(M432,'Boundary table'!$A$3:$A$7))</f>
        <v>F</v>
      </c>
      <c r="P432">
        <f>Table1[[#This Row],[Math Score]]+Table1[[#This Row],[Reading Score]]+Table1[[#This Row],[Writing Score]]</f>
        <v>189</v>
      </c>
      <c r="Q432" s="16">
        <f>COUNTIF(Table1[[#This Row],[Math Score]],"&lt;60")+COUNTIF(Table1[[#This Row],[Reading Score]],"&lt;60")+COUNTIF(Table1[[#This Row],[Writing Score]],"&lt;60")</f>
        <v>1</v>
      </c>
      <c r="R432" t="str">
        <f>IF(Table1[[#This Row],[Fail Count]]&gt;=2,"At risk","OK")</f>
        <v>OK</v>
      </c>
    </row>
    <row r="433" spans="1:18">
      <c r="A433" t="str">
        <f t="shared" si="6"/>
        <v>Stu-432</v>
      </c>
      <c r="B433" t="s">
        <v>11</v>
      </c>
      <c r="C433" t="s">
        <v>19</v>
      </c>
      <c r="D433" t="s">
        <v>32</v>
      </c>
      <c r="E433" t="s">
        <v>14</v>
      </c>
      <c r="F433" t="s">
        <v>15</v>
      </c>
      <c r="G433" s="16">
        <v>61</v>
      </c>
      <c r="H433">
        <f>RANK(G433,$G$2:$G$1001,0)+COUNTIF($G$2:G433,G433)-1</f>
        <v>646</v>
      </c>
      <c r="I433" t="str">
        <f>INDEX('Boundary table'!$B$3:$B$7,MATCH(G433,'Boundary table'!$A$3:$A$7,1))</f>
        <v>D</v>
      </c>
      <c r="J433" s="16">
        <v>72</v>
      </c>
      <c r="K433">
        <f>RANK(J433,$J$2:$J$1001,0)+COUNTIF($J$2:J433,J433)-1</f>
        <v>448</v>
      </c>
      <c r="L433" t="str">
        <f>INDEX('Boundary table'!$B$3:$B$7,MATCH(J433,'Boundary table'!$A$3:$A$7,1))</f>
        <v>C</v>
      </c>
      <c r="M433" s="16">
        <v>70</v>
      </c>
      <c r="N433">
        <f>RANK(M433,$M$2:$M$1001,0)+COUNTIF($M$2:M433,M433)-1</f>
        <v>474</v>
      </c>
      <c r="O433" t="str">
        <f>INDEX('Boundary table'!$B$3:$B$7,MATCH(M433,'Boundary table'!$A$3:$A$7))</f>
        <v>C</v>
      </c>
      <c r="P433">
        <f>Table1[[#This Row],[Math Score]]+Table1[[#This Row],[Reading Score]]+Table1[[#This Row],[Writing Score]]</f>
        <v>203</v>
      </c>
      <c r="Q433" s="16">
        <f>COUNTIF(Table1[[#This Row],[Math Score]],"&lt;60")+COUNTIF(Table1[[#This Row],[Reading Score]],"&lt;60")+COUNTIF(Table1[[#This Row],[Writing Score]],"&lt;60")</f>
        <v>0</v>
      </c>
      <c r="R433" t="str">
        <f>IF(Table1[[#This Row],[Fail Count]]&gt;=2,"At risk","OK")</f>
        <v>OK</v>
      </c>
    </row>
    <row r="434" spans="1:18">
      <c r="A434" t="str">
        <f t="shared" si="6"/>
        <v>Stu-433</v>
      </c>
      <c r="B434" t="s">
        <v>27</v>
      </c>
      <c r="C434" t="s">
        <v>19</v>
      </c>
      <c r="D434" t="s">
        <v>32</v>
      </c>
      <c r="E434" t="s">
        <v>14</v>
      </c>
      <c r="F434" t="s">
        <v>15</v>
      </c>
      <c r="G434" s="16">
        <v>61</v>
      </c>
      <c r="H434">
        <f>RANK(G434,$G$2:$G$1001,0)+COUNTIF($G$2:G434,G434)-1</f>
        <v>647</v>
      </c>
      <c r="I434" t="str">
        <f>INDEX('Boundary table'!$B$3:$B$7,MATCH(G434,'Boundary table'!$A$3:$A$7,1))</f>
        <v>D</v>
      </c>
      <c r="J434" s="16">
        <v>56</v>
      </c>
      <c r="K434">
        <f>RANK(J434,$J$2:$J$1001,0)+COUNTIF($J$2:J434,J434)-1</f>
        <v>817</v>
      </c>
      <c r="L434" t="str">
        <f>INDEX('Boundary table'!$B$3:$B$7,MATCH(J434,'Boundary table'!$A$3:$A$7,1))</f>
        <v>F</v>
      </c>
      <c r="M434" s="16">
        <v>55</v>
      </c>
      <c r="N434">
        <f>RANK(M434,$M$2:$M$1001,0)+COUNTIF($M$2:M434,M434)-1</f>
        <v>789</v>
      </c>
      <c r="O434" t="str">
        <f>INDEX('Boundary table'!$B$3:$B$7,MATCH(M434,'Boundary table'!$A$3:$A$7))</f>
        <v>F</v>
      </c>
      <c r="P434">
        <f>Table1[[#This Row],[Math Score]]+Table1[[#This Row],[Reading Score]]+Table1[[#This Row],[Writing Score]]</f>
        <v>172</v>
      </c>
      <c r="Q434" s="16">
        <f>COUNTIF(Table1[[#This Row],[Math Score]],"&lt;60")+COUNTIF(Table1[[#This Row],[Reading Score]],"&lt;60")+COUNTIF(Table1[[#This Row],[Writing Score]],"&lt;60")</f>
        <v>2</v>
      </c>
      <c r="R434" t="str">
        <f>IF(Table1[[#This Row],[Fail Count]]&gt;=2,"At risk","OK")</f>
        <v>At risk</v>
      </c>
    </row>
    <row r="435" spans="1:18">
      <c r="A435" t="str">
        <f t="shared" si="6"/>
        <v>Stu-434</v>
      </c>
      <c r="B435" t="s">
        <v>11</v>
      </c>
      <c r="C435" t="s">
        <v>28</v>
      </c>
      <c r="D435" t="s">
        <v>33</v>
      </c>
      <c r="E435" t="s">
        <v>30</v>
      </c>
      <c r="F435" t="s">
        <v>15</v>
      </c>
      <c r="G435" s="16">
        <v>47</v>
      </c>
      <c r="H435">
        <f>RANK(G435,$G$2:$G$1001,0)+COUNTIF($G$2:G435,G435)-1</f>
        <v>900</v>
      </c>
      <c r="I435" t="str">
        <f>INDEX('Boundary table'!$B$3:$B$7,MATCH(G435,'Boundary table'!$A$3:$A$7,1))</f>
        <v>F</v>
      </c>
      <c r="J435" s="16">
        <v>59</v>
      </c>
      <c r="K435">
        <f>RANK(J435,$J$2:$J$1001,0)+COUNTIF($J$2:J435,J435)-1</f>
        <v>752</v>
      </c>
      <c r="L435" t="str">
        <f>INDEX('Boundary table'!$B$3:$B$7,MATCH(J435,'Boundary table'!$A$3:$A$7,1))</f>
        <v>F</v>
      </c>
      <c r="M435" s="16">
        <v>50</v>
      </c>
      <c r="N435">
        <f>RANK(M435,$M$2:$M$1001,0)+COUNTIF($M$2:M435,M435)-1</f>
        <v>881</v>
      </c>
      <c r="O435" t="str">
        <f>INDEX('Boundary table'!$B$3:$B$7,MATCH(M435,'Boundary table'!$A$3:$A$7))</f>
        <v>F</v>
      </c>
      <c r="P435">
        <f>Table1[[#This Row],[Math Score]]+Table1[[#This Row],[Reading Score]]+Table1[[#This Row],[Writing Score]]</f>
        <v>156</v>
      </c>
      <c r="Q435" s="16">
        <f>COUNTIF(Table1[[#This Row],[Math Score]],"&lt;60")+COUNTIF(Table1[[#This Row],[Reading Score]],"&lt;60")+COUNTIF(Table1[[#This Row],[Writing Score]],"&lt;60")</f>
        <v>3</v>
      </c>
      <c r="R435" t="str">
        <f>IF(Table1[[#This Row],[Fail Count]]&gt;=2,"At risk","OK")</f>
        <v>At risk</v>
      </c>
    </row>
    <row r="436" spans="1:18">
      <c r="A436" t="str">
        <f t="shared" si="6"/>
        <v>Stu-435</v>
      </c>
      <c r="B436" t="s">
        <v>27</v>
      </c>
      <c r="C436" t="s">
        <v>19</v>
      </c>
      <c r="D436" t="s">
        <v>33</v>
      </c>
      <c r="E436" t="s">
        <v>14</v>
      </c>
      <c r="F436" t="s">
        <v>15</v>
      </c>
      <c r="G436" s="16">
        <v>73</v>
      </c>
      <c r="H436">
        <f>RANK(G436,$G$2:$G$1001,0)+COUNTIF($G$2:G436,G436)-1</f>
        <v>332</v>
      </c>
      <c r="I436" t="str">
        <f>INDEX('Boundary table'!$B$3:$B$7,MATCH(G436,'Boundary table'!$A$3:$A$7,1))</f>
        <v>C</v>
      </c>
      <c r="J436" s="16">
        <v>66</v>
      </c>
      <c r="K436">
        <f>RANK(J436,$J$2:$J$1001,0)+COUNTIF($J$2:J436,J436)-1</f>
        <v>592</v>
      </c>
      <c r="L436" t="str">
        <f>INDEX('Boundary table'!$B$3:$B$7,MATCH(J436,'Boundary table'!$A$3:$A$7,1))</f>
        <v>D</v>
      </c>
      <c r="M436" s="16">
        <v>66</v>
      </c>
      <c r="N436">
        <f>RANK(M436,$M$2:$M$1001,0)+COUNTIF($M$2:M436,M436)-1</f>
        <v>579</v>
      </c>
      <c r="O436" t="str">
        <f>INDEX('Boundary table'!$B$3:$B$7,MATCH(M436,'Boundary table'!$A$3:$A$7))</f>
        <v>D</v>
      </c>
      <c r="P436">
        <f>Table1[[#This Row],[Math Score]]+Table1[[#This Row],[Reading Score]]+Table1[[#This Row],[Writing Score]]</f>
        <v>205</v>
      </c>
      <c r="Q436" s="16">
        <f>COUNTIF(Table1[[#This Row],[Math Score]],"&lt;60")+COUNTIF(Table1[[#This Row],[Reading Score]],"&lt;60")+COUNTIF(Table1[[#This Row],[Writing Score]],"&lt;60")</f>
        <v>0</v>
      </c>
      <c r="R436" t="str">
        <f>IF(Table1[[#This Row],[Fail Count]]&gt;=2,"At risk","OK")</f>
        <v>OK</v>
      </c>
    </row>
    <row r="437" spans="1:18">
      <c r="A437" t="str">
        <f t="shared" si="6"/>
        <v>Stu-436</v>
      </c>
      <c r="B437" t="s">
        <v>27</v>
      </c>
      <c r="C437" t="s">
        <v>19</v>
      </c>
      <c r="D437" t="s">
        <v>20</v>
      </c>
      <c r="E437" t="s">
        <v>30</v>
      </c>
      <c r="F437" t="s">
        <v>21</v>
      </c>
      <c r="G437" s="16">
        <v>50</v>
      </c>
      <c r="H437">
        <f>RANK(G437,$G$2:$G$1001,0)+COUNTIF($G$2:G437,G437)-1</f>
        <v>857</v>
      </c>
      <c r="I437" t="str">
        <f>INDEX('Boundary table'!$B$3:$B$7,MATCH(G437,'Boundary table'!$A$3:$A$7,1))</f>
        <v>F</v>
      </c>
      <c r="J437" s="16">
        <v>48</v>
      </c>
      <c r="K437">
        <f>RANK(J437,$J$2:$J$1001,0)+COUNTIF($J$2:J437,J437)-1</f>
        <v>922</v>
      </c>
      <c r="L437" t="str">
        <f>INDEX('Boundary table'!$B$3:$B$7,MATCH(J437,'Boundary table'!$A$3:$A$7,1))</f>
        <v>F</v>
      </c>
      <c r="M437" s="16">
        <v>53</v>
      </c>
      <c r="N437">
        <f>RANK(M437,$M$2:$M$1001,0)+COUNTIF($M$2:M437,M437)-1</f>
        <v>829</v>
      </c>
      <c r="O437" t="str">
        <f>INDEX('Boundary table'!$B$3:$B$7,MATCH(M437,'Boundary table'!$A$3:$A$7))</f>
        <v>F</v>
      </c>
      <c r="P437">
        <f>Table1[[#This Row],[Math Score]]+Table1[[#This Row],[Reading Score]]+Table1[[#This Row],[Writing Score]]</f>
        <v>151</v>
      </c>
      <c r="Q437" s="16">
        <f>COUNTIF(Table1[[#This Row],[Math Score]],"&lt;60")+COUNTIF(Table1[[#This Row],[Reading Score]],"&lt;60")+COUNTIF(Table1[[#This Row],[Writing Score]],"&lt;60")</f>
        <v>3</v>
      </c>
      <c r="R437" t="str">
        <f>IF(Table1[[#This Row],[Fail Count]]&gt;=2,"At risk","OK")</f>
        <v>At risk</v>
      </c>
    </row>
    <row r="438" spans="1:18">
      <c r="A438" t="str">
        <f t="shared" si="6"/>
        <v>Stu-437</v>
      </c>
      <c r="B438" t="s">
        <v>27</v>
      </c>
      <c r="C438" t="s">
        <v>31</v>
      </c>
      <c r="D438" t="s">
        <v>29</v>
      </c>
      <c r="E438" t="s">
        <v>14</v>
      </c>
      <c r="F438" t="s">
        <v>15</v>
      </c>
      <c r="G438" s="16">
        <v>75</v>
      </c>
      <c r="H438">
        <f>RANK(G438,$G$2:$G$1001,0)+COUNTIF($G$2:G438,G438)-1</f>
        <v>282</v>
      </c>
      <c r="I438" t="str">
        <f>INDEX('Boundary table'!$B$3:$B$7,MATCH(G438,'Boundary table'!$A$3:$A$7,1))</f>
        <v>C</v>
      </c>
      <c r="J438" s="16">
        <v>68</v>
      </c>
      <c r="K438">
        <f>RANK(J438,$J$2:$J$1001,0)+COUNTIF($J$2:J438,J438)-1</f>
        <v>537</v>
      </c>
      <c r="L438" t="str">
        <f>INDEX('Boundary table'!$B$3:$B$7,MATCH(J438,'Boundary table'!$A$3:$A$7,1))</f>
        <v>D</v>
      </c>
      <c r="M438" s="16">
        <v>64</v>
      </c>
      <c r="N438">
        <f>RANK(M438,$M$2:$M$1001,0)+COUNTIF($M$2:M438,M438)-1</f>
        <v>622</v>
      </c>
      <c r="O438" t="str">
        <f>INDEX('Boundary table'!$B$3:$B$7,MATCH(M438,'Boundary table'!$A$3:$A$7))</f>
        <v>D</v>
      </c>
      <c r="P438">
        <f>Table1[[#This Row],[Math Score]]+Table1[[#This Row],[Reading Score]]+Table1[[#This Row],[Writing Score]]</f>
        <v>207</v>
      </c>
      <c r="Q438" s="16">
        <f>COUNTIF(Table1[[#This Row],[Math Score]],"&lt;60")+COUNTIF(Table1[[#This Row],[Reading Score]],"&lt;60")+COUNTIF(Table1[[#This Row],[Writing Score]],"&lt;60")</f>
        <v>0</v>
      </c>
      <c r="R438" t="str">
        <f>IF(Table1[[#This Row],[Fail Count]]&gt;=2,"At risk","OK")</f>
        <v>OK</v>
      </c>
    </row>
    <row r="439" spans="1:18">
      <c r="A439" t="str">
        <f t="shared" si="6"/>
        <v>Stu-438</v>
      </c>
      <c r="B439" t="s">
        <v>27</v>
      </c>
      <c r="C439" t="s">
        <v>31</v>
      </c>
      <c r="D439" t="s">
        <v>29</v>
      </c>
      <c r="E439" t="s">
        <v>30</v>
      </c>
      <c r="F439" t="s">
        <v>15</v>
      </c>
      <c r="G439" s="16">
        <v>75</v>
      </c>
      <c r="H439">
        <f>RANK(G439,$G$2:$G$1001,0)+COUNTIF($G$2:G439,G439)-1</f>
        <v>283</v>
      </c>
      <c r="I439" t="str">
        <f>INDEX('Boundary table'!$B$3:$B$7,MATCH(G439,'Boundary table'!$A$3:$A$7,1))</f>
        <v>C</v>
      </c>
      <c r="J439" s="16">
        <v>66</v>
      </c>
      <c r="K439">
        <f>RANK(J439,$J$2:$J$1001,0)+COUNTIF($J$2:J439,J439)-1</f>
        <v>593</v>
      </c>
      <c r="L439" t="str">
        <f>INDEX('Boundary table'!$B$3:$B$7,MATCH(J439,'Boundary table'!$A$3:$A$7,1))</f>
        <v>D</v>
      </c>
      <c r="M439" s="16">
        <v>73</v>
      </c>
      <c r="N439">
        <f>RANK(M439,$M$2:$M$1001,0)+COUNTIF($M$2:M439,M439)-1</f>
        <v>394</v>
      </c>
      <c r="O439" t="str">
        <f>INDEX('Boundary table'!$B$3:$B$7,MATCH(M439,'Boundary table'!$A$3:$A$7))</f>
        <v>C</v>
      </c>
      <c r="P439">
        <f>Table1[[#This Row],[Math Score]]+Table1[[#This Row],[Reading Score]]+Table1[[#This Row],[Writing Score]]</f>
        <v>214</v>
      </c>
      <c r="Q439" s="16">
        <f>COUNTIF(Table1[[#This Row],[Math Score]],"&lt;60")+COUNTIF(Table1[[#This Row],[Reading Score]],"&lt;60")+COUNTIF(Table1[[#This Row],[Writing Score]],"&lt;60")</f>
        <v>0</v>
      </c>
      <c r="R439" t="str">
        <f>IF(Table1[[#This Row],[Fail Count]]&gt;=2,"At risk","OK")</f>
        <v>OK</v>
      </c>
    </row>
    <row r="440" spans="1:18">
      <c r="A440" t="str">
        <f t="shared" si="6"/>
        <v>Stu-439</v>
      </c>
      <c r="B440" t="s">
        <v>27</v>
      </c>
      <c r="C440" t="s">
        <v>19</v>
      </c>
      <c r="D440" t="s">
        <v>32</v>
      </c>
      <c r="E440" t="s">
        <v>14</v>
      </c>
      <c r="F440" t="s">
        <v>15</v>
      </c>
      <c r="G440" s="16">
        <v>70</v>
      </c>
      <c r="H440">
        <f>RANK(G440,$G$2:$G$1001,0)+COUNTIF($G$2:G440,G440)-1</f>
        <v>399</v>
      </c>
      <c r="I440" t="str">
        <f>INDEX('Boundary table'!$B$3:$B$7,MATCH(G440,'Boundary table'!$A$3:$A$7,1))</f>
        <v>C</v>
      </c>
      <c r="J440" s="16">
        <v>56</v>
      </c>
      <c r="K440">
        <f>RANK(J440,$J$2:$J$1001,0)+COUNTIF($J$2:J440,J440)-1</f>
        <v>818</v>
      </c>
      <c r="L440" t="str">
        <f>INDEX('Boundary table'!$B$3:$B$7,MATCH(J440,'Boundary table'!$A$3:$A$7,1))</f>
        <v>F</v>
      </c>
      <c r="M440" s="16">
        <v>51</v>
      </c>
      <c r="N440">
        <f>RANK(M440,$M$2:$M$1001,0)+COUNTIF($M$2:M440,M440)-1</f>
        <v>866</v>
      </c>
      <c r="O440" t="str">
        <f>INDEX('Boundary table'!$B$3:$B$7,MATCH(M440,'Boundary table'!$A$3:$A$7))</f>
        <v>F</v>
      </c>
      <c r="P440">
        <f>Table1[[#This Row],[Math Score]]+Table1[[#This Row],[Reading Score]]+Table1[[#This Row],[Writing Score]]</f>
        <v>177</v>
      </c>
      <c r="Q440" s="16">
        <f>COUNTIF(Table1[[#This Row],[Math Score]],"&lt;60")+COUNTIF(Table1[[#This Row],[Reading Score]],"&lt;60")+COUNTIF(Table1[[#This Row],[Writing Score]],"&lt;60")</f>
        <v>2</v>
      </c>
      <c r="R440" t="str">
        <f>IF(Table1[[#This Row],[Fail Count]]&gt;=2,"At risk","OK")</f>
        <v>At risk</v>
      </c>
    </row>
    <row r="441" spans="1:18">
      <c r="A441" t="str">
        <f t="shared" si="6"/>
        <v>Stu-440</v>
      </c>
      <c r="B441" t="s">
        <v>27</v>
      </c>
      <c r="C441" t="s">
        <v>31</v>
      </c>
      <c r="D441" t="s">
        <v>33</v>
      </c>
      <c r="E441" t="s">
        <v>14</v>
      </c>
      <c r="F441" t="s">
        <v>21</v>
      </c>
      <c r="G441" s="16">
        <v>89</v>
      </c>
      <c r="H441">
        <f>RANK(G441,$G$2:$G$1001,0)+COUNTIF($G$2:G441,G441)-1</f>
        <v>61</v>
      </c>
      <c r="I441" t="str">
        <f>INDEX('Boundary table'!$B$3:$B$7,MATCH(G441,'Boundary table'!$A$3:$A$7,1))</f>
        <v>B</v>
      </c>
      <c r="J441" s="16">
        <v>88</v>
      </c>
      <c r="K441">
        <f>RANK(J441,$J$2:$J$1001,0)+COUNTIF($J$2:J441,J441)-1</f>
        <v>95</v>
      </c>
      <c r="L441" t="str">
        <f>INDEX('Boundary table'!$B$3:$B$7,MATCH(J441,'Boundary table'!$A$3:$A$7,1))</f>
        <v>B</v>
      </c>
      <c r="M441" s="16">
        <v>82</v>
      </c>
      <c r="N441">
        <f>RANK(M441,$M$2:$M$1001,0)+COUNTIF($M$2:M441,M441)-1</f>
        <v>175</v>
      </c>
      <c r="O441" t="str">
        <f>INDEX('Boundary table'!$B$3:$B$7,MATCH(M441,'Boundary table'!$A$3:$A$7))</f>
        <v>B</v>
      </c>
      <c r="P441">
        <f>Table1[[#This Row],[Math Score]]+Table1[[#This Row],[Reading Score]]+Table1[[#This Row],[Writing Score]]</f>
        <v>259</v>
      </c>
      <c r="Q441" s="16">
        <f>COUNTIF(Table1[[#This Row],[Math Score]],"&lt;60")+COUNTIF(Table1[[#This Row],[Reading Score]],"&lt;60")+COUNTIF(Table1[[#This Row],[Writing Score]],"&lt;60")</f>
        <v>0</v>
      </c>
      <c r="R441" t="str">
        <f>IF(Table1[[#This Row],[Fail Count]]&gt;=2,"At risk","OK")</f>
        <v>OK</v>
      </c>
    </row>
    <row r="442" spans="1:18">
      <c r="A442" t="str">
        <f t="shared" si="6"/>
        <v>Stu-441</v>
      </c>
      <c r="B442" t="s">
        <v>11</v>
      </c>
      <c r="C442" t="s">
        <v>19</v>
      </c>
      <c r="D442" t="s">
        <v>20</v>
      </c>
      <c r="E442" t="s">
        <v>14</v>
      </c>
      <c r="F442" t="s">
        <v>21</v>
      </c>
      <c r="G442" s="16">
        <v>67</v>
      </c>
      <c r="H442">
        <f>RANK(G442,$G$2:$G$1001,0)+COUNTIF($G$2:G442,G442)-1</f>
        <v>480</v>
      </c>
      <c r="I442" t="str">
        <f>INDEX('Boundary table'!$B$3:$B$7,MATCH(G442,'Boundary table'!$A$3:$A$7,1))</f>
        <v>D</v>
      </c>
      <c r="J442" s="16">
        <v>81</v>
      </c>
      <c r="K442">
        <f>RANK(J442,$J$2:$J$1001,0)+COUNTIF($J$2:J442,J442)-1</f>
        <v>221</v>
      </c>
      <c r="L442" t="str">
        <f>INDEX('Boundary table'!$B$3:$B$7,MATCH(J442,'Boundary table'!$A$3:$A$7,1))</f>
        <v>B</v>
      </c>
      <c r="M442" s="16">
        <v>79</v>
      </c>
      <c r="N442">
        <f>RANK(M442,$M$2:$M$1001,0)+COUNTIF($M$2:M442,M442)-1</f>
        <v>242</v>
      </c>
      <c r="O442" t="str">
        <f>INDEX('Boundary table'!$B$3:$B$7,MATCH(M442,'Boundary table'!$A$3:$A$7))</f>
        <v>C</v>
      </c>
      <c r="P442">
        <f>Table1[[#This Row],[Math Score]]+Table1[[#This Row],[Reading Score]]+Table1[[#This Row],[Writing Score]]</f>
        <v>227</v>
      </c>
      <c r="Q442" s="16">
        <f>COUNTIF(Table1[[#This Row],[Math Score]],"&lt;60")+COUNTIF(Table1[[#This Row],[Reading Score]],"&lt;60")+COUNTIF(Table1[[#This Row],[Writing Score]],"&lt;60")</f>
        <v>0</v>
      </c>
      <c r="R442" t="str">
        <f>IF(Table1[[#This Row],[Fail Count]]&gt;=2,"At risk","OK")</f>
        <v>OK</v>
      </c>
    </row>
    <row r="443" spans="1:18">
      <c r="A443" t="str">
        <f t="shared" si="6"/>
        <v>Stu-442</v>
      </c>
      <c r="B443" t="s">
        <v>11</v>
      </c>
      <c r="C443" t="s">
        <v>31</v>
      </c>
      <c r="D443" t="s">
        <v>32</v>
      </c>
      <c r="E443" t="s">
        <v>14</v>
      </c>
      <c r="F443" t="s">
        <v>15</v>
      </c>
      <c r="G443" s="16">
        <v>78</v>
      </c>
      <c r="H443">
        <f>RANK(G443,$G$2:$G$1001,0)+COUNTIF($G$2:G443,G443)-1</f>
        <v>222</v>
      </c>
      <c r="I443" t="str">
        <f>INDEX('Boundary table'!$B$3:$B$7,MATCH(G443,'Boundary table'!$A$3:$A$7,1))</f>
        <v>C</v>
      </c>
      <c r="J443" s="16">
        <v>81</v>
      </c>
      <c r="K443">
        <f>RANK(J443,$J$2:$J$1001,0)+COUNTIF($J$2:J443,J443)-1</f>
        <v>222</v>
      </c>
      <c r="L443" t="str">
        <f>INDEX('Boundary table'!$B$3:$B$7,MATCH(J443,'Boundary table'!$A$3:$A$7,1))</f>
        <v>B</v>
      </c>
      <c r="M443" s="16">
        <v>80</v>
      </c>
      <c r="N443">
        <f>RANK(M443,$M$2:$M$1001,0)+COUNTIF($M$2:M443,M443)-1</f>
        <v>217</v>
      </c>
      <c r="O443" t="str">
        <f>INDEX('Boundary table'!$B$3:$B$7,MATCH(M443,'Boundary table'!$A$3:$A$7))</f>
        <v>B</v>
      </c>
      <c r="P443">
        <f>Table1[[#This Row],[Math Score]]+Table1[[#This Row],[Reading Score]]+Table1[[#This Row],[Writing Score]]</f>
        <v>239</v>
      </c>
      <c r="Q443" s="16">
        <f>COUNTIF(Table1[[#This Row],[Math Score]],"&lt;60")+COUNTIF(Table1[[#This Row],[Reading Score]],"&lt;60")+COUNTIF(Table1[[#This Row],[Writing Score]],"&lt;60")</f>
        <v>0</v>
      </c>
      <c r="R443" t="str">
        <f>IF(Table1[[#This Row],[Fail Count]]&gt;=2,"At risk","OK")</f>
        <v>OK</v>
      </c>
    </row>
    <row r="444" spans="1:18">
      <c r="A444" t="str">
        <f t="shared" si="6"/>
        <v>Stu-443</v>
      </c>
      <c r="B444" t="s">
        <v>11</v>
      </c>
      <c r="C444" t="s">
        <v>28</v>
      </c>
      <c r="D444" t="s">
        <v>33</v>
      </c>
      <c r="E444" t="s">
        <v>30</v>
      </c>
      <c r="F444" t="s">
        <v>15</v>
      </c>
      <c r="G444" s="16">
        <v>59</v>
      </c>
      <c r="H444">
        <f>RANK(G444,$G$2:$G$1001,0)+COUNTIF($G$2:G444,G444)-1</f>
        <v>695</v>
      </c>
      <c r="I444" t="str">
        <f>INDEX('Boundary table'!$B$3:$B$7,MATCH(G444,'Boundary table'!$A$3:$A$7,1))</f>
        <v>F</v>
      </c>
      <c r="J444" s="16">
        <v>73</v>
      </c>
      <c r="K444">
        <f>RANK(J444,$J$2:$J$1001,0)+COUNTIF($J$2:J444,J444)-1</f>
        <v>420</v>
      </c>
      <c r="L444" t="str">
        <f>INDEX('Boundary table'!$B$3:$B$7,MATCH(J444,'Boundary table'!$A$3:$A$7,1))</f>
        <v>C</v>
      </c>
      <c r="M444" s="16">
        <v>69</v>
      </c>
      <c r="N444">
        <f>RANK(M444,$M$2:$M$1001,0)+COUNTIF($M$2:M444,M444)-1</f>
        <v>502</v>
      </c>
      <c r="O444" t="str">
        <f>INDEX('Boundary table'!$B$3:$B$7,MATCH(M444,'Boundary table'!$A$3:$A$7))</f>
        <v>D</v>
      </c>
      <c r="P444">
        <f>Table1[[#This Row],[Math Score]]+Table1[[#This Row],[Reading Score]]+Table1[[#This Row],[Writing Score]]</f>
        <v>201</v>
      </c>
      <c r="Q444" s="16">
        <f>COUNTIF(Table1[[#This Row],[Math Score]],"&lt;60")+COUNTIF(Table1[[#This Row],[Reading Score]],"&lt;60")+COUNTIF(Table1[[#This Row],[Writing Score]],"&lt;60")</f>
        <v>1</v>
      </c>
      <c r="R444" t="str">
        <f>IF(Table1[[#This Row],[Fail Count]]&gt;=2,"At risk","OK")</f>
        <v>OK</v>
      </c>
    </row>
    <row r="445" spans="1:18">
      <c r="A445" t="str">
        <f t="shared" si="6"/>
        <v>Stu-444</v>
      </c>
      <c r="B445" t="s">
        <v>11</v>
      </c>
      <c r="C445" t="s">
        <v>12</v>
      </c>
      <c r="D445" t="s">
        <v>29</v>
      </c>
      <c r="E445" t="s">
        <v>14</v>
      </c>
      <c r="F445" t="s">
        <v>15</v>
      </c>
      <c r="G445" s="16">
        <v>73</v>
      </c>
      <c r="H445">
        <f>RANK(G445,$G$2:$G$1001,0)+COUNTIF($G$2:G445,G445)-1</f>
        <v>333</v>
      </c>
      <c r="I445" t="str">
        <f>INDEX('Boundary table'!$B$3:$B$7,MATCH(G445,'Boundary table'!$A$3:$A$7,1))</f>
        <v>C</v>
      </c>
      <c r="J445" s="16">
        <v>83</v>
      </c>
      <c r="K445">
        <f>RANK(J445,$J$2:$J$1001,0)+COUNTIF($J$2:J445,J445)-1</f>
        <v>187</v>
      </c>
      <c r="L445" t="str">
        <f>INDEX('Boundary table'!$B$3:$B$7,MATCH(J445,'Boundary table'!$A$3:$A$7,1))</f>
        <v>B</v>
      </c>
      <c r="M445" s="16">
        <v>76</v>
      </c>
      <c r="N445">
        <f>RANK(M445,$M$2:$M$1001,0)+COUNTIF($M$2:M445,M445)-1</f>
        <v>312</v>
      </c>
      <c r="O445" t="str">
        <f>INDEX('Boundary table'!$B$3:$B$7,MATCH(M445,'Boundary table'!$A$3:$A$7))</f>
        <v>C</v>
      </c>
      <c r="P445">
        <f>Table1[[#This Row],[Math Score]]+Table1[[#This Row],[Reading Score]]+Table1[[#This Row],[Writing Score]]</f>
        <v>232</v>
      </c>
      <c r="Q445" s="16">
        <f>COUNTIF(Table1[[#This Row],[Math Score]],"&lt;60")+COUNTIF(Table1[[#This Row],[Reading Score]],"&lt;60")+COUNTIF(Table1[[#This Row],[Writing Score]],"&lt;60")</f>
        <v>0</v>
      </c>
      <c r="R445" t="str">
        <f>IF(Table1[[#This Row],[Fail Count]]&gt;=2,"At risk","OK")</f>
        <v>OK</v>
      </c>
    </row>
    <row r="446" spans="1:18">
      <c r="A446" t="str">
        <f t="shared" si="6"/>
        <v>Stu-445</v>
      </c>
      <c r="B446" t="s">
        <v>27</v>
      </c>
      <c r="C446" t="s">
        <v>28</v>
      </c>
      <c r="D446" t="s">
        <v>33</v>
      </c>
      <c r="E446" t="s">
        <v>30</v>
      </c>
      <c r="F446" t="s">
        <v>15</v>
      </c>
      <c r="G446" s="16">
        <v>79</v>
      </c>
      <c r="H446">
        <f>RANK(G446,$G$2:$G$1001,0)+COUNTIF($G$2:G446,G446)-1</f>
        <v>202</v>
      </c>
      <c r="I446" t="str">
        <f>INDEX('Boundary table'!$B$3:$B$7,MATCH(G446,'Boundary table'!$A$3:$A$7,1))</f>
        <v>C</v>
      </c>
      <c r="J446" s="16">
        <v>82</v>
      </c>
      <c r="K446">
        <f>RANK(J446,$J$2:$J$1001,0)+COUNTIF($J$2:J446,J446)-1</f>
        <v>197</v>
      </c>
      <c r="L446" t="str">
        <f>INDEX('Boundary table'!$B$3:$B$7,MATCH(J446,'Boundary table'!$A$3:$A$7,1))</f>
        <v>B</v>
      </c>
      <c r="M446" s="16">
        <v>73</v>
      </c>
      <c r="N446">
        <f>RANK(M446,$M$2:$M$1001,0)+COUNTIF($M$2:M446,M446)-1</f>
        <v>395</v>
      </c>
      <c r="O446" t="str">
        <f>INDEX('Boundary table'!$B$3:$B$7,MATCH(M446,'Boundary table'!$A$3:$A$7))</f>
        <v>C</v>
      </c>
      <c r="P446">
        <f>Table1[[#This Row],[Math Score]]+Table1[[#This Row],[Reading Score]]+Table1[[#This Row],[Writing Score]]</f>
        <v>234</v>
      </c>
      <c r="Q446" s="16">
        <f>COUNTIF(Table1[[#This Row],[Math Score]],"&lt;60")+COUNTIF(Table1[[#This Row],[Reading Score]],"&lt;60")+COUNTIF(Table1[[#This Row],[Writing Score]],"&lt;60")</f>
        <v>0</v>
      </c>
      <c r="R446" t="str">
        <f>IF(Table1[[#This Row],[Fail Count]]&gt;=2,"At risk","OK")</f>
        <v>OK</v>
      </c>
    </row>
    <row r="447" spans="1:18">
      <c r="A447" t="str">
        <f t="shared" si="6"/>
        <v>Stu-446</v>
      </c>
      <c r="B447" t="s">
        <v>11</v>
      </c>
      <c r="C447" t="s">
        <v>19</v>
      </c>
      <c r="D447" t="s">
        <v>33</v>
      </c>
      <c r="E447" t="s">
        <v>14</v>
      </c>
      <c r="F447" t="s">
        <v>21</v>
      </c>
      <c r="G447" s="16">
        <v>67</v>
      </c>
      <c r="H447">
        <f>RANK(G447,$G$2:$G$1001,0)+COUNTIF($G$2:G447,G447)-1</f>
        <v>481</v>
      </c>
      <c r="I447" t="str">
        <f>INDEX('Boundary table'!$B$3:$B$7,MATCH(G447,'Boundary table'!$A$3:$A$7,1))</f>
        <v>D</v>
      </c>
      <c r="J447" s="16">
        <v>74</v>
      </c>
      <c r="K447">
        <f>RANK(J447,$J$2:$J$1001,0)+COUNTIF($J$2:J447,J447)-1</f>
        <v>386</v>
      </c>
      <c r="L447" t="str">
        <f>INDEX('Boundary table'!$B$3:$B$7,MATCH(J447,'Boundary table'!$A$3:$A$7,1))</f>
        <v>C</v>
      </c>
      <c r="M447" s="16">
        <v>77</v>
      </c>
      <c r="N447">
        <f>RANK(M447,$M$2:$M$1001,0)+COUNTIF($M$2:M447,M447)-1</f>
        <v>292</v>
      </c>
      <c r="O447" t="str">
        <f>INDEX('Boundary table'!$B$3:$B$7,MATCH(M447,'Boundary table'!$A$3:$A$7))</f>
        <v>C</v>
      </c>
      <c r="P447">
        <f>Table1[[#This Row],[Math Score]]+Table1[[#This Row],[Reading Score]]+Table1[[#This Row],[Writing Score]]</f>
        <v>218</v>
      </c>
      <c r="Q447" s="16">
        <f>COUNTIF(Table1[[#This Row],[Math Score]],"&lt;60")+COUNTIF(Table1[[#This Row],[Reading Score]],"&lt;60")+COUNTIF(Table1[[#This Row],[Writing Score]],"&lt;60")</f>
        <v>0</v>
      </c>
      <c r="R447" t="str">
        <f>IF(Table1[[#This Row],[Fail Count]]&gt;=2,"At risk","OK")</f>
        <v>OK</v>
      </c>
    </row>
    <row r="448" spans="1:18">
      <c r="A448" t="str">
        <f t="shared" si="6"/>
        <v>Stu-447</v>
      </c>
      <c r="B448" t="s">
        <v>27</v>
      </c>
      <c r="C448" t="s">
        <v>31</v>
      </c>
      <c r="D448" t="s">
        <v>20</v>
      </c>
      <c r="E448" t="s">
        <v>30</v>
      </c>
      <c r="F448" t="s">
        <v>15</v>
      </c>
      <c r="G448" s="16">
        <v>69</v>
      </c>
      <c r="H448">
        <f>RANK(G448,$G$2:$G$1001,0)+COUNTIF($G$2:G448,G448)-1</f>
        <v>424</v>
      </c>
      <c r="I448" t="str">
        <f>INDEX('Boundary table'!$B$3:$B$7,MATCH(G448,'Boundary table'!$A$3:$A$7,1))</f>
        <v>D</v>
      </c>
      <c r="J448" s="16">
        <v>66</v>
      </c>
      <c r="K448">
        <f>RANK(J448,$J$2:$J$1001,0)+COUNTIF($J$2:J448,J448)-1</f>
        <v>594</v>
      </c>
      <c r="L448" t="str">
        <f>INDEX('Boundary table'!$B$3:$B$7,MATCH(J448,'Boundary table'!$A$3:$A$7,1))</f>
        <v>D</v>
      </c>
      <c r="M448" s="16">
        <v>60</v>
      </c>
      <c r="N448">
        <f>RANK(M448,$M$2:$M$1001,0)+COUNTIF($M$2:M448,M448)-1</f>
        <v>706</v>
      </c>
      <c r="O448" t="str">
        <f>INDEX('Boundary table'!$B$3:$B$7,MATCH(M448,'Boundary table'!$A$3:$A$7))</f>
        <v>D</v>
      </c>
      <c r="P448">
        <f>Table1[[#This Row],[Math Score]]+Table1[[#This Row],[Reading Score]]+Table1[[#This Row],[Writing Score]]</f>
        <v>195</v>
      </c>
      <c r="Q448" s="16">
        <f>COUNTIF(Table1[[#This Row],[Math Score]],"&lt;60")+COUNTIF(Table1[[#This Row],[Reading Score]],"&lt;60")+COUNTIF(Table1[[#This Row],[Writing Score]],"&lt;60")</f>
        <v>0</v>
      </c>
      <c r="R448" t="str">
        <f>IF(Table1[[#This Row],[Fail Count]]&gt;=2,"At risk","OK")</f>
        <v>OK</v>
      </c>
    </row>
    <row r="449" spans="1:18">
      <c r="A449" t="str">
        <f t="shared" si="6"/>
        <v>Stu-448</v>
      </c>
      <c r="B449" t="s">
        <v>27</v>
      </c>
      <c r="C449" t="s">
        <v>19</v>
      </c>
      <c r="D449" t="s">
        <v>32</v>
      </c>
      <c r="E449" t="s">
        <v>14</v>
      </c>
      <c r="F449" t="s">
        <v>21</v>
      </c>
      <c r="G449" s="16">
        <v>86</v>
      </c>
      <c r="H449">
        <f>RANK(G449,$G$2:$G$1001,0)+COUNTIF($G$2:G449,G449)-1</f>
        <v>99</v>
      </c>
      <c r="I449" t="str">
        <f>INDEX('Boundary table'!$B$3:$B$7,MATCH(G449,'Boundary table'!$A$3:$A$7,1))</f>
        <v>B</v>
      </c>
      <c r="J449" s="16">
        <v>81</v>
      </c>
      <c r="K449">
        <f>RANK(J449,$J$2:$J$1001,0)+COUNTIF($J$2:J449,J449)-1</f>
        <v>223</v>
      </c>
      <c r="L449" t="str">
        <f>INDEX('Boundary table'!$B$3:$B$7,MATCH(J449,'Boundary table'!$A$3:$A$7,1))</f>
        <v>B</v>
      </c>
      <c r="M449" s="16">
        <v>80</v>
      </c>
      <c r="N449">
        <f>RANK(M449,$M$2:$M$1001,0)+COUNTIF($M$2:M449,M449)-1</f>
        <v>218</v>
      </c>
      <c r="O449" t="str">
        <f>INDEX('Boundary table'!$B$3:$B$7,MATCH(M449,'Boundary table'!$A$3:$A$7))</f>
        <v>B</v>
      </c>
      <c r="P449">
        <f>Table1[[#This Row],[Math Score]]+Table1[[#This Row],[Reading Score]]+Table1[[#This Row],[Writing Score]]</f>
        <v>247</v>
      </c>
      <c r="Q449" s="16">
        <f>COUNTIF(Table1[[#This Row],[Math Score]],"&lt;60")+COUNTIF(Table1[[#This Row],[Reading Score]],"&lt;60")+COUNTIF(Table1[[#This Row],[Writing Score]],"&lt;60")</f>
        <v>0</v>
      </c>
      <c r="R449" t="str">
        <f>IF(Table1[[#This Row],[Fail Count]]&gt;=2,"At risk","OK")</f>
        <v>OK</v>
      </c>
    </row>
    <row r="450" spans="1:18">
      <c r="A450" t="str">
        <f t="shared" ref="A450:A513" si="7">"Stu-"&amp;TEXT(ROW()-1,"000")</f>
        <v>Stu-449</v>
      </c>
      <c r="B450" t="s">
        <v>27</v>
      </c>
      <c r="C450" t="s">
        <v>12</v>
      </c>
      <c r="D450" t="s">
        <v>32</v>
      </c>
      <c r="E450" t="s">
        <v>14</v>
      </c>
      <c r="F450" t="s">
        <v>15</v>
      </c>
      <c r="G450" s="16">
        <v>47</v>
      </c>
      <c r="H450">
        <f>RANK(G450,$G$2:$G$1001,0)+COUNTIF($G$2:G450,G450)-1</f>
        <v>901</v>
      </c>
      <c r="I450" t="str">
        <f>INDEX('Boundary table'!$B$3:$B$7,MATCH(G450,'Boundary table'!$A$3:$A$7,1))</f>
        <v>F</v>
      </c>
      <c r="J450" s="16">
        <v>46</v>
      </c>
      <c r="K450">
        <f>RANK(J450,$J$2:$J$1001,0)+COUNTIF($J$2:J450,J450)-1</f>
        <v>938</v>
      </c>
      <c r="L450" t="str">
        <f>INDEX('Boundary table'!$B$3:$B$7,MATCH(J450,'Boundary table'!$A$3:$A$7,1))</f>
        <v>F</v>
      </c>
      <c r="M450" s="16">
        <v>42</v>
      </c>
      <c r="N450">
        <f>RANK(M450,$M$2:$M$1001,0)+COUNTIF($M$2:M450,M450)-1</f>
        <v>956</v>
      </c>
      <c r="O450" t="str">
        <f>INDEX('Boundary table'!$B$3:$B$7,MATCH(M450,'Boundary table'!$A$3:$A$7))</f>
        <v>F</v>
      </c>
      <c r="P450">
        <f>Table1[[#This Row],[Math Score]]+Table1[[#This Row],[Reading Score]]+Table1[[#This Row],[Writing Score]]</f>
        <v>135</v>
      </c>
      <c r="Q450" s="16">
        <f>COUNTIF(Table1[[#This Row],[Math Score]],"&lt;60")+COUNTIF(Table1[[#This Row],[Reading Score]],"&lt;60")+COUNTIF(Table1[[#This Row],[Writing Score]],"&lt;60")</f>
        <v>3</v>
      </c>
      <c r="R450" t="str">
        <f>IF(Table1[[#This Row],[Fail Count]]&gt;=2,"At risk","OK")</f>
        <v>At risk</v>
      </c>
    </row>
    <row r="451" spans="1:18">
      <c r="A451" t="str">
        <f t="shared" si="7"/>
        <v>Stu-450</v>
      </c>
      <c r="B451" t="s">
        <v>27</v>
      </c>
      <c r="C451" t="s">
        <v>12</v>
      </c>
      <c r="D451" t="s">
        <v>29</v>
      </c>
      <c r="E451" t="s">
        <v>14</v>
      </c>
      <c r="F451" t="s">
        <v>15</v>
      </c>
      <c r="G451" s="16">
        <v>81</v>
      </c>
      <c r="H451">
        <f>RANK(G451,$G$2:$G$1001,0)+COUNTIF($G$2:G451,G451)-1</f>
        <v>161</v>
      </c>
      <c r="I451" t="str">
        <f>INDEX('Boundary table'!$B$3:$B$7,MATCH(G451,'Boundary table'!$A$3:$A$7,1))</f>
        <v>B</v>
      </c>
      <c r="J451" s="16">
        <v>73</v>
      </c>
      <c r="K451">
        <f>RANK(J451,$J$2:$J$1001,0)+COUNTIF($J$2:J451,J451)-1</f>
        <v>421</v>
      </c>
      <c r="L451" t="str">
        <f>INDEX('Boundary table'!$B$3:$B$7,MATCH(J451,'Boundary table'!$A$3:$A$7,1))</f>
        <v>C</v>
      </c>
      <c r="M451" s="16">
        <v>72</v>
      </c>
      <c r="N451">
        <f>RANK(M451,$M$2:$M$1001,0)+COUNTIF($M$2:M451,M451)-1</f>
        <v>421</v>
      </c>
      <c r="O451" t="str">
        <f>INDEX('Boundary table'!$B$3:$B$7,MATCH(M451,'Boundary table'!$A$3:$A$7))</f>
        <v>C</v>
      </c>
      <c r="P451">
        <f>Table1[[#This Row],[Math Score]]+Table1[[#This Row],[Reading Score]]+Table1[[#This Row],[Writing Score]]</f>
        <v>226</v>
      </c>
      <c r="Q451" s="16">
        <f>COUNTIF(Table1[[#This Row],[Math Score]],"&lt;60")+COUNTIF(Table1[[#This Row],[Reading Score]],"&lt;60")+COUNTIF(Table1[[#This Row],[Writing Score]],"&lt;60")</f>
        <v>0</v>
      </c>
      <c r="R451" t="str">
        <f>IF(Table1[[#This Row],[Fail Count]]&gt;=2,"At risk","OK")</f>
        <v>OK</v>
      </c>
    </row>
    <row r="452" spans="1:18">
      <c r="A452" t="str">
        <f t="shared" si="7"/>
        <v>Stu-451</v>
      </c>
      <c r="B452" t="s">
        <v>11</v>
      </c>
      <c r="C452" t="s">
        <v>19</v>
      </c>
      <c r="D452" t="s">
        <v>20</v>
      </c>
      <c r="E452" t="s">
        <v>30</v>
      </c>
      <c r="F452" t="s">
        <v>21</v>
      </c>
      <c r="G452" s="16">
        <v>64</v>
      </c>
      <c r="H452">
        <f>RANK(G452,$G$2:$G$1001,0)+COUNTIF($G$2:G452,G452)-1</f>
        <v>560</v>
      </c>
      <c r="I452" t="str">
        <f>INDEX('Boundary table'!$B$3:$B$7,MATCH(G452,'Boundary table'!$A$3:$A$7,1))</f>
        <v>D</v>
      </c>
      <c r="J452" s="16">
        <v>85</v>
      </c>
      <c r="K452">
        <f>RANK(J452,$J$2:$J$1001,0)+COUNTIF($J$2:J452,J452)-1</f>
        <v>138</v>
      </c>
      <c r="L452" t="str">
        <f>INDEX('Boundary table'!$B$3:$B$7,MATCH(J452,'Boundary table'!$A$3:$A$7,1))</f>
        <v>B</v>
      </c>
      <c r="M452" s="16">
        <v>85</v>
      </c>
      <c r="N452">
        <f>RANK(M452,$M$2:$M$1001,0)+COUNTIF($M$2:M452,M452)-1</f>
        <v>126</v>
      </c>
      <c r="O452" t="str">
        <f>INDEX('Boundary table'!$B$3:$B$7,MATCH(M452,'Boundary table'!$A$3:$A$7))</f>
        <v>B</v>
      </c>
      <c r="P452">
        <f>Table1[[#This Row],[Math Score]]+Table1[[#This Row],[Reading Score]]+Table1[[#This Row],[Writing Score]]</f>
        <v>234</v>
      </c>
      <c r="Q452" s="16">
        <f>COUNTIF(Table1[[#This Row],[Math Score]],"&lt;60")+COUNTIF(Table1[[#This Row],[Reading Score]],"&lt;60")+COUNTIF(Table1[[#This Row],[Writing Score]],"&lt;60")</f>
        <v>0</v>
      </c>
      <c r="R452" t="str">
        <f>IF(Table1[[#This Row],[Fail Count]]&gt;=2,"At risk","OK")</f>
        <v>OK</v>
      </c>
    </row>
    <row r="453" spans="1:18">
      <c r="A453" t="str">
        <f t="shared" si="7"/>
        <v>Stu-452</v>
      </c>
      <c r="B453" t="s">
        <v>11</v>
      </c>
      <c r="C453" t="s">
        <v>34</v>
      </c>
      <c r="D453" t="s">
        <v>20</v>
      </c>
      <c r="E453" t="s">
        <v>14</v>
      </c>
      <c r="F453" t="s">
        <v>15</v>
      </c>
      <c r="G453" s="16">
        <v>100</v>
      </c>
      <c r="H453">
        <f>RANK(G453,$G$2:$G$1001,0)+COUNTIF($G$2:G453,G453)-1</f>
        <v>2</v>
      </c>
      <c r="I453" t="str">
        <f>INDEX('Boundary table'!$B$3:$B$7,MATCH(G453,'Boundary table'!$A$3:$A$7,1))</f>
        <v>A</v>
      </c>
      <c r="J453" s="16">
        <v>92</v>
      </c>
      <c r="K453">
        <f>RANK(J453,$J$2:$J$1001,0)+COUNTIF($J$2:J453,J453)-1</f>
        <v>51</v>
      </c>
      <c r="L453" t="str">
        <f>INDEX('Boundary table'!$B$3:$B$7,MATCH(J453,'Boundary table'!$A$3:$A$7,1))</f>
        <v>A</v>
      </c>
      <c r="M453" s="16">
        <v>97</v>
      </c>
      <c r="N453">
        <f>RANK(M453,$M$2:$M$1001,0)+COUNTIF($M$2:M453,M453)-1</f>
        <v>21</v>
      </c>
      <c r="O453" t="str">
        <f>INDEX('Boundary table'!$B$3:$B$7,MATCH(M453,'Boundary table'!$A$3:$A$7))</f>
        <v>A</v>
      </c>
      <c r="P453">
        <f>Table1[[#This Row],[Math Score]]+Table1[[#This Row],[Reading Score]]+Table1[[#This Row],[Writing Score]]</f>
        <v>289</v>
      </c>
      <c r="Q453" s="16">
        <f>COUNTIF(Table1[[#This Row],[Math Score]],"&lt;60")+COUNTIF(Table1[[#This Row],[Reading Score]],"&lt;60")+COUNTIF(Table1[[#This Row],[Writing Score]],"&lt;60")</f>
        <v>0</v>
      </c>
      <c r="R453" t="str">
        <f>IF(Table1[[#This Row],[Fail Count]]&gt;=2,"At risk","OK")</f>
        <v>OK</v>
      </c>
    </row>
    <row r="454" spans="1:18">
      <c r="A454" t="str">
        <f t="shared" si="7"/>
        <v>Stu-453</v>
      </c>
      <c r="B454" t="s">
        <v>11</v>
      </c>
      <c r="C454" t="s">
        <v>19</v>
      </c>
      <c r="D454" t="s">
        <v>29</v>
      </c>
      <c r="E454" t="s">
        <v>30</v>
      </c>
      <c r="F454" t="s">
        <v>15</v>
      </c>
      <c r="G454" s="16">
        <v>65</v>
      </c>
      <c r="H454">
        <f>RANK(G454,$G$2:$G$1001,0)+COUNTIF($G$2:G454,G454)-1</f>
        <v>536</v>
      </c>
      <c r="I454" t="str">
        <f>INDEX('Boundary table'!$B$3:$B$7,MATCH(G454,'Boundary table'!$A$3:$A$7,1))</f>
        <v>D</v>
      </c>
      <c r="J454" s="16">
        <v>77</v>
      </c>
      <c r="K454">
        <f>RANK(J454,$J$2:$J$1001,0)+COUNTIF($J$2:J454,J454)-1</f>
        <v>304</v>
      </c>
      <c r="L454" t="str">
        <f>INDEX('Boundary table'!$B$3:$B$7,MATCH(J454,'Boundary table'!$A$3:$A$7,1))</f>
        <v>C</v>
      </c>
      <c r="M454" s="16">
        <v>74</v>
      </c>
      <c r="N454">
        <f>RANK(M454,$M$2:$M$1001,0)+COUNTIF($M$2:M454,M454)-1</f>
        <v>367</v>
      </c>
      <c r="O454" t="str">
        <f>INDEX('Boundary table'!$B$3:$B$7,MATCH(M454,'Boundary table'!$A$3:$A$7))</f>
        <v>C</v>
      </c>
      <c r="P454">
        <f>Table1[[#This Row],[Math Score]]+Table1[[#This Row],[Reading Score]]+Table1[[#This Row],[Writing Score]]</f>
        <v>216</v>
      </c>
      <c r="Q454" s="16">
        <f>COUNTIF(Table1[[#This Row],[Math Score]],"&lt;60")+COUNTIF(Table1[[#This Row],[Reading Score]],"&lt;60")+COUNTIF(Table1[[#This Row],[Writing Score]],"&lt;60")</f>
        <v>0</v>
      </c>
      <c r="R454" t="str">
        <f>IF(Table1[[#This Row],[Fail Count]]&gt;=2,"At risk","OK")</f>
        <v>OK</v>
      </c>
    </row>
    <row r="455" spans="1:18">
      <c r="A455" t="str">
        <f t="shared" si="7"/>
        <v>Stu-454</v>
      </c>
      <c r="B455" t="s">
        <v>27</v>
      </c>
      <c r="C455" t="s">
        <v>19</v>
      </c>
      <c r="D455" t="s">
        <v>20</v>
      </c>
      <c r="E455" t="s">
        <v>30</v>
      </c>
      <c r="F455" t="s">
        <v>15</v>
      </c>
      <c r="G455" s="16">
        <v>65</v>
      </c>
      <c r="H455">
        <f>RANK(G455,$G$2:$G$1001,0)+COUNTIF($G$2:G455,G455)-1</f>
        <v>537</v>
      </c>
      <c r="I455" t="str">
        <f>INDEX('Boundary table'!$B$3:$B$7,MATCH(G455,'Boundary table'!$A$3:$A$7,1))</f>
        <v>D</v>
      </c>
      <c r="J455" s="16">
        <v>58</v>
      </c>
      <c r="K455">
        <f>RANK(J455,$J$2:$J$1001,0)+COUNTIF($J$2:J455,J455)-1</f>
        <v>775</v>
      </c>
      <c r="L455" t="str">
        <f>INDEX('Boundary table'!$B$3:$B$7,MATCH(J455,'Boundary table'!$A$3:$A$7,1))</f>
        <v>F</v>
      </c>
      <c r="M455" s="16">
        <v>49</v>
      </c>
      <c r="N455">
        <f>RANK(M455,$M$2:$M$1001,0)+COUNTIF($M$2:M455,M455)-1</f>
        <v>892</v>
      </c>
      <c r="O455" t="str">
        <f>INDEX('Boundary table'!$B$3:$B$7,MATCH(M455,'Boundary table'!$A$3:$A$7))</f>
        <v>F</v>
      </c>
      <c r="P455">
        <f>Table1[[#This Row],[Math Score]]+Table1[[#This Row],[Reading Score]]+Table1[[#This Row],[Writing Score]]</f>
        <v>172</v>
      </c>
      <c r="Q455" s="16">
        <f>COUNTIF(Table1[[#This Row],[Math Score]],"&lt;60")+COUNTIF(Table1[[#This Row],[Reading Score]],"&lt;60")+COUNTIF(Table1[[#This Row],[Writing Score]],"&lt;60")</f>
        <v>2</v>
      </c>
      <c r="R455" t="str">
        <f>IF(Table1[[#This Row],[Fail Count]]&gt;=2,"At risk","OK")</f>
        <v>At risk</v>
      </c>
    </row>
    <row r="456" spans="1:18">
      <c r="A456" t="str">
        <f t="shared" si="7"/>
        <v>Stu-455</v>
      </c>
      <c r="B456" t="s">
        <v>11</v>
      </c>
      <c r="C456" t="s">
        <v>19</v>
      </c>
      <c r="D456" t="s">
        <v>29</v>
      </c>
      <c r="E456" t="s">
        <v>30</v>
      </c>
      <c r="F456" t="s">
        <v>15</v>
      </c>
      <c r="G456" s="16">
        <v>53</v>
      </c>
      <c r="H456">
        <f>RANK(G456,$G$2:$G$1001,0)+COUNTIF($G$2:G456,G456)-1</f>
        <v>806</v>
      </c>
      <c r="I456" t="str">
        <f>INDEX('Boundary table'!$B$3:$B$7,MATCH(G456,'Boundary table'!$A$3:$A$7,1))</f>
        <v>F</v>
      </c>
      <c r="J456" s="16">
        <v>61</v>
      </c>
      <c r="K456">
        <f>RANK(J456,$J$2:$J$1001,0)+COUNTIF($J$2:J456,J456)-1</f>
        <v>711</v>
      </c>
      <c r="L456" t="str">
        <f>INDEX('Boundary table'!$B$3:$B$7,MATCH(J456,'Boundary table'!$A$3:$A$7,1))</f>
        <v>D</v>
      </c>
      <c r="M456" s="16">
        <v>62</v>
      </c>
      <c r="N456">
        <f>RANK(M456,$M$2:$M$1001,0)+COUNTIF($M$2:M456,M456)-1</f>
        <v>666</v>
      </c>
      <c r="O456" t="str">
        <f>INDEX('Boundary table'!$B$3:$B$7,MATCH(M456,'Boundary table'!$A$3:$A$7))</f>
        <v>D</v>
      </c>
      <c r="P456">
        <f>Table1[[#This Row],[Math Score]]+Table1[[#This Row],[Reading Score]]+Table1[[#This Row],[Writing Score]]</f>
        <v>176</v>
      </c>
      <c r="Q456" s="16">
        <f>COUNTIF(Table1[[#This Row],[Math Score]],"&lt;60")+COUNTIF(Table1[[#This Row],[Reading Score]],"&lt;60")+COUNTIF(Table1[[#This Row],[Writing Score]],"&lt;60")</f>
        <v>1</v>
      </c>
      <c r="R456" t="str">
        <f>IF(Table1[[#This Row],[Fail Count]]&gt;=2,"At risk","OK")</f>
        <v>OK</v>
      </c>
    </row>
    <row r="457" spans="1:18">
      <c r="A457" t="str">
        <f t="shared" si="7"/>
        <v>Stu-456</v>
      </c>
      <c r="B457" t="s">
        <v>27</v>
      </c>
      <c r="C457" t="s">
        <v>19</v>
      </c>
      <c r="D457" t="s">
        <v>13</v>
      </c>
      <c r="E457" t="s">
        <v>30</v>
      </c>
      <c r="F457" t="s">
        <v>15</v>
      </c>
      <c r="G457" s="16">
        <v>37</v>
      </c>
      <c r="H457">
        <f>RANK(G457,$G$2:$G$1001,0)+COUNTIF($G$2:G457,G457)-1</f>
        <v>969</v>
      </c>
      <c r="I457" t="str">
        <f>INDEX('Boundary table'!$B$3:$B$7,MATCH(G457,'Boundary table'!$A$3:$A$7,1))</f>
        <v>F</v>
      </c>
      <c r="J457" s="16">
        <v>56</v>
      </c>
      <c r="K457">
        <f>RANK(J457,$J$2:$J$1001,0)+COUNTIF($J$2:J457,J457)-1</f>
        <v>819</v>
      </c>
      <c r="L457" t="str">
        <f>INDEX('Boundary table'!$B$3:$B$7,MATCH(J457,'Boundary table'!$A$3:$A$7,1))</f>
        <v>F</v>
      </c>
      <c r="M457" s="16">
        <v>47</v>
      </c>
      <c r="N457">
        <f>RANK(M457,$M$2:$M$1001,0)+COUNTIF($M$2:M457,M457)-1</f>
        <v>909</v>
      </c>
      <c r="O457" t="str">
        <f>INDEX('Boundary table'!$B$3:$B$7,MATCH(M457,'Boundary table'!$A$3:$A$7))</f>
        <v>F</v>
      </c>
      <c r="P457">
        <f>Table1[[#This Row],[Math Score]]+Table1[[#This Row],[Reading Score]]+Table1[[#This Row],[Writing Score]]</f>
        <v>140</v>
      </c>
      <c r="Q457" s="16">
        <f>COUNTIF(Table1[[#This Row],[Math Score]],"&lt;60")+COUNTIF(Table1[[#This Row],[Reading Score]],"&lt;60")+COUNTIF(Table1[[#This Row],[Writing Score]],"&lt;60")</f>
        <v>3</v>
      </c>
      <c r="R457" t="str">
        <f>IF(Table1[[#This Row],[Fail Count]]&gt;=2,"At risk","OK")</f>
        <v>At risk</v>
      </c>
    </row>
    <row r="458" spans="1:18">
      <c r="A458" t="str">
        <f t="shared" si="7"/>
        <v>Stu-457</v>
      </c>
      <c r="B458" t="s">
        <v>11</v>
      </c>
      <c r="C458" t="s">
        <v>31</v>
      </c>
      <c r="D458" t="s">
        <v>13</v>
      </c>
      <c r="E458" t="s">
        <v>14</v>
      </c>
      <c r="F458" t="s">
        <v>15</v>
      </c>
      <c r="G458" s="16">
        <v>79</v>
      </c>
      <c r="H458">
        <f>RANK(G458,$G$2:$G$1001,0)+COUNTIF($G$2:G458,G458)-1</f>
        <v>203</v>
      </c>
      <c r="I458" t="str">
        <f>INDEX('Boundary table'!$B$3:$B$7,MATCH(G458,'Boundary table'!$A$3:$A$7,1))</f>
        <v>C</v>
      </c>
      <c r="J458" s="16">
        <v>89</v>
      </c>
      <c r="K458">
        <f>RANK(J458,$J$2:$J$1001,0)+COUNTIF($J$2:J458,J458)-1</f>
        <v>86</v>
      </c>
      <c r="L458" t="str">
        <f>INDEX('Boundary table'!$B$3:$B$7,MATCH(J458,'Boundary table'!$A$3:$A$7,1))</f>
        <v>B</v>
      </c>
      <c r="M458" s="16">
        <v>89</v>
      </c>
      <c r="N458">
        <f>RANK(M458,$M$2:$M$1001,0)+COUNTIF($M$2:M458,M458)-1</f>
        <v>82</v>
      </c>
      <c r="O458" t="str">
        <f>INDEX('Boundary table'!$B$3:$B$7,MATCH(M458,'Boundary table'!$A$3:$A$7))</f>
        <v>B</v>
      </c>
      <c r="P458">
        <f>Table1[[#This Row],[Math Score]]+Table1[[#This Row],[Reading Score]]+Table1[[#This Row],[Writing Score]]</f>
        <v>257</v>
      </c>
      <c r="Q458" s="16">
        <f>COUNTIF(Table1[[#This Row],[Math Score]],"&lt;60")+COUNTIF(Table1[[#This Row],[Reading Score]],"&lt;60")+COUNTIF(Table1[[#This Row],[Writing Score]],"&lt;60")</f>
        <v>0</v>
      </c>
      <c r="R458" t="str">
        <f>IF(Table1[[#This Row],[Fail Count]]&gt;=2,"At risk","OK")</f>
        <v>OK</v>
      </c>
    </row>
    <row r="459" spans="1:18">
      <c r="A459" t="str">
        <f t="shared" si="7"/>
        <v>Stu-458</v>
      </c>
      <c r="B459" t="s">
        <v>27</v>
      </c>
      <c r="C459" t="s">
        <v>31</v>
      </c>
      <c r="D459" t="s">
        <v>29</v>
      </c>
      <c r="E459" t="s">
        <v>30</v>
      </c>
      <c r="F459" t="s">
        <v>15</v>
      </c>
      <c r="G459" s="16">
        <v>53</v>
      </c>
      <c r="H459">
        <f>RANK(G459,$G$2:$G$1001,0)+COUNTIF($G$2:G459,G459)-1</f>
        <v>807</v>
      </c>
      <c r="I459" t="str">
        <f>INDEX('Boundary table'!$B$3:$B$7,MATCH(G459,'Boundary table'!$A$3:$A$7,1))</f>
        <v>F</v>
      </c>
      <c r="J459" s="16">
        <v>54</v>
      </c>
      <c r="K459">
        <f>RANK(J459,$J$2:$J$1001,0)+COUNTIF($J$2:J459,J459)-1</f>
        <v>850</v>
      </c>
      <c r="L459" t="str">
        <f>INDEX('Boundary table'!$B$3:$B$7,MATCH(J459,'Boundary table'!$A$3:$A$7,1))</f>
        <v>F</v>
      </c>
      <c r="M459" s="16">
        <v>48</v>
      </c>
      <c r="N459">
        <f>RANK(M459,$M$2:$M$1001,0)+COUNTIF($M$2:M459,M459)-1</f>
        <v>899</v>
      </c>
      <c r="O459" t="str">
        <f>INDEX('Boundary table'!$B$3:$B$7,MATCH(M459,'Boundary table'!$A$3:$A$7))</f>
        <v>F</v>
      </c>
      <c r="P459">
        <f>Table1[[#This Row],[Math Score]]+Table1[[#This Row],[Reading Score]]+Table1[[#This Row],[Writing Score]]</f>
        <v>155</v>
      </c>
      <c r="Q459" s="16">
        <f>COUNTIF(Table1[[#This Row],[Math Score]],"&lt;60")+COUNTIF(Table1[[#This Row],[Reading Score]],"&lt;60")+COUNTIF(Table1[[#This Row],[Writing Score]],"&lt;60")</f>
        <v>3</v>
      </c>
      <c r="R459" t="str">
        <f>IF(Table1[[#This Row],[Fail Count]]&gt;=2,"At risk","OK")</f>
        <v>At risk</v>
      </c>
    </row>
    <row r="460" spans="1:18">
      <c r="A460" t="str">
        <f t="shared" si="7"/>
        <v>Stu-459</v>
      </c>
      <c r="B460" t="s">
        <v>11</v>
      </c>
      <c r="C460" t="s">
        <v>34</v>
      </c>
      <c r="D460" t="s">
        <v>13</v>
      </c>
      <c r="E460" t="s">
        <v>14</v>
      </c>
      <c r="F460" t="s">
        <v>15</v>
      </c>
      <c r="G460" s="16">
        <v>100</v>
      </c>
      <c r="H460">
        <f>RANK(G460,$G$2:$G$1001,0)+COUNTIF($G$2:G460,G460)-1</f>
        <v>3</v>
      </c>
      <c r="I460" t="str">
        <f>INDEX('Boundary table'!$B$3:$B$7,MATCH(G460,'Boundary table'!$A$3:$A$7,1))</f>
        <v>A</v>
      </c>
      <c r="J460" s="16">
        <v>100</v>
      </c>
      <c r="K460">
        <f>RANK(J460,$J$2:$J$1001,0)+COUNTIF($J$2:J460,J460)-1</f>
        <v>7</v>
      </c>
      <c r="L460" t="str">
        <f>INDEX('Boundary table'!$B$3:$B$7,MATCH(J460,'Boundary table'!$A$3:$A$7,1))</f>
        <v>A</v>
      </c>
      <c r="M460" s="16">
        <v>100</v>
      </c>
      <c r="N460">
        <f>RANK(M460,$M$2:$M$1001,0)+COUNTIF($M$2:M460,M460)-1</f>
        <v>7</v>
      </c>
      <c r="O460" t="str">
        <f>INDEX('Boundary table'!$B$3:$B$7,MATCH(M460,'Boundary table'!$A$3:$A$7))</f>
        <v>A</v>
      </c>
      <c r="P460">
        <f>Table1[[#This Row],[Math Score]]+Table1[[#This Row],[Reading Score]]+Table1[[#This Row],[Writing Score]]</f>
        <v>300</v>
      </c>
      <c r="Q460" s="16">
        <f>COUNTIF(Table1[[#This Row],[Math Score]],"&lt;60")+COUNTIF(Table1[[#This Row],[Reading Score]],"&lt;60")+COUNTIF(Table1[[#This Row],[Writing Score]],"&lt;60")</f>
        <v>0</v>
      </c>
      <c r="R460" t="str">
        <f>IF(Table1[[#This Row],[Fail Count]]&gt;=2,"At risk","OK")</f>
        <v>OK</v>
      </c>
    </row>
    <row r="461" spans="1:18">
      <c r="A461" t="str">
        <f t="shared" si="7"/>
        <v>Stu-460</v>
      </c>
      <c r="B461" t="s">
        <v>27</v>
      </c>
      <c r="C461" t="s">
        <v>12</v>
      </c>
      <c r="D461" t="s">
        <v>32</v>
      </c>
      <c r="E461" t="s">
        <v>14</v>
      </c>
      <c r="F461" t="s">
        <v>21</v>
      </c>
      <c r="G461" s="16">
        <v>72</v>
      </c>
      <c r="H461">
        <f>RANK(G461,$G$2:$G$1001,0)+COUNTIF($G$2:G461,G461)-1</f>
        <v>354</v>
      </c>
      <c r="I461" t="str">
        <f>INDEX('Boundary table'!$B$3:$B$7,MATCH(G461,'Boundary table'!$A$3:$A$7,1))</f>
        <v>C</v>
      </c>
      <c r="J461" s="16">
        <v>65</v>
      </c>
      <c r="K461">
        <f>RANK(J461,$J$2:$J$1001,0)+COUNTIF($J$2:J461,J461)-1</f>
        <v>618</v>
      </c>
      <c r="L461" t="str">
        <f>INDEX('Boundary table'!$B$3:$B$7,MATCH(J461,'Boundary table'!$A$3:$A$7,1))</f>
        <v>D</v>
      </c>
      <c r="M461" s="16">
        <v>68</v>
      </c>
      <c r="N461">
        <f>RANK(M461,$M$2:$M$1001,0)+COUNTIF($M$2:M461,M461)-1</f>
        <v>527</v>
      </c>
      <c r="O461" t="str">
        <f>INDEX('Boundary table'!$B$3:$B$7,MATCH(M461,'Boundary table'!$A$3:$A$7))</f>
        <v>D</v>
      </c>
      <c r="P461">
        <f>Table1[[#This Row],[Math Score]]+Table1[[#This Row],[Reading Score]]+Table1[[#This Row],[Writing Score]]</f>
        <v>205</v>
      </c>
      <c r="Q461" s="16">
        <f>COUNTIF(Table1[[#This Row],[Math Score]],"&lt;60")+COUNTIF(Table1[[#This Row],[Reading Score]],"&lt;60")+COUNTIF(Table1[[#This Row],[Writing Score]],"&lt;60")</f>
        <v>0</v>
      </c>
      <c r="R461" t="str">
        <f>IF(Table1[[#This Row],[Fail Count]]&gt;=2,"At risk","OK")</f>
        <v>OK</v>
      </c>
    </row>
    <row r="462" spans="1:18">
      <c r="A462" t="str">
        <f t="shared" si="7"/>
        <v>Stu-461</v>
      </c>
      <c r="B462" t="s">
        <v>27</v>
      </c>
      <c r="C462" t="s">
        <v>19</v>
      </c>
      <c r="D462" t="s">
        <v>13</v>
      </c>
      <c r="E462" t="s">
        <v>30</v>
      </c>
      <c r="F462" t="s">
        <v>15</v>
      </c>
      <c r="G462" s="16">
        <v>53</v>
      </c>
      <c r="H462">
        <f>RANK(G462,$G$2:$G$1001,0)+COUNTIF($G$2:G462,G462)-1</f>
        <v>808</v>
      </c>
      <c r="I462" t="str">
        <f>INDEX('Boundary table'!$B$3:$B$7,MATCH(G462,'Boundary table'!$A$3:$A$7,1))</f>
        <v>F</v>
      </c>
      <c r="J462" s="16">
        <v>58</v>
      </c>
      <c r="K462">
        <f>RANK(J462,$J$2:$J$1001,0)+COUNTIF($J$2:J462,J462)-1</f>
        <v>776</v>
      </c>
      <c r="L462" t="str">
        <f>INDEX('Boundary table'!$B$3:$B$7,MATCH(J462,'Boundary table'!$A$3:$A$7,1))</f>
        <v>F</v>
      </c>
      <c r="M462" s="16">
        <v>55</v>
      </c>
      <c r="N462">
        <f>RANK(M462,$M$2:$M$1001,0)+COUNTIF($M$2:M462,M462)-1</f>
        <v>790</v>
      </c>
      <c r="O462" t="str">
        <f>INDEX('Boundary table'!$B$3:$B$7,MATCH(M462,'Boundary table'!$A$3:$A$7))</f>
        <v>F</v>
      </c>
      <c r="P462">
        <f>Table1[[#This Row],[Math Score]]+Table1[[#This Row],[Reading Score]]+Table1[[#This Row],[Writing Score]]</f>
        <v>166</v>
      </c>
      <c r="Q462" s="16">
        <f>COUNTIF(Table1[[#This Row],[Math Score]],"&lt;60")+COUNTIF(Table1[[#This Row],[Reading Score]],"&lt;60")+COUNTIF(Table1[[#This Row],[Writing Score]],"&lt;60")</f>
        <v>3</v>
      </c>
      <c r="R462" t="str">
        <f>IF(Table1[[#This Row],[Fail Count]]&gt;=2,"At risk","OK")</f>
        <v>At risk</v>
      </c>
    </row>
    <row r="463" spans="1:18">
      <c r="A463" t="str">
        <f t="shared" si="7"/>
        <v>Stu-462</v>
      </c>
      <c r="B463" t="s">
        <v>27</v>
      </c>
      <c r="C463" t="s">
        <v>12</v>
      </c>
      <c r="D463" t="s">
        <v>20</v>
      </c>
      <c r="E463" t="s">
        <v>30</v>
      </c>
      <c r="F463" t="s">
        <v>15</v>
      </c>
      <c r="G463" s="16">
        <v>54</v>
      </c>
      <c r="H463">
        <f>RANK(G463,$G$2:$G$1001,0)+COUNTIF($G$2:G463,G463)-1</f>
        <v>786</v>
      </c>
      <c r="I463" t="str">
        <f>INDEX('Boundary table'!$B$3:$B$7,MATCH(G463,'Boundary table'!$A$3:$A$7,1))</f>
        <v>F</v>
      </c>
      <c r="J463" s="16">
        <v>54</v>
      </c>
      <c r="K463">
        <f>RANK(J463,$J$2:$J$1001,0)+COUNTIF($J$2:J463,J463)-1</f>
        <v>851</v>
      </c>
      <c r="L463" t="str">
        <f>INDEX('Boundary table'!$B$3:$B$7,MATCH(J463,'Boundary table'!$A$3:$A$7,1))</f>
        <v>F</v>
      </c>
      <c r="M463" s="16">
        <v>45</v>
      </c>
      <c r="N463">
        <f>RANK(M463,$M$2:$M$1001,0)+COUNTIF($M$2:M463,M463)-1</f>
        <v>927</v>
      </c>
      <c r="O463" t="str">
        <f>INDEX('Boundary table'!$B$3:$B$7,MATCH(M463,'Boundary table'!$A$3:$A$7))</f>
        <v>F</v>
      </c>
      <c r="P463">
        <f>Table1[[#This Row],[Math Score]]+Table1[[#This Row],[Reading Score]]+Table1[[#This Row],[Writing Score]]</f>
        <v>153</v>
      </c>
      <c r="Q463" s="16">
        <f>COUNTIF(Table1[[#This Row],[Math Score]],"&lt;60")+COUNTIF(Table1[[#This Row],[Reading Score]],"&lt;60")+COUNTIF(Table1[[#This Row],[Writing Score]],"&lt;60")</f>
        <v>3</v>
      </c>
      <c r="R463" t="str">
        <f>IF(Table1[[#This Row],[Fail Count]]&gt;=2,"At risk","OK")</f>
        <v>At risk</v>
      </c>
    </row>
    <row r="464" spans="1:18">
      <c r="A464" t="str">
        <f t="shared" si="7"/>
        <v>Stu-463</v>
      </c>
      <c r="B464" t="s">
        <v>11</v>
      </c>
      <c r="C464" t="s">
        <v>34</v>
      </c>
      <c r="D464" t="s">
        <v>20</v>
      </c>
      <c r="E464" t="s">
        <v>14</v>
      </c>
      <c r="F464" t="s">
        <v>15</v>
      </c>
      <c r="G464" s="16">
        <v>71</v>
      </c>
      <c r="H464">
        <f>RANK(G464,$G$2:$G$1001,0)+COUNTIF($G$2:G464,G464)-1</f>
        <v>381</v>
      </c>
      <c r="I464" t="str">
        <f>INDEX('Boundary table'!$B$3:$B$7,MATCH(G464,'Boundary table'!$A$3:$A$7,1))</f>
        <v>C</v>
      </c>
      <c r="J464" s="16">
        <v>70</v>
      </c>
      <c r="K464">
        <f>RANK(J464,$J$2:$J$1001,0)+COUNTIF($J$2:J464,J464)-1</f>
        <v>500</v>
      </c>
      <c r="L464" t="str">
        <f>INDEX('Boundary table'!$B$3:$B$7,MATCH(J464,'Boundary table'!$A$3:$A$7,1))</f>
        <v>C</v>
      </c>
      <c r="M464" s="16">
        <v>76</v>
      </c>
      <c r="N464">
        <f>RANK(M464,$M$2:$M$1001,0)+COUNTIF($M$2:M464,M464)-1</f>
        <v>313</v>
      </c>
      <c r="O464" t="str">
        <f>INDEX('Boundary table'!$B$3:$B$7,MATCH(M464,'Boundary table'!$A$3:$A$7))</f>
        <v>C</v>
      </c>
      <c r="P464">
        <f>Table1[[#This Row],[Math Score]]+Table1[[#This Row],[Reading Score]]+Table1[[#This Row],[Writing Score]]</f>
        <v>217</v>
      </c>
      <c r="Q464" s="16">
        <f>COUNTIF(Table1[[#This Row],[Math Score]],"&lt;60")+COUNTIF(Table1[[#This Row],[Reading Score]],"&lt;60")+COUNTIF(Table1[[#This Row],[Writing Score]],"&lt;60")</f>
        <v>0</v>
      </c>
      <c r="R464" t="str">
        <f>IF(Table1[[#This Row],[Fail Count]]&gt;=2,"At risk","OK")</f>
        <v>OK</v>
      </c>
    </row>
    <row r="465" spans="1:18">
      <c r="A465" t="str">
        <f t="shared" si="7"/>
        <v>Stu-464</v>
      </c>
      <c r="B465" t="s">
        <v>11</v>
      </c>
      <c r="C465" t="s">
        <v>19</v>
      </c>
      <c r="D465" t="s">
        <v>20</v>
      </c>
      <c r="E465" t="s">
        <v>30</v>
      </c>
      <c r="F465" t="s">
        <v>15</v>
      </c>
      <c r="G465" s="16">
        <v>77</v>
      </c>
      <c r="H465">
        <f>RANK(G465,$G$2:$G$1001,0)+COUNTIF($G$2:G465,G465)-1</f>
        <v>239</v>
      </c>
      <c r="I465" t="str">
        <f>INDEX('Boundary table'!$B$3:$B$7,MATCH(G465,'Boundary table'!$A$3:$A$7,1))</f>
        <v>C</v>
      </c>
      <c r="J465" s="16">
        <v>90</v>
      </c>
      <c r="K465">
        <f>RANK(J465,$J$2:$J$1001,0)+COUNTIF($J$2:J465,J465)-1</f>
        <v>68</v>
      </c>
      <c r="L465" t="str">
        <f>INDEX('Boundary table'!$B$3:$B$7,MATCH(J465,'Boundary table'!$A$3:$A$7,1))</f>
        <v>A</v>
      </c>
      <c r="M465" s="16">
        <v>91</v>
      </c>
      <c r="N465">
        <f>RANK(M465,$M$2:$M$1001,0)+COUNTIF($M$2:M465,M465)-1</f>
        <v>60</v>
      </c>
      <c r="O465" t="str">
        <f>INDEX('Boundary table'!$B$3:$B$7,MATCH(M465,'Boundary table'!$A$3:$A$7))</f>
        <v>A</v>
      </c>
      <c r="P465">
        <f>Table1[[#This Row],[Math Score]]+Table1[[#This Row],[Reading Score]]+Table1[[#This Row],[Writing Score]]</f>
        <v>258</v>
      </c>
      <c r="Q465" s="16">
        <f>COUNTIF(Table1[[#This Row],[Math Score]],"&lt;60")+COUNTIF(Table1[[#This Row],[Reading Score]],"&lt;60")+COUNTIF(Table1[[#This Row],[Writing Score]],"&lt;60")</f>
        <v>0</v>
      </c>
      <c r="R465" t="str">
        <f>IF(Table1[[#This Row],[Fail Count]]&gt;=2,"At risk","OK")</f>
        <v>OK</v>
      </c>
    </row>
    <row r="466" spans="1:18">
      <c r="A466" t="str">
        <f t="shared" si="7"/>
        <v>Stu-465</v>
      </c>
      <c r="B466" t="s">
        <v>27</v>
      </c>
      <c r="C466" t="s">
        <v>28</v>
      </c>
      <c r="D466" t="s">
        <v>13</v>
      </c>
      <c r="E466" t="s">
        <v>14</v>
      </c>
      <c r="F466" t="s">
        <v>21</v>
      </c>
      <c r="G466" s="16">
        <v>75</v>
      </c>
      <c r="H466">
        <f>RANK(G466,$G$2:$G$1001,0)+COUNTIF($G$2:G466,G466)-1</f>
        <v>284</v>
      </c>
      <c r="I466" t="str">
        <f>INDEX('Boundary table'!$B$3:$B$7,MATCH(G466,'Boundary table'!$A$3:$A$7,1))</f>
        <v>C</v>
      </c>
      <c r="J466" s="16">
        <v>58</v>
      </c>
      <c r="K466">
        <f>RANK(J466,$J$2:$J$1001,0)+COUNTIF($J$2:J466,J466)-1</f>
        <v>777</v>
      </c>
      <c r="L466" t="str">
        <f>INDEX('Boundary table'!$B$3:$B$7,MATCH(J466,'Boundary table'!$A$3:$A$7,1))</f>
        <v>F</v>
      </c>
      <c r="M466" s="16">
        <v>62</v>
      </c>
      <c r="N466">
        <f>RANK(M466,$M$2:$M$1001,0)+COUNTIF($M$2:M466,M466)-1</f>
        <v>667</v>
      </c>
      <c r="O466" t="str">
        <f>INDEX('Boundary table'!$B$3:$B$7,MATCH(M466,'Boundary table'!$A$3:$A$7))</f>
        <v>D</v>
      </c>
      <c r="P466">
        <f>Table1[[#This Row],[Math Score]]+Table1[[#This Row],[Reading Score]]+Table1[[#This Row],[Writing Score]]</f>
        <v>195</v>
      </c>
      <c r="Q466" s="16">
        <f>COUNTIF(Table1[[#This Row],[Math Score]],"&lt;60")+COUNTIF(Table1[[#This Row],[Reading Score]],"&lt;60")+COUNTIF(Table1[[#This Row],[Writing Score]],"&lt;60")</f>
        <v>1</v>
      </c>
      <c r="R466" t="str">
        <f>IF(Table1[[#This Row],[Fail Count]]&gt;=2,"At risk","OK")</f>
        <v>OK</v>
      </c>
    </row>
    <row r="467" spans="1:18">
      <c r="A467" t="str">
        <f t="shared" si="7"/>
        <v>Stu-466</v>
      </c>
      <c r="B467" t="s">
        <v>11</v>
      </c>
      <c r="C467" t="s">
        <v>19</v>
      </c>
      <c r="D467" t="s">
        <v>20</v>
      </c>
      <c r="E467" t="s">
        <v>14</v>
      </c>
      <c r="F467" t="s">
        <v>15</v>
      </c>
      <c r="G467" s="16">
        <v>84</v>
      </c>
      <c r="H467">
        <f>RANK(G467,$G$2:$G$1001,0)+COUNTIF($G$2:G467,G467)-1</f>
        <v>124</v>
      </c>
      <c r="I467" t="str">
        <f>INDEX('Boundary table'!$B$3:$B$7,MATCH(G467,'Boundary table'!$A$3:$A$7,1))</f>
        <v>B</v>
      </c>
      <c r="J467" s="16">
        <v>87</v>
      </c>
      <c r="K467">
        <f>RANK(J467,$J$2:$J$1001,0)+COUNTIF($J$2:J467,J467)-1</f>
        <v>105</v>
      </c>
      <c r="L467" t="str">
        <f>INDEX('Boundary table'!$B$3:$B$7,MATCH(J467,'Boundary table'!$A$3:$A$7,1))</f>
        <v>B</v>
      </c>
      <c r="M467" s="16">
        <v>91</v>
      </c>
      <c r="N467">
        <f>RANK(M467,$M$2:$M$1001,0)+COUNTIF($M$2:M467,M467)-1</f>
        <v>61</v>
      </c>
      <c r="O467" t="str">
        <f>INDEX('Boundary table'!$B$3:$B$7,MATCH(M467,'Boundary table'!$A$3:$A$7))</f>
        <v>A</v>
      </c>
      <c r="P467">
        <f>Table1[[#This Row],[Math Score]]+Table1[[#This Row],[Reading Score]]+Table1[[#This Row],[Writing Score]]</f>
        <v>262</v>
      </c>
      <c r="Q467" s="16">
        <f>COUNTIF(Table1[[#This Row],[Math Score]],"&lt;60")+COUNTIF(Table1[[#This Row],[Reading Score]],"&lt;60")+COUNTIF(Table1[[#This Row],[Writing Score]],"&lt;60")</f>
        <v>0</v>
      </c>
      <c r="R467" t="str">
        <f>IF(Table1[[#This Row],[Fail Count]]&gt;=2,"At risk","OK")</f>
        <v>OK</v>
      </c>
    </row>
    <row r="468" spans="1:18">
      <c r="A468" t="str">
        <f t="shared" si="7"/>
        <v>Stu-467</v>
      </c>
      <c r="B468" t="s">
        <v>11</v>
      </c>
      <c r="C468" t="s">
        <v>31</v>
      </c>
      <c r="D468" t="s">
        <v>29</v>
      </c>
      <c r="E468" t="s">
        <v>30</v>
      </c>
      <c r="F468" t="s">
        <v>15</v>
      </c>
      <c r="G468" s="16">
        <v>26</v>
      </c>
      <c r="H468">
        <f>RANK(G468,$G$2:$G$1001,0)+COUNTIF($G$2:G468,G468)-1</f>
        <v>993</v>
      </c>
      <c r="I468" t="str">
        <f>INDEX('Boundary table'!$B$3:$B$7,MATCH(G468,'Boundary table'!$A$3:$A$7,1))</f>
        <v>F</v>
      </c>
      <c r="J468" s="16">
        <v>31</v>
      </c>
      <c r="K468">
        <f>RANK(J468,$J$2:$J$1001,0)+COUNTIF($J$2:J468,J468)-1</f>
        <v>991</v>
      </c>
      <c r="L468" t="str">
        <f>INDEX('Boundary table'!$B$3:$B$7,MATCH(J468,'Boundary table'!$A$3:$A$7,1))</f>
        <v>F</v>
      </c>
      <c r="M468" s="16">
        <v>38</v>
      </c>
      <c r="N468">
        <f>RANK(M468,$M$2:$M$1001,0)+COUNTIF($M$2:M468,M468)-1</f>
        <v>973</v>
      </c>
      <c r="O468" t="str">
        <f>INDEX('Boundary table'!$B$3:$B$7,MATCH(M468,'Boundary table'!$A$3:$A$7))</f>
        <v>F</v>
      </c>
      <c r="P468">
        <f>Table1[[#This Row],[Math Score]]+Table1[[#This Row],[Reading Score]]+Table1[[#This Row],[Writing Score]]</f>
        <v>95</v>
      </c>
      <c r="Q468" s="16">
        <f>COUNTIF(Table1[[#This Row],[Math Score]],"&lt;60")+COUNTIF(Table1[[#This Row],[Reading Score]],"&lt;60")+COUNTIF(Table1[[#This Row],[Writing Score]],"&lt;60")</f>
        <v>3</v>
      </c>
      <c r="R468" t="str">
        <f>IF(Table1[[#This Row],[Fail Count]]&gt;=2,"At risk","OK")</f>
        <v>At risk</v>
      </c>
    </row>
    <row r="469" spans="1:18">
      <c r="A469" t="str">
        <f t="shared" si="7"/>
        <v>Stu-468</v>
      </c>
      <c r="B469" t="s">
        <v>27</v>
      </c>
      <c r="C469" t="s">
        <v>28</v>
      </c>
      <c r="D469" t="s">
        <v>32</v>
      </c>
      <c r="E469" t="s">
        <v>30</v>
      </c>
      <c r="F469" t="s">
        <v>21</v>
      </c>
      <c r="G469" s="16">
        <v>72</v>
      </c>
      <c r="H469">
        <f>RANK(G469,$G$2:$G$1001,0)+COUNTIF($G$2:G469,G469)-1</f>
        <v>355</v>
      </c>
      <c r="I469" t="str">
        <f>INDEX('Boundary table'!$B$3:$B$7,MATCH(G469,'Boundary table'!$A$3:$A$7,1))</f>
        <v>C</v>
      </c>
      <c r="J469" s="16">
        <v>67</v>
      </c>
      <c r="K469">
        <f>RANK(J469,$J$2:$J$1001,0)+COUNTIF($J$2:J469,J469)-1</f>
        <v>568</v>
      </c>
      <c r="L469" t="str">
        <f>INDEX('Boundary table'!$B$3:$B$7,MATCH(J469,'Boundary table'!$A$3:$A$7,1))</f>
        <v>D</v>
      </c>
      <c r="M469" s="16">
        <v>65</v>
      </c>
      <c r="N469">
        <f>RANK(M469,$M$2:$M$1001,0)+COUNTIF($M$2:M469,M469)-1</f>
        <v>602</v>
      </c>
      <c r="O469" t="str">
        <f>INDEX('Boundary table'!$B$3:$B$7,MATCH(M469,'Boundary table'!$A$3:$A$7))</f>
        <v>D</v>
      </c>
      <c r="P469">
        <f>Table1[[#This Row],[Math Score]]+Table1[[#This Row],[Reading Score]]+Table1[[#This Row],[Writing Score]]</f>
        <v>204</v>
      </c>
      <c r="Q469" s="16">
        <f>COUNTIF(Table1[[#This Row],[Math Score]],"&lt;60")+COUNTIF(Table1[[#This Row],[Reading Score]],"&lt;60")+COUNTIF(Table1[[#This Row],[Writing Score]],"&lt;60")</f>
        <v>0</v>
      </c>
      <c r="R469" t="str">
        <f>IF(Table1[[#This Row],[Fail Count]]&gt;=2,"At risk","OK")</f>
        <v>OK</v>
      </c>
    </row>
    <row r="470" spans="1:18">
      <c r="A470" t="str">
        <f t="shared" si="7"/>
        <v>Stu-469</v>
      </c>
      <c r="B470" t="s">
        <v>11</v>
      </c>
      <c r="C470" t="s">
        <v>28</v>
      </c>
      <c r="D470" t="s">
        <v>32</v>
      </c>
      <c r="E470" t="s">
        <v>30</v>
      </c>
      <c r="F470" t="s">
        <v>21</v>
      </c>
      <c r="G470" s="16">
        <v>77</v>
      </c>
      <c r="H470">
        <f>RANK(G470,$G$2:$G$1001,0)+COUNTIF($G$2:G470,G470)-1</f>
        <v>240</v>
      </c>
      <c r="I470" t="str">
        <f>INDEX('Boundary table'!$B$3:$B$7,MATCH(G470,'Boundary table'!$A$3:$A$7,1))</f>
        <v>C</v>
      </c>
      <c r="J470" s="16">
        <v>88</v>
      </c>
      <c r="K470">
        <f>RANK(J470,$J$2:$J$1001,0)+COUNTIF($J$2:J470,J470)-1</f>
        <v>96</v>
      </c>
      <c r="L470" t="str">
        <f>INDEX('Boundary table'!$B$3:$B$7,MATCH(J470,'Boundary table'!$A$3:$A$7,1))</f>
        <v>B</v>
      </c>
      <c r="M470" s="16">
        <v>85</v>
      </c>
      <c r="N470">
        <f>RANK(M470,$M$2:$M$1001,0)+COUNTIF($M$2:M470,M470)-1</f>
        <v>127</v>
      </c>
      <c r="O470" t="str">
        <f>INDEX('Boundary table'!$B$3:$B$7,MATCH(M470,'Boundary table'!$A$3:$A$7))</f>
        <v>B</v>
      </c>
      <c r="P470">
        <f>Table1[[#This Row],[Math Score]]+Table1[[#This Row],[Reading Score]]+Table1[[#This Row],[Writing Score]]</f>
        <v>250</v>
      </c>
      <c r="Q470" s="16">
        <f>COUNTIF(Table1[[#This Row],[Math Score]],"&lt;60")+COUNTIF(Table1[[#This Row],[Reading Score]],"&lt;60")+COUNTIF(Table1[[#This Row],[Writing Score]],"&lt;60")</f>
        <v>0</v>
      </c>
      <c r="R470" t="str">
        <f>IF(Table1[[#This Row],[Fail Count]]&gt;=2,"At risk","OK")</f>
        <v>OK</v>
      </c>
    </row>
    <row r="471" spans="1:18">
      <c r="A471" t="str">
        <f t="shared" si="7"/>
        <v>Stu-470</v>
      </c>
      <c r="B471" t="s">
        <v>27</v>
      </c>
      <c r="C471" t="s">
        <v>19</v>
      </c>
      <c r="D471" t="s">
        <v>20</v>
      </c>
      <c r="E471" t="s">
        <v>14</v>
      </c>
      <c r="F471" t="s">
        <v>15</v>
      </c>
      <c r="G471" s="16">
        <v>91</v>
      </c>
      <c r="H471">
        <f>RANK(G471,$G$2:$G$1001,0)+COUNTIF($G$2:G471,G471)-1</f>
        <v>43</v>
      </c>
      <c r="I471" t="str">
        <f>INDEX('Boundary table'!$B$3:$B$7,MATCH(G471,'Boundary table'!$A$3:$A$7,1))</f>
        <v>A</v>
      </c>
      <c r="J471" s="16">
        <v>74</v>
      </c>
      <c r="K471">
        <f>RANK(J471,$J$2:$J$1001,0)+COUNTIF($J$2:J471,J471)-1</f>
        <v>387</v>
      </c>
      <c r="L471" t="str">
        <f>INDEX('Boundary table'!$B$3:$B$7,MATCH(J471,'Boundary table'!$A$3:$A$7,1))</f>
        <v>C</v>
      </c>
      <c r="M471" s="16">
        <v>76</v>
      </c>
      <c r="N471">
        <f>RANK(M471,$M$2:$M$1001,0)+COUNTIF($M$2:M471,M471)-1</f>
        <v>314</v>
      </c>
      <c r="O471" t="str">
        <f>INDEX('Boundary table'!$B$3:$B$7,MATCH(M471,'Boundary table'!$A$3:$A$7))</f>
        <v>C</v>
      </c>
      <c r="P471">
        <f>Table1[[#This Row],[Math Score]]+Table1[[#This Row],[Reading Score]]+Table1[[#This Row],[Writing Score]]</f>
        <v>241</v>
      </c>
      <c r="Q471" s="16">
        <f>COUNTIF(Table1[[#This Row],[Math Score]],"&lt;60")+COUNTIF(Table1[[#This Row],[Reading Score]],"&lt;60")+COUNTIF(Table1[[#This Row],[Writing Score]],"&lt;60")</f>
        <v>0</v>
      </c>
      <c r="R471" t="str">
        <f>IF(Table1[[#This Row],[Fail Count]]&gt;=2,"At risk","OK")</f>
        <v>OK</v>
      </c>
    </row>
    <row r="472" spans="1:18">
      <c r="A472" t="str">
        <f t="shared" si="7"/>
        <v>Stu-471</v>
      </c>
      <c r="B472" t="s">
        <v>11</v>
      </c>
      <c r="C472" t="s">
        <v>19</v>
      </c>
      <c r="D472" t="s">
        <v>29</v>
      </c>
      <c r="E472" t="s">
        <v>14</v>
      </c>
      <c r="F472" t="s">
        <v>21</v>
      </c>
      <c r="G472" s="16">
        <v>83</v>
      </c>
      <c r="H472">
        <f>RANK(G472,$G$2:$G$1001,0)+COUNTIF($G$2:G472,G472)-1</f>
        <v>135</v>
      </c>
      <c r="I472" t="str">
        <f>INDEX('Boundary table'!$B$3:$B$7,MATCH(G472,'Boundary table'!$A$3:$A$7,1))</f>
        <v>B</v>
      </c>
      <c r="J472" s="16">
        <v>85</v>
      </c>
      <c r="K472">
        <f>RANK(J472,$J$2:$J$1001,0)+COUNTIF($J$2:J472,J472)-1</f>
        <v>139</v>
      </c>
      <c r="L472" t="str">
        <f>INDEX('Boundary table'!$B$3:$B$7,MATCH(J472,'Boundary table'!$A$3:$A$7,1))</f>
        <v>B</v>
      </c>
      <c r="M472" s="16">
        <v>90</v>
      </c>
      <c r="N472">
        <f>RANK(M472,$M$2:$M$1001,0)+COUNTIF($M$2:M472,M472)-1</f>
        <v>71</v>
      </c>
      <c r="O472" t="str">
        <f>INDEX('Boundary table'!$B$3:$B$7,MATCH(M472,'Boundary table'!$A$3:$A$7))</f>
        <v>A</v>
      </c>
      <c r="P472">
        <f>Table1[[#This Row],[Math Score]]+Table1[[#This Row],[Reading Score]]+Table1[[#This Row],[Writing Score]]</f>
        <v>258</v>
      </c>
      <c r="Q472" s="16">
        <f>COUNTIF(Table1[[#This Row],[Math Score]],"&lt;60")+COUNTIF(Table1[[#This Row],[Reading Score]],"&lt;60")+COUNTIF(Table1[[#This Row],[Writing Score]],"&lt;60")</f>
        <v>0</v>
      </c>
      <c r="R472" t="str">
        <f>IF(Table1[[#This Row],[Fail Count]]&gt;=2,"At risk","OK")</f>
        <v>OK</v>
      </c>
    </row>
    <row r="473" spans="1:18">
      <c r="A473" t="str">
        <f t="shared" si="7"/>
        <v>Stu-472</v>
      </c>
      <c r="B473" t="s">
        <v>11</v>
      </c>
      <c r="C473" t="s">
        <v>19</v>
      </c>
      <c r="D473" t="s">
        <v>32</v>
      </c>
      <c r="E473" t="s">
        <v>14</v>
      </c>
      <c r="F473" t="s">
        <v>15</v>
      </c>
      <c r="G473" s="16">
        <v>63</v>
      </c>
      <c r="H473">
        <f>RANK(G473,$G$2:$G$1001,0)+COUNTIF($G$2:G473,G473)-1</f>
        <v>587</v>
      </c>
      <c r="I473" t="str">
        <f>INDEX('Boundary table'!$B$3:$B$7,MATCH(G473,'Boundary table'!$A$3:$A$7,1))</f>
        <v>D</v>
      </c>
      <c r="J473" s="16">
        <v>69</v>
      </c>
      <c r="K473">
        <f>RANK(J473,$J$2:$J$1001,0)+COUNTIF($J$2:J473,J473)-1</f>
        <v>521</v>
      </c>
      <c r="L473" t="str">
        <f>INDEX('Boundary table'!$B$3:$B$7,MATCH(J473,'Boundary table'!$A$3:$A$7,1))</f>
        <v>D</v>
      </c>
      <c r="M473" s="16">
        <v>74</v>
      </c>
      <c r="N473">
        <f>RANK(M473,$M$2:$M$1001,0)+COUNTIF($M$2:M473,M473)-1</f>
        <v>368</v>
      </c>
      <c r="O473" t="str">
        <f>INDEX('Boundary table'!$B$3:$B$7,MATCH(M473,'Boundary table'!$A$3:$A$7))</f>
        <v>C</v>
      </c>
      <c r="P473">
        <f>Table1[[#This Row],[Math Score]]+Table1[[#This Row],[Reading Score]]+Table1[[#This Row],[Writing Score]]</f>
        <v>206</v>
      </c>
      <c r="Q473" s="16">
        <f>COUNTIF(Table1[[#This Row],[Math Score]],"&lt;60")+COUNTIF(Table1[[#This Row],[Reading Score]],"&lt;60")+COUNTIF(Table1[[#This Row],[Writing Score]],"&lt;60")</f>
        <v>0</v>
      </c>
      <c r="R473" t="str">
        <f>IF(Table1[[#This Row],[Fail Count]]&gt;=2,"At risk","OK")</f>
        <v>OK</v>
      </c>
    </row>
    <row r="474" spans="1:18">
      <c r="A474" t="str">
        <f t="shared" si="7"/>
        <v>Stu-473</v>
      </c>
      <c r="B474" t="s">
        <v>11</v>
      </c>
      <c r="C474" t="s">
        <v>19</v>
      </c>
      <c r="D474" t="s">
        <v>29</v>
      </c>
      <c r="E474" t="s">
        <v>14</v>
      </c>
      <c r="F474" t="s">
        <v>21</v>
      </c>
      <c r="G474" s="16">
        <v>68</v>
      </c>
      <c r="H474">
        <f>RANK(G474,$G$2:$G$1001,0)+COUNTIF($G$2:G474,G474)-1</f>
        <v>450</v>
      </c>
      <c r="I474" t="str">
        <f>INDEX('Boundary table'!$B$3:$B$7,MATCH(G474,'Boundary table'!$A$3:$A$7,1))</f>
        <v>D</v>
      </c>
      <c r="J474" s="16">
        <v>86</v>
      </c>
      <c r="K474">
        <f>RANK(J474,$J$2:$J$1001,0)+COUNTIF($J$2:J474,J474)-1</f>
        <v>124</v>
      </c>
      <c r="L474" t="str">
        <f>INDEX('Boundary table'!$B$3:$B$7,MATCH(J474,'Boundary table'!$A$3:$A$7,1))</f>
        <v>B</v>
      </c>
      <c r="M474" s="16">
        <v>84</v>
      </c>
      <c r="N474">
        <f>RANK(M474,$M$2:$M$1001,0)+COUNTIF($M$2:M474,M474)-1</f>
        <v>140</v>
      </c>
      <c r="O474" t="str">
        <f>INDEX('Boundary table'!$B$3:$B$7,MATCH(M474,'Boundary table'!$A$3:$A$7))</f>
        <v>B</v>
      </c>
      <c r="P474">
        <f>Table1[[#This Row],[Math Score]]+Table1[[#This Row],[Reading Score]]+Table1[[#This Row],[Writing Score]]</f>
        <v>238</v>
      </c>
      <c r="Q474" s="16">
        <f>COUNTIF(Table1[[#This Row],[Math Score]],"&lt;60")+COUNTIF(Table1[[#This Row],[Reading Score]],"&lt;60")+COUNTIF(Table1[[#This Row],[Writing Score]],"&lt;60")</f>
        <v>0</v>
      </c>
      <c r="R474" t="str">
        <f>IF(Table1[[#This Row],[Fail Count]]&gt;=2,"At risk","OK")</f>
        <v>OK</v>
      </c>
    </row>
    <row r="475" spans="1:18">
      <c r="A475" t="str">
        <f t="shared" si="7"/>
        <v>Stu-474</v>
      </c>
      <c r="B475" t="s">
        <v>11</v>
      </c>
      <c r="C475" t="s">
        <v>31</v>
      </c>
      <c r="D475" t="s">
        <v>33</v>
      </c>
      <c r="E475" t="s">
        <v>14</v>
      </c>
      <c r="F475" t="s">
        <v>15</v>
      </c>
      <c r="G475" s="16">
        <v>59</v>
      </c>
      <c r="H475">
        <f>RANK(G475,$G$2:$G$1001,0)+COUNTIF($G$2:G475,G475)-1</f>
        <v>696</v>
      </c>
      <c r="I475" t="str">
        <f>INDEX('Boundary table'!$B$3:$B$7,MATCH(G475,'Boundary table'!$A$3:$A$7,1))</f>
        <v>F</v>
      </c>
      <c r="J475" s="16">
        <v>67</v>
      </c>
      <c r="K475">
        <f>RANK(J475,$J$2:$J$1001,0)+COUNTIF($J$2:J475,J475)-1</f>
        <v>569</v>
      </c>
      <c r="L475" t="str">
        <f>INDEX('Boundary table'!$B$3:$B$7,MATCH(J475,'Boundary table'!$A$3:$A$7,1))</f>
        <v>D</v>
      </c>
      <c r="M475" s="16">
        <v>61</v>
      </c>
      <c r="N475">
        <f>RANK(M475,$M$2:$M$1001,0)+COUNTIF($M$2:M475,M475)-1</f>
        <v>689</v>
      </c>
      <c r="O475" t="str">
        <f>INDEX('Boundary table'!$B$3:$B$7,MATCH(M475,'Boundary table'!$A$3:$A$7))</f>
        <v>D</v>
      </c>
      <c r="P475">
        <f>Table1[[#This Row],[Math Score]]+Table1[[#This Row],[Reading Score]]+Table1[[#This Row],[Writing Score]]</f>
        <v>187</v>
      </c>
      <c r="Q475" s="16">
        <f>COUNTIF(Table1[[#This Row],[Math Score]],"&lt;60")+COUNTIF(Table1[[#This Row],[Reading Score]],"&lt;60")+COUNTIF(Table1[[#This Row],[Writing Score]],"&lt;60")</f>
        <v>1</v>
      </c>
      <c r="R475" t="str">
        <f>IF(Table1[[#This Row],[Fail Count]]&gt;=2,"At risk","OK")</f>
        <v>OK</v>
      </c>
    </row>
    <row r="476" spans="1:18">
      <c r="A476" t="str">
        <f t="shared" si="7"/>
        <v>Stu-475</v>
      </c>
      <c r="B476" t="s">
        <v>11</v>
      </c>
      <c r="C476" t="s">
        <v>12</v>
      </c>
      <c r="D476" t="s">
        <v>29</v>
      </c>
      <c r="E476" t="s">
        <v>14</v>
      </c>
      <c r="F476" t="s">
        <v>21</v>
      </c>
      <c r="G476" s="16">
        <v>90</v>
      </c>
      <c r="H476">
        <f>RANK(G476,$G$2:$G$1001,0)+COUNTIF($G$2:G476,G476)-1</f>
        <v>54</v>
      </c>
      <c r="I476" t="str">
        <f>INDEX('Boundary table'!$B$3:$B$7,MATCH(G476,'Boundary table'!$A$3:$A$7,1))</f>
        <v>A</v>
      </c>
      <c r="J476" s="16">
        <v>90</v>
      </c>
      <c r="K476">
        <f>RANK(J476,$J$2:$J$1001,0)+COUNTIF($J$2:J476,J476)-1</f>
        <v>69</v>
      </c>
      <c r="L476" t="str">
        <f>INDEX('Boundary table'!$B$3:$B$7,MATCH(J476,'Boundary table'!$A$3:$A$7,1))</f>
        <v>A</v>
      </c>
      <c r="M476" s="16">
        <v>91</v>
      </c>
      <c r="N476">
        <f>RANK(M476,$M$2:$M$1001,0)+COUNTIF($M$2:M476,M476)-1</f>
        <v>62</v>
      </c>
      <c r="O476" t="str">
        <f>INDEX('Boundary table'!$B$3:$B$7,MATCH(M476,'Boundary table'!$A$3:$A$7))</f>
        <v>A</v>
      </c>
      <c r="P476">
        <f>Table1[[#This Row],[Math Score]]+Table1[[#This Row],[Reading Score]]+Table1[[#This Row],[Writing Score]]</f>
        <v>271</v>
      </c>
      <c r="Q476" s="16">
        <f>COUNTIF(Table1[[#This Row],[Math Score]],"&lt;60")+COUNTIF(Table1[[#This Row],[Reading Score]],"&lt;60")+COUNTIF(Table1[[#This Row],[Writing Score]],"&lt;60")</f>
        <v>0</v>
      </c>
      <c r="R476" t="str">
        <f>IF(Table1[[#This Row],[Fail Count]]&gt;=2,"At risk","OK")</f>
        <v>OK</v>
      </c>
    </row>
    <row r="477" spans="1:18">
      <c r="A477" t="str">
        <f t="shared" si="7"/>
        <v>Stu-476</v>
      </c>
      <c r="B477" t="s">
        <v>11</v>
      </c>
      <c r="C477" t="s">
        <v>31</v>
      </c>
      <c r="D477" t="s">
        <v>13</v>
      </c>
      <c r="E477" t="s">
        <v>14</v>
      </c>
      <c r="F477" t="s">
        <v>21</v>
      </c>
      <c r="G477" s="16">
        <v>71</v>
      </c>
      <c r="H477">
        <f>RANK(G477,$G$2:$G$1001,0)+COUNTIF($G$2:G477,G477)-1</f>
        <v>382</v>
      </c>
      <c r="I477" t="str">
        <f>INDEX('Boundary table'!$B$3:$B$7,MATCH(G477,'Boundary table'!$A$3:$A$7,1))</f>
        <v>C</v>
      </c>
      <c r="J477" s="16">
        <v>76</v>
      </c>
      <c r="K477">
        <f>RANK(J477,$J$2:$J$1001,0)+COUNTIF($J$2:J477,J477)-1</f>
        <v>331</v>
      </c>
      <c r="L477" t="str">
        <f>INDEX('Boundary table'!$B$3:$B$7,MATCH(J477,'Boundary table'!$A$3:$A$7,1))</f>
        <v>C</v>
      </c>
      <c r="M477" s="16">
        <v>83</v>
      </c>
      <c r="N477">
        <f>RANK(M477,$M$2:$M$1001,0)+COUNTIF($M$2:M477,M477)-1</f>
        <v>158</v>
      </c>
      <c r="O477" t="str">
        <f>INDEX('Boundary table'!$B$3:$B$7,MATCH(M477,'Boundary table'!$A$3:$A$7))</f>
        <v>B</v>
      </c>
      <c r="P477">
        <f>Table1[[#This Row],[Math Score]]+Table1[[#This Row],[Reading Score]]+Table1[[#This Row],[Writing Score]]</f>
        <v>230</v>
      </c>
      <c r="Q477" s="16">
        <f>COUNTIF(Table1[[#This Row],[Math Score]],"&lt;60")+COUNTIF(Table1[[#This Row],[Reading Score]],"&lt;60")+COUNTIF(Table1[[#This Row],[Writing Score]],"&lt;60")</f>
        <v>0</v>
      </c>
      <c r="R477" t="str">
        <f>IF(Table1[[#This Row],[Fail Count]]&gt;=2,"At risk","OK")</f>
        <v>OK</v>
      </c>
    </row>
    <row r="478" spans="1:18">
      <c r="A478" t="str">
        <f t="shared" si="7"/>
        <v>Stu-477</v>
      </c>
      <c r="B478" t="s">
        <v>27</v>
      </c>
      <c r="C478" t="s">
        <v>34</v>
      </c>
      <c r="D478" t="s">
        <v>13</v>
      </c>
      <c r="E478" t="s">
        <v>14</v>
      </c>
      <c r="F478" t="s">
        <v>21</v>
      </c>
      <c r="G478" s="16">
        <v>76</v>
      </c>
      <c r="H478">
        <f>RANK(G478,$G$2:$G$1001,0)+COUNTIF($G$2:G478,G478)-1</f>
        <v>263</v>
      </c>
      <c r="I478" t="str">
        <f>INDEX('Boundary table'!$B$3:$B$7,MATCH(G478,'Boundary table'!$A$3:$A$7,1))</f>
        <v>C</v>
      </c>
      <c r="J478" s="16">
        <v>62</v>
      </c>
      <c r="K478">
        <f>RANK(J478,$J$2:$J$1001,0)+COUNTIF($J$2:J478,J478)-1</f>
        <v>688</v>
      </c>
      <c r="L478" t="str">
        <f>INDEX('Boundary table'!$B$3:$B$7,MATCH(J478,'Boundary table'!$A$3:$A$7,1))</f>
        <v>D</v>
      </c>
      <c r="M478" s="16">
        <v>66</v>
      </c>
      <c r="N478">
        <f>RANK(M478,$M$2:$M$1001,0)+COUNTIF($M$2:M478,M478)-1</f>
        <v>580</v>
      </c>
      <c r="O478" t="str">
        <f>INDEX('Boundary table'!$B$3:$B$7,MATCH(M478,'Boundary table'!$A$3:$A$7))</f>
        <v>D</v>
      </c>
      <c r="P478">
        <f>Table1[[#This Row],[Math Score]]+Table1[[#This Row],[Reading Score]]+Table1[[#This Row],[Writing Score]]</f>
        <v>204</v>
      </c>
      <c r="Q478" s="16">
        <f>COUNTIF(Table1[[#This Row],[Math Score]],"&lt;60")+COUNTIF(Table1[[#This Row],[Reading Score]],"&lt;60")+COUNTIF(Table1[[#This Row],[Writing Score]],"&lt;60")</f>
        <v>0</v>
      </c>
      <c r="R478" t="str">
        <f>IF(Table1[[#This Row],[Fail Count]]&gt;=2,"At risk","OK")</f>
        <v>OK</v>
      </c>
    </row>
    <row r="479" spans="1:18">
      <c r="A479" t="str">
        <f t="shared" si="7"/>
        <v>Stu-478</v>
      </c>
      <c r="B479" t="s">
        <v>27</v>
      </c>
      <c r="C479" t="s">
        <v>31</v>
      </c>
      <c r="D479" t="s">
        <v>29</v>
      </c>
      <c r="E479" t="s">
        <v>14</v>
      </c>
      <c r="F479" t="s">
        <v>15</v>
      </c>
      <c r="G479" s="16">
        <v>80</v>
      </c>
      <c r="H479">
        <f>RANK(G479,$G$2:$G$1001,0)+COUNTIF($G$2:G479,G479)-1</f>
        <v>187</v>
      </c>
      <c r="I479" t="str">
        <f>INDEX('Boundary table'!$B$3:$B$7,MATCH(G479,'Boundary table'!$A$3:$A$7,1))</f>
        <v>B</v>
      </c>
      <c r="J479" s="16">
        <v>68</v>
      </c>
      <c r="K479">
        <f>RANK(J479,$J$2:$J$1001,0)+COUNTIF($J$2:J479,J479)-1</f>
        <v>538</v>
      </c>
      <c r="L479" t="str">
        <f>INDEX('Boundary table'!$B$3:$B$7,MATCH(J479,'Boundary table'!$A$3:$A$7,1))</f>
        <v>D</v>
      </c>
      <c r="M479" s="16">
        <v>72</v>
      </c>
      <c r="N479">
        <f>RANK(M479,$M$2:$M$1001,0)+COUNTIF($M$2:M479,M479)-1</f>
        <v>422</v>
      </c>
      <c r="O479" t="str">
        <f>INDEX('Boundary table'!$B$3:$B$7,MATCH(M479,'Boundary table'!$A$3:$A$7))</f>
        <v>C</v>
      </c>
      <c r="P479">
        <f>Table1[[#This Row],[Math Score]]+Table1[[#This Row],[Reading Score]]+Table1[[#This Row],[Writing Score]]</f>
        <v>220</v>
      </c>
      <c r="Q479" s="16">
        <f>COUNTIF(Table1[[#This Row],[Math Score]],"&lt;60")+COUNTIF(Table1[[#This Row],[Reading Score]],"&lt;60")+COUNTIF(Table1[[#This Row],[Writing Score]],"&lt;60")</f>
        <v>0</v>
      </c>
      <c r="R479" t="str">
        <f>IF(Table1[[#This Row],[Fail Count]]&gt;=2,"At risk","OK")</f>
        <v>OK</v>
      </c>
    </row>
    <row r="480" spans="1:18">
      <c r="A480" t="str">
        <f t="shared" si="7"/>
        <v>Stu-479</v>
      </c>
      <c r="B480" t="s">
        <v>11</v>
      </c>
      <c r="C480" t="s">
        <v>31</v>
      </c>
      <c r="D480" t="s">
        <v>26</v>
      </c>
      <c r="E480" t="s">
        <v>14</v>
      </c>
      <c r="F480" t="s">
        <v>15</v>
      </c>
      <c r="G480" s="16">
        <v>55</v>
      </c>
      <c r="H480">
        <f>RANK(G480,$G$2:$G$1001,0)+COUNTIF($G$2:G480,G480)-1</f>
        <v>767</v>
      </c>
      <c r="I480" t="str">
        <f>INDEX('Boundary table'!$B$3:$B$7,MATCH(G480,'Boundary table'!$A$3:$A$7,1))</f>
        <v>F</v>
      </c>
      <c r="J480" s="16">
        <v>64</v>
      </c>
      <c r="K480">
        <f>RANK(J480,$J$2:$J$1001,0)+COUNTIF($J$2:J480,J480)-1</f>
        <v>642</v>
      </c>
      <c r="L480" t="str">
        <f>INDEX('Boundary table'!$B$3:$B$7,MATCH(J480,'Boundary table'!$A$3:$A$7,1))</f>
        <v>D</v>
      </c>
      <c r="M480" s="16">
        <v>70</v>
      </c>
      <c r="N480">
        <f>RANK(M480,$M$2:$M$1001,0)+COUNTIF($M$2:M480,M480)-1</f>
        <v>475</v>
      </c>
      <c r="O480" t="str">
        <f>INDEX('Boundary table'!$B$3:$B$7,MATCH(M480,'Boundary table'!$A$3:$A$7))</f>
        <v>C</v>
      </c>
      <c r="P480">
        <f>Table1[[#This Row],[Math Score]]+Table1[[#This Row],[Reading Score]]+Table1[[#This Row],[Writing Score]]</f>
        <v>189</v>
      </c>
      <c r="Q480" s="16">
        <f>COUNTIF(Table1[[#This Row],[Math Score]],"&lt;60")+COUNTIF(Table1[[#This Row],[Reading Score]],"&lt;60")+COUNTIF(Table1[[#This Row],[Writing Score]],"&lt;60")</f>
        <v>1</v>
      </c>
      <c r="R480" t="str">
        <f>IF(Table1[[#This Row],[Fail Count]]&gt;=2,"At risk","OK")</f>
        <v>OK</v>
      </c>
    </row>
    <row r="481" spans="1:18">
      <c r="A481" t="str">
        <f t="shared" si="7"/>
        <v>Stu-480</v>
      </c>
      <c r="B481" t="s">
        <v>27</v>
      </c>
      <c r="C481" t="s">
        <v>34</v>
      </c>
      <c r="D481" t="s">
        <v>29</v>
      </c>
      <c r="E481" t="s">
        <v>14</v>
      </c>
      <c r="F481" t="s">
        <v>15</v>
      </c>
      <c r="G481" s="16">
        <v>76</v>
      </c>
      <c r="H481">
        <f>RANK(G481,$G$2:$G$1001,0)+COUNTIF($G$2:G481,G481)-1</f>
        <v>264</v>
      </c>
      <c r="I481" t="str">
        <f>INDEX('Boundary table'!$B$3:$B$7,MATCH(G481,'Boundary table'!$A$3:$A$7,1))</f>
        <v>C</v>
      </c>
      <c r="J481" s="16">
        <v>71</v>
      </c>
      <c r="K481">
        <f>RANK(J481,$J$2:$J$1001,0)+COUNTIF($J$2:J481,J481)-1</f>
        <v>477</v>
      </c>
      <c r="L481" t="str">
        <f>INDEX('Boundary table'!$B$3:$B$7,MATCH(J481,'Boundary table'!$A$3:$A$7,1))</f>
        <v>C</v>
      </c>
      <c r="M481" s="16">
        <v>67</v>
      </c>
      <c r="N481">
        <f>RANK(M481,$M$2:$M$1001,0)+COUNTIF($M$2:M481,M481)-1</f>
        <v>559</v>
      </c>
      <c r="O481" t="str">
        <f>INDEX('Boundary table'!$B$3:$B$7,MATCH(M481,'Boundary table'!$A$3:$A$7))</f>
        <v>D</v>
      </c>
      <c r="P481">
        <f>Table1[[#This Row],[Math Score]]+Table1[[#This Row],[Reading Score]]+Table1[[#This Row],[Writing Score]]</f>
        <v>214</v>
      </c>
      <c r="Q481" s="16">
        <f>COUNTIF(Table1[[#This Row],[Math Score]],"&lt;60")+COUNTIF(Table1[[#This Row],[Reading Score]],"&lt;60")+COUNTIF(Table1[[#This Row],[Writing Score]],"&lt;60")</f>
        <v>0</v>
      </c>
      <c r="R481" t="str">
        <f>IF(Table1[[#This Row],[Fail Count]]&gt;=2,"At risk","OK")</f>
        <v>OK</v>
      </c>
    </row>
    <row r="482" spans="1:18">
      <c r="A482" t="str">
        <f t="shared" si="7"/>
        <v>Stu-481</v>
      </c>
      <c r="B482" t="s">
        <v>27</v>
      </c>
      <c r="C482" t="s">
        <v>12</v>
      </c>
      <c r="D482" t="s">
        <v>32</v>
      </c>
      <c r="E482" t="s">
        <v>14</v>
      </c>
      <c r="F482" t="s">
        <v>21</v>
      </c>
      <c r="G482" s="16">
        <v>73</v>
      </c>
      <c r="H482">
        <f>RANK(G482,$G$2:$G$1001,0)+COUNTIF($G$2:G482,G482)-1</f>
        <v>334</v>
      </c>
      <c r="I482" t="str">
        <f>INDEX('Boundary table'!$B$3:$B$7,MATCH(G482,'Boundary table'!$A$3:$A$7,1))</f>
        <v>C</v>
      </c>
      <c r="J482" s="16">
        <v>71</v>
      </c>
      <c r="K482">
        <f>RANK(J482,$J$2:$J$1001,0)+COUNTIF($J$2:J482,J482)-1</f>
        <v>478</v>
      </c>
      <c r="L482" t="str">
        <f>INDEX('Boundary table'!$B$3:$B$7,MATCH(J482,'Boundary table'!$A$3:$A$7,1))</f>
        <v>C</v>
      </c>
      <c r="M482" s="16">
        <v>68</v>
      </c>
      <c r="N482">
        <f>RANK(M482,$M$2:$M$1001,0)+COUNTIF($M$2:M482,M482)-1</f>
        <v>528</v>
      </c>
      <c r="O482" t="str">
        <f>INDEX('Boundary table'!$B$3:$B$7,MATCH(M482,'Boundary table'!$A$3:$A$7))</f>
        <v>D</v>
      </c>
      <c r="P482">
        <f>Table1[[#This Row],[Math Score]]+Table1[[#This Row],[Reading Score]]+Table1[[#This Row],[Writing Score]]</f>
        <v>212</v>
      </c>
      <c r="Q482" s="16">
        <f>COUNTIF(Table1[[#This Row],[Math Score]],"&lt;60")+COUNTIF(Table1[[#This Row],[Reading Score]],"&lt;60")+COUNTIF(Table1[[#This Row],[Writing Score]],"&lt;60")</f>
        <v>0</v>
      </c>
      <c r="R482" t="str">
        <f>IF(Table1[[#This Row],[Fail Count]]&gt;=2,"At risk","OK")</f>
        <v>OK</v>
      </c>
    </row>
    <row r="483" spans="1:18">
      <c r="A483" t="str">
        <f t="shared" si="7"/>
        <v>Stu-482</v>
      </c>
      <c r="B483" t="s">
        <v>11</v>
      </c>
      <c r="C483" t="s">
        <v>31</v>
      </c>
      <c r="D483" t="s">
        <v>29</v>
      </c>
      <c r="E483" t="s">
        <v>30</v>
      </c>
      <c r="F483" t="s">
        <v>15</v>
      </c>
      <c r="G483" s="16">
        <v>52</v>
      </c>
      <c r="H483">
        <f>RANK(G483,$G$2:$G$1001,0)+COUNTIF($G$2:G483,G483)-1</f>
        <v>830</v>
      </c>
      <c r="I483" t="str">
        <f>INDEX('Boundary table'!$B$3:$B$7,MATCH(G483,'Boundary table'!$A$3:$A$7,1))</f>
        <v>F</v>
      </c>
      <c r="J483" s="16">
        <v>59</v>
      </c>
      <c r="K483">
        <f>RANK(J483,$J$2:$J$1001,0)+COUNTIF($J$2:J483,J483)-1</f>
        <v>753</v>
      </c>
      <c r="L483" t="str">
        <f>INDEX('Boundary table'!$B$3:$B$7,MATCH(J483,'Boundary table'!$A$3:$A$7,1))</f>
        <v>F</v>
      </c>
      <c r="M483" s="16">
        <v>56</v>
      </c>
      <c r="N483">
        <f>RANK(M483,$M$2:$M$1001,0)+COUNTIF($M$2:M483,M483)-1</f>
        <v>778</v>
      </c>
      <c r="O483" t="str">
        <f>INDEX('Boundary table'!$B$3:$B$7,MATCH(M483,'Boundary table'!$A$3:$A$7))</f>
        <v>F</v>
      </c>
      <c r="P483">
        <f>Table1[[#This Row],[Math Score]]+Table1[[#This Row],[Reading Score]]+Table1[[#This Row],[Writing Score]]</f>
        <v>167</v>
      </c>
      <c r="Q483" s="16">
        <f>COUNTIF(Table1[[#This Row],[Math Score]],"&lt;60")+COUNTIF(Table1[[#This Row],[Reading Score]],"&lt;60")+COUNTIF(Table1[[#This Row],[Writing Score]],"&lt;60")</f>
        <v>3</v>
      </c>
      <c r="R483" t="str">
        <f>IF(Table1[[#This Row],[Fail Count]]&gt;=2,"At risk","OK")</f>
        <v>At risk</v>
      </c>
    </row>
    <row r="484" spans="1:18">
      <c r="A484" t="str">
        <f t="shared" si="7"/>
        <v>Stu-483</v>
      </c>
      <c r="B484" t="s">
        <v>27</v>
      </c>
      <c r="C484" t="s">
        <v>19</v>
      </c>
      <c r="D484" t="s">
        <v>20</v>
      </c>
      <c r="E484" t="s">
        <v>30</v>
      </c>
      <c r="F484" t="s">
        <v>15</v>
      </c>
      <c r="G484" s="16">
        <v>68</v>
      </c>
      <c r="H484">
        <f>RANK(G484,$G$2:$G$1001,0)+COUNTIF($G$2:G484,G484)-1</f>
        <v>451</v>
      </c>
      <c r="I484" t="str">
        <f>INDEX('Boundary table'!$B$3:$B$7,MATCH(G484,'Boundary table'!$A$3:$A$7,1))</f>
        <v>D</v>
      </c>
      <c r="J484" s="16">
        <v>68</v>
      </c>
      <c r="K484">
        <f>RANK(J484,$J$2:$J$1001,0)+COUNTIF($J$2:J484,J484)-1</f>
        <v>539</v>
      </c>
      <c r="L484" t="str">
        <f>INDEX('Boundary table'!$B$3:$B$7,MATCH(J484,'Boundary table'!$A$3:$A$7,1))</f>
        <v>D</v>
      </c>
      <c r="M484" s="16">
        <v>61</v>
      </c>
      <c r="N484">
        <f>RANK(M484,$M$2:$M$1001,0)+COUNTIF($M$2:M484,M484)-1</f>
        <v>690</v>
      </c>
      <c r="O484" t="str">
        <f>INDEX('Boundary table'!$B$3:$B$7,MATCH(M484,'Boundary table'!$A$3:$A$7))</f>
        <v>D</v>
      </c>
      <c r="P484">
        <f>Table1[[#This Row],[Math Score]]+Table1[[#This Row],[Reading Score]]+Table1[[#This Row],[Writing Score]]</f>
        <v>197</v>
      </c>
      <c r="Q484" s="16">
        <f>COUNTIF(Table1[[#This Row],[Math Score]],"&lt;60")+COUNTIF(Table1[[#This Row],[Reading Score]],"&lt;60")+COUNTIF(Table1[[#This Row],[Writing Score]],"&lt;60")</f>
        <v>0</v>
      </c>
      <c r="R484" t="str">
        <f>IF(Table1[[#This Row],[Fail Count]]&gt;=2,"At risk","OK")</f>
        <v>OK</v>
      </c>
    </row>
    <row r="485" spans="1:18">
      <c r="A485" t="str">
        <f t="shared" si="7"/>
        <v>Stu-484</v>
      </c>
      <c r="B485" t="s">
        <v>27</v>
      </c>
      <c r="C485" t="s">
        <v>28</v>
      </c>
      <c r="D485" t="s">
        <v>32</v>
      </c>
      <c r="E485" t="s">
        <v>14</v>
      </c>
      <c r="F485" t="s">
        <v>15</v>
      </c>
      <c r="G485" s="16">
        <v>59</v>
      </c>
      <c r="H485">
        <f>RANK(G485,$G$2:$G$1001,0)+COUNTIF($G$2:G485,G485)-1</f>
        <v>697</v>
      </c>
      <c r="I485" t="str">
        <f>INDEX('Boundary table'!$B$3:$B$7,MATCH(G485,'Boundary table'!$A$3:$A$7,1))</f>
        <v>F</v>
      </c>
      <c r="J485" s="16">
        <v>52</v>
      </c>
      <c r="K485">
        <f>RANK(J485,$J$2:$J$1001,0)+COUNTIF($J$2:J485,J485)-1</f>
        <v>880</v>
      </c>
      <c r="L485" t="str">
        <f>INDEX('Boundary table'!$B$3:$B$7,MATCH(J485,'Boundary table'!$A$3:$A$7,1))</f>
        <v>F</v>
      </c>
      <c r="M485" s="16">
        <v>46</v>
      </c>
      <c r="N485">
        <f>RANK(M485,$M$2:$M$1001,0)+COUNTIF($M$2:M485,M485)-1</f>
        <v>917</v>
      </c>
      <c r="O485" t="str">
        <f>INDEX('Boundary table'!$B$3:$B$7,MATCH(M485,'Boundary table'!$A$3:$A$7))</f>
        <v>F</v>
      </c>
      <c r="P485">
        <f>Table1[[#This Row],[Math Score]]+Table1[[#This Row],[Reading Score]]+Table1[[#This Row],[Writing Score]]</f>
        <v>157</v>
      </c>
      <c r="Q485" s="16">
        <f>COUNTIF(Table1[[#This Row],[Math Score]],"&lt;60")+COUNTIF(Table1[[#This Row],[Reading Score]],"&lt;60")+COUNTIF(Table1[[#This Row],[Writing Score]],"&lt;60")</f>
        <v>3</v>
      </c>
      <c r="R485" t="str">
        <f>IF(Table1[[#This Row],[Fail Count]]&gt;=2,"At risk","OK")</f>
        <v>At risk</v>
      </c>
    </row>
    <row r="486" spans="1:18">
      <c r="A486" t="str">
        <f t="shared" si="7"/>
        <v>Stu-485</v>
      </c>
      <c r="B486" t="s">
        <v>11</v>
      </c>
      <c r="C486" t="s">
        <v>12</v>
      </c>
      <c r="D486" t="s">
        <v>29</v>
      </c>
      <c r="E486" t="s">
        <v>14</v>
      </c>
      <c r="F486" t="s">
        <v>15</v>
      </c>
      <c r="G486" s="16">
        <v>49</v>
      </c>
      <c r="H486">
        <f>RANK(G486,$G$2:$G$1001,0)+COUNTIF($G$2:G486,G486)-1</f>
        <v>873</v>
      </c>
      <c r="I486" t="str">
        <f>INDEX('Boundary table'!$B$3:$B$7,MATCH(G486,'Boundary table'!$A$3:$A$7,1))</f>
        <v>F</v>
      </c>
      <c r="J486" s="16">
        <v>52</v>
      </c>
      <c r="K486">
        <f>RANK(J486,$J$2:$J$1001,0)+COUNTIF($J$2:J486,J486)-1</f>
        <v>881</v>
      </c>
      <c r="L486" t="str">
        <f>INDEX('Boundary table'!$B$3:$B$7,MATCH(J486,'Boundary table'!$A$3:$A$7,1))</f>
        <v>F</v>
      </c>
      <c r="M486" s="16">
        <v>54</v>
      </c>
      <c r="N486">
        <f>RANK(M486,$M$2:$M$1001,0)+COUNTIF($M$2:M486,M486)-1</f>
        <v>809</v>
      </c>
      <c r="O486" t="str">
        <f>INDEX('Boundary table'!$B$3:$B$7,MATCH(M486,'Boundary table'!$A$3:$A$7))</f>
        <v>F</v>
      </c>
      <c r="P486">
        <f>Table1[[#This Row],[Math Score]]+Table1[[#This Row],[Reading Score]]+Table1[[#This Row],[Writing Score]]</f>
        <v>155</v>
      </c>
      <c r="Q486" s="16">
        <f>COUNTIF(Table1[[#This Row],[Math Score]],"&lt;60")+COUNTIF(Table1[[#This Row],[Reading Score]],"&lt;60")+COUNTIF(Table1[[#This Row],[Writing Score]],"&lt;60")</f>
        <v>3</v>
      </c>
      <c r="R486" t="str">
        <f>IF(Table1[[#This Row],[Fail Count]]&gt;=2,"At risk","OK")</f>
        <v>At risk</v>
      </c>
    </row>
    <row r="487" spans="1:18">
      <c r="A487" t="str">
        <f t="shared" si="7"/>
        <v>Stu-486</v>
      </c>
      <c r="B487" t="s">
        <v>27</v>
      </c>
      <c r="C487" t="s">
        <v>19</v>
      </c>
      <c r="D487" t="s">
        <v>32</v>
      </c>
      <c r="E487" t="s">
        <v>14</v>
      </c>
      <c r="F487" t="s">
        <v>15</v>
      </c>
      <c r="G487" s="16">
        <v>70</v>
      </c>
      <c r="H487">
        <f>RANK(G487,$G$2:$G$1001,0)+COUNTIF($G$2:G487,G487)-1</f>
        <v>400</v>
      </c>
      <c r="I487" t="str">
        <f>INDEX('Boundary table'!$B$3:$B$7,MATCH(G487,'Boundary table'!$A$3:$A$7,1))</f>
        <v>C</v>
      </c>
      <c r="J487" s="16">
        <v>74</v>
      </c>
      <c r="K487">
        <f>RANK(J487,$J$2:$J$1001,0)+COUNTIF($J$2:J487,J487)-1</f>
        <v>388</v>
      </c>
      <c r="L487" t="str">
        <f>INDEX('Boundary table'!$B$3:$B$7,MATCH(J487,'Boundary table'!$A$3:$A$7,1))</f>
        <v>C</v>
      </c>
      <c r="M487" s="16">
        <v>71</v>
      </c>
      <c r="N487">
        <f>RANK(M487,$M$2:$M$1001,0)+COUNTIF($M$2:M487,M487)-1</f>
        <v>447</v>
      </c>
      <c r="O487" t="str">
        <f>INDEX('Boundary table'!$B$3:$B$7,MATCH(M487,'Boundary table'!$A$3:$A$7))</f>
        <v>C</v>
      </c>
      <c r="P487">
        <f>Table1[[#This Row],[Math Score]]+Table1[[#This Row],[Reading Score]]+Table1[[#This Row],[Writing Score]]</f>
        <v>215</v>
      </c>
      <c r="Q487" s="16">
        <f>COUNTIF(Table1[[#This Row],[Math Score]],"&lt;60")+COUNTIF(Table1[[#This Row],[Reading Score]],"&lt;60")+COUNTIF(Table1[[#This Row],[Writing Score]],"&lt;60")</f>
        <v>0</v>
      </c>
      <c r="R487" t="str">
        <f>IF(Table1[[#This Row],[Fail Count]]&gt;=2,"At risk","OK")</f>
        <v>OK</v>
      </c>
    </row>
    <row r="488" spans="1:18">
      <c r="A488" t="str">
        <f t="shared" si="7"/>
        <v>Stu-487</v>
      </c>
      <c r="B488" t="s">
        <v>27</v>
      </c>
      <c r="C488" t="s">
        <v>31</v>
      </c>
      <c r="D488" t="s">
        <v>20</v>
      </c>
      <c r="E488" t="s">
        <v>30</v>
      </c>
      <c r="F488" t="s">
        <v>15</v>
      </c>
      <c r="G488" s="16">
        <v>61</v>
      </c>
      <c r="H488">
        <f>RANK(G488,$G$2:$G$1001,0)+COUNTIF($G$2:G488,G488)-1</f>
        <v>648</v>
      </c>
      <c r="I488" t="str">
        <f>INDEX('Boundary table'!$B$3:$B$7,MATCH(G488,'Boundary table'!$A$3:$A$7,1))</f>
        <v>D</v>
      </c>
      <c r="J488" s="16">
        <v>47</v>
      </c>
      <c r="K488">
        <f>RANK(J488,$J$2:$J$1001,0)+COUNTIF($J$2:J488,J488)-1</f>
        <v>932</v>
      </c>
      <c r="L488" t="str">
        <f>INDEX('Boundary table'!$B$3:$B$7,MATCH(J488,'Boundary table'!$A$3:$A$7,1))</f>
        <v>F</v>
      </c>
      <c r="M488" s="16">
        <v>56</v>
      </c>
      <c r="N488">
        <f>RANK(M488,$M$2:$M$1001,0)+COUNTIF($M$2:M488,M488)-1</f>
        <v>779</v>
      </c>
      <c r="O488" t="str">
        <f>INDEX('Boundary table'!$B$3:$B$7,MATCH(M488,'Boundary table'!$A$3:$A$7))</f>
        <v>F</v>
      </c>
      <c r="P488">
        <f>Table1[[#This Row],[Math Score]]+Table1[[#This Row],[Reading Score]]+Table1[[#This Row],[Writing Score]]</f>
        <v>164</v>
      </c>
      <c r="Q488" s="16">
        <f>COUNTIF(Table1[[#This Row],[Math Score]],"&lt;60")+COUNTIF(Table1[[#This Row],[Reading Score]],"&lt;60")+COUNTIF(Table1[[#This Row],[Writing Score]],"&lt;60")</f>
        <v>2</v>
      </c>
      <c r="R488" t="str">
        <f>IF(Table1[[#This Row],[Fail Count]]&gt;=2,"At risk","OK")</f>
        <v>At risk</v>
      </c>
    </row>
    <row r="489" spans="1:18">
      <c r="A489" t="str">
        <f t="shared" si="7"/>
        <v>Stu-488</v>
      </c>
      <c r="B489" t="s">
        <v>11</v>
      </c>
      <c r="C489" t="s">
        <v>19</v>
      </c>
      <c r="D489" t="s">
        <v>29</v>
      </c>
      <c r="E489" t="s">
        <v>30</v>
      </c>
      <c r="F489" t="s">
        <v>15</v>
      </c>
      <c r="G489" s="16">
        <v>60</v>
      </c>
      <c r="H489">
        <f>RANK(G489,$G$2:$G$1001,0)+COUNTIF($G$2:G489,G489)-1</f>
        <v>668</v>
      </c>
      <c r="I489" t="str">
        <f>INDEX('Boundary table'!$B$3:$B$7,MATCH(G489,'Boundary table'!$A$3:$A$7,1))</f>
        <v>D</v>
      </c>
      <c r="J489" s="16">
        <v>75</v>
      </c>
      <c r="K489">
        <f>RANK(J489,$J$2:$J$1001,0)+COUNTIF($J$2:J489,J489)-1</f>
        <v>355</v>
      </c>
      <c r="L489" t="str">
        <f>INDEX('Boundary table'!$B$3:$B$7,MATCH(J489,'Boundary table'!$A$3:$A$7,1))</f>
        <v>C</v>
      </c>
      <c r="M489" s="16">
        <v>74</v>
      </c>
      <c r="N489">
        <f>RANK(M489,$M$2:$M$1001,0)+COUNTIF($M$2:M489,M489)-1</f>
        <v>369</v>
      </c>
      <c r="O489" t="str">
        <f>INDEX('Boundary table'!$B$3:$B$7,MATCH(M489,'Boundary table'!$A$3:$A$7))</f>
        <v>C</v>
      </c>
      <c r="P489">
        <f>Table1[[#This Row],[Math Score]]+Table1[[#This Row],[Reading Score]]+Table1[[#This Row],[Writing Score]]</f>
        <v>209</v>
      </c>
      <c r="Q489" s="16">
        <f>COUNTIF(Table1[[#This Row],[Math Score]],"&lt;60")+COUNTIF(Table1[[#This Row],[Reading Score]],"&lt;60")+COUNTIF(Table1[[#This Row],[Writing Score]],"&lt;60")</f>
        <v>0</v>
      </c>
      <c r="R489" t="str">
        <f>IF(Table1[[#This Row],[Fail Count]]&gt;=2,"At risk","OK")</f>
        <v>OK</v>
      </c>
    </row>
    <row r="490" spans="1:18">
      <c r="A490" t="str">
        <f t="shared" si="7"/>
        <v>Stu-489</v>
      </c>
      <c r="B490" t="s">
        <v>27</v>
      </c>
      <c r="C490" t="s">
        <v>12</v>
      </c>
      <c r="D490" t="s">
        <v>33</v>
      </c>
      <c r="E490" t="s">
        <v>14</v>
      </c>
      <c r="F490" t="s">
        <v>21</v>
      </c>
      <c r="G490" s="16">
        <v>64</v>
      </c>
      <c r="H490">
        <f>RANK(G490,$G$2:$G$1001,0)+COUNTIF($G$2:G490,G490)-1</f>
        <v>561</v>
      </c>
      <c r="I490" t="str">
        <f>INDEX('Boundary table'!$B$3:$B$7,MATCH(G490,'Boundary table'!$A$3:$A$7,1))</f>
        <v>D</v>
      </c>
      <c r="J490" s="16">
        <v>53</v>
      </c>
      <c r="K490">
        <f>RANK(J490,$J$2:$J$1001,0)+COUNTIF($J$2:J490,J490)-1</f>
        <v>866</v>
      </c>
      <c r="L490" t="str">
        <f>INDEX('Boundary table'!$B$3:$B$7,MATCH(J490,'Boundary table'!$A$3:$A$7,1))</f>
        <v>F</v>
      </c>
      <c r="M490" s="16">
        <v>57</v>
      </c>
      <c r="N490">
        <f>RANK(M490,$M$2:$M$1001,0)+COUNTIF($M$2:M490,M490)-1</f>
        <v>760</v>
      </c>
      <c r="O490" t="str">
        <f>INDEX('Boundary table'!$B$3:$B$7,MATCH(M490,'Boundary table'!$A$3:$A$7))</f>
        <v>F</v>
      </c>
      <c r="P490">
        <f>Table1[[#This Row],[Math Score]]+Table1[[#This Row],[Reading Score]]+Table1[[#This Row],[Writing Score]]</f>
        <v>174</v>
      </c>
      <c r="Q490" s="16">
        <f>COUNTIF(Table1[[#This Row],[Math Score]],"&lt;60")+COUNTIF(Table1[[#This Row],[Reading Score]],"&lt;60")+COUNTIF(Table1[[#This Row],[Writing Score]],"&lt;60")</f>
        <v>2</v>
      </c>
      <c r="R490" t="str">
        <f>IF(Table1[[#This Row],[Fail Count]]&gt;=2,"At risk","OK")</f>
        <v>At risk</v>
      </c>
    </row>
    <row r="491" spans="1:18">
      <c r="A491" t="str">
        <f t="shared" si="7"/>
        <v>Stu-490</v>
      </c>
      <c r="B491" t="s">
        <v>27</v>
      </c>
      <c r="C491" t="s">
        <v>28</v>
      </c>
      <c r="D491" t="s">
        <v>29</v>
      </c>
      <c r="E491" t="s">
        <v>30</v>
      </c>
      <c r="F491" t="s">
        <v>21</v>
      </c>
      <c r="G491" s="16">
        <v>79</v>
      </c>
      <c r="H491">
        <f>RANK(G491,$G$2:$G$1001,0)+COUNTIF($G$2:G491,G491)-1</f>
        <v>204</v>
      </c>
      <c r="I491" t="str">
        <f>INDEX('Boundary table'!$B$3:$B$7,MATCH(G491,'Boundary table'!$A$3:$A$7,1))</f>
        <v>C</v>
      </c>
      <c r="J491" s="16">
        <v>82</v>
      </c>
      <c r="K491">
        <f>RANK(J491,$J$2:$J$1001,0)+COUNTIF($J$2:J491,J491)-1</f>
        <v>198</v>
      </c>
      <c r="L491" t="str">
        <f>INDEX('Boundary table'!$B$3:$B$7,MATCH(J491,'Boundary table'!$A$3:$A$7,1))</f>
        <v>B</v>
      </c>
      <c r="M491" s="16">
        <v>82</v>
      </c>
      <c r="N491">
        <f>RANK(M491,$M$2:$M$1001,0)+COUNTIF($M$2:M491,M491)-1</f>
        <v>176</v>
      </c>
      <c r="O491" t="str">
        <f>INDEX('Boundary table'!$B$3:$B$7,MATCH(M491,'Boundary table'!$A$3:$A$7))</f>
        <v>B</v>
      </c>
      <c r="P491">
        <f>Table1[[#This Row],[Math Score]]+Table1[[#This Row],[Reading Score]]+Table1[[#This Row],[Writing Score]]</f>
        <v>243</v>
      </c>
      <c r="Q491" s="16">
        <f>COUNTIF(Table1[[#This Row],[Math Score]],"&lt;60")+COUNTIF(Table1[[#This Row],[Reading Score]],"&lt;60")+COUNTIF(Table1[[#This Row],[Writing Score]],"&lt;60")</f>
        <v>0</v>
      </c>
      <c r="R491" t="str">
        <f>IF(Table1[[#This Row],[Fail Count]]&gt;=2,"At risk","OK")</f>
        <v>OK</v>
      </c>
    </row>
    <row r="492" spans="1:18">
      <c r="A492" t="str">
        <f t="shared" si="7"/>
        <v>Stu-491</v>
      </c>
      <c r="B492" t="s">
        <v>11</v>
      </c>
      <c r="C492" t="s">
        <v>28</v>
      </c>
      <c r="D492" t="s">
        <v>29</v>
      </c>
      <c r="E492" t="s">
        <v>30</v>
      </c>
      <c r="F492" t="s">
        <v>15</v>
      </c>
      <c r="G492" s="16">
        <v>65</v>
      </c>
      <c r="H492">
        <f>RANK(G492,$G$2:$G$1001,0)+COUNTIF($G$2:G492,G492)-1</f>
        <v>538</v>
      </c>
      <c r="I492" t="str">
        <f>INDEX('Boundary table'!$B$3:$B$7,MATCH(G492,'Boundary table'!$A$3:$A$7,1))</f>
        <v>D</v>
      </c>
      <c r="J492" s="16">
        <v>85</v>
      </c>
      <c r="K492">
        <f>RANK(J492,$J$2:$J$1001,0)+COUNTIF($J$2:J492,J492)-1</f>
        <v>140</v>
      </c>
      <c r="L492" t="str">
        <f>INDEX('Boundary table'!$B$3:$B$7,MATCH(J492,'Boundary table'!$A$3:$A$7,1))</f>
        <v>B</v>
      </c>
      <c r="M492" s="16">
        <v>76</v>
      </c>
      <c r="N492">
        <f>RANK(M492,$M$2:$M$1001,0)+COUNTIF($M$2:M492,M492)-1</f>
        <v>315</v>
      </c>
      <c r="O492" t="str">
        <f>INDEX('Boundary table'!$B$3:$B$7,MATCH(M492,'Boundary table'!$A$3:$A$7))</f>
        <v>C</v>
      </c>
      <c r="P492">
        <f>Table1[[#This Row],[Math Score]]+Table1[[#This Row],[Reading Score]]+Table1[[#This Row],[Writing Score]]</f>
        <v>226</v>
      </c>
      <c r="Q492" s="16">
        <f>COUNTIF(Table1[[#This Row],[Math Score]],"&lt;60")+COUNTIF(Table1[[#This Row],[Reading Score]],"&lt;60")+COUNTIF(Table1[[#This Row],[Writing Score]],"&lt;60")</f>
        <v>0</v>
      </c>
      <c r="R492" t="str">
        <f>IF(Table1[[#This Row],[Fail Count]]&gt;=2,"At risk","OK")</f>
        <v>OK</v>
      </c>
    </row>
    <row r="493" spans="1:18">
      <c r="A493" t="str">
        <f t="shared" si="7"/>
        <v>Stu-492</v>
      </c>
      <c r="B493" t="s">
        <v>11</v>
      </c>
      <c r="C493" t="s">
        <v>19</v>
      </c>
      <c r="D493" t="s">
        <v>29</v>
      </c>
      <c r="E493" t="s">
        <v>14</v>
      </c>
      <c r="F493" t="s">
        <v>15</v>
      </c>
      <c r="G493" s="16">
        <v>64</v>
      </c>
      <c r="H493">
        <f>RANK(G493,$G$2:$G$1001,0)+COUNTIF($G$2:G493,G493)-1</f>
        <v>562</v>
      </c>
      <c r="I493" t="str">
        <f>INDEX('Boundary table'!$B$3:$B$7,MATCH(G493,'Boundary table'!$A$3:$A$7,1))</f>
        <v>D</v>
      </c>
      <c r="J493" s="16">
        <v>64</v>
      </c>
      <c r="K493">
        <f>RANK(J493,$J$2:$J$1001,0)+COUNTIF($J$2:J493,J493)-1</f>
        <v>643</v>
      </c>
      <c r="L493" t="str">
        <f>INDEX('Boundary table'!$B$3:$B$7,MATCH(J493,'Boundary table'!$A$3:$A$7,1))</f>
        <v>D</v>
      </c>
      <c r="M493" s="16">
        <v>70</v>
      </c>
      <c r="N493">
        <f>RANK(M493,$M$2:$M$1001,0)+COUNTIF($M$2:M493,M493)-1</f>
        <v>476</v>
      </c>
      <c r="O493" t="str">
        <f>INDEX('Boundary table'!$B$3:$B$7,MATCH(M493,'Boundary table'!$A$3:$A$7))</f>
        <v>C</v>
      </c>
      <c r="P493">
        <f>Table1[[#This Row],[Math Score]]+Table1[[#This Row],[Reading Score]]+Table1[[#This Row],[Writing Score]]</f>
        <v>198</v>
      </c>
      <c r="Q493" s="16">
        <f>COUNTIF(Table1[[#This Row],[Math Score]],"&lt;60")+COUNTIF(Table1[[#This Row],[Reading Score]],"&lt;60")+COUNTIF(Table1[[#This Row],[Writing Score]],"&lt;60")</f>
        <v>0</v>
      </c>
      <c r="R493" t="str">
        <f>IF(Table1[[#This Row],[Fail Count]]&gt;=2,"At risk","OK")</f>
        <v>OK</v>
      </c>
    </row>
    <row r="494" spans="1:18">
      <c r="A494" t="str">
        <f t="shared" si="7"/>
        <v>Stu-493</v>
      </c>
      <c r="B494" t="s">
        <v>11</v>
      </c>
      <c r="C494" t="s">
        <v>19</v>
      </c>
      <c r="D494" t="s">
        <v>20</v>
      </c>
      <c r="E494" t="s">
        <v>14</v>
      </c>
      <c r="F494" t="s">
        <v>15</v>
      </c>
      <c r="G494" s="16">
        <v>83</v>
      </c>
      <c r="H494">
        <f>RANK(G494,$G$2:$G$1001,0)+COUNTIF($G$2:G494,G494)-1</f>
        <v>136</v>
      </c>
      <c r="I494" t="str">
        <f>INDEX('Boundary table'!$B$3:$B$7,MATCH(G494,'Boundary table'!$A$3:$A$7,1))</f>
        <v>B</v>
      </c>
      <c r="J494" s="16">
        <v>83</v>
      </c>
      <c r="K494">
        <f>RANK(J494,$J$2:$J$1001,0)+COUNTIF($J$2:J494,J494)-1</f>
        <v>188</v>
      </c>
      <c r="L494" t="str">
        <f>INDEX('Boundary table'!$B$3:$B$7,MATCH(J494,'Boundary table'!$A$3:$A$7,1))</f>
        <v>B</v>
      </c>
      <c r="M494" s="16">
        <v>90</v>
      </c>
      <c r="N494">
        <f>RANK(M494,$M$2:$M$1001,0)+COUNTIF($M$2:M494,M494)-1</f>
        <v>72</v>
      </c>
      <c r="O494" t="str">
        <f>INDEX('Boundary table'!$B$3:$B$7,MATCH(M494,'Boundary table'!$A$3:$A$7))</f>
        <v>A</v>
      </c>
      <c r="P494">
        <f>Table1[[#This Row],[Math Score]]+Table1[[#This Row],[Reading Score]]+Table1[[#This Row],[Writing Score]]</f>
        <v>256</v>
      </c>
      <c r="Q494" s="16">
        <f>COUNTIF(Table1[[#This Row],[Math Score]],"&lt;60")+COUNTIF(Table1[[#This Row],[Reading Score]],"&lt;60")+COUNTIF(Table1[[#This Row],[Writing Score]],"&lt;60")</f>
        <v>0</v>
      </c>
      <c r="R494" t="str">
        <f>IF(Table1[[#This Row],[Fail Count]]&gt;=2,"At risk","OK")</f>
        <v>OK</v>
      </c>
    </row>
    <row r="495" spans="1:18">
      <c r="A495" t="str">
        <f t="shared" si="7"/>
        <v>Stu-494</v>
      </c>
      <c r="B495" t="s">
        <v>11</v>
      </c>
      <c r="C495" t="s">
        <v>19</v>
      </c>
      <c r="D495" t="s">
        <v>13</v>
      </c>
      <c r="E495" t="s">
        <v>14</v>
      </c>
      <c r="F495" t="s">
        <v>15</v>
      </c>
      <c r="G495" s="16">
        <v>81</v>
      </c>
      <c r="H495">
        <f>RANK(G495,$G$2:$G$1001,0)+COUNTIF($G$2:G495,G495)-1</f>
        <v>162</v>
      </c>
      <c r="I495" t="str">
        <f>INDEX('Boundary table'!$B$3:$B$7,MATCH(G495,'Boundary table'!$A$3:$A$7,1))</f>
        <v>B</v>
      </c>
      <c r="J495" s="16">
        <v>88</v>
      </c>
      <c r="K495">
        <f>RANK(J495,$J$2:$J$1001,0)+COUNTIF($J$2:J495,J495)-1</f>
        <v>97</v>
      </c>
      <c r="L495" t="str">
        <f>INDEX('Boundary table'!$B$3:$B$7,MATCH(J495,'Boundary table'!$A$3:$A$7,1))</f>
        <v>B</v>
      </c>
      <c r="M495" s="16">
        <v>90</v>
      </c>
      <c r="N495">
        <f>RANK(M495,$M$2:$M$1001,0)+COUNTIF($M$2:M495,M495)-1</f>
        <v>73</v>
      </c>
      <c r="O495" t="str">
        <f>INDEX('Boundary table'!$B$3:$B$7,MATCH(M495,'Boundary table'!$A$3:$A$7))</f>
        <v>A</v>
      </c>
      <c r="P495">
        <f>Table1[[#This Row],[Math Score]]+Table1[[#This Row],[Reading Score]]+Table1[[#This Row],[Writing Score]]</f>
        <v>259</v>
      </c>
      <c r="Q495" s="16">
        <f>COUNTIF(Table1[[#This Row],[Math Score]],"&lt;60")+COUNTIF(Table1[[#This Row],[Reading Score]],"&lt;60")+COUNTIF(Table1[[#This Row],[Writing Score]],"&lt;60")</f>
        <v>0</v>
      </c>
      <c r="R495" t="str">
        <f>IF(Table1[[#This Row],[Fail Count]]&gt;=2,"At risk","OK")</f>
        <v>OK</v>
      </c>
    </row>
    <row r="496" spans="1:18">
      <c r="A496" t="str">
        <f t="shared" si="7"/>
        <v>Stu-495</v>
      </c>
      <c r="B496" t="s">
        <v>11</v>
      </c>
      <c r="C496" t="s">
        <v>12</v>
      </c>
      <c r="D496" t="s">
        <v>32</v>
      </c>
      <c r="E496" t="s">
        <v>14</v>
      </c>
      <c r="F496" t="s">
        <v>15</v>
      </c>
      <c r="G496" s="16">
        <v>54</v>
      </c>
      <c r="H496">
        <f>RANK(G496,$G$2:$G$1001,0)+COUNTIF($G$2:G496,G496)-1</f>
        <v>787</v>
      </c>
      <c r="I496" t="str">
        <f>INDEX('Boundary table'!$B$3:$B$7,MATCH(G496,'Boundary table'!$A$3:$A$7,1))</f>
        <v>F</v>
      </c>
      <c r="J496" s="16">
        <v>64</v>
      </c>
      <c r="K496">
        <f>RANK(J496,$J$2:$J$1001,0)+COUNTIF($J$2:J496,J496)-1</f>
        <v>644</v>
      </c>
      <c r="L496" t="str">
        <f>INDEX('Boundary table'!$B$3:$B$7,MATCH(J496,'Boundary table'!$A$3:$A$7,1))</f>
        <v>D</v>
      </c>
      <c r="M496" s="16">
        <v>68</v>
      </c>
      <c r="N496">
        <f>RANK(M496,$M$2:$M$1001,0)+COUNTIF($M$2:M496,M496)-1</f>
        <v>529</v>
      </c>
      <c r="O496" t="str">
        <f>INDEX('Boundary table'!$B$3:$B$7,MATCH(M496,'Boundary table'!$A$3:$A$7))</f>
        <v>D</v>
      </c>
      <c r="P496">
        <f>Table1[[#This Row],[Math Score]]+Table1[[#This Row],[Reading Score]]+Table1[[#This Row],[Writing Score]]</f>
        <v>186</v>
      </c>
      <c r="Q496" s="16">
        <f>COUNTIF(Table1[[#This Row],[Math Score]],"&lt;60")+COUNTIF(Table1[[#This Row],[Reading Score]],"&lt;60")+COUNTIF(Table1[[#This Row],[Writing Score]],"&lt;60")</f>
        <v>1</v>
      </c>
      <c r="R496" t="str">
        <f>IF(Table1[[#This Row],[Fail Count]]&gt;=2,"At risk","OK")</f>
        <v>OK</v>
      </c>
    </row>
    <row r="497" spans="1:18">
      <c r="A497" t="str">
        <f t="shared" si="7"/>
        <v>Stu-496</v>
      </c>
      <c r="B497" t="s">
        <v>27</v>
      </c>
      <c r="C497" t="s">
        <v>31</v>
      </c>
      <c r="D497" t="s">
        <v>32</v>
      </c>
      <c r="E497" t="s">
        <v>14</v>
      </c>
      <c r="F497" t="s">
        <v>21</v>
      </c>
      <c r="G497" s="16">
        <v>68</v>
      </c>
      <c r="H497">
        <f>RANK(G497,$G$2:$G$1001,0)+COUNTIF($G$2:G497,G497)-1</f>
        <v>452</v>
      </c>
      <c r="I497" t="str">
        <f>INDEX('Boundary table'!$B$3:$B$7,MATCH(G497,'Boundary table'!$A$3:$A$7,1))</f>
        <v>D</v>
      </c>
      <c r="J497" s="16">
        <v>64</v>
      </c>
      <c r="K497">
        <f>RANK(J497,$J$2:$J$1001,0)+COUNTIF($J$2:J497,J497)-1</f>
        <v>645</v>
      </c>
      <c r="L497" t="str">
        <f>INDEX('Boundary table'!$B$3:$B$7,MATCH(J497,'Boundary table'!$A$3:$A$7,1))</f>
        <v>D</v>
      </c>
      <c r="M497" s="16">
        <v>66</v>
      </c>
      <c r="N497">
        <f>RANK(M497,$M$2:$M$1001,0)+COUNTIF($M$2:M497,M497)-1</f>
        <v>581</v>
      </c>
      <c r="O497" t="str">
        <f>INDEX('Boundary table'!$B$3:$B$7,MATCH(M497,'Boundary table'!$A$3:$A$7))</f>
        <v>D</v>
      </c>
      <c r="P497">
        <f>Table1[[#This Row],[Math Score]]+Table1[[#This Row],[Reading Score]]+Table1[[#This Row],[Writing Score]]</f>
        <v>198</v>
      </c>
      <c r="Q497" s="16">
        <f>COUNTIF(Table1[[#This Row],[Math Score]],"&lt;60")+COUNTIF(Table1[[#This Row],[Reading Score]],"&lt;60")+COUNTIF(Table1[[#This Row],[Writing Score]],"&lt;60")</f>
        <v>0</v>
      </c>
      <c r="R497" t="str">
        <f>IF(Table1[[#This Row],[Fail Count]]&gt;=2,"At risk","OK")</f>
        <v>OK</v>
      </c>
    </row>
    <row r="498" spans="1:18">
      <c r="A498" t="str">
        <f t="shared" si="7"/>
        <v>Stu-497</v>
      </c>
      <c r="B498" t="s">
        <v>11</v>
      </c>
      <c r="C498" t="s">
        <v>19</v>
      </c>
      <c r="D498" t="s">
        <v>20</v>
      </c>
      <c r="E498" t="s">
        <v>14</v>
      </c>
      <c r="F498" t="s">
        <v>15</v>
      </c>
      <c r="G498" s="16">
        <v>54</v>
      </c>
      <c r="H498">
        <f>RANK(G498,$G$2:$G$1001,0)+COUNTIF($G$2:G498,G498)-1</f>
        <v>788</v>
      </c>
      <c r="I498" t="str">
        <f>INDEX('Boundary table'!$B$3:$B$7,MATCH(G498,'Boundary table'!$A$3:$A$7,1))</f>
        <v>F</v>
      </c>
      <c r="J498" s="16">
        <v>48</v>
      </c>
      <c r="K498">
        <f>RANK(J498,$J$2:$J$1001,0)+COUNTIF($J$2:J498,J498)-1</f>
        <v>923</v>
      </c>
      <c r="L498" t="str">
        <f>INDEX('Boundary table'!$B$3:$B$7,MATCH(J498,'Boundary table'!$A$3:$A$7,1))</f>
        <v>F</v>
      </c>
      <c r="M498" s="16">
        <v>52</v>
      </c>
      <c r="N498">
        <f>RANK(M498,$M$2:$M$1001,0)+COUNTIF($M$2:M498,M498)-1</f>
        <v>848</v>
      </c>
      <c r="O498" t="str">
        <f>INDEX('Boundary table'!$B$3:$B$7,MATCH(M498,'Boundary table'!$A$3:$A$7))</f>
        <v>F</v>
      </c>
      <c r="P498">
        <f>Table1[[#This Row],[Math Score]]+Table1[[#This Row],[Reading Score]]+Table1[[#This Row],[Writing Score]]</f>
        <v>154</v>
      </c>
      <c r="Q498" s="16">
        <f>COUNTIF(Table1[[#This Row],[Math Score]],"&lt;60")+COUNTIF(Table1[[#This Row],[Reading Score]],"&lt;60")+COUNTIF(Table1[[#This Row],[Writing Score]],"&lt;60")</f>
        <v>3</v>
      </c>
      <c r="R498" t="str">
        <f>IF(Table1[[#This Row],[Fail Count]]&gt;=2,"At risk","OK")</f>
        <v>At risk</v>
      </c>
    </row>
    <row r="499" spans="1:18">
      <c r="A499" t="str">
        <f t="shared" si="7"/>
        <v>Stu-498</v>
      </c>
      <c r="B499" t="s">
        <v>11</v>
      </c>
      <c r="C499" t="s">
        <v>31</v>
      </c>
      <c r="D499" t="s">
        <v>20</v>
      </c>
      <c r="E499" t="s">
        <v>30</v>
      </c>
      <c r="F499" t="s">
        <v>21</v>
      </c>
      <c r="G499" s="16">
        <v>59</v>
      </c>
      <c r="H499">
        <f>RANK(G499,$G$2:$G$1001,0)+COUNTIF($G$2:G499,G499)-1</f>
        <v>698</v>
      </c>
      <c r="I499" t="str">
        <f>INDEX('Boundary table'!$B$3:$B$7,MATCH(G499,'Boundary table'!$A$3:$A$7,1))</f>
        <v>F</v>
      </c>
      <c r="J499" s="16">
        <v>78</v>
      </c>
      <c r="K499">
        <f>RANK(J499,$J$2:$J$1001,0)+COUNTIF($J$2:J499,J499)-1</f>
        <v>279</v>
      </c>
      <c r="L499" t="str">
        <f>INDEX('Boundary table'!$B$3:$B$7,MATCH(J499,'Boundary table'!$A$3:$A$7,1))</f>
        <v>C</v>
      </c>
      <c r="M499" s="16">
        <v>76</v>
      </c>
      <c r="N499">
        <f>RANK(M499,$M$2:$M$1001,0)+COUNTIF($M$2:M499,M499)-1</f>
        <v>316</v>
      </c>
      <c r="O499" t="str">
        <f>INDEX('Boundary table'!$B$3:$B$7,MATCH(M499,'Boundary table'!$A$3:$A$7))</f>
        <v>C</v>
      </c>
      <c r="P499">
        <f>Table1[[#This Row],[Math Score]]+Table1[[#This Row],[Reading Score]]+Table1[[#This Row],[Writing Score]]</f>
        <v>213</v>
      </c>
      <c r="Q499" s="16">
        <f>COUNTIF(Table1[[#This Row],[Math Score]],"&lt;60")+COUNTIF(Table1[[#This Row],[Reading Score]],"&lt;60")+COUNTIF(Table1[[#This Row],[Writing Score]],"&lt;60")</f>
        <v>1</v>
      </c>
      <c r="R499" t="str">
        <f>IF(Table1[[#This Row],[Fail Count]]&gt;=2,"At risk","OK")</f>
        <v>OK</v>
      </c>
    </row>
    <row r="500" spans="1:18">
      <c r="A500" t="str">
        <f t="shared" si="7"/>
        <v>Stu-499</v>
      </c>
      <c r="B500" t="s">
        <v>11</v>
      </c>
      <c r="C500" t="s">
        <v>12</v>
      </c>
      <c r="D500" t="s">
        <v>33</v>
      </c>
      <c r="E500" t="s">
        <v>14</v>
      </c>
      <c r="F500" t="s">
        <v>15</v>
      </c>
      <c r="G500" s="16">
        <v>66</v>
      </c>
      <c r="H500">
        <f>RANK(G500,$G$2:$G$1001,0)+COUNTIF($G$2:G500,G500)-1</f>
        <v>504</v>
      </c>
      <c r="I500" t="str">
        <f>INDEX('Boundary table'!$B$3:$B$7,MATCH(G500,'Boundary table'!$A$3:$A$7,1))</f>
        <v>D</v>
      </c>
      <c r="J500" s="16">
        <v>69</v>
      </c>
      <c r="K500">
        <f>RANK(J500,$J$2:$J$1001,0)+COUNTIF($J$2:J500,J500)-1</f>
        <v>522</v>
      </c>
      <c r="L500" t="str">
        <f>INDEX('Boundary table'!$B$3:$B$7,MATCH(J500,'Boundary table'!$A$3:$A$7,1))</f>
        <v>D</v>
      </c>
      <c r="M500" s="16">
        <v>68</v>
      </c>
      <c r="N500">
        <f>RANK(M500,$M$2:$M$1001,0)+COUNTIF($M$2:M500,M500)-1</f>
        <v>530</v>
      </c>
      <c r="O500" t="str">
        <f>INDEX('Boundary table'!$B$3:$B$7,MATCH(M500,'Boundary table'!$A$3:$A$7))</f>
        <v>D</v>
      </c>
      <c r="P500">
        <f>Table1[[#This Row],[Math Score]]+Table1[[#This Row],[Reading Score]]+Table1[[#This Row],[Writing Score]]</f>
        <v>203</v>
      </c>
      <c r="Q500" s="16">
        <f>COUNTIF(Table1[[#This Row],[Math Score]],"&lt;60")+COUNTIF(Table1[[#This Row],[Reading Score]],"&lt;60")+COUNTIF(Table1[[#This Row],[Writing Score]],"&lt;60")</f>
        <v>0</v>
      </c>
      <c r="R500" t="str">
        <f>IF(Table1[[#This Row],[Fail Count]]&gt;=2,"At risk","OK")</f>
        <v>OK</v>
      </c>
    </row>
    <row r="501" spans="1:18">
      <c r="A501" t="str">
        <f t="shared" si="7"/>
        <v>Stu-500</v>
      </c>
      <c r="B501" t="s">
        <v>27</v>
      </c>
      <c r="C501" t="s">
        <v>34</v>
      </c>
      <c r="D501" t="s">
        <v>20</v>
      </c>
      <c r="E501" t="s">
        <v>14</v>
      </c>
      <c r="F501" t="s">
        <v>15</v>
      </c>
      <c r="G501" s="16">
        <v>76</v>
      </c>
      <c r="H501">
        <f>RANK(G501,$G$2:$G$1001,0)+COUNTIF($G$2:G501,G501)-1</f>
        <v>265</v>
      </c>
      <c r="I501" t="str">
        <f>INDEX('Boundary table'!$B$3:$B$7,MATCH(G501,'Boundary table'!$A$3:$A$7,1))</f>
        <v>C</v>
      </c>
      <c r="J501" s="16">
        <v>71</v>
      </c>
      <c r="K501">
        <f>RANK(J501,$J$2:$J$1001,0)+COUNTIF($J$2:J501,J501)-1</f>
        <v>479</v>
      </c>
      <c r="L501" t="str">
        <f>INDEX('Boundary table'!$B$3:$B$7,MATCH(J501,'Boundary table'!$A$3:$A$7,1))</f>
        <v>C</v>
      </c>
      <c r="M501" s="16">
        <v>72</v>
      </c>
      <c r="N501">
        <f>RANK(M501,$M$2:$M$1001,0)+COUNTIF($M$2:M501,M501)-1</f>
        <v>423</v>
      </c>
      <c r="O501" t="str">
        <f>INDEX('Boundary table'!$B$3:$B$7,MATCH(M501,'Boundary table'!$A$3:$A$7))</f>
        <v>C</v>
      </c>
      <c r="P501">
        <f>Table1[[#This Row],[Math Score]]+Table1[[#This Row],[Reading Score]]+Table1[[#This Row],[Writing Score]]</f>
        <v>219</v>
      </c>
      <c r="Q501" s="16">
        <f>COUNTIF(Table1[[#This Row],[Math Score]],"&lt;60")+COUNTIF(Table1[[#This Row],[Reading Score]],"&lt;60")+COUNTIF(Table1[[#This Row],[Writing Score]],"&lt;60")</f>
        <v>0</v>
      </c>
      <c r="R501" t="str">
        <f>IF(Table1[[#This Row],[Fail Count]]&gt;=2,"At risk","OK")</f>
        <v>OK</v>
      </c>
    </row>
    <row r="502" spans="1:18">
      <c r="A502" t="str">
        <f t="shared" si="7"/>
        <v>Stu-501</v>
      </c>
      <c r="B502" t="s">
        <v>11</v>
      </c>
      <c r="C502" t="s">
        <v>31</v>
      </c>
      <c r="D502" t="s">
        <v>26</v>
      </c>
      <c r="E502" t="s">
        <v>14</v>
      </c>
      <c r="F502" t="s">
        <v>15</v>
      </c>
      <c r="G502" s="16">
        <v>74</v>
      </c>
      <c r="H502">
        <f>RANK(G502,$G$2:$G$1001,0)+COUNTIF($G$2:G502,G502)-1</f>
        <v>305</v>
      </c>
      <c r="I502" t="str">
        <f>INDEX('Boundary table'!$B$3:$B$7,MATCH(G502,'Boundary table'!$A$3:$A$7,1))</f>
        <v>C</v>
      </c>
      <c r="J502" s="16">
        <v>79</v>
      </c>
      <c r="K502">
        <f>RANK(J502,$J$2:$J$1001,0)+COUNTIF($J$2:J502,J502)-1</f>
        <v>258</v>
      </c>
      <c r="L502" t="str">
        <f>INDEX('Boundary table'!$B$3:$B$7,MATCH(J502,'Boundary table'!$A$3:$A$7,1))</f>
        <v>C</v>
      </c>
      <c r="M502" s="16">
        <v>82</v>
      </c>
      <c r="N502">
        <f>RANK(M502,$M$2:$M$1001,0)+COUNTIF($M$2:M502,M502)-1</f>
        <v>177</v>
      </c>
      <c r="O502" t="str">
        <f>INDEX('Boundary table'!$B$3:$B$7,MATCH(M502,'Boundary table'!$A$3:$A$7))</f>
        <v>B</v>
      </c>
      <c r="P502">
        <f>Table1[[#This Row],[Math Score]]+Table1[[#This Row],[Reading Score]]+Table1[[#This Row],[Writing Score]]</f>
        <v>235</v>
      </c>
      <c r="Q502" s="16">
        <f>COUNTIF(Table1[[#This Row],[Math Score]],"&lt;60")+COUNTIF(Table1[[#This Row],[Reading Score]],"&lt;60")+COUNTIF(Table1[[#This Row],[Writing Score]],"&lt;60")</f>
        <v>0</v>
      </c>
      <c r="R502" t="str">
        <f>IF(Table1[[#This Row],[Fail Count]]&gt;=2,"At risk","OK")</f>
        <v>OK</v>
      </c>
    </row>
    <row r="503" spans="1:18">
      <c r="A503" t="str">
        <f t="shared" si="7"/>
        <v>Stu-502</v>
      </c>
      <c r="B503" t="s">
        <v>11</v>
      </c>
      <c r="C503" t="s">
        <v>12</v>
      </c>
      <c r="D503" t="s">
        <v>29</v>
      </c>
      <c r="E503" t="s">
        <v>14</v>
      </c>
      <c r="F503" t="s">
        <v>21</v>
      </c>
      <c r="G503" s="16">
        <v>94</v>
      </c>
      <c r="H503">
        <f>RANK(G503,$G$2:$G$1001,0)+COUNTIF($G$2:G503,G503)-1</f>
        <v>26</v>
      </c>
      <c r="I503" t="str">
        <f>INDEX('Boundary table'!$B$3:$B$7,MATCH(G503,'Boundary table'!$A$3:$A$7,1))</f>
        <v>A</v>
      </c>
      <c r="J503" s="16">
        <v>87</v>
      </c>
      <c r="K503">
        <f>RANK(J503,$J$2:$J$1001,0)+COUNTIF($J$2:J503,J503)-1</f>
        <v>106</v>
      </c>
      <c r="L503" t="str">
        <f>INDEX('Boundary table'!$B$3:$B$7,MATCH(J503,'Boundary table'!$A$3:$A$7,1))</f>
        <v>B</v>
      </c>
      <c r="M503" s="16">
        <v>92</v>
      </c>
      <c r="N503">
        <f>RANK(M503,$M$2:$M$1001,0)+COUNTIF($M$2:M503,M503)-1</f>
        <v>52</v>
      </c>
      <c r="O503" t="str">
        <f>INDEX('Boundary table'!$B$3:$B$7,MATCH(M503,'Boundary table'!$A$3:$A$7))</f>
        <v>A</v>
      </c>
      <c r="P503">
        <f>Table1[[#This Row],[Math Score]]+Table1[[#This Row],[Reading Score]]+Table1[[#This Row],[Writing Score]]</f>
        <v>273</v>
      </c>
      <c r="Q503" s="16">
        <f>COUNTIF(Table1[[#This Row],[Math Score]],"&lt;60")+COUNTIF(Table1[[#This Row],[Reading Score]],"&lt;60")+COUNTIF(Table1[[#This Row],[Writing Score]],"&lt;60")</f>
        <v>0</v>
      </c>
      <c r="R503" t="str">
        <f>IF(Table1[[#This Row],[Fail Count]]&gt;=2,"At risk","OK")</f>
        <v>OK</v>
      </c>
    </row>
    <row r="504" spans="1:18">
      <c r="A504" t="str">
        <f t="shared" si="7"/>
        <v>Stu-503</v>
      </c>
      <c r="B504" t="s">
        <v>27</v>
      </c>
      <c r="C504" t="s">
        <v>19</v>
      </c>
      <c r="D504" t="s">
        <v>20</v>
      </c>
      <c r="E504" t="s">
        <v>30</v>
      </c>
      <c r="F504" t="s">
        <v>15</v>
      </c>
      <c r="G504" s="16">
        <v>63</v>
      </c>
      <c r="H504">
        <f>RANK(G504,$G$2:$G$1001,0)+COUNTIF($G$2:G504,G504)-1</f>
        <v>588</v>
      </c>
      <c r="I504" t="str">
        <f>INDEX('Boundary table'!$B$3:$B$7,MATCH(G504,'Boundary table'!$A$3:$A$7,1))</f>
        <v>D</v>
      </c>
      <c r="J504" s="16">
        <v>61</v>
      </c>
      <c r="K504">
        <f>RANK(J504,$J$2:$J$1001,0)+COUNTIF($J$2:J504,J504)-1</f>
        <v>712</v>
      </c>
      <c r="L504" t="str">
        <f>INDEX('Boundary table'!$B$3:$B$7,MATCH(J504,'Boundary table'!$A$3:$A$7,1))</f>
        <v>D</v>
      </c>
      <c r="M504" s="16">
        <v>54</v>
      </c>
      <c r="N504">
        <f>RANK(M504,$M$2:$M$1001,0)+COUNTIF($M$2:M504,M504)-1</f>
        <v>810</v>
      </c>
      <c r="O504" t="str">
        <f>INDEX('Boundary table'!$B$3:$B$7,MATCH(M504,'Boundary table'!$A$3:$A$7))</f>
        <v>F</v>
      </c>
      <c r="P504">
        <f>Table1[[#This Row],[Math Score]]+Table1[[#This Row],[Reading Score]]+Table1[[#This Row],[Writing Score]]</f>
        <v>178</v>
      </c>
      <c r="Q504" s="16">
        <f>COUNTIF(Table1[[#This Row],[Math Score]],"&lt;60")+COUNTIF(Table1[[#This Row],[Reading Score]],"&lt;60")+COUNTIF(Table1[[#This Row],[Writing Score]],"&lt;60")</f>
        <v>1</v>
      </c>
      <c r="R504" t="str">
        <f>IF(Table1[[#This Row],[Fail Count]]&gt;=2,"At risk","OK")</f>
        <v>OK</v>
      </c>
    </row>
    <row r="505" spans="1:18">
      <c r="A505" t="str">
        <f t="shared" si="7"/>
        <v>Stu-504</v>
      </c>
      <c r="B505" t="s">
        <v>11</v>
      </c>
      <c r="C505" t="s">
        <v>34</v>
      </c>
      <c r="D505" t="s">
        <v>29</v>
      </c>
      <c r="E505" t="s">
        <v>14</v>
      </c>
      <c r="F505" t="s">
        <v>21</v>
      </c>
      <c r="G505" s="16">
        <v>95</v>
      </c>
      <c r="H505">
        <f>RANK(G505,$G$2:$G$1001,0)+COUNTIF($G$2:G505,G505)-1</f>
        <v>23</v>
      </c>
      <c r="I505" t="str">
        <f>INDEX('Boundary table'!$B$3:$B$7,MATCH(G505,'Boundary table'!$A$3:$A$7,1))</f>
        <v>A</v>
      </c>
      <c r="J505" s="16">
        <v>89</v>
      </c>
      <c r="K505">
        <f>RANK(J505,$J$2:$J$1001,0)+COUNTIF($J$2:J505,J505)-1</f>
        <v>87</v>
      </c>
      <c r="L505" t="str">
        <f>INDEX('Boundary table'!$B$3:$B$7,MATCH(J505,'Boundary table'!$A$3:$A$7,1))</f>
        <v>B</v>
      </c>
      <c r="M505" s="16">
        <v>92</v>
      </c>
      <c r="N505">
        <f>RANK(M505,$M$2:$M$1001,0)+COUNTIF($M$2:M505,M505)-1</f>
        <v>53</v>
      </c>
      <c r="O505" t="str">
        <f>INDEX('Boundary table'!$B$3:$B$7,MATCH(M505,'Boundary table'!$A$3:$A$7))</f>
        <v>A</v>
      </c>
      <c r="P505">
        <f>Table1[[#This Row],[Math Score]]+Table1[[#This Row],[Reading Score]]+Table1[[#This Row],[Writing Score]]</f>
        <v>276</v>
      </c>
      <c r="Q505" s="16">
        <f>COUNTIF(Table1[[#This Row],[Math Score]],"&lt;60")+COUNTIF(Table1[[#This Row],[Reading Score]],"&lt;60")+COUNTIF(Table1[[#This Row],[Writing Score]],"&lt;60")</f>
        <v>0</v>
      </c>
      <c r="R505" t="str">
        <f>IF(Table1[[#This Row],[Fail Count]]&gt;=2,"At risk","OK")</f>
        <v>OK</v>
      </c>
    </row>
    <row r="506" spans="1:18">
      <c r="A506" t="str">
        <f t="shared" si="7"/>
        <v>Stu-505</v>
      </c>
      <c r="B506" t="s">
        <v>11</v>
      </c>
      <c r="C506" t="s">
        <v>31</v>
      </c>
      <c r="D506" t="s">
        <v>26</v>
      </c>
      <c r="E506" t="s">
        <v>30</v>
      </c>
      <c r="F506" t="s">
        <v>15</v>
      </c>
      <c r="G506" s="16">
        <v>40</v>
      </c>
      <c r="H506">
        <f>RANK(G506,$G$2:$G$1001,0)+COUNTIF($G$2:G506,G506)-1</f>
        <v>955</v>
      </c>
      <c r="I506" t="str">
        <f>INDEX('Boundary table'!$B$3:$B$7,MATCH(G506,'Boundary table'!$A$3:$A$7,1))</f>
        <v>F</v>
      </c>
      <c r="J506" s="16">
        <v>59</v>
      </c>
      <c r="K506">
        <f>RANK(J506,$J$2:$J$1001,0)+COUNTIF($J$2:J506,J506)-1</f>
        <v>754</v>
      </c>
      <c r="L506" t="str">
        <f>INDEX('Boundary table'!$B$3:$B$7,MATCH(J506,'Boundary table'!$A$3:$A$7,1))</f>
        <v>F</v>
      </c>
      <c r="M506" s="16">
        <v>54</v>
      </c>
      <c r="N506">
        <f>RANK(M506,$M$2:$M$1001,0)+COUNTIF($M$2:M506,M506)-1</f>
        <v>811</v>
      </c>
      <c r="O506" t="str">
        <f>INDEX('Boundary table'!$B$3:$B$7,MATCH(M506,'Boundary table'!$A$3:$A$7))</f>
        <v>F</v>
      </c>
      <c r="P506">
        <f>Table1[[#This Row],[Math Score]]+Table1[[#This Row],[Reading Score]]+Table1[[#This Row],[Writing Score]]</f>
        <v>153</v>
      </c>
      <c r="Q506" s="16">
        <f>COUNTIF(Table1[[#This Row],[Math Score]],"&lt;60")+COUNTIF(Table1[[#This Row],[Reading Score]],"&lt;60")+COUNTIF(Table1[[#This Row],[Writing Score]],"&lt;60")</f>
        <v>3</v>
      </c>
      <c r="R506" t="str">
        <f>IF(Table1[[#This Row],[Fail Count]]&gt;=2,"At risk","OK")</f>
        <v>At risk</v>
      </c>
    </row>
    <row r="507" spans="1:18">
      <c r="A507" t="str">
        <f t="shared" si="7"/>
        <v>Stu-506</v>
      </c>
      <c r="B507" t="s">
        <v>11</v>
      </c>
      <c r="C507" t="s">
        <v>12</v>
      </c>
      <c r="D507" t="s">
        <v>33</v>
      </c>
      <c r="E507" t="s">
        <v>14</v>
      </c>
      <c r="F507" t="s">
        <v>15</v>
      </c>
      <c r="G507" s="16">
        <v>82</v>
      </c>
      <c r="H507">
        <f>RANK(G507,$G$2:$G$1001,0)+COUNTIF($G$2:G507,G507)-1</f>
        <v>147</v>
      </c>
      <c r="I507" t="str">
        <f>INDEX('Boundary table'!$B$3:$B$7,MATCH(G507,'Boundary table'!$A$3:$A$7,1))</f>
        <v>B</v>
      </c>
      <c r="J507" s="16">
        <v>82</v>
      </c>
      <c r="K507">
        <f>RANK(J507,$J$2:$J$1001,0)+COUNTIF($J$2:J507,J507)-1</f>
        <v>199</v>
      </c>
      <c r="L507" t="str">
        <f>INDEX('Boundary table'!$B$3:$B$7,MATCH(J507,'Boundary table'!$A$3:$A$7,1))</f>
        <v>B</v>
      </c>
      <c r="M507" s="16">
        <v>80</v>
      </c>
      <c r="N507">
        <f>RANK(M507,$M$2:$M$1001,0)+COUNTIF($M$2:M507,M507)-1</f>
        <v>219</v>
      </c>
      <c r="O507" t="str">
        <f>INDEX('Boundary table'!$B$3:$B$7,MATCH(M507,'Boundary table'!$A$3:$A$7))</f>
        <v>B</v>
      </c>
      <c r="P507">
        <f>Table1[[#This Row],[Math Score]]+Table1[[#This Row],[Reading Score]]+Table1[[#This Row],[Writing Score]]</f>
        <v>244</v>
      </c>
      <c r="Q507" s="16">
        <f>COUNTIF(Table1[[#This Row],[Math Score]],"&lt;60")+COUNTIF(Table1[[#This Row],[Reading Score]],"&lt;60")+COUNTIF(Table1[[#This Row],[Writing Score]],"&lt;60")</f>
        <v>0</v>
      </c>
      <c r="R507" t="str">
        <f>IF(Table1[[#This Row],[Fail Count]]&gt;=2,"At risk","OK")</f>
        <v>OK</v>
      </c>
    </row>
    <row r="508" spans="1:18">
      <c r="A508" t="str">
        <f t="shared" si="7"/>
        <v>Stu-507</v>
      </c>
      <c r="B508" t="s">
        <v>27</v>
      </c>
      <c r="C508" t="s">
        <v>28</v>
      </c>
      <c r="D508" t="s">
        <v>32</v>
      </c>
      <c r="E508" t="s">
        <v>14</v>
      </c>
      <c r="F508" t="s">
        <v>15</v>
      </c>
      <c r="G508" s="16">
        <v>68</v>
      </c>
      <c r="H508">
        <f>RANK(G508,$G$2:$G$1001,0)+COUNTIF($G$2:G508,G508)-1</f>
        <v>453</v>
      </c>
      <c r="I508" t="str">
        <f>INDEX('Boundary table'!$B$3:$B$7,MATCH(G508,'Boundary table'!$A$3:$A$7,1))</f>
        <v>D</v>
      </c>
      <c r="J508" s="16">
        <v>70</v>
      </c>
      <c r="K508">
        <f>RANK(J508,$J$2:$J$1001,0)+COUNTIF($J$2:J508,J508)-1</f>
        <v>501</v>
      </c>
      <c r="L508" t="str">
        <f>INDEX('Boundary table'!$B$3:$B$7,MATCH(J508,'Boundary table'!$A$3:$A$7,1))</f>
        <v>C</v>
      </c>
      <c r="M508" s="16">
        <v>66</v>
      </c>
      <c r="N508">
        <f>RANK(M508,$M$2:$M$1001,0)+COUNTIF($M$2:M508,M508)-1</f>
        <v>582</v>
      </c>
      <c r="O508" t="str">
        <f>INDEX('Boundary table'!$B$3:$B$7,MATCH(M508,'Boundary table'!$A$3:$A$7))</f>
        <v>D</v>
      </c>
      <c r="P508">
        <f>Table1[[#This Row],[Math Score]]+Table1[[#This Row],[Reading Score]]+Table1[[#This Row],[Writing Score]]</f>
        <v>204</v>
      </c>
      <c r="Q508" s="16">
        <f>COUNTIF(Table1[[#This Row],[Math Score]],"&lt;60")+COUNTIF(Table1[[#This Row],[Reading Score]],"&lt;60")+COUNTIF(Table1[[#This Row],[Writing Score]],"&lt;60")</f>
        <v>0</v>
      </c>
      <c r="R508" t="str">
        <f>IF(Table1[[#This Row],[Fail Count]]&gt;=2,"At risk","OK")</f>
        <v>OK</v>
      </c>
    </row>
    <row r="509" spans="1:18">
      <c r="A509" t="str">
        <f t="shared" si="7"/>
        <v>Stu-508</v>
      </c>
      <c r="B509" t="s">
        <v>27</v>
      </c>
      <c r="C509" t="s">
        <v>12</v>
      </c>
      <c r="D509" t="s">
        <v>13</v>
      </c>
      <c r="E509" t="s">
        <v>30</v>
      </c>
      <c r="F509" t="s">
        <v>15</v>
      </c>
      <c r="G509" s="16">
        <v>55</v>
      </c>
      <c r="H509">
        <f>RANK(G509,$G$2:$G$1001,0)+COUNTIF($G$2:G509,G509)-1</f>
        <v>768</v>
      </c>
      <c r="I509" t="str">
        <f>INDEX('Boundary table'!$B$3:$B$7,MATCH(G509,'Boundary table'!$A$3:$A$7,1))</f>
        <v>F</v>
      </c>
      <c r="J509" s="16">
        <v>59</v>
      </c>
      <c r="K509">
        <f>RANK(J509,$J$2:$J$1001,0)+COUNTIF($J$2:J509,J509)-1</f>
        <v>755</v>
      </c>
      <c r="L509" t="str">
        <f>INDEX('Boundary table'!$B$3:$B$7,MATCH(J509,'Boundary table'!$A$3:$A$7,1))</f>
        <v>F</v>
      </c>
      <c r="M509" s="16">
        <v>54</v>
      </c>
      <c r="N509">
        <f>RANK(M509,$M$2:$M$1001,0)+COUNTIF($M$2:M509,M509)-1</f>
        <v>812</v>
      </c>
      <c r="O509" t="str">
        <f>INDEX('Boundary table'!$B$3:$B$7,MATCH(M509,'Boundary table'!$A$3:$A$7))</f>
        <v>F</v>
      </c>
      <c r="P509">
        <f>Table1[[#This Row],[Math Score]]+Table1[[#This Row],[Reading Score]]+Table1[[#This Row],[Writing Score]]</f>
        <v>168</v>
      </c>
      <c r="Q509" s="16">
        <f>COUNTIF(Table1[[#This Row],[Math Score]],"&lt;60")+COUNTIF(Table1[[#This Row],[Reading Score]],"&lt;60")+COUNTIF(Table1[[#This Row],[Writing Score]],"&lt;60")</f>
        <v>3</v>
      </c>
      <c r="R509" t="str">
        <f>IF(Table1[[#This Row],[Fail Count]]&gt;=2,"At risk","OK")</f>
        <v>At risk</v>
      </c>
    </row>
    <row r="510" spans="1:18">
      <c r="A510" t="str">
        <f t="shared" si="7"/>
        <v>Stu-509</v>
      </c>
      <c r="B510" t="s">
        <v>27</v>
      </c>
      <c r="C510" t="s">
        <v>19</v>
      </c>
      <c r="D510" t="s">
        <v>26</v>
      </c>
      <c r="E510" t="s">
        <v>14</v>
      </c>
      <c r="F510" t="s">
        <v>15</v>
      </c>
      <c r="G510" s="16">
        <v>79</v>
      </c>
      <c r="H510">
        <f>RANK(G510,$G$2:$G$1001,0)+COUNTIF($G$2:G510,G510)-1</f>
        <v>205</v>
      </c>
      <c r="I510" t="str">
        <f>INDEX('Boundary table'!$B$3:$B$7,MATCH(G510,'Boundary table'!$A$3:$A$7,1))</f>
        <v>C</v>
      </c>
      <c r="J510" s="16">
        <v>78</v>
      </c>
      <c r="K510">
        <f>RANK(J510,$J$2:$J$1001,0)+COUNTIF($J$2:J510,J510)-1</f>
        <v>280</v>
      </c>
      <c r="L510" t="str">
        <f>INDEX('Boundary table'!$B$3:$B$7,MATCH(J510,'Boundary table'!$A$3:$A$7,1))</f>
        <v>C</v>
      </c>
      <c r="M510" s="16">
        <v>77</v>
      </c>
      <c r="N510">
        <f>RANK(M510,$M$2:$M$1001,0)+COUNTIF($M$2:M510,M510)-1</f>
        <v>293</v>
      </c>
      <c r="O510" t="str">
        <f>INDEX('Boundary table'!$B$3:$B$7,MATCH(M510,'Boundary table'!$A$3:$A$7))</f>
        <v>C</v>
      </c>
      <c r="P510">
        <f>Table1[[#This Row],[Math Score]]+Table1[[#This Row],[Reading Score]]+Table1[[#This Row],[Writing Score]]</f>
        <v>234</v>
      </c>
      <c r="Q510" s="16">
        <f>COUNTIF(Table1[[#This Row],[Math Score]],"&lt;60")+COUNTIF(Table1[[#This Row],[Reading Score]],"&lt;60")+COUNTIF(Table1[[#This Row],[Writing Score]],"&lt;60")</f>
        <v>0</v>
      </c>
      <c r="R510" t="str">
        <f>IF(Table1[[#This Row],[Fail Count]]&gt;=2,"At risk","OK")</f>
        <v>OK</v>
      </c>
    </row>
    <row r="511" spans="1:18">
      <c r="A511" t="str">
        <f t="shared" si="7"/>
        <v>Stu-510</v>
      </c>
      <c r="B511" t="s">
        <v>11</v>
      </c>
      <c r="C511" t="s">
        <v>19</v>
      </c>
      <c r="D511" t="s">
        <v>13</v>
      </c>
      <c r="E511" t="s">
        <v>14</v>
      </c>
      <c r="F511" t="s">
        <v>15</v>
      </c>
      <c r="G511" s="16">
        <v>86</v>
      </c>
      <c r="H511">
        <f>RANK(G511,$G$2:$G$1001,0)+COUNTIF($G$2:G511,G511)-1</f>
        <v>100</v>
      </c>
      <c r="I511" t="str">
        <f>INDEX('Boundary table'!$B$3:$B$7,MATCH(G511,'Boundary table'!$A$3:$A$7,1))</f>
        <v>B</v>
      </c>
      <c r="J511" s="16">
        <v>92</v>
      </c>
      <c r="K511">
        <f>RANK(J511,$J$2:$J$1001,0)+COUNTIF($J$2:J511,J511)-1</f>
        <v>52</v>
      </c>
      <c r="L511" t="str">
        <f>INDEX('Boundary table'!$B$3:$B$7,MATCH(J511,'Boundary table'!$A$3:$A$7,1))</f>
        <v>A</v>
      </c>
      <c r="M511" s="16">
        <v>87</v>
      </c>
      <c r="N511">
        <f>RANK(M511,$M$2:$M$1001,0)+COUNTIF($M$2:M511,M511)-1</f>
        <v>103</v>
      </c>
      <c r="O511" t="str">
        <f>INDEX('Boundary table'!$B$3:$B$7,MATCH(M511,'Boundary table'!$A$3:$A$7))</f>
        <v>B</v>
      </c>
      <c r="P511">
        <f>Table1[[#This Row],[Math Score]]+Table1[[#This Row],[Reading Score]]+Table1[[#This Row],[Writing Score]]</f>
        <v>265</v>
      </c>
      <c r="Q511" s="16">
        <f>COUNTIF(Table1[[#This Row],[Math Score]],"&lt;60")+COUNTIF(Table1[[#This Row],[Reading Score]],"&lt;60")+COUNTIF(Table1[[#This Row],[Writing Score]],"&lt;60")</f>
        <v>0</v>
      </c>
      <c r="R511" t="str">
        <f>IF(Table1[[#This Row],[Fail Count]]&gt;=2,"At risk","OK")</f>
        <v>OK</v>
      </c>
    </row>
    <row r="512" spans="1:18">
      <c r="A512" t="str">
        <f t="shared" si="7"/>
        <v>Stu-511</v>
      </c>
      <c r="B512" t="s">
        <v>27</v>
      </c>
      <c r="C512" t="s">
        <v>31</v>
      </c>
      <c r="D512" t="s">
        <v>20</v>
      </c>
      <c r="E512" t="s">
        <v>14</v>
      </c>
      <c r="F512" t="s">
        <v>15</v>
      </c>
      <c r="G512" s="16">
        <v>76</v>
      </c>
      <c r="H512">
        <f>RANK(G512,$G$2:$G$1001,0)+COUNTIF($G$2:G512,G512)-1</f>
        <v>266</v>
      </c>
      <c r="I512" t="str">
        <f>INDEX('Boundary table'!$B$3:$B$7,MATCH(G512,'Boundary table'!$A$3:$A$7,1))</f>
        <v>C</v>
      </c>
      <c r="J512" s="16">
        <v>71</v>
      </c>
      <c r="K512">
        <f>RANK(J512,$J$2:$J$1001,0)+COUNTIF($J$2:J512,J512)-1</f>
        <v>480</v>
      </c>
      <c r="L512" t="str">
        <f>INDEX('Boundary table'!$B$3:$B$7,MATCH(J512,'Boundary table'!$A$3:$A$7,1))</f>
        <v>C</v>
      </c>
      <c r="M512" s="16">
        <v>73</v>
      </c>
      <c r="N512">
        <f>RANK(M512,$M$2:$M$1001,0)+COUNTIF($M$2:M512,M512)-1</f>
        <v>396</v>
      </c>
      <c r="O512" t="str">
        <f>INDEX('Boundary table'!$B$3:$B$7,MATCH(M512,'Boundary table'!$A$3:$A$7))</f>
        <v>C</v>
      </c>
      <c r="P512">
        <f>Table1[[#This Row],[Math Score]]+Table1[[#This Row],[Reading Score]]+Table1[[#This Row],[Writing Score]]</f>
        <v>220</v>
      </c>
      <c r="Q512" s="16">
        <f>COUNTIF(Table1[[#This Row],[Math Score]],"&lt;60")+COUNTIF(Table1[[#This Row],[Reading Score]],"&lt;60")+COUNTIF(Table1[[#This Row],[Writing Score]],"&lt;60")</f>
        <v>0</v>
      </c>
      <c r="R512" t="str">
        <f>IF(Table1[[#This Row],[Fail Count]]&gt;=2,"At risk","OK")</f>
        <v>OK</v>
      </c>
    </row>
    <row r="513" spans="1:18">
      <c r="A513" t="str">
        <f t="shared" si="7"/>
        <v>Stu-512</v>
      </c>
      <c r="B513" t="s">
        <v>27</v>
      </c>
      <c r="C513" t="s">
        <v>28</v>
      </c>
      <c r="D513" t="s">
        <v>33</v>
      </c>
      <c r="E513" t="s">
        <v>14</v>
      </c>
      <c r="F513" t="s">
        <v>15</v>
      </c>
      <c r="G513" s="16">
        <v>64</v>
      </c>
      <c r="H513">
        <f>RANK(G513,$G$2:$G$1001,0)+COUNTIF($G$2:G513,G513)-1</f>
        <v>563</v>
      </c>
      <c r="I513" t="str">
        <f>INDEX('Boundary table'!$B$3:$B$7,MATCH(G513,'Boundary table'!$A$3:$A$7,1))</f>
        <v>D</v>
      </c>
      <c r="J513" s="16">
        <v>50</v>
      </c>
      <c r="K513">
        <f>RANK(J513,$J$2:$J$1001,0)+COUNTIF($J$2:J513,J513)-1</f>
        <v>907</v>
      </c>
      <c r="L513" t="str">
        <f>INDEX('Boundary table'!$B$3:$B$7,MATCH(J513,'Boundary table'!$A$3:$A$7,1))</f>
        <v>F</v>
      </c>
      <c r="M513" s="16">
        <v>43</v>
      </c>
      <c r="N513">
        <f>RANK(M513,$M$2:$M$1001,0)+COUNTIF($M$2:M513,M513)-1</f>
        <v>947</v>
      </c>
      <c r="O513" t="str">
        <f>INDEX('Boundary table'!$B$3:$B$7,MATCH(M513,'Boundary table'!$A$3:$A$7))</f>
        <v>F</v>
      </c>
      <c r="P513">
        <f>Table1[[#This Row],[Math Score]]+Table1[[#This Row],[Reading Score]]+Table1[[#This Row],[Writing Score]]</f>
        <v>157</v>
      </c>
      <c r="Q513" s="16">
        <f>COUNTIF(Table1[[#This Row],[Math Score]],"&lt;60")+COUNTIF(Table1[[#This Row],[Reading Score]],"&lt;60")+COUNTIF(Table1[[#This Row],[Writing Score]],"&lt;60")</f>
        <v>2</v>
      </c>
      <c r="R513" t="str">
        <f>IF(Table1[[#This Row],[Fail Count]]&gt;=2,"At risk","OK")</f>
        <v>At risk</v>
      </c>
    </row>
    <row r="514" spans="1:18">
      <c r="A514" t="str">
        <f t="shared" ref="A514:A577" si="8">"Stu-"&amp;TEXT(ROW()-1,"000")</f>
        <v>Stu-513</v>
      </c>
      <c r="B514" t="s">
        <v>27</v>
      </c>
      <c r="C514" t="s">
        <v>31</v>
      </c>
      <c r="D514" t="s">
        <v>33</v>
      </c>
      <c r="E514" t="s">
        <v>30</v>
      </c>
      <c r="F514" t="s">
        <v>15</v>
      </c>
      <c r="G514" s="16">
        <v>62</v>
      </c>
      <c r="H514">
        <f>RANK(G514,$G$2:$G$1001,0)+COUNTIF($G$2:G514,G514)-1</f>
        <v>614</v>
      </c>
      <c r="I514" t="str">
        <f>INDEX('Boundary table'!$B$3:$B$7,MATCH(G514,'Boundary table'!$A$3:$A$7,1))</f>
        <v>D</v>
      </c>
      <c r="J514" s="16">
        <v>49</v>
      </c>
      <c r="K514">
        <f>RANK(J514,$J$2:$J$1001,0)+COUNTIF($J$2:J514,J514)-1</f>
        <v>918</v>
      </c>
      <c r="L514" t="str">
        <f>INDEX('Boundary table'!$B$3:$B$7,MATCH(J514,'Boundary table'!$A$3:$A$7,1))</f>
        <v>F</v>
      </c>
      <c r="M514" s="16">
        <v>52</v>
      </c>
      <c r="N514">
        <f>RANK(M514,$M$2:$M$1001,0)+COUNTIF($M$2:M514,M514)-1</f>
        <v>849</v>
      </c>
      <c r="O514" t="str">
        <f>INDEX('Boundary table'!$B$3:$B$7,MATCH(M514,'Boundary table'!$A$3:$A$7))</f>
        <v>F</v>
      </c>
      <c r="P514">
        <f>Table1[[#This Row],[Math Score]]+Table1[[#This Row],[Reading Score]]+Table1[[#This Row],[Writing Score]]</f>
        <v>163</v>
      </c>
      <c r="Q514" s="16">
        <f>COUNTIF(Table1[[#This Row],[Math Score]],"&lt;60")+COUNTIF(Table1[[#This Row],[Reading Score]],"&lt;60")+COUNTIF(Table1[[#This Row],[Writing Score]],"&lt;60")</f>
        <v>2</v>
      </c>
      <c r="R514" t="str">
        <f>IF(Table1[[#This Row],[Fail Count]]&gt;=2,"At risk","OK")</f>
        <v>At risk</v>
      </c>
    </row>
    <row r="515" spans="1:18">
      <c r="A515" t="str">
        <f t="shared" si="8"/>
        <v>Stu-514</v>
      </c>
      <c r="B515" t="s">
        <v>11</v>
      </c>
      <c r="C515" t="s">
        <v>12</v>
      </c>
      <c r="D515" t="s">
        <v>33</v>
      </c>
      <c r="E515" t="s">
        <v>14</v>
      </c>
      <c r="F515" t="s">
        <v>21</v>
      </c>
      <c r="G515" s="16">
        <v>54</v>
      </c>
      <c r="H515">
        <f>RANK(G515,$G$2:$G$1001,0)+COUNTIF($G$2:G515,G515)-1</f>
        <v>789</v>
      </c>
      <c r="I515" t="str">
        <f>INDEX('Boundary table'!$B$3:$B$7,MATCH(G515,'Boundary table'!$A$3:$A$7,1))</f>
        <v>F</v>
      </c>
      <c r="J515" s="16">
        <v>61</v>
      </c>
      <c r="K515">
        <f>RANK(J515,$J$2:$J$1001,0)+COUNTIF($J$2:J515,J515)-1</f>
        <v>713</v>
      </c>
      <c r="L515" t="str">
        <f>INDEX('Boundary table'!$B$3:$B$7,MATCH(J515,'Boundary table'!$A$3:$A$7,1))</f>
        <v>D</v>
      </c>
      <c r="M515" s="16">
        <v>62</v>
      </c>
      <c r="N515">
        <f>RANK(M515,$M$2:$M$1001,0)+COUNTIF($M$2:M515,M515)-1</f>
        <v>668</v>
      </c>
      <c r="O515" t="str">
        <f>INDEX('Boundary table'!$B$3:$B$7,MATCH(M515,'Boundary table'!$A$3:$A$7))</f>
        <v>D</v>
      </c>
      <c r="P515">
        <f>Table1[[#This Row],[Math Score]]+Table1[[#This Row],[Reading Score]]+Table1[[#This Row],[Writing Score]]</f>
        <v>177</v>
      </c>
      <c r="Q515" s="16">
        <f>COUNTIF(Table1[[#This Row],[Math Score]],"&lt;60")+COUNTIF(Table1[[#This Row],[Reading Score]],"&lt;60")+COUNTIF(Table1[[#This Row],[Writing Score]],"&lt;60")</f>
        <v>1</v>
      </c>
      <c r="R515" t="str">
        <f>IF(Table1[[#This Row],[Fail Count]]&gt;=2,"At risk","OK")</f>
        <v>OK</v>
      </c>
    </row>
    <row r="516" spans="1:18">
      <c r="A516" t="str">
        <f t="shared" si="8"/>
        <v>Stu-515</v>
      </c>
      <c r="B516" t="s">
        <v>11</v>
      </c>
      <c r="C516" t="s">
        <v>12</v>
      </c>
      <c r="D516" t="s">
        <v>26</v>
      </c>
      <c r="E516" t="s">
        <v>30</v>
      </c>
      <c r="F516" t="s">
        <v>21</v>
      </c>
      <c r="G516" s="16">
        <v>77</v>
      </c>
      <c r="H516">
        <f>RANK(G516,$G$2:$G$1001,0)+COUNTIF($G$2:G516,G516)-1</f>
        <v>241</v>
      </c>
      <c r="I516" t="str">
        <f>INDEX('Boundary table'!$B$3:$B$7,MATCH(G516,'Boundary table'!$A$3:$A$7,1))</f>
        <v>C</v>
      </c>
      <c r="J516" s="16">
        <v>97</v>
      </c>
      <c r="K516">
        <f>RANK(J516,$J$2:$J$1001,0)+COUNTIF($J$2:J516,J516)-1</f>
        <v>22</v>
      </c>
      <c r="L516" t="str">
        <f>INDEX('Boundary table'!$B$3:$B$7,MATCH(J516,'Boundary table'!$A$3:$A$7,1))</f>
        <v>A</v>
      </c>
      <c r="M516" s="16">
        <v>94</v>
      </c>
      <c r="N516">
        <f>RANK(M516,$M$2:$M$1001,0)+COUNTIF($M$2:M516,M516)-1</f>
        <v>37</v>
      </c>
      <c r="O516" t="str">
        <f>INDEX('Boundary table'!$B$3:$B$7,MATCH(M516,'Boundary table'!$A$3:$A$7))</f>
        <v>A</v>
      </c>
      <c r="P516">
        <f>Table1[[#This Row],[Math Score]]+Table1[[#This Row],[Reading Score]]+Table1[[#This Row],[Writing Score]]</f>
        <v>268</v>
      </c>
      <c r="Q516" s="16">
        <f>COUNTIF(Table1[[#This Row],[Math Score]],"&lt;60")+COUNTIF(Table1[[#This Row],[Reading Score]],"&lt;60")+COUNTIF(Table1[[#This Row],[Writing Score]],"&lt;60")</f>
        <v>0</v>
      </c>
      <c r="R516" t="str">
        <f>IF(Table1[[#This Row],[Fail Count]]&gt;=2,"At risk","OK")</f>
        <v>OK</v>
      </c>
    </row>
    <row r="517" spans="1:18">
      <c r="A517" t="str">
        <f t="shared" si="8"/>
        <v>Stu-516</v>
      </c>
      <c r="B517" t="s">
        <v>11</v>
      </c>
      <c r="C517" t="s">
        <v>19</v>
      </c>
      <c r="D517" t="s">
        <v>33</v>
      </c>
      <c r="E517" t="s">
        <v>14</v>
      </c>
      <c r="F517" t="s">
        <v>21</v>
      </c>
      <c r="G517" s="16">
        <v>76</v>
      </c>
      <c r="H517">
        <f>RANK(G517,$G$2:$G$1001,0)+COUNTIF($G$2:G517,G517)-1</f>
        <v>267</v>
      </c>
      <c r="I517" t="str">
        <f>INDEX('Boundary table'!$B$3:$B$7,MATCH(G517,'Boundary table'!$A$3:$A$7,1))</f>
        <v>C</v>
      </c>
      <c r="J517" s="16">
        <v>87</v>
      </c>
      <c r="K517">
        <f>RANK(J517,$J$2:$J$1001,0)+COUNTIF($J$2:J517,J517)-1</f>
        <v>107</v>
      </c>
      <c r="L517" t="str">
        <f>INDEX('Boundary table'!$B$3:$B$7,MATCH(J517,'Boundary table'!$A$3:$A$7,1))</f>
        <v>B</v>
      </c>
      <c r="M517" s="16">
        <v>85</v>
      </c>
      <c r="N517">
        <f>RANK(M517,$M$2:$M$1001,0)+COUNTIF($M$2:M517,M517)-1</f>
        <v>128</v>
      </c>
      <c r="O517" t="str">
        <f>INDEX('Boundary table'!$B$3:$B$7,MATCH(M517,'Boundary table'!$A$3:$A$7))</f>
        <v>B</v>
      </c>
      <c r="P517">
        <f>Table1[[#This Row],[Math Score]]+Table1[[#This Row],[Reading Score]]+Table1[[#This Row],[Writing Score]]</f>
        <v>248</v>
      </c>
      <c r="Q517" s="16">
        <f>COUNTIF(Table1[[#This Row],[Math Score]],"&lt;60")+COUNTIF(Table1[[#This Row],[Reading Score]],"&lt;60")+COUNTIF(Table1[[#This Row],[Writing Score]],"&lt;60")</f>
        <v>0</v>
      </c>
      <c r="R517" t="str">
        <f>IF(Table1[[#This Row],[Fail Count]]&gt;=2,"At risk","OK")</f>
        <v>OK</v>
      </c>
    </row>
    <row r="518" spans="1:18">
      <c r="A518" t="str">
        <f t="shared" si="8"/>
        <v>Stu-517</v>
      </c>
      <c r="B518" t="s">
        <v>11</v>
      </c>
      <c r="C518" t="s">
        <v>31</v>
      </c>
      <c r="D518" t="s">
        <v>20</v>
      </c>
      <c r="E518" t="s">
        <v>14</v>
      </c>
      <c r="F518" t="s">
        <v>15</v>
      </c>
      <c r="G518" s="16">
        <v>74</v>
      </c>
      <c r="H518">
        <f>RANK(G518,$G$2:$G$1001,0)+COUNTIF($G$2:G518,G518)-1</f>
        <v>306</v>
      </c>
      <c r="I518" t="str">
        <f>INDEX('Boundary table'!$B$3:$B$7,MATCH(G518,'Boundary table'!$A$3:$A$7,1))</f>
        <v>C</v>
      </c>
      <c r="J518" s="16">
        <v>89</v>
      </c>
      <c r="K518">
        <f>RANK(J518,$J$2:$J$1001,0)+COUNTIF($J$2:J518,J518)-1</f>
        <v>88</v>
      </c>
      <c r="L518" t="str">
        <f>INDEX('Boundary table'!$B$3:$B$7,MATCH(J518,'Boundary table'!$A$3:$A$7,1))</f>
        <v>B</v>
      </c>
      <c r="M518" s="16">
        <v>84</v>
      </c>
      <c r="N518">
        <f>RANK(M518,$M$2:$M$1001,0)+COUNTIF($M$2:M518,M518)-1</f>
        <v>141</v>
      </c>
      <c r="O518" t="str">
        <f>INDEX('Boundary table'!$B$3:$B$7,MATCH(M518,'Boundary table'!$A$3:$A$7))</f>
        <v>B</v>
      </c>
      <c r="P518">
        <f>Table1[[#This Row],[Math Score]]+Table1[[#This Row],[Reading Score]]+Table1[[#This Row],[Writing Score]]</f>
        <v>247</v>
      </c>
      <c r="Q518" s="16">
        <f>COUNTIF(Table1[[#This Row],[Math Score]],"&lt;60")+COUNTIF(Table1[[#This Row],[Reading Score]],"&lt;60")+COUNTIF(Table1[[#This Row],[Writing Score]],"&lt;60")</f>
        <v>0</v>
      </c>
      <c r="R518" t="str">
        <f>IF(Table1[[#This Row],[Fail Count]]&gt;=2,"At risk","OK")</f>
        <v>OK</v>
      </c>
    </row>
    <row r="519" spans="1:18">
      <c r="A519" t="str">
        <f t="shared" si="8"/>
        <v>Stu-518</v>
      </c>
      <c r="B519" t="s">
        <v>11</v>
      </c>
      <c r="C519" t="s">
        <v>34</v>
      </c>
      <c r="D519" t="s">
        <v>20</v>
      </c>
      <c r="E519" t="s">
        <v>14</v>
      </c>
      <c r="F519" t="s">
        <v>21</v>
      </c>
      <c r="G519" s="16">
        <v>66</v>
      </c>
      <c r="H519">
        <f>RANK(G519,$G$2:$G$1001,0)+COUNTIF($G$2:G519,G519)-1</f>
        <v>505</v>
      </c>
      <c r="I519" t="str">
        <f>INDEX('Boundary table'!$B$3:$B$7,MATCH(G519,'Boundary table'!$A$3:$A$7,1))</f>
        <v>D</v>
      </c>
      <c r="J519" s="16">
        <v>74</v>
      </c>
      <c r="K519">
        <f>RANK(J519,$J$2:$J$1001,0)+COUNTIF($J$2:J519,J519)-1</f>
        <v>389</v>
      </c>
      <c r="L519" t="str">
        <f>INDEX('Boundary table'!$B$3:$B$7,MATCH(J519,'Boundary table'!$A$3:$A$7,1))</f>
        <v>C</v>
      </c>
      <c r="M519" s="16">
        <v>73</v>
      </c>
      <c r="N519">
        <f>RANK(M519,$M$2:$M$1001,0)+COUNTIF($M$2:M519,M519)-1</f>
        <v>397</v>
      </c>
      <c r="O519" t="str">
        <f>INDEX('Boundary table'!$B$3:$B$7,MATCH(M519,'Boundary table'!$A$3:$A$7))</f>
        <v>C</v>
      </c>
      <c r="P519">
        <f>Table1[[#This Row],[Math Score]]+Table1[[#This Row],[Reading Score]]+Table1[[#This Row],[Writing Score]]</f>
        <v>213</v>
      </c>
      <c r="Q519" s="16">
        <f>COUNTIF(Table1[[#This Row],[Math Score]],"&lt;60")+COUNTIF(Table1[[#This Row],[Reading Score]],"&lt;60")+COUNTIF(Table1[[#This Row],[Writing Score]],"&lt;60")</f>
        <v>0</v>
      </c>
      <c r="R519" t="str">
        <f>IF(Table1[[#This Row],[Fail Count]]&gt;=2,"At risk","OK")</f>
        <v>OK</v>
      </c>
    </row>
    <row r="520" spans="1:18">
      <c r="A520" t="str">
        <f t="shared" si="8"/>
        <v>Stu-519</v>
      </c>
      <c r="B520" t="s">
        <v>11</v>
      </c>
      <c r="C520" t="s">
        <v>31</v>
      </c>
      <c r="D520" t="s">
        <v>33</v>
      </c>
      <c r="E520" t="s">
        <v>14</v>
      </c>
      <c r="F520" t="s">
        <v>21</v>
      </c>
      <c r="G520" s="16">
        <v>66</v>
      </c>
      <c r="H520">
        <f>RANK(G520,$G$2:$G$1001,0)+COUNTIF($G$2:G520,G520)-1</f>
        <v>506</v>
      </c>
      <c r="I520" t="str">
        <f>INDEX('Boundary table'!$B$3:$B$7,MATCH(G520,'Boundary table'!$A$3:$A$7,1))</f>
        <v>D</v>
      </c>
      <c r="J520" s="16">
        <v>78</v>
      </c>
      <c r="K520">
        <f>RANK(J520,$J$2:$J$1001,0)+COUNTIF($J$2:J520,J520)-1</f>
        <v>281</v>
      </c>
      <c r="L520" t="str">
        <f>INDEX('Boundary table'!$B$3:$B$7,MATCH(J520,'Boundary table'!$A$3:$A$7,1))</f>
        <v>C</v>
      </c>
      <c r="M520" s="16">
        <v>78</v>
      </c>
      <c r="N520">
        <f>RANK(M520,$M$2:$M$1001,0)+COUNTIF($M$2:M520,M520)-1</f>
        <v>270</v>
      </c>
      <c r="O520" t="str">
        <f>INDEX('Boundary table'!$B$3:$B$7,MATCH(M520,'Boundary table'!$A$3:$A$7))</f>
        <v>C</v>
      </c>
      <c r="P520">
        <f>Table1[[#This Row],[Math Score]]+Table1[[#This Row],[Reading Score]]+Table1[[#This Row],[Writing Score]]</f>
        <v>222</v>
      </c>
      <c r="Q520" s="16">
        <f>COUNTIF(Table1[[#This Row],[Math Score]],"&lt;60")+COUNTIF(Table1[[#This Row],[Reading Score]],"&lt;60")+COUNTIF(Table1[[#This Row],[Writing Score]],"&lt;60")</f>
        <v>0</v>
      </c>
      <c r="R520" t="str">
        <f>IF(Table1[[#This Row],[Fail Count]]&gt;=2,"At risk","OK")</f>
        <v>OK</v>
      </c>
    </row>
    <row r="521" spans="1:18">
      <c r="A521" t="str">
        <f t="shared" si="8"/>
        <v>Stu-520</v>
      </c>
      <c r="B521" t="s">
        <v>11</v>
      </c>
      <c r="C521" t="s">
        <v>12</v>
      </c>
      <c r="D521" t="s">
        <v>32</v>
      </c>
      <c r="E521" t="s">
        <v>30</v>
      </c>
      <c r="F521" t="s">
        <v>21</v>
      </c>
      <c r="G521" s="16">
        <v>67</v>
      </c>
      <c r="H521">
        <f>RANK(G521,$G$2:$G$1001,0)+COUNTIF($G$2:G521,G521)-1</f>
        <v>482</v>
      </c>
      <c r="I521" t="str">
        <f>INDEX('Boundary table'!$B$3:$B$7,MATCH(G521,'Boundary table'!$A$3:$A$7,1))</f>
        <v>D</v>
      </c>
      <c r="J521" s="16">
        <v>78</v>
      </c>
      <c r="K521">
        <f>RANK(J521,$J$2:$J$1001,0)+COUNTIF($J$2:J521,J521)-1</f>
        <v>282</v>
      </c>
      <c r="L521" t="str">
        <f>INDEX('Boundary table'!$B$3:$B$7,MATCH(J521,'Boundary table'!$A$3:$A$7,1))</f>
        <v>C</v>
      </c>
      <c r="M521" s="16">
        <v>79</v>
      </c>
      <c r="N521">
        <f>RANK(M521,$M$2:$M$1001,0)+COUNTIF($M$2:M521,M521)-1</f>
        <v>243</v>
      </c>
      <c r="O521" t="str">
        <f>INDEX('Boundary table'!$B$3:$B$7,MATCH(M521,'Boundary table'!$A$3:$A$7))</f>
        <v>C</v>
      </c>
      <c r="P521">
        <f>Table1[[#This Row],[Math Score]]+Table1[[#This Row],[Reading Score]]+Table1[[#This Row],[Writing Score]]</f>
        <v>224</v>
      </c>
      <c r="Q521" s="16">
        <f>COUNTIF(Table1[[#This Row],[Math Score]],"&lt;60")+COUNTIF(Table1[[#This Row],[Reading Score]],"&lt;60")+COUNTIF(Table1[[#This Row],[Writing Score]],"&lt;60")</f>
        <v>0</v>
      </c>
      <c r="R521" t="str">
        <f>IF(Table1[[#This Row],[Fail Count]]&gt;=2,"At risk","OK")</f>
        <v>OK</v>
      </c>
    </row>
    <row r="522" spans="1:18">
      <c r="A522" t="str">
        <f t="shared" si="8"/>
        <v>Stu-521</v>
      </c>
      <c r="B522" t="s">
        <v>27</v>
      </c>
      <c r="C522" t="s">
        <v>31</v>
      </c>
      <c r="D522" t="s">
        <v>20</v>
      </c>
      <c r="E522" t="s">
        <v>14</v>
      </c>
      <c r="F522" t="s">
        <v>15</v>
      </c>
      <c r="G522" s="16">
        <v>71</v>
      </c>
      <c r="H522">
        <f>RANK(G522,$G$2:$G$1001,0)+COUNTIF($G$2:G522,G522)-1</f>
        <v>383</v>
      </c>
      <c r="I522" t="str">
        <f>INDEX('Boundary table'!$B$3:$B$7,MATCH(G522,'Boundary table'!$A$3:$A$7,1))</f>
        <v>C</v>
      </c>
      <c r="J522" s="16">
        <v>49</v>
      </c>
      <c r="K522">
        <f>RANK(J522,$J$2:$J$1001,0)+COUNTIF($J$2:J522,J522)-1</f>
        <v>919</v>
      </c>
      <c r="L522" t="str">
        <f>INDEX('Boundary table'!$B$3:$B$7,MATCH(J522,'Boundary table'!$A$3:$A$7,1))</f>
        <v>F</v>
      </c>
      <c r="M522" s="16">
        <v>52</v>
      </c>
      <c r="N522">
        <f>RANK(M522,$M$2:$M$1001,0)+COUNTIF($M$2:M522,M522)-1</f>
        <v>850</v>
      </c>
      <c r="O522" t="str">
        <f>INDEX('Boundary table'!$B$3:$B$7,MATCH(M522,'Boundary table'!$A$3:$A$7))</f>
        <v>F</v>
      </c>
      <c r="P522">
        <f>Table1[[#This Row],[Math Score]]+Table1[[#This Row],[Reading Score]]+Table1[[#This Row],[Writing Score]]</f>
        <v>172</v>
      </c>
      <c r="Q522" s="16">
        <f>COUNTIF(Table1[[#This Row],[Math Score]],"&lt;60")+COUNTIF(Table1[[#This Row],[Reading Score]],"&lt;60")+COUNTIF(Table1[[#This Row],[Writing Score]],"&lt;60")</f>
        <v>2</v>
      </c>
      <c r="R522" t="str">
        <f>IF(Table1[[#This Row],[Fail Count]]&gt;=2,"At risk","OK")</f>
        <v>At risk</v>
      </c>
    </row>
    <row r="523" spans="1:18">
      <c r="A523" t="str">
        <f t="shared" si="8"/>
        <v>Stu-522</v>
      </c>
      <c r="B523" t="s">
        <v>11</v>
      </c>
      <c r="C523" t="s">
        <v>19</v>
      </c>
      <c r="D523" t="s">
        <v>29</v>
      </c>
      <c r="E523" t="s">
        <v>14</v>
      </c>
      <c r="F523" t="s">
        <v>15</v>
      </c>
      <c r="G523" s="16">
        <v>91</v>
      </c>
      <c r="H523">
        <f>RANK(G523,$G$2:$G$1001,0)+COUNTIF($G$2:G523,G523)-1</f>
        <v>44</v>
      </c>
      <c r="I523" t="str">
        <f>INDEX('Boundary table'!$B$3:$B$7,MATCH(G523,'Boundary table'!$A$3:$A$7,1))</f>
        <v>A</v>
      </c>
      <c r="J523" s="16">
        <v>86</v>
      </c>
      <c r="K523">
        <f>RANK(J523,$J$2:$J$1001,0)+COUNTIF($J$2:J523,J523)-1</f>
        <v>125</v>
      </c>
      <c r="L523" t="str">
        <f>INDEX('Boundary table'!$B$3:$B$7,MATCH(J523,'Boundary table'!$A$3:$A$7,1))</f>
        <v>B</v>
      </c>
      <c r="M523" s="16">
        <v>84</v>
      </c>
      <c r="N523">
        <f>RANK(M523,$M$2:$M$1001,0)+COUNTIF($M$2:M523,M523)-1</f>
        <v>142</v>
      </c>
      <c r="O523" t="str">
        <f>INDEX('Boundary table'!$B$3:$B$7,MATCH(M523,'Boundary table'!$A$3:$A$7))</f>
        <v>B</v>
      </c>
      <c r="P523">
        <f>Table1[[#This Row],[Math Score]]+Table1[[#This Row],[Reading Score]]+Table1[[#This Row],[Writing Score]]</f>
        <v>261</v>
      </c>
      <c r="Q523" s="16">
        <f>COUNTIF(Table1[[#This Row],[Math Score]],"&lt;60")+COUNTIF(Table1[[#This Row],[Reading Score]],"&lt;60")+COUNTIF(Table1[[#This Row],[Writing Score]],"&lt;60")</f>
        <v>0</v>
      </c>
      <c r="R523" t="str">
        <f>IF(Table1[[#This Row],[Fail Count]]&gt;=2,"At risk","OK")</f>
        <v>OK</v>
      </c>
    </row>
    <row r="524" spans="1:18">
      <c r="A524" t="str">
        <f t="shared" si="8"/>
        <v>Stu-523</v>
      </c>
      <c r="B524" t="s">
        <v>27</v>
      </c>
      <c r="C524" t="s">
        <v>31</v>
      </c>
      <c r="D524" t="s">
        <v>13</v>
      </c>
      <c r="E524" t="s">
        <v>14</v>
      </c>
      <c r="F524" t="s">
        <v>15</v>
      </c>
      <c r="G524" s="16">
        <v>69</v>
      </c>
      <c r="H524">
        <f>RANK(G524,$G$2:$G$1001,0)+COUNTIF($G$2:G524,G524)-1</f>
        <v>425</v>
      </c>
      <c r="I524" t="str">
        <f>INDEX('Boundary table'!$B$3:$B$7,MATCH(G524,'Boundary table'!$A$3:$A$7,1))</f>
        <v>D</v>
      </c>
      <c r="J524" s="16">
        <v>58</v>
      </c>
      <c r="K524">
        <f>RANK(J524,$J$2:$J$1001,0)+COUNTIF($J$2:J524,J524)-1</f>
        <v>778</v>
      </c>
      <c r="L524" t="str">
        <f>INDEX('Boundary table'!$B$3:$B$7,MATCH(J524,'Boundary table'!$A$3:$A$7,1))</f>
        <v>F</v>
      </c>
      <c r="M524" s="16">
        <v>57</v>
      </c>
      <c r="N524">
        <f>RANK(M524,$M$2:$M$1001,0)+COUNTIF($M$2:M524,M524)-1</f>
        <v>761</v>
      </c>
      <c r="O524" t="str">
        <f>INDEX('Boundary table'!$B$3:$B$7,MATCH(M524,'Boundary table'!$A$3:$A$7))</f>
        <v>F</v>
      </c>
      <c r="P524">
        <f>Table1[[#This Row],[Math Score]]+Table1[[#This Row],[Reading Score]]+Table1[[#This Row],[Writing Score]]</f>
        <v>184</v>
      </c>
      <c r="Q524" s="16">
        <f>COUNTIF(Table1[[#This Row],[Math Score]],"&lt;60")+COUNTIF(Table1[[#This Row],[Reading Score]],"&lt;60")+COUNTIF(Table1[[#This Row],[Writing Score]],"&lt;60")</f>
        <v>2</v>
      </c>
      <c r="R524" t="str">
        <f>IF(Table1[[#This Row],[Fail Count]]&gt;=2,"At risk","OK")</f>
        <v>At risk</v>
      </c>
    </row>
    <row r="525" spans="1:18">
      <c r="A525" t="str">
        <f t="shared" si="8"/>
        <v>Stu-524</v>
      </c>
      <c r="B525" t="s">
        <v>27</v>
      </c>
      <c r="C525" t="s">
        <v>19</v>
      </c>
      <c r="D525" t="s">
        <v>26</v>
      </c>
      <c r="E525" t="s">
        <v>30</v>
      </c>
      <c r="F525" t="s">
        <v>15</v>
      </c>
      <c r="G525" s="16">
        <v>54</v>
      </c>
      <c r="H525">
        <f>RANK(G525,$G$2:$G$1001,0)+COUNTIF($G$2:G525,G525)-1</f>
        <v>790</v>
      </c>
      <c r="I525" t="str">
        <f>INDEX('Boundary table'!$B$3:$B$7,MATCH(G525,'Boundary table'!$A$3:$A$7,1))</f>
        <v>F</v>
      </c>
      <c r="J525" s="16">
        <v>59</v>
      </c>
      <c r="K525">
        <f>RANK(J525,$J$2:$J$1001,0)+COUNTIF($J$2:J525,J525)-1</f>
        <v>756</v>
      </c>
      <c r="L525" t="str">
        <f>INDEX('Boundary table'!$B$3:$B$7,MATCH(J525,'Boundary table'!$A$3:$A$7,1))</f>
        <v>F</v>
      </c>
      <c r="M525" s="16">
        <v>50</v>
      </c>
      <c r="N525">
        <f>RANK(M525,$M$2:$M$1001,0)+COUNTIF($M$2:M525,M525)-1</f>
        <v>882</v>
      </c>
      <c r="O525" t="str">
        <f>INDEX('Boundary table'!$B$3:$B$7,MATCH(M525,'Boundary table'!$A$3:$A$7))</f>
        <v>F</v>
      </c>
      <c r="P525">
        <f>Table1[[#This Row],[Math Score]]+Table1[[#This Row],[Reading Score]]+Table1[[#This Row],[Writing Score]]</f>
        <v>163</v>
      </c>
      <c r="Q525" s="16">
        <f>COUNTIF(Table1[[#This Row],[Math Score]],"&lt;60")+COUNTIF(Table1[[#This Row],[Reading Score]],"&lt;60")+COUNTIF(Table1[[#This Row],[Writing Score]],"&lt;60")</f>
        <v>3</v>
      </c>
      <c r="R525" t="str">
        <f>IF(Table1[[#This Row],[Fail Count]]&gt;=2,"At risk","OK")</f>
        <v>At risk</v>
      </c>
    </row>
    <row r="526" spans="1:18">
      <c r="A526" t="str">
        <f t="shared" si="8"/>
        <v>Stu-525</v>
      </c>
      <c r="B526" t="s">
        <v>27</v>
      </c>
      <c r="C526" t="s">
        <v>19</v>
      </c>
      <c r="D526" t="s">
        <v>32</v>
      </c>
      <c r="E526" t="s">
        <v>14</v>
      </c>
      <c r="F526" t="s">
        <v>21</v>
      </c>
      <c r="G526" s="16">
        <v>53</v>
      </c>
      <c r="H526">
        <f>RANK(G526,$G$2:$G$1001,0)+COUNTIF($G$2:G526,G526)-1</f>
        <v>809</v>
      </c>
      <c r="I526" t="str">
        <f>INDEX('Boundary table'!$B$3:$B$7,MATCH(G526,'Boundary table'!$A$3:$A$7,1))</f>
        <v>F</v>
      </c>
      <c r="J526" s="16">
        <v>52</v>
      </c>
      <c r="K526">
        <f>RANK(J526,$J$2:$J$1001,0)+COUNTIF($J$2:J526,J526)-1</f>
        <v>882</v>
      </c>
      <c r="L526" t="str">
        <f>INDEX('Boundary table'!$B$3:$B$7,MATCH(J526,'Boundary table'!$A$3:$A$7,1))</f>
        <v>F</v>
      </c>
      <c r="M526" s="16">
        <v>49</v>
      </c>
      <c r="N526">
        <f>RANK(M526,$M$2:$M$1001,0)+COUNTIF($M$2:M526,M526)-1</f>
        <v>893</v>
      </c>
      <c r="O526" t="str">
        <f>INDEX('Boundary table'!$B$3:$B$7,MATCH(M526,'Boundary table'!$A$3:$A$7))</f>
        <v>F</v>
      </c>
      <c r="P526">
        <f>Table1[[#This Row],[Math Score]]+Table1[[#This Row],[Reading Score]]+Table1[[#This Row],[Writing Score]]</f>
        <v>154</v>
      </c>
      <c r="Q526" s="16">
        <f>COUNTIF(Table1[[#This Row],[Math Score]],"&lt;60")+COUNTIF(Table1[[#This Row],[Reading Score]],"&lt;60")+COUNTIF(Table1[[#This Row],[Writing Score]],"&lt;60")</f>
        <v>3</v>
      </c>
      <c r="R526" t="str">
        <f>IF(Table1[[#This Row],[Fail Count]]&gt;=2,"At risk","OK")</f>
        <v>At risk</v>
      </c>
    </row>
    <row r="527" spans="1:18">
      <c r="A527" t="str">
        <f t="shared" si="8"/>
        <v>Stu-526</v>
      </c>
      <c r="B527" t="s">
        <v>27</v>
      </c>
      <c r="C527" t="s">
        <v>34</v>
      </c>
      <c r="D527" t="s">
        <v>20</v>
      </c>
      <c r="E527" t="s">
        <v>14</v>
      </c>
      <c r="F527" t="s">
        <v>15</v>
      </c>
      <c r="G527" s="16">
        <v>68</v>
      </c>
      <c r="H527">
        <f>RANK(G527,$G$2:$G$1001,0)+COUNTIF($G$2:G527,G527)-1</f>
        <v>454</v>
      </c>
      <c r="I527" t="str">
        <f>INDEX('Boundary table'!$B$3:$B$7,MATCH(G527,'Boundary table'!$A$3:$A$7,1))</f>
        <v>D</v>
      </c>
      <c r="J527" s="16">
        <v>60</v>
      </c>
      <c r="K527">
        <f>RANK(J527,$J$2:$J$1001,0)+COUNTIF($J$2:J527,J527)-1</f>
        <v>734</v>
      </c>
      <c r="L527" t="str">
        <f>INDEX('Boundary table'!$B$3:$B$7,MATCH(J527,'Boundary table'!$A$3:$A$7,1))</f>
        <v>D</v>
      </c>
      <c r="M527" s="16">
        <v>59</v>
      </c>
      <c r="N527">
        <f>RANK(M527,$M$2:$M$1001,0)+COUNTIF($M$2:M527,M527)-1</f>
        <v>725</v>
      </c>
      <c r="O527" t="str">
        <f>INDEX('Boundary table'!$B$3:$B$7,MATCH(M527,'Boundary table'!$A$3:$A$7))</f>
        <v>F</v>
      </c>
      <c r="P527">
        <f>Table1[[#This Row],[Math Score]]+Table1[[#This Row],[Reading Score]]+Table1[[#This Row],[Writing Score]]</f>
        <v>187</v>
      </c>
      <c r="Q527" s="16">
        <f>COUNTIF(Table1[[#This Row],[Math Score]],"&lt;60")+COUNTIF(Table1[[#This Row],[Reading Score]],"&lt;60")+COUNTIF(Table1[[#This Row],[Writing Score]],"&lt;60")</f>
        <v>1</v>
      </c>
      <c r="R527" t="str">
        <f>IF(Table1[[#This Row],[Fail Count]]&gt;=2,"At risk","OK")</f>
        <v>OK</v>
      </c>
    </row>
    <row r="528" spans="1:18">
      <c r="A528" t="str">
        <f t="shared" si="8"/>
        <v>Stu-527</v>
      </c>
      <c r="B528" t="s">
        <v>27</v>
      </c>
      <c r="C528" t="s">
        <v>19</v>
      </c>
      <c r="D528" t="s">
        <v>33</v>
      </c>
      <c r="E528" t="s">
        <v>30</v>
      </c>
      <c r="F528" t="s">
        <v>21</v>
      </c>
      <c r="G528" s="16">
        <v>56</v>
      </c>
      <c r="H528">
        <f>RANK(G528,$G$2:$G$1001,0)+COUNTIF($G$2:G528,G528)-1</f>
        <v>758</v>
      </c>
      <c r="I528" t="str">
        <f>INDEX('Boundary table'!$B$3:$B$7,MATCH(G528,'Boundary table'!$A$3:$A$7,1))</f>
        <v>F</v>
      </c>
      <c r="J528" s="16">
        <v>61</v>
      </c>
      <c r="K528">
        <f>RANK(J528,$J$2:$J$1001,0)+COUNTIF($J$2:J528,J528)-1</f>
        <v>714</v>
      </c>
      <c r="L528" t="str">
        <f>INDEX('Boundary table'!$B$3:$B$7,MATCH(J528,'Boundary table'!$A$3:$A$7,1))</f>
        <v>D</v>
      </c>
      <c r="M528" s="16">
        <v>60</v>
      </c>
      <c r="N528">
        <f>RANK(M528,$M$2:$M$1001,0)+COUNTIF($M$2:M528,M528)-1</f>
        <v>707</v>
      </c>
      <c r="O528" t="str">
        <f>INDEX('Boundary table'!$B$3:$B$7,MATCH(M528,'Boundary table'!$A$3:$A$7))</f>
        <v>D</v>
      </c>
      <c r="P528">
        <f>Table1[[#This Row],[Math Score]]+Table1[[#This Row],[Reading Score]]+Table1[[#This Row],[Writing Score]]</f>
        <v>177</v>
      </c>
      <c r="Q528" s="16">
        <f>COUNTIF(Table1[[#This Row],[Math Score]],"&lt;60")+COUNTIF(Table1[[#This Row],[Reading Score]],"&lt;60")+COUNTIF(Table1[[#This Row],[Writing Score]],"&lt;60")</f>
        <v>1</v>
      </c>
      <c r="R528" t="str">
        <f>IF(Table1[[#This Row],[Fail Count]]&gt;=2,"At risk","OK")</f>
        <v>OK</v>
      </c>
    </row>
    <row r="529" spans="1:18">
      <c r="A529" t="str">
        <f t="shared" si="8"/>
        <v>Stu-528</v>
      </c>
      <c r="B529" t="s">
        <v>11</v>
      </c>
      <c r="C529" t="s">
        <v>19</v>
      </c>
      <c r="D529" t="s">
        <v>32</v>
      </c>
      <c r="E529" t="s">
        <v>30</v>
      </c>
      <c r="F529" t="s">
        <v>15</v>
      </c>
      <c r="G529" s="16">
        <v>36</v>
      </c>
      <c r="H529">
        <f>RANK(G529,$G$2:$G$1001,0)+COUNTIF($G$2:G529,G529)-1</f>
        <v>972</v>
      </c>
      <c r="I529" t="str">
        <f>INDEX('Boundary table'!$B$3:$B$7,MATCH(G529,'Boundary table'!$A$3:$A$7,1))</f>
        <v>F</v>
      </c>
      <c r="J529" s="16">
        <v>53</v>
      </c>
      <c r="K529">
        <f>RANK(J529,$J$2:$J$1001,0)+COUNTIF($J$2:J529,J529)-1</f>
        <v>867</v>
      </c>
      <c r="L529" t="str">
        <f>INDEX('Boundary table'!$B$3:$B$7,MATCH(J529,'Boundary table'!$A$3:$A$7,1))</f>
        <v>F</v>
      </c>
      <c r="M529" s="16">
        <v>43</v>
      </c>
      <c r="N529">
        <f>RANK(M529,$M$2:$M$1001,0)+COUNTIF($M$2:M529,M529)-1</f>
        <v>948</v>
      </c>
      <c r="O529" t="str">
        <f>INDEX('Boundary table'!$B$3:$B$7,MATCH(M529,'Boundary table'!$A$3:$A$7))</f>
        <v>F</v>
      </c>
      <c r="P529">
        <f>Table1[[#This Row],[Math Score]]+Table1[[#This Row],[Reading Score]]+Table1[[#This Row],[Writing Score]]</f>
        <v>132</v>
      </c>
      <c r="Q529" s="16">
        <f>COUNTIF(Table1[[#This Row],[Math Score]],"&lt;60")+COUNTIF(Table1[[#This Row],[Reading Score]],"&lt;60")+COUNTIF(Table1[[#This Row],[Writing Score]],"&lt;60")</f>
        <v>3</v>
      </c>
      <c r="R529" t="str">
        <f>IF(Table1[[#This Row],[Fail Count]]&gt;=2,"At risk","OK")</f>
        <v>At risk</v>
      </c>
    </row>
    <row r="530" spans="1:18">
      <c r="A530" t="str">
        <f t="shared" si="8"/>
        <v>Stu-529</v>
      </c>
      <c r="B530" t="s">
        <v>11</v>
      </c>
      <c r="C530" t="s">
        <v>31</v>
      </c>
      <c r="D530" t="s">
        <v>13</v>
      </c>
      <c r="E530" t="s">
        <v>30</v>
      </c>
      <c r="F530" t="s">
        <v>15</v>
      </c>
      <c r="G530" s="16">
        <v>29</v>
      </c>
      <c r="H530">
        <f>RANK(G530,$G$2:$G$1001,0)+COUNTIF($G$2:G530,G530)-1</f>
        <v>987</v>
      </c>
      <c r="I530" t="str">
        <f>INDEX('Boundary table'!$B$3:$B$7,MATCH(G530,'Boundary table'!$A$3:$A$7,1))</f>
        <v>F</v>
      </c>
      <c r="J530" s="16">
        <v>41</v>
      </c>
      <c r="K530">
        <f>RANK(J530,$J$2:$J$1001,0)+COUNTIF($J$2:J530,J530)-1</f>
        <v>972</v>
      </c>
      <c r="L530" t="str">
        <f>INDEX('Boundary table'!$B$3:$B$7,MATCH(J530,'Boundary table'!$A$3:$A$7,1))</f>
        <v>F</v>
      </c>
      <c r="M530" s="16">
        <v>47</v>
      </c>
      <c r="N530">
        <f>RANK(M530,$M$2:$M$1001,0)+COUNTIF($M$2:M530,M530)-1</f>
        <v>910</v>
      </c>
      <c r="O530" t="str">
        <f>INDEX('Boundary table'!$B$3:$B$7,MATCH(M530,'Boundary table'!$A$3:$A$7))</f>
        <v>F</v>
      </c>
      <c r="P530">
        <f>Table1[[#This Row],[Math Score]]+Table1[[#This Row],[Reading Score]]+Table1[[#This Row],[Writing Score]]</f>
        <v>117</v>
      </c>
      <c r="Q530" s="16">
        <f>COUNTIF(Table1[[#This Row],[Math Score]],"&lt;60")+COUNTIF(Table1[[#This Row],[Reading Score]],"&lt;60")+COUNTIF(Table1[[#This Row],[Writing Score]],"&lt;60")</f>
        <v>3</v>
      </c>
      <c r="R530" t="str">
        <f>IF(Table1[[#This Row],[Fail Count]]&gt;=2,"At risk","OK")</f>
        <v>At risk</v>
      </c>
    </row>
    <row r="531" spans="1:18">
      <c r="A531" t="str">
        <f t="shared" si="8"/>
        <v>Stu-530</v>
      </c>
      <c r="B531" t="s">
        <v>11</v>
      </c>
      <c r="C531" t="s">
        <v>19</v>
      </c>
      <c r="D531" t="s">
        <v>29</v>
      </c>
      <c r="E531" t="s">
        <v>14</v>
      </c>
      <c r="F531" t="s">
        <v>15</v>
      </c>
      <c r="G531" s="16">
        <v>62</v>
      </c>
      <c r="H531">
        <f>RANK(G531,$G$2:$G$1001,0)+COUNTIF($G$2:G531,G531)-1</f>
        <v>615</v>
      </c>
      <c r="I531" t="str">
        <f>INDEX('Boundary table'!$B$3:$B$7,MATCH(G531,'Boundary table'!$A$3:$A$7,1))</f>
        <v>D</v>
      </c>
      <c r="J531" s="16">
        <v>74</v>
      </c>
      <c r="K531">
        <f>RANK(J531,$J$2:$J$1001,0)+COUNTIF($J$2:J531,J531)-1</f>
        <v>390</v>
      </c>
      <c r="L531" t="str">
        <f>INDEX('Boundary table'!$B$3:$B$7,MATCH(J531,'Boundary table'!$A$3:$A$7,1))</f>
        <v>C</v>
      </c>
      <c r="M531" s="16">
        <v>70</v>
      </c>
      <c r="N531">
        <f>RANK(M531,$M$2:$M$1001,0)+COUNTIF($M$2:M531,M531)-1</f>
        <v>477</v>
      </c>
      <c r="O531" t="str">
        <f>INDEX('Boundary table'!$B$3:$B$7,MATCH(M531,'Boundary table'!$A$3:$A$7))</f>
        <v>C</v>
      </c>
      <c r="P531">
        <f>Table1[[#This Row],[Math Score]]+Table1[[#This Row],[Reading Score]]+Table1[[#This Row],[Writing Score]]</f>
        <v>206</v>
      </c>
      <c r="Q531" s="16">
        <f>COUNTIF(Table1[[#This Row],[Math Score]],"&lt;60")+COUNTIF(Table1[[#This Row],[Reading Score]],"&lt;60")+COUNTIF(Table1[[#This Row],[Writing Score]],"&lt;60")</f>
        <v>0</v>
      </c>
      <c r="R531" t="str">
        <f>IF(Table1[[#This Row],[Fail Count]]&gt;=2,"At risk","OK")</f>
        <v>OK</v>
      </c>
    </row>
    <row r="532" spans="1:18">
      <c r="A532" t="str">
        <f t="shared" si="8"/>
        <v>Stu-531</v>
      </c>
      <c r="B532" t="s">
        <v>11</v>
      </c>
      <c r="C532" t="s">
        <v>19</v>
      </c>
      <c r="D532" t="s">
        <v>29</v>
      </c>
      <c r="E532" t="s">
        <v>14</v>
      </c>
      <c r="F532" t="s">
        <v>21</v>
      </c>
      <c r="G532" s="16">
        <v>68</v>
      </c>
      <c r="H532">
        <f>RANK(G532,$G$2:$G$1001,0)+COUNTIF($G$2:G532,G532)-1</f>
        <v>455</v>
      </c>
      <c r="I532" t="str">
        <f>INDEX('Boundary table'!$B$3:$B$7,MATCH(G532,'Boundary table'!$A$3:$A$7,1))</f>
        <v>D</v>
      </c>
      <c r="J532" s="16">
        <v>67</v>
      </c>
      <c r="K532">
        <f>RANK(J532,$J$2:$J$1001,0)+COUNTIF($J$2:J532,J532)-1</f>
        <v>570</v>
      </c>
      <c r="L532" t="str">
        <f>INDEX('Boundary table'!$B$3:$B$7,MATCH(J532,'Boundary table'!$A$3:$A$7,1))</f>
        <v>D</v>
      </c>
      <c r="M532" s="16">
        <v>73</v>
      </c>
      <c r="N532">
        <f>RANK(M532,$M$2:$M$1001,0)+COUNTIF($M$2:M532,M532)-1</f>
        <v>398</v>
      </c>
      <c r="O532" t="str">
        <f>INDEX('Boundary table'!$B$3:$B$7,MATCH(M532,'Boundary table'!$A$3:$A$7))</f>
        <v>C</v>
      </c>
      <c r="P532">
        <f>Table1[[#This Row],[Math Score]]+Table1[[#This Row],[Reading Score]]+Table1[[#This Row],[Writing Score]]</f>
        <v>208</v>
      </c>
      <c r="Q532" s="16">
        <f>COUNTIF(Table1[[#This Row],[Math Score]],"&lt;60")+COUNTIF(Table1[[#This Row],[Reading Score]],"&lt;60")+COUNTIF(Table1[[#This Row],[Writing Score]],"&lt;60")</f>
        <v>0</v>
      </c>
      <c r="R532" t="str">
        <f>IF(Table1[[#This Row],[Fail Count]]&gt;=2,"At risk","OK")</f>
        <v>OK</v>
      </c>
    </row>
    <row r="533" spans="1:18">
      <c r="A533" t="str">
        <f t="shared" si="8"/>
        <v>Stu-532</v>
      </c>
      <c r="B533" t="s">
        <v>11</v>
      </c>
      <c r="C533" t="s">
        <v>19</v>
      </c>
      <c r="D533" t="s">
        <v>33</v>
      </c>
      <c r="E533" t="s">
        <v>14</v>
      </c>
      <c r="F533" t="s">
        <v>15</v>
      </c>
      <c r="G533" s="16">
        <v>47</v>
      </c>
      <c r="H533">
        <f>RANK(G533,$G$2:$G$1001,0)+COUNTIF($G$2:G533,G533)-1</f>
        <v>902</v>
      </c>
      <c r="I533" t="str">
        <f>INDEX('Boundary table'!$B$3:$B$7,MATCH(G533,'Boundary table'!$A$3:$A$7,1))</f>
        <v>F</v>
      </c>
      <c r="J533" s="16">
        <v>54</v>
      </c>
      <c r="K533">
        <f>RANK(J533,$J$2:$J$1001,0)+COUNTIF($J$2:J533,J533)-1</f>
        <v>852</v>
      </c>
      <c r="L533" t="str">
        <f>INDEX('Boundary table'!$B$3:$B$7,MATCH(J533,'Boundary table'!$A$3:$A$7,1))</f>
        <v>F</v>
      </c>
      <c r="M533" s="16">
        <v>53</v>
      </c>
      <c r="N533">
        <f>RANK(M533,$M$2:$M$1001,0)+COUNTIF($M$2:M533,M533)-1</f>
        <v>830</v>
      </c>
      <c r="O533" t="str">
        <f>INDEX('Boundary table'!$B$3:$B$7,MATCH(M533,'Boundary table'!$A$3:$A$7))</f>
        <v>F</v>
      </c>
      <c r="P533">
        <f>Table1[[#This Row],[Math Score]]+Table1[[#This Row],[Reading Score]]+Table1[[#This Row],[Writing Score]]</f>
        <v>154</v>
      </c>
      <c r="Q533" s="16">
        <f>COUNTIF(Table1[[#This Row],[Math Score]],"&lt;60")+COUNTIF(Table1[[#This Row],[Reading Score]],"&lt;60")+COUNTIF(Table1[[#This Row],[Writing Score]],"&lt;60")</f>
        <v>3</v>
      </c>
      <c r="R533" t="str">
        <f>IF(Table1[[#This Row],[Fail Count]]&gt;=2,"At risk","OK")</f>
        <v>At risk</v>
      </c>
    </row>
    <row r="534" spans="1:18">
      <c r="A534" t="str">
        <f t="shared" si="8"/>
        <v>Stu-533</v>
      </c>
      <c r="B534" t="s">
        <v>27</v>
      </c>
      <c r="C534" t="s">
        <v>34</v>
      </c>
      <c r="D534" t="s">
        <v>29</v>
      </c>
      <c r="E534" t="s">
        <v>14</v>
      </c>
      <c r="F534" t="s">
        <v>21</v>
      </c>
      <c r="G534" s="16">
        <v>62</v>
      </c>
      <c r="H534">
        <f>RANK(G534,$G$2:$G$1001,0)+COUNTIF($G$2:G534,G534)-1</f>
        <v>616</v>
      </c>
      <c r="I534" t="str">
        <f>INDEX('Boundary table'!$B$3:$B$7,MATCH(G534,'Boundary table'!$A$3:$A$7,1))</f>
        <v>D</v>
      </c>
      <c r="J534" s="16">
        <v>61</v>
      </c>
      <c r="K534">
        <f>RANK(J534,$J$2:$J$1001,0)+COUNTIF($J$2:J534,J534)-1</f>
        <v>715</v>
      </c>
      <c r="L534" t="str">
        <f>INDEX('Boundary table'!$B$3:$B$7,MATCH(J534,'Boundary table'!$A$3:$A$7,1))</f>
        <v>D</v>
      </c>
      <c r="M534" s="16">
        <v>58</v>
      </c>
      <c r="N534">
        <f>RANK(M534,$M$2:$M$1001,0)+COUNTIF($M$2:M534,M534)-1</f>
        <v>740</v>
      </c>
      <c r="O534" t="str">
        <f>INDEX('Boundary table'!$B$3:$B$7,MATCH(M534,'Boundary table'!$A$3:$A$7))</f>
        <v>F</v>
      </c>
      <c r="P534">
        <f>Table1[[#This Row],[Math Score]]+Table1[[#This Row],[Reading Score]]+Table1[[#This Row],[Writing Score]]</f>
        <v>181</v>
      </c>
      <c r="Q534" s="16">
        <f>COUNTIF(Table1[[#This Row],[Math Score]],"&lt;60")+COUNTIF(Table1[[#This Row],[Reading Score]],"&lt;60")+COUNTIF(Table1[[#This Row],[Writing Score]],"&lt;60")</f>
        <v>1</v>
      </c>
      <c r="R534" t="str">
        <f>IF(Table1[[#This Row],[Fail Count]]&gt;=2,"At risk","OK")</f>
        <v>OK</v>
      </c>
    </row>
    <row r="535" spans="1:18">
      <c r="A535" t="str">
        <f t="shared" si="8"/>
        <v>Stu-534</v>
      </c>
      <c r="B535" t="s">
        <v>11</v>
      </c>
      <c r="C535" t="s">
        <v>34</v>
      </c>
      <c r="D535" t="s">
        <v>29</v>
      </c>
      <c r="E535" t="s">
        <v>14</v>
      </c>
      <c r="F535" t="s">
        <v>21</v>
      </c>
      <c r="G535" s="16">
        <v>79</v>
      </c>
      <c r="H535">
        <f>RANK(G535,$G$2:$G$1001,0)+COUNTIF($G$2:G535,G535)-1</f>
        <v>206</v>
      </c>
      <c r="I535" t="str">
        <f>INDEX('Boundary table'!$B$3:$B$7,MATCH(G535,'Boundary table'!$A$3:$A$7,1))</f>
        <v>C</v>
      </c>
      <c r="J535" s="16">
        <v>88</v>
      </c>
      <c r="K535">
        <f>RANK(J535,$J$2:$J$1001,0)+COUNTIF($J$2:J535,J535)-1</f>
        <v>98</v>
      </c>
      <c r="L535" t="str">
        <f>INDEX('Boundary table'!$B$3:$B$7,MATCH(J535,'Boundary table'!$A$3:$A$7,1))</f>
        <v>B</v>
      </c>
      <c r="M535" s="16">
        <v>94</v>
      </c>
      <c r="N535">
        <f>RANK(M535,$M$2:$M$1001,0)+COUNTIF($M$2:M535,M535)-1</f>
        <v>38</v>
      </c>
      <c r="O535" t="str">
        <f>INDEX('Boundary table'!$B$3:$B$7,MATCH(M535,'Boundary table'!$A$3:$A$7))</f>
        <v>A</v>
      </c>
      <c r="P535">
        <f>Table1[[#This Row],[Math Score]]+Table1[[#This Row],[Reading Score]]+Table1[[#This Row],[Writing Score]]</f>
        <v>261</v>
      </c>
      <c r="Q535" s="16">
        <f>COUNTIF(Table1[[#This Row],[Math Score]],"&lt;60")+COUNTIF(Table1[[#This Row],[Reading Score]],"&lt;60")+COUNTIF(Table1[[#This Row],[Writing Score]],"&lt;60")</f>
        <v>0</v>
      </c>
      <c r="R535" t="str">
        <f>IF(Table1[[#This Row],[Fail Count]]&gt;=2,"At risk","OK")</f>
        <v>OK</v>
      </c>
    </row>
    <row r="536" spans="1:18">
      <c r="A536" t="str">
        <f t="shared" si="8"/>
        <v>Stu-535</v>
      </c>
      <c r="B536" t="s">
        <v>27</v>
      </c>
      <c r="C536" t="s">
        <v>12</v>
      </c>
      <c r="D536" t="s">
        <v>32</v>
      </c>
      <c r="E536" t="s">
        <v>14</v>
      </c>
      <c r="F536" t="s">
        <v>21</v>
      </c>
      <c r="G536" s="16">
        <v>73</v>
      </c>
      <c r="H536">
        <f>RANK(G536,$G$2:$G$1001,0)+COUNTIF($G$2:G536,G536)-1</f>
        <v>335</v>
      </c>
      <c r="I536" t="str">
        <f>INDEX('Boundary table'!$B$3:$B$7,MATCH(G536,'Boundary table'!$A$3:$A$7,1))</f>
        <v>C</v>
      </c>
      <c r="J536" s="16">
        <v>69</v>
      </c>
      <c r="K536">
        <f>RANK(J536,$J$2:$J$1001,0)+COUNTIF($J$2:J536,J536)-1</f>
        <v>523</v>
      </c>
      <c r="L536" t="str">
        <f>INDEX('Boundary table'!$B$3:$B$7,MATCH(J536,'Boundary table'!$A$3:$A$7,1))</f>
        <v>D</v>
      </c>
      <c r="M536" s="16">
        <v>68</v>
      </c>
      <c r="N536">
        <f>RANK(M536,$M$2:$M$1001,0)+COUNTIF($M$2:M536,M536)-1</f>
        <v>531</v>
      </c>
      <c r="O536" t="str">
        <f>INDEX('Boundary table'!$B$3:$B$7,MATCH(M536,'Boundary table'!$A$3:$A$7))</f>
        <v>D</v>
      </c>
      <c r="P536">
        <f>Table1[[#This Row],[Math Score]]+Table1[[#This Row],[Reading Score]]+Table1[[#This Row],[Writing Score]]</f>
        <v>210</v>
      </c>
      <c r="Q536" s="16">
        <f>COUNTIF(Table1[[#This Row],[Math Score]],"&lt;60")+COUNTIF(Table1[[#This Row],[Reading Score]],"&lt;60")+COUNTIF(Table1[[#This Row],[Writing Score]],"&lt;60")</f>
        <v>0</v>
      </c>
      <c r="R536" t="str">
        <f>IF(Table1[[#This Row],[Fail Count]]&gt;=2,"At risk","OK")</f>
        <v>OK</v>
      </c>
    </row>
    <row r="537" spans="1:18">
      <c r="A537" t="str">
        <f t="shared" si="8"/>
        <v>Stu-536</v>
      </c>
      <c r="B537" t="s">
        <v>11</v>
      </c>
      <c r="C537" t="s">
        <v>19</v>
      </c>
      <c r="D537" t="s">
        <v>13</v>
      </c>
      <c r="E537" t="s">
        <v>30</v>
      </c>
      <c r="F537" t="s">
        <v>21</v>
      </c>
      <c r="G537" s="16">
        <v>66</v>
      </c>
      <c r="H537">
        <f>RANK(G537,$G$2:$G$1001,0)+COUNTIF($G$2:G537,G537)-1</f>
        <v>507</v>
      </c>
      <c r="I537" t="str">
        <f>INDEX('Boundary table'!$B$3:$B$7,MATCH(G537,'Boundary table'!$A$3:$A$7,1))</f>
        <v>D</v>
      </c>
      <c r="J537" s="16">
        <v>83</v>
      </c>
      <c r="K537">
        <f>RANK(J537,$J$2:$J$1001,0)+COUNTIF($J$2:J537,J537)-1</f>
        <v>189</v>
      </c>
      <c r="L537" t="str">
        <f>INDEX('Boundary table'!$B$3:$B$7,MATCH(J537,'Boundary table'!$A$3:$A$7,1))</f>
        <v>B</v>
      </c>
      <c r="M537" s="16">
        <v>83</v>
      </c>
      <c r="N537">
        <f>RANK(M537,$M$2:$M$1001,0)+COUNTIF($M$2:M537,M537)-1</f>
        <v>159</v>
      </c>
      <c r="O537" t="str">
        <f>INDEX('Boundary table'!$B$3:$B$7,MATCH(M537,'Boundary table'!$A$3:$A$7))</f>
        <v>B</v>
      </c>
      <c r="P537">
        <f>Table1[[#This Row],[Math Score]]+Table1[[#This Row],[Reading Score]]+Table1[[#This Row],[Writing Score]]</f>
        <v>232</v>
      </c>
      <c r="Q537" s="16">
        <f>COUNTIF(Table1[[#This Row],[Math Score]],"&lt;60")+COUNTIF(Table1[[#This Row],[Reading Score]],"&lt;60")+COUNTIF(Table1[[#This Row],[Writing Score]],"&lt;60")</f>
        <v>0</v>
      </c>
      <c r="R537" t="str">
        <f>IF(Table1[[#This Row],[Fail Count]]&gt;=2,"At risk","OK")</f>
        <v>OK</v>
      </c>
    </row>
    <row r="538" spans="1:18">
      <c r="A538" t="str">
        <f t="shared" si="8"/>
        <v>Stu-537</v>
      </c>
      <c r="B538" t="s">
        <v>27</v>
      </c>
      <c r="C538" t="s">
        <v>19</v>
      </c>
      <c r="D538" t="s">
        <v>29</v>
      </c>
      <c r="E538" t="s">
        <v>14</v>
      </c>
      <c r="F538" t="s">
        <v>21</v>
      </c>
      <c r="G538" s="16">
        <v>51</v>
      </c>
      <c r="H538">
        <f>RANK(G538,$G$2:$G$1001,0)+COUNTIF($G$2:G538,G538)-1</f>
        <v>846</v>
      </c>
      <c r="I538" t="str">
        <f>INDEX('Boundary table'!$B$3:$B$7,MATCH(G538,'Boundary table'!$A$3:$A$7,1))</f>
        <v>F</v>
      </c>
      <c r="J538" s="16">
        <v>60</v>
      </c>
      <c r="K538">
        <f>RANK(J538,$J$2:$J$1001,0)+COUNTIF($J$2:J538,J538)-1</f>
        <v>735</v>
      </c>
      <c r="L538" t="str">
        <f>INDEX('Boundary table'!$B$3:$B$7,MATCH(J538,'Boundary table'!$A$3:$A$7,1))</f>
        <v>D</v>
      </c>
      <c r="M538" s="16">
        <v>58</v>
      </c>
      <c r="N538">
        <f>RANK(M538,$M$2:$M$1001,0)+COUNTIF($M$2:M538,M538)-1</f>
        <v>741</v>
      </c>
      <c r="O538" t="str">
        <f>INDEX('Boundary table'!$B$3:$B$7,MATCH(M538,'Boundary table'!$A$3:$A$7))</f>
        <v>F</v>
      </c>
      <c r="P538">
        <f>Table1[[#This Row],[Math Score]]+Table1[[#This Row],[Reading Score]]+Table1[[#This Row],[Writing Score]]</f>
        <v>169</v>
      </c>
      <c r="Q538" s="16">
        <f>COUNTIF(Table1[[#This Row],[Math Score]],"&lt;60")+COUNTIF(Table1[[#This Row],[Reading Score]],"&lt;60")+COUNTIF(Table1[[#This Row],[Writing Score]],"&lt;60")</f>
        <v>2</v>
      </c>
      <c r="R538" t="str">
        <f>IF(Table1[[#This Row],[Fail Count]]&gt;=2,"At risk","OK")</f>
        <v>At risk</v>
      </c>
    </row>
    <row r="539" spans="1:18">
      <c r="A539" t="str">
        <f t="shared" si="8"/>
        <v>Stu-538</v>
      </c>
      <c r="B539" t="s">
        <v>11</v>
      </c>
      <c r="C539" t="s">
        <v>31</v>
      </c>
      <c r="D539" t="s">
        <v>32</v>
      </c>
      <c r="E539" t="s">
        <v>14</v>
      </c>
      <c r="F539" t="s">
        <v>15</v>
      </c>
      <c r="G539" s="16">
        <v>51</v>
      </c>
      <c r="H539">
        <f>RANK(G539,$G$2:$G$1001,0)+COUNTIF($G$2:G539,G539)-1</f>
        <v>847</v>
      </c>
      <c r="I539" t="str">
        <f>INDEX('Boundary table'!$B$3:$B$7,MATCH(G539,'Boundary table'!$A$3:$A$7,1))</f>
        <v>F</v>
      </c>
      <c r="J539" s="16">
        <v>66</v>
      </c>
      <c r="K539">
        <f>RANK(J539,$J$2:$J$1001,0)+COUNTIF($J$2:J539,J539)-1</f>
        <v>595</v>
      </c>
      <c r="L539" t="str">
        <f>INDEX('Boundary table'!$B$3:$B$7,MATCH(J539,'Boundary table'!$A$3:$A$7,1))</f>
        <v>D</v>
      </c>
      <c r="M539" s="16">
        <v>62</v>
      </c>
      <c r="N539">
        <f>RANK(M539,$M$2:$M$1001,0)+COUNTIF($M$2:M539,M539)-1</f>
        <v>669</v>
      </c>
      <c r="O539" t="str">
        <f>INDEX('Boundary table'!$B$3:$B$7,MATCH(M539,'Boundary table'!$A$3:$A$7))</f>
        <v>D</v>
      </c>
      <c r="P539">
        <f>Table1[[#This Row],[Math Score]]+Table1[[#This Row],[Reading Score]]+Table1[[#This Row],[Writing Score]]</f>
        <v>179</v>
      </c>
      <c r="Q539" s="16">
        <f>COUNTIF(Table1[[#This Row],[Math Score]],"&lt;60")+COUNTIF(Table1[[#This Row],[Reading Score]],"&lt;60")+COUNTIF(Table1[[#This Row],[Writing Score]],"&lt;60")</f>
        <v>1</v>
      </c>
      <c r="R539" t="str">
        <f>IF(Table1[[#This Row],[Fail Count]]&gt;=2,"At risk","OK")</f>
        <v>OK</v>
      </c>
    </row>
    <row r="540" spans="1:18">
      <c r="A540" t="str">
        <f t="shared" si="8"/>
        <v>Stu-539</v>
      </c>
      <c r="B540" t="s">
        <v>27</v>
      </c>
      <c r="C540" t="s">
        <v>34</v>
      </c>
      <c r="D540" t="s">
        <v>13</v>
      </c>
      <c r="E540" t="s">
        <v>14</v>
      </c>
      <c r="F540" t="s">
        <v>21</v>
      </c>
      <c r="G540" s="16">
        <v>85</v>
      </c>
      <c r="H540">
        <f>RANK(G540,$G$2:$G$1001,0)+COUNTIF($G$2:G540,G540)-1</f>
        <v>110</v>
      </c>
      <c r="I540" t="str">
        <f>INDEX('Boundary table'!$B$3:$B$7,MATCH(G540,'Boundary table'!$A$3:$A$7,1))</f>
        <v>B</v>
      </c>
      <c r="J540" s="16">
        <v>66</v>
      </c>
      <c r="K540">
        <f>RANK(J540,$J$2:$J$1001,0)+COUNTIF($J$2:J540,J540)-1</f>
        <v>596</v>
      </c>
      <c r="L540" t="str">
        <f>INDEX('Boundary table'!$B$3:$B$7,MATCH(J540,'Boundary table'!$A$3:$A$7,1))</f>
        <v>D</v>
      </c>
      <c r="M540" s="16">
        <v>71</v>
      </c>
      <c r="N540">
        <f>RANK(M540,$M$2:$M$1001,0)+COUNTIF($M$2:M540,M540)-1</f>
        <v>448</v>
      </c>
      <c r="O540" t="str">
        <f>INDEX('Boundary table'!$B$3:$B$7,MATCH(M540,'Boundary table'!$A$3:$A$7))</f>
        <v>C</v>
      </c>
      <c r="P540">
        <f>Table1[[#This Row],[Math Score]]+Table1[[#This Row],[Reading Score]]+Table1[[#This Row],[Writing Score]]</f>
        <v>222</v>
      </c>
      <c r="Q540" s="16">
        <f>COUNTIF(Table1[[#This Row],[Math Score]],"&lt;60")+COUNTIF(Table1[[#This Row],[Reading Score]],"&lt;60")+COUNTIF(Table1[[#This Row],[Writing Score]],"&lt;60")</f>
        <v>0</v>
      </c>
      <c r="R540" t="str">
        <f>IF(Table1[[#This Row],[Fail Count]]&gt;=2,"At risk","OK")</f>
        <v>OK</v>
      </c>
    </row>
    <row r="541" spans="1:18">
      <c r="A541" t="str">
        <f t="shared" si="8"/>
        <v>Stu-540</v>
      </c>
      <c r="B541" t="s">
        <v>27</v>
      </c>
      <c r="C541" t="s">
        <v>28</v>
      </c>
      <c r="D541" t="s">
        <v>29</v>
      </c>
      <c r="E541" t="s">
        <v>14</v>
      </c>
      <c r="F541" t="s">
        <v>21</v>
      </c>
      <c r="G541" s="16">
        <v>97</v>
      </c>
      <c r="H541">
        <f>RANK(G541,$G$2:$G$1001,0)+COUNTIF($G$2:G541,G541)-1</f>
        <v>17</v>
      </c>
      <c r="I541" t="str">
        <f>INDEX('Boundary table'!$B$3:$B$7,MATCH(G541,'Boundary table'!$A$3:$A$7,1))</f>
        <v>A</v>
      </c>
      <c r="J541" s="16">
        <v>92</v>
      </c>
      <c r="K541">
        <f>RANK(J541,$J$2:$J$1001,0)+COUNTIF($J$2:J541,J541)-1</f>
        <v>53</v>
      </c>
      <c r="L541" t="str">
        <f>INDEX('Boundary table'!$B$3:$B$7,MATCH(J541,'Boundary table'!$A$3:$A$7,1))</f>
        <v>A</v>
      </c>
      <c r="M541" s="16">
        <v>86</v>
      </c>
      <c r="N541">
        <f>RANK(M541,$M$2:$M$1001,0)+COUNTIF($M$2:M541,M541)-1</f>
        <v>115</v>
      </c>
      <c r="O541" t="str">
        <f>INDEX('Boundary table'!$B$3:$B$7,MATCH(M541,'Boundary table'!$A$3:$A$7))</f>
        <v>B</v>
      </c>
      <c r="P541">
        <f>Table1[[#This Row],[Math Score]]+Table1[[#This Row],[Reading Score]]+Table1[[#This Row],[Writing Score]]</f>
        <v>275</v>
      </c>
      <c r="Q541" s="16">
        <f>COUNTIF(Table1[[#This Row],[Math Score]],"&lt;60")+COUNTIF(Table1[[#This Row],[Reading Score]],"&lt;60")+COUNTIF(Table1[[#This Row],[Writing Score]],"&lt;60")</f>
        <v>0</v>
      </c>
      <c r="R541" t="str">
        <f>IF(Table1[[#This Row],[Fail Count]]&gt;=2,"At risk","OK")</f>
        <v>OK</v>
      </c>
    </row>
    <row r="542" spans="1:18">
      <c r="A542" t="str">
        <f t="shared" si="8"/>
        <v>Stu-541</v>
      </c>
      <c r="B542" t="s">
        <v>27</v>
      </c>
      <c r="C542" t="s">
        <v>19</v>
      </c>
      <c r="D542" t="s">
        <v>32</v>
      </c>
      <c r="E542" t="s">
        <v>14</v>
      </c>
      <c r="F542" t="s">
        <v>21</v>
      </c>
      <c r="G542" s="16">
        <v>75</v>
      </c>
      <c r="H542">
        <f>RANK(G542,$G$2:$G$1001,0)+COUNTIF($G$2:G542,G542)-1</f>
        <v>285</v>
      </c>
      <c r="I542" t="str">
        <f>INDEX('Boundary table'!$B$3:$B$7,MATCH(G542,'Boundary table'!$A$3:$A$7,1))</f>
        <v>C</v>
      </c>
      <c r="J542" s="16">
        <v>69</v>
      </c>
      <c r="K542">
        <f>RANK(J542,$J$2:$J$1001,0)+COUNTIF($J$2:J542,J542)-1</f>
        <v>524</v>
      </c>
      <c r="L542" t="str">
        <f>INDEX('Boundary table'!$B$3:$B$7,MATCH(J542,'Boundary table'!$A$3:$A$7,1))</f>
        <v>D</v>
      </c>
      <c r="M542" s="16">
        <v>68</v>
      </c>
      <c r="N542">
        <f>RANK(M542,$M$2:$M$1001,0)+COUNTIF($M$2:M542,M542)-1</f>
        <v>532</v>
      </c>
      <c r="O542" t="str">
        <f>INDEX('Boundary table'!$B$3:$B$7,MATCH(M542,'Boundary table'!$A$3:$A$7))</f>
        <v>D</v>
      </c>
      <c r="P542">
        <f>Table1[[#This Row],[Math Score]]+Table1[[#This Row],[Reading Score]]+Table1[[#This Row],[Writing Score]]</f>
        <v>212</v>
      </c>
      <c r="Q542" s="16">
        <f>COUNTIF(Table1[[#This Row],[Math Score]],"&lt;60")+COUNTIF(Table1[[#This Row],[Reading Score]],"&lt;60")+COUNTIF(Table1[[#This Row],[Writing Score]],"&lt;60")</f>
        <v>0</v>
      </c>
      <c r="R542" t="str">
        <f>IF(Table1[[#This Row],[Fail Count]]&gt;=2,"At risk","OK")</f>
        <v>OK</v>
      </c>
    </row>
    <row r="543" spans="1:18">
      <c r="A543" t="str">
        <f t="shared" si="8"/>
        <v>Stu-542</v>
      </c>
      <c r="B543" t="s">
        <v>27</v>
      </c>
      <c r="C543" t="s">
        <v>31</v>
      </c>
      <c r="D543" t="s">
        <v>29</v>
      </c>
      <c r="E543" t="s">
        <v>30</v>
      </c>
      <c r="F543" t="s">
        <v>21</v>
      </c>
      <c r="G543" s="16">
        <v>79</v>
      </c>
      <c r="H543">
        <f>RANK(G543,$G$2:$G$1001,0)+COUNTIF($G$2:G543,G543)-1</f>
        <v>207</v>
      </c>
      <c r="I543" t="str">
        <f>INDEX('Boundary table'!$B$3:$B$7,MATCH(G543,'Boundary table'!$A$3:$A$7,1))</f>
        <v>C</v>
      </c>
      <c r="J543" s="16">
        <v>82</v>
      </c>
      <c r="K543">
        <f>RANK(J543,$J$2:$J$1001,0)+COUNTIF($J$2:J543,J543)-1</f>
        <v>200</v>
      </c>
      <c r="L543" t="str">
        <f>INDEX('Boundary table'!$B$3:$B$7,MATCH(J543,'Boundary table'!$A$3:$A$7,1))</f>
        <v>B</v>
      </c>
      <c r="M543" s="16">
        <v>80</v>
      </c>
      <c r="N543">
        <f>RANK(M543,$M$2:$M$1001,0)+COUNTIF($M$2:M543,M543)-1</f>
        <v>220</v>
      </c>
      <c r="O543" t="str">
        <f>INDEX('Boundary table'!$B$3:$B$7,MATCH(M543,'Boundary table'!$A$3:$A$7))</f>
        <v>B</v>
      </c>
      <c r="P543">
        <f>Table1[[#This Row],[Math Score]]+Table1[[#This Row],[Reading Score]]+Table1[[#This Row],[Writing Score]]</f>
        <v>241</v>
      </c>
      <c r="Q543" s="16">
        <f>COUNTIF(Table1[[#This Row],[Math Score]],"&lt;60")+COUNTIF(Table1[[#This Row],[Reading Score]],"&lt;60")+COUNTIF(Table1[[#This Row],[Writing Score]],"&lt;60")</f>
        <v>0</v>
      </c>
      <c r="R543" t="str">
        <f>IF(Table1[[#This Row],[Fail Count]]&gt;=2,"At risk","OK")</f>
        <v>OK</v>
      </c>
    </row>
    <row r="544" spans="1:18">
      <c r="A544" t="str">
        <f t="shared" si="8"/>
        <v>Stu-543</v>
      </c>
      <c r="B544" t="s">
        <v>11</v>
      </c>
      <c r="C544" t="s">
        <v>19</v>
      </c>
      <c r="D544" t="s">
        <v>29</v>
      </c>
      <c r="E544" t="s">
        <v>14</v>
      </c>
      <c r="F544" t="s">
        <v>15</v>
      </c>
      <c r="G544" s="16">
        <v>81</v>
      </c>
      <c r="H544">
        <f>RANK(G544,$G$2:$G$1001,0)+COUNTIF($G$2:G544,G544)-1</f>
        <v>163</v>
      </c>
      <c r="I544" t="str">
        <f>INDEX('Boundary table'!$B$3:$B$7,MATCH(G544,'Boundary table'!$A$3:$A$7,1))</f>
        <v>B</v>
      </c>
      <c r="J544" s="16">
        <v>77</v>
      </c>
      <c r="K544">
        <f>RANK(J544,$J$2:$J$1001,0)+COUNTIF($J$2:J544,J544)-1</f>
        <v>305</v>
      </c>
      <c r="L544" t="str">
        <f>INDEX('Boundary table'!$B$3:$B$7,MATCH(J544,'Boundary table'!$A$3:$A$7,1))</f>
        <v>C</v>
      </c>
      <c r="M544" s="16">
        <v>79</v>
      </c>
      <c r="N544">
        <f>RANK(M544,$M$2:$M$1001,0)+COUNTIF($M$2:M544,M544)-1</f>
        <v>244</v>
      </c>
      <c r="O544" t="str">
        <f>INDEX('Boundary table'!$B$3:$B$7,MATCH(M544,'Boundary table'!$A$3:$A$7))</f>
        <v>C</v>
      </c>
      <c r="P544">
        <f>Table1[[#This Row],[Math Score]]+Table1[[#This Row],[Reading Score]]+Table1[[#This Row],[Writing Score]]</f>
        <v>237</v>
      </c>
      <c r="Q544" s="16">
        <f>COUNTIF(Table1[[#This Row],[Math Score]],"&lt;60")+COUNTIF(Table1[[#This Row],[Reading Score]],"&lt;60")+COUNTIF(Table1[[#This Row],[Writing Score]],"&lt;60")</f>
        <v>0</v>
      </c>
      <c r="R544" t="str">
        <f>IF(Table1[[#This Row],[Fail Count]]&gt;=2,"At risk","OK")</f>
        <v>OK</v>
      </c>
    </row>
    <row r="545" spans="1:18">
      <c r="A545" t="str">
        <f t="shared" si="8"/>
        <v>Stu-544</v>
      </c>
      <c r="B545" t="s">
        <v>11</v>
      </c>
      <c r="C545" t="s">
        <v>31</v>
      </c>
      <c r="D545" t="s">
        <v>29</v>
      </c>
      <c r="E545" t="s">
        <v>14</v>
      </c>
      <c r="F545" t="s">
        <v>15</v>
      </c>
      <c r="G545" s="16">
        <v>82</v>
      </c>
      <c r="H545">
        <f>RANK(G545,$G$2:$G$1001,0)+COUNTIF($G$2:G545,G545)-1</f>
        <v>148</v>
      </c>
      <c r="I545" t="str">
        <f>INDEX('Boundary table'!$B$3:$B$7,MATCH(G545,'Boundary table'!$A$3:$A$7,1))</f>
        <v>B</v>
      </c>
      <c r="J545" s="16">
        <v>95</v>
      </c>
      <c r="K545">
        <f>RANK(J545,$J$2:$J$1001,0)+COUNTIF($J$2:J545,J545)-1</f>
        <v>35</v>
      </c>
      <c r="L545" t="str">
        <f>INDEX('Boundary table'!$B$3:$B$7,MATCH(J545,'Boundary table'!$A$3:$A$7,1))</f>
        <v>A</v>
      </c>
      <c r="M545" s="16">
        <v>89</v>
      </c>
      <c r="N545">
        <f>RANK(M545,$M$2:$M$1001,0)+COUNTIF($M$2:M545,M545)-1</f>
        <v>83</v>
      </c>
      <c r="O545" t="str">
        <f>INDEX('Boundary table'!$B$3:$B$7,MATCH(M545,'Boundary table'!$A$3:$A$7))</f>
        <v>B</v>
      </c>
      <c r="P545">
        <f>Table1[[#This Row],[Math Score]]+Table1[[#This Row],[Reading Score]]+Table1[[#This Row],[Writing Score]]</f>
        <v>266</v>
      </c>
      <c r="Q545" s="16">
        <f>COUNTIF(Table1[[#This Row],[Math Score]],"&lt;60")+COUNTIF(Table1[[#This Row],[Reading Score]],"&lt;60")+COUNTIF(Table1[[#This Row],[Writing Score]],"&lt;60")</f>
        <v>0</v>
      </c>
      <c r="R545" t="str">
        <f>IF(Table1[[#This Row],[Fail Count]]&gt;=2,"At risk","OK")</f>
        <v>OK</v>
      </c>
    </row>
    <row r="546" spans="1:18">
      <c r="A546" t="str">
        <f t="shared" si="8"/>
        <v>Stu-545</v>
      </c>
      <c r="B546" t="s">
        <v>11</v>
      </c>
      <c r="C546" t="s">
        <v>31</v>
      </c>
      <c r="D546" t="s">
        <v>26</v>
      </c>
      <c r="E546" t="s">
        <v>14</v>
      </c>
      <c r="F546" t="s">
        <v>15</v>
      </c>
      <c r="G546" s="16">
        <v>64</v>
      </c>
      <c r="H546">
        <f>RANK(G546,$G$2:$G$1001,0)+COUNTIF($G$2:G546,G546)-1</f>
        <v>564</v>
      </c>
      <c r="I546" t="str">
        <f>INDEX('Boundary table'!$B$3:$B$7,MATCH(G546,'Boundary table'!$A$3:$A$7,1))</f>
        <v>D</v>
      </c>
      <c r="J546" s="16">
        <v>63</v>
      </c>
      <c r="K546">
        <f>RANK(J546,$J$2:$J$1001,0)+COUNTIF($J$2:J546,J546)-1</f>
        <v>667</v>
      </c>
      <c r="L546" t="str">
        <f>INDEX('Boundary table'!$B$3:$B$7,MATCH(J546,'Boundary table'!$A$3:$A$7,1))</f>
        <v>D</v>
      </c>
      <c r="M546" s="16">
        <v>66</v>
      </c>
      <c r="N546">
        <f>RANK(M546,$M$2:$M$1001,0)+COUNTIF($M$2:M546,M546)-1</f>
        <v>583</v>
      </c>
      <c r="O546" t="str">
        <f>INDEX('Boundary table'!$B$3:$B$7,MATCH(M546,'Boundary table'!$A$3:$A$7))</f>
        <v>D</v>
      </c>
      <c r="P546">
        <f>Table1[[#This Row],[Math Score]]+Table1[[#This Row],[Reading Score]]+Table1[[#This Row],[Writing Score]]</f>
        <v>193</v>
      </c>
      <c r="Q546" s="16">
        <f>COUNTIF(Table1[[#This Row],[Math Score]],"&lt;60")+COUNTIF(Table1[[#This Row],[Reading Score]],"&lt;60")+COUNTIF(Table1[[#This Row],[Writing Score]],"&lt;60")</f>
        <v>0</v>
      </c>
      <c r="R546" t="str">
        <f>IF(Table1[[#This Row],[Fail Count]]&gt;=2,"At risk","OK")</f>
        <v>OK</v>
      </c>
    </row>
    <row r="547" spans="1:18">
      <c r="A547" t="str">
        <f t="shared" si="8"/>
        <v>Stu-546</v>
      </c>
      <c r="B547" t="s">
        <v>27</v>
      </c>
      <c r="C547" t="s">
        <v>34</v>
      </c>
      <c r="D547" t="s">
        <v>33</v>
      </c>
      <c r="E547" t="s">
        <v>30</v>
      </c>
      <c r="F547" t="s">
        <v>21</v>
      </c>
      <c r="G547" s="16">
        <v>78</v>
      </c>
      <c r="H547">
        <f>RANK(G547,$G$2:$G$1001,0)+COUNTIF($G$2:G547,G547)-1</f>
        <v>223</v>
      </c>
      <c r="I547" t="str">
        <f>INDEX('Boundary table'!$B$3:$B$7,MATCH(G547,'Boundary table'!$A$3:$A$7,1))</f>
        <v>C</v>
      </c>
      <c r="J547" s="16">
        <v>83</v>
      </c>
      <c r="K547">
        <f>RANK(J547,$J$2:$J$1001,0)+COUNTIF($J$2:J547,J547)-1</f>
        <v>190</v>
      </c>
      <c r="L547" t="str">
        <f>INDEX('Boundary table'!$B$3:$B$7,MATCH(J547,'Boundary table'!$A$3:$A$7,1))</f>
        <v>B</v>
      </c>
      <c r="M547" s="16">
        <v>80</v>
      </c>
      <c r="N547">
        <f>RANK(M547,$M$2:$M$1001,0)+COUNTIF($M$2:M547,M547)-1</f>
        <v>221</v>
      </c>
      <c r="O547" t="str">
        <f>INDEX('Boundary table'!$B$3:$B$7,MATCH(M547,'Boundary table'!$A$3:$A$7))</f>
        <v>B</v>
      </c>
      <c r="P547">
        <f>Table1[[#This Row],[Math Score]]+Table1[[#This Row],[Reading Score]]+Table1[[#This Row],[Writing Score]]</f>
        <v>241</v>
      </c>
      <c r="Q547" s="16">
        <f>COUNTIF(Table1[[#This Row],[Math Score]],"&lt;60")+COUNTIF(Table1[[#This Row],[Reading Score]],"&lt;60")+COUNTIF(Table1[[#This Row],[Writing Score]],"&lt;60")</f>
        <v>0</v>
      </c>
      <c r="R547" t="str">
        <f>IF(Table1[[#This Row],[Fail Count]]&gt;=2,"At risk","OK")</f>
        <v>OK</v>
      </c>
    </row>
    <row r="548" spans="1:18">
      <c r="A548" t="str">
        <f t="shared" si="8"/>
        <v>Stu-547</v>
      </c>
      <c r="B548" t="s">
        <v>11</v>
      </c>
      <c r="C548" t="s">
        <v>28</v>
      </c>
      <c r="D548" t="s">
        <v>33</v>
      </c>
      <c r="E548" t="s">
        <v>14</v>
      </c>
      <c r="F548" t="s">
        <v>21</v>
      </c>
      <c r="G548" s="16">
        <v>92</v>
      </c>
      <c r="H548">
        <f>RANK(G548,$G$2:$G$1001,0)+COUNTIF($G$2:G548,G548)-1</f>
        <v>37</v>
      </c>
      <c r="I548" t="str">
        <f>INDEX('Boundary table'!$B$3:$B$7,MATCH(G548,'Boundary table'!$A$3:$A$7,1))</f>
        <v>A</v>
      </c>
      <c r="J548" s="16">
        <v>100</v>
      </c>
      <c r="K548">
        <f>RANK(J548,$J$2:$J$1001,0)+COUNTIF($J$2:J548,J548)-1</f>
        <v>8</v>
      </c>
      <c r="L548" t="str">
        <f>INDEX('Boundary table'!$B$3:$B$7,MATCH(J548,'Boundary table'!$A$3:$A$7,1))</f>
        <v>A</v>
      </c>
      <c r="M548" s="16">
        <v>97</v>
      </c>
      <c r="N548">
        <f>RANK(M548,$M$2:$M$1001,0)+COUNTIF($M$2:M548,M548)-1</f>
        <v>22</v>
      </c>
      <c r="O548" t="str">
        <f>INDEX('Boundary table'!$B$3:$B$7,MATCH(M548,'Boundary table'!$A$3:$A$7))</f>
        <v>A</v>
      </c>
      <c r="P548">
        <f>Table1[[#This Row],[Math Score]]+Table1[[#This Row],[Reading Score]]+Table1[[#This Row],[Writing Score]]</f>
        <v>289</v>
      </c>
      <c r="Q548" s="16">
        <f>COUNTIF(Table1[[#This Row],[Math Score]],"&lt;60")+COUNTIF(Table1[[#This Row],[Reading Score]],"&lt;60")+COUNTIF(Table1[[#This Row],[Writing Score]],"&lt;60")</f>
        <v>0</v>
      </c>
      <c r="R548" t="str">
        <f>IF(Table1[[#This Row],[Fail Count]]&gt;=2,"At risk","OK")</f>
        <v>OK</v>
      </c>
    </row>
    <row r="549" spans="1:18">
      <c r="A549" t="str">
        <f t="shared" si="8"/>
        <v>Stu-548</v>
      </c>
      <c r="B549" t="s">
        <v>27</v>
      </c>
      <c r="C549" t="s">
        <v>19</v>
      </c>
      <c r="D549" t="s">
        <v>32</v>
      </c>
      <c r="E549" t="s">
        <v>14</v>
      </c>
      <c r="F549" t="s">
        <v>21</v>
      </c>
      <c r="G549" s="16">
        <v>72</v>
      </c>
      <c r="H549">
        <f>RANK(G549,$G$2:$G$1001,0)+COUNTIF($G$2:G549,G549)-1</f>
        <v>356</v>
      </c>
      <c r="I549" t="str">
        <f>INDEX('Boundary table'!$B$3:$B$7,MATCH(G549,'Boundary table'!$A$3:$A$7,1))</f>
        <v>C</v>
      </c>
      <c r="J549" s="16">
        <v>67</v>
      </c>
      <c r="K549">
        <f>RANK(J549,$J$2:$J$1001,0)+COUNTIF($J$2:J549,J549)-1</f>
        <v>571</v>
      </c>
      <c r="L549" t="str">
        <f>INDEX('Boundary table'!$B$3:$B$7,MATCH(J549,'Boundary table'!$A$3:$A$7,1))</f>
        <v>D</v>
      </c>
      <c r="M549" s="16">
        <v>64</v>
      </c>
      <c r="N549">
        <f>RANK(M549,$M$2:$M$1001,0)+COUNTIF($M$2:M549,M549)-1</f>
        <v>623</v>
      </c>
      <c r="O549" t="str">
        <f>INDEX('Boundary table'!$B$3:$B$7,MATCH(M549,'Boundary table'!$A$3:$A$7))</f>
        <v>D</v>
      </c>
      <c r="P549">
        <f>Table1[[#This Row],[Math Score]]+Table1[[#This Row],[Reading Score]]+Table1[[#This Row],[Writing Score]]</f>
        <v>203</v>
      </c>
      <c r="Q549" s="16">
        <f>COUNTIF(Table1[[#This Row],[Math Score]],"&lt;60")+COUNTIF(Table1[[#This Row],[Reading Score]],"&lt;60")+COUNTIF(Table1[[#This Row],[Writing Score]],"&lt;60")</f>
        <v>0</v>
      </c>
      <c r="R549" t="str">
        <f>IF(Table1[[#This Row],[Fail Count]]&gt;=2,"At risk","OK")</f>
        <v>OK</v>
      </c>
    </row>
    <row r="550" spans="1:18">
      <c r="A550" t="str">
        <f t="shared" si="8"/>
        <v>Stu-549</v>
      </c>
      <c r="B550" t="s">
        <v>11</v>
      </c>
      <c r="C550" t="s">
        <v>19</v>
      </c>
      <c r="D550" t="s">
        <v>32</v>
      </c>
      <c r="E550" t="s">
        <v>30</v>
      </c>
      <c r="F550" t="s">
        <v>15</v>
      </c>
      <c r="G550" s="16">
        <v>62</v>
      </c>
      <c r="H550">
        <f>RANK(G550,$G$2:$G$1001,0)+COUNTIF($G$2:G550,G550)-1</f>
        <v>617</v>
      </c>
      <c r="I550" t="str">
        <f>INDEX('Boundary table'!$B$3:$B$7,MATCH(G550,'Boundary table'!$A$3:$A$7,1))</f>
        <v>D</v>
      </c>
      <c r="J550" s="16">
        <v>67</v>
      </c>
      <c r="K550">
        <f>RANK(J550,$J$2:$J$1001,0)+COUNTIF($J$2:J550,J550)-1</f>
        <v>572</v>
      </c>
      <c r="L550" t="str">
        <f>INDEX('Boundary table'!$B$3:$B$7,MATCH(J550,'Boundary table'!$A$3:$A$7,1))</f>
        <v>D</v>
      </c>
      <c r="M550" s="16">
        <v>64</v>
      </c>
      <c r="N550">
        <f>RANK(M550,$M$2:$M$1001,0)+COUNTIF($M$2:M550,M550)-1</f>
        <v>624</v>
      </c>
      <c r="O550" t="str">
        <f>INDEX('Boundary table'!$B$3:$B$7,MATCH(M550,'Boundary table'!$A$3:$A$7))</f>
        <v>D</v>
      </c>
      <c r="P550">
        <f>Table1[[#This Row],[Math Score]]+Table1[[#This Row],[Reading Score]]+Table1[[#This Row],[Writing Score]]</f>
        <v>193</v>
      </c>
      <c r="Q550" s="16">
        <f>COUNTIF(Table1[[#This Row],[Math Score]],"&lt;60")+COUNTIF(Table1[[#This Row],[Reading Score]],"&lt;60")+COUNTIF(Table1[[#This Row],[Writing Score]],"&lt;60")</f>
        <v>0</v>
      </c>
      <c r="R550" t="str">
        <f>IF(Table1[[#This Row],[Fail Count]]&gt;=2,"At risk","OK")</f>
        <v>OK</v>
      </c>
    </row>
    <row r="551" spans="1:18">
      <c r="A551" t="str">
        <f t="shared" si="8"/>
        <v>Stu-550</v>
      </c>
      <c r="B551" t="s">
        <v>27</v>
      </c>
      <c r="C551" t="s">
        <v>19</v>
      </c>
      <c r="D551" t="s">
        <v>26</v>
      </c>
      <c r="E551" t="s">
        <v>14</v>
      </c>
      <c r="F551" t="s">
        <v>15</v>
      </c>
      <c r="G551" s="16">
        <v>79</v>
      </c>
      <c r="H551">
        <f>RANK(G551,$G$2:$G$1001,0)+COUNTIF($G$2:G551,G551)-1</f>
        <v>208</v>
      </c>
      <c r="I551" t="str">
        <f>INDEX('Boundary table'!$B$3:$B$7,MATCH(G551,'Boundary table'!$A$3:$A$7,1))</f>
        <v>C</v>
      </c>
      <c r="J551" s="16">
        <v>72</v>
      </c>
      <c r="K551">
        <f>RANK(J551,$J$2:$J$1001,0)+COUNTIF($J$2:J551,J551)-1</f>
        <v>449</v>
      </c>
      <c r="L551" t="str">
        <f>INDEX('Boundary table'!$B$3:$B$7,MATCH(J551,'Boundary table'!$A$3:$A$7,1))</f>
        <v>C</v>
      </c>
      <c r="M551" s="16">
        <v>69</v>
      </c>
      <c r="N551">
        <f>RANK(M551,$M$2:$M$1001,0)+COUNTIF($M$2:M551,M551)-1</f>
        <v>503</v>
      </c>
      <c r="O551" t="str">
        <f>INDEX('Boundary table'!$B$3:$B$7,MATCH(M551,'Boundary table'!$A$3:$A$7))</f>
        <v>D</v>
      </c>
      <c r="P551">
        <f>Table1[[#This Row],[Math Score]]+Table1[[#This Row],[Reading Score]]+Table1[[#This Row],[Writing Score]]</f>
        <v>220</v>
      </c>
      <c r="Q551" s="16">
        <f>COUNTIF(Table1[[#This Row],[Math Score]],"&lt;60")+COUNTIF(Table1[[#This Row],[Reading Score]],"&lt;60")+COUNTIF(Table1[[#This Row],[Writing Score]],"&lt;60")</f>
        <v>0</v>
      </c>
      <c r="R551" t="str">
        <f>IF(Table1[[#This Row],[Fail Count]]&gt;=2,"At risk","OK")</f>
        <v>OK</v>
      </c>
    </row>
    <row r="552" spans="1:18">
      <c r="A552" t="str">
        <f t="shared" si="8"/>
        <v>Stu-551</v>
      </c>
      <c r="B552" t="s">
        <v>27</v>
      </c>
      <c r="C552" t="s">
        <v>19</v>
      </c>
      <c r="D552" t="s">
        <v>33</v>
      </c>
      <c r="E552" t="s">
        <v>30</v>
      </c>
      <c r="F552" t="s">
        <v>15</v>
      </c>
      <c r="G552" s="16">
        <v>79</v>
      </c>
      <c r="H552">
        <f>RANK(G552,$G$2:$G$1001,0)+COUNTIF($G$2:G552,G552)-1</f>
        <v>209</v>
      </c>
      <c r="I552" t="str">
        <f>INDEX('Boundary table'!$B$3:$B$7,MATCH(G552,'Boundary table'!$A$3:$A$7,1))</f>
        <v>C</v>
      </c>
      <c r="J552" s="16">
        <v>76</v>
      </c>
      <c r="K552">
        <f>RANK(J552,$J$2:$J$1001,0)+COUNTIF($J$2:J552,J552)-1</f>
        <v>332</v>
      </c>
      <c r="L552" t="str">
        <f>INDEX('Boundary table'!$B$3:$B$7,MATCH(J552,'Boundary table'!$A$3:$A$7,1))</f>
        <v>C</v>
      </c>
      <c r="M552" s="16">
        <v>65</v>
      </c>
      <c r="N552">
        <f>RANK(M552,$M$2:$M$1001,0)+COUNTIF($M$2:M552,M552)-1</f>
        <v>603</v>
      </c>
      <c r="O552" t="str">
        <f>INDEX('Boundary table'!$B$3:$B$7,MATCH(M552,'Boundary table'!$A$3:$A$7))</f>
        <v>D</v>
      </c>
      <c r="P552">
        <f>Table1[[#This Row],[Math Score]]+Table1[[#This Row],[Reading Score]]+Table1[[#This Row],[Writing Score]]</f>
        <v>220</v>
      </c>
      <c r="Q552" s="16">
        <f>COUNTIF(Table1[[#This Row],[Math Score]],"&lt;60")+COUNTIF(Table1[[#This Row],[Reading Score]],"&lt;60")+COUNTIF(Table1[[#This Row],[Writing Score]],"&lt;60")</f>
        <v>0</v>
      </c>
      <c r="R552" t="str">
        <f>IF(Table1[[#This Row],[Fail Count]]&gt;=2,"At risk","OK")</f>
        <v>OK</v>
      </c>
    </row>
    <row r="553" spans="1:18">
      <c r="A553" t="str">
        <f t="shared" si="8"/>
        <v>Stu-552</v>
      </c>
      <c r="B553" t="s">
        <v>27</v>
      </c>
      <c r="C553" t="s">
        <v>12</v>
      </c>
      <c r="D553" t="s">
        <v>13</v>
      </c>
      <c r="E553" t="s">
        <v>30</v>
      </c>
      <c r="F553" t="s">
        <v>21</v>
      </c>
      <c r="G553" s="16">
        <v>87</v>
      </c>
      <c r="H553">
        <f>RANK(G553,$G$2:$G$1001,0)+COUNTIF($G$2:G553,G553)-1</f>
        <v>88</v>
      </c>
      <c r="I553" t="str">
        <f>INDEX('Boundary table'!$B$3:$B$7,MATCH(G553,'Boundary table'!$A$3:$A$7,1))</f>
        <v>B</v>
      </c>
      <c r="J553" s="16">
        <v>90</v>
      </c>
      <c r="K553">
        <f>RANK(J553,$J$2:$J$1001,0)+COUNTIF($J$2:J553,J553)-1</f>
        <v>70</v>
      </c>
      <c r="L553" t="str">
        <f>INDEX('Boundary table'!$B$3:$B$7,MATCH(J553,'Boundary table'!$A$3:$A$7,1))</f>
        <v>A</v>
      </c>
      <c r="M553" s="16">
        <v>88</v>
      </c>
      <c r="N553">
        <f>RANK(M553,$M$2:$M$1001,0)+COUNTIF($M$2:M553,M553)-1</f>
        <v>94</v>
      </c>
      <c r="O553" t="str">
        <f>INDEX('Boundary table'!$B$3:$B$7,MATCH(M553,'Boundary table'!$A$3:$A$7))</f>
        <v>B</v>
      </c>
      <c r="P553">
        <f>Table1[[#This Row],[Math Score]]+Table1[[#This Row],[Reading Score]]+Table1[[#This Row],[Writing Score]]</f>
        <v>265</v>
      </c>
      <c r="Q553" s="16">
        <f>COUNTIF(Table1[[#This Row],[Math Score]],"&lt;60")+COUNTIF(Table1[[#This Row],[Reading Score]],"&lt;60")+COUNTIF(Table1[[#This Row],[Writing Score]],"&lt;60")</f>
        <v>0</v>
      </c>
      <c r="R553" t="str">
        <f>IF(Table1[[#This Row],[Fail Count]]&gt;=2,"At risk","OK")</f>
        <v>OK</v>
      </c>
    </row>
    <row r="554" spans="1:18">
      <c r="A554" t="str">
        <f t="shared" si="8"/>
        <v>Stu-553</v>
      </c>
      <c r="B554" t="s">
        <v>11</v>
      </c>
      <c r="C554" t="s">
        <v>12</v>
      </c>
      <c r="D554" t="s">
        <v>29</v>
      </c>
      <c r="E554" t="s">
        <v>14</v>
      </c>
      <c r="F554" t="s">
        <v>15</v>
      </c>
      <c r="G554" s="16">
        <v>40</v>
      </c>
      <c r="H554">
        <f>RANK(G554,$G$2:$G$1001,0)+COUNTIF($G$2:G554,G554)-1</f>
        <v>956</v>
      </c>
      <c r="I554" t="str">
        <f>INDEX('Boundary table'!$B$3:$B$7,MATCH(G554,'Boundary table'!$A$3:$A$7,1))</f>
        <v>F</v>
      </c>
      <c r="J554" s="16">
        <v>48</v>
      </c>
      <c r="K554">
        <f>RANK(J554,$J$2:$J$1001,0)+COUNTIF($J$2:J554,J554)-1</f>
        <v>924</v>
      </c>
      <c r="L554" t="str">
        <f>INDEX('Boundary table'!$B$3:$B$7,MATCH(J554,'Boundary table'!$A$3:$A$7,1))</f>
        <v>F</v>
      </c>
      <c r="M554" s="16">
        <v>50</v>
      </c>
      <c r="N554">
        <f>RANK(M554,$M$2:$M$1001,0)+COUNTIF($M$2:M554,M554)-1</f>
        <v>883</v>
      </c>
      <c r="O554" t="str">
        <f>INDEX('Boundary table'!$B$3:$B$7,MATCH(M554,'Boundary table'!$A$3:$A$7))</f>
        <v>F</v>
      </c>
      <c r="P554">
        <f>Table1[[#This Row],[Math Score]]+Table1[[#This Row],[Reading Score]]+Table1[[#This Row],[Writing Score]]</f>
        <v>138</v>
      </c>
      <c r="Q554" s="16">
        <f>COUNTIF(Table1[[#This Row],[Math Score]],"&lt;60")+COUNTIF(Table1[[#This Row],[Reading Score]],"&lt;60")+COUNTIF(Table1[[#This Row],[Writing Score]],"&lt;60")</f>
        <v>3</v>
      </c>
      <c r="R554" t="str">
        <f>IF(Table1[[#This Row],[Fail Count]]&gt;=2,"At risk","OK")</f>
        <v>At risk</v>
      </c>
    </row>
    <row r="555" spans="1:18">
      <c r="A555" t="str">
        <f t="shared" si="8"/>
        <v>Stu-554</v>
      </c>
      <c r="B555" t="s">
        <v>27</v>
      </c>
      <c r="C555" t="s">
        <v>31</v>
      </c>
      <c r="D555" t="s">
        <v>20</v>
      </c>
      <c r="E555" t="s">
        <v>30</v>
      </c>
      <c r="F555" t="s">
        <v>15</v>
      </c>
      <c r="G555" s="16">
        <v>77</v>
      </c>
      <c r="H555">
        <f>RANK(G555,$G$2:$G$1001,0)+COUNTIF($G$2:G555,G555)-1</f>
        <v>242</v>
      </c>
      <c r="I555" t="str">
        <f>INDEX('Boundary table'!$B$3:$B$7,MATCH(G555,'Boundary table'!$A$3:$A$7,1))</f>
        <v>C</v>
      </c>
      <c r="J555" s="16">
        <v>62</v>
      </c>
      <c r="K555">
        <f>RANK(J555,$J$2:$J$1001,0)+COUNTIF($J$2:J555,J555)-1</f>
        <v>689</v>
      </c>
      <c r="L555" t="str">
        <f>INDEX('Boundary table'!$B$3:$B$7,MATCH(J555,'Boundary table'!$A$3:$A$7,1))</f>
        <v>D</v>
      </c>
      <c r="M555" s="16">
        <v>64</v>
      </c>
      <c r="N555">
        <f>RANK(M555,$M$2:$M$1001,0)+COUNTIF($M$2:M555,M555)-1</f>
        <v>625</v>
      </c>
      <c r="O555" t="str">
        <f>INDEX('Boundary table'!$B$3:$B$7,MATCH(M555,'Boundary table'!$A$3:$A$7))</f>
        <v>D</v>
      </c>
      <c r="P555">
        <f>Table1[[#This Row],[Math Score]]+Table1[[#This Row],[Reading Score]]+Table1[[#This Row],[Writing Score]]</f>
        <v>203</v>
      </c>
      <c r="Q555" s="16">
        <f>COUNTIF(Table1[[#This Row],[Math Score]],"&lt;60")+COUNTIF(Table1[[#This Row],[Reading Score]],"&lt;60")+COUNTIF(Table1[[#This Row],[Writing Score]],"&lt;60")</f>
        <v>0</v>
      </c>
      <c r="R555" t="str">
        <f>IF(Table1[[#This Row],[Fail Count]]&gt;=2,"At risk","OK")</f>
        <v>OK</v>
      </c>
    </row>
    <row r="556" spans="1:18">
      <c r="A556" t="str">
        <f t="shared" si="8"/>
        <v>Stu-555</v>
      </c>
      <c r="B556" t="s">
        <v>27</v>
      </c>
      <c r="C556" t="s">
        <v>34</v>
      </c>
      <c r="D556" t="s">
        <v>29</v>
      </c>
      <c r="E556" t="s">
        <v>14</v>
      </c>
      <c r="F556" t="s">
        <v>15</v>
      </c>
      <c r="G556" s="16">
        <v>53</v>
      </c>
      <c r="H556">
        <f>RANK(G556,$G$2:$G$1001,0)+COUNTIF($G$2:G556,G556)-1</f>
        <v>810</v>
      </c>
      <c r="I556" t="str">
        <f>INDEX('Boundary table'!$B$3:$B$7,MATCH(G556,'Boundary table'!$A$3:$A$7,1))</f>
        <v>F</v>
      </c>
      <c r="J556" s="16">
        <v>45</v>
      </c>
      <c r="K556">
        <f>RANK(J556,$J$2:$J$1001,0)+COUNTIF($J$2:J556,J556)-1</f>
        <v>944</v>
      </c>
      <c r="L556" t="str">
        <f>INDEX('Boundary table'!$B$3:$B$7,MATCH(J556,'Boundary table'!$A$3:$A$7,1))</f>
        <v>F</v>
      </c>
      <c r="M556" s="16">
        <v>40</v>
      </c>
      <c r="N556">
        <f>RANK(M556,$M$2:$M$1001,0)+COUNTIF($M$2:M556,M556)-1</f>
        <v>967</v>
      </c>
      <c r="O556" t="str">
        <f>INDEX('Boundary table'!$B$3:$B$7,MATCH(M556,'Boundary table'!$A$3:$A$7))</f>
        <v>F</v>
      </c>
      <c r="P556">
        <f>Table1[[#This Row],[Math Score]]+Table1[[#This Row],[Reading Score]]+Table1[[#This Row],[Writing Score]]</f>
        <v>138</v>
      </c>
      <c r="Q556" s="16">
        <f>COUNTIF(Table1[[#This Row],[Math Score]],"&lt;60")+COUNTIF(Table1[[#This Row],[Reading Score]],"&lt;60")+COUNTIF(Table1[[#This Row],[Writing Score]],"&lt;60")</f>
        <v>3</v>
      </c>
      <c r="R556" t="str">
        <f>IF(Table1[[#This Row],[Fail Count]]&gt;=2,"At risk","OK")</f>
        <v>At risk</v>
      </c>
    </row>
    <row r="557" spans="1:18">
      <c r="A557" t="str">
        <f t="shared" si="8"/>
        <v>Stu-556</v>
      </c>
      <c r="B557" t="s">
        <v>11</v>
      </c>
      <c r="C557" t="s">
        <v>19</v>
      </c>
      <c r="D557" t="s">
        <v>20</v>
      </c>
      <c r="E557" t="s">
        <v>30</v>
      </c>
      <c r="F557" t="s">
        <v>15</v>
      </c>
      <c r="G557" s="16">
        <v>32</v>
      </c>
      <c r="H557">
        <f>RANK(G557,$G$2:$G$1001,0)+COUNTIF($G$2:G557,G557)-1</f>
        <v>982</v>
      </c>
      <c r="I557" t="str">
        <f>INDEX('Boundary table'!$B$3:$B$7,MATCH(G557,'Boundary table'!$A$3:$A$7,1))</f>
        <v>F</v>
      </c>
      <c r="J557" s="16">
        <v>39</v>
      </c>
      <c r="K557">
        <f>RANK(J557,$J$2:$J$1001,0)+COUNTIF($J$2:J557,J557)-1</f>
        <v>979</v>
      </c>
      <c r="L557" t="str">
        <f>INDEX('Boundary table'!$B$3:$B$7,MATCH(J557,'Boundary table'!$A$3:$A$7,1))</f>
        <v>F</v>
      </c>
      <c r="M557" s="16">
        <v>33</v>
      </c>
      <c r="N557">
        <f>RANK(M557,$M$2:$M$1001,0)+COUNTIF($M$2:M557,M557)-1</f>
        <v>988</v>
      </c>
      <c r="O557" t="str">
        <f>INDEX('Boundary table'!$B$3:$B$7,MATCH(M557,'Boundary table'!$A$3:$A$7))</f>
        <v>F</v>
      </c>
      <c r="P557">
        <f>Table1[[#This Row],[Math Score]]+Table1[[#This Row],[Reading Score]]+Table1[[#This Row],[Writing Score]]</f>
        <v>104</v>
      </c>
      <c r="Q557" s="16">
        <f>COUNTIF(Table1[[#This Row],[Math Score]],"&lt;60")+COUNTIF(Table1[[#This Row],[Reading Score]],"&lt;60")+COUNTIF(Table1[[#This Row],[Writing Score]],"&lt;60")</f>
        <v>3</v>
      </c>
      <c r="R557" t="str">
        <f>IF(Table1[[#This Row],[Fail Count]]&gt;=2,"At risk","OK")</f>
        <v>At risk</v>
      </c>
    </row>
    <row r="558" spans="1:18">
      <c r="A558" t="str">
        <f t="shared" si="8"/>
        <v>Stu-557</v>
      </c>
      <c r="B558" t="s">
        <v>11</v>
      </c>
      <c r="C558" t="s">
        <v>19</v>
      </c>
      <c r="D558" t="s">
        <v>29</v>
      </c>
      <c r="E558" t="s">
        <v>14</v>
      </c>
      <c r="F558" t="s">
        <v>21</v>
      </c>
      <c r="G558" s="16">
        <v>55</v>
      </c>
      <c r="H558">
        <f>RANK(G558,$G$2:$G$1001,0)+COUNTIF($G$2:G558,G558)-1</f>
        <v>769</v>
      </c>
      <c r="I558" t="str">
        <f>INDEX('Boundary table'!$B$3:$B$7,MATCH(G558,'Boundary table'!$A$3:$A$7,1))</f>
        <v>F</v>
      </c>
      <c r="J558" s="16">
        <v>72</v>
      </c>
      <c r="K558">
        <f>RANK(J558,$J$2:$J$1001,0)+COUNTIF($J$2:J558,J558)-1</f>
        <v>450</v>
      </c>
      <c r="L558" t="str">
        <f>INDEX('Boundary table'!$B$3:$B$7,MATCH(J558,'Boundary table'!$A$3:$A$7,1))</f>
        <v>C</v>
      </c>
      <c r="M558" s="16">
        <v>79</v>
      </c>
      <c r="N558">
        <f>RANK(M558,$M$2:$M$1001,0)+COUNTIF($M$2:M558,M558)-1</f>
        <v>245</v>
      </c>
      <c r="O558" t="str">
        <f>INDEX('Boundary table'!$B$3:$B$7,MATCH(M558,'Boundary table'!$A$3:$A$7))</f>
        <v>C</v>
      </c>
      <c r="P558">
        <f>Table1[[#This Row],[Math Score]]+Table1[[#This Row],[Reading Score]]+Table1[[#This Row],[Writing Score]]</f>
        <v>206</v>
      </c>
      <c r="Q558" s="16">
        <f>COUNTIF(Table1[[#This Row],[Math Score]],"&lt;60")+COUNTIF(Table1[[#This Row],[Reading Score]],"&lt;60")+COUNTIF(Table1[[#This Row],[Writing Score]],"&lt;60")</f>
        <v>1</v>
      </c>
      <c r="R558" t="str">
        <f>IF(Table1[[#This Row],[Fail Count]]&gt;=2,"At risk","OK")</f>
        <v>OK</v>
      </c>
    </row>
    <row r="559" spans="1:18">
      <c r="A559" t="str">
        <f t="shared" si="8"/>
        <v>Stu-558</v>
      </c>
      <c r="B559" t="s">
        <v>27</v>
      </c>
      <c r="C559" t="s">
        <v>19</v>
      </c>
      <c r="D559" t="s">
        <v>26</v>
      </c>
      <c r="E559" t="s">
        <v>30</v>
      </c>
      <c r="F559" t="s">
        <v>15</v>
      </c>
      <c r="G559" s="16">
        <v>61</v>
      </c>
      <c r="H559">
        <f>RANK(G559,$G$2:$G$1001,0)+COUNTIF($G$2:G559,G559)-1</f>
        <v>649</v>
      </c>
      <c r="I559" t="str">
        <f>INDEX('Boundary table'!$B$3:$B$7,MATCH(G559,'Boundary table'!$A$3:$A$7,1))</f>
        <v>D</v>
      </c>
      <c r="J559" s="16">
        <v>67</v>
      </c>
      <c r="K559">
        <f>RANK(J559,$J$2:$J$1001,0)+COUNTIF($J$2:J559,J559)-1</f>
        <v>573</v>
      </c>
      <c r="L559" t="str">
        <f>INDEX('Boundary table'!$B$3:$B$7,MATCH(J559,'Boundary table'!$A$3:$A$7,1))</f>
        <v>D</v>
      </c>
      <c r="M559" s="16">
        <v>66</v>
      </c>
      <c r="N559">
        <f>RANK(M559,$M$2:$M$1001,0)+COUNTIF($M$2:M559,M559)-1</f>
        <v>584</v>
      </c>
      <c r="O559" t="str">
        <f>INDEX('Boundary table'!$B$3:$B$7,MATCH(M559,'Boundary table'!$A$3:$A$7))</f>
        <v>D</v>
      </c>
      <c r="P559">
        <f>Table1[[#This Row],[Math Score]]+Table1[[#This Row],[Reading Score]]+Table1[[#This Row],[Writing Score]]</f>
        <v>194</v>
      </c>
      <c r="Q559" s="16">
        <f>COUNTIF(Table1[[#This Row],[Math Score]],"&lt;60")+COUNTIF(Table1[[#This Row],[Reading Score]],"&lt;60")+COUNTIF(Table1[[#This Row],[Writing Score]],"&lt;60")</f>
        <v>0</v>
      </c>
      <c r="R559" t="str">
        <f>IF(Table1[[#This Row],[Fail Count]]&gt;=2,"At risk","OK")</f>
        <v>OK</v>
      </c>
    </row>
    <row r="560" spans="1:18">
      <c r="A560" t="str">
        <f t="shared" si="8"/>
        <v>Stu-559</v>
      </c>
      <c r="B560" t="s">
        <v>11</v>
      </c>
      <c r="C560" t="s">
        <v>12</v>
      </c>
      <c r="D560" t="s">
        <v>29</v>
      </c>
      <c r="E560" t="s">
        <v>30</v>
      </c>
      <c r="F560" t="s">
        <v>15</v>
      </c>
      <c r="G560" s="16">
        <v>53</v>
      </c>
      <c r="H560">
        <f>RANK(G560,$G$2:$G$1001,0)+COUNTIF($G$2:G560,G560)-1</f>
        <v>811</v>
      </c>
      <c r="I560" t="str">
        <f>INDEX('Boundary table'!$B$3:$B$7,MATCH(G560,'Boundary table'!$A$3:$A$7,1))</f>
        <v>F</v>
      </c>
      <c r="J560" s="16">
        <v>70</v>
      </c>
      <c r="K560">
        <f>RANK(J560,$J$2:$J$1001,0)+COUNTIF($J$2:J560,J560)-1</f>
        <v>502</v>
      </c>
      <c r="L560" t="str">
        <f>INDEX('Boundary table'!$B$3:$B$7,MATCH(J560,'Boundary table'!$A$3:$A$7,1))</f>
        <v>C</v>
      </c>
      <c r="M560" s="16">
        <v>70</v>
      </c>
      <c r="N560">
        <f>RANK(M560,$M$2:$M$1001,0)+COUNTIF($M$2:M560,M560)-1</f>
        <v>478</v>
      </c>
      <c r="O560" t="str">
        <f>INDEX('Boundary table'!$B$3:$B$7,MATCH(M560,'Boundary table'!$A$3:$A$7))</f>
        <v>C</v>
      </c>
      <c r="P560">
        <f>Table1[[#This Row],[Math Score]]+Table1[[#This Row],[Reading Score]]+Table1[[#This Row],[Writing Score]]</f>
        <v>193</v>
      </c>
      <c r="Q560" s="16">
        <f>COUNTIF(Table1[[#This Row],[Math Score]],"&lt;60")+COUNTIF(Table1[[#This Row],[Reading Score]],"&lt;60")+COUNTIF(Table1[[#This Row],[Writing Score]],"&lt;60")</f>
        <v>1</v>
      </c>
      <c r="R560" t="str">
        <f>IF(Table1[[#This Row],[Fail Count]]&gt;=2,"At risk","OK")</f>
        <v>OK</v>
      </c>
    </row>
    <row r="561" spans="1:18">
      <c r="A561" t="str">
        <f t="shared" si="8"/>
        <v>Stu-560</v>
      </c>
      <c r="B561" t="s">
        <v>27</v>
      </c>
      <c r="C561" t="s">
        <v>31</v>
      </c>
      <c r="D561" t="s">
        <v>33</v>
      </c>
      <c r="E561" t="s">
        <v>14</v>
      </c>
      <c r="F561" t="s">
        <v>15</v>
      </c>
      <c r="G561" s="16">
        <v>73</v>
      </c>
      <c r="H561">
        <f>RANK(G561,$G$2:$G$1001,0)+COUNTIF($G$2:G561,G561)-1</f>
        <v>336</v>
      </c>
      <c r="I561" t="str">
        <f>INDEX('Boundary table'!$B$3:$B$7,MATCH(G561,'Boundary table'!$A$3:$A$7,1))</f>
        <v>C</v>
      </c>
      <c r="J561" s="16">
        <v>66</v>
      </c>
      <c r="K561">
        <f>RANK(J561,$J$2:$J$1001,0)+COUNTIF($J$2:J561,J561)-1</f>
        <v>597</v>
      </c>
      <c r="L561" t="str">
        <f>INDEX('Boundary table'!$B$3:$B$7,MATCH(J561,'Boundary table'!$A$3:$A$7,1))</f>
        <v>D</v>
      </c>
      <c r="M561" s="16">
        <v>62</v>
      </c>
      <c r="N561">
        <f>RANK(M561,$M$2:$M$1001,0)+COUNTIF($M$2:M561,M561)-1</f>
        <v>670</v>
      </c>
      <c r="O561" t="str">
        <f>INDEX('Boundary table'!$B$3:$B$7,MATCH(M561,'Boundary table'!$A$3:$A$7))</f>
        <v>D</v>
      </c>
      <c r="P561">
        <f>Table1[[#This Row],[Math Score]]+Table1[[#This Row],[Reading Score]]+Table1[[#This Row],[Writing Score]]</f>
        <v>201</v>
      </c>
      <c r="Q561" s="16">
        <f>COUNTIF(Table1[[#This Row],[Math Score]],"&lt;60")+COUNTIF(Table1[[#This Row],[Reading Score]],"&lt;60")+COUNTIF(Table1[[#This Row],[Writing Score]],"&lt;60")</f>
        <v>0</v>
      </c>
      <c r="R561" t="str">
        <f>IF(Table1[[#This Row],[Fail Count]]&gt;=2,"At risk","OK")</f>
        <v>OK</v>
      </c>
    </row>
    <row r="562" spans="1:18">
      <c r="A562" t="str">
        <f t="shared" si="8"/>
        <v>Stu-561</v>
      </c>
      <c r="B562" t="s">
        <v>11</v>
      </c>
      <c r="C562" t="s">
        <v>31</v>
      </c>
      <c r="D562" t="s">
        <v>20</v>
      </c>
      <c r="E562" t="s">
        <v>14</v>
      </c>
      <c r="F562" t="s">
        <v>21</v>
      </c>
      <c r="G562" s="16">
        <v>74</v>
      </c>
      <c r="H562">
        <f>RANK(G562,$G$2:$G$1001,0)+COUNTIF($G$2:G562,G562)-1</f>
        <v>307</v>
      </c>
      <c r="I562" t="str">
        <f>INDEX('Boundary table'!$B$3:$B$7,MATCH(G562,'Boundary table'!$A$3:$A$7,1))</f>
        <v>C</v>
      </c>
      <c r="J562" s="16">
        <v>75</v>
      </c>
      <c r="K562">
        <f>RANK(J562,$J$2:$J$1001,0)+COUNTIF($J$2:J562,J562)-1</f>
        <v>356</v>
      </c>
      <c r="L562" t="str">
        <f>INDEX('Boundary table'!$B$3:$B$7,MATCH(J562,'Boundary table'!$A$3:$A$7,1))</f>
        <v>C</v>
      </c>
      <c r="M562" s="16">
        <v>79</v>
      </c>
      <c r="N562">
        <f>RANK(M562,$M$2:$M$1001,0)+COUNTIF($M$2:M562,M562)-1</f>
        <v>246</v>
      </c>
      <c r="O562" t="str">
        <f>INDEX('Boundary table'!$B$3:$B$7,MATCH(M562,'Boundary table'!$A$3:$A$7))</f>
        <v>C</v>
      </c>
      <c r="P562">
        <f>Table1[[#This Row],[Math Score]]+Table1[[#This Row],[Reading Score]]+Table1[[#This Row],[Writing Score]]</f>
        <v>228</v>
      </c>
      <c r="Q562" s="16">
        <f>COUNTIF(Table1[[#This Row],[Math Score]],"&lt;60")+COUNTIF(Table1[[#This Row],[Reading Score]],"&lt;60")+COUNTIF(Table1[[#This Row],[Writing Score]],"&lt;60")</f>
        <v>0</v>
      </c>
      <c r="R562" t="str">
        <f>IF(Table1[[#This Row],[Fail Count]]&gt;=2,"At risk","OK")</f>
        <v>OK</v>
      </c>
    </row>
    <row r="563" spans="1:18">
      <c r="A563" t="str">
        <f t="shared" si="8"/>
        <v>Stu-562</v>
      </c>
      <c r="B563" t="s">
        <v>11</v>
      </c>
      <c r="C563" t="s">
        <v>19</v>
      </c>
      <c r="D563" t="s">
        <v>20</v>
      </c>
      <c r="E563" t="s">
        <v>14</v>
      </c>
      <c r="F563" t="s">
        <v>15</v>
      </c>
      <c r="G563" s="16">
        <v>63</v>
      </c>
      <c r="H563">
        <f>RANK(G563,$G$2:$G$1001,0)+COUNTIF($G$2:G563,G563)-1</f>
        <v>589</v>
      </c>
      <c r="I563" t="str">
        <f>INDEX('Boundary table'!$B$3:$B$7,MATCH(G563,'Boundary table'!$A$3:$A$7,1))</f>
        <v>D</v>
      </c>
      <c r="J563" s="16">
        <v>74</v>
      </c>
      <c r="K563">
        <f>RANK(J563,$J$2:$J$1001,0)+COUNTIF($J$2:J563,J563)-1</f>
        <v>391</v>
      </c>
      <c r="L563" t="str">
        <f>INDEX('Boundary table'!$B$3:$B$7,MATCH(J563,'Boundary table'!$A$3:$A$7,1))</f>
        <v>C</v>
      </c>
      <c r="M563" s="16">
        <v>74</v>
      </c>
      <c r="N563">
        <f>RANK(M563,$M$2:$M$1001,0)+COUNTIF($M$2:M563,M563)-1</f>
        <v>370</v>
      </c>
      <c r="O563" t="str">
        <f>INDEX('Boundary table'!$B$3:$B$7,MATCH(M563,'Boundary table'!$A$3:$A$7))</f>
        <v>C</v>
      </c>
      <c r="P563">
        <f>Table1[[#This Row],[Math Score]]+Table1[[#This Row],[Reading Score]]+Table1[[#This Row],[Writing Score]]</f>
        <v>211</v>
      </c>
      <c r="Q563" s="16">
        <f>COUNTIF(Table1[[#This Row],[Math Score]],"&lt;60")+COUNTIF(Table1[[#This Row],[Reading Score]],"&lt;60")+COUNTIF(Table1[[#This Row],[Writing Score]],"&lt;60")</f>
        <v>0</v>
      </c>
      <c r="R563" t="str">
        <f>IF(Table1[[#This Row],[Fail Count]]&gt;=2,"At risk","OK")</f>
        <v>OK</v>
      </c>
    </row>
    <row r="564" spans="1:18">
      <c r="A564" t="str">
        <f t="shared" si="8"/>
        <v>Stu-563</v>
      </c>
      <c r="B564" t="s">
        <v>27</v>
      </c>
      <c r="C564" t="s">
        <v>19</v>
      </c>
      <c r="D564" t="s">
        <v>13</v>
      </c>
      <c r="E564" t="s">
        <v>14</v>
      </c>
      <c r="F564" t="s">
        <v>21</v>
      </c>
      <c r="G564" s="16">
        <v>96</v>
      </c>
      <c r="H564">
        <f>RANK(G564,$G$2:$G$1001,0)+COUNTIF($G$2:G564,G564)-1</f>
        <v>21</v>
      </c>
      <c r="I564" t="str">
        <f>INDEX('Boundary table'!$B$3:$B$7,MATCH(G564,'Boundary table'!$A$3:$A$7,1))</f>
        <v>A</v>
      </c>
      <c r="J564" s="16">
        <v>90</v>
      </c>
      <c r="K564">
        <f>RANK(J564,$J$2:$J$1001,0)+COUNTIF($J$2:J564,J564)-1</f>
        <v>71</v>
      </c>
      <c r="L564" t="str">
        <f>INDEX('Boundary table'!$B$3:$B$7,MATCH(J564,'Boundary table'!$A$3:$A$7,1))</f>
        <v>A</v>
      </c>
      <c r="M564" s="16">
        <v>92</v>
      </c>
      <c r="N564">
        <f>RANK(M564,$M$2:$M$1001,0)+COUNTIF($M$2:M564,M564)-1</f>
        <v>54</v>
      </c>
      <c r="O564" t="str">
        <f>INDEX('Boundary table'!$B$3:$B$7,MATCH(M564,'Boundary table'!$A$3:$A$7))</f>
        <v>A</v>
      </c>
      <c r="P564">
        <f>Table1[[#This Row],[Math Score]]+Table1[[#This Row],[Reading Score]]+Table1[[#This Row],[Writing Score]]</f>
        <v>278</v>
      </c>
      <c r="Q564" s="16">
        <f>COUNTIF(Table1[[#This Row],[Math Score]],"&lt;60")+COUNTIF(Table1[[#This Row],[Reading Score]],"&lt;60")+COUNTIF(Table1[[#This Row],[Writing Score]],"&lt;60")</f>
        <v>0</v>
      </c>
      <c r="R564" t="str">
        <f>IF(Table1[[#This Row],[Fail Count]]&gt;=2,"At risk","OK")</f>
        <v>OK</v>
      </c>
    </row>
    <row r="565" spans="1:18">
      <c r="A565" t="str">
        <f t="shared" si="8"/>
        <v>Stu-564</v>
      </c>
      <c r="B565" t="s">
        <v>11</v>
      </c>
      <c r="C565" t="s">
        <v>31</v>
      </c>
      <c r="D565" t="s">
        <v>20</v>
      </c>
      <c r="E565" t="s">
        <v>30</v>
      </c>
      <c r="F565" t="s">
        <v>21</v>
      </c>
      <c r="G565" s="16">
        <v>63</v>
      </c>
      <c r="H565">
        <f>RANK(G565,$G$2:$G$1001,0)+COUNTIF($G$2:G565,G565)-1</f>
        <v>590</v>
      </c>
      <c r="I565" t="str">
        <f>INDEX('Boundary table'!$B$3:$B$7,MATCH(G565,'Boundary table'!$A$3:$A$7,1))</f>
        <v>D</v>
      </c>
      <c r="J565" s="16">
        <v>80</v>
      </c>
      <c r="K565">
        <f>RANK(J565,$J$2:$J$1001,0)+COUNTIF($J$2:J565,J565)-1</f>
        <v>245</v>
      </c>
      <c r="L565" t="str">
        <f>INDEX('Boundary table'!$B$3:$B$7,MATCH(J565,'Boundary table'!$A$3:$A$7,1))</f>
        <v>B</v>
      </c>
      <c r="M565" s="16">
        <v>80</v>
      </c>
      <c r="N565">
        <f>RANK(M565,$M$2:$M$1001,0)+COUNTIF($M$2:M565,M565)-1</f>
        <v>222</v>
      </c>
      <c r="O565" t="str">
        <f>INDEX('Boundary table'!$B$3:$B$7,MATCH(M565,'Boundary table'!$A$3:$A$7))</f>
        <v>B</v>
      </c>
      <c r="P565">
        <f>Table1[[#This Row],[Math Score]]+Table1[[#This Row],[Reading Score]]+Table1[[#This Row],[Writing Score]]</f>
        <v>223</v>
      </c>
      <c r="Q565" s="16">
        <f>COUNTIF(Table1[[#This Row],[Math Score]],"&lt;60")+COUNTIF(Table1[[#This Row],[Reading Score]],"&lt;60")+COUNTIF(Table1[[#This Row],[Writing Score]],"&lt;60")</f>
        <v>0</v>
      </c>
      <c r="R565" t="str">
        <f>IF(Table1[[#This Row],[Fail Count]]&gt;=2,"At risk","OK")</f>
        <v>OK</v>
      </c>
    </row>
    <row r="566" spans="1:18">
      <c r="A566" t="str">
        <f t="shared" si="8"/>
        <v>Stu-565</v>
      </c>
      <c r="B566" t="s">
        <v>27</v>
      </c>
      <c r="C566" t="s">
        <v>12</v>
      </c>
      <c r="D566" t="s">
        <v>13</v>
      </c>
      <c r="E566" t="s">
        <v>30</v>
      </c>
      <c r="F566" t="s">
        <v>15</v>
      </c>
      <c r="G566" s="16">
        <v>48</v>
      </c>
      <c r="H566">
        <f>RANK(G566,$G$2:$G$1001,0)+COUNTIF($G$2:G566,G566)-1</f>
        <v>885</v>
      </c>
      <c r="I566" t="str">
        <f>INDEX('Boundary table'!$B$3:$B$7,MATCH(G566,'Boundary table'!$A$3:$A$7,1))</f>
        <v>F</v>
      </c>
      <c r="J566" s="16">
        <v>51</v>
      </c>
      <c r="K566">
        <f>RANK(J566,$J$2:$J$1001,0)+COUNTIF($J$2:J566,J566)-1</f>
        <v>894</v>
      </c>
      <c r="L566" t="str">
        <f>INDEX('Boundary table'!$B$3:$B$7,MATCH(J566,'Boundary table'!$A$3:$A$7,1))</f>
        <v>F</v>
      </c>
      <c r="M566" s="16">
        <v>46</v>
      </c>
      <c r="N566">
        <f>RANK(M566,$M$2:$M$1001,0)+COUNTIF($M$2:M566,M566)-1</f>
        <v>918</v>
      </c>
      <c r="O566" t="str">
        <f>INDEX('Boundary table'!$B$3:$B$7,MATCH(M566,'Boundary table'!$A$3:$A$7))</f>
        <v>F</v>
      </c>
      <c r="P566">
        <f>Table1[[#This Row],[Math Score]]+Table1[[#This Row],[Reading Score]]+Table1[[#This Row],[Writing Score]]</f>
        <v>145</v>
      </c>
      <c r="Q566" s="16">
        <f>COUNTIF(Table1[[#This Row],[Math Score]],"&lt;60")+COUNTIF(Table1[[#This Row],[Reading Score]],"&lt;60")+COUNTIF(Table1[[#This Row],[Writing Score]],"&lt;60")</f>
        <v>3</v>
      </c>
      <c r="R566" t="str">
        <f>IF(Table1[[#This Row],[Fail Count]]&gt;=2,"At risk","OK")</f>
        <v>At risk</v>
      </c>
    </row>
    <row r="567" spans="1:18">
      <c r="A567" t="str">
        <f t="shared" si="8"/>
        <v>Stu-566</v>
      </c>
      <c r="B567" t="s">
        <v>27</v>
      </c>
      <c r="C567" t="s">
        <v>12</v>
      </c>
      <c r="D567" t="s">
        <v>29</v>
      </c>
      <c r="E567" t="s">
        <v>14</v>
      </c>
      <c r="F567" t="s">
        <v>15</v>
      </c>
      <c r="G567" s="16">
        <v>48</v>
      </c>
      <c r="H567">
        <f>RANK(G567,$G$2:$G$1001,0)+COUNTIF($G$2:G567,G567)-1</f>
        <v>886</v>
      </c>
      <c r="I567" t="str">
        <f>INDEX('Boundary table'!$B$3:$B$7,MATCH(G567,'Boundary table'!$A$3:$A$7,1))</f>
        <v>F</v>
      </c>
      <c r="J567" s="16">
        <v>43</v>
      </c>
      <c r="K567">
        <f>RANK(J567,$J$2:$J$1001,0)+COUNTIF($J$2:J567,J567)-1</f>
        <v>958</v>
      </c>
      <c r="L567" t="str">
        <f>INDEX('Boundary table'!$B$3:$B$7,MATCH(J567,'Boundary table'!$A$3:$A$7,1))</f>
        <v>F</v>
      </c>
      <c r="M567" s="16">
        <v>45</v>
      </c>
      <c r="N567">
        <f>RANK(M567,$M$2:$M$1001,0)+COUNTIF($M$2:M567,M567)-1</f>
        <v>928</v>
      </c>
      <c r="O567" t="str">
        <f>INDEX('Boundary table'!$B$3:$B$7,MATCH(M567,'Boundary table'!$A$3:$A$7))</f>
        <v>F</v>
      </c>
      <c r="P567">
        <f>Table1[[#This Row],[Math Score]]+Table1[[#This Row],[Reading Score]]+Table1[[#This Row],[Writing Score]]</f>
        <v>136</v>
      </c>
      <c r="Q567" s="16">
        <f>COUNTIF(Table1[[#This Row],[Math Score]],"&lt;60")+COUNTIF(Table1[[#This Row],[Reading Score]],"&lt;60")+COUNTIF(Table1[[#This Row],[Writing Score]],"&lt;60")</f>
        <v>3</v>
      </c>
      <c r="R567" t="str">
        <f>IF(Table1[[#This Row],[Fail Count]]&gt;=2,"At risk","OK")</f>
        <v>At risk</v>
      </c>
    </row>
    <row r="568" spans="1:18">
      <c r="A568" t="str">
        <f t="shared" si="8"/>
        <v>Stu-567</v>
      </c>
      <c r="B568" t="s">
        <v>11</v>
      </c>
      <c r="C568" t="s">
        <v>34</v>
      </c>
      <c r="D568" t="s">
        <v>13</v>
      </c>
      <c r="E568" t="s">
        <v>30</v>
      </c>
      <c r="F568" t="s">
        <v>21</v>
      </c>
      <c r="G568" s="16">
        <v>92</v>
      </c>
      <c r="H568">
        <f>RANK(G568,$G$2:$G$1001,0)+COUNTIF($G$2:G568,G568)-1</f>
        <v>38</v>
      </c>
      <c r="I568" t="str">
        <f>INDEX('Boundary table'!$B$3:$B$7,MATCH(G568,'Boundary table'!$A$3:$A$7,1))</f>
        <v>A</v>
      </c>
      <c r="J568" s="16">
        <v>100</v>
      </c>
      <c r="K568">
        <f>RANK(J568,$J$2:$J$1001,0)+COUNTIF($J$2:J568,J568)-1</f>
        <v>9</v>
      </c>
      <c r="L568" t="str">
        <f>INDEX('Boundary table'!$B$3:$B$7,MATCH(J568,'Boundary table'!$A$3:$A$7,1))</f>
        <v>A</v>
      </c>
      <c r="M568" s="16">
        <v>100</v>
      </c>
      <c r="N568">
        <f>RANK(M568,$M$2:$M$1001,0)+COUNTIF($M$2:M568,M568)-1</f>
        <v>8</v>
      </c>
      <c r="O568" t="str">
        <f>INDEX('Boundary table'!$B$3:$B$7,MATCH(M568,'Boundary table'!$A$3:$A$7))</f>
        <v>A</v>
      </c>
      <c r="P568">
        <f>Table1[[#This Row],[Math Score]]+Table1[[#This Row],[Reading Score]]+Table1[[#This Row],[Writing Score]]</f>
        <v>292</v>
      </c>
      <c r="Q568" s="16">
        <f>COUNTIF(Table1[[#This Row],[Math Score]],"&lt;60")+COUNTIF(Table1[[#This Row],[Reading Score]],"&lt;60")+COUNTIF(Table1[[#This Row],[Writing Score]],"&lt;60")</f>
        <v>0</v>
      </c>
      <c r="R568" t="str">
        <f>IF(Table1[[#This Row],[Fail Count]]&gt;=2,"At risk","OK")</f>
        <v>OK</v>
      </c>
    </row>
    <row r="569" spans="1:18">
      <c r="A569" t="str">
        <f t="shared" si="8"/>
        <v>Stu-568</v>
      </c>
      <c r="B569" t="s">
        <v>11</v>
      </c>
      <c r="C569" t="s">
        <v>31</v>
      </c>
      <c r="D569" t="s">
        <v>26</v>
      </c>
      <c r="E569" t="s">
        <v>30</v>
      </c>
      <c r="F569" t="s">
        <v>21</v>
      </c>
      <c r="G569" s="16">
        <v>61</v>
      </c>
      <c r="H569">
        <f>RANK(G569,$G$2:$G$1001,0)+COUNTIF($G$2:G569,G569)-1</f>
        <v>650</v>
      </c>
      <c r="I569" t="str">
        <f>INDEX('Boundary table'!$B$3:$B$7,MATCH(G569,'Boundary table'!$A$3:$A$7,1))</f>
        <v>D</v>
      </c>
      <c r="J569" s="16">
        <v>71</v>
      </c>
      <c r="K569">
        <f>RANK(J569,$J$2:$J$1001,0)+COUNTIF($J$2:J569,J569)-1</f>
        <v>481</v>
      </c>
      <c r="L569" t="str">
        <f>INDEX('Boundary table'!$B$3:$B$7,MATCH(J569,'Boundary table'!$A$3:$A$7,1))</f>
        <v>C</v>
      </c>
      <c r="M569" s="16">
        <v>78</v>
      </c>
      <c r="N569">
        <f>RANK(M569,$M$2:$M$1001,0)+COUNTIF($M$2:M569,M569)-1</f>
        <v>271</v>
      </c>
      <c r="O569" t="str">
        <f>INDEX('Boundary table'!$B$3:$B$7,MATCH(M569,'Boundary table'!$A$3:$A$7))</f>
        <v>C</v>
      </c>
      <c r="P569">
        <f>Table1[[#This Row],[Math Score]]+Table1[[#This Row],[Reading Score]]+Table1[[#This Row],[Writing Score]]</f>
        <v>210</v>
      </c>
      <c r="Q569" s="16">
        <f>COUNTIF(Table1[[#This Row],[Math Score]],"&lt;60")+COUNTIF(Table1[[#This Row],[Reading Score]],"&lt;60")+COUNTIF(Table1[[#This Row],[Writing Score]],"&lt;60")</f>
        <v>0</v>
      </c>
      <c r="R569" t="str">
        <f>IF(Table1[[#This Row],[Fail Count]]&gt;=2,"At risk","OK")</f>
        <v>OK</v>
      </c>
    </row>
    <row r="570" spans="1:18">
      <c r="A570" t="str">
        <f t="shared" si="8"/>
        <v>Stu-569</v>
      </c>
      <c r="B570" t="s">
        <v>27</v>
      </c>
      <c r="C570" t="s">
        <v>12</v>
      </c>
      <c r="D570" t="s">
        <v>32</v>
      </c>
      <c r="E570" t="s">
        <v>30</v>
      </c>
      <c r="F570" t="s">
        <v>15</v>
      </c>
      <c r="G570" s="16">
        <v>63</v>
      </c>
      <c r="H570">
        <f>RANK(G570,$G$2:$G$1001,0)+COUNTIF($G$2:G570,G570)-1</f>
        <v>591</v>
      </c>
      <c r="I570" t="str">
        <f>INDEX('Boundary table'!$B$3:$B$7,MATCH(G570,'Boundary table'!$A$3:$A$7,1))</f>
        <v>D</v>
      </c>
      <c r="J570" s="16">
        <v>48</v>
      </c>
      <c r="K570">
        <f>RANK(J570,$J$2:$J$1001,0)+COUNTIF($J$2:J570,J570)-1</f>
        <v>925</v>
      </c>
      <c r="L570" t="str">
        <f>INDEX('Boundary table'!$B$3:$B$7,MATCH(J570,'Boundary table'!$A$3:$A$7,1))</f>
        <v>F</v>
      </c>
      <c r="M570" s="16">
        <v>47</v>
      </c>
      <c r="N570">
        <f>RANK(M570,$M$2:$M$1001,0)+COUNTIF($M$2:M570,M570)-1</f>
        <v>911</v>
      </c>
      <c r="O570" t="str">
        <f>INDEX('Boundary table'!$B$3:$B$7,MATCH(M570,'Boundary table'!$A$3:$A$7))</f>
        <v>F</v>
      </c>
      <c r="P570">
        <f>Table1[[#This Row],[Math Score]]+Table1[[#This Row],[Reading Score]]+Table1[[#This Row],[Writing Score]]</f>
        <v>158</v>
      </c>
      <c r="Q570" s="16">
        <f>COUNTIF(Table1[[#This Row],[Math Score]],"&lt;60")+COUNTIF(Table1[[#This Row],[Reading Score]],"&lt;60")+COUNTIF(Table1[[#This Row],[Writing Score]],"&lt;60")</f>
        <v>2</v>
      </c>
      <c r="R570" t="str">
        <f>IF(Table1[[#This Row],[Fail Count]]&gt;=2,"At risk","OK")</f>
        <v>At risk</v>
      </c>
    </row>
    <row r="571" spans="1:18">
      <c r="A571" t="str">
        <f t="shared" si="8"/>
        <v>Stu-570</v>
      </c>
      <c r="B571" t="s">
        <v>27</v>
      </c>
      <c r="C571" t="s">
        <v>31</v>
      </c>
      <c r="D571" t="s">
        <v>13</v>
      </c>
      <c r="E571" t="s">
        <v>30</v>
      </c>
      <c r="F571" t="s">
        <v>15</v>
      </c>
      <c r="G571" s="16">
        <v>68</v>
      </c>
      <c r="H571">
        <f>RANK(G571,$G$2:$G$1001,0)+COUNTIF($G$2:G571,G571)-1</f>
        <v>456</v>
      </c>
      <c r="I571" t="str">
        <f>INDEX('Boundary table'!$B$3:$B$7,MATCH(G571,'Boundary table'!$A$3:$A$7,1))</f>
        <v>D</v>
      </c>
      <c r="J571" s="16">
        <v>68</v>
      </c>
      <c r="K571">
        <f>RANK(J571,$J$2:$J$1001,0)+COUNTIF($J$2:J571,J571)-1</f>
        <v>540</v>
      </c>
      <c r="L571" t="str">
        <f>INDEX('Boundary table'!$B$3:$B$7,MATCH(J571,'Boundary table'!$A$3:$A$7,1))</f>
        <v>D</v>
      </c>
      <c r="M571" s="16">
        <v>67</v>
      </c>
      <c r="N571">
        <f>RANK(M571,$M$2:$M$1001,0)+COUNTIF($M$2:M571,M571)-1</f>
        <v>560</v>
      </c>
      <c r="O571" t="str">
        <f>INDEX('Boundary table'!$B$3:$B$7,MATCH(M571,'Boundary table'!$A$3:$A$7))</f>
        <v>D</v>
      </c>
      <c r="P571">
        <f>Table1[[#This Row],[Math Score]]+Table1[[#This Row],[Reading Score]]+Table1[[#This Row],[Writing Score]]</f>
        <v>203</v>
      </c>
      <c r="Q571" s="16">
        <f>COUNTIF(Table1[[#This Row],[Math Score]],"&lt;60")+COUNTIF(Table1[[#This Row],[Reading Score]],"&lt;60")+COUNTIF(Table1[[#This Row],[Writing Score]],"&lt;60")</f>
        <v>0</v>
      </c>
      <c r="R571" t="str">
        <f>IF(Table1[[#This Row],[Fail Count]]&gt;=2,"At risk","OK")</f>
        <v>OK</v>
      </c>
    </row>
    <row r="572" spans="1:18">
      <c r="A572" t="str">
        <f t="shared" si="8"/>
        <v>Stu-571</v>
      </c>
      <c r="B572" t="s">
        <v>27</v>
      </c>
      <c r="C572" t="s">
        <v>12</v>
      </c>
      <c r="D572" t="s">
        <v>20</v>
      </c>
      <c r="E572" t="s">
        <v>14</v>
      </c>
      <c r="F572" t="s">
        <v>21</v>
      </c>
      <c r="G572" s="16">
        <v>71</v>
      </c>
      <c r="H572">
        <f>RANK(G572,$G$2:$G$1001,0)+COUNTIF($G$2:G572,G572)-1</f>
        <v>384</v>
      </c>
      <c r="I572" t="str">
        <f>INDEX('Boundary table'!$B$3:$B$7,MATCH(G572,'Boundary table'!$A$3:$A$7,1))</f>
        <v>C</v>
      </c>
      <c r="J572" s="16">
        <v>75</v>
      </c>
      <c r="K572">
        <f>RANK(J572,$J$2:$J$1001,0)+COUNTIF($J$2:J572,J572)-1</f>
        <v>357</v>
      </c>
      <c r="L572" t="str">
        <f>INDEX('Boundary table'!$B$3:$B$7,MATCH(J572,'Boundary table'!$A$3:$A$7,1))</f>
        <v>C</v>
      </c>
      <c r="M572" s="16">
        <v>70</v>
      </c>
      <c r="N572">
        <f>RANK(M572,$M$2:$M$1001,0)+COUNTIF($M$2:M572,M572)-1</f>
        <v>479</v>
      </c>
      <c r="O572" t="str">
        <f>INDEX('Boundary table'!$B$3:$B$7,MATCH(M572,'Boundary table'!$A$3:$A$7))</f>
        <v>C</v>
      </c>
      <c r="P572">
        <f>Table1[[#This Row],[Math Score]]+Table1[[#This Row],[Reading Score]]+Table1[[#This Row],[Writing Score]]</f>
        <v>216</v>
      </c>
      <c r="Q572" s="16">
        <f>COUNTIF(Table1[[#This Row],[Math Score]],"&lt;60")+COUNTIF(Table1[[#This Row],[Reading Score]],"&lt;60")+COUNTIF(Table1[[#This Row],[Writing Score]],"&lt;60")</f>
        <v>0</v>
      </c>
      <c r="R572" t="str">
        <f>IF(Table1[[#This Row],[Fail Count]]&gt;=2,"At risk","OK")</f>
        <v>OK</v>
      </c>
    </row>
    <row r="573" spans="1:18">
      <c r="A573" t="str">
        <f t="shared" si="8"/>
        <v>Stu-572</v>
      </c>
      <c r="B573" t="s">
        <v>27</v>
      </c>
      <c r="C573" t="s">
        <v>28</v>
      </c>
      <c r="D573" t="s">
        <v>13</v>
      </c>
      <c r="E573" t="s">
        <v>14</v>
      </c>
      <c r="F573" t="s">
        <v>15</v>
      </c>
      <c r="G573" s="16">
        <v>91</v>
      </c>
      <c r="H573">
        <f>RANK(G573,$G$2:$G$1001,0)+COUNTIF($G$2:G573,G573)-1</f>
        <v>45</v>
      </c>
      <c r="I573" t="str">
        <f>INDEX('Boundary table'!$B$3:$B$7,MATCH(G573,'Boundary table'!$A$3:$A$7,1))</f>
        <v>A</v>
      </c>
      <c r="J573" s="16">
        <v>96</v>
      </c>
      <c r="K573">
        <f>RANK(J573,$J$2:$J$1001,0)+COUNTIF($J$2:J573,J573)-1</f>
        <v>26</v>
      </c>
      <c r="L573" t="str">
        <f>INDEX('Boundary table'!$B$3:$B$7,MATCH(J573,'Boundary table'!$A$3:$A$7,1))</f>
        <v>A</v>
      </c>
      <c r="M573" s="16">
        <v>92</v>
      </c>
      <c r="N573">
        <f>RANK(M573,$M$2:$M$1001,0)+COUNTIF($M$2:M573,M573)-1</f>
        <v>55</v>
      </c>
      <c r="O573" t="str">
        <f>INDEX('Boundary table'!$B$3:$B$7,MATCH(M573,'Boundary table'!$A$3:$A$7))</f>
        <v>A</v>
      </c>
      <c r="P573">
        <f>Table1[[#This Row],[Math Score]]+Table1[[#This Row],[Reading Score]]+Table1[[#This Row],[Writing Score]]</f>
        <v>279</v>
      </c>
      <c r="Q573" s="16">
        <f>COUNTIF(Table1[[#This Row],[Math Score]],"&lt;60")+COUNTIF(Table1[[#This Row],[Reading Score]],"&lt;60")+COUNTIF(Table1[[#This Row],[Writing Score]],"&lt;60")</f>
        <v>0</v>
      </c>
      <c r="R573" t="str">
        <f>IF(Table1[[#This Row],[Fail Count]]&gt;=2,"At risk","OK")</f>
        <v>OK</v>
      </c>
    </row>
    <row r="574" spans="1:18">
      <c r="A574" t="str">
        <f t="shared" si="8"/>
        <v>Stu-573</v>
      </c>
      <c r="B574" t="s">
        <v>11</v>
      </c>
      <c r="C574" t="s">
        <v>19</v>
      </c>
      <c r="D574" t="s">
        <v>20</v>
      </c>
      <c r="E574" t="s">
        <v>14</v>
      </c>
      <c r="F574" t="s">
        <v>15</v>
      </c>
      <c r="G574" s="16">
        <v>53</v>
      </c>
      <c r="H574">
        <f>RANK(G574,$G$2:$G$1001,0)+COUNTIF($G$2:G574,G574)-1</f>
        <v>812</v>
      </c>
      <c r="I574" t="str">
        <f>INDEX('Boundary table'!$B$3:$B$7,MATCH(G574,'Boundary table'!$A$3:$A$7,1))</f>
        <v>F</v>
      </c>
      <c r="J574" s="16">
        <v>62</v>
      </c>
      <c r="K574">
        <f>RANK(J574,$J$2:$J$1001,0)+COUNTIF($J$2:J574,J574)-1</f>
        <v>690</v>
      </c>
      <c r="L574" t="str">
        <f>INDEX('Boundary table'!$B$3:$B$7,MATCH(J574,'Boundary table'!$A$3:$A$7,1))</f>
        <v>D</v>
      </c>
      <c r="M574" s="16">
        <v>56</v>
      </c>
      <c r="N574">
        <f>RANK(M574,$M$2:$M$1001,0)+COUNTIF($M$2:M574,M574)-1</f>
        <v>780</v>
      </c>
      <c r="O574" t="str">
        <f>INDEX('Boundary table'!$B$3:$B$7,MATCH(M574,'Boundary table'!$A$3:$A$7))</f>
        <v>F</v>
      </c>
      <c r="P574">
        <f>Table1[[#This Row],[Math Score]]+Table1[[#This Row],[Reading Score]]+Table1[[#This Row],[Writing Score]]</f>
        <v>171</v>
      </c>
      <c r="Q574" s="16">
        <f>COUNTIF(Table1[[#This Row],[Math Score]],"&lt;60")+COUNTIF(Table1[[#This Row],[Reading Score]],"&lt;60")+COUNTIF(Table1[[#This Row],[Writing Score]],"&lt;60")</f>
        <v>2</v>
      </c>
      <c r="R574" t="str">
        <f>IF(Table1[[#This Row],[Fail Count]]&gt;=2,"At risk","OK")</f>
        <v>At risk</v>
      </c>
    </row>
    <row r="575" spans="1:18">
      <c r="A575" t="str">
        <f t="shared" si="8"/>
        <v>Stu-574</v>
      </c>
      <c r="B575" t="s">
        <v>11</v>
      </c>
      <c r="C575" t="s">
        <v>19</v>
      </c>
      <c r="D575" t="s">
        <v>32</v>
      </c>
      <c r="E575" t="s">
        <v>30</v>
      </c>
      <c r="F575" t="s">
        <v>21</v>
      </c>
      <c r="G575" s="16">
        <v>50</v>
      </c>
      <c r="H575">
        <f>RANK(G575,$G$2:$G$1001,0)+COUNTIF($G$2:G575,G575)-1</f>
        <v>858</v>
      </c>
      <c r="I575" t="str">
        <f>INDEX('Boundary table'!$B$3:$B$7,MATCH(G575,'Boundary table'!$A$3:$A$7,1))</f>
        <v>F</v>
      </c>
      <c r="J575" s="16">
        <v>66</v>
      </c>
      <c r="K575">
        <f>RANK(J575,$J$2:$J$1001,0)+COUNTIF($J$2:J575,J575)-1</f>
        <v>598</v>
      </c>
      <c r="L575" t="str">
        <f>INDEX('Boundary table'!$B$3:$B$7,MATCH(J575,'Boundary table'!$A$3:$A$7,1))</f>
        <v>D</v>
      </c>
      <c r="M575" s="16">
        <v>64</v>
      </c>
      <c r="N575">
        <f>RANK(M575,$M$2:$M$1001,0)+COUNTIF($M$2:M575,M575)-1</f>
        <v>626</v>
      </c>
      <c r="O575" t="str">
        <f>INDEX('Boundary table'!$B$3:$B$7,MATCH(M575,'Boundary table'!$A$3:$A$7))</f>
        <v>D</v>
      </c>
      <c r="P575">
        <f>Table1[[#This Row],[Math Score]]+Table1[[#This Row],[Reading Score]]+Table1[[#This Row],[Writing Score]]</f>
        <v>180</v>
      </c>
      <c r="Q575" s="16">
        <f>COUNTIF(Table1[[#This Row],[Math Score]],"&lt;60")+COUNTIF(Table1[[#This Row],[Reading Score]],"&lt;60")+COUNTIF(Table1[[#This Row],[Writing Score]],"&lt;60")</f>
        <v>1</v>
      </c>
      <c r="R575" t="str">
        <f>IF(Table1[[#This Row],[Fail Count]]&gt;=2,"At risk","OK")</f>
        <v>OK</v>
      </c>
    </row>
    <row r="576" spans="1:18">
      <c r="A576" t="str">
        <f t="shared" si="8"/>
        <v>Stu-575</v>
      </c>
      <c r="B576" t="s">
        <v>11</v>
      </c>
      <c r="C576" t="s">
        <v>34</v>
      </c>
      <c r="D576" t="s">
        <v>32</v>
      </c>
      <c r="E576" t="s">
        <v>14</v>
      </c>
      <c r="F576" t="s">
        <v>15</v>
      </c>
      <c r="G576" s="16">
        <v>74</v>
      </c>
      <c r="H576">
        <f>RANK(G576,$G$2:$G$1001,0)+COUNTIF($G$2:G576,G576)-1</f>
        <v>308</v>
      </c>
      <c r="I576" t="str">
        <f>INDEX('Boundary table'!$B$3:$B$7,MATCH(G576,'Boundary table'!$A$3:$A$7,1))</f>
        <v>C</v>
      </c>
      <c r="J576" s="16">
        <v>81</v>
      </c>
      <c r="K576">
        <f>RANK(J576,$J$2:$J$1001,0)+COUNTIF($J$2:J576,J576)-1</f>
        <v>224</v>
      </c>
      <c r="L576" t="str">
        <f>INDEX('Boundary table'!$B$3:$B$7,MATCH(J576,'Boundary table'!$A$3:$A$7,1))</f>
        <v>B</v>
      </c>
      <c r="M576" s="16">
        <v>71</v>
      </c>
      <c r="N576">
        <f>RANK(M576,$M$2:$M$1001,0)+COUNTIF($M$2:M576,M576)-1</f>
        <v>449</v>
      </c>
      <c r="O576" t="str">
        <f>INDEX('Boundary table'!$B$3:$B$7,MATCH(M576,'Boundary table'!$A$3:$A$7))</f>
        <v>C</v>
      </c>
      <c r="P576">
        <f>Table1[[#This Row],[Math Score]]+Table1[[#This Row],[Reading Score]]+Table1[[#This Row],[Writing Score]]</f>
        <v>226</v>
      </c>
      <c r="Q576" s="16">
        <f>COUNTIF(Table1[[#This Row],[Math Score]],"&lt;60")+COUNTIF(Table1[[#This Row],[Reading Score]],"&lt;60")+COUNTIF(Table1[[#This Row],[Writing Score]],"&lt;60")</f>
        <v>0</v>
      </c>
      <c r="R576" t="str">
        <f>IF(Table1[[#This Row],[Fail Count]]&gt;=2,"At risk","OK")</f>
        <v>OK</v>
      </c>
    </row>
    <row r="577" spans="1:18">
      <c r="A577" t="str">
        <f t="shared" si="8"/>
        <v>Stu-576</v>
      </c>
      <c r="B577" t="s">
        <v>27</v>
      </c>
      <c r="C577" t="s">
        <v>28</v>
      </c>
      <c r="D577" t="s">
        <v>29</v>
      </c>
      <c r="E577" t="s">
        <v>30</v>
      </c>
      <c r="F577" t="s">
        <v>21</v>
      </c>
      <c r="G577" s="16">
        <v>40</v>
      </c>
      <c r="H577">
        <f>RANK(G577,$G$2:$G$1001,0)+COUNTIF($G$2:G577,G577)-1</f>
        <v>957</v>
      </c>
      <c r="I577" t="str">
        <f>INDEX('Boundary table'!$B$3:$B$7,MATCH(G577,'Boundary table'!$A$3:$A$7,1))</f>
        <v>F</v>
      </c>
      <c r="J577" s="16">
        <v>55</v>
      </c>
      <c r="K577">
        <f>RANK(J577,$J$2:$J$1001,0)+COUNTIF($J$2:J577,J577)-1</f>
        <v>835</v>
      </c>
      <c r="L577" t="str">
        <f>INDEX('Boundary table'!$B$3:$B$7,MATCH(J577,'Boundary table'!$A$3:$A$7,1))</f>
        <v>F</v>
      </c>
      <c r="M577" s="16">
        <v>53</v>
      </c>
      <c r="N577">
        <f>RANK(M577,$M$2:$M$1001,0)+COUNTIF($M$2:M577,M577)-1</f>
        <v>831</v>
      </c>
      <c r="O577" t="str">
        <f>INDEX('Boundary table'!$B$3:$B$7,MATCH(M577,'Boundary table'!$A$3:$A$7))</f>
        <v>F</v>
      </c>
      <c r="P577">
        <f>Table1[[#This Row],[Math Score]]+Table1[[#This Row],[Reading Score]]+Table1[[#This Row],[Writing Score]]</f>
        <v>148</v>
      </c>
      <c r="Q577" s="16">
        <f>COUNTIF(Table1[[#This Row],[Math Score]],"&lt;60")+COUNTIF(Table1[[#This Row],[Reading Score]],"&lt;60")+COUNTIF(Table1[[#This Row],[Writing Score]],"&lt;60")</f>
        <v>3</v>
      </c>
      <c r="R577" t="str">
        <f>IF(Table1[[#This Row],[Fail Count]]&gt;=2,"At risk","OK")</f>
        <v>At risk</v>
      </c>
    </row>
    <row r="578" spans="1:18">
      <c r="A578" t="str">
        <f t="shared" ref="A578:A641" si="9">"Stu-"&amp;TEXT(ROW()-1,"000")</f>
        <v>Stu-577</v>
      </c>
      <c r="B578" t="s">
        <v>27</v>
      </c>
      <c r="C578" t="s">
        <v>28</v>
      </c>
      <c r="D578" t="s">
        <v>20</v>
      </c>
      <c r="E578" t="s">
        <v>14</v>
      </c>
      <c r="F578" t="s">
        <v>21</v>
      </c>
      <c r="G578" s="16">
        <v>61</v>
      </c>
      <c r="H578">
        <f>RANK(G578,$G$2:$G$1001,0)+COUNTIF($G$2:G578,G578)-1</f>
        <v>651</v>
      </c>
      <c r="I578" t="str">
        <f>INDEX('Boundary table'!$B$3:$B$7,MATCH(G578,'Boundary table'!$A$3:$A$7,1))</f>
        <v>D</v>
      </c>
      <c r="J578" s="16">
        <v>51</v>
      </c>
      <c r="K578">
        <f>RANK(J578,$J$2:$J$1001,0)+COUNTIF($J$2:J578,J578)-1</f>
        <v>895</v>
      </c>
      <c r="L578" t="str">
        <f>INDEX('Boundary table'!$B$3:$B$7,MATCH(J578,'Boundary table'!$A$3:$A$7,1))</f>
        <v>F</v>
      </c>
      <c r="M578" s="16">
        <v>52</v>
      </c>
      <c r="N578">
        <f>RANK(M578,$M$2:$M$1001,0)+COUNTIF($M$2:M578,M578)-1</f>
        <v>851</v>
      </c>
      <c r="O578" t="str">
        <f>INDEX('Boundary table'!$B$3:$B$7,MATCH(M578,'Boundary table'!$A$3:$A$7))</f>
        <v>F</v>
      </c>
      <c r="P578">
        <f>Table1[[#This Row],[Math Score]]+Table1[[#This Row],[Reading Score]]+Table1[[#This Row],[Writing Score]]</f>
        <v>164</v>
      </c>
      <c r="Q578" s="16">
        <f>COUNTIF(Table1[[#This Row],[Math Score]],"&lt;60")+COUNTIF(Table1[[#This Row],[Reading Score]],"&lt;60")+COUNTIF(Table1[[#This Row],[Writing Score]],"&lt;60")</f>
        <v>2</v>
      </c>
      <c r="R578" t="str">
        <f>IF(Table1[[#This Row],[Fail Count]]&gt;=2,"At risk","OK")</f>
        <v>At risk</v>
      </c>
    </row>
    <row r="579" spans="1:18">
      <c r="A579" t="str">
        <f t="shared" si="9"/>
        <v>Stu-578</v>
      </c>
      <c r="B579" t="s">
        <v>11</v>
      </c>
      <c r="C579" t="s">
        <v>12</v>
      </c>
      <c r="D579" t="s">
        <v>32</v>
      </c>
      <c r="E579" t="s">
        <v>14</v>
      </c>
      <c r="F579" t="s">
        <v>15</v>
      </c>
      <c r="G579" s="16">
        <v>81</v>
      </c>
      <c r="H579">
        <f>RANK(G579,$G$2:$G$1001,0)+COUNTIF($G$2:G579,G579)-1</f>
        <v>164</v>
      </c>
      <c r="I579" t="str">
        <f>INDEX('Boundary table'!$B$3:$B$7,MATCH(G579,'Boundary table'!$A$3:$A$7,1))</f>
        <v>B</v>
      </c>
      <c r="J579" s="16">
        <v>91</v>
      </c>
      <c r="K579">
        <f>RANK(J579,$J$2:$J$1001,0)+COUNTIF($J$2:J579,J579)-1</f>
        <v>60</v>
      </c>
      <c r="L579" t="str">
        <f>INDEX('Boundary table'!$B$3:$B$7,MATCH(J579,'Boundary table'!$A$3:$A$7,1))</f>
        <v>A</v>
      </c>
      <c r="M579" s="16">
        <v>89</v>
      </c>
      <c r="N579">
        <f>RANK(M579,$M$2:$M$1001,0)+COUNTIF($M$2:M579,M579)-1</f>
        <v>84</v>
      </c>
      <c r="O579" t="str">
        <f>INDEX('Boundary table'!$B$3:$B$7,MATCH(M579,'Boundary table'!$A$3:$A$7))</f>
        <v>B</v>
      </c>
      <c r="P579">
        <f>Table1[[#This Row],[Math Score]]+Table1[[#This Row],[Reading Score]]+Table1[[#This Row],[Writing Score]]</f>
        <v>261</v>
      </c>
      <c r="Q579" s="16">
        <f>COUNTIF(Table1[[#This Row],[Math Score]],"&lt;60")+COUNTIF(Table1[[#This Row],[Reading Score]],"&lt;60")+COUNTIF(Table1[[#This Row],[Writing Score]],"&lt;60")</f>
        <v>0</v>
      </c>
      <c r="R579" t="str">
        <f>IF(Table1[[#This Row],[Fail Count]]&gt;=2,"At risk","OK")</f>
        <v>OK</v>
      </c>
    </row>
    <row r="580" spans="1:18">
      <c r="A580" t="str">
        <f t="shared" si="9"/>
        <v>Stu-579</v>
      </c>
      <c r="B580" t="s">
        <v>11</v>
      </c>
      <c r="C580" t="s">
        <v>12</v>
      </c>
      <c r="D580" t="s">
        <v>20</v>
      </c>
      <c r="E580" t="s">
        <v>30</v>
      </c>
      <c r="F580" t="s">
        <v>21</v>
      </c>
      <c r="G580" s="16">
        <v>48</v>
      </c>
      <c r="H580">
        <f>RANK(G580,$G$2:$G$1001,0)+COUNTIF($G$2:G580,G580)-1</f>
        <v>887</v>
      </c>
      <c r="I580" t="str">
        <f>INDEX('Boundary table'!$B$3:$B$7,MATCH(G580,'Boundary table'!$A$3:$A$7,1))</f>
        <v>F</v>
      </c>
      <c r="J580" s="16">
        <v>56</v>
      </c>
      <c r="K580">
        <f>RANK(J580,$J$2:$J$1001,0)+COUNTIF($J$2:J580,J580)-1</f>
        <v>820</v>
      </c>
      <c r="L580" t="str">
        <f>INDEX('Boundary table'!$B$3:$B$7,MATCH(J580,'Boundary table'!$A$3:$A$7,1))</f>
        <v>F</v>
      </c>
      <c r="M580" s="16">
        <v>58</v>
      </c>
      <c r="N580">
        <f>RANK(M580,$M$2:$M$1001,0)+COUNTIF($M$2:M580,M580)-1</f>
        <v>742</v>
      </c>
      <c r="O580" t="str">
        <f>INDEX('Boundary table'!$B$3:$B$7,MATCH(M580,'Boundary table'!$A$3:$A$7))</f>
        <v>F</v>
      </c>
      <c r="P580">
        <f>Table1[[#This Row],[Math Score]]+Table1[[#This Row],[Reading Score]]+Table1[[#This Row],[Writing Score]]</f>
        <v>162</v>
      </c>
      <c r="Q580" s="16">
        <f>COUNTIF(Table1[[#This Row],[Math Score]],"&lt;60")+COUNTIF(Table1[[#This Row],[Reading Score]],"&lt;60")+COUNTIF(Table1[[#This Row],[Writing Score]],"&lt;60")</f>
        <v>3</v>
      </c>
      <c r="R580" t="str">
        <f>IF(Table1[[#This Row],[Fail Count]]&gt;=2,"At risk","OK")</f>
        <v>At risk</v>
      </c>
    </row>
    <row r="581" spans="1:18">
      <c r="A581" t="str">
        <f t="shared" si="9"/>
        <v>Stu-580</v>
      </c>
      <c r="B581" t="s">
        <v>11</v>
      </c>
      <c r="C581" t="s">
        <v>31</v>
      </c>
      <c r="D581" t="s">
        <v>26</v>
      </c>
      <c r="E581" t="s">
        <v>14</v>
      </c>
      <c r="F581" t="s">
        <v>15</v>
      </c>
      <c r="G581" s="16">
        <v>53</v>
      </c>
      <c r="H581">
        <f>RANK(G581,$G$2:$G$1001,0)+COUNTIF($G$2:G581,G581)-1</f>
        <v>813</v>
      </c>
      <c r="I581" t="str">
        <f>INDEX('Boundary table'!$B$3:$B$7,MATCH(G581,'Boundary table'!$A$3:$A$7,1))</f>
        <v>F</v>
      </c>
      <c r="J581" s="16">
        <v>61</v>
      </c>
      <c r="K581">
        <f>RANK(J581,$J$2:$J$1001,0)+COUNTIF($J$2:J581,J581)-1</f>
        <v>716</v>
      </c>
      <c r="L581" t="str">
        <f>INDEX('Boundary table'!$B$3:$B$7,MATCH(J581,'Boundary table'!$A$3:$A$7,1))</f>
        <v>D</v>
      </c>
      <c r="M581" s="16">
        <v>68</v>
      </c>
      <c r="N581">
        <f>RANK(M581,$M$2:$M$1001,0)+COUNTIF($M$2:M581,M581)-1</f>
        <v>533</v>
      </c>
      <c r="O581" t="str">
        <f>INDEX('Boundary table'!$B$3:$B$7,MATCH(M581,'Boundary table'!$A$3:$A$7))</f>
        <v>D</v>
      </c>
      <c r="P581">
        <f>Table1[[#This Row],[Math Score]]+Table1[[#This Row],[Reading Score]]+Table1[[#This Row],[Writing Score]]</f>
        <v>182</v>
      </c>
      <c r="Q581" s="16">
        <f>COUNTIF(Table1[[#This Row],[Math Score]],"&lt;60")+COUNTIF(Table1[[#This Row],[Reading Score]],"&lt;60")+COUNTIF(Table1[[#This Row],[Writing Score]],"&lt;60")</f>
        <v>1</v>
      </c>
      <c r="R581" t="str">
        <f>IF(Table1[[#This Row],[Fail Count]]&gt;=2,"At risk","OK")</f>
        <v>OK</v>
      </c>
    </row>
    <row r="582" spans="1:18">
      <c r="A582" t="str">
        <f t="shared" si="9"/>
        <v>Stu-581</v>
      </c>
      <c r="B582" t="s">
        <v>11</v>
      </c>
      <c r="C582" t="s">
        <v>31</v>
      </c>
      <c r="D582" t="s">
        <v>33</v>
      </c>
      <c r="E582" t="s">
        <v>14</v>
      </c>
      <c r="F582" t="s">
        <v>15</v>
      </c>
      <c r="G582" s="16">
        <v>81</v>
      </c>
      <c r="H582">
        <f>RANK(G582,$G$2:$G$1001,0)+COUNTIF($G$2:G582,G582)-1</f>
        <v>165</v>
      </c>
      <c r="I582" t="str">
        <f>INDEX('Boundary table'!$B$3:$B$7,MATCH(G582,'Boundary table'!$A$3:$A$7,1))</f>
        <v>B</v>
      </c>
      <c r="J582" s="16">
        <v>97</v>
      </c>
      <c r="K582">
        <f>RANK(J582,$J$2:$J$1001,0)+COUNTIF($J$2:J582,J582)-1</f>
        <v>23</v>
      </c>
      <c r="L582" t="str">
        <f>INDEX('Boundary table'!$B$3:$B$7,MATCH(J582,'Boundary table'!$A$3:$A$7,1))</f>
        <v>A</v>
      </c>
      <c r="M582" s="16">
        <v>96</v>
      </c>
      <c r="N582">
        <f>RANK(M582,$M$2:$M$1001,0)+COUNTIF($M$2:M582,M582)-1</f>
        <v>24</v>
      </c>
      <c r="O582" t="str">
        <f>INDEX('Boundary table'!$B$3:$B$7,MATCH(M582,'Boundary table'!$A$3:$A$7))</f>
        <v>A</v>
      </c>
      <c r="P582">
        <f>Table1[[#This Row],[Math Score]]+Table1[[#This Row],[Reading Score]]+Table1[[#This Row],[Writing Score]]</f>
        <v>274</v>
      </c>
      <c r="Q582" s="16">
        <f>COUNTIF(Table1[[#This Row],[Math Score]],"&lt;60")+COUNTIF(Table1[[#This Row],[Reading Score]],"&lt;60")+COUNTIF(Table1[[#This Row],[Writing Score]],"&lt;60")</f>
        <v>0</v>
      </c>
      <c r="R582" t="str">
        <f>IF(Table1[[#This Row],[Fail Count]]&gt;=2,"At risk","OK")</f>
        <v>OK</v>
      </c>
    </row>
    <row r="583" spans="1:18">
      <c r="A583" t="str">
        <f t="shared" si="9"/>
        <v>Stu-582</v>
      </c>
      <c r="B583" t="s">
        <v>11</v>
      </c>
      <c r="C583" t="s">
        <v>34</v>
      </c>
      <c r="D583" t="s">
        <v>33</v>
      </c>
      <c r="E583" t="s">
        <v>14</v>
      </c>
      <c r="F583" t="s">
        <v>15</v>
      </c>
      <c r="G583" s="16">
        <v>77</v>
      </c>
      <c r="H583">
        <f>RANK(G583,$G$2:$G$1001,0)+COUNTIF($G$2:G583,G583)-1</f>
        <v>243</v>
      </c>
      <c r="I583" t="str">
        <f>INDEX('Boundary table'!$B$3:$B$7,MATCH(G583,'Boundary table'!$A$3:$A$7,1))</f>
        <v>C</v>
      </c>
      <c r="J583" s="16">
        <v>79</v>
      </c>
      <c r="K583">
        <f>RANK(J583,$J$2:$J$1001,0)+COUNTIF($J$2:J583,J583)-1</f>
        <v>259</v>
      </c>
      <c r="L583" t="str">
        <f>INDEX('Boundary table'!$B$3:$B$7,MATCH(J583,'Boundary table'!$A$3:$A$7,1))</f>
        <v>C</v>
      </c>
      <c r="M583" s="16">
        <v>80</v>
      </c>
      <c r="N583">
        <f>RANK(M583,$M$2:$M$1001,0)+COUNTIF($M$2:M583,M583)-1</f>
        <v>223</v>
      </c>
      <c r="O583" t="str">
        <f>INDEX('Boundary table'!$B$3:$B$7,MATCH(M583,'Boundary table'!$A$3:$A$7))</f>
        <v>B</v>
      </c>
      <c r="P583">
        <f>Table1[[#This Row],[Math Score]]+Table1[[#This Row],[Reading Score]]+Table1[[#This Row],[Writing Score]]</f>
        <v>236</v>
      </c>
      <c r="Q583" s="16">
        <f>COUNTIF(Table1[[#This Row],[Math Score]],"&lt;60")+COUNTIF(Table1[[#This Row],[Reading Score]],"&lt;60")+COUNTIF(Table1[[#This Row],[Writing Score]],"&lt;60")</f>
        <v>0</v>
      </c>
      <c r="R583" t="str">
        <f>IF(Table1[[#This Row],[Fail Count]]&gt;=2,"At risk","OK")</f>
        <v>OK</v>
      </c>
    </row>
    <row r="584" spans="1:18">
      <c r="A584" t="str">
        <f t="shared" si="9"/>
        <v>Stu-583</v>
      </c>
      <c r="B584" t="s">
        <v>11</v>
      </c>
      <c r="C584" t="s">
        <v>31</v>
      </c>
      <c r="D584" t="s">
        <v>13</v>
      </c>
      <c r="E584" t="s">
        <v>30</v>
      </c>
      <c r="F584" t="s">
        <v>15</v>
      </c>
      <c r="G584" s="16">
        <v>63</v>
      </c>
      <c r="H584">
        <f>RANK(G584,$G$2:$G$1001,0)+COUNTIF($G$2:G584,G584)-1</f>
        <v>592</v>
      </c>
      <c r="I584" t="str">
        <f>INDEX('Boundary table'!$B$3:$B$7,MATCH(G584,'Boundary table'!$A$3:$A$7,1))</f>
        <v>D</v>
      </c>
      <c r="J584" s="16">
        <v>73</v>
      </c>
      <c r="K584">
        <f>RANK(J584,$J$2:$J$1001,0)+COUNTIF($J$2:J584,J584)-1</f>
        <v>422</v>
      </c>
      <c r="L584" t="str">
        <f>INDEX('Boundary table'!$B$3:$B$7,MATCH(J584,'Boundary table'!$A$3:$A$7,1))</f>
        <v>C</v>
      </c>
      <c r="M584" s="16">
        <v>78</v>
      </c>
      <c r="N584">
        <f>RANK(M584,$M$2:$M$1001,0)+COUNTIF($M$2:M584,M584)-1</f>
        <v>272</v>
      </c>
      <c r="O584" t="str">
        <f>INDEX('Boundary table'!$B$3:$B$7,MATCH(M584,'Boundary table'!$A$3:$A$7))</f>
        <v>C</v>
      </c>
      <c r="P584">
        <f>Table1[[#This Row],[Math Score]]+Table1[[#This Row],[Reading Score]]+Table1[[#This Row],[Writing Score]]</f>
        <v>214</v>
      </c>
      <c r="Q584" s="16">
        <f>COUNTIF(Table1[[#This Row],[Math Score]],"&lt;60")+COUNTIF(Table1[[#This Row],[Reading Score]],"&lt;60")+COUNTIF(Table1[[#This Row],[Writing Score]],"&lt;60")</f>
        <v>0</v>
      </c>
      <c r="R584" t="str">
        <f>IF(Table1[[#This Row],[Fail Count]]&gt;=2,"At risk","OK")</f>
        <v>OK</v>
      </c>
    </row>
    <row r="585" spans="1:18">
      <c r="A585" t="str">
        <f t="shared" si="9"/>
        <v>Stu-584</v>
      </c>
      <c r="B585" t="s">
        <v>11</v>
      </c>
      <c r="C585" t="s">
        <v>31</v>
      </c>
      <c r="D585" t="s">
        <v>29</v>
      </c>
      <c r="E585" t="s">
        <v>14</v>
      </c>
      <c r="F585" t="s">
        <v>21</v>
      </c>
      <c r="G585" s="16">
        <v>73</v>
      </c>
      <c r="H585">
        <f>RANK(G585,$G$2:$G$1001,0)+COUNTIF($G$2:G585,G585)-1</f>
        <v>337</v>
      </c>
      <c r="I585" t="str">
        <f>INDEX('Boundary table'!$B$3:$B$7,MATCH(G585,'Boundary table'!$A$3:$A$7,1))</f>
        <v>C</v>
      </c>
      <c r="J585" s="16">
        <v>75</v>
      </c>
      <c r="K585">
        <f>RANK(J585,$J$2:$J$1001,0)+COUNTIF($J$2:J585,J585)-1</f>
        <v>358</v>
      </c>
      <c r="L585" t="str">
        <f>INDEX('Boundary table'!$B$3:$B$7,MATCH(J585,'Boundary table'!$A$3:$A$7,1))</f>
        <v>C</v>
      </c>
      <c r="M585" s="16">
        <v>80</v>
      </c>
      <c r="N585">
        <f>RANK(M585,$M$2:$M$1001,0)+COUNTIF($M$2:M585,M585)-1</f>
        <v>224</v>
      </c>
      <c r="O585" t="str">
        <f>INDEX('Boundary table'!$B$3:$B$7,MATCH(M585,'Boundary table'!$A$3:$A$7))</f>
        <v>B</v>
      </c>
      <c r="P585">
        <f>Table1[[#This Row],[Math Score]]+Table1[[#This Row],[Reading Score]]+Table1[[#This Row],[Writing Score]]</f>
        <v>228</v>
      </c>
      <c r="Q585" s="16">
        <f>COUNTIF(Table1[[#This Row],[Math Score]],"&lt;60")+COUNTIF(Table1[[#This Row],[Reading Score]],"&lt;60")+COUNTIF(Table1[[#This Row],[Writing Score]],"&lt;60")</f>
        <v>0</v>
      </c>
      <c r="R585" t="str">
        <f>IF(Table1[[#This Row],[Fail Count]]&gt;=2,"At risk","OK")</f>
        <v>OK</v>
      </c>
    </row>
    <row r="586" spans="1:18">
      <c r="A586" t="str">
        <f t="shared" si="9"/>
        <v>Stu-585</v>
      </c>
      <c r="B586" t="s">
        <v>11</v>
      </c>
      <c r="C586" t="s">
        <v>31</v>
      </c>
      <c r="D586" t="s">
        <v>20</v>
      </c>
      <c r="E586" t="s">
        <v>14</v>
      </c>
      <c r="F586" t="s">
        <v>15</v>
      </c>
      <c r="G586" s="16">
        <v>69</v>
      </c>
      <c r="H586">
        <f>RANK(G586,$G$2:$G$1001,0)+COUNTIF($G$2:G586,G586)-1</f>
        <v>426</v>
      </c>
      <c r="I586" t="str">
        <f>INDEX('Boundary table'!$B$3:$B$7,MATCH(G586,'Boundary table'!$A$3:$A$7,1))</f>
        <v>D</v>
      </c>
      <c r="J586" s="16">
        <v>77</v>
      </c>
      <c r="K586">
        <f>RANK(J586,$J$2:$J$1001,0)+COUNTIF($J$2:J586,J586)-1</f>
        <v>306</v>
      </c>
      <c r="L586" t="str">
        <f>INDEX('Boundary table'!$B$3:$B$7,MATCH(J586,'Boundary table'!$A$3:$A$7,1))</f>
        <v>C</v>
      </c>
      <c r="M586" s="16">
        <v>77</v>
      </c>
      <c r="N586">
        <f>RANK(M586,$M$2:$M$1001,0)+COUNTIF($M$2:M586,M586)-1</f>
        <v>294</v>
      </c>
      <c r="O586" t="str">
        <f>INDEX('Boundary table'!$B$3:$B$7,MATCH(M586,'Boundary table'!$A$3:$A$7))</f>
        <v>C</v>
      </c>
      <c r="P586">
        <f>Table1[[#This Row],[Math Score]]+Table1[[#This Row],[Reading Score]]+Table1[[#This Row],[Writing Score]]</f>
        <v>223</v>
      </c>
      <c r="Q586" s="16">
        <f>COUNTIF(Table1[[#This Row],[Math Score]],"&lt;60")+COUNTIF(Table1[[#This Row],[Reading Score]],"&lt;60")+COUNTIF(Table1[[#This Row],[Writing Score]],"&lt;60")</f>
        <v>0</v>
      </c>
      <c r="R586" t="str">
        <f>IF(Table1[[#This Row],[Fail Count]]&gt;=2,"At risk","OK")</f>
        <v>OK</v>
      </c>
    </row>
    <row r="587" spans="1:18">
      <c r="A587" t="str">
        <f t="shared" si="9"/>
        <v>Stu-586</v>
      </c>
      <c r="B587" t="s">
        <v>11</v>
      </c>
      <c r="C587" t="s">
        <v>19</v>
      </c>
      <c r="D587" t="s">
        <v>29</v>
      </c>
      <c r="E587" t="s">
        <v>14</v>
      </c>
      <c r="F587" t="s">
        <v>15</v>
      </c>
      <c r="G587" s="16">
        <v>65</v>
      </c>
      <c r="H587">
        <f>RANK(G587,$G$2:$G$1001,0)+COUNTIF($G$2:G587,G587)-1</f>
        <v>539</v>
      </c>
      <c r="I587" t="str">
        <f>INDEX('Boundary table'!$B$3:$B$7,MATCH(G587,'Boundary table'!$A$3:$A$7,1))</f>
        <v>D</v>
      </c>
      <c r="J587" s="16">
        <v>76</v>
      </c>
      <c r="K587">
        <f>RANK(J587,$J$2:$J$1001,0)+COUNTIF($J$2:J587,J587)-1</f>
        <v>333</v>
      </c>
      <c r="L587" t="str">
        <f>INDEX('Boundary table'!$B$3:$B$7,MATCH(J587,'Boundary table'!$A$3:$A$7,1))</f>
        <v>C</v>
      </c>
      <c r="M587" s="16">
        <v>76</v>
      </c>
      <c r="N587">
        <f>RANK(M587,$M$2:$M$1001,0)+COUNTIF($M$2:M587,M587)-1</f>
        <v>317</v>
      </c>
      <c r="O587" t="str">
        <f>INDEX('Boundary table'!$B$3:$B$7,MATCH(M587,'Boundary table'!$A$3:$A$7))</f>
        <v>C</v>
      </c>
      <c r="P587">
        <f>Table1[[#This Row],[Math Score]]+Table1[[#This Row],[Reading Score]]+Table1[[#This Row],[Writing Score]]</f>
        <v>217</v>
      </c>
      <c r="Q587" s="16">
        <f>COUNTIF(Table1[[#This Row],[Math Score]],"&lt;60")+COUNTIF(Table1[[#This Row],[Reading Score]],"&lt;60")+COUNTIF(Table1[[#This Row],[Writing Score]],"&lt;60")</f>
        <v>0</v>
      </c>
      <c r="R587" t="str">
        <f>IF(Table1[[#This Row],[Fail Count]]&gt;=2,"At risk","OK")</f>
        <v>OK</v>
      </c>
    </row>
    <row r="588" spans="1:18">
      <c r="A588" t="str">
        <f t="shared" si="9"/>
        <v>Stu-587</v>
      </c>
      <c r="B588" t="s">
        <v>11</v>
      </c>
      <c r="C588" t="s">
        <v>28</v>
      </c>
      <c r="D588" t="s">
        <v>32</v>
      </c>
      <c r="E588" t="s">
        <v>14</v>
      </c>
      <c r="F588" t="s">
        <v>15</v>
      </c>
      <c r="G588" s="16">
        <v>55</v>
      </c>
      <c r="H588">
        <f>RANK(G588,$G$2:$G$1001,0)+COUNTIF($G$2:G588,G588)-1</f>
        <v>770</v>
      </c>
      <c r="I588" t="str">
        <f>INDEX('Boundary table'!$B$3:$B$7,MATCH(G588,'Boundary table'!$A$3:$A$7,1))</f>
        <v>F</v>
      </c>
      <c r="J588" s="16">
        <v>73</v>
      </c>
      <c r="K588">
        <f>RANK(J588,$J$2:$J$1001,0)+COUNTIF($J$2:J588,J588)-1</f>
        <v>423</v>
      </c>
      <c r="L588" t="str">
        <f>INDEX('Boundary table'!$B$3:$B$7,MATCH(J588,'Boundary table'!$A$3:$A$7,1))</f>
        <v>C</v>
      </c>
      <c r="M588" s="16">
        <v>73</v>
      </c>
      <c r="N588">
        <f>RANK(M588,$M$2:$M$1001,0)+COUNTIF($M$2:M588,M588)-1</f>
        <v>399</v>
      </c>
      <c r="O588" t="str">
        <f>INDEX('Boundary table'!$B$3:$B$7,MATCH(M588,'Boundary table'!$A$3:$A$7))</f>
        <v>C</v>
      </c>
      <c r="P588">
        <f>Table1[[#This Row],[Math Score]]+Table1[[#This Row],[Reading Score]]+Table1[[#This Row],[Writing Score]]</f>
        <v>201</v>
      </c>
      <c r="Q588" s="16">
        <f>COUNTIF(Table1[[#This Row],[Math Score]],"&lt;60")+COUNTIF(Table1[[#This Row],[Reading Score]],"&lt;60")+COUNTIF(Table1[[#This Row],[Writing Score]],"&lt;60")</f>
        <v>1</v>
      </c>
      <c r="R588" t="str">
        <f>IF(Table1[[#This Row],[Fail Count]]&gt;=2,"At risk","OK")</f>
        <v>OK</v>
      </c>
    </row>
    <row r="589" spans="1:18">
      <c r="A589" t="str">
        <f t="shared" si="9"/>
        <v>Stu-588</v>
      </c>
      <c r="B589" t="s">
        <v>11</v>
      </c>
      <c r="C589" t="s">
        <v>19</v>
      </c>
      <c r="D589" t="s">
        <v>13</v>
      </c>
      <c r="E589" t="s">
        <v>30</v>
      </c>
      <c r="F589" t="s">
        <v>15</v>
      </c>
      <c r="G589" s="16">
        <v>44</v>
      </c>
      <c r="H589">
        <f>RANK(G589,$G$2:$G$1001,0)+COUNTIF($G$2:G589,G589)-1</f>
        <v>929</v>
      </c>
      <c r="I589" t="str">
        <f>INDEX('Boundary table'!$B$3:$B$7,MATCH(G589,'Boundary table'!$A$3:$A$7,1))</f>
        <v>F</v>
      </c>
      <c r="J589" s="16">
        <v>63</v>
      </c>
      <c r="K589">
        <f>RANK(J589,$J$2:$J$1001,0)+COUNTIF($J$2:J589,J589)-1</f>
        <v>668</v>
      </c>
      <c r="L589" t="str">
        <f>INDEX('Boundary table'!$B$3:$B$7,MATCH(J589,'Boundary table'!$A$3:$A$7,1))</f>
        <v>D</v>
      </c>
      <c r="M589" s="16">
        <v>62</v>
      </c>
      <c r="N589">
        <f>RANK(M589,$M$2:$M$1001,0)+COUNTIF($M$2:M589,M589)-1</f>
        <v>671</v>
      </c>
      <c r="O589" t="str">
        <f>INDEX('Boundary table'!$B$3:$B$7,MATCH(M589,'Boundary table'!$A$3:$A$7))</f>
        <v>D</v>
      </c>
      <c r="P589">
        <f>Table1[[#This Row],[Math Score]]+Table1[[#This Row],[Reading Score]]+Table1[[#This Row],[Writing Score]]</f>
        <v>169</v>
      </c>
      <c r="Q589" s="16">
        <f>COUNTIF(Table1[[#This Row],[Math Score]],"&lt;60")+COUNTIF(Table1[[#This Row],[Reading Score]],"&lt;60")+COUNTIF(Table1[[#This Row],[Writing Score]],"&lt;60")</f>
        <v>1</v>
      </c>
      <c r="R589" t="str">
        <f>IF(Table1[[#This Row],[Fail Count]]&gt;=2,"At risk","OK")</f>
        <v>OK</v>
      </c>
    </row>
    <row r="590" spans="1:18">
      <c r="A590" t="str">
        <f t="shared" si="9"/>
        <v>Stu-589</v>
      </c>
      <c r="B590" t="s">
        <v>11</v>
      </c>
      <c r="C590" t="s">
        <v>19</v>
      </c>
      <c r="D590" t="s">
        <v>20</v>
      </c>
      <c r="E590" t="s">
        <v>14</v>
      </c>
      <c r="F590" t="s">
        <v>15</v>
      </c>
      <c r="G590" s="16">
        <v>54</v>
      </c>
      <c r="H590">
        <f>RANK(G590,$G$2:$G$1001,0)+COUNTIF($G$2:G590,G590)-1</f>
        <v>791</v>
      </c>
      <c r="I590" t="str">
        <f>INDEX('Boundary table'!$B$3:$B$7,MATCH(G590,'Boundary table'!$A$3:$A$7,1))</f>
        <v>F</v>
      </c>
      <c r="J590" s="16">
        <v>64</v>
      </c>
      <c r="K590">
        <f>RANK(J590,$J$2:$J$1001,0)+COUNTIF($J$2:J590,J590)-1</f>
        <v>646</v>
      </c>
      <c r="L590" t="str">
        <f>INDEX('Boundary table'!$B$3:$B$7,MATCH(J590,'Boundary table'!$A$3:$A$7,1))</f>
        <v>D</v>
      </c>
      <c r="M590" s="16">
        <v>65</v>
      </c>
      <c r="N590">
        <f>RANK(M590,$M$2:$M$1001,0)+COUNTIF($M$2:M590,M590)-1</f>
        <v>604</v>
      </c>
      <c r="O590" t="str">
        <f>INDEX('Boundary table'!$B$3:$B$7,MATCH(M590,'Boundary table'!$A$3:$A$7))</f>
        <v>D</v>
      </c>
      <c r="P590">
        <f>Table1[[#This Row],[Math Score]]+Table1[[#This Row],[Reading Score]]+Table1[[#This Row],[Writing Score]]</f>
        <v>183</v>
      </c>
      <c r="Q590" s="16">
        <f>COUNTIF(Table1[[#This Row],[Math Score]],"&lt;60")+COUNTIF(Table1[[#This Row],[Reading Score]],"&lt;60")+COUNTIF(Table1[[#This Row],[Writing Score]],"&lt;60")</f>
        <v>1</v>
      </c>
      <c r="R590" t="str">
        <f>IF(Table1[[#This Row],[Fail Count]]&gt;=2,"At risk","OK")</f>
        <v>OK</v>
      </c>
    </row>
    <row r="591" spans="1:18">
      <c r="A591" t="str">
        <f t="shared" si="9"/>
        <v>Stu-590</v>
      </c>
      <c r="B591" t="s">
        <v>11</v>
      </c>
      <c r="C591" t="s">
        <v>28</v>
      </c>
      <c r="D591" t="s">
        <v>33</v>
      </c>
      <c r="E591" t="s">
        <v>14</v>
      </c>
      <c r="F591" t="s">
        <v>15</v>
      </c>
      <c r="G591" s="16">
        <v>48</v>
      </c>
      <c r="H591">
        <f>RANK(G591,$G$2:$G$1001,0)+COUNTIF($G$2:G591,G591)-1</f>
        <v>888</v>
      </c>
      <c r="I591" t="str">
        <f>INDEX('Boundary table'!$B$3:$B$7,MATCH(G591,'Boundary table'!$A$3:$A$7,1))</f>
        <v>F</v>
      </c>
      <c r="J591" s="16">
        <v>66</v>
      </c>
      <c r="K591">
        <f>RANK(J591,$J$2:$J$1001,0)+COUNTIF($J$2:J591,J591)-1</f>
        <v>599</v>
      </c>
      <c r="L591" t="str">
        <f>INDEX('Boundary table'!$B$3:$B$7,MATCH(J591,'Boundary table'!$A$3:$A$7,1))</f>
        <v>D</v>
      </c>
      <c r="M591" s="16">
        <v>65</v>
      </c>
      <c r="N591">
        <f>RANK(M591,$M$2:$M$1001,0)+COUNTIF($M$2:M591,M591)-1</f>
        <v>605</v>
      </c>
      <c r="O591" t="str">
        <f>INDEX('Boundary table'!$B$3:$B$7,MATCH(M591,'Boundary table'!$A$3:$A$7))</f>
        <v>D</v>
      </c>
      <c r="P591">
        <f>Table1[[#This Row],[Math Score]]+Table1[[#This Row],[Reading Score]]+Table1[[#This Row],[Writing Score]]</f>
        <v>179</v>
      </c>
      <c r="Q591" s="16">
        <f>COUNTIF(Table1[[#This Row],[Math Score]],"&lt;60")+COUNTIF(Table1[[#This Row],[Reading Score]],"&lt;60")+COUNTIF(Table1[[#This Row],[Writing Score]],"&lt;60")</f>
        <v>1</v>
      </c>
      <c r="R591" t="str">
        <f>IF(Table1[[#This Row],[Fail Count]]&gt;=2,"At risk","OK")</f>
        <v>OK</v>
      </c>
    </row>
    <row r="592" spans="1:18">
      <c r="A592" t="str">
        <f t="shared" si="9"/>
        <v>Stu-591</v>
      </c>
      <c r="B592" t="s">
        <v>27</v>
      </c>
      <c r="C592" t="s">
        <v>19</v>
      </c>
      <c r="D592" t="s">
        <v>20</v>
      </c>
      <c r="E592" t="s">
        <v>30</v>
      </c>
      <c r="F592" t="s">
        <v>15</v>
      </c>
      <c r="G592" s="16">
        <v>58</v>
      </c>
      <c r="H592">
        <f>RANK(G592,$G$2:$G$1001,0)+COUNTIF($G$2:G592,G592)-1</f>
        <v>724</v>
      </c>
      <c r="I592" t="str">
        <f>INDEX('Boundary table'!$B$3:$B$7,MATCH(G592,'Boundary table'!$A$3:$A$7,1))</f>
        <v>F</v>
      </c>
      <c r="J592" s="16">
        <v>57</v>
      </c>
      <c r="K592">
        <f>RANK(J592,$J$2:$J$1001,0)+COUNTIF($J$2:J592,J592)-1</f>
        <v>798</v>
      </c>
      <c r="L592" t="str">
        <f>INDEX('Boundary table'!$B$3:$B$7,MATCH(J592,'Boundary table'!$A$3:$A$7,1))</f>
        <v>F</v>
      </c>
      <c r="M592" s="16">
        <v>54</v>
      </c>
      <c r="N592">
        <f>RANK(M592,$M$2:$M$1001,0)+COUNTIF($M$2:M592,M592)-1</f>
        <v>813</v>
      </c>
      <c r="O592" t="str">
        <f>INDEX('Boundary table'!$B$3:$B$7,MATCH(M592,'Boundary table'!$A$3:$A$7))</f>
        <v>F</v>
      </c>
      <c r="P592">
        <f>Table1[[#This Row],[Math Score]]+Table1[[#This Row],[Reading Score]]+Table1[[#This Row],[Writing Score]]</f>
        <v>169</v>
      </c>
      <c r="Q592" s="16">
        <f>COUNTIF(Table1[[#This Row],[Math Score]],"&lt;60")+COUNTIF(Table1[[#This Row],[Reading Score]],"&lt;60")+COUNTIF(Table1[[#This Row],[Writing Score]],"&lt;60")</f>
        <v>3</v>
      </c>
      <c r="R592" t="str">
        <f>IF(Table1[[#This Row],[Fail Count]]&gt;=2,"At risk","OK")</f>
        <v>At risk</v>
      </c>
    </row>
    <row r="593" spans="1:18">
      <c r="A593" t="str">
        <f t="shared" si="9"/>
        <v>Stu-592</v>
      </c>
      <c r="B593" t="s">
        <v>27</v>
      </c>
      <c r="C593" t="s">
        <v>28</v>
      </c>
      <c r="D593" t="s">
        <v>33</v>
      </c>
      <c r="E593" t="s">
        <v>14</v>
      </c>
      <c r="F593" t="s">
        <v>15</v>
      </c>
      <c r="G593" s="16">
        <v>71</v>
      </c>
      <c r="H593">
        <f>RANK(G593,$G$2:$G$1001,0)+COUNTIF($G$2:G593,G593)-1</f>
        <v>385</v>
      </c>
      <c r="I593" t="str">
        <f>INDEX('Boundary table'!$B$3:$B$7,MATCH(G593,'Boundary table'!$A$3:$A$7,1))</f>
        <v>C</v>
      </c>
      <c r="J593" s="16">
        <v>62</v>
      </c>
      <c r="K593">
        <f>RANK(J593,$J$2:$J$1001,0)+COUNTIF($J$2:J593,J593)-1</f>
        <v>691</v>
      </c>
      <c r="L593" t="str">
        <f>INDEX('Boundary table'!$B$3:$B$7,MATCH(J593,'Boundary table'!$A$3:$A$7,1))</f>
        <v>D</v>
      </c>
      <c r="M593" s="16">
        <v>50</v>
      </c>
      <c r="N593">
        <f>RANK(M593,$M$2:$M$1001,0)+COUNTIF($M$2:M593,M593)-1</f>
        <v>884</v>
      </c>
      <c r="O593" t="str">
        <f>INDEX('Boundary table'!$B$3:$B$7,MATCH(M593,'Boundary table'!$A$3:$A$7))</f>
        <v>F</v>
      </c>
      <c r="P593">
        <f>Table1[[#This Row],[Math Score]]+Table1[[#This Row],[Reading Score]]+Table1[[#This Row],[Writing Score]]</f>
        <v>183</v>
      </c>
      <c r="Q593" s="16">
        <f>COUNTIF(Table1[[#This Row],[Math Score]],"&lt;60")+COUNTIF(Table1[[#This Row],[Reading Score]],"&lt;60")+COUNTIF(Table1[[#This Row],[Writing Score]],"&lt;60")</f>
        <v>1</v>
      </c>
      <c r="R593" t="str">
        <f>IF(Table1[[#This Row],[Fail Count]]&gt;=2,"At risk","OK")</f>
        <v>OK</v>
      </c>
    </row>
    <row r="594" spans="1:18">
      <c r="A594" t="str">
        <f t="shared" si="9"/>
        <v>Stu-593</v>
      </c>
      <c r="B594" t="s">
        <v>27</v>
      </c>
      <c r="C594" t="s">
        <v>34</v>
      </c>
      <c r="D594" t="s">
        <v>13</v>
      </c>
      <c r="E594" t="s">
        <v>14</v>
      </c>
      <c r="F594" t="s">
        <v>15</v>
      </c>
      <c r="G594" s="16">
        <v>68</v>
      </c>
      <c r="H594">
        <f>RANK(G594,$G$2:$G$1001,0)+COUNTIF($G$2:G594,G594)-1</f>
        <v>457</v>
      </c>
      <c r="I594" t="str">
        <f>INDEX('Boundary table'!$B$3:$B$7,MATCH(G594,'Boundary table'!$A$3:$A$7,1))</f>
        <v>D</v>
      </c>
      <c r="J594" s="16">
        <v>68</v>
      </c>
      <c r="K594">
        <f>RANK(J594,$J$2:$J$1001,0)+COUNTIF($J$2:J594,J594)-1</f>
        <v>541</v>
      </c>
      <c r="L594" t="str">
        <f>INDEX('Boundary table'!$B$3:$B$7,MATCH(J594,'Boundary table'!$A$3:$A$7,1))</f>
        <v>D</v>
      </c>
      <c r="M594" s="16">
        <v>64</v>
      </c>
      <c r="N594">
        <f>RANK(M594,$M$2:$M$1001,0)+COUNTIF($M$2:M594,M594)-1</f>
        <v>627</v>
      </c>
      <c r="O594" t="str">
        <f>INDEX('Boundary table'!$B$3:$B$7,MATCH(M594,'Boundary table'!$A$3:$A$7))</f>
        <v>D</v>
      </c>
      <c r="P594">
        <f>Table1[[#This Row],[Math Score]]+Table1[[#This Row],[Reading Score]]+Table1[[#This Row],[Writing Score]]</f>
        <v>200</v>
      </c>
      <c r="Q594" s="16">
        <f>COUNTIF(Table1[[#This Row],[Math Score]],"&lt;60")+COUNTIF(Table1[[#This Row],[Reading Score]],"&lt;60")+COUNTIF(Table1[[#This Row],[Writing Score]],"&lt;60")</f>
        <v>0</v>
      </c>
      <c r="R594" t="str">
        <f>IF(Table1[[#This Row],[Fail Count]]&gt;=2,"At risk","OK")</f>
        <v>OK</v>
      </c>
    </row>
    <row r="595" spans="1:18">
      <c r="A595" t="str">
        <f t="shared" si="9"/>
        <v>Stu-594</v>
      </c>
      <c r="B595" t="s">
        <v>11</v>
      </c>
      <c r="C595" t="s">
        <v>34</v>
      </c>
      <c r="D595" t="s">
        <v>32</v>
      </c>
      <c r="E595" t="s">
        <v>14</v>
      </c>
      <c r="F595" t="s">
        <v>15</v>
      </c>
      <c r="G595" s="16">
        <v>74</v>
      </c>
      <c r="H595">
        <f>RANK(G595,$G$2:$G$1001,0)+COUNTIF($G$2:G595,G595)-1</f>
        <v>309</v>
      </c>
      <c r="I595" t="str">
        <f>INDEX('Boundary table'!$B$3:$B$7,MATCH(G595,'Boundary table'!$A$3:$A$7,1))</f>
        <v>C</v>
      </c>
      <c r="J595" s="16">
        <v>76</v>
      </c>
      <c r="K595">
        <f>RANK(J595,$J$2:$J$1001,0)+COUNTIF($J$2:J595,J595)-1</f>
        <v>334</v>
      </c>
      <c r="L595" t="str">
        <f>INDEX('Boundary table'!$B$3:$B$7,MATCH(J595,'Boundary table'!$A$3:$A$7,1))</f>
        <v>C</v>
      </c>
      <c r="M595" s="16">
        <v>73</v>
      </c>
      <c r="N595">
        <f>RANK(M595,$M$2:$M$1001,0)+COUNTIF($M$2:M595,M595)-1</f>
        <v>400</v>
      </c>
      <c r="O595" t="str">
        <f>INDEX('Boundary table'!$B$3:$B$7,MATCH(M595,'Boundary table'!$A$3:$A$7))</f>
        <v>C</v>
      </c>
      <c r="P595">
        <f>Table1[[#This Row],[Math Score]]+Table1[[#This Row],[Reading Score]]+Table1[[#This Row],[Writing Score]]</f>
        <v>223</v>
      </c>
      <c r="Q595" s="16">
        <f>COUNTIF(Table1[[#This Row],[Math Score]],"&lt;60")+COUNTIF(Table1[[#This Row],[Reading Score]],"&lt;60")+COUNTIF(Table1[[#This Row],[Writing Score]],"&lt;60")</f>
        <v>0</v>
      </c>
      <c r="R595" t="str">
        <f>IF(Table1[[#This Row],[Fail Count]]&gt;=2,"At risk","OK")</f>
        <v>OK</v>
      </c>
    </row>
    <row r="596" spans="1:18">
      <c r="A596" t="str">
        <f t="shared" si="9"/>
        <v>Stu-595</v>
      </c>
      <c r="B596" t="s">
        <v>11</v>
      </c>
      <c r="C596" t="s">
        <v>19</v>
      </c>
      <c r="D596" t="s">
        <v>13</v>
      </c>
      <c r="E596" t="s">
        <v>14</v>
      </c>
      <c r="F596" t="s">
        <v>21</v>
      </c>
      <c r="G596" s="16">
        <v>92</v>
      </c>
      <c r="H596">
        <f>RANK(G596,$G$2:$G$1001,0)+COUNTIF($G$2:G596,G596)-1</f>
        <v>39</v>
      </c>
      <c r="I596" t="str">
        <f>INDEX('Boundary table'!$B$3:$B$7,MATCH(G596,'Boundary table'!$A$3:$A$7,1))</f>
        <v>A</v>
      </c>
      <c r="J596" s="16">
        <v>100</v>
      </c>
      <c r="K596">
        <f>RANK(J596,$J$2:$J$1001,0)+COUNTIF($J$2:J596,J596)-1</f>
        <v>10</v>
      </c>
      <c r="L596" t="str">
        <f>INDEX('Boundary table'!$B$3:$B$7,MATCH(J596,'Boundary table'!$A$3:$A$7,1))</f>
        <v>A</v>
      </c>
      <c r="M596" s="16">
        <v>99</v>
      </c>
      <c r="N596">
        <f>RANK(M596,$M$2:$M$1001,0)+COUNTIF($M$2:M596,M596)-1</f>
        <v>15</v>
      </c>
      <c r="O596" t="str">
        <f>INDEX('Boundary table'!$B$3:$B$7,MATCH(M596,'Boundary table'!$A$3:$A$7))</f>
        <v>A</v>
      </c>
      <c r="P596">
        <f>Table1[[#This Row],[Math Score]]+Table1[[#This Row],[Reading Score]]+Table1[[#This Row],[Writing Score]]</f>
        <v>291</v>
      </c>
      <c r="Q596" s="16">
        <f>COUNTIF(Table1[[#This Row],[Math Score]],"&lt;60")+COUNTIF(Table1[[#This Row],[Reading Score]],"&lt;60")+COUNTIF(Table1[[#This Row],[Writing Score]],"&lt;60")</f>
        <v>0</v>
      </c>
      <c r="R596" t="str">
        <f>IF(Table1[[#This Row],[Fail Count]]&gt;=2,"At risk","OK")</f>
        <v>OK</v>
      </c>
    </row>
    <row r="597" spans="1:18">
      <c r="A597" t="str">
        <f t="shared" si="9"/>
        <v>Stu-596</v>
      </c>
      <c r="B597" t="s">
        <v>11</v>
      </c>
      <c r="C597" t="s">
        <v>19</v>
      </c>
      <c r="D597" t="s">
        <v>13</v>
      </c>
      <c r="E597" t="s">
        <v>14</v>
      </c>
      <c r="F597" t="s">
        <v>21</v>
      </c>
      <c r="G597" s="16">
        <v>56</v>
      </c>
      <c r="H597">
        <f>RANK(G597,$G$2:$G$1001,0)+COUNTIF($G$2:G597,G597)-1</f>
        <v>759</v>
      </c>
      <c r="I597" t="str">
        <f>INDEX('Boundary table'!$B$3:$B$7,MATCH(G597,'Boundary table'!$A$3:$A$7,1))</f>
        <v>F</v>
      </c>
      <c r="J597" s="16">
        <v>79</v>
      </c>
      <c r="K597">
        <f>RANK(J597,$J$2:$J$1001,0)+COUNTIF($J$2:J597,J597)-1</f>
        <v>260</v>
      </c>
      <c r="L597" t="str">
        <f>INDEX('Boundary table'!$B$3:$B$7,MATCH(J597,'Boundary table'!$A$3:$A$7,1))</f>
        <v>C</v>
      </c>
      <c r="M597" s="16">
        <v>72</v>
      </c>
      <c r="N597">
        <f>RANK(M597,$M$2:$M$1001,0)+COUNTIF($M$2:M597,M597)-1</f>
        <v>424</v>
      </c>
      <c r="O597" t="str">
        <f>INDEX('Boundary table'!$B$3:$B$7,MATCH(M597,'Boundary table'!$A$3:$A$7))</f>
        <v>C</v>
      </c>
      <c r="P597">
        <f>Table1[[#This Row],[Math Score]]+Table1[[#This Row],[Reading Score]]+Table1[[#This Row],[Writing Score]]</f>
        <v>207</v>
      </c>
      <c r="Q597" s="16">
        <f>COUNTIF(Table1[[#This Row],[Math Score]],"&lt;60")+COUNTIF(Table1[[#This Row],[Reading Score]],"&lt;60")+COUNTIF(Table1[[#This Row],[Writing Score]],"&lt;60")</f>
        <v>1</v>
      </c>
      <c r="R597" t="str">
        <f>IF(Table1[[#This Row],[Fail Count]]&gt;=2,"At risk","OK")</f>
        <v>OK</v>
      </c>
    </row>
    <row r="598" spans="1:18">
      <c r="A598" t="str">
        <f t="shared" si="9"/>
        <v>Stu-597</v>
      </c>
      <c r="B598" t="s">
        <v>27</v>
      </c>
      <c r="C598" t="s">
        <v>12</v>
      </c>
      <c r="D598" t="s">
        <v>32</v>
      </c>
      <c r="E598" t="s">
        <v>30</v>
      </c>
      <c r="F598" t="s">
        <v>15</v>
      </c>
      <c r="G598" s="16">
        <v>30</v>
      </c>
      <c r="H598">
        <f>RANK(G598,$G$2:$G$1001,0)+COUNTIF($G$2:G598,G598)-1</f>
        <v>986</v>
      </c>
      <c r="I598" t="str">
        <f>INDEX('Boundary table'!$B$3:$B$7,MATCH(G598,'Boundary table'!$A$3:$A$7,1))</f>
        <v>F</v>
      </c>
      <c r="J598" s="16">
        <v>24</v>
      </c>
      <c r="K598">
        <f>RANK(J598,$J$2:$J$1001,0)+COUNTIF($J$2:J598,J598)-1</f>
        <v>997</v>
      </c>
      <c r="L598" t="str">
        <f>INDEX('Boundary table'!$B$3:$B$7,MATCH(J598,'Boundary table'!$A$3:$A$7,1))</f>
        <v>F</v>
      </c>
      <c r="M598" s="16">
        <v>15</v>
      </c>
      <c r="N598">
        <f>RANK(M598,$M$2:$M$1001,0)+COUNTIF($M$2:M598,M598)-1</f>
        <v>999</v>
      </c>
      <c r="O598" t="str">
        <f>INDEX('Boundary table'!$B$3:$B$7,MATCH(M598,'Boundary table'!$A$3:$A$7))</f>
        <v>F</v>
      </c>
      <c r="P598">
        <f>Table1[[#This Row],[Math Score]]+Table1[[#This Row],[Reading Score]]+Table1[[#This Row],[Writing Score]]</f>
        <v>69</v>
      </c>
      <c r="Q598" s="16">
        <f>COUNTIF(Table1[[#This Row],[Math Score]],"&lt;60")+COUNTIF(Table1[[#This Row],[Reading Score]],"&lt;60")+COUNTIF(Table1[[#This Row],[Writing Score]],"&lt;60")</f>
        <v>3</v>
      </c>
      <c r="R598" t="str">
        <f>IF(Table1[[#This Row],[Fail Count]]&gt;=2,"At risk","OK")</f>
        <v>At risk</v>
      </c>
    </row>
    <row r="599" spans="1:18">
      <c r="A599" t="str">
        <f t="shared" si="9"/>
        <v>Stu-598</v>
      </c>
      <c r="B599" t="s">
        <v>27</v>
      </c>
      <c r="C599" t="s">
        <v>28</v>
      </c>
      <c r="D599" t="s">
        <v>33</v>
      </c>
      <c r="E599" t="s">
        <v>14</v>
      </c>
      <c r="F599" t="s">
        <v>15</v>
      </c>
      <c r="G599" s="16">
        <v>53</v>
      </c>
      <c r="H599">
        <f>RANK(G599,$G$2:$G$1001,0)+COUNTIF($G$2:G599,G599)-1</f>
        <v>814</v>
      </c>
      <c r="I599" t="str">
        <f>INDEX('Boundary table'!$B$3:$B$7,MATCH(G599,'Boundary table'!$A$3:$A$7,1))</f>
        <v>F</v>
      </c>
      <c r="J599" s="16">
        <v>54</v>
      </c>
      <c r="K599">
        <f>RANK(J599,$J$2:$J$1001,0)+COUNTIF($J$2:J599,J599)-1</f>
        <v>853</v>
      </c>
      <c r="L599" t="str">
        <f>INDEX('Boundary table'!$B$3:$B$7,MATCH(J599,'Boundary table'!$A$3:$A$7,1))</f>
        <v>F</v>
      </c>
      <c r="M599" s="16">
        <v>48</v>
      </c>
      <c r="N599">
        <f>RANK(M599,$M$2:$M$1001,0)+COUNTIF($M$2:M599,M599)-1</f>
        <v>900</v>
      </c>
      <c r="O599" t="str">
        <f>INDEX('Boundary table'!$B$3:$B$7,MATCH(M599,'Boundary table'!$A$3:$A$7))</f>
        <v>F</v>
      </c>
      <c r="P599">
        <f>Table1[[#This Row],[Math Score]]+Table1[[#This Row],[Reading Score]]+Table1[[#This Row],[Writing Score]]</f>
        <v>155</v>
      </c>
      <c r="Q599" s="16">
        <f>COUNTIF(Table1[[#This Row],[Math Score]],"&lt;60")+COUNTIF(Table1[[#This Row],[Reading Score]],"&lt;60")+COUNTIF(Table1[[#This Row],[Writing Score]],"&lt;60")</f>
        <v>3</v>
      </c>
      <c r="R599" t="str">
        <f>IF(Table1[[#This Row],[Fail Count]]&gt;=2,"At risk","OK")</f>
        <v>At risk</v>
      </c>
    </row>
    <row r="600" spans="1:18">
      <c r="A600" t="str">
        <f t="shared" si="9"/>
        <v>Stu-599</v>
      </c>
      <c r="B600" t="s">
        <v>11</v>
      </c>
      <c r="C600" t="s">
        <v>31</v>
      </c>
      <c r="D600" t="s">
        <v>32</v>
      </c>
      <c r="E600" t="s">
        <v>14</v>
      </c>
      <c r="F600" t="s">
        <v>15</v>
      </c>
      <c r="G600" s="16">
        <v>69</v>
      </c>
      <c r="H600">
        <f>RANK(G600,$G$2:$G$1001,0)+COUNTIF($G$2:G600,G600)-1</f>
        <v>427</v>
      </c>
      <c r="I600" t="str">
        <f>INDEX('Boundary table'!$B$3:$B$7,MATCH(G600,'Boundary table'!$A$3:$A$7,1))</f>
        <v>D</v>
      </c>
      <c r="J600" s="16">
        <v>77</v>
      </c>
      <c r="K600">
        <f>RANK(J600,$J$2:$J$1001,0)+COUNTIF($J$2:J600,J600)-1</f>
        <v>307</v>
      </c>
      <c r="L600" t="str">
        <f>INDEX('Boundary table'!$B$3:$B$7,MATCH(J600,'Boundary table'!$A$3:$A$7,1))</f>
        <v>C</v>
      </c>
      <c r="M600" s="16">
        <v>73</v>
      </c>
      <c r="N600">
        <f>RANK(M600,$M$2:$M$1001,0)+COUNTIF($M$2:M600,M600)-1</f>
        <v>401</v>
      </c>
      <c r="O600" t="str">
        <f>INDEX('Boundary table'!$B$3:$B$7,MATCH(M600,'Boundary table'!$A$3:$A$7))</f>
        <v>C</v>
      </c>
      <c r="P600">
        <f>Table1[[#This Row],[Math Score]]+Table1[[#This Row],[Reading Score]]+Table1[[#This Row],[Writing Score]]</f>
        <v>219</v>
      </c>
      <c r="Q600" s="16">
        <f>COUNTIF(Table1[[#This Row],[Math Score]],"&lt;60")+COUNTIF(Table1[[#This Row],[Reading Score]],"&lt;60")+COUNTIF(Table1[[#This Row],[Writing Score]],"&lt;60")</f>
        <v>0</v>
      </c>
      <c r="R600" t="str">
        <f>IF(Table1[[#This Row],[Fail Count]]&gt;=2,"At risk","OK")</f>
        <v>OK</v>
      </c>
    </row>
    <row r="601" spans="1:18">
      <c r="A601" t="str">
        <f t="shared" si="9"/>
        <v>Stu-600</v>
      </c>
      <c r="B601" t="s">
        <v>11</v>
      </c>
      <c r="C601" t="s">
        <v>31</v>
      </c>
      <c r="D601" t="s">
        <v>33</v>
      </c>
      <c r="E601" t="s">
        <v>14</v>
      </c>
      <c r="F601" t="s">
        <v>15</v>
      </c>
      <c r="G601" s="16">
        <v>65</v>
      </c>
      <c r="H601">
        <f>RANK(G601,$G$2:$G$1001,0)+COUNTIF($G$2:G601,G601)-1</f>
        <v>540</v>
      </c>
      <c r="I601" t="str">
        <f>INDEX('Boundary table'!$B$3:$B$7,MATCH(G601,'Boundary table'!$A$3:$A$7,1))</f>
        <v>D</v>
      </c>
      <c r="J601" s="16">
        <v>82</v>
      </c>
      <c r="K601">
        <f>RANK(J601,$J$2:$J$1001,0)+COUNTIF($J$2:J601,J601)-1</f>
        <v>201</v>
      </c>
      <c r="L601" t="str">
        <f>INDEX('Boundary table'!$B$3:$B$7,MATCH(J601,'Boundary table'!$A$3:$A$7,1))</f>
        <v>B</v>
      </c>
      <c r="M601" s="16">
        <v>81</v>
      </c>
      <c r="N601">
        <f>RANK(M601,$M$2:$M$1001,0)+COUNTIF($M$2:M601,M601)-1</f>
        <v>199</v>
      </c>
      <c r="O601" t="str">
        <f>INDEX('Boundary table'!$B$3:$B$7,MATCH(M601,'Boundary table'!$A$3:$A$7))</f>
        <v>B</v>
      </c>
      <c r="P601">
        <f>Table1[[#This Row],[Math Score]]+Table1[[#This Row],[Reading Score]]+Table1[[#This Row],[Writing Score]]</f>
        <v>228</v>
      </c>
      <c r="Q601" s="16">
        <f>COUNTIF(Table1[[#This Row],[Math Score]],"&lt;60")+COUNTIF(Table1[[#This Row],[Reading Score]],"&lt;60")+COUNTIF(Table1[[#This Row],[Writing Score]],"&lt;60")</f>
        <v>0</v>
      </c>
      <c r="R601" t="str">
        <f>IF(Table1[[#This Row],[Fail Count]]&gt;=2,"At risk","OK")</f>
        <v>OK</v>
      </c>
    </row>
    <row r="602" spans="1:18">
      <c r="A602" t="str">
        <f t="shared" si="9"/>
        <v>Stu-601</v>
      </c>
      <c r="B602" t="s">
        <v>11</v>
      </c>
      <c r="C602" t="s">
        <v>31</v>
      </c>
      <c r="D602" t="s">
        <v>26</v>
      </c>
      <c r="E602" t="s">
        <v>14</v>
      </c>
      <c r="F602" t="s">
        <v>15</v>
      </c>
      <c r="G602" s="16">
        <v>54</v>
      </c>
      <c r="H602">
        <f>RANK(G602,$G$2:$G$1001,0)+COUNTIF($G$2:G602,G602)-1</f>
        <v>792</v>
      </c>
      <c r="I602" t="str">
        <f>INDEX('Boundary table'!$B$3:$B$7,MATCH(G602,'Boundary table'!$A$3:$A$7,1))</f>
        <v>F</v>
      </c>
      <c r="J602" s="16">
        <v>60</v>
      </c>
      <c r="K602">
        <f>RANK(J602,$J$2:$J$1001,0)+COUNTIF($J$2:J602,J602)-1</f>
        <v>736</v>
      </c>
      <c r="L602" t="str">
        <f>INDEX('Boundary table'!$B$3:$B$7,MATCH(J602,'Boundary table'!$A$3:$A$7,1))</f>
        <v>D</v>
      </c>
      <c r="M602" s="16">
        <v>63</v>
      </c>
      <c r="N602">
        <f>RANK(M602,$M$2:$M$1001,0)+COUNTIF($M$2:M602,M602)-1</f>
        <v>644</v>
      </c>
      <c r="O602" t="str">
        <f>INDEX('Boundary table'!$B$3:$B$7,MATCH(M602,'Boundary table'!$A$3:$A$7))</f>
        <v>D</v>
      </c>
      <c r="P602">
        <f>Table1[[#This Row],[Math Score]]+Table1[[#This Row],[Reading Score]]+Table1[[#This Row],[Writing Score]]</f>
        <v>177</v>
      </c>
      <c r="Q602" s="16">
        <f>COUNTIF(Table1[[#This Row],[Math Score]],"&lt;60")+COUNTIF(Table1[[#This Row],[Reading Score]],"&lt;60")+COUNTIF(Table1[[#This Row],[Writing Score]],"&lt;60")</f>
        <v>1</v>
      </c>
      <c r="R602" t="str">
        <f>IF(Table1[[#This Row],[Fail Count]]&gt;=2,"At risk","OK")</f>
        <v>OK</v>
      </c>
    </row>
    <row r="603" spans="1:18">
      <c r="A603" t="str">
        <f t="shared" si="9"/>
        <v>Stu-602</v>
      </c>
      <c r="B603" t="s">
        <v>11</v>
      </c>
      <c r="C603" t="s">
        <v>19</v>
      </c>
      <c r="D603" t="s">
        <v>32</v>
      </c>
      <c r="E603" t="s">
        <v>14</v>
      </c>
      <c r="F603" t="s">
        <v>15</v>
      </c>
      <c r="G603" s="16">
        <v>29</v>
      </c>
      <c r="H603">
        <f>RANK(G603,$G$2:$G$1001,0)+COUNTIF($G$2:G603,G603)-1</f>
        <v>988</v>
      </c>
      <c r="I603" t="str">
        <f>INDEX('Boundary table'!$B$3:$B$7,MATCH(G603,'Boundary table'!$A$3:$A$7,1))</f>
        <v>F</v>
      </c>
      <c r="J603" s="16">
        <v>29</v>
      </c>
      <c r="K603">
        <f>RANK(J603,$J$2:$J$1001,0)+COUNTIF($J$2:J603,J603)-1</f>
        <v>993</v>
      </c>
      <c r="L603" t="str">
        <f>INDEX('Boundary table'!$B$3:$B$7,MATCH(J603,'Boundary table'!$A$3:$A$7,1))</f>
        <v>F</v>
      </c>
      <c r="M603" s="16">
        <v>30</v>
      </c>
      <c r="N603">
        <f>RANK(M603,$M$2:$M$1001,0)+COUNTIF($M$2:M603,M603)-1</f>
        <v>991</v>
      </c>
      <c r="O603" t="str">
        <f>INDEX('Boundary table'!$B$3:$B$7,MATCH(M603,'Boundary table'!$A$3:$A$7))</f>
        <v>F</v>
      </c>
      <c r="P603">
        <f>Table1[[#This Row],[Math Score]]+Table1[[#This Row],[Reading Score]]+Table1[[#This Row],[Writing Score]]</f>
        <v>88</v>
      </c>
      <c r="Q603" s="16">
        <f>COUNTIF(Table1[[#This Row],[Math Score]],"&lt;60")+COUNTIF(Table1[[#This Row],[Reading Score]],"&lt;60")+COUNTIF(Table1[[#This Row],[Writing Score]],"&lt;60")</f>
        <v>3</v>
      </c>
      <c r="R603" t="str">
        <f>IF(Table1[[#This Row],[Fail Count]]&gt;=2,"At risk","OK")</f>
        <v>At risk</v>
      </c>
    </row>
    <row r="604" spans="1:18">
      <c r="A604" t="str">
        <f t="shared" si="9"/>
        <v>Stu-603</v>
      </c>
      <c r="B604" t="s">
        <v>11</v>
      </c>
      <c r="C604" t="s">
        <v>34</v>
      </c>
      <c r="D604" t="s">
        <v>20</v>
      </c>
      <c r="E604" t="s">
        <v>14</v>
      </c>
      <c r="F604" t="s">
        <v>15</v>
      </c>
      <c r="G604" s="16">
        <v>76</v>
      </c>
      <c r="H604">
        <f>RANK(G604,$G$2:$G$1001,0)+COUNTIF($G$2:G604,G604)-1</f>
        <v>268</v>
      </c>
      <c r="I604" t="str">
        <f>INDEX('Boundary table'!$B$3:$B$7,MATCH(G604,'Boundary table'!$A$3:$A$7,1))</f>
        <v>C</v>
      </c>
      <c r="J604" s="16">
        <v>78</v>
      </c>
      <c r="K604">
        <f>RANK(J604,$J$2:$J$1001,0)+COUNTIF($J$2:J604,J604)-1</f>
        <v>283</v>
      </c>
      <c r="L604" t="str">
        <f>INDEX('Boundary table'!$B$3:$B$7,MATCH(J604,'Boundary table'!$A$3:$A$7,1))</f>
        <v>C</v>
      </c>
      <c r="M604" s="16">
        <v>80</v>
      </c>
      <c r="N604">
        <f>RANK(M604,$M$2:$M$1001,0)+COUNTIF($M$2:M604,M604)-1</f>
        <v>225</v>
      </c>
      <c r="O604" t="str">
        <f>INDEX('Boundary table'!$B$3:$B$7,MATCH(M604,'Boundary table'!$A$3:$A$7))</f>
        <v>B</v>
      </c>
      <c r="P604">
        <f>Table1[[#This Row],[Math Score]]+Table1[[#This Row],[Reading Score]]+Table1[[#This Row],[Writing Score]]</f>
        <v>234</v>
      </c>
      <c r="Q604" s="16">
        <f>COUNTIF(Table1[[#This Row],[Math Score]],"&lt;60")+COUNTIF(Table1[[#This Row],[Reading Score]],"&lt;60")+COUNTIF(Table1[[#This Row],[Writing Score]],"&lt;60")</f>
        <v>0</v>
      </c>
      <c r="R604" t="str">
        <f>IF(Table1[[#This Row],[Fail Count]]&gt;=2,"At risk","OK")</f>
        <v>OK</v>
      </c>
    </row>
    <row r="605" spans="1:18">
      <c r="A605" t="str">
        <f t="shared" si="9"/>
        <v>Stu-604</v>
      </c>
      <c r="B605" t="s">
        <v>27</v>
      </c>
      <c r="C605" t="s">
        <v>31</v>
      </c>
      <c r="D605" t="s">
        <v>32</v>
      </c>
      <c r="E605" t="s">
        <v>30</v>
      </c>
      <c r="F605" t="s">
        <v>15</v>
      </c>
      <c r="G605" s="16">
        <v>60</v>
      </c>
      <c r="H605">
        <f>RANK(G605,$G$2:$G$1001,0)+COUNTIF($G$2:G605,G605)-1</f>
        <v>669</v>
      </c>
      <c r="I605" t="str">
        <f>INDEX('Boundary table'!$B$3:$B$7,MATCH(G605,'Boundary table'!$A$3:$A$7,1))</f>
        <v>D</v>
      </c>
      <c r="J605" s="16">
        <v>57</v>
      </c>
      <c r="K605">
        <f>RANK(J605,$J$2:$J$1001,0)+COUNTIF($J$2:J605,J605)-1</f>
        <v>799</v>
      </c>
      <c r="L605" t="str">
        <f>INDEX('Boundary table'!$B$3:$B$7,MATCH(J605,'Boundary table'!$A$3:$A$7,1))</f>
        <v>F</v>
      </c>
      <c r="M605" s="16">
        <v>51</v>
      </c>
      <c r="N605">
        <f>RANK(M605,$M$2:$M$1001,0)+COUNTIF($M$2:M605,M605)-1</f>
        <v>867</v>
      </c>
      <c r="O605" t="str">
        <f>INDEX('Boundary table'!$B$3:$B$7,MATCH(M605,'Boundary table'!$A$3:$A$7))</f>
        <v>F</v>
      </c>
      <c r="P605">
        <f>Table1[[#This Row],[Math Score]]+Table1[[#This Row],[Reading Score]]+Table1[[#This Row],[Writing Score]]</f>
        <v>168</v>
      </c>
      <c r="Q605" s="16">
        <f>COUNTIF(Table1[[#This Row],[Math Score]],"&lt;60")+COUNTIF(Table1[[#This Row],[Reading Score]],"&lt;60")+COUNTIF(Table1[[#This Row],[Writing Score]],"&lt;60")</f>
        <v>2</v>
      </c>
      <c r="R605" t="str">
        <f>IF(Table1[[#This Row],[Fail Count]]&gt;=2,"At risk","OK")</f>
        <v>At risk</v>
      </c>
    </row>
    <row r="606" spans="1:18">
      <c r="A606" t="str">
        <f t="shared" si="9"/>
        <v>Stu-605</v>
      </c>
      <c r="B606" t="s">
        <v>27</v>
      </c>
      <c r="C606" t="s">
        <v>31</v>
      </c>
      <c r="D606" t="s">
        <v>26</v>
      </c>
      <c r="E606" t="s">
        <v>30</v>
      </c>
      <c r="F606" t="s">
        <v>21</v>
      </c>
      <c r="G606" s="16">
        <v>84</v>
      </c>
      <c r="H606">
        <f>RANK(G606,$G$2:$G$1001,0)+COUNTIF($G$2:G606,G606)-1</f>
        <v>125</v>
      </c>
      <c r="I606" t="str">
        <f>INDEX('Boundary table'!$B$3:$B$7,MATCH(G606,'Boundary table'!$A$3:$A$7,1))</f>
        <v>B</v>
      </c>
      <c r="J606" s="16">
        <v>89</v>
      </c>
      <c r="K606">
        <f>RANK(J606,$J$2:$J$1001,0)+COUNTIF($J$2:J606,J606)-1</f>
        <v>89</v>
      </c>
      <c r="L606" t="str">
        <f>INDEX('Boundary table'!$B$3:$B$7,MATCH(J606,'Boundary table'!$A$3:$A$7,1))</f>
        <v>B</v>
      </c>
      <c r="M606" s="16">
        <v>90</v>
      </c>
      <c r="N606">
        <f>RANK(M606,$M$2:$M$1001,0)+COUNTIF($M$2:M606,M606)-1</f>
        <v>74</v>
      </c>
      <c r="O606" t="str">
        <f>INDEX('Boundary table'!$B$3:$B$7,MATCH(M606,'Boundary table'!$A$3:$A$7))</f>
        <v>A</v>
      </c>
      <c r="P606">
        <f>Table1[[#This Row],[Math Score]]+Table1[[#This Row],[Reading Score]]+Table1[[#This Row],[Writing Score]]</f>
        <v>263</v>
      </c>
      <c r="Q606" s="16">
        <f>COUNTIF(Table1[[#This Row],[Math Score]],"&lt;60")+COUNTIF(Table1[[#This Row],[Reading Score]],"&lt;60")+COUNTIF(Table1[[#This Row],[Writing Score]],"&lt;60")</f>
        <v>0</v>
      </c>
      <c r="R606" t="str">
        <f>IF(Table1[[#This Row],[Fail Count]]&gt;=2,"At risk","OK")</f>
        <v>OK</v>
      </c>
    </row>
    <row r="607" spans="1:18">
      <c r="A607" t="str">
        <f t="shared" si="9"/>
        <v>Stu-606</v>
      </c>
      <c r="B607" t="s">
        <v>27</v>
      </c>
      <c r="C607" t="s">
        <v>19</v>
      </c>
      <c r="D607" t="s">
        <v>33</v>
      </c>
      <c r="E607" t="s">
        <v>14</v>
      </c>
      <c r="F607" t="s">
        <v>15</v>
      </c>
      <c r="G607" s="16">
        <v>75</v>
      </c>
      <c r="H607">
        <f>RANK(G607,$G$2:$G$1001,0)+COUNTIF($G$2:G607,G607)-1</f>
        <v>286</v>
      </c>
      <c r="I607" t="str">
        <f>INDEX('Boundary table'!$B$3:$B$7,MATCH(G607,'Boundary table'!$A$3:$A$7,1))</f>
        <v>C</v>
      </c>
      <c r="J607" s="16">
        <v>72</v>
      </c>
      <c r="K607">
        <f>RANK(J607,$J$2:$J$1001,0)+COUNTIF($J$2:J607,J607)-1</f>
        <v>451</v>
      </c>
      <c r="L607" t="str">
        <f>INDEX('Boundary table'!$B$3:$B$7,MATCH(J607,'Boundary table'!$A$3:$A$7,1))</f>
        <v>C</v>
      </c>
      <c r="M607" s="16">
        <v>62</v>
      </c>
      <c r="N607">
        <f>RANK(M607,$M$2:$M$1001,0)+COUNTIF($M$2:M607,M607)-1</f>
        <v>672</v>
      </c>
      <c r="O607" t="str">
        <f>INDEX('Boundary table'!$B$3:$B$7,MATCH(M607,'Boundary table'!$A$3:$A$7))</f>
        <v>D</v>
      </c>
      <c r="P607">
        <f>Table1[[#This Row],[Math Score]]+Table1[[#This Row],[Reading Score]]+Table1[[#This Row],[Writing Score]]</f>
        <v>209</v>
      </c>
      <c r="Q607" s="16">
        <f>COUNTIF(Table1[[#This Row],[Math Score]],"&lt;60")+COUNTIF(Table1[[#This Row],[Reading Score]],"&lt;60")+COUNTIF(Table1[[#This Row],[Writing Score]],"&lt;60")</f>
        <v>0</v>
      </c>
      <c r="R607" t="str">
        <f>IF(Table1[[#This Row],[Fail Count]]&gt;=2,"At risk","OK")</f>
        <v>OK</v>
      </c>
    </row>
    <row r="608" spans="1:18">
      <c r="A608" t="str">
        <f t="shared" si="9"/>
        <v>Stu-607</v>
      </c>
      <c r="B608" t="s">
        <v>11</v>
      </c>
      <c r="C608" t="s">
        <v>19</v>
      </c>
      <c r="D608" t="s">
        <v>29</v>
      </c>
      <c r="E608" t="s">
        <v>14</v>
      </c>
      <c r="F608" t="s">
        <v>15</v>
      </c>
      <c r="G608" s="16">
        <v>85</v>
      </c>
      <c r="H608">
        <f>RANK(G608,$G$2:$G$1001,0)+COUNTIF($G$2:G608,G608)-1</f>
        <v>111</v>
      </c>
      <c r="I608" t="str">
        <f>INDEX('Boundary table'!$B$3:$B$7,MATCH(G608,'Boundary table'!$A$3:$A$7,1))</f>
        <v>B</v>
      </c>
      <c r="J608" s="16">
        <v>84</v>
      </c>
      <c r="K608">
        <f>RANK(J608,$J$2:$J$1001,0)+COUNTIF($J$2:J608,J608)-1</f>
        <v>161</v>
      </c>
      <c r="L608" t="str">
        <f>INDEX('Boundary table'!$B$3:$B$7,MATCH(J608,'Boundary table'!$A$3:$A$7,1))</f>
        <v>B</v>
      </c>
      <c r="M608" s="16">
        <v>82</v>
      </c>
      <c r="N608">
        <f>RANK(M608,$M$2:$M$1001,0)+COUNTIF($M$2:M608,M608)-1</f>
        <v>178</v>
      </c>
      <c r="O608" t="str">
        <f>INDEX('Boundary table'!$B$3:$B$7,MATCH(M608,'Boundary table'!$A$3:$A$7))</f>
        <v>B</v>
      </c>
      <c r="P608">
        <f>Table1[[#This Row],[Math Score]]+Table1[[#This Row],[Reading Score]]+Table1[[#This Row],[Writing Score]]</f>
        <v>251</v>
      </c>
      <c r="Q608" s="16">
        <f>COUNTIF(Table1[[#This Row],[Math Score]],"&lt;60")+COUNTIF(Table1[[#This Row],[Reading Score]],"&lt;60")+COUNTIF(Table1[[#This Row],[Writing Score]],"&lt;60")</f>
        <v>0</v>
      </c>
      <c r="R608" t="str">
        <f>IF(Table1[[#This Row],[Fail Count]]&gt;=2,"At risk","OK")</f>
        <v>OK</v>
      </c>
    </row>
    <row r="609" spans="1:18">
      <c r="A609" t="str">
        <f t="shared" si="9"/>
        <v>Stu-608</v>
      </c>
      <c r="B609" t="s">
        <v>11</v>
      </c>
      <c r="C609" t="s">
        <v>19</v>
      </c>
      <c r="D609" t="s">
        <v>26</v>
      </c>
      <c r="E609" t="s">
        <v>30</v>
      </c>
      <c r="F609" t="s">
        <v>15</v>
      </c>
      <c r="G609" s="16">
        <v>40</v>
      </c>
      <c r="H609">
        <f>RANK(G609,$G$2:$G$1001,0)+COUNTIF($G$2:G609,G609)-1</f>
        <v>958</v>
      </c>
      <c r="I609" t="str">
        <f>INDEX('Boundary table'!$B$3:$B$7,MATCH(G609,'Boundary table'!$A$3:$A$7,1))</f>
        <v>F</v>
      </c>
      <c r="J609" s="16">
        <v>58</v>
      </c>
      <c r="K609">
        <f>RANK(J609,$J$2:$J$1001,0)+COUNTIF($J$2:J609,J609)-1</f>
        <v>779</v>
      </c>
      <c r="L609" t="str">
        <f>INDEX('Boundary table'!$B$3:$B$7,MATCH(J609,'Boundary table'!$A$3:$A$7,1))</f>
        <v>F</v>
      </c>
      <c r="M609" s="16">
        <v>54</v>
      </c>
      <c r="N609">
        <f>RANK(M609,$M$2:$M$1001,0)+COUNTIF($M$2:M609,M609)-1</f>
        <v>814</v>
      </c>
      <c r="O609" t="str">
        <f>INDEX('Boundary table'!$B$3:$B$7,MATCH(M609,'Boundary table'!$A$3:$A$7))</f>
        <v>F</v>
      </c>
      <c r="P609">
        <f>Table1[[#This Row],[Math Score]]+Table1[[#This Row],[Reading Score]]+Table1[[#This Row],[Writing Score]]</f>
        <v>152</v>
      </c>
      <c r="Q609" s="16">
        <f>COUNTIF(Table1[[#This Row],[Math Score]],"&lt;60")+COUNTIF(Table1[[#This Row],[Reading Score]],"&lt;60")+COUNTIF(Table1[[#This Row],[Writing Score]],"&lt;60")</f>
        <v>3</v>
      </c>
      <c r="R609" t="str">
        <f>IF(Table1[[#This Row],[Fail Count]]&gt;=2,"At risk","OK")</f>
        <v>At risk</v>
      </c>
    </row>
    <row r="610" spans="1:18">
      <c r="A610" t="str">
        <f t="shared" si="9"/>
        <v>Stu-609</v>
      </c>
      <c r="B610" t="s">
        <v>11</v>
      </c>
      <c r="C610" t="s">
        <v>34</v>
      </c>
      <c r="D610" t="s">
        <v>20</v>
      </c>
      <c r="E610" t="s">
        <v>14</v>
      </c>
      <c r="F610" t="s">
        <v>15</v>
      </c>
      <c r="G610" s="16">
        <v>61</v>
      </c>
      <c r="H610">
        <f>RANK(G610,$G$2:$G$1001,0)+COUNTIF($G$2:G610,G610)-1</f>
        <v>652</v>
      </c>
      <c r="I610" t="str">
        <f>INDEX('Boundary table'!$B$3:$B$7,MATCH(G610,'Boundary table'!$A$3:$A$7,1))</f>
        <v>D</v>
      </c>
      <c r="J610" s="16">
        <v>64</v>
      </c>
      <c r="K610">
        <f>RANK(J610,$J$2:$J$1001,0)+COUNTIF($J$2:J610,J610)-1</f>
        <v>647</v>
      </c>
      <c r="L610" t="str">
        <f>INDEX('Boundary table'!$B$3:$B$7,MATCH(J610,'Boundary table'!$A$3:$A$7,1))</f>
        <v>D</v>
      </c>
      <c r="M610" s="16">
        <v>62</v>
      </c>
      <c r="N610">
        <f>RANK(M610,$M$2:$M$1001,0)+COUNTIF($M$2:M610,M610)-1</f>
        <v>673</v>
      </c>
      <c r="O610" t="str">
        <f>INDEX('Boundary table'!$B$3:$B$7,MATCH(M610,'Boundary table'!$A$3:$A$7))</f>
        <v>D</v>
      </c>
      <c r="P610">
        <f>Table1[[#This Row],[Math Score]]+Table1[[#This Row],[Reading Score]]+Table1[[#This Row],[Writing Score]]</f>
        <v>187</v>
      </c>
      <c r="Q610" s="16">
        <f>COUNTIF(Table1[[#This Row],[Math Score]],"&lt;60")+COUNTIF(Table1[[#This Row],[Reading Score]],"&lt;60")+COUNTIF(Table1[[#This Row],[Writing Score]],"&lt;60")</f>
        <v>0</v>
      </c>
      <c r="R610" t="str">
        <f>IF(Table1[[#This Row],[Fail Count]]&gt;=2,"At risk","OK")</f>
        <v>OK</v>
      </c>
    </row>
    <row r="611" spans="1:18">
      <c r="A611" t="str">
        <f t="shared" si="9"/>
        <v>Stu-610</v>
      </c>
      <c r="B611" t="s">
        <v>11</v>
      </c>
      <c r="C611" t="s">
        <v>12</v>
      </c>
      <c r="D611" t="s">
        <v>29</v>
      </c>
      <c r="E611" t="s">
        <v>14</v>
      </c>
      <c r="F611" t="s">
        <v>15</v>
      </c>
      <c r="G611" s="16">
        <v>58</v>
      </c>
      <c r="H611">
        <f>RANK(G611,$G$2:$G$1001,0)+COUNTIF($G$2:G611,G611)-1</f>
        <v>725</v>
      </c>
      <c r="I611" t="str">
        <f>INDEX('Boundary table'!$B$3:$B$7,MATCH(G611,'Boundary table'!$A$3:$A$7,1))</f>
        <v>F</v>
      </c>
      <c r="J611" s="16">
        <v>63</v>
      </c>
      <c r="K611">
        <f>RANK(J611,$J$2:$J$1001,0)+COUNTIF($J$2:J611,J611)-1</f>
        <v>669</v>
      </c>
      <c r="L611" t="str">
        <f>INDEX('Boundary table'!$B$3:$B$7,MATCH(J611,'Boundary table'!$A$3:$A$7,1))</f>
        <v>D</v>
      </c>
      <c r="M611" s="16">
        <v>65</v>
      </c>
      <c r="N611">
        <f>RANK(M611,$M$2:$M$1001,0)+COUNTIF($M$2:M611,M611)-1</f>
        <v>606</v>
      </c>
      <c r="O611" t="str">
        <f>INDEX('Boundary table'!$B$3:$B$7,MATCH(M611,'Boundary table'!$A$3:$A$7))</f>
        <v>D</v>
      </c>
      <c r="P611">
        <f>Table1[[#This Row],[Math Score]]+Table1[[#This Row],[Reading Score]]+Table1[[#This Row],[Writing Score]]</f>
        <v>186</v>
      </c>
      <c r="Q611" s="16">
        <f>COUNTIF(Table1[[#This Row],[Math Score]],"&lt;60")+COUNTIF(Table1[[#This Row],[Reading Score]],"&lt;60")+COUNTIF(Table1[[#This Row],[Writing Score]],"&lt;60")</f>
        <v>1</v>
      </c>
      <c r="R611" t="str">
        <f>IF(Table1[[#This Row],[Fail Count]]&gt;=2,"At risk","OK")</f>
        <v>OK</v>
      </c>
    </row>
    <row r="612" spans="1:18">
      <c r="A612" t="str">
        <f t="shared" si="9"/>
        <v>Stu-611</v>
      </c>
      <c r="B612" t="s">
        <v>27</v>
      </c>
      <c r="C612" t="s">
        <v>31</v>
      </c>
      <c r="D612" t="s">
        <v>20</v>
      </c>
      <c r="E612" t="s">
        <v>30</v>
      </c>
      <c r="F612" t="s">
        <v>21</v>
      </c>
      <c r="G612" s="16">
        <v>69</v>
      </c>
      <c r="H612">
        <f>RANK(G612,$G$2:$G$1001,0)+COUNTIF($G$2:G612,G612)-1</f>
        <v>428</v>
      </c>
      <c r="I612" t="str">
        <f>INDEX('Boundary table'!$B$3:$B$7,MATCH(G612,'Boundary table'!$A$3:$A$7,1))</f>
        <v>D</v>
      </c>
      <c r="J612" s="16">
        <v>60</v>
      </c>
      <c r="K612">
        <f>RANK(J612,$J$2:$J$1001,0)+COUNTIF($J$2:J612,J612)-1</f>
        <v>737</v>
      </c>
      <c r="L612" t="str">
        <f>INDEX('Boundary table'!$B$3:$B$7,MATCH(J612,'Boundary table'!$A$3:$A$7,1))</f>
        <v>D</v>
      </c>
      <c r="M612" s="16">
        <v>63</v>
      </c>
      <c r="N612">
        <f>RANK(M612,$M$2:$M$1001,0)+COUNTIF($M$2:M612,M612)-1</f>
        <v>645</v>
      </c>
      <c r="O612" t="str">
        <f>INDEX('Boundary table'!$B$3:$B$7,MATCH(M612,'Boundary table'!$A$3:$A$7))</f>
        <v>D</v>
      </c>
      <c r="P612">
        <f>Table1[[#This Row],[Math Score]]+Table1[[#This Row],[Reading Score]]+Table1[[#This Row],[Writing Score]]</f>
        <v>192</v>
      </c>
      <c r="Q612" s="16">
        <f>COUNTIF(Table1[[#This Row],[Math Score]],"&lt;60")+COUNTIF(Table1[[#This Row],[Reading Score]],"&lt;60")+COUNTIF(Table1[[#This Row],[Writing Score]],"&lt;60")</f>
        <v>0</v>
      </c>
      <c r="R612" t="str">
        <f>IF(Table1[[#This Row],[Fail Count]]&gt;=2,"At risk","OK")</f>
        <v>OK</v>
      </c>
    </row>
    <row r="613" spans="1:18">
      <c r="A613" t="str">
        <f t="shared" si="9"/>
        <v>Stu-612</v>
      </c>
      <c r="B613" t="s">
        <v>11</v>
      </c>
      <c r="C613" t="s">
        <v>19</v>
      </c>
      <c r="D613" t="s">
        <v>20</v>
      </c>
      <c r="E613" t="s">
        <v>14</v>
      </c>
      <c r="F613" t="s">
        <v>15</v>
      </c>
      <c r="G613" s="16">
        <v>58</v>
      </c>
      <c r="H613">
        <f>RANK(G613,$G$2:$G$1001,0)+COUNTIF($G$2:G613,G613)-1</f>
        <v>726</v>
      </c>
      <c r="I613" t="str">
        <f>INDEX('Boundary table'!$B$3:$B$7,MATCH(G613,'Boundary table'!$A$3:$A$7,1))</f>
        <v>F</v>
      </c>
      <c r="J613" s="16">
        <v>59</v>
      </c>
      <c r="K613">
        <f>RANK(J613,$J$2:$J$1001,0)+COUNTIF($J$2:J613,J613)-1</f>
        <v>757</v>
      </c>
      <c r="L613" t="str">
        <f>INDEX('Boundary table'!$B$3:$B$7,MATCH(J613,'Boundary table'!$A$3:$A$7,1))</f>
        <v>F</v>
      </c>
      <c r="M613" s="16">
        <v>66</v>
      </c>
      <c r="N613">
        <f>RANK(M613,$M$2:$M$1001,0)+COUNTIF($M$2:M613,M613)-1</f>
        <v>585</v>
      </c>
      <c r="O613" t="str">
        <f>INDEX('Boundary table'!$B$3:$B$7,MATCH(M613,'Boundary table'!$A$3:$A$7))</f>
        <v>D</v>
      </c>
      <c r="P613">
        <f>Table1[[#This Row],[Math Score]]+Table1[[#This Row],[Reading Score]]+Table1[[#This Row],[Writing Score]]</f>
        <v>183</v>
      </c>
      <c r="Q613" s="16">
        <f>COUNTIF(Table1[[#This Row],[Math Score]],"&lt;60")+COUNTIF(Table1[[#This Row],[Reading Score]],"&lt;60")+COUNTIF(Table1[[#This Row],[Writing Score]],"&lt;60")</f>
        <v>2</v>
      </c>
      <c r="R613" t="str">
        <f>IF(Table1[[#This Row],[Fail Count]]&gt;=2,"At risk","OK")</f>
        <v>At risk</v>
      </c>
    </row>
    <row r="614" spans="1:18">
      <c r="A614" t="str">
        <f t="shared" si="9"/>
        <v>Stu-613</v>
      </c>
      <c r="B614" t="s">
        <v>27</v>
      </c>
      <c r="C614" t="s">
        <v>19</v>
      </c>
      <c r="D614" t="s">
        <v>13</v>
      </c>
      <c r="E614" t="s">
        <v>14</v>
      </c>
      <c r="F614" t="s">
        <v>21</v>
      </c>
      <c r="G614" s="16">
        <v>94</v>
      </c>
      <c r="H614">
        <f>RANK(G614,$G$2:$G$1001,0)+COUNTIF($G$2:G614,G614)-1</f>
        <v>27</v>
      </c>
      <c r="I614" t="str">
        <f>INDEX('Boundary table'!$B$3:$B$7,MATCH(G614,'Boundary table'!$A$3:$A$7,1))</f>
        <v>A</v>
      </c>
      <c r="J614" s="16">
        <v>90</v>
      </c>
      <c r="K614">
        <f>RANK(J614,$J$2:$J$1001,0)+COUNTIF($J$2:J614,J614)-1</f>
        <v>72</v>
      </c>
      <c r="L614" t="str">
        <f>INDEX('Boundary table'!$B$3:$B$7,MATCH(J614,'Boundary table'!$A$3:$A$7,1))</f>
        <v>A</v>
      </c>
      <c r="M614" s="16">
        <v>91</v>
      </c>
      <c r="N614">
        <f>RANK(M614,$M$2:$M$1001,0)+COUNTIF($M$2:M614,M614)-1</f>
        <v>63</v>
      </c>
      <c r="O614" t="str">
        <f>INDEX('Boundary table'!$B$3:$B$7,MATCH(M614,'Boundary table'!$A$3:$A$7))</f>
        <v>A</v>
      </c>
      <c r="P614">
        <f>Table1[[#This Row],[Math Score]]+Table1[[#This Row],[Reading Score]]+Table1[[#This Row],[Writing Score]]</f>
        <v>275</v>
      </c>
      <c r="Q614" s="16">
        <f>COUNTIF(Table1[[#This Row],[Math Score]],"&lt;60")+COUNTIF(Table1[[#This Row],[Reading Score]],"&lt;60")+COUNTIF(Table1[[#This Row],[Writing Score]],"&lt;60")</f>
        <v>0</v>
      </c>
      <c r="R614" t="str">
        <f>IF(Table1[[#This Row],[Fail Count]]&gt;=2,"At risk","OK")</f>
        <v>OK</v>
      </c>
    </row>
    <row r="615" spans="1:18">
      <c r="A615" t="str">
        <f t="shared" si="9"/>
        <v>Stu-614</v>
      </c>
      <c r="B615" t="s">
        <v>11</v>
      </c>
      <c r="C615" t="s">
        <v>19</v>
      </c>
      <c r="D615" t="s">
        <v>29</v>
      </c>
      <c r="E615" t="s">
        <v>14</v>
      </c>
      <c r="F615" t="s">
        <v>15</v>
      </c>
      <c r="G615" s="16">
        <v>65</v>
      </c>
      <c r="H615">
        <f>RANK(G615,$G$2:$G$1001,0)+COUNTIF($G$2:G615,G615)-1</f>
        <v>541</v>
      </c>
      <c r="I615" t="str">
        <f>INDEX('Boundary table'!$B$3:$B$7,MATCH(G615,'Boundary table'!$A$3:$A$7,1))</f>
        <v>D</v>
      </c>
      <c r="J615" s="16">
        <v>77</v>
      </c>
      <c r="K615">
        <f>RANK(J615,$J$2:$J$1001,0)+COUNTIF($J$2:J615,J615)-1</f>
        <v>308</v>
      </c>
      <c r="L615" t="str">
        <f>INDEX('Boundary table'!$B$3:$B$7,MATCH(J615,'Boundary table'!$A$3:$A$7,1))</f>
        <v>C</v>
      </c>
      <c r="M615" s="16">
        <v>74</v>
      </c>
      <c r="N615">
        <f>RANK(M615,$M$2:$M$1001,0)+COUNTIF($M$2:M615,M615)-1</f>
        <v>371</v>
      </c>
      <c r="O615" t="str">
        <f>INDEX('Boundary table'!$B$3:$B$7,MATCH(M615,'Boundary table'!$A$3:$A$7))</f>
        <v>C</v>
      </c>
      <c r="P615">
        <f>Table1[[#This Row],[Math Score]]+Table1[[#This Row],[Reading Score]]+Table1[[#This Row],[Writing Score]]</f>
        <v>216</v>
      </c>
      <c r="Q615" s="16">
        <f>COUNTIF(Table1[[#This Row],[Math Score]],"&lt;60")+COUNTIF(Table1[[#This Row],[Reading Score]],"&lt;60")+COUNTIF(Table1[[#This Row],[Writing Score]],"&lt;60")</f>
        <v>0</v>
      </c>
      <c r="R615" t="str">
        <f>IF(Table1[[#This Row],[Fail Count]]&gt;=2,"At risk","OK")</f>
        <v>OK</v>
      </c>
    </row>
    <row r="616" spans="1:18">
      <c r="A616" t="str">
        <f t="shared" si="9"/>
        <v>Stu-615</v>
      </c>
      <c r="B616" t="s">
        <v>11</v>
      </c>
      <c r="C616" t="s">
        <v>28</v>
      </c>
      <c r="D616" t="s">
        <v>29</v>
      </c>
      <c r="E616" t="s">
        <v>14</v>
      </c>
      <c r="F616" t="s">
        <v>15</v>
      </c>
      <c r="G616" s="16">
        <v>82</v>
      </c>
      <c r="H616">
        <f>RANK(G616,$G$2:$G$1001,0)+COUNTIF($G$2:G616,G616)-1</f>
        <v>149</v>
      </c>
      <c r="I616" t="str">
        <f>INDEX('Boundary table'!$B$3:$B$7,MATCH(G616,'Boundary table'!$A$3:$A$7,1))</f>
        <v>B</v>
      </c>
      <c r="J616" s="16">
        <v>93</v>
      </c>
      <c r="K616">
        <f>RANK(J616,$J$2:$J$1001,0)+COUNTIF($J$2:J616,J616)-1</f>
        <v>45</v>
      </c>
      <c r="L616" t="str">
        <f>INDEX('Boundary table'!$B$3:$B$7,MATCH(J616,'Boundary table'!$A$3:$A$7,1))</f>
        <v>A</v>
      </c>
      <c r="M616" s="16">
        <v>93</v>
      </c>
      <c r="N616">
        <f>RANK(M616,$M$2:$M$1001,0)+COUNTIF($M$2:M616,M616)-1</f>
        <v>46</v>
      </c>
      <c r="O616" t="str">
        <f>INDEX('Boundary table'!$B$3:$B$7,MATCH(M616,'Boundary table'!$A$3:$A$7))</f>
        <v>A</v>
      </c>
      <c r="P616">
        <f>Table1[[#This Row],[Math Score]]+Table1[[#This Row],[Reading Score]]+Table1[[#This Row],[Writing Score]]</f>
        <v>268</v>
      </c>
      <c r="Q616" s="16">
        <f>COUNTIF(Table1[[#This Row],[Math Score]],"&lt;60")+COUNTIF(Table1[[#This Row],[Reading Score]],"&lt;60")+COUNTIF(Table1[[#This Row],[Writing Score]],"&lt;60")</f>
        <v>0</v>
      </c>
      <c r="R616" t="str">
        <f>IF(Table1[[#This Row],[Fail Count]]&gt;=2,"At risk","OK")</f>
        <v>OK</v>
      </c>
    </row>
    <row r="617" spans="1:18">
      <c r="A617" t="str">
        <f t="shared" si="9"/>
        <v>Stu-616</v>
      </c>
      <c r="B617" t="s">
        <v>11</v>
      </c>
      <c r="C617" t="s">
        <v>19</v>
      </c>
      <c r="D617" t="s">
        <v>32</v>
      </c>
      <c r="E617" t="s">
        <v>14</v>
      </c>
      <c r="F617" t="s">
        <v>15</v>
      </c>
      <c r="G617" s="16">
        <v>60</v>
      </c>
      <c r="H617">
        <f>RANK(G617,$G$2:$G$1001,0)+COUNTIF($G$2:G617,G617)-1</f>
        <v>670</v>
      </c>
      <c r="I617" t="str">
        <f>INDEX('Boundary table'!$B$3:$B$7,MATCH(G617,'Boundary table'!$A$3:$A$7,1))</f>
        <v>D</v>
      </c>
      <c r="J617" s="16">
        <v>68</v>
      </c>
      <c r="K617">
        <f>RANK(J617,$J$2:$J$1001,0)+COUNTIF($J$2:J617,J617)-1</f>
        <v>542</v>
      </c>
      <c r="L617" t="str">
        <f>INDEX('Boundary table'!$B$3:$B$7,MATCH(J617,'Boundary table'!$A$3:$A$7,1))</f>
        <v>D</v>
      </c>
      <c r="M617" s="16">
        <v>72</v>
      </c>
      <c r="N617">
        <f>RANK(M617,$M$2:$M$1001,0)+COUNTIF($M$2:M617,M617)-1</f>
        <v>425</v>
      </c>
      <c r="O617" t="str">
        <f>INDEX('Boundary table'!$B$3:$B$7,MATCH(M617,'Boundary table'!$A$3:$A$7))</f>
        <v>C</v>
      </c>
      <c r="P617">
        <f>Table1[[#This Row],[Math Score]]+Table1[[#This Row],[Reading Score]]+Table1[[#This Row],[Writing Score]]</f>
        <v>200</v>
      </c>
      <c r="Q617" s="16">
        <f>COUNTIF(Table1[[#This Row],[Math Score]],"&lt;60")+COUNTIF(Table1[[#This Row],[Reading Score]],"&lt;60")+COUNTIF(Table1[[#This Row],[Writing Score]],"&lt;60")</f>
        <v>0</v>
      </c>
      <c r="R617" t="str">
        <f>IF(Table1[[#This Row],[Fail Count]]&gt;=2,"At risk","OK")</f>
        <v>OK</v>
      </c>
    </row>
    <row r="618" spans="1:18">
      <c r="A618" t="str">
        <f t="shared" si="9"/>
        <v>Stu-617</v>
      </c>
      <c r="B618" t="s">
        <v>11</v>
      </c>
      <c r="C618" t="s">
        <v>34</v>
      </c>
      <c r="D618" t="s">
        <v>13</v>
      </c>
      <c r="E618" t="s">
        <v>14</v>
      </c>
      <c r="F618" t="s">
        <v>15</v>
      </c>
      <c r="G618" s="16">
        <v>37</v>
      </c>
      <c r="H618">
        <f>RANK(G618,$G$2:$G$1001,0)+COUNTIF($G$2:G618,G618)-1</f>
        <v>970</v>
      </c>
      <c r="I618" t="str">
        <f>INDEX('Boundary table'!$B$3:$B$7,MATCH(G618,'Boundary table'!$A$3:$A$7,1))</f>
        <v>F</v>
      </c>
      <c r="J618" s="16">
        <v>45</v>
      </c>
      <c r="K618">
        <f>RANK(J618,$J$2:$J$1001,0)+COUNTIF($J$2:J618,J618)-1</f>
        <v>945</v>
      </c>
      <c r="L618" t="str">
        <f>INDEX('Boundary table'!$B$3:$B$7,MATCH(J618,'Boundary table'!$A$3:$A$7,1))</f>
        <v>F</v>
      </c>
      <c r="M618" s="16">
        <v>38</v>
      </c>
      <c r="N618">
        <f>RANK(M618,$M$2:$M$1001,0)+COUNTIF($M$2:M618,M618)-1</f>
        <v>974</v>
      </c>
      <c r="O618" t="str">
        <f>INDEX('Boundary table'!$B$3:$B$7,MATCH(M618,'Boundary table'!$A$3:$A$7))</f>
        <v>F</v>
      </c>
      <c r="P618">
        <f>Table1[[#This Row],[Math Score]]+Table1[[#This Row],[Reading Score]]+Table1[[#This Row],[Writing Score]]</f>
        <v>120</v>
      </c>
      <c r="Q618" s="16">
        <f>COUNTIF(Table1[[#This Row],[Math Score]],"&lt;60")+COUNTIF(Table1[[#This Row],[Reading Score]],"&lt;60")+COUNTIF(Table1[[#This Row],[Writing Score]],"&lt;60")</f>
        <v>3</v>
      </c>
      <c r="R618" t="str">
        <f>IF(Table1[[#This Row],[Fail Count]]&gt;=2,"At risk","OK")</f>
        <v>At risk</v>
      </c>
    </row>
    <row r="619" spans="1:18">
      <c r="A619" t="str">
        <f t="shared" si="9"/>
        <v>Stu-618</v>
      </c>
      <c r="B619" t="s">
        <v>27</v>
      </c>
      <c r="C619" t="s">
        <v>31</v>
      </c>
      <c r="D619" t="s">
        <v>13</v>
      </c>
      <c r="E619" t="s">
        <v>14</v>
      </c>
      <c r="F619" t="s">
        <v>15</v>
      </c>
      <c r="G619" s="16">
        <v>88</v>
      </c>
      <c r="H619">
        <f>RANK(G619,$G$2:$G$1001,0)+COUNTIF($G$2:G619,G619)-1</f>
        <v>76</v>
      </c>
      <c r="I619" t="str">
        <f>INDEX('Boundary table'!$B$3:$B$7,MATCH(G619,'Boundary table'!$A$3:$A$7,1))</f>
        <v>B</v>
      </c>
      <c r="J619" s="16">
        <v>78</v>
      </c>
      <c r="K619">
        <f>RANK(J619,$J$2:$J$1001,0)+COUNTIF($J$2:J619,J619)-1</f>
        <v>284</v>
      </c>
      <c r="L619" t="str">
        <f>INDEX('Boundary table'!$B$3:$B$7,MATCH(J619,'Boundary table'!$A$3:$A$7,1))</f>
        <v>C</v>
      </c>
      <c r="M619" s="16">
        <v>83</v>
      </c>
      <c r="N619">
        <f>RANK(M619,$M$2:$M$1001,0)+COUNTIF($M$2:M619,M619)-1</f>
        <v>160</v>
      </c>
      <c r="O619" t="str">
        <f>INDEX('Boundary table'!$B$3:$B$7,MATCH(M619,'Boundary table'!$A$3:$A$7))</f>
        <v>B</v>
      </c>
      <c r="P619">
        <f>Table1[[#This Row],[Math Score]]+Table1[[#This Row],[Reading Score]]+Table1[[#This Row],[Writing Score]]</f>
        <v>249</v>
      </c>
      <c r="Q619" s="16">
        <f>COUNTIF(Table1[[#This Row],[Math Score]],"&lt;60")+COUNTIF(Table1[[#This Row],[Reading Score]],"&lt;60")+COUNTIF(Table1[[#This Row],[Writing Score]],"&lt;60")</f>
        <v>0</v>
      </c>
      <c r="R619" t="str">
        <f>IF(Table1[[#This Row],[Fail Count]]&gt;=2,"At risk","OK")</f>
        <v>OK</v>
      </c>
    </row>
    <row r="620" spans="1:18">
      <c r="A620" t="str">
        <f t="shared" si="9"/>
        <v>Stu-619</v>
      </c>
      <c r="B620" t="s">
        <v>27</v>
      </c>
      <c r="C620" t="s">
        <v>31</v>
      </c>
      <c r="D620" t="s">
        <v>26</v>
      </c>
      <c r="E620" t="s">
        <v>14</v>
      </c>
      <c r="F620" t="s">
        <v>15</v>
      </c>
      <c r="G620" s="16">
        <v>95</v>
      </c>
      <c r="H620">
        <f>RANK(G620,$G$2:$G$1001,0)+COUNTIF($G$2:G620,G620)-1</f>
        <v>24</v>
      </c>
      <c r="I620" t="str">
        <f>INDEX('Boundary table'!$B$3:$B$7,MATCH(G620,'Boundary table'!$A$3:$A$7,1))</f>
        <v>A</v>
      </c>
      <c r="J620" s="16">
        <v>81</v>
      </c>
      <c r="K620">
        <f>RANK(J620,$J$2:$J$1001,0)+COUNTIF($J$2:J620,J620)-1</f>
        <v>225</v>
      </c>
      <c r="L620" t="str">
        <f>INDEX('Boundary table'!$B$3:$B$7,MATCH(J620,'Boundary table'!$A$3:$A$7,1))</f>
        <v>B</v>
      </c>
      <c r="M620" s="16">
        <v>84</v>
      </c>
      <c r="N620">
        <f>RANK(M620,$M$2:$M$1001,0)+COUNTIF($M$2:M620,M620)-1</f>
        <v>143</v>
      </c>
      <c r="O620" t="str">
        <f>INDEX('Boundary table'!$B$3:$B$7,MATCH(M620,'Boundary table'!$A$3:$A$7))</f>
        <v>B</v>
      </c>
      <c r="P620">
        <f>Table1[[#This Row],[Math Score]]+Table1[[#This Row],[Reading Score]]+Table1[[#This Row],[Writing Score]]</f>
        <v>260</v>
      </c>
      <c r="Q620" s="16">
        <f>COUNTIF(Table1[[#This Row],[Math Score]],"&lt;60")+COUNTIF(Table1[[#This Row],[Reading Score]],"&lt;60")+COUNTIF(Table1[[#This Row],[Writing Score]],"&lt;60")</f>
        <v>0</v>
      </c>
      <c r="R620" t="str">
        <f>IF(Table1[[#This Row],[Fail Count]]&gt;=2,"At risk","OK")</f>
        <v>OK</v>
      </c>
    </row>
    <row r="621" spans="1:18">
      <c r="A621" t="str">
        <f t="shared" si="9"/>
        <v>Stu-620</v>
      </c>
      <c r="B621" t="s">
        <v>27</v>
      </c>
      <c r="C621" t="s">
        <v>19</v>
      </c>
      <c r="D621" t="s">
        <v>29</v>
      </c>
      <c r="E621" t="s">
        <v>30</v>
      </c>
      <c r="F621" t="s">
        <v>21</v>
      </c>
      <c r="G621" s="16">
        <v>65</v>
      </c>
      <c r="H621">
        <f>RANK(G621,$G$2:$G$1001,0)+COUNTIF($G$2:G621,G621)-1</f>
        <v>542</v>
      </c>
      <c r="I621" t="str">
        <f>INDEX('Boundary table'!$B$3:$B$7,MATCH(G621,'Boundary table'!$A$3:$A$7,1))</f>
        <v>D</v>
      </c>
      <c r="J621" s="16">
        <v>73</v>
      </c>
      <c r="K621">
        <f>RANK(J621,$J$2:$J$1001,0)+COUNTIF($J$2:J621,J621)-1</f>
        <v>424</v>
      </c>
      <c r="L621" t="str">
        <f>INDEX('Boundary table'!$B$3:$B$7,MATCH(J621,'Boundary table'!$A$3:$A$7,1))</f>
        <v>C</v>
      </c>
      <c r="M621" s="16">
        <v>68</v>
      </c>
      <c r="N621">
        <f>RANK(M621,$M$2:$M$1001,0)+COUNTIF($M$2:M621,M621)-1</f>
        <v>534</v>
      </c>
      <c r="O621" t="str">
        <f>INDEX('Boundary table'!$B$3:$B$7,MATCH(M621,'Boundary table'!$A$3:$A$7))</f>
        <v>D</v>
      </c>
      <c r="P621">
        <f>Table1[[#This Row],[Math Score]]+Table1[[#This Row],[Reading Score]]+Table1[[#This Row],[Writing Score]]</f>
        <v>206</v>
      </c>
      <c r="Q621" s="16">
        <f>COUNTIF(Table1[[#This Row],[Math Score]],"&lt;60")+COUNTIF(Table1[[#This Row],[Reading Score]],"&lt;60")+COUNTIF(Table1[[#This Row],[Writing Score]],"&lt;60")</f>
        <v>0</v>
      </c>
      <c r="R621" t="str">
        <f>IF(Table1[[#This Row],[Fail Count]]&gt;=2,"At risk","OK")</f>
        <v>OK</v>
      </c>
    </row>
    <row r="622" spans="1:18">
      <c r="A622" t="str">
        <f t="shared" si="9"/>
        <v>Stu-621</v>
      </c>
      <c r="B622" t="s">
        <v>11</v>
      </c>
      <c r="C622" t="s">
        <v>19</v>
      </c>
      <c r="D622" t="s">
        <v>32</v>
      </c>
      <c r="E622" t="s">
        <v>30</v>
      </c>
      <c r="F622" t="s">
        <v>15</v>
      </c>
      <c r="G622" s="16">
        <v>35</v>
      </c>
      <c r="H622">
        <f>RANK(G622,$G$2:$G$1001,0)+COUNTIF($G$2:G622,G622)-1</f>
        <v>976</v>
      </c>
      <c r="I622" t="str">
        <f>INDEX('Boundary table'!$B$3:$B$7,MATCH(G622,'Boundary table'!$A$3:$A$7,1))</f>
        <v>F</v>
      </c>
      <c r="J622" s="16">
        <v>61</v>
      </c>
      <c r="K622">
        <f>RANK(J622,$J$2:$J$1001,0)+COUNTIF($J$2:J622,J622)-1</f>
        <v>717</v>
      </c>
      <c r="L622" t="str">
        <f>INDEX('Boundary table'!$B$3:$B$7,MATCH(J622,'Boundary table'!$A$3:$A$7,1))</f>
        <v>D</v>
      </c>
      <c r="M622" s="16">
        <v>54</v>
      </c>
      <c r="N622">
        <f>RANK(M622,$M$2:$M$1001,0)+COUNTIF($M$2:M622,M622)-1</f>
        <v>815</v>
      </c>
      <c r="O622" t="str">
        <f>INDEX('Boundary table'!$B$3:$B$7,MATCH(M622,'Boundary table'!$A$3:$A$7))</f>
        <v>F</v>
      </c>
      <c r="P622">
        <f>Table1[[#This Row],[Math Score]]+Table1[[#This Row],[Reading Score]]+Table1[[#This Row],[Writing Score]]</f>
        <v>150</v>
      </c>
      <c r="Q622" s="16">
        <f>COUNTIF(Table1[[#This Row],[Math Score]],"&lt;60")+COUNTIF(Table1[[#This Row],[Reading Score]],"&lt;60")+COUNTIF(Table1[[#This Row],[Writing Score]],"&lt;60")</f>
        <v>2</v>
      </c>
      <c r="R622" t="str">
        <f>IF(Table1[[#This Row],[Fail Count]]&gt;=2,"At risk","OK")</f>
        <v>At risk</v>
      </c>
    </row>
    <row r="623" spans="1:18">
      <c r="A623" t="str">
        <f t="shared" si="9"/>
        <v>Stu-622</v>
      </c>
      <c r="B623" t="s">
        <v>27</v>
      </c>
      <c r="C623" t="s">
        <v>12</v>
      </c>
      <c r="D623" t="s">
        <v>13</v>
      </c>
      <c r="E623" t="s">
        <v>30</v>
      </c>
      <c r="F623" t="s">
        <v>15</v>
      </c>
      <c r="G623" s="16">
        <v>62</v>
      </c>
      <c r="H623">
        <f>RANK(G623,$G$2:$G$1001,0)+COUNTIF($G$2:G623,G623)-1</f>
        <v>618</v>
      </c>
      <c r="I623" t="str">
        <f>INDEX('Boundary table'!$B$3:$B$7,MATCH(G623,'Boundary table'!$A$3:$A$7,1))</f>
        <v>D</v>
      </c>
      <c r="J623" s="16">
        <v>63</v>
      </c>
      <c r="K623">
        <f>RANK(J623,$J$2:$J$1001,0)+COUNTIF($J$2:J623,J623)-1</f>
        <v>670</v>
      </c>
      <c r="L623" t="str">
        <f>INDEX('Boundary table'!$B$3:$B$7,MATCH(J623,'Boundary table'!$A$3:$A$7,1))</f>
        <v>D</v>
      </c>
      <c r="M623" s="16">
        <v>56</v>
      </c>
      <c r="N623">
        <f>RANK(M623,$M$2:$M$1001,0)+COUNTIF($M$2:M623,M623)-1</f>
        <v>781</v>
      </c>
      <c r="O623" t="str">
        <f>INDEX('Boundary table'!$B$3:$B$7,MATCH(M623,'Boundary table'!$A$3:$A$7))</f>
        <v>F</v>
      </c>
      <c r="P623">
        <f>Table1[[#This Row],[Math Score]]+Table1[[#This Row],[Reading Score]]+Table1[[#This Row],[Writing Score]]</f>
        <v>181</v>
      </c>
      <c r="Q623" s="16">
        <f>COUNTIF(Table1[[#This Row],[Math Score]],"&lt;60")+COUNTIF(Table1[[#This Row],[Reading Score]],"&lt;60")+COUNTIF(Table1[[#This Row],[Writing Score]],"&lt;60")</f>
        <v>1</v>
      </c>
      <c r="R623" t="str">
        <f>IF(Table1[[#This Row],[Fail Count]]&gt;=2,"At risk","OK")</f>
        <v>OK</v>
      </c>
    </row>
    <row r="624" spans="1:18">
      <c r="A624" t="str">
        <f t="shared" si="9"/>
        <v>Stu-623</v>
      </c>
      <c r="B624" t="s">
        <v>27</v>
      </c>
      <c r="C624" t="s">
        <v>19</v>
      </c>
      <c r="D624" t="s">
        <v>32</v>
      </c>
      <c r="E624" t="s">
        <v>30</v>
      </c>
      <c r="F624" t="s">
        <v>21</v>
      </c>
      <c r="G624" s="16">
        <v>58</v>
      </c>
      <c r="H624">
        <f>RANK(G624,$G$2:$G$1001,0)+COUNTIF($G$2:G624,G624)-1</f>
        <v>727</v>
      </c>
      <c r="I624" t="str">
        <f>INDEX('Boundary table'!$B$3:$B$7,MATCH(G624,'Boundary table'!$A$3:$A$7,1))</f>
        <v>F</v>
      </c>
      <c r="J624" s="16">
        <v>51</v>
      </c>
      <c r="K624">
        <f>RANK(J624,$J$2:$J$1001,0)+COUNTIF($J$2:J624,J624)-1</f>
        <v>896</v>
      </c>
      <c r="L624" t="str">
        <f>INDEX('Boundary table'!$B$3:$B$7,MATCH(J624,'Boundary table'!$A$3:$A$7,1))</f>
        <v>F</v>
      </c>
      <c r="M624" s="16">
        <v>52</v>
      </c>
      <c r="N624">
        <f>RANK(M624,$M$2:$M$1001,0)+COUNTIF($M$2:M624,M624)-1</f>
        <v>852</v>
      </c>
      <c r="O624" t="str">
        <f>INDEX('Boundary table'!$B$3:$B$7,MATCH(M624,'Boundary table'!$A$3:$A$7))</f>
        <v>F</v>
      </c>
      <c r="P624">
        <f>Table1[[#This Row],[Math Score]]+Table1[[#This Row],[Reading Score]]+Table1[[#This Row],[Writing Score]]</f>
        <v>161</v>
      </c>
      <c r="Q624" s="16">
        <f>COUNTIF(Table1[[#This Row],[Math Score]],"&lt;60")+COUNTIF(Table1[[#This Row],[Reading Score]],"&lt;60")+COUNTIF(Table1[[#This Row],[Writing Score]],"&lt;60")</f>
        <v>3</v>
      </c>
      <c r="R624" t="str">
        <f>IF(Table1[[#This Row],[Fail Count]]&gt;=2,"At risk","OK")</f>
        <v>At risk</v>
      </c>
    </row>
    <row r="625" spans="1:18">
      <c r="A625" t="str">
        <f t="shared" si="9"/>
        <v>Stu-624</v>
      </c>
      <c r="B625" t="s">
        <v>27</v>
      </c>
      <c r="C625" t="s">
        <v>28</v>
      </c>
      <c r="D625" t="s">
        <v>20</v>
      </c>
      <c r="E625" t="s">
        <v>14</v>
      </c>
      <c r="F625" t="s">
        <v>21</v>
      </c>
      <c r="G625" s="16">
        <v>100</v>
      </c>
      <c r="H625">
        <f>RANK(G625,$G$2:$G$1001,0)+COUNTIF($G$2:G625,G625)-1</f>
        <v>4</v>
      </c>
      <c r="I625" t="str">
        <f>INDEX('Boundary table'!$B$3:$B$7,MATCH(G625,'Boundary table'!$A$3:$A$7,1))</f>
        <v>A</v>
      </c>
      <c r="J625" s="16">
        <v>96</v>
      </c>
      <c r="K625">
        <f>RANK(J625,$J$2:$J$1001,0)+COUNTIF($J$2:J625,J625)-1</f>
        <v>27</v>
      </c>
      <c r="L625" t="str">
        <f>INDEX('Boundary table'!$B$3:$B$7,MATCH(J625,'Boundary table'!$A$3:$A$7,1))</f>
        <v>A</v>
      </c>
      <c r="M625" s="16">
        <v>86</v>
      </c>
      <c r="N625">
        <f>RANK(M625,$M$2:$M$1001,0)+COUNTIF($M$2:M625,M625)-1</f>
        <v>116</v>
      </c>
      <c r="O625" t="str">
        <f>INDEX('Boundary table'!$B$3:$B$7,MATCH(M625,'Boundary table'!$A$3:$A$7))</f>
        <v>B</v>
      </c>
      <c r="P625">
        <f>Table1[[#This Row],[Math Score]]+Table1[[#This Row],[Reading Score]]+Table1[[#This Row],[Writing Score]]</f>
        <v>282</v>
      </c>
      <c r="Q625" s="16">
        <f>COUNTIF(Table1[[#This Row],[Math Score]],"&lt;60")+COUNTIF(Table1[[#This Row],[Reading Score]],"&lt;60")+COUNTIF(Table1[[#This Row],[Writing Score]],"&lt;60")</f>
        <v>0</v>
      </c>
      <c r="R625" t="str">
        <f>IF(Table1[[#This Row],[Fail Count]]&gt;=2,"At risk","OK")</f>
        <v>OK</v>
      </c>
    </row>
    <row r="626" spans="1:18">
      <c r="A626" t="str">
        <f t="shared" si="9"/>
        <v>Stu-625</v>
      </c>
      <c r="B626" t="s">
        <v>11</v>
      </c>
      <c r="C626" t="s">
        <v>34</v>
      </c>
      <c r="D626" t="s">
        <v>13</v>
      </c>
      <c r="E626" t="s">
        <v>30</v>
      </c>
      <c r="F626" t="s">
        <v>15</v>
      </c>
      <c r="G626" s="16">
        <v>61</v>
      </c>
      <c r="H626">
        <f>RANK(G626,$G$2:$G$1001,0)+COUNTIF($G$2:G626,G626)-1</f>
        <v>653</v>
      </c>
      <c r="I626" t="str">
        <f>INDEX('Boundary table'!$B$3:$B$7,MATCH(G626,'Boundary table'!$A$3:$A$7,1))</f>
        <v>D</v>
      </c>
      <c r="J626" s="16">
        <v>58</v>
      </c>
      <c r="K626">
        <f>RANK(J626,$J$2:$J$1001,0)+COUNTIF($J$2:J626,J626)-1</f>
        <v>780</v>
      </c>
      <c r="L626" t="str">
        <f>INDEX('Boundary table'!$B$3:$B$7,MATCH(J626,'Boundary table'!$A$3:$A$7,1))</f>
        <v>F</v>
      </c>
      <c r="M626" s="16">
        <v>62</v>
      </c>
      <c r="N626">
        <f>RANK(M626,$M$2:$M$1001,0)+COUNTIF($M$2:M626,M626)-1</f>
        <v>674</v>
      </c>
      <c r="O626" t="str">
        <f>INDEX('Boundary table'!$B$3:$B$7,MATCH(M626,'Boundary table'!$A$3:$A$7))</f>
        <v>D</v>
      </c>
      <c r="P626">
        <f>Table1[[#This Row],[Math Score]]+Table1[[#This Row],[Reading Score]]+Table1[[#This Row],[Writing Score]]</f>
        <v>181</v>
      </c>
      <c r="Q626" s="16">
        <f>COUNTIF(Table1[[#This Row],[Math Score]],"&lt;60")+COUNTIF(Table1[[#This Row],[Reading Score]],"&lt;60")+COUNTIF(Table1[[#This Row],[Writing Score]],"&lt;60")</f>
        <v>1</v>
      </c>
      <c r="R626" t="str">
        <f>IF(Table1[[#This Row],[Fail Count]]&gt;=2,"At risk","OK")</f>
        <v>OK</v>
      </c>
    </row>
    <row r="627" spans="1:18">
      <c r="A627" t="str">
        <f t="shared" si="9"/>
        <v>Stu-626</v>
      </c>
      <c r="B627" t="s">
        <v>27</v>
      </c>
      <c r="C627" t="s">
        <v>31</v>
      </c>
      <c r="D627" t="s">
        <v>20</v>
      </c>
      <c r="E627" t="s">
        <v>14</v>
      </c>
      <c r="F627" t="s">
        <v>21</v>
      </c>
      <c r="G627" s="16">
        <v>100</v>
      </c>
      <c r="H627">
        <f>RANK(G627,$G$2:$G$1001,0)+COUNTIF($G$2:G627,G627)-1</f>
        <v>5</v>
      </c>
      <c r="I627" t="str">
        <f>INDEX('Boundary table'!$B$3:$B$7,MATCH(G627,'Boundary table'!$A$3:$A$7,1))</f>
        <v>A</v>
      </c>
      <c r="J627" s="16">
        <v>97</v>
      </c>
      <c r="K627">
        <f>RANK(J627,$J$2:$J$1001,0)+COUNTIF($J$2:J627,J627)-1</f>
        <v>24</v>
      </c>
      <c r="L627" t="str">
        <f>INDEX('Boundary table'!$B$3:$B$7,MATCH(J627,'Boundary table'!$A$3:$A$7,1))</f>
        <v>A</v>
      </c>
      <c r="M627" s="16">
        <v>99</v>
      </c>
      <c r="N627">
        <f>RANK(M627,$M$2:$M$1001,0)+COUNTIF($M$2:M627,M627)-1</f>
        <v>16</v>
      </c>
      <c r="O627" t="str">
        <f>INDEX('Boundary table'!$B$3:$B$7,MATCH(M627,'Boundary table'!$A$3:$A$7))</f>
        <v>A</v>
      </c>
      <c r="P627">
        <f>Table1[[#This Row],[Math Score]]+Table1[[#This Row],[Reading Score]]+Table1[[#This Row],[Writing Score]]</f>
        <v>296</v>
      </c>
      <c r="Q627" s="16">
        <f>COUNTIF(Table1[[#This Row],[Math Score]],"&lt;60")+COUNTIF(Table1[[#This Row],[Reading Score]],"&lt;60")+COUNTIF(Table1[[#This Row],[Writing Score]],"&lt;60")</f>
        <v>0</v>
      </c>
      <c r="R627" t="str">
        <f>IF(Table1[[#This Row],[Fail Count]]&gt;=2,"At risk","OK")</f>
        <v>OK</v>
      </c>
    </row>
    <row r="628" spans="1:18">
      <c r="A628" t="str">
        <f t="shared" si="9"/>
        <v>Stu-627</v>
      </c>
      <c r="B628" t="s">
        <v>27</v>
      </c>
      <c r="C628" t="s">
        <v>12</v>
      </c>
      <c r="D628" t="s">
        <v>29</v>
      </c>
      <c r="E628" t="s">
        <v>30</v>
      </c>
      <c r="F628" t="s">
        <v>21</v>
      </c>
      <c r="G628" s="16">
        <v>69</v>
      </c>
      <c r="H628">
        <f>RANK(G628,$G$2:$G$1001,0)+COUNTIF($G$2:G628,G628)-1</f>
        <v>429</v>
      </c>
      <c r="I628" t="str">
        <f>INDEX('Boundary table'!$B$3:$B$7,MATCH(G628,'Boundary table'!$A$3:$A$7,1))</f>
        <v>D</v>
      </c>
      <c r="J628" s="16">
        <v>70</v>
      </c>
      <c r="K628">
        <f>RANK(J628,$J$2:$J$1001,0)+COUNTIF($J$2:J628,J628)-1</f>
        <v>503</v>
      </c>
      <c r="L628" t="str">
        <f>INDEX('Boundary table'!$B$3:$B$7,MATCH(J628,'Boundary table'!$A$3:$A$7,1))</f>
        <v>C</v>
      </c>
      <c r="M628" s="16">
        <v>63</v>
      </c>
      <c r="N628">
        <f>RANK(M628,$M$2:$M$1001,0)+COUNTIF($M$2:M628,M628)-1</f>
        <v>646</v>
      </c>
      <c r="O628" t="str">
        <f>INDEX('Boundary table'!$B$3:$B$7,MATCH(M628,'Boundary table'!$A$3:$A$7))</f>
        <v>D</v>
      </c>
      <c r="P628">
        <f>Table1[[#This Row],[Math Score]]+Table1[[#This Row],[Reading Score]]+Table1[[#This Row],[Writing Score]]</f>
        <v>202</v>
      </c>
      <c r="Q628" s="16">
        <f>COUNTIF(Table1[[#This Row],[Math Score]],"&lt;60")+COUNTIF(Table1[[#This Row],[Reading Score]],"&lt;60")+COUNTIF(Table1[[#This Row],[Writing Score]],"&lt;60")</f>
        <v>0</v>
      </c>
      <c r="R628" t="str">
        <f>IF(Table1[[#This Row],[Fail Count]]&gt;=2,"At risk","OK")</f>
        <v>OK</v>
      </c>
    </row>
    <row r="629" spans="1:18">
      <c r="A629" t="str">
        <f t="shared" si="9"/>
        <v>Stu-628</v>
      </c>
      <c r="B629" t="s">
        <v>27</v>
      </c>
      <c r="C629" t="s">
        <v>31</v>
      </c>
      <c r="D629" t="s">
        <v>29</v>
      </c>
      <c r="E629" t="s">
        <v>14</v>
      </c>
      <c r="F629" t="s">
        <v>15</v>
      </c>
      <c r="G629" s="16">
        <v>61</v>
      </c>
      <c r="H629">
        <f>RANK(G629,$G$2:$G$1001,0)+COUNTIF($G$2:G629,G629)-1</f>
        <v>654</v>
      </c>
      <c r="I629" t="str">
        <f>INDEX('Boundary table'!$B$3:$B$7,MATCH(G629,'Boundary table'!$A$3:$A$7,1))</f>
        <v>D</v>
      </c>
      <c r="J629" s="16">
        <v>48</v>
      </c>
      <c r="K629">
        <f>RANK(J629,$J$2:$J$1001,0)+COUNTIF($J$2:J629,J629)-1</f>
        <v>926</v>
      </c>
      <c r="L629" t="str">
        <f>INDEX('Boundary table'!$B$3:$B$7,MATCH(J629,'Boundary table'!$A$3:$A$7,1))</f>
        <v>F</v>
      </c>
      <c r="M629" s="16">
        <v>46</v>
      </c>
      <c r="N629">
        <f>RANK(M629,$M$2:$M$1001,0)+COUNTIF($M$2:M629,M629)-1</f>
        <v>919</v>
      </c>
      <c r="O629" t="str">
        <f>INDEX('Boundary table'!$B$3:$B$7,MATCH(M629,'Boundary table'!$A$3:$A$7))</f>
        <v>F</v>
      </c>
      <c r="P629">
        <f>Table1[[#This Row],[Math Score]]+Table1[[#This Row],[Reading Score]]+Table1[[#This Row],[Writing Score]]</f>
        <v>155</v>
      </c>
      <c r="Q629" s="16">
        <f>COUNTIF(Table1[[#This Row],[Math Score]],"&lt;60")+COUNTIF(Table1[[#This Row],[Reading Score]],"&lt;60")+COUNTIF(Table1[[#This Row],[Writing Score]],"&lt;60")</f>
        <v>2</v>
      </c>
      <c r="R629" t="str">
        <f>IF(Table1[[#This Row],[Fail Count]]&gt;=2,"At risk","OK")</f>
        <v>At risk</v>
      </c>
    </row>
    <row r="630" spans="1:18">
      <c r="A630" t="str">
        <f t="shared" si="9"/>
        <v>Stu-629</v>
      </c>
      <c r="B630" t="s">
        <v>27</v>
      </c>
      <c r="C630" t="s">
        <v>31</v>
      </c>
      <c r="D630" t="s">
        <v>20</v>
      </c>
      <c r="E630" t="s">
        <v>30</v>
      </c>
      <c r="F630" t="s">
        <v>15</v>
      </c>
      <c r="G630" s="16">
        <v>49</v>
      </c>
      <c r="H630">
        <f>RANK(G630,$G$2:$G$1001,0)+COUNTIF($G$2:G630,G630)-1</f>
        <v>874</v>
      </c>
      <c r="I630" t="str">
        <f>INDEX('Boundary table'!$B$3:$B$7,MATCH(G630,'Boundary table'!$A$3:$A$7,1))</f>
        <v>F</v>
      </c>
      <c r="J630" s="16">
        <v>57</v>
      </c>
      <c r="K630">
        <f>RANK(J630,$J$2:$J$1001,0)+COUNTIF($J$2:J630,J630)-1</f>
        <v>800</v>
      </c>
      <c r="L630" t="str">
        <f>INDEX('Boundary table'!$B$3:$B$7,MATCH(J630,'Boundary table'!$A$3:$A$7,1))</f>
        <v>F</v>
      </c>
      <c r="M630" s="16">
        <v>46</v>
      </c>
      <c r="N630">
        <f>RANK(M630,$M$2:$M$1001,0)+COUNTIF($M$2:M630,M630)-1</f>
        <v>920</v>
      </c>
      <c r="O630" t="str">
        <f>INDEX('Boundary table'!$B$3:$B$7,MATCH(M630,'Boundary table'!$A$3:$A$7))</f>
        <v>F</v>
      </c>
      <c r="P630">
        <f>Table1[[#This Row],[Math Score]]+Table1[[#This Row],[Reading Score]]+Table1[[#This Row],[Writing Score]]</f>
        <v>152</v>
      </c>
      <c r="Q630" s="16">
        <f>COUNTIF(Table1[[#This Row],[Math Score]],"&lt;60")+COUNTIF(Table1[[#This Row],[Reading Score]],"&lt;60")+COUNTIF(Table1[[#This Row],[Writing Score]],"&lt;60")</f>
        <v>3</v>
      </c>
      <c r="R630" t="str">
        <f>IF(Table1[[#This Row],[Fail Count]]&gt;=2,"At risk","OK")</f>
        <v>At risk</v>
      </c>
    </row>
    <row r="631" spans="1:18">
      <c r="A631" t="str">
        <f t="shared" si="9"/>
        <v>Stu-630</v>
      </c>
      <c r="B631" t="s">
        <v>11</v>
      </c>
      <c r="C631" t="s">
        <v>19</v>
      </c>
      <c r="D631" t="s">
        <v>33</v>
      </c>
      <c r="E631" t="s">
        <v>14</v>
      </c>
      <c r="F631" t="s">
        <v>21</v>
      </c>
      <c r="G631" s="16">
        <v>44</v>
      </c>
      <c r="H631">
        <f>RANK(G631,$G$2:$G$1001,0)+COUNTIF($G$2:G631,G631)-1</f>
        <v>930</v>
      </c>
      <c r="I631" t="str">
        <f>INDEX('Boundary table'!$B$3:$B$7,MATCH(G631,'Boundary table'!$A$3:$A$7,1))</f>
        <v>F</v>
      </c>
      <c r="J631" s="16">
        <v>51</v>
      </c>
      <c r="K631">
        <f>RANK(J631,$J$2:$J$1001,0)+COUNTIF($J$2:J631,J631)-1</f>
        <v>897</v>
      </c>
      <c r="L631" t="str">
        <f>INDEX('Boundary table'!$B$3:$B$7,MATCH(J631,'Boundary table'!$A$3:$A$7,1))</f>
        <v>F</v>
      </c>
      <c r="M631" s="16">
        <v>55</v>
      </c>
      <c r="N631">
        <f>RANK(M631,$M$2:$M$1001,0)+COUNTIF($M$2:M631,M631)-1</f>
        <v>791</v>
      </c>
      <c r="O631" t="str">
        <f>INDEX('Boundary table'!$B$3:$B$7,MATCH(M631,'Boundary table'!$A$3:$A$7))</f>
        <v>F</v>
      </c>
      <c r="P631">
        <f>Table1[[#This Row],[Math Score]]+Table1[[#This Row],[Reading Score]]+Table1[[#This Row],[Writing Score]]</f>
        <v>150</v>
      </c>
      <c r="Q631" s="16">
        <f>COUNTIF(Table1[[#This Row],[Math Score]],"&lt;60")+COUNTIF(Table1[[#This Row],[Reading Score]],"&lt;60")+COUNTIF(Table1[[#This Row],[Writing Score]],"&lt;60")</f>
        <v>3</v>
      </c>
      <c r="R631" t="str">
        <f>IF(Table1[[#This Row],[Fail Count]]&gt;=2,"At risk","OK")</f>
        <v>At risk</v>
      </c>
    </row>
    <row r="632" spans="1:18">
      <c r="A632" t="str">
        <f t="shared" si="9"/>
        <v>Stu-631</v>
      </c>
      <c r="B632" t="s">
        <v>27</v>
      </c>
      <c r="C632" t="s">
        <v>31</v>
      </c>
      <c r="D632" t="s">
        <v>20</v>
      </c>
      <c r="E632" t="s">
        <v>14</v>
      </c>
      <c r="F632" t="s">
        <v>15</v>
      </c>
      <c r="G632" s="16">
        <v>67</v>
      </c>
      <c r="H632">
        <f>RANK(G632,$G$2:$G$1001,0)+COUNTIF($G$2:G632,G632)-1</f>
        <v>483</v>
      </c>
      <c r="I632" t="str">
        <f>INDEX('Boundary table'!$B$3:$B$7,MATCH(G632,'Boundary table'!$A$3:$A$7,1))</f>
        <v>D</v>
      </c>
      <c r="J632" s="16">
        <v>64</v>
      </c>
      <c r="K632">
        <f>RANK(J632,$J$2:$J$1001,0)+COUNTIF($J$2:J632,J632)-1</f>
        <v>648</v>
      </c>
      <c r="L632" t="str">
        <f>INDEX('Boundary table'!$B$3:$B$7,MATCH(J632,'Boundary table'!$A$3:$A$7,1))</f>
        <v>D</v>
      </c>
      <c r="M632" s="16">
        <v>70</v>
      </c>
      <c r="N632">
        <f>RANK(M632,$M$2:$M$1001,0)+COUNTIF($M$2:M632,M632)-1</f>
        <v>480</v>
      </c>
      <c r="O632" t="str">
        <f>INDEX('Boundary table'!$B$3:$B$7,MATCH(M632,'Boundary table'!$A$3:$A$7))</f>
        <v>C</v>
      </c>
      <c r="P632">
        <f>Table1[[#This Row],[Math Score]]+Table1[[#This Row],[Reading Score]]+Table1[[#This Row],[Writing Score]]</f>
        <v>201</v>
      </c>
      <c r="Q632" s="16">
        <f>COUNTIF(Table1[[#This Row],[Math Score]],"&lt;60")+COUNTIF(Table1[[#This Row],[Reading Score]],"&lt;60")+COUNTIF(Table1[[#This Row],[Writing Score]],"&lt;60")</f>
        <v>0</v>
      </c>
      <c r="R632" t="str">
        <f>IF(Table1[[#This Row],[Fail Count]]&gt;=2,"At risk","OK")</f>
        <v>OK</v>
      </c>
    </row>
    <row r="633" spans="1:18">
      <c r="A633" t="str">
        <f t="shared" si="9"/>
        <v>Stu-632</v>
      </c>
      <c r="B633" t="s">
        <v>27</v>
      </c>
      <c r="C633" t="s">
        <v>12</v>
      </c>
      <c r="D633" t="s">
        <v>32</v>
      </c>
      <c r="E633" t="s">
        <v>14</v>
      </c>
      <c r="F633" t="s">
        <v>15</v>
      </c>
      <c r="G633" s="16">
        <v>79</v>
      </c>
      <c r="H633">
        <f>RANK(G633,$G$2:$G$1001,0)+COUNTIF($G$2:G633,G633)-1</f>
        <v>210</v>
      </c>
      <c r="I633" t="str">
        <f>INDEX('Boundary table'!$B$3:$B$7,MATCH(G633,'Boundary table'!$A$3:$A$7,1))</f>
        <v>C</v>
      </c>
      <c r="J633" s="16">
        <v>60</v>
      </c>
      <c r="K633">
        <f>RANK(J633,$J$2:$J$1001,0)+COUNTIF($J$2:J633,J633)-1</f>
        <v>738</v>
      </c>
      <c r="L633" t="str">
        <f>INDEX('Boundary table'!$B$3:$B$7,MATCH(J633,'Boundary table'!$A$3:$A$7,1))</f>
        <v>D</v>
      </c>
      <c r="M633" s="16">
        <v>65</v>
      </c>
      <c r="N633">
        <f>RANK(M633,$M$2:$M$1001,0)+COUNTIF($M$2:M633,M633)-1</f>
        <v>607</v>
      </c>
      <c r="O633" t="str">
        <f>INDEX('Boundary table'!$B$3:$B$7,MATCH(M633,'Boundary table'!$A$3:$A$7))</f>
        <v>D</v>
      </c>
      <c r="P633">
        <f>Table1[[#This Row],[Math Score]]+Table1[[#This Row],[Reading Score]]+Table1[[#This Row],[Writing Score]]</f>
        <v>204</v>
      </c>
      <c r="Q633" s="16">
        <f>COUNTIF(Table1[[#This Row],[Math Score]],"&lt;60")+COUNTIF(Table1[[#This Row],[Reading Score]],"&lt;60")+COUNTIF(Table1[[#This Row],[Writing Score]],"&lt;60")</f>
        <v>0</v>
      </c>
      <c r="R633" t="str">
        <f>IF(Table1[[#This Row],[Fail Count]]&gt;=2,"At risk","OK")</f>
        <v>OK</v>
      </c>
    </row>
    <row r="634" spans="1:18">
      <c r="A634" t="str">
        <f t="shared" si="9"/>
        <v>Stu-633</v>
      </c>
      <c r="B634" t="s">
        <v>11</v>
      </c>
      <c r="C634" t="s">
        <v>12</v>
      </c>
      <c r="D634" t="s">
        <v>13</v>
      </c>
      <c r="E634" t="s">
        <v>14</v>
      </c>
      <c r="F634" t="s">
        <v>21</v>
      </c>
      <c r="G634" s="16">
        <v>66</v>
      </c>
      <c r="H634">
        <f>RANK(G634,$G$2:$G$1001,0)+COUNTIF($G$2:G634,G634)-1</f>
        <v>508</v>
      </c>
      <c r="I634" t="str">
        <f>INDEX('Boundary table'!$B$3:$B$7,MATCH(G634,'Boundary table'!$A$3:$A$7,1))</f>
        <v>D</v>
      </c>
      <c r="J634" s="16">
        <v>74</v>
      </c>
      <c r="K634">
        <f>RANK(J634,$J$2:$J$1001,0)+COUNTIF($J$2:J634,J634)-1</f>
        <v>392</v>
      </c>
      <c r="L634" t="str">
        <f>INDEX('Boundary table'!$B$3:$B$7,MATCH(J634,'Boundary table'!$A$3:$A$7,1))</f>
        <v>C</v>
      </c>
      <c r="M634" s="16">
        <v>81</v>
      </c>
      <c r="N634">
        <f>RANK(M634,$M$2:$M$1001,0)+COUNTIF($M$2:M634,M634)-1</f>
        <v>200</v>
      </c>
      <c r="O634" t="str">
        <f>INDEX('Boundary table'!$B$3:$B$7,MATCH(M634,'Boundary table'!$A$3:$A$7))</f>
        <v>B</v>
      </c>
      <c r="P634">
        <f>Table1[[#This Row],[Math Score]]+Table1[[#This Row],[Reading Score]]+Table1[[#This Row],[Writing Score]]</f>
        <v>221</v>
      </c>
      <c r="Q634" s="16">
        <f>COUNTIF(Table1[[#This Row],[Math Score]],"&lt;60")+COUNTIF(Table1[[#This Row],[Reading Score]],"&lt;60")+COUNTIF(Table1[[#This Row],[Writing Score]],"&lt;60")</f>
        <v>0</v>
      </c>
      <c r="R634" t="str">
        <f>IF(Table1[[#This Row],[Fail Count]]&gt;=2,"At risk","OK")</f>
        <v>OK</v>
      </c>
    </row>
    <row r="635" spans="1:18">
      <c r="A635" t="str">
        <f t="shared" si="9"/>
        <v>Stu-634</v>
      </c>
      <c r="B635" t="s">
        <v>11</v>
      </c>
      <c r="C635" t="s">
        <v>19</v>
      </c>
      <c r="D635" t="s">
        <v>32</v>
      </c>
      <c r="E635" t="s">
        <v>14</v>
      </c>
      <c r="F635" t="s">
        <v>15</v>
      </c>
      <c r="G635" s="16">
        <v>75</v>
      </c>
      <c r="H635">
        <f>RANK(G635,$G$2:$G$1001,0)+COUNTIF($G$2:G635,G635)-1</f>
        <v>287</v>
      </c>
      <c r="I635" t="str">
        <f>INDEX('Boundary table'!$B$3:$B$7,MATCH(G635,'Boundary table'!$A$3:$A$7,1))</f>
        <v>C</v>
      </c>
      <c r="J635" s="16">
        <v>88</v>
      </c>
      <c r="K635">
        <f>RANK(J635,$J$2:$J$1001,0)+COUNTIF($J$2:J635,J635)-1</f>
        <v>99</v>
      </c>
      <c r="L635" t="str">
        <f>INDEX('Boundary table'!$B$3:$B$7,MATCH(J635,'Boundary table'!$A$3:$A$7,1))</f>
        <v>B</v>
      </c>
      <c r="M635" s="16">
        <v>85</v>
      </c>
      <c r="N635">
        <f>RANK(M635,$M$2:$M$1001,0)+COUNTIF($M$2:M635,M635)-1</f>
        <v>129</v>
      </c>
      <c r="O635" t="str">
        <f>INDEX('Boundary table'!$B$3:$B$7,MATCH(M635,'Boundary table'!$A$3:$A$7))</f>
        <v>B</v>
      </c>
      <c r="P635">
        <f>Table1[[#This Row],[Math Score]]+Table1[[#This Row],[Reading Score]]+Table1[[#This Row],[Writing Score]]</f>
        <v>248</v>
      </c>
      <c r="Q635" s="16">
        <f>COUNTIF(Table1[[#This Row],[Math Score]],"&lt;60")+COUNTIF(Table1[[#This Row],[Reading Score]],"&lt;60")+COUNTIF(Table1[[#This Row],[Writing Score]],"&lt;60")</f>
        <v>0</v>
      </c>
      <c r="R635" t="str">
        <f>IF(Table1[[#This Row],[Fail Count]]&gt;=2,"At risk","OK")</f>
        <v>OK</v>
      </c>
    </row>
    <row r="636" spans="1:18">
      <c r="A636" t="str">
        <f t="shared" si="9"/>
        <v>Stu-635</v>
      </c>
      <c r="B636" t="s">
        <v>27</v>
      </c>
      <c r="C636" t="s">
        <v>31</v>
      </c>
      <c r="D636" t="s">
        <v>33</v>
      </c>
      <c r="E636" t="s">
        <v>14</v>
      </c>
      <c r="F636" t="s">
        <v>15</v>
      </c>
      <c r="G636" s="16">
        <v>84</v>
      </c>
      <c r="H636">
        <f>RANK(G636,$G$2:$G$1001,0)+COUNTIF($G$2:G636,G636)-1</f>
        <v>126</v>
      </c>
      <c r="I636" t="str">
        <f>INDEX('Boundary table'!$B$3:$B$7,MATCH(G636,'Boundary table'!$A$3:$A$7,1))</f>
        <v>B</v>
      </c>
      <c r="J636" s="16">
        <v>84</v>
      </c>
      <c r="K636">
        <f>RANK(J636,$J$2:$J$1001,0)+COUNTIF($J$2:J636,J636)-1</f>
        <v>162</v>
      </c>
      <c r="L636" t="str">
        <f>INDEX('Boundary table'!$B$3:$B$7,MATCH(J636,'Boundary table'!$A$3:$A$7,1))</f>
        <v>B</v>
      </c>
      <c r="M636" s="16">
        <v>80</v>
      </c>
      <c r="N636">
        <f>RANK(M636,$M$2:$M$1001,0)+COUNTIF($M$2:M636,M636)-1</f>
        <v>226</v>
      </c>
      <c r="O636" t="str">
        <f>INDEX('Boundary table'!$B$3:$B$7,MATCH(M636,'Boundary table'!$A$3:$A$7))</f>
        <v>B</v>
      </c>
      <c r="P636">
        <f>Table1[[#This Row],[Math Score]]+Table1[[#This Row],[Reading Score]]+Table1[[#This Row],[Writing Score]]</f>
        <v>248</v>
      </c>
      <c r="Q636" s="16">
        <f>COUNTIF(Table1[[#This Row],[Math Score]],"&lt;60")+COUNTIF(Table1[[#This Row],[Reading Score]],"&lt;60")+COUNTIF(Table1[[#This Row],[Writing Score]],"&lt;60")</f>
        <v>0</v>
      </c>
      <c r="R636" t="str">
        <f>IF(Table1[[#This Row],[Fail Count]]&gt;=2,"At risk","OK")</f>
        <v>OK</v>
      </c>
    </row>
    <row r="637" spans="1:18">
      <c r="A637" t="str">
        <f t="shared" si="9"/>
        <v>Stu-636</v>
      </c>
      <c r="B637" t="s">
        <v>27</v>
      </c>
      <c r="C637" t="s">
        <v>28</v>
      </c>
      <c r="D637" t="s">
        <v>32</v>
      </c>
      <c r="E637" t="s">
        <v>14</v>
      </c>
      <c r="F637" t="s">
        <v>15</v>
      </c>
      <c r="G637" s="16">
        <v>71</v>
      </c>
      <c r="H637">
        <f>RANK(G637,$G$2:$G$1001,0)+COUNTIF($G$2:G637,G637)-1</f>
        <v>386</v>
      </c>
      <c r="I637" t="str">
        <f>INDEX('Boundary table'!$B$3:$B$7,MATCH(G637,'Boundary table'!$A$3:$A$7,1))</f>
        <v>C</v>
      </c>
      <c r="J637" s="16">
        <v>74</v>
      </c>
      <c r="K637">
        <f>RANK(J637,$J$2:$J$1001,0)+COUNTIF($J$2:J637,J637)-1</f>
        <v>393</v>
      </c>
      <c r="L637" t="str">
        <f>INDEX('Boundary table'!$B$3:$B$7,MATCH(J637,'Boundary table'!$A$3:$A$7,1))</f>
        <v>C</v>
      </c>
      <c r="M637" s="16">
        <v>64</v>
      </c>
      <c r="N637">
        <f>RANK(M637,$M$2:$M$1001,0)+COUNTIF($M$2:M637,M637)-1</f>
        <v>628</v>
      </c>
      <c r="O637" t="str">
        <f>INDEX('Boundary table'!$B$3:$B$7,MATCH(M637,'Boundary table'!$A$3:$A$7))</f>
        <v>D</v>
      </c>
      <c r="P637">
        <f>Table1[[#This Row],[Math Score]]+Table1[[#This Row],[Reading Score]]+Table1[[#This Row],[Writing Score]]</f>
        <v>209</v>
      </c>
      <c r="Q637" s="16">
        <f>COUNTIF(Table1[[#This Row],[Math Score]],"&lt;60")+COUNTIF(Table1[[#This Row],[Reading Score]],"&lt;60")+COUNTIF(Table1[[#This Row],[Writing Score]],"&lt;60")</f>
        <v>0</v>
      </c>
      <c r="R637" t="str">
        <f>IF(Table1[[#This Row],[Fail Count]]&gt;=2,"At risk","OK")</f>
        <v>OK</v>
      </c>
    </row>
    <row r="638" spans="1:18">
      <c r="A638" t="str">
        <f t="shared" si="9"/>
        <v>Stu-637</v>
      </c>
      <c r="B638" t="s">
        <v>11</v>
      </c>
      <c r="C638" t="s">
        <v>12</v>
      </c>
      <c r="D638" t="s">
        <v>32</v>
      </c>
      <c r="E638" t="s">
        <v>30</v>
      </c>
      <c r="F638" t="s">
        <v>21</v>
      </c>
      <c r="G638" s="16">
        <v>67</v>
      </c>
      <c r="H638">
        <f>RANK(G638,$G$2:$G$1001,0)+COUNTIF($G$2:G638,G638)-1</f>
        <v>484</v>
      </c>
      <c r="I638" t="str">
        <f>INDEX('Boundary table'!$B$3:$B$7,MATCH(G638,'Boundary table'!$A$3:$A$7,1))</f>
        <v>D</v>
      </c>
      <c r="J638" s="16">
        <v>80</v>
      </c>
      <c r="K638">
        <f>RANK(J638,$J$2:$J$1001,0)+COUNTIF($J$2:J638,J638)-1</f>
        <v>246</v>
      </c>
      <c r="L638" t="str">
        <f>INDEX('Boundary table'!$B$3:$B$7,MATCH(J638,'Boundary table'!$A$3:$A$7,1))</f>
        <v>B</v>
      </c>
      <c r="M638" s="16">
        <v>81</v>
      </c>
      <c r="N638">
        <f>RANK(M638,$M$2:$M$1001,0)+COUNTIF($M$2:M638,M638)-1</f>
        <v>201</v>
      </c>
      <c r="O638" t="str">
        <f>INDEX('Boundary table'!$B$3:$B$7,MATCH(M638,'Boundary table'!$A$3:$A$7))</f>
        <v>B</v>
      </c>
      <c r="P638">
        <f>Table1[[#This Row],[Math Score]]+Table1[[#This Row],[Reading Score]]+Table1[[#This Row],[Writing Score]]</f>
        <v>228</v>
      </c>
      <c r="Q638" s="16">
        <f>COUNTIF(Table1[[#This Row],[Math Score]],"&lt;60")+COUNTIF(Table1[[#This Row],[Reading Score]],"&lt;60")+COUNTIF(Table1[[#This Row],[Writing Score]],"&lt;60")</f>
        <v>0</v>
      </c>
      <c r="R638" t="str">
        <f>IF(Table1[[#This Row],[Fail Count]]&gt;=2,"At risk","OK")</f>
        <v>OK</v>
      </c>
    </row>
    <row r="639" spans="1:18">
      <c r="A639" t="str">
        <f t="shared" si="9"/>
        <v>Stu-638</v>
      </c>
      <c r="B639" t="s">
        <v>11</v>
      </c>
      <c r="C639" t="s">
        <v>31</v>
      </c>
      <c r="D639" t="s">
        <v>33</v>
      </c>
      <c r="E639" t="s">
        <v>14</v>
      </c>
      <c r="F639" t="s">
        <v>21</v>
      </c>
      <c r="G639" s="16">
        <v>80</v>
      </c>
      <c r="H639">
        <f>RANK(G639,$G$2:$G$1001,0)+COUNTIF($G$2:G639,G639)-1</f>
        <v>188</v>
      </c>
      <c r="I639" t="str">
        <f>INDEX('Boundary table'!$B$3:$B$7,MATCH(G639,'Boundary table'!$A$3:$A$7,1))</f>
        <v>B</v>
      </c>
      <c r="J639" s="16">
        <v>92</v>
      </c>
      <c r="K639">
        <f>RANK(J639,$J$2:$J$1001,0)+COUNTIF($J$2:J639,J639)-1</f>
        <v>54</v>
      </c>
      <c r="L639" t="str">
        <f>INDEX('Boundary table'!$B$3:$B$7,MATCH(J639,'Boundary table'!$A$3:$A$7,1))</f>
        <v>A</v>
      </c>
      <c r="M639" s="16">
        <v>88</v>
      </c>
      <c r="N639">
        <f>RANK(M639,$M$2:$M$1001,0)+COUNTIF($M$2:M639,M639)-1</f>
        <v>95</v>
      </c>
      <c r="O639" t="str">
        <f>INDEX('Boundary table'!$B$3:$B$7,MATCH(M639,'Boundary table'!$A$3:$A$7))</f>
        <v>B</v>
      </c>
      <c r="P639">
        <f>Table1[[#This Row],[Math Score]]+Table1[[#This Row],[Reading Score]]+Table1[[#This Row],[Writing Score]]</f>
        <v>260</v>
      </c>
      <c r="Q639" s="16">
        <f>COUNTIF(Table1[[#This Row],[Math Score]],"&lt;60")+COUNTIF(Table1[[#This Row],[Reading Score]],"&lt;60")+COUNTIF(Table1[[#This Row],[Writing Score]],"&lt;60")</f>
        <v>0</v>
      </c>
      <c r="R639" t="str">
        <f>IF(Table1[[#This Row],[Fail Count]]&gt;=2,"At risk","OK")</f>
        <v>OK</v>
      </c>
    </row>
    <row r="640" spans="1:18">
      <c r="A640" t="str">
        <f t="shared" si="9"/>
        <v>Stu-639</v>
      </c>
      <c r="B640" t="s">
        <v>27</v>
      </c>
      <c r="C640" t="s">
        <v>34</v>
      </c>
      <c r="D640" t="s">
        <v>20</v>
      </c>
      <c r="E640" t="s">
        <v>14</v>
      </c>
      <c r="F640" t="s">
        <v>15</v>
      </c>
      <c r="G640" s="16">
        <v>86</v>
      </c>
      <c r="H640">
        <f>RANK(G640,$G$2:$G$1001,0)+COUNTIF($G$2:G640,G640)-1</f>
        <v>101</v>
      </c>
      <c r="I640" t="str">
        <f>INDEX('Boundary table'!$B$3:$B$7,MATCH(G640,'Boundary table'!$A$3:$A$7,1))</f>
        <v>B</v>
      </c>
      <c r="J640" s="16">
        <v>76</v>
      </c>
      <c r="K640">
        <f>RANK(J640,$J$2:$J$1001,0)+COUNTIF($J$2:J640,J640)-1</f>
        <v>335</v>
      </c>
      <c r="L640" t="str">
        <f>INDEX('Boundary table'!$B$3:$B$7,MATCH(J640,'Boundary table'!$A$3:$A$7,1))</f>
        <v>C</v>
      </c>
      <c r="M640" s="16">
        <v>74</v>
      </c>
      <c r="N640">
        <f>RANK(M640,$M$2:$M$1001,0)+COUNTIF($M$2:M640,M640)-1</f>
        <v>372</v>
      </c>
      <c r="O640" t="str">
        <f>INDEX('Boundary table'!$B$3:$B$7,MATCH(M640,'Boundary table'!$A$3:$A$7))</f>
        <v>C</v>
      </c>
      <c r="P640">
        <f>Table1[[#This Row],[Math Score]]+Table1[[#This Row],[Reading Score]]+Table1[[#This Row],[Writing Score]]</f>
        <v>236</v>
      </c>
      <c r="Q640" s="16">
        <f>COUNTIF(Table1[[#This Row],[Math Score]],"&lt;60")+COUNTIF(Table1[[#This Row],[Reading Score]],"&lt;60")+COUNTIF(Table1[[#This Row],[Writing Score]],"&lt;60")</f>
        <v>0</v>
      </c>
      <c r="R640" t="str">
        <f>IF(Table1[[#This Row],[Fail Count]]&gt;=2,"At risk","OK")</f>
        <v>OK</v>
      </c>
    </row>
    <row r="641" spans="1:18">
      <c r="A641" t="str">
        <f t="shared" si="9"/>
        <v>Stu-640</v>
      </c>
      <c r="B641" t="s">
        <v>11</v>
      </c>
      <c r="C641" t="s">
        <v>31</v>
      </c>
      <c r="D641" t="s">
        <v>29</v>
      </c>
      <c r="E641" t="s">
        <v>14</v>
      </c>
      <c r="F641" t="s">
        <v>15</v>
      </c>
      <c r="G641" s="16">
        <v>76</v>
      </c>
      <c r="H641">
        <f>RANK(G641,$G$2:$G$1001,0)+COUNTIF($G$2:G641,G641)-1</f>
        <v>269</v>
      </c>
      <c r="I641" t="str">
        <f>INDEX('Boundary table'!$B$3:$B$7,MATCH(G641,'Boundary table'!$A$3:$A$7,1))</f>
        <v>C</v>
      </c>
      <c r="J641" s="16">
        <v>74</v>
      </c>
      <c r="K641">
        <f>RANK(J641,$J$2:$J$1001,0)+COUNTIF($J$2:J641,J641)-1</f>
        <v>394</v>
      </c>
      <c r="L641" t="str">
        <f>INDEX('Boundary table'!$B$3:$B$7,MATCH(J641,'Boundary table'!$A$3:$A$7,1))</f>
        <v>C</v>
      </c>
      <c r="M641" s="16">
        <v>73</v>
      </c>
      <c r="N641">
        <f>RANK(M641,$M$2:$M$1001,0)+COUNTIF($M$2:M641,M641)-1</f>
        <v>402</v>
      </c>
      <c r="O641" t="str">
        <f>INDEX('Boundary table'!$B$3:$B$7,MATCH(M641,'Boundary table'!$A$3:$A$7))</f>
        <v>C</v>
      </c>
      <c r="P641">
        <f>Table1[[#This Row],[Math Score]]+Table1[[#This Row],[Reading Score]]+Table1[[#This Row],[Writing Score]]</f>
        <v>223</v>
      </c>
      <c r="Q641" s="16">
        <f>COUNTIF(Table1[[#This Row],[Math Score]],"&lt;60")+COUNTIF(Table1[[#This Row],[Reading Score]],"&lt;60")+COUNTIF(Table1[[#This Row],[Writing Score]],"&lt;60")</f>
        <v>0</v>
      </c>
      <c r="R641" t="str">
        <f>IF(Table1[[#This Row],[Fail Count]]&gt;=2,"At risk","OK")</f>
        <v>OK</v>
      </c>
    </row>
    <row r="642" spans="1:18">
      <c r="A642" t="str">
        <f t="shared" ref="A642:A705" si="10">"Stu-"&amp;TEXT(ROW()-1,"000")</f>
        <v>Stu-641</v>
      </c>
      <c r="B642" t="s">
        <v>27</v>
      </c>
      <c r="C642" t="s">
        <v>31</v>
      </c>
      <c r="D642" t="s">
        <v>32</v>
      </c>
      <c r="E642" t="s">
        <v>14</v>
      </c>
      <c r="F642" t="s">
        <v>15</v>
      </c>
      <c r="G642" s="16">
        <v>41</v>
      </c>
      <c r="H642">
        <f>RANK(G642,$G$2:$G$1001,0)+COUNTIF($G$2:G642,G642)-1</f>
        <v>949</v>
      </c>
      <c r="I642" t="str">
        <f>INDEX('Boundary table'!$B$3:$B$7,MATCH(G642,'Boundary table'!$A$3:$A$7,1))</f>
        <v>F</v>
      </c>
      <c r="J642" s="16">
        <v>52</v>
      </c>
      <c r="K642">
        <f>RANK(J642,$J$2:$J$1001,0)+COUNTIF($J$2:J642,J642)-1</f>
        <v>883</v>
      </c>
      <c r="L642" t="str">
        <f>INDEX('Boundary table'!$B$3:$B$7,MATCH(J642,'Boundary table'!$A$3:$A$7,1))</f>
        <v>F</v>
      </c>
      <c r="M642" s="16">
        <v>51</v>
      </c>
      <c r="N642">
        <f>RANK(M642,$M$2:$M$1001,0)+COUNTIF($M$2:M642,M642)-1</f>
        <v>868</v>
      </c>
      <c r="O642" t="str">
        <f>INDEX('Boundary table'!$B$3:$B$7,MATCH(M642,'Boundary table'!$A$3:$A$7))</f>
        <v>F</v>
      </c>
      <c r="P642">
        <f>Table1[[#This Row],[Math Score]]+Table1[[#This Row],[Reading Score]]+Table1[[#This Row],[Writing Score]]</f>
        <v>144</v>
      </c>
      <c r="Q642" s="16">
        <f>COUNTIF(Table1[[#This Row],[Math Score]],"&lt;60")+COUNTIF(Table1[[#This Row],[Reading Score]],"&lt;60")+COUNTIF(Table1[[#This Row],[Writing Score]],"&lt;60")</f>
        <v>3</v>
      </c>
      <c r="R642" t="str">
        <f>IF(Table1[[#This Row],[Fail Count]]&gt;=2,"At risk","OK")</f>
        <v>At risk</v>
      </c>
    </row>
    <row r="643" spans="1:18">
      <c r="A643" t="str">
        <f t="shared" si="10"/>
        <v>Stu-642</v>
      </c>
      <c r="B643" t="s">
        <v>11</v>
      </c>
      <c r="C643" t="s">
        <v>31</v>
      </c>
      <c r="D643" t="s">
        <v>29</v>
      </c>
      <c r="E643" t="s">
        <v>30</v>
      </c>
      <c r="F643" t="s">
        <v>21</v>
      </c>
      <c r="G643" s="16">
        <v>74</v>
      </c>
      <c r="H643">
        <f>RANK(G643,$G$2:$G$1001,0)+COUNTIF($G$2:G643,G643)-1</f>
        <v>310</v>
      </c>
      <c r="I643" t="str">
        <f>INDEX('Boundary table'!$B$3:$B$7,MATCH(G643,'Boundary table'!$A$3:$A$7,1))</f>
        <v>C</v>
      </c>
      <c r="J643" s="16">
        <v>88</v>
      </c>
      <c r="K643">
        <f>RANK(J643,$J$2:$J$1001,0)+COUNTIF($J$2:J643,J643)-1</f>
        <v>100</v>
      </c>
      <c r="L643" t="str">
        <f>INDEX('Boundary table'!$B$3:$B$7,MATCH(J643,'Boundary table'!$A$3:$A$7,1))</f>
        <v>B</v>
      </c>
      <c r="M643" s="16">
        <v>90</v>
      </c>
      <c r="N643">
        <f>RANK(M643,$M$2:$M$1001,0)+COUNTIF($M$2:M643,M643)-1</f>
        <v>75</v>
      </c>
      <c r="O643" t="str">
        <f>INDEX('Boundary table'!$B$3:$B$7,MATCH(M643,'Boundary table'!$A$3:$A$7))</f>
        <v>A</v>
      </c>
      <c r="P643">
        <f>Table1[[#This Row],[Math Score]]+Table1[[#This Row],[Reading Score]]+Table1[[#This Row],[Writing Score]]</f>
        <v>252</v>
      </c>
      <c r="Q643" s="16">
        <f>COUNTIF(Table1[[#This Row],[Math Score]],"&lt;60")+COUNTIF(Table1[[#This Row],[Reading Score]],"&lt;60")+COUNTIF(Table1[[#This Row],[Writing Score]],"&lt;60")</f>
        <v>0</v>
      </c>
      <c r="R643" t="str">
        <f>IF(Table1[[#This Row],[Fail Count]]&gt;=2,"At risk","OK")</f>
        <v>OK</v>
      </c>
    </row>
    <row r="644" spans="1:18">
      <c r="A644" t="str">
        <f t="shared" si="10"/>
        <v>Stu-643</v>
      </c>
      <c r="B644" t="s">
        <v>11</v>
      </c>
      <c r="C644" t="s">
        <v>12</v>
      </c>
      <c r="D644" t="s">
        <v>33</v>
      </c>
      <c r="E644" t="s">
        <v>30</v>
      </c>
      <c r="F644" t="s">
        <v>15</v>
      </c>
      <c r="G644" s="16">
        <v>72</v>
      </c>
      <c r="H644">
        <f>RANK(G644,$G$2:$G$1001,0)+COUNTIF($G$2:G644,G644)-1</f>
        <v>357</v>
      </c>
      <c r="I644" t="str">
        <f>INDEX('Boundary table'!$B$3:$B$7,MATCH(G644,'Boundary table'!$A$3:$A$7,1))</f>
        <v>C</v>
      </c>
      <c r="J644" s="16">
        <v>81</v>
      </c>
      <c r="K644">
        <f>RANK(J644,$J$2:$J$1001,0)+COUNTIF($J$2:J644,J644)-1</f>
        <v>226</v>
      </c>
      <c r="L644" t="str">
        <f>INDEX('Boundary table'!$B$3:$B$7,MATCH(J644,'Boundary table'!$A$3:$A$7,1))</f>
        <v>B</v>
      </c>
      <c r="M644" s="16">
        <v>79</v>
      </c>
      <c r="N644">
        <f>RANK(M644,$M$2:$M$1001,0)+COUNTIF($M$2:M644,M644)-1</f>
        <v>247</v>
      </c>
      <c r="O644" t="str">
        <f>INDEX('Boundary table'!$B$3:$B$7,MATCH(M644,'Boundary table'!$A$3:$A$7))</f>
        <v>C</v>
      </c>
      <c r="P644">
        <f>Table1[[#This Row],[Math Score]]+Table1[[#This Row],[Reading Score]]+Table1[[#This Row],[Writing Score]]</f>
        <v>232</v>
      </c>
      <c r="Q644" s="16">
        <f>COUNTIF(Table1[[#This Row],[Math Score]],"&lt;60")+COUNTIF(Table1[[#This Row],[Reading Score]],"&lt;60")+COUNTIF(Table1[[#This Row],[Writing Score]],"&lt;60")</f>
        <v>0</v>
      </c>
      <c r="R644" t="str">
        <f>IF(Table1[[#This Row],[Fail Count]]&gt;=2,"At risk","OK")</f>
        <v>OK</v>
      </c>
    </row>
    <row r="645" spans="1:18">
      <c r="A645" t="str">
        <f t="shared" si="10"/>
        <v>Stu-644</v>
      </c>
      <c r="B645" t="s">
        <v>11</v>
      </c>
      <c r="C645" t="s">
        <v>34</v>
      </c>
      <c r="D645" t="s">
        <v>32</v>
      </c>
      <c r="E645" t="s">
        <v>14</v>
      </c>
      <c r="F645" t="s">
        <v>21</v>
      </c>
      <c r="G645" s="16">
        <v>74</v>
      </c>
      <c r="H645">
        <f>RANK(G645,$G$2:$G$1001,0)+COUNTIF($G$2:G645,G645)-1</f>
        <v>311</v>
      </c>
      <c r="I645" t="str">
        <f>INDEX('Boundary table'!$B$3:$B$7,MATCH(G645,'Boundary table'!$A$3:$A$7,1))</f>
        <v>C</v>
      </c>
      <c r="J645" s="16">
        <v>79</v>
      </c>
      <c r="K645">
        <f>RANK(J645,$J$2:$J$1001,0)+COUNTIF($J$2:J645,J645)-1</f>
        <v>261</v>
      </c>
      <c r="L645" t="str">
        <f>INDEX('Boundary table'!$B$3:$B$7,MATCH(J645,'Boundary table'!$A$3:$A$7,1))</f>
        <v>C</v>
      </c>
      <c r="M645" s="16">
        <v>80</v>
      </c>
      <c r="N645">
        <f>RANK(M645,$M$2:$M$1001,0)+COUNTIF($M$2:M645,M645)-1</f>
        <v>227</v>
      </c>
      <c r="O645" t="str">
        <f>INDEX('Boundary table'!$B$3:$B$7,MATCH(M645,'Boundary table'!$A$3:$A$7))</f>
        <v>B</v>
      </c>
      <c r="P645">
        <f>Table1[[#This Row],[Math Score]]+Table1[[#This Row],[Reading Score]]+Table1[[#This Row],[Writing Score]]</f>
        <v>233</v>
      </c>
      <c r="Q645" s="16">
        <f>COUNTIF(Table1[[#This Row],[Math Score]],"&lt;60")+COUNTIF(Table1[[#This Row],[Reading Score]],"&lt;60")+COUNTIF(Table1[[#This Row],[Writing Score]],"&lt;60")</f>
        <v>0</v>
      </c>
      <c r="R645" t="str">
        <f>IF(Table1[[#This Row],[Fail Count]]&gt;=2,"At risk","OK")</f>
        <v>OK</v>
      </c>
    </row>
    <row r="646" spans="1:18">
      <c r="A646" t="str">
        <f t="shared" si="10"/>
        <v>Stu-645</v>
      </c>
      <c r="B646" t="s">
        <v>27</v>
      </c>
      <c r="C646" t="s">
        <v>12</v>
      </c>
      <c r="D646" t="s">
        <v>32</v>
      </c>
      <c r="E646" t="s">
        <v>14</v>
      </c>
      <c r="F646" t="s">
        <v>15</v>
      </c>
      <c r="G646" s="16">
        <v>70</v>
      </c>
      <c r="H646">
        <f>RANK(G646,$G$2:$G$1001,0)+COUNTIF($G$2:G646,G646)-1</f>
        <v>401</v>
      </c>
      <c r="I646" t="str">
        <f>INDEX('Boundary table'!$B$3:$B$7,MATCH(G646,'Boundary table'!$A$3:$A$7,1))</f>
        <v>C</v>
      </c>
      <c r="J646" s="16">
        <v>65</v>
      </c>
      <c r="K646">
        <f>RANK(J646,$J$2:$J$1001,0)+COUNTIF($J$2:J646,J646)-1</f>
        <v>619</v>
      </c>
      <c r="L646" t="str">
        <f>INDEX('Boundary table'!$B$3:$B$7,MATCH(J646,'Boundary table'!$A$3:$A$7,1))</f>
        <v>D</v>
      </c>
      <c r="M646" s="16">
        <v>60</v>
      </c>
      <c r="N646">
        <f>RANK(M646,$M$2:$M$1001,0)+COUNTIF($M$2:M646,M646)-1</f>
        <v>708</v>
      </c>
      <c r="O646" t="str">
        <f>INDEX('Boundary table'!$B$3:$B$7,MATCH(M646,'Boundary table'!$A$3:$A$7))</f>
        <v>D</v>
      </c>
      <c r="P646">
        <f>Table1[[#This Row],[Math Score]]+Table1[[#This Row],[Reading Score]]+Table1[[#This Row],[Writing Score]]</f>
        <v>195</v>
      </c>
      <c r="Q646" s="16">
        <f>COUNTIF(Table1[[#This Row],[Math Score]],"&lt;60")+COUNTIF(Table1[[#This Row],[Reading Score]],"&lt;60")+COUNTIF(Table1[[#This Row],[Writing Score]],"&lt;60")</f>
        <v>0</v>
      </c>
      <c r="R646" t="str">
        <f>IF(Table1[[#This Row],[Fail Count]]&gt;=2,"At risk","OK")</f>
        <v>OK</v>
      </c>
    </row>
    <row r="647" spans="1:18">
      <c r="A647" t="str">
        <f t="shared" si="10"/>
        <v>Stu-646</v>
      </c>
      <c r="B647" t="s">
        <v>11</v>
      </c>
      <c r="C647" t="s">
        <v>12</v>
      </c>
      <c r="D647" t="s">
        <v>13</v>
      </c>
      <c r="E647" t="s">
        <v>14</v>
      </c>
      <c r="F647" t="s">
        <v>21</v>
      </c>
      <c r="G647" s="16">
        <v>65</v>
      </c>
      <c r="H647">
        <f>RANK(G647,$G$2:$G$1001,0)+COUNTIF($G$2:G647,G647)-1</f>
        <v>543</v>
      </c>
      <c r="I647" t="str">
        <f>INDEX('Boundary table'!$B$3:$B$7,MATCH(G647,'Boundary table'!$A$3:$A$7,1))</f>
        <v>D</v>
      </c>
      <c r="J647" s="16">
        <v>81</v>
      </c>
      <c r="K647">
        <f>RANK(J647,$J$2:$J$1001,0)+COUNTIF($J$2:J647,J647)-1</f>
        <v>227</v>
      </c>
      <c r="L647" t="str">
        <f>INDEX('Boundary table'!$B$3:$B$7,MATCH(J647,'Boundary table'!$A$3:$A$7,1))</f>
        <v>B</v>
      </c>
      <c r="M647" s="16">
        <v>81</v>
      </c>
      <c r="N647">
        <f>RANK(M647,$M$2:$M$1001,0)+COUNTIF($M$2:M647,M647)-1</f>
        <v>202</v>
      </c>
      <c r="O647" t="str">
        <f>INDEX('Boundary table'!$B$3:$B$7,MATCH(M647,'Boundary table'!$A$3:$A$7))</f>
        <v>B</v>
      </c>
      <c r="P647">
        <f>Table1[[#This Row],[Math Score]]+Table1[[#This Row],[Reading Score]]+Table1[[#This Row],[Writing Score]]</f>
        <v>227</v>
      </c>
      <c r="Q647" s="16">
        <f>COUNTIF(Table1[[#This Row],[Math Score]],"&lt;60")+COUNTIF(Table1[[#This Row],[Reading Score]],"&lt;60")+COUNTIF(Table1[[#This Row],[Writing Score]],"&lt;60")</f>
        <v>0</v>
      </c>
      <c r="R647" t="str">
        <f>IF(Table1[[#This Row],[Fail Count]]&gt;=2,"At risk","OK")</f>
        <v>OK</v>
      </c>
    </row>
    <row r="648" spans="1:18">
      <c r="A648" t="str">
        <f t="shared" si="10"/>
        <v>Stu-647</v>
      </c>
      <c r="B648" t="s">
        <v>11</v>
      </c>
      <c r="C648" t="s">
        <v>31</v>
      </c>
      <c r="D648" t="s">
        <v>29</v>
      </c>
      <c r="E648" t="s">
        <v>14</v>
      </c>
      <c r="F648" t="s">
        <v>15</v>
      </c>
      <c r="G648" s="16">
        <v>59</v>
      </c>
      <c r="H648">
        <f>RANK(G648,$G$2:$G$1001,0)+COUNTIF($G$2:G648,G648)-1</f>
        <v>699</v>
      </c>
      <c r="I648" t="str">
        <f>INDEX('Boundary table'!$B$3:$B$7,MATCH(G648,'Boundary table'!$A$3:$A$7,1))</f>
        <v>F</v>
      </c>
      <c r="J648" s="16">
        <v>70</v>
      </c>
      <c r="K648">
        <f>RANK(J648,$J$2:$J$1001,0)+COUNTIF($J$2:J648,J648)-1</f>
        <v>504</v>
      </c>
      <c r="L648" t="str">
        <f>INDEX('Boundary table'!$B$3:$B$7,MATCH(J648,'Boundary table'!$A$3:$A$7,1))</f>
        <v>C</v>
      </c>
      <c r="M648" s="16">
        <v>65</v>
      </c>
      <c r="N648">
        <f>RANK(M648,$M$2:$M$1001,0)+COUNTIF($M$2:M648,M648)-1</f>
        <v>608</v>
      </c>
      <c r="O648" t="str">
        <f>INDEX('Boundary table'!$B$3:$B$7,MATCH(M648,'Boundary table'!$A$3:$A$7))</f>
        <v>D</v>
      </c>
      <c r="P648">
        <f>Table1[[#This Row],[Math Score]]+Table1[[#This Row],[Reading Score]]+Table1[[#This Row],[Writing Score]]</f>
        <v>194</v>
      </c>
      <c r="Q648" s="16">
        <f>COUNTIF(Table1[[#This Row],[Math Score]],"&lt;60")+COUNTIF(Table1[[#This Row],[Reading Score]],"&lt;60")+COUNTIF(Table1[[#This Row],[Writing Score]],"&lt;60")</f>
        <v>1</v>
      </c>
      <c r="R648" t="str">
        <f>IF(Table1[[#This Row],[Fail Count]]&gt;=2,"At risk","OK")</f>
        <v>OK</v>
      </c>
    </row>
    <row r="649" spans="1:18">
      <c r="A649" t="str">
        <f t="shared" si="10"/>
        <v>Stu-648</v>
      </c>
      <c r="B649" t="s">
        <v>11</v>
      </c>
      <c r="C649" t="s">
        <v>34</v>
      </c>
      <c r="D649" t="s">
        <v>32</v>
      </c>
      <c r="E649" t="s">
        <v>30</v>
      </c>
      <c r="F649" t="s">
        <v>15</v>
      </c>
      <c r="G649" s="16">
        <v>64</v>
      </c>
      <c r="H649">
        <f>RANK(G649,$G$2:$G$1001,0)+COUNTIF($G$2:G649,G649)-1</f>
        <v>565</v>
      </c>
      <c r="I649" t="str">
        <f>INDEX('Boundary table'!$B$3:$B$7,MATCH(G649,'Boundary table'!$A$3:$A$7,1))</f>
        <v>D</v>
      </c>
      <c r="J649" s="16">
        <v>62</v>
      </c>
      <c r="K649">
        <f>RANK(J649,$J$2:$J$1001,0)+COUNTIF($J$2:J649,J649)-1</f>
        <v>692</v>
      </c>
      <c r="L649" t="str">
        <f>INDEX('Boundary table'!$B$3:$B$7,MATCH(J649,'Boundary table'!$A$3:$A$7,1))</f>
        <v>D</v>
      </c>
      <c r="M649" s="16">
        <v>68</v>
      </c>
      <c r="N649">
        <f>RANK(M649,$M$2:$M$1001,0)+COUNTIF($M$2:M649,M649)-1</f>
        <v>535</v>
      </c>
      <c r="O649" t="str">
        <f>INDEX('Boundary table'!$B$3:$B$7,MATCH(M649,'Boundary table'!$A$3:$A$7))</f>
        <v>D</v>
      </c>
      <c r="P649">
        <f>Table1[[#This Row],[Math Score]]+Table1[[#This Row],[Reading Score]]+Table1[[#This Row],[Writing Score]]</f>
        <v>194</v>
      </c>
      <c r="Q649" s="16">
        <f>COUNTIF(Table1[[#This Row],[Math Score]],"&lt;60")+COUNTIF(Table1[[#This Row],[Reading Score]],"&lt;60")+COUNTIF(Table1[[#This Row],[Writing Score]],"&lt;60")</f>
        <v>0</v>
      </c>
      <c r="R649" t="str">
        <f>IF(Table1[[#This Row],[Fail Count]]&gt;=2,"At risk","OK")</f>
        <v>OK</v>
      </c>
    </row>
    <row r="650" spans="1:18">
      <c r="A650" t="str">
        <f t="shared" si="10"/>
        <v>Stu-649</v>
      </c>
      <c r="B650" t="s">
        <v>11</v>
      </c>
      <c r="C650" t="s">
        <v>12</v>
      </c>
      <c r="D650" t="s">
        <v>32</v>
      </c>
      <c r="E650" t="s">
        <v>14</v>
      </c>
      <c r="F650" t="s">
        <v>15</v>
      </c>
      <c r="G650" s="16">
        <v>50</v>
      </c>
      <c r="H650">
        <f>RANK(G650,$G$2:$G$1001,0)+COUNTIF($G$2:G650,G650)-1</f>
        <v>859</v>
      </c>
      <c r="I650" t="str">
        <f>INDEX('Boundary table'!$B$3:$B$7,MATCH(G650,'Boundary table'!$A$3:$A$7,1))</f>
        <v>F</v>
      </c>
      <c r="J650" s="16">
        <v>53</v>
      </c>
      <c r="K650">
        <f>RANK(J650,$J$2:$J$1001,0)+COUNTIF($J$2:J650,J650)-1</f>
        <v>868</v>
      </c>
      <c r="L650" t="str">
        <f>INDEX('Boundary table'!$B$3:$B$7,MATCH(J650,'Boundary table'!$A$3:$A$7,1))</f>
        <v>F</v>
      </c>
      <c r="M650" s="16">
        <v>55</v>
      </c>
      <c r="N650">
        <f>RANK(M650,$M$2:$M$1001,0)+COUNTIF($M$2:M650,M650)-1</f>
        <v>792</v>
      </c>
      <c r="O650" t="str">
        <f>INDEX('Boundary table'!$B$3:$B$7,MATCH(M650,'Boundary table'!$A$3:$A$7))</f>
        <v>F</v>
      </c>
      <c r="P650">
        <f>Table1[[#This Row],[Math Score]]+Table1[[#This Row],[Reading Score]]+Table1[[#This Row],[Writing Score]]</f>
        <v>158</v>
      </c>
      <c r="Q650" s="16">
        <f>COUNTIF(Table1[[#This Row],[Math Score]],"&lt;60")+COUNTIF(Table1[[#This Row],[Reading Score]],"&lt;60")+COUNTIF(Table1[[#This Row],[Writing Score]],"&lt;60")</f>
        <v>3</v>
      </c>
      <c r="R650" t="str">
        <f>IF(Table1[[#This Row],[Fail Count]]&gt;=2,"At risk","OK")</f>
        <v>At risk</v>
      </c>
    </row>
    <row r="651" spans="1:18">
      <c r="A651" t="str">
        <f t="shared" si="10"/>
        <v>Stu-650</v>
      </c>
      <c r="B651" t="s">
        <v>11</v>
      </c>
      <c r="C651" t="s">
        <v>31</v>
      </c>
      <c r="D651" t="s">
        <v>20</v>
      </c>
      <c r="E651" t="s">
        <v>14</v>
      </c>
      <c r="F651" t="s">
        <v>21</v>
      </c>
      <c r="G651" s="16">
        <v>69</v>
      </c>
      <c r="H651">
        <f>RANK(G651,$G$2:$G$1001,0)+COUNTIF($G$2:G651,G651)-1</f>
        <v>430</v>
      </c>
      <c r="I651" t="str">
        <f>INDEX('Boundary table'!$B$3:$B$7,MATCH(G651,'Boundary table'!$A$3:$A$7,1))</f>
        <v>D</v>
      </c>
      <c r="J651" s="16">
        <v>79</v>
      </c>
      <c r="K651">
        <f>RANK(J651,$J$2:$J$1001,0)+COUNTIF($J$2:J651,J651)-1</f>
        <v>262</v>
      </c>
      <c r="L651" t="str">
        <f>INDEX('Boundary table'!$B$3:$B$7,MATCH(J651,'Boundary table'!$A$3:$A$7,1))</f>
        <v>C</v>
      </c>
      <c r="M651" s="16">
        <v>81</v>
      </c>
      <c r="N651">
        <f>RANK(M651,$M$2:$M$1001,0)+COUNTIF($M$2:M651,M651)-1</f>
        <v>203</v>
      </c>
      <c r="O651" t="str">
        <f>INDEX('Boundary table'!$B$3:$B$7,MATCH(M651,'Boundary table'!$A$3:$A$7))</f>
        <v>B</v>
      </c>
      <c r="P651">
        <f>Table1[[#This Row],[Math Score]]+Table1[[#This Row],[Reading Score]]+Table1[[#This Row],[Writing Score]]</f>
        <v>229</v>
      </c>
      <c r="Q651" s="16">
        <f>COUNTIF(Table1[[#This Row],[Math Score]],"&lt;60")+COUNTIF(Table1[[#This Row],[Reading Score]],"&lt;60")+COUNTIF(Table1[[#This Row],[Writing Score]],"&lt;60")</f>
        <v>0</v>
      </c>
      <c r="R651" t="str">
        <f>IF(Table1[[#This Row],[Fail Count]]&gt;=2,"At risk","OK")</f>
        <v>OK</v>
      </c>
    </row>
    <row r="652" spans="1:18">
      <c r="A652" t="str">
        <f t="shared" si="10"/>
        <v>Stu-651</v>
      </c>
      <c r="B652" t="s">
        <v>27</v>
      </c>
      <c r="C652" t="s">
        <v>19</v>
      </c>
      <c r="D652" t="s">
        <v>33</v>
      </c>
      <c r="E652" t="s">
        <v>30</v>
      </c>
      <c r="F652" t="s">
        <v>21</v>
      </c>
      <c r="G652" s="16">
        <v>51</v>
      </c>
      <c r="H652">
        <f>RANK(G652,$G$2:$G$1001,0)+COUNTIF($G$2:G652,G652)-1</f>
        <v>848</v>
      </c>
      <c r="I652" t="str">
        <f>INDEX('Boundary table'!$B$3:$B$7,MATCH(G652,'Boundary table'!$A$3:$A$7,1))</f>
        <v>F</v>
      </c>
      <c r="J652" s="16">
        <v>56</v>
      </c>
      <c r="K652">
        <f>RANK(J652,$J$2:$J$1001,0)+COUNTIF($J$2:J652,J652)-1</f>
        <v>821</v>
      </c>
      <c r="L652" t="str">
        <f>INDEX('Boundary table'!$B$3:$B$7,MATCH(J652,'Boundary table'!$A$3:$A$7,1))</f>
        <v>F</v>
      </c>
      <c r="M652" s="16">
        <v>53</v>
      </c>
      <c r="N652">
        <f>RANK(M652,$M$2:$M$1001,0)+COUNTIF($M$2:M652,M652)-1</f>
        <v>832</v>
      </c>
      <c r="O652" t="str">
        <f>INDEX('Boundary table'!$B$3:$B$7,MATCH(M652,'Boundary table'!$A$3:$A$7))</f>
        <v>F</v>
      </c>
      <c r="P652">
        <f>Table1[[#This Row],[Math Score]]+Table1[[#This Row],[Reading Score]]+Table1[[#This Row],[Writing Score]]</f>
        <v>160</v>
      </c>
      <c r="Q652" s="16">
        <f>COUNTIF(Table1[[#This Row],[Math Score]],"&lt;60")+COUNTIF(Table1[[#This Row],[Reading Score]],"&lt;60")+COUNTIF(Table1[[#This Row],[Writing Score]],"&lt;60")</f>
        <v>3</v>
      </c>
      <c r="R652" t="str">
        <f>IF(Table1[[#This Row],[Fail Count]]&gt;=2,"At risk","OK")</f>
        <v>At risk</v>
      </c>
    </row>
    <row r="653" spans="1:18">
      <c r="A653" t="str">
        <f t="shared" si="10"/>
        <v>Stu-652</v>
      </c>
      <c r="B653" t="s">
        <v>11</v>
      </c>
      <c r="C653" t="s">
        <v>28</v>
      </c>
      <c r="D653" t="s">
        <v>32</v>
      </c>
      <c r="E653" t="s">
        <v>14</v>
      </c>
      <c r="F653" t="s">
        <v>21</v>
      </c>
      <c r="G653" s="16">
        <v>68</v>
      </c>
      <c r="H653">
        <f>RANK(G653,$G$2:$G$1001,0)+COUNTIF($G$2:G653,G653)-1</f>
        <v>458</v>
      </c>
      <c r="I653" t="str">
        <f>INDEX('Boundary table'!$B$3:$B$7,MATCH(G653,'Boundary table'!$A$3:$A$7,1))</f>
        <v>D</v>
      </c>
      <c r="J653" s="16">
        <v>80</v>
      </c>
      <c r="K653">
        <f>RANK(J653,$J$2:$J$1001,0)+COUNTIF($J$2:J653,J653)-1</f>
        <v>247</v>
      </c>
      <c r="L653" t="str">
        <f>INDEX('Boundary table'!$B$3:$B$7,MATCH(J653,'Boundary table'!$A$3:$A$7,1))</f>
        <v>B</v>
      </c>
      <c r="M653" s="16">
        <v>76</v>
      </c>
      <c r="N653">
        <f>RANK(M653,$M$2:$M$1001,0)+COUNTIF($M$2:M653,M653)-1</f>
        <v>318</v>
      </c>
      <c r="O653" t="str">
        <f>INDEX('Boundary table'!$B$3:$B$7,MATCH(M653,'Boundary table'!$A$3:$A$7))</f>
        <v>C</v>
      </c>
      <c r="P653">
        <f>Table1[[#This Row],[Math Score]]+Table1[[#This Row],[Reading Score]]+Table1[[#This Row],[Writing Score]]</f>
        <v>224</v>
      </c>
      <c r="Q653" s="16">
        <f>COUNTIF(Table1[[#This Row],[Math Score]],"&lt;60")+COUNTIF(Table1[[#This Row],[Reading Score]],"&lt;60")+COUNTIF(Table1[[#This Row],[Writing Score]],"&lt;60")</f>
        <v>0</v>
      </c>
      <c r="R653" t="str">
        <f>IF(Table1[[#This Row],[Fail Count]]&gt;=2,"At risk","OK")</f>
        <v>OK</v>
      </c>
    </row>
    <row r="654" spans="1:18">
      <c r="A654" t="str">
        <f t="shared" si="10"/>
        <v>Stu-653</v>
      </c>
      <c r="B654" t="s">
        <v>11</v>
      </c>
      <c r="C654" t="s">
        <v>31</v>
      </c>
      <c r="D654" t="s">
        <v>20</v>
      </c>
      <c r="E654" t="s">
        <v>14</v>
      </c>
      <c r="F654" t="s">
        <v>21</v>
      </c>
      <c r="G654" s="16">
        <v>85</v>
      </c>
      <c r="H654">
        <f>RANK(G654,$G$2:$G$1001,0)+COUNTIF($G$2:G654,G654)-1</f>
        <v>112</v>
      </c>
      <c r="I654" t="str">
        <f>INDEX('Boundary table'!$B$3:$B$7,MATCH(G654,'Boundary table'!$A$3:$A$7,1))</f>
        <v>B</v>
      </c>
      <c r="J654" s="16">
        <v>86</v>
      </c>
      <c r="K654">
        <f>RANK(J654,$J$2:$J$1001,0)+COUNTIF($J$2:J654,J654)-1</f>
        <v>126</v>
      </c>
      <c r="L654" t="str">
        <f>INDEX('Boundary table'!$B$3:$B$7,MATCH(J654,'Boundary table'!$A$3:$A$7,1))</f>
        <v>B</v>
      </c>
      <c r="M654" s="16">
        <v>98</v>
      </c>
      <c r="N654">
        <f>RANK(M654,$M$2:$M$1001,0)+COUNTIF($M$2:M654,M654)-1</f>
        <v>20</v>
      </c>
      <c r="O654" t="str">
        <f>INDEX('Boundary table'!$B$3:$B$7,MATCH(M654,'Boundary table'!$A$3:$A$7))</f>
        <v>A</v>
      </c>
      <c r="P654">
        <f>Table1[[#This Row],[Math Score]]+Table1[[#This Row],[Reading Score]]+Table1[[#This Row],[Writing Score]]</f>
        <v>269</v>
      </c>
      <c r="Q654" s="16">
        <f>COUNTIF(Table1[[#This Row],[Math Score]],"&lt;60")+COUNTIF(Table1[[#This Row],[Reading Score]],"&lt;60")+COUNTIF(Table1[[#This Row],[Writing Score]],"&lt;60")</f>
        <v>0</v>
      </c>
      <c r="R654" t="str">
        <f>IF(Table1[[#This Row],[Fail Count]]&gt;=2,"At risk","OK")</f>
        <v>OK</v>
      </c>
    </row>
    <row r="655" spans="1:18">
      <c r="A655" t="str">
        <f t="shared" si="10"/>
        <v>Stu-654</v>
      </c>
      <c r="B655" t="s">
        <v>11</v>
      </c>
      <c r="C655" t="s">
        <v>28</v>
      </c>
      <c r="D655" t="s">
        <v>29</v>
      </c>
      <c r="E655" t="s">
        <v>14</v>
      </c>
      <c r="F655" t="s">
        <v>21</v>
      </c>
      <c r="G655" s="16">
        <v>65</v>
      </c>
      <c r="H655">
        <f>RANK(G655,$G$2:$G$1001,0)+COUNTIF($G$2:G655,G655)-1</f>
        <v>544</v>
      </c>
      <c r="I655" t="str">
        <f>INDEX('Boundary table'!$B$3:$B$7,MATCH(G655,'Boundary table'!$A$3:$A$7,1))</f>
        <v>D</v>
      </c>
      <c r="J655" s="16">
        <v>70</v>
      </c>
      <c r="K655">
        <f>RANK(J655,$J$2:$J$1001,0)+COUNTIF($J$2:J655,J655)-1</f>
        <v>505</v>
      </c>
      <c r="L655" t="str">
        <f>INDEX('Boundary table'!$B$3:$B$7,MATCH(J655,'Boundary table'!$A$3:$A$7,1))</f>
        <v>C</v>
      </c>
      <c r="M655" s="16">
        <v>74</v>
      </c>
      <c r="N655">
        <f>RANK(M655,$M$2:$M$1001,0)+COUNTIF($M$2:M655,M655)-1</f>
        <v>373</v>
      </c>
      <c r="O655" t="str">
        <f>INDEX('Boundary table'!$B$3:$B$7,MATCH(M655,'Boundary table'!$A$3:$A$7))</f>
        <v>C</v>
      </c>
      <c r="P655">
        <f>Table1[[#This Row],[Math Score]]+Table1[[#This Row],[Reading Score]]+Table1[[#This Row],[Writing Score]]</f>
        <v>209</v>
      </c>
      <c r="Q655" s="16">
        <f>COUNTIF(Table1[[#This Row],[Math Score]],"&lt;60")+COUNTIF(Table1[[#This Row],[Reading Score]],"&lt;60")+COUNTIF(Table1[[#This Row],[Writing Score]],"&lt;60")</f>
        <v>0</v>
      </c>
      <c r="R655" t="str">
        <f>IF(Table1[[#This Row],[Fail Count]]&gt;=2,"At risk","OK")</f>
        <v>OK</v>
      </c>
    </row>
    <row r="656" spans="1:18">
      <c r="A656" t="str">
        <f t="shared" si="10"/>
        <v>Stu-655</v>
      </c>
      <c r="B656" t="s">
        <v>11</v>
      </c>
      <c r="C656" t="s">
        <v>12</v>
      </c>
      <c r="D656" t="s">
        <v>33</v>
      </c>
      <c r="E656" t="s">
        <v>14</v>
      </c>
      <c r="F656" t="s">
        <v>15</v>
      </c>
      <c r="G656" s="16">
        <v>73</v>
      </c>
      <c r="H656">
        <f>RANK(G656,$G$2:$G$1001,0)+COUNTIF($G$2:G656,G656)-1</f>
        <v>338</v>
      </c>
      <c r="I656" t="str">
        <f>INDEX('Boundary table'!$B$3:$B$7,MATCH(G656,'Boundary table'!$A$3:$A$7,1))</f>
        <v>C</v>
      </c>
      <c r="J656" s="16">
        <v>79</v>
      </c>
      <c r="K656">
        <f>RANK(J656,$J$2:$J$1001,0)+COUNTIF($J$2:J656,J656)-1</f>
        <v>263</v>
      </c>
      <c r="L656" t="str">
        <f>INDEX('Boundary table'!$B$3:$B$7,MATCH(J656,'Boundary table'!$A$3:$A$7,1))</f>
        <v>C</v>
      </c>
      <c r="M656" s="16">
        <v>79</v>
      </c>
      <c r="N656">
        <f>RANK(M656,$M$2:$M$1001,0)+COUNTIF($M$2:M656,M656)-1</f>
        <v>248</v>
      </c>
      <c r="O656" t="str">
        <f>INDEX('Boundary table'!$B$3:$B$7,MATCH(M656,'Boundary table'!$A$3:$A$7))</f>
        <v>C</v>
      </c>
      <c r="P656">
        <f>Table1[[#This Row],[Math Score]]+Table1[[#This Row],[Reading Score]]+Table1[[#This Row],[Writing Score]]</f>
        <v>231</v>
      </c>
      <c r="Q656" s="16">
        <f>COUNTIF(Table1[[#This Row],[Math Score]],"&lt;60")+COUNTIF(Table1[[#This Row],[Reading Score]],"&lt;60")+COUNTIF(Table1[[#This Row],[Writing Score]],"&lt;60")</f>
        <v>0</v>
      </c>
      <c r="R656" t="str">
        <f>IF(Table1[[#This Row],[Fail Count]]&gt;=2,"At risk","OK")</f>
        <v>OK</v>
      </c>
    </row>
    <row r="657" spans="1:18">
      <c r="A657" t="str">
        <f t="shared" si="10"/>
        <v>Stu-656</v>
      </c>
      <c r="B657" t="s">
        <v>11</v>
      </c>
      <c r="C657" t="s">
        <v>12</v>
      </c>
      <c r="D657" t="s">
        <v>20</v>
      </c>
      <c r="E657" t="s">
        <v>14</v>
      </c>
      <c r="F657" t="s">
        <v>15</v>
      </c>
      <c r="G657" s="16">
        <v>62</v>
      </c>
      <c r="H657">
        <f>RANK(G657,$G$2:$G$1001,0)+COUNTIF($G$2:G657,G657)-1</f>
        <v>619</v>
      </c>
      <c r="I657" t="str">
        <f>INDEX('Boundary table'!$B$3:$B$7,MATCH(G657,'Boundary table'!$A$3:$A$7,1))</f>
        <v>D</v>
      </c>
      <c r="J657" s="16">
        <v>67</v>
      </c>
      <c r="K657">
        <f>RANK(J657,$J$2:$J$1001,0)+COUNTIF($J$2:J657,J657)-1</f>
        <v>574</v>
      </c>
      <c r="L657" t="str">
        <f>INDEX('Boundary table'!$B$3:$B$7,MATCH(J657,'Boundary table'!$A$3:$A$7,1))</f>
        <v>D</v>
      </c>
      <c r="M657" s="16">
        <v>67</v>
      </c>
      <c r="N657">
        <f>RANK(M657,$M$2:$M$1001,0)+COUNTIF($M$2:M657,M657)-1</f>
        <v>561</v>
      </c>
      <c r="O657" t="str">
        <f>INDEX('Boundary table'!$B$3:$B$7,MATCH(M657,'Boundary table'!$A$3:$A$7))</f>
        <v>D</v>
      </c>
      <c r="P657">
        <f>Table1[[#This Row],[Math Score]]+Table1[[#This Row],[Reading Score]]+Table1[[#This Row],[Writing Score]]</f>
        <v>196</v>
      </c>
      <c r="Q657" s="16">
        <f>COUNTIF(Table1[[#This Row],[Math Score]],"&lt;60")+COUNTIF(Table1[[#This Row],[Reading Score]],"&lt;60")+COUNTIF(Table1[[#This Row],[Writing Score]],"&lt;60")</f>
        <v>0</v>
      </c>
      <c r="R657" t="str">
        <f>IF(Table1[[#This Row],[Fail Count]]&gt;=2,"At risk","OK")</f>
        <v>OK</v>
      </c>
    </row>
    <row r="658" spans="1:18">
      <c r="A658" t="str">
        <f t="shared" si="10"/>
        <v>Stu-657</v>
      </c>
      <c r="B658" t="s">
        <v>27</v>
      </c>
      <c r="C658" t="s">
        <v>19</v>
      </c>
      <c r="D658" t="s">
        <v>29</v>
      </c>
      <c r="E658" t="s">
        <v>30</v>
      </c>
      <c r="F658" t="s">
        <v>15</v>
      </c>
      <c r="G658" s="16">
        <v>77</v>
      </c>
      <c r="H658">
        <f>RANK(G658,$G$2:$G$1001,0)+COUNTIF($G$2:G658,G658)-1</f>
        <v>244</v>
      </c>
      <c r="I658" t="str">
        <f>INDEX('Boundary table'!$B$3:$B$7,MATCH(G658,'Boundary table'!$A$3:$A$7,1))</f>
        <v>C</v>
      </c>
      <c r="J658" s="16">
        <v>67</v>
      </c>
      <c r="K658">
        <f>RANK(J658,$J$2:$J$1001,0)+COUNTIF($J$2:J658,J658)-1</f>
        <v>575</v>
      </c>
      <c r="L658" t="str">
        <f>INDEX('Boundary table'!$B$3:$B$7,MATCH(J658,'Boundary table'!$A$3:$A$7,1))</f>
        <v>D</v>
      </c>
      <c r="M658" s="16">
        <v>64</v>
      </c>
      <c r="N658">
        <f>RANK(M658,$M$2:$M$1001,0)+COUNTIF($M$2:M658,M658)-1</f>
        <v>629</v>
      </c>
      <c r="O658" t="str">
        <f>INDEX('Boundary table'!$B$3:$B$7,MATCH(M658,'Boundary table'!$A$3:$A$7))</f>
        <v>D</v>
      </c>
      <c r="P658">
        <f>Table1[[#This Row],[Math Score]]+Table1[[#This Row],[Reading Score]]+Table1[[#This Row],[Writing Score]]</f>
        <v>208</v>
      </c>
      <c r="Q658" s="16">
        <f>COUNTIF(Table1[[#This Row],[Math Score]],"&lt;60")+COUNTIF(Table1[[#This Row],[Reading Score]],"&lt;60")+COUNTIF(Table1[[#This Row],[Writing Score]],"&lt;60")</f>
        <v>0</v>
      </c>
      <c r="R658" t="str">
        <f>IF(Table1[[#This Row],[Fail Count]]&gt;=2,"At risk","OK")</f>
        <v>OK</v>
      </c>
    </row>
    <row r="659" spans="1:18">
      <c r="A659" t="str">
        <f t="shared" si="10"/>
        <v>Stu-658</v>
      </c>
      <c r="B659" t="s">
        <v>27</v>
      </c>
      <c r="C659" t="s">
        <v>31</v>
      </c>
      <c r="D659" t="s">
        <v>33</v>
      </c>
      <c r="E659" t="s">
        <v>14</v>
      </c>
      <c r="F659" t="s">
        <v>15</v>
      </c>
      <c r="G659" s="16">
        <v>69</v>
      </c>
      <c r="H659">
        <f>RANK(G659,$G$2:$G$1001,0)+COUNTIF($G$2:G659,G659)-1</f>
        <v>431</v>
      </c>
      <c r="I659" t="str">
        <f>INDEX('Boundary table'!$B$3:$B$7,MATCH(G659,'Boundary table'!$A$3:$A$7,1))</f>
        <v>D</v>
      </c>
      <c r="J659" s="16">
        <v>66</v>
      </c>
      <c r="K659">
        <f>RANK(J659,$J$2:$J$1001,0)+COUNTIF($J$2:J659,J659)-1</f>
        <v>600</v>
      </c>
      <c r="L659" t="str">
        <f>INDEX('Boundary table'!$B$3:$B$7,MATCH(J659,'Boundary table'!$A$3:$A$7,1))</f>
        <v>D</v>
      </c>
      <c r="M659" s="16">
        <v>61</v>
      </c>
      <c r="N659">
        <f>RANK(M659,$M$2:$M$1001,0)+COUNTIF($M$2:M659,M659)-1</f>
        <v>691</v>
      </c>
      <c r="O659" t="str">
        <f>INDEX('Boundary table'!$B$3:$B$7,MATCH(M659,'Boundary table'!$A$3:$A$7))</f>
        <v>D</v>
      </c>
      <c r="P659">
        <f>Table1[[#This Row],[Math Score]]+Table1[[#This Row],[Reading Score]]+Table1[[#This Row],[Writing Score]]</f>
        <v>196</v>
      </c>
      <c r="Q659" s="16">
        <f>COUNTIF(Table1[[#This Row],[Math Score]],"&lt;60")+COUNTIF(Table1[[#This Row],[Reading Score]],"&lt;60")+COUNTIF(Table1[[#This Row],[Writing Score]],"&lt;60")</f>
        <v>0</v>
      </c>
      <c r="R659" t="str">
        <f>IF(Table1[[#This Row],[Fail Count]]&gt;=2,"At risk","OK")</f>
        <v>OK</v>
      </c>
    </row>
    <row r="660" spans="1:18">
      <c r="A660" t="str">
        <f t="shared" si="10"/>
        <v>Stu-659</v>
      </c>
      <c r="B660" t="s">
        <v>11</v>
      </c>
      <c r="C660" t="s">
        <v>31</v>
      </c>
      <c r="D660" t="s">
        <v>29</v>
      </c>
      <c r="E660" t="s">
        <v>30</v>
      </c>
      <c r="F660" t="s">
        <v>15</v>
      </c>
      <c r="G660" s="16">
        <v>43</v>
      </c>
      <c r="H660">
        <f>RANK(G660,$G$2:$G$1001,0)+COUNTIF($G$2:G660,G660)-1</f>
        <v>937</v>
      </c>
      <c r="I660" t="str">
        <f>INDEX('Boundary table'!$B$3:$B$7,MATCH(G660,'Boundary table'!$A$3:$A$7,1))</f>
        <v>F</v>
      </c>
      <c r="J660" s="16">
        <v>60</v>
      </c>
      <c r="K660">
        <f>RANK(J660,$J$2:$J$1001,0)+COUNTIF($J$2:J660,J660)-1</f>
        <v>739</v>
      </c>
      <c r="L660" t="str">
        <f>INDEX('Boundary table'!$B$3:$B$7,MATCH(J660,'Boundary table'!$A$3:$A$7,1))</f>
        <v>D</v>
      </c>
      <c r="M660" s="16">
        <v>58</v>
      </c>
      <c r="N660">
        <f>RANK(M660,$M$2:$M$1001,0)+COUNTIF($M$2:M660,M660)-1</f>
        <v>743</v>
      </c>
      <c r="O660" t="str">
        <f>INDEX('Boundary table'!$B$3:$B$7,MATCH(M660,'Boundary table'!$A$3:$A$7))</f>
        <v>F</v>
      </c>
      <c r="P660">
        <f>Table1[[#This Row],[Math Score]]+Table1[[#This Row],[Reading Score]]+Table1[[#This Row],[Writing Score]]</f>
        <v>161</v>
      </c>
      <c r="Q660" s="16">
        <f>COUNTIF(Table1[[#This Row],[Math Score]],"&lt;60")+COUNTIF(Table1[[#This Row],[Reading Score]],"&lt;60")+COUNTIF(Table1[[#This Row],[Writing Score]],"&lt;60")</f>
        <v>2</v>
      </c>
      <c r="R660" t="str">
        <f>IF(Table1[[#This Row],[Fail Count]]&gt;=2,"At risk","OK")</f>
        <v>At risk</v>
      </c>
    </row>
    <row r="661" spans="1:18">
      <c r="A661" t="str">
        <f t="shared" si="10"/>
        <v>Stu-660</v>
      </c>
      <c r="B661" t="s">
        <v>27</v>
      </c>
      <c r="C661" t="s">
        <v>31</v>
      </c>
      <c r="D661" t="s">
        <v>29</v>
      </c>
      <c r="E661" t="s">
        <v>14</v>
      </c>
      <c r="F661" t="s">
        <v>15</v>
      </c>
      <c r="G661" s="16">
        <v>90</v>
      </c>
      <c r="H661">
        <f>RANK(G661,$G$2:$G$1001,0)+COUNTIF($G$2:G661,G661)-1</f>
        <v>55</v>
      </c>
      <c r="I661" t="str">
        <f>INDEX('Boundary table'!$B$3:$B$7,MATCH(G661,'Boundary table'!$A$3:$A$7,1))</f>
        <v>A</v>
      </c>
      <c r="J661" s="16">
        <v>87</v>
      </c>
      <c r="K661">
        <f>RANK(J661,$J$2:$J$1001,0)+COUNTIF($J$2:J661,J661)-1</f>
        <v>108</v>
      </c>
      <c r="L661" t="str">
        <f>INDEX('Boundary table'!$B$3:$B$7,MATCH(J661,'Boundary table'!$A$3:$A$7,1))</f>
        <v>B</v>
      </c>
      <c r="M661" s="16">
        <v>85</v>
      </c>
      <c r="N661">
        <f>RANK(M661,$M$2:$M$1001,0)+COUNTIF($M$2:M661,M661)-1</f>
        <v>130</v>
      </c>
      <c r="O661" t="str">
        <f>INDEX('Boundary table'!$B$3:$B$7,MATCH(M661,'Boundary table'!$A$3:$A$7))</f>
        <v>B</v>
      </c>
      <c r="P661">
        <f>Table1[[#This Row],[Math Score]]+Table1[[#This Row],[Reading Score]]+Table1[[#This Row],[Writing Score]]</f>
        <v>262</v>
      </c>
      <c r="Q661" s="16">
        <f>COUNTIF(Table1[[#This Row],[Math Score]],"&lt;60")+COUNTIF(Table1[[#This Row],[Reading Score]],"&lt;60")+COUNTIF(Table1[[#This Row],[Writing Score]],"&lt;60")</f>
        <v>0</v>
      </c>
      <c r="R661" t="str">
        <f>IF(Table1[[#This Row],[Fail Count]]&gt;=2,"At risk","OK")</f>
        <v>OK</v>
      </c>
    </row>
    <row r="662" spans="1:18">
      <c r="A662" t="str">
        <f t="shared" si="10"/>
        <v>Stu-661</v>
      </c>
      <c r="B662" t="s">
        <v>27</v>
      </c>
      <c r="C662" t="s">
        <v>19</v>
      </c>
      <c r="D662" t="s">
        <v>20</v>
      </c>
      <c r="E662" t="s">
        <v>30</v>
      </c>
      <c r="F662" t="s">
        <v>15</v>
      </c>
      <c r="G662" s="16">
        <v>74</v>
      </c>
      <c r="H662">
        <f>RANK(G662,$G$2:$G$1001,0)+COUNTIF($G$2:G662,G662)-1</f>
        <v>312</v>
      </c>
      <c r="I662" t="str">
        <f>INDEX('Boundary table'!$B$3:$B$7,MATCH(G662,'Boundary table'!$A$3:$A$7,1))</f>
        <v>C</v>
      </c>
      <c r="J662" s="16">
        <v>77</v>
      </c>
      <c r="K662">
        <f>RANK(J662,$J$2:$J$1001,0)+COUNTIF($J$2:J662,J662)-1</f>
        <v>309</v>
      </c>
      <c r="L662" t="str">
        <f>INDEX('Boundary table'!$B$3:$B$7,MATCH(J662,'Boundary table'!$A$3:$A$7,1))</f>
        <v>C</v>
      </c>
      <c r="M662" s="16">
        <v>73</v>
      </c>
      <c r="N662">
        <f>RANK(M662,$M$2:$M$1001,0)+COUNTIF($M$2:M662,M662)-1</f>
        <v>403</v>
      </c>
      <c r="O662" t="str">
        <f>INDEX('Boundary table'!$B$3:$B$7,MATCH(M662,'Boundary table'!$A$3:$A$7))</f>
        <v>C</v>
      </c>
      <c r="P662">
        <f>Table1[[#This Row],[Math Score]]+Table1[[#This Row],[Reading Score]]+Table1[[#This Row],[Writing Score]]</f>
        <v>224</v>
      </c>
      <c r="Q662" s="16">
        <f>COUNTIF(Table1[[#This Row],[Math Score]],"&lt;60")+COUNTIF(Table1[[#This Row],[Reading Score]],"&lt;60")+COUNTIF(Table1[[#This Row],[Writing Score]],"&lt;60")</f>
        <v>0</v>
      </c>
      <c r="R662" t="str">
        <f>IF(Table1[[#This Row],[Fail Count]]&gt;=2,"At risk","OK")</f>
        <v>OK</v>
      </c>
    </row>
    <row r="663" spans="1:18">
      <c r="A663" t="str">
        <f t="shared" si="10"/>
        <v>Stu-662</v>
      </c>
      <c r="B663" t="s">
        <v>27</v>
      </c>
      <c r="C663" t="s">
        <v>19</v>
      </c>
      <c r="D663" t="s">
        <v>33</v>
      </c>
      <c r="E663" t="s">
        <v>14</v>
      </c>
      <c r="F663" t="s">
        <v>15</v>
      </c>
      <c r="G663" s="16">
        <v>73</v>
      </c>
      <c r="H663">
        <f>RANK(G663,$G$2:$G$1001,0)+COUNTIF($G$2:G663,G663)-1</f>
        <v>339</v>
      </c>
      <c r="I663" t="str">
        <f>INDEX('Boundary table'!$B$3:$B$7,MATCH(G663,'Boundary table'!$A$3:$A$7,1))</f>
        <v>C</v>
      </c>
      <c r="J663" s="16">
        <v>66</v>
      </c>
      <c r="K663">
        <f>RANK(J663,$J$2:$J$1001,0)+COUNTIF($J$2:J663,J663)-1</f>
        <v>601</v>
      </c>
      <c r="L663" t="str">
        <f>INDEX('Boundary table'!$B$3:$B$7,MATCH(J663,'Boundary table'!$A$3:$A$7,1))</f>
        <v>D</v>
      </c>
      <c r="M663" s="16">
        <v>63</v>
      </c>
      <c r="N663">
        <f>RANK(M663,$M$2:$M$1001,0)+COUNTIF($M$2:M663,M663)-1</f>
        <v>647</v>
      </c>
      <c r="O663" t="str">
        <f>INDEX('Boundary table'!$B$3:$B$7,MATCH(M663,'Boundary table'!$A$3:$A$7))</f>
        <v>D</v>
      </c>
      <c r="P663">
        <f>Table1[[#This Row],[Math Score]]+Table1[[#This Row],[Reading Score]]+Table1[[#This Row],[Writing Score]]</f>
        <v>202</v>
      </c>
      <c r="Q663" s="16">
        <f>COUNTIF(Table1[[#This Row],[Math Score]],"&lt;60")+COUNTIF(Table1[[#This Row],[Reading Score]],"&lt;60")+COUNTIF(Table1[[#This Row],[Writing Score]],"&lt;60")</f>
        <v>0</v>
      </c>
      <c r="R663" t="str">
        <f>IF(Table1[[#This Row],[Fail Count]]&gt;=2,"At risk","OK")</f>
        <v>OK</v>
      </c>
    </row>
    <row r="664" spans="1:18">
      <c r="A664" t="str">
        <f t="shared" si="10"/>
        <v>Stu-663</v>
      </c>
      <c r="B664" t="s">
        <v>11</v>
      </c>
      <c r="C664" t="s">
        <v>31</v>
      </c>
      <c r="D664" t="s">
        <v>20</v>
      </c>
      <c r="E664" t="s">
        <v>30</v>
      </c>
      <c r="F664" t="s">
        <v>15</v>
      </c>
      <c r="G664" s="16">
        <v>55</v>
      </c>
      <c r="H664">
        <f>RANK(G664,$G$2:$G$1001,0)+COUNTIF($G$2:G664,G664)-1</f>
        <v>771</v>
      </c>
      <c r="I664" t="str">
        <f>INDEX('Boundary table'!$B$3:$B$7,MATCH(G664,'Boundary table'!$A$3:$A$7,1))</f>
        <v>F</v>
      </c>
      <c r="J664" s="16">
        <v>71</v>
      </c>
      <c r="K664">
        <f>RANK(J664,$J$2:$J$1001,0)+COUNTIF($J$2:J664,J664)-1</f>
        <v>482</v>
      </c>
      <c r="L664" t="str">
        <f>INDEX('Boundary table'!$B$3:$B$7,MATCH(J664,'Boundary table'!$A$3:$A$7,1))</f>
        <v>C</v>
      </c>
      <c r="M664" s="16">
        <v>69</v>
      </c>
      <c r="N664">
        <f>RANK(M664,$M$2:$M$1001,0)+COUNTIF($M$2:M664,M664)-1</f>
        <v>504</v>
      </c>
      <c r="O664" t="str">
        <f>INDEX('Boundary table'!$B$3:$B$7,MATCH(M664,'Boundary table'!$A$3:$A$7))</f>
        <v>D</v>
      </c>
      <c r="P664">
        <f>Table1[[#This Row],[Math Score]]+Table1[[#This Row],[Reading Score]]+Table1[[#This Row],[Writing Score]]</f>
        <v>195</v>
      </c>
      <c r="Q664" s="16">
        <f>COUNTIF(Table1[[#This Row],[Math Score]],"&lt;60")+COUNTIF(Table1[[#This Row],[Reading Score]],"&lt;60")+COUNTIF(Table1[[#This Row],[Writing Score]],"&lt;60")</f>
        <v>1</v>
      </c>
      <c r="R664" t="str">
        <f>IF(Table1[[#This Row],[Fail Count]]&gt;=2,"At risk","OK")</f>
        <v>OK</v>
      </c>
    </row>
    <row r="665" spans="1:18">
      <c r="A665" t="str">
        <f t="shared" si="10"/>
        <v>Stu-664</v>
      </c>
      <c r="B665" t="s">
        <v>11</v>
      </c>
      <c r="C665" t="s">
        <v>19</v>
      </c>
      <c r="D665" t="s">
        <v>32</v>
      </c>
      <c r="E665" t="s">
        <v>14</v>
      </c>
      <c r="F665" t="s">
        <v>15</v>
      </c>
      <c r="G665" s="16">
        <v>65</v>
      </c>
      <c r="H665">
        <f>RANK(G665,$G$2:$G$1001,0)+COUNTIF($G$2:G665,G665)-1</f>
        <v>545</v>
      </c>
      <c r="I665" t="str">
        <f>INDEX('Boundary table'!$B$3:$B$7,MATCH(G665,'Boundary table'!$A$3:$A$7,1))</f>
        <v>D</v>
      </c>
      <c r="J665" s="16">
        <v>69</v>
      </c>
      <c r="K665">
        <f>RANK(J665,$J$2:$J$1001,0)+COUNTIF($J$2:J665,J665)-1</f>
        <v>525</v>
      </c>
      <c r="L665" t="str">
        <f>INDEX('Boundary table'!$B$3:$B$7,MATCH(J665,'Boundary table'!$A$3:$A$7,1))</f>
        <v>D</v>
      </c>
      <c r="M665" s="16">
        <v>67</v>
      </c>
      <c r="N665">
        <f>RANK(M665,$M$2:$M$1001,0)+COUNTIF($M$2:M665,M665)-1</f>
        <v>562</v>
      </c>
      <c r="O665" t="str">
        <f>INDEX('Boundary table'!$B$3:$B$7,MATCH(M665,'Boundary table'!$A$3:$A$7))</f>
        <v>D</v>
      </c>
      <c r="P665">
        <f>Table1[[#This Row],[Math Score]]+Table1[[#This Row],[Reading Score]]+Table1[[#This Row],[Writing Score]]</f>
        <v>201</v>
      </c>
      <c r="Q665" s="16">
        <f>COUNTIF(Table1[[#This Row],[Math Score]],"&lt;60")+COUNTIF(Table1[[#This Row],[Reading Score]],"&lt;60")+COUNTIF(Table1[[#This Row],[Writing Score]],"&lt;60")</f>
        <v>0</v>
      </c>
      <c r="R665" t="str">
        <f>IF(Table1[[#This Row],[Fail Count]]&gt;=2,"At risk","OK")</f>
        <v>OK</v>
      </c>
    </row>
    <row r="666" spans="1:18">
      <c r="A666" t="str">
        <f t="shared" si="10"/>
        <v>Stu-665</v>
      </c>
      <c r="B666" t="s">
        <v>27</v>
      </c>
      <c r="C666" t="s">
        <v>31</v>
      </c>
      <c r="D666" t="s">
        <v>29</v>
      </c>
      <c r="E666" t="s">
        <v>14</v>
      </c>
      <c r="F666" t="s">
        <v>15</v>
      </c>
      <c r="G666" s="16">
        <v>80</v>
      </c>
      <c r="H666">
        <f>RANK(G666,$G$2:$G$1001,0)+COUNTIF($G$2:G666,G666)-1</f>
        <v>189</v>
      </c>
      <c r="I666" t="str">
        <f>INDEX('Boundary table'!$B$3:$B$7,MATCH(G666,'Boundary table'!$A$3:$A$7,1))</f>
        <v>B</v>
      </c>
      <c r="J666" s="16">
        <v>63</v>
      </c>
      <c r="K666">
        <f>RANK(J666,$J$2:$J$1001,0)+COUNTIF($J$2:J666,J666)-1</f>
        <v>671</v>
      </c>
      <c r="L666" t="str">
        <f>INDEX('Boundary table'!$B$3:$B$7,MATCH(J666,'Boundary table'!$A$3:$A$7,1))</f>
        <v>D</v>
      </c>
      <c r="M666" s="16">
        <v>63</v>
      </c>
      <c r="N666">
        <f>RANK(M666,$M$2:$M$1001,0)+COUNTIF($M$2:M666,M666)-1</f>
        <v>648</v>
      </c>
      <c r="O666" t="str">
        <f>INDEX('Boundary table'!$B$3:$B$7,MATCH(M666,'Boundary table'!$A$3:$A$7))</f>
        <v>D</v>
      </c>
      <c r="P666">
        <f>Table1[[#This Row],[Math Score]]+Table1[[#This Row],[Reading Score]]+Table1[[#This Row],[Writing Score]]</f>
        <v>206</v>
      </c>
      <c r="Q666" s="16">
        <f>COUNTIF(Table1[[#This Row],[Math Score]],"&lt;60")+COUNTIF(Table1[[#This Row],[Reading Score]],"&lt;60")+COUNTIF(Table1[[#This Row],[Writing Score]],"&lt;60")</f>
        <v>0</v>
      </c>
      <c r="R666" t="str">
        <f>IF(Table1[[#This Row],[Fail Count]]&gt;=2,"At risk","OK")</f>
        <v>OK</v>
      </c>
    </row>
    <row r="667" spans="1:18">
      <c r="A667" t="str">
        <f t="shared" si="10"/>
        <v>Stu-666</v>
      </c>
      <c r="B667" t="s">
        <v>11</v>
      </c>
      <c r="C667" t="s">
        <v>19</v>
      </c>
      <c r="D667" t="s">
        <v>33</v>
      </c>
      <c r="E667" t="s">
        <v>30</v>
      </c>
      <c r="F667" t="s">
        <v>21</v>
      </c>
      <c r="G667" s="16">
        <v>50</v>
      </c>
      <c r="H667">
        <f>RANK(G667,$G$2:$G$1001,0)+COUNTIF($G$2:G667,G667)-1</f>
        <v>860</v>
      </c>
      <c r="I667" t="str">
        <f>INDEX('Boundary table'!$B$3:$B$7,MATCH(G667,'Boundary table'!$A$3:$A$7,1))</f>
        <v>F</v>
      </c>
      <c r="J667" s="16">
        <v>60</v>
      </c>
      <c r="K667">
        <f>RANK(J667,$J$2:$J$1001,0)+COUNTIF($J$2:J667,J667)-1</f>
        <v>740</v>
      </c>
      <c r="L667" t="str">
        <f>INDEX('Boundary table'!$B$3:$B$7,MATCH(J667,'Boundary table'!$A$3:$A$7,1))</f>
        <v>D</v>
      </c>
      <c r="M667" s="16">
        <v>60</v>
      </c>
      <c r="N667">
        <f>RANK(M667,$M$2:$M$1001,0)+COUNTIF($M$2:M667,M667)-1</f>
        <v>709</v>
      </c>
      <c r="O667" t="str">
        <f>INDEX('Boundary table'!$B$3:$B$7,MATCH(M667,'Boundary table'!$A$3:$A$7))</f>
        <v>D</v>
      </c>
      <c r="P667">
        <f>Table1[[#This Row],[Math Score]]+Table1[[#This Row],[Reading Score]]+Table1[[#This Row],[Writing Score]]</f>
        <v>170</v>
      </c>
      <c r="Q667" s="16">
        <f>COUNTIF(Table1[[#This Row],[Math Score]],"&lt;60")+COUNTIF(Table1[[#This Row],[Reading Score]],"&lt;60")+COUNTIF(Table1[[#This Row],[Writing Score]],"&lt;60")</f>
        <v>1</v>
      </c>
      <c r="R667" t="str">
        <f>IF(Table1[[#This Row],[Fail Count]]&gt;=2,"At risk","OK")</f>
        <v>OK</v>
      </c>
    </row>
    <row r="668" spans="1:18">
      <c r="A668" t="str">
        <f t="shared" si="10"/>
        <v>Stu-667</v>
      </c>
      <c r="B668" t="s">
        <v>11</v>
      </c>
      <c r="C668" t="s">
        <v>19</v>
      </c>
      <c r="D668" t="s">
        <v>20</v>
      </c>
      <c r="E668" t="s">
        <v>30</v>
      </c>
      <c r="F668" t="s">
        <v>21</v>
      </c>
      <c r="G668" s="16">
        <v>63</v>
      </c>
      <c r="H668">
        <f>RANK(G668,$G$2:$G$1001,0)+COUNTIF($G$2:G668,G668)-1</f>
        <v>593</v>
      </c>
      <c r="I668" t="str">
        <f>INDEX('Boundary table'!$B$3:$B$7,MATCH(G668,'Boundary table'!$A$3:$A$7,1))</f>
        <v>D</v>
      </c>
      <c r="J668" s="16">
        <v>73</v>
      </c>
      <c r="K668">
        <f>RANK(J668,$J$2:$J$1001,0)+COUNTIF($J$2:J668,J668)-1</f>
        <v>425</v>
      </c>
      <c r="L668" t="str">
        <f>INDEX('Boundary table'!$B$3:$B$7,MATCH(J668,'Boundary table'!$A$3:$A$7,1))</f>
        <v>C</v>
      </c>
      <c r="M668" s="16">
        <v>71</v>
      </c>
      <c r="N668">
        <f>RANK(M668,$M$2:$M$1001,0)+COUNTIF($M$2:M668,M668)-1</f>
        <v>450</v>
      </c>
      <c r="O668" t="str">
        <f>INDEX('Boundary table'!$B$3:$B$7,MATCH(M668,'Boundary table'!$A$3:$A$7))</f>
        <v>C</v>
      </c>
      <c r="P668">
        <f>Table1[[#This Row],[Math Score]]+Table1[[#This Row],[Reading Score]]+Table1[[#This Row],[Writing Score]]</f>
        <v>207</v>
      </c>
      <c r="Q668" s="16">
        <f>COUNTIF(Table1[[#This Row],[Math Score]],"&lt;60")+COUNTIF(Table1[[#This Row],[Reading Score]],"&lt;60")+COUNTIF(Table1[[#This Row],[Writing Score]],"&lt;60")</f>
        <v>0</v>
      </c>
      <c r="R668" t="str">
        <f>IF(Table1[[#This Row],[Fail Count]]&gt;=2,"At risk","OK")</f>
        <v>OK</v>
      </c>
    </row>
    <row r="669" spans="1:18">
      <c r="A669" t="str">
        <f t="shared" si="10"/>
        <v>Stu-668</v>
      </c>
      <c r="B669" t="s">
        <v>11</v>
      </c>
      <c r="C669" t="s">
        <v>12</v>
      </c>
      <c r="D669" t="s">
        <v>13</v>
      </c>
      <c r="E669" t="s">
        <v>30</v>
      </c>
      <c r="F669" t="s">
        <v>15</v>
      </c>
      <c r="G669" s="16">
        <v>77</v>
      </c>
      <c r="H669">
        <f>RANK(G669,$G$2:$G$1001,0)+COUNTIF($G$2:G669,G669)-1</f>
        <v>245</v>
      </c>
      <c r="I669" t="str">
        <f>INDEX('Boundary table'!$B$3:$B$7,MATCH(G669,'Boundary table'!$A$3:$A$7,1))</f>
        <v>C</v>
      </c>
      <c r="J669" s="16">
        <v>85</v>
      </c>
      <c r="K669">
        <f>RANK(J669,$J$2:$J$1001,0)+COUNTIF($J$2:J669,J669)-1</f>
        <v>141</v>
      </c>
      <c r="L669" t="str">
        <f>INDEX('Boundary table'!$B$3:$B$7,MATCH(J669,'Boundary table'!$A$3:$A$7,1))</f>
        <v>B</v>
      </c>
      <c r="M669" s="16">
        <v>87</v>
      </c>
      <c r="N669">
        <f>RANK(M669,$M$2:$M$1001,0)+COUNTIF($M$2:M669,M669)-1</f>
        <v>104</v>
      </c>
      <c r="O669" t="str">
        <f>INDEX('Boundary table'!$B$3:$B$7,MATCH(M669,'Boundary table'!$A$3:$A$7))</f>
        <v>B</v>
      </c>
      <c r="P669">
        <f>Table1[[#This Row],[Math Score]]+Table1[[#This Row],[Reading Score]]+Table1[[#This Row],[Writing Score]]</f>
        <v>249</v>
      </c>
      <c r="Q669" s="16">
        <f>COUNTIF(Table1[[#This Row],[Math Score]],"&lt;60")+COUNTIF(Table1[[#This Row],[Reading Score]],"&lt;60")+COUNTIF(Table1[[#This Row],[Writing Score]],"&lt;60")</f>
        <v>0</v>
      </c>
      <c r="R669" t="str">
        <f>IF(Table1[[#This Row],[Fail Count]]&gt;=2,"At risk","OK")</f>
        <v>OK</v>
      </c>
    </row>
    <row r="670" spans="1:18">
      <c r="A670" t="str">
        <f t="shared" si="10"/>
        <v>Stu-669</v>
      </c>
      <c r="B670" t="s">
        <v>27</v>
      </c>
      <c r="C670" t="s">
        <v>19</v>
      </c>
      <c r="D670" t="s">
        <v>20</v>
      </c>
      <c r="E670" t="s">
        <v>14</v>
      </c>
      <c r="F670" t="s">
        <v>15</v>
      </c>
      <c r="G670" s="16">
        <v>73</v>
      </c>
      <c r="H670">
        <f>RANK(G670,$G$2:$G$1001,0)+COUNTIF($G$2:G670,G670)-1</f>
        <v>340</v>
      </c>
      <c r="I670" t="str">
        <f>INDEX('Boundary table'!$B$3:$B$7,MATCH(G670,'Boundary table'!$A$3:$A$7,1))</f>
        <v>C</v>
      </c>
      <c r="J670" s="16">
        <v>74</v>
      </c>
      <c r="K670">
        <f>RANK(J670,$J$2:$J$1001,0)+COUNTIF($J$2:J670,J670)-1</f>
        <v>395</v>
      </c>
      <c r="L670" t="str">
        <f>INDEX('Boundary table'!$B$3:$B$7,MATCH(J670,'Boundary table'!$A$3:$A$7,1))</f>
        <v>C</v>
      </c>
      <c r="M670" s="16">
        <v>61</v>
      </c>
      <c r="N670">
        <f>RANK(M670,$M$2:$M$1001,0)+COUNTIF($M$2:M670,M670)-1</f>
        <v>692</v>
      </c>
      <c r="O670" t="str">
        <f>INDEX('Boundary table'!$B$3:$B$7,MATCH(M670,'Boundary table'!$A$3:$A$7))</f>
        <v>D</v>
      </c>
      <c r="P670">
        <f>Table1[[#This Row],[Math Score]]+Table1[[#This Row],[Reading Score]]+Table1[[#This Row],[Writing Score]]</f>
        <v>208</v>
      </c>
      <c r="Q670" s="16">
        <f>COUNTIF(Table1[[#This Row],[Math Score]],"&lt;60")+COUNTIF(Table1[[#This Row],[Reading Score]],"&lt;60")+COUNTIF(Table1[[#This Row],[Writing Score]],"&lt;60")</f>
        <v>0</v>
      </c>
      <c r="R670" t="str">
        <f>IF(Table1[[#This Row],[Fail Count]]&gt;=2,"At risk","OK")</f>
        <v>OK</v>
      </c>
    </row>
    <row r="671" spans="1:18">
      <c r="A671" t="str">
        <f t="shared" si="10"/>
        <v>Stu-670</v>
      </c>
      <c r="B671" t="s">
        <v>27</v>
      </c>
      <c r="C671" t="s">
        <v>31</v>
      </c>
      <c r="D671" t="s">
        <v>29</v>
      </c>
      <c r="E671" t="s">
        <v>14</v>
      </c>
      <c r="F671" t="s">
        <v>21</v>
      </c>
      <c r="G671" s="16">
        <v>81</v>
      </c>
      <c r="H671">
        <f>RANK(G671,$G$2:$G$1001,0)+COUNTIF($G$2:G671,G671)-1</f>
        <v>166</v>
      </c>
      <c r="I671" t="str">
        <f>INDEX('Boundary table'!$B$3:$B$7,MATCH(G671,'Boundary table'!$A$3:$A$7,1))</f>
        <v>B</v>
      </c>
      <c r="J671" s="16">
        <v>72</v>
      </c>
      <c r="K671">
        <f>RANK(J671,$J$2:$J$1001,0)+COUNTIF($J$2:J671,J671)-1</f>
        <v>452</v>
      </c>
      <c r="L671" t="str">
        <f>INDEX('Boundary table'!$B$3:$B$7,MATCH(J671,'Boundary table'!$A$3:$A$7,1))</f>
        <v>C</v>
      </c>
      <c r="M671" s="16">
        <v>77</v>
      </c>
      <c r="N671">
        <f>RANK(M671,$M$2:$M$1001,0)+COUNTIF($M$2:M671,M671)-1</f>
        <v>295</v>
      </c>
      <c r="O671" t="str">
        <f>INDEX('Boundary table'!$B$3:$B$7,MATCH(M671,'Boundary table'!$A$3:$A$7))</f>
        <v>C</v>
      </c>
      <c r="P671">
        <f>Table1[[#This Row],[Math Score]]+Table1[[#This Row],[Reading Score]]+Table1[[#This Row],[Writing Score]]</f>
        <v>230</v>
      </c>
      <c r="Q671" s="16">
        <f>COUNTIF(Table1[[#This Row],[Math Score]],"&lt;60")+COUNTIF(Table1[[#This Row],[Reading Score]],"&lt;60")+COUNTIF(Table1[[#This Row],[Writing Score]],"&lt;60")</f>
        <v>0</v>
      </c>
      <c r="R671" t="str">
        <f>IF(Table1[[#This Row],[Fail Count]]&gt;=2,"At risk","OK")</f>
        <v>OK</v>
      </c>
    </row>
    <row r="672" spans="1:18">
      <c r="A672" t="str">
        <f t="shared" si="10"/>
        <v>Stu-671</v>
      </c>
      <c r="B672" t="s">
        <v>11</v>
      </c>
      <c r="C672" t="s">
        <v>19</v>
      </c>
      <c r="D672" t="s">
        <v>32</v>
      </c>
      <c r="E672" t="s">
        <v>30</v>
      </c>
      <c r="F672" t="s">
        <v>15</v>
      </c>
      <c r="G672" s="16">
        <v>66</v>
      </c>
      <c r="H672">
        <f>RANK(G672,$G$2:$G$1001,0)+COUNTIF($G$2:G672,G672)-1</f>
        <v>509</v>
      </c>
      <c r="I672" t="str">
        <f>INDEX('Boundary table'!$B$3:$B$7,MATCH(G672,'Boundary table'!$A$3:$A$7,1))</f>
        <v>D</v>
      </c>
      <c r="J672" s="16">
        <v>76</v>
      </c>
      <c r="K672">
        <f>RANK(J672,$J$2:$J$1001,0)+COUNTIF($J$2:J672,J672)-1</f>
        <v>336</v>
      </c>
      <c r="L672" t="str">
        <f>INDEX('Boundary table'!$B$3:$B$7,MATCH(J672,'Boundary table'!$A$3:$A$7,1))</f>
        <v>C</v>
      </c>
      <c r="M672" s="16">
        <v>68</v>
      </c>
      <c r="N672">
        <f>RANK(M672,$M$2:$M$1001,0)+COUNTIF($M$2:M672,M672)-1</f>
        <v>536</v>
      </c>
      <c r="O672" t="str">
        <f>INDEX('Boundary table'!$B$3:$B$7,MATCH(M672,'Boundary table'!$A$3:$A$7))</f>
        <v>D</v>
      </c>
      <c r="P672">
        <f>Table1[[#This Row],[Math Score]]+Table1[[#This Row],[Reading Score]]+Table1[[#This Row],[Writing Score]]</f>
        <v>210</v>
      </c>
      <c r="Q672" s="16">
        <f>COUNTIF(Table1[[#This Row],[Math Score]],"&lt;60")+COUNTIF(Table1[[#This Row],[Reading Score]],"&lt;60")+COUNTIF(Table1[[#This Row],[Writing Score]],"&lt;60")</f>
        <v>0</v>
      </c>
      <c r="R672" t="str">
        <f>IF(Table1[[#This Row],[Fail Count]]&gt;=2,"At risk","OK")</f>
        <v>OK</v>
      </c>
    </row>
    <row r="673" spans="1:18">
      <c r="A673" t="str">
        <f t="shared" si="10"/>
        <v>Stu-672</v>
      </c>
      <c r="B673" t="s">
        <v>27</v>
      </c>
      <c r="C673" t="s">
        <v>31</v>
      </c>
      <c r="D673" t="s">
        <v>29</v>
      </c>
      <c r="E673" t="s">
        <v>30</v>
      </c>
      <c r="F673" t="s">
        <v>15</v>
      </c>
      <c r="G673" s="16">
        <v>52</v>
      </c>
      <c r="H673">
        <f>RANK(G673,$G$2:$G$1001,0)+COUNTIF($G$2:G673,G673)-1</f>
        <v>831</v>
      </c>
      <c r="I673" t="str">
        <f>INDEX('Boundary table'!$B$3:$B$7,MATCH(G673,'Boundary table'!$A$3:$A$7,1))</f>
        <v>F</v>
      </c>
      <c r="J673" s="16">
        <v>57</v>
      </c>
      <c r="K673">
        <f>RANK(J673,$J$2:$J$1001,0)+COUNTIF($J$2:J673,J673)-1</f>
        <v>801</v>
      </c>
      <c r="L673" t="str">
        <f>INDEX('Boundary table'!$B$3:$B$7,MATCH(J673,'Boundary table'!$A$3:$A$7,1))</f>
        <v>F</v>
      </c>
      <c r="M673" s="16">
        <v>50</v>
      </c>
      <c r="N673">
        <f>RANK(M673,$M$2:$M$1001,0)+COUNTIF($M$2:M673,M673)-1</f>
        <v>885</v>
      </c>
      <c r="O673" t="str">
        <f>INDEX('Boundary table'!$B$3:$B$7,MATCH(M673,'Boundary table'!$A$3:$A$7))</f>
        <v>F</v>
      </c>
      <c r="P673">
        <f>Table1[[#This Row],[Math Score]]+Table1[[#This Row],[Reading Score]]+Table1[[#This Row],[Writing Score]]</f>
        <v>159</v>
      </c>
      <c r="Q673" s="16">
        <f>COUNTIF(Table1[[#This Row],[Math Score]],"&lt;60")+COUNTIF(Table1[[#This Row],[Reading Score]],"&lt;60")+COUNTIF(Table1[[#This Row],[Writing Score]],"&lt;60")</f>
        <v>3</v>
      </c>
      <c r="R673" t="str">
        <f>IF(Table1[[#This Row],[Fail Count]]&gt;=2,"At risk","OK")</f>
        <v>At risk</v>
      </c>
    </row>
    <row r="674" spans="1:18">
      <c r="A674" t="str">
        <f t="shared" si="10"/>
        <v>Stu-673</v>
      </c>
      <c r="B674" t="s">
        <v>11</v>
      </c>
      <c r="C674" t="s">
        <v>19</v>
      </c>
      <c r="D674" t="s">
        <v>20</v>
      </c>
      <c r="E674" t="s">
        <v>14</v>
      </c>
      <c r="F674" t="s">
        <v>15</v>
      </c>
      <c r="G674" s="16">
        <v>69</v>
      </c>
      <c r="H674">
        <f>RANK(G674,$G$2:$G$1001,0)+COUNTIF($G$2:G674,G674)-1</f>
        <v>432</v>
      </c>
      <c r="I674" t="str">
        <f>INDEX('Boundary table'!$B$3:$B$7,MATCH(G674,'Boundary table'!$A$3:$A$7,1))</f>
        <v>D</v>
      </c>
      <c r="J674" s="16">
        <v>78</v>
      </c>
      <c r="K674">
        <f>RANK(J674,$J$2:$J$1001,0)+COUNTIF($J$2:J674,J674)-1</f>
        <v>285</v>
      </c>
      <c r="L674" t="str">
        <f>INDEX('Boundary table'!$B$3:$B$7,MATCH(J674,'Boundary table'!$A$3:$A$7,1))</f>
        <v>C</v>
      </c>
      <c r="M674" s="16">
        <v>76</v>
      </c>
      <c r="N674">
        <f>RANK(M674,$M$2:$M$1001,0)+COUNTIF($M$2:M674,M674)-1</f>
        <v>319</v>
      </c>
      <c r="O674" t="str">
        <f>INDEX('Boundary table'!$B$3:$B$7,MATCH(M674,'Boundary table'!$A$3:$A$7))</f>
        <v>C</v>
      </c>
      <c r="P674">
        <f>Table1[[#This Row],[Math Score]]+Table1[[#This Row],[Reading Score]]+Table1[[#This Row],[Writing Score]]</f>
        <v>223</v>
      </c>
      <c r="Q674" s="16">
        <f>COUNTIF(Table1[[#This Row],[Math Score]],"&lt;60")+COUNTIF(Table1[[#This Row],[Reading Score]],"&lt;60")+COUNTIF(Table1[[#This Row],[Writing Score]],"&lt;60")</f>
        <v>0</v>
      </c>
      <c r="R674" t="str">
        <f>IF(Table1[[#This Row],[Fail Count]]&gt;=2,"At risk","OK")</f>
        <v>OK</v>
      </c>
    </row>
    <row r="675" spans="1:18">
      <c r="A675" t="str">
        <f t="shared" si="10"/>
        <v>Stu-674</v>
      </c>
      <c r="B675" t="s">
        <v>11</v>
      </c>
      <c r="C675" t="s">
        <v>19</v>
      </c>
      <c r="D675" t="s">
        <v>29</v>
      </c>
      <c r="E675" t="s">
        <v>14</v>
      </c>
      <c r="F675" t="s">
        <v>21</v>
      </c>
      <c r="G675" s="16">
        <v>65</v>
      </c>
      <c r="H675">
        <f>RANK(G675,$G$2:$G$1001,0)+COUNTIF($G$2:G675,G675)-1</f>
        <v>546</v>
      </c>
      <c r="I675" t="str">
        <f>INDEX('Boundary table'!$B$3:$B$7,MATCH(G675,'Boundary table'!$A$3:$A$7,1))</f>
        <v>D</v>
      </c>
      <c r="J675" s="16">
        <v>84</v>
      </c>
      <c r="K675">
        <f>RANK(J675,$J$2:$J$1001,0)+COUNTIF($J$2:J675,J675)-1</f>
        <v>163</v>
      </c>
      <c r="L675" t="str">
        <f>INDEX('Boundary table'!$B$3:$B$7,MATCH(J675,'Boundary table'!$A$3:$A$7,1))</f>
        <v>B</v>
      </c>
      <c r="M675" s="16">
        <v>84</v>
      </c>
      <c r="N675">
        <f>RANK(M675,$M$2:$M$1001,0)+COUNTIF($M$2:M675,M675)-1</f>
        <v>144</v>
      </c>
      <c r="O675" t="str">
        <f>INDEX('Boundary table'!$B$3:$B$7,MATCH(M675,'Boundary table'!$A$3:$A$7))</f>
        <v>B</v>
      </c>
      <c r="P675">
        <f>Table1[[#This Row],[Math Score]]+Table1[[#This Row],[Reading Score]]+Table1[[#This Row],[Writing Score]]</f>
        <v>233</v>
      </c>
      <c r="Q675" s="16">
        <f>COUNTIF(Table1[[#This Row],[Math Score]],"&lt;60")+COUNTIF(Table1[[#This Row],[Reading Score]],"&lt;60")+COUNTIF(Table1[[#This Row],[Writing Score]],"&lt;60")</f>
        <v>0</v>
      </c>
      <c r="R675" t="str">
        <f>IF(Table1[[#This Row],[Fail Count]]&gt;=2,"At risk","OK")</f>
        <v>OK</v>
      </c>
    </row>
    <row r="676" spans="1:18">
      <c r="A676" t="str">
        <f t="shared" si="10"/>
        <v>Stu-675</v>
      </c>
      <c r="B676" t="s">
        <v>11</v>
      </c>
      <c r="C676" t="s">
        <v>31</v>
      </c>
      <c r="D676" t="s">
        <v>32</v>
      </c>
      <c r="E676" t="s">
        <v>14</v>
      </c>
      <c r="F676" t="s">
        <v>21</v>
      </c>
      <c r="G676" s="16">
        <v>69</v>
      </c>
      <c r="H676">
        <f>RANK(G676,$G$2:$G$1001,0)+COUNTIF($G$2:G676,G676)-1</f>
        <v>433</v>
      </c>
      <c r="I676" t="str">
        <f>INDEX('Boundary table'!$B$3:$B$7,MATCH(G676,'Boundary table'!$A$3:$A$7,1))</f>
        <v>D</v>
      </c>
      <c r="J676" s="16">
        <v>77</v>
      </c>
      <c r="K676">
        <f>RANK(J676,$J$2:$J$1001,0)+COUNTIF($J$2:J676,J676)-1</f>
        <v>310</v>
      </c>
      <c r="L676" t="str">
        <f>INDEX('Boundary table'!$B$3:$B$7,MATCH(J676,'Boundary table'!$A$3:$A$7,1))</f>
        <v>C</v>
      </c>
      <c r="M676" s="16">
        <v>78</v>
      </c>
      <c r="N676">
        <f>RANK(M676,$M$2:$M$1001,0)+COUNTIF($M$2:M676,M676)-1</f>
        <v>273</v>
      </c>
      <c r="O676" t="str">
        <f>INDEX('Boundary table'!$B$3:$B$7,MATCH(M676,'Boundary table'!$A$3:$A$7))</f>
        <v>C</v>
      </c>
      <c r="P676">
        <f>Table1[[#This Row],[Math Score]]+Table1[[#This Row],[Reading Score]]+Table1[[#This Row],[Writing Score]]</f>
        <v>224</v>
      </c>
      <c r="Q676" s="16">
        <f>COUNTIF(Table1[[#This Row],[Math Score]],"&lt;60")+COUNTIF(Table1[[#This Row],[Reading Score]],"&lt;60")+COUNTIF(Table1[[#This Row],[Writing Score]],"&lt;60")</f>
        <v>0</v>
      </c>
      <c r="R676" t="str">
        <f>IF(Table1[[#This Row],[Fail Count]]&gt;=2,"At risk","OK")</f>
        <v>OK</v>
      </c>
    </row>
    <row r="677" spans="1:18">
      <c r="A677" t="str">
        <f t="shared" si="10"/>
        <v>Stu-676</v>
      </c>
      <c r="B677" t="s">
        <v>11</v>
      </c>
      <c r="C677" t="s">
        <v>12</v>
      </c>
      <c r="D677" t="s">
        <v>20</v>
      </c>
      <c r="E677" t="s">
        <v>14</v>
      </c>
      <c r="F677" t="s">
        <v>21</v>
      </c>
      <c r="G677" s="16">
        <v>50</v>
      </c>
      <c r="H677">
        <f>RANK(G677,$G$2:$G$1001,0)+COUNTIF($G$2:G677,G677)-1</f>
        <v>861</v>
      </c>
      <c r="I677" t="str">
        <f>INDEX('Boundary table'!$B$3:$B$7,MATCH(G677,'Boundary table'!$A$3:$A$7,1))</f>
        <v>F</v>
      </c>
      <c r="J677" s="16">
        <v>64</v>
      </c>
      <c r="K677">
        <f>RANK(J677,$J$2:$J$1001,0)+COUNTIF($J$2:J677,J677)-1</f>
        <v>649</v>
      </c>
      <c r="L677" t="str">
        <f>INDEX('Boundary table'!$B$3:$B$7,MATCH(J677,'Boundary table'!$A$3:$A$7,1))</f>
        <v>D</v>
      </c>
      <c r="M677" s="16">
        <v>66</v>
      </c>
      <c r="N677">
        <f>RANK(M677,$M$2:$M$1001,0)+COUNTIF($M$2:M677,M677)-1</f>
        <v>586</v>
      </c>
      <c r="O677" t="str">
        <f>INDEX('Boundary table'!$B$3:$B$7,MATCH(M677,'Boundary table'!$A$3:$A$7))</f>
        <v>D</v>
      </c>
      <c r="P677">
        <f>Table1[[#This Row],[Math Score]]+Table1[[#This Row],[Reading Score]]+Table1[[#This Row],[Writing Score]]</f>
        <v>180</v>
      </c>
      <c r="Q677" s="16">
        <f>COUNTIF(Table1[[#This Row],[Math Score]],"&lt;60")+COUNTIF(Table1[[#This Row],[Reading Score]],"&lt;60")+COUNTIF(Table1[[#This Row],[Writing Score]],"&lt;60")</f>
        <v>1</v>
      </c>
      <c r="R677" t="str">
        <f>IF(Table1[[#This Row],[Fail Count]]&gt;=2,"At risk","OK")</f>
        <v>OK</v>
      </c>
    </row>
    <row r="678" spans="1:18">
      <c r="A678" t="str">
        <f t="shared" si="10"/>
        <v>Stu-677</v>
      </c>
      <c r="B678" t="s">
        <v>11</v>
      </c>
      <c r="C678" t="s">
        <v>34</v>
      </c>
      <c r="D678" t="s">
        <v>20</v>
      </c>
      <c r="E678" t="s">
        <v>14</v>
      </c>
      <c r="F678" t="s">
        <v>21</v>
      </c>
      <c r="G678" s="16">
        <v>73</v>
      </c>
      <c r="H678">
        <f>RANK(G678,$G$2:$G$1001,0)+COUNTIF($G$2:G678,G678)-1</f>
        <v>341</v>
      </c>
      <c r="I678" t="str">
        <f>INDEX('Boundary table'!$B$3:$B$7,MATCH(G678,'Boundary table'!$A$3:$A$7,1))</f>
        <v>C</v>
      </c>
      <c r="J678" s="16">
        <v>78</v>
      </c>
      <c r="K678">
        <f>RANK(J678,$J$2:$J$1001,0)+COUNTIF($J$2:J678,J678)-1</f>
        <v>286</v>
      </c>
      <c r="L678" t="str">
        <f>INDEX('Boundary table'!$B$3:$B$7,MATCH(J678,'Boundary table'!$A$3:$A$7,1))</f>
        <v>C</v>
      </c>
      <c r="M678" s="16">
        <v>76</v>
      </c>
      <c r="N678">
        <f>RANK(M678,$M$2:$M$1001,0)+COUNTIF($M$2:M678,M678)-1</f>
        <v>320</v>
      </c>
      <c r="O678" t="str">
        <f>INDEX('Boundary table'!$B$3:$B$7,MATCH(M678,'Boundary table'!$A$3:$A$7))</f>
        <v>C</v>
      </c>
      <c r="P678">
        <f>Table1[[#This Row],[Math Score]]+Table1[[#This Row],[Reading Score]]+Table1[[#This Row],[Writing Score]]</f>
        <v>227</v>
      </c>
      <c r="Q678" s="16">
        <f>COUNTIF(Table1[[#This Row],[Math Score]],"&lt;60")+COUNTIF(Table1[[#This Row],[Reading Score]],"&lt;60")+COUNTIF(Table1[[#This Row],[Writing Score]],"&lt;60")</f>
        <v>0</v>
      </c>
      <c r="R678" t="str">
        <f>IF(Table1[[#This Row],[Fail Count]]&gt;=2,"At risk","OK")</f>
        <v>OK</v>
      </c>
    </row>
    <row r="679" spans="1:18">
      <c r="A679" t="str">
        <f t="shared" si="10"/>
        <v>Stu-678</v>
      </c>
      <c r="B679" t="s">
        <v>11</v>
      </c>
      <c r="C679" t="s">
        <v>19</v>
      </c>
      <c r="D679" t="s">
        <v>33</v>
      </c>
      <c r="E679" t="s">
        <v>14</v>
      </c>
      <c r="F679" t="s">
        <v>21</v>
      </c>
      <c r="G679" s="16">
        <v>70</v>
      </c>
      <c r="H679">
        <f>RANK(G679,$G$2:$G$1001,0)+COUNTIF($G$2:G679,G679)-1</f>
        <v>402</v>
      </c>
      <c r="I679" t="str">
        <f>INDEX('Boundary table'!$B$3:$B$7,MATCH(G679,'Boundary table'!$A$3:$A$7,1))</f>
        <v>C</v>
      </c>
      <c r="J679" s="16">
        <v>82</v>
      </c>
      <c r="K679">
        <f>RANK(J679,$J$2:$J$1001,0)+COUNTIF($J$2:J679,J679)-1</f>
        <v>202</v>
      </c>
      <c r="L679" t="str">
        <f>INDEX('Boundary table'!$B$3:$B$7,MATCH(J679,'Boundary table'!$A$3:$A$7,1))</f>
        <v>B</v>
      </c>
      <c r="M679" s="16">
        <v>76</v>
      </c>
      <c r="N679">
        <f>RANK(M679,$M$2:$M$1001,0)+COUNTIF($M$2:M679,M679)-1</f>
        <v>321</v>
      </c>
      <c r="O679" t="str">
        <f>INDEX('Boundary table'!$B$3:$B$7,MATCH(M679,'Boundary table'!$A$3:$A$7))</f>
        <v>C</v>
      </c>
      <c r="P679">
        <f>Table1[[#This Row],[Math Score]]+Table1[[#This Row],[Reading Score]]+Table1[[#This Row],[Writing Score]]</f>
        <v>228</v>
      </c>
      <c r="Q679" s="16">
        <f>COUNTIF(Table1[[#This Row],[Math Score]],"&lt;60")+COUNTIF(Table1[[#This Row],[Reading Score]],"&lt;60")+COUNTIF(Table1[[#This Row],[Writing Score]],"&lt;60")</f>
        <v>0</v>
      </c>
      <c r="R679" t="str">
        <f>IF(Table1[[#This Row],[Fail Count]]&gt;=2,"At risk","OK")</f>
        <v>OK</v>
      </c>
    </row>
    <row r="680" spans="1:18">
      <c r="A680" t="str">
        <f t="shared" si="10"/>
        <v>Stu-679</v>
      </c>
      <c r="B680" t="s">
        <v>27</v>
      </c>
      <c r="C680" t="s">
        <v>31</v>
      </c>
      <c r="D680" t="s">
        <v>29</v>
      </c>
      <c r="E680" t="s">
        <v>30</v>
      </c>
      <c r="F680" t="s">
        <v>15</v>
      </c>
      <c r="G680" s="16">
        <v>81</v>
      </c>
      <c r="H680">
        <f>RANK(G680,$G$2:$G$1001,0)+COUNTIF($G$2:G680,G680)-1</f>
        <v>167</v>
      </c>
      <c r="I680" t="str">
        <f>INDEX('Boundary table'!$B$3:$B$7,MATCH(G680,'Boundary table'!$A$3:$A$7,1))</f>
        <v>B</v>
      </c>
      <c r="J680" s="16">
        <v>75</v>
      </c>
      <c r="K680">
        <f>RANK(J680,$J$2:$J$1001,0)+COUNTIF($J$2:J680,J680)-1</f>
        <v>359</v>
      </c>
      <c r="L680" t="str">
        <f>INDEX('Boundary table'!$B$3:$B$7,MATCH(J680,'Boundary table'!$A$3:$A$7,1))</f>
        <v>C</v>
      </c>
      <c r="M680" s="16">
        <v>78</v>
      </c>
      <c r="N680">
        <f>RANK(M680,$M$2:$M$1001,0)+COUNTIF($M$2:M680,M680)-1</f>
        <v>274</v>
      </c>
      <c r="O680" t="str">
        <f>INDEX('Boundary table'!$B$3:$B$7,MATCH(M680,'Boundary table'!$A$3:$A$7))</f>
        <v>C</v>
      </c>
      <c r="P680">
        <f>Table1[[#This Row],[Math Score]]+Table1[[#This Row],[Reading Score]]+Table1[[#This Row],[Writing Score]]</f>
        <v>234</v>
      </c>
      <c r="Q680" s="16">
        <f>COUNTIF(Table1[[#This Row],[Math Score]],"&lt;60")+COUNTIF(Table1[[#This Row],[Reading Score]],"&lt;60")+COUNTIF(Table1[[#This Row],[Writing Score]],"&lt;60")</f>
        <v>0</v>
      </c>
      <c r="R680" t="str">
        <f>IF(Table1[[#This Row],[Fail Count]]&gt;=2,"At risk","OK")</f>
        <v>OK</v>
      </c>
    </row>
    <row r="681" spans="1:18">
      <c r="A681" t="str">
        <f t="shared" si="10"/>
        <v>Stu-680</v>
      </c>
      <c r="B681" t="s">
        <v>27</v>
      </c>
      <c r="C681" t="s">
        <v>31</v>
      </c>
      <c r="D681" t="s">
        <v>20</v>
      </c>
      <c r="E681" t="s">
        <v>30</v>
      </c>
      <c r="F681" t="s">
        <v>15</v>
      </c>
      <c r="G681" s="16">
        <v>63</v>
      </c>
      <c r="H681">
        <f>RANK(G681,$G$2:$G$1001,0)+COUNTIF($G$2:G681,G681)-1</f>
        <v>594</v>
      </c>
      <c r="I681" t="str">
        <f>INDEX('Boundary table'!$B$3:$B$7,MATCH(G681,'Boundary table'!$A$3:$A$7,1))</f>
        <v>D</v>
      </c>
      <c r="J681" s="16">
        <v>61</v>
      </c>
      <c r="K681">
        <f>RANK(J681,$J$2:$J$1001,0)+COUNTIF($J$2:J681,J681)-1</f>
        <v>718</v>
      </c>
      <c r="L681" t="str">
        <f>INDEX('Boundary table'!$B$3:$B$7,MATCH(J681,'Boundary table'!$A$3:$A$7,1))</f>
        <v>D</v>
      </c>
      <c r="M681" s="16">
        <v>60</v>
      </c>
      <c r="N681">
        <f>RANK(M681,$M$2:$M$1001,0)+COUNTIF($M$2:M681,M681)-1</f>
        <v>710</v>
      </c>
      <c r="O681" t="str">
        <f>INDEX('Boundary table'!$B$3:$B$7,MATCH(M681,'Boundary table'!$A$3:$A$7))</f>
        <v>D</v>
      </c>
      <c r="P681">
        <f>Table1[[#This Row],[Math Score]]+Table1[[#This Row],[Reading Score]]+Table1[[#This Row],[Writing Score]]</f>
        <v>184</v>
      </c>
      <c r="Q681" s="16">
        <f>COUNTIF(Table1[[#This Row],[Math Score]],"&lt;60")+COUNTIF(Table1[[#This Row],[Reading Score]],"&lt;60")+COUNTIF(Table1[[#This Row],[Writing Score]],"&lt;60")</f>
        <v>0</v>
      </c>
      <c r="R681" t="str">
        <f>IF(Table1[[#This Row],[Fail Count]]&gt;=2,"At risk","OK")</f>
        <v>OK</v>
      </c>
    </row>
    <row r="682" spans="1:18">
      <c r="A682" t="str">
        <f t="shared" si="10"/>
        <v>Stu-681</v>
      </c>
      <c r="B682" t="s">
        <v>11</v>
      </c>
      <c r="C682" t="s">
        <v>31</v>
      </c>
      <c r="D682" t="s">
        <v>32</v>
      </c>
      <c r="E682" t="s">
        <v>14</v>
      </c>
      <c r="F682" t="s">
        <v>15</v>
      </c>
      <c r="G682" s="16">
        <v>67</v>
      </c>
      <c r="H682">
        <f>RANK(G682,$G$2:$G$1001,0)+COUNTIF($G$2:G682,G682)-1</f>
        <v>485</v>
      </c>
      <c r="I682" t="str">
        <f>INDEX('Boundary table'!$B$3:$B$7,MATCH(G682,'Boundary table'!$A$3:$A$7,1))</f>
        <v>D</v>
      </c>
      <c r="J682" s="16">
        <v>72</v>
      </c>
      <c r="K682">
        <f>RANK(J682,$J$2:$J$1001,0)+COUNTIF($J$2:J682,J682)-1</f>
        <v>453</v>
      </c>
      <c r="L682" t="str">
        <f>INDEX('Boundary table'!$B$3:$B$7,MATCH(J682,'Boundary table'!$A$3:$A$7,1))</f>
        <v>C</v>
      </c>
      <c r="M682" s="16">
        <v>74</v>
      </c>
      <c r="N682">
        <f>RANK(M682,$M$2:$M$1001,0)+COUNTIF($M$2:M682,M682)-1</f>
        <v>374</v>
      </c>
      <c r="O682" t="str">
        <f>INDEX('Boundary table'!$B$3:$B$7,MATCH(M682,'Boundary table'!$A$3:$A$7))</f>
        <v>C</v>
      </c>
      <c r="P682">
        <f>Table1[[#This Row],[Math Score]]+Table1[[#This Row],[Reading Score]]+Table1[[#This Row],[Writing Score]]</f>
        <v>213</v>
      </c>
      <c r="Q682" s="16">
        <f>COUNTIF(Table1[[#This Row],[Math Score]],"&lt;60")+COUNTIF(Table1[[#This Row],[Reading Score]],"&lt;60")+COUNTIF(Table1[[#This Row],[Writing Score]],"&lt;60")</f>
        <v>0</v>
      </c>
      <c r="R682" t="str">
        <f>IF(Table1[[#This Row],[Fail Count]]&gt;=2,"At risk","OK")</f>
        <v>OK</v>
      </c>
    </row>
    <row r="683" spans="1:18">
      <c r="A683" t="str">
        <f t="shared" si="10"/>
        <v>Stu-682</v>
      </c>
      <c r="B683" t="s">
        <v>27</v>
      </c>
      <c r="C683" t="s">
        <v>12</v>
      </c>
      <c r="D683" t="s">
        <v>32</v>
      </c>
      <c r="E683" t="s">
        <v>14</v>
      </c>
      <c r="F683" t="s">
        <v>15</v>
      </c>
      <c r="G683" s="16">
        <v>60</v>
      </c>
      <c r="H683">
        <f>RANK(G683,$G$2:$G$1001,0)+COUNTIF($G$2:G683,G683)-1</f>
        <v>671</v>
      </c>
      <c r="I683" t="str">
        <f>INDEX('Boundary table'!$B$3:$B$7,MATCH(G683,'Boundary table'!$A$3:$A$7,1))</f>
        <v>D</v>
      </c>
      <c r="J683" s="16">
        <v>68</v>
      </c>
      <c r="K683">
        <f>RANK(J683,$J$2:$J$1001,0)+COUNTIF($J$2:J683,J683)-1</f>
        <v>543</v>
      </c>
      <c r="L683" t="str">
        <f>INDEX('Boundary table'!$B$3:$B$7,MATCH(J683,'Boundary table'!$A$3:$A$7,1))</f>
        <v>D</v>
      </c>
      <c r="M683" s="16">
        <v>60</v>
      </c>
      <c r="N683">
        <f>RANK(M683,$M$2:$M$1001,0)+COUNTIF($M$2:M683,M683)-1</f>
        <v>711</v>
      </c>
      <c r="O683" t="str">
        <f>INDEX('Boundary table'!$B$3:$B$7,MATCH(M683,'Boundary table'!$A$3:$A$7))</f>
        <v>D</v>
      </c>
      <c r="P683">
        <f>Table1[[#This Row],[Math Score]]+Table1[[#This Row],[Reading Score]]+Table1[[#This Row],[Writing Score]]</f>
        <v>188</v>
      </c>
      <c r="Q683" s="16">
        <f>COUNTIF(Table1[[#This Row],[Math Score]],"&lt;60")+COUNTIF(Table1[[#This Row],[Reading Score]],"&lt;60")+COUNTIF(Table1[[#This Row],[Writing Score]],"&lt;60")</f>
        <v>0</v>
      </c>
      <c r="R683" t="str">
        <f>IF(Table1[[#This Row],[Fail Count]]&gt;=2,"At risk","OK")</f>
        <v>OK</v>
      </c>
    </row>
    <row r="684" spans="1:18">
      <c r="A684" t="str">
        <f t="shared" si="10"/>
        <v>Stu-683</v>
      </c>
      <c r="B684" t="s">
        <v>27</v>
      </c>
      <c r="C684" t="s">
        <v>12</v>
      </c>
      <c r="D684" t="s">
        <v>32</v>
      </c>
      <c r="E684" t="s">
        <v>14</v>
      </c>
      <c r="F684" t="s">
        <v>15</v>
      </c>
      <c r="G684" s="16">
        <v>62</v>
      </c>
      <c r="H684">
        <f>RANK(G684,$G$2:$G$1001,0)+COUNTIF($G$2:G684,G684)-1</f>
        <v>620</v>
      </c>
      <c r="I684" t="str">
        <f>INDEX('Boundary table'!$B$3:$B$7,MATCH(G684,'Boundary table'!$A$3:$A$7,1))</f>
        <v>D</v>
      </c>
      <c r="J684" s="16">
        <v>55</v>
      </c>
      <c r="K684">
        <f>RANK(J684,$J$2:$J$1001,0)+COUNTIF($J$2:J684,J684)-1</f>
        <v>836</v>
      </c>
      <c r="L684" t="str">
        <f>INDEX('Boundary table'!$B$3:$B$7,MATCH(J684,'Boundary table'!$A$3:$A$7,1))</f>
        <v>F</v>
      </c>
      <c r="M684" s="16">
        <v>54</v>
      </c>
      <c r="N684">
        <f>RANK(M684,$M$2:$M$1001,0)+COUNTIF($M$2:M684,M684)-1</f>
        <v>816</v>
      </c>
      <c r="O684" t="str">
        <f>INDEX('Boundary table'!$B$3:$B$7,MATCH(M684,'Boundary table'!$A$3:$A$7))</f>
        <v>F</v>
      </c>
      <c r="P684">
        <f>Table1[[#This Row],[Math Score]]+Table1[[#This Row],[Reading Score]]+Table1[[#This Row],[Writing Score]]</f>
        <v>171</v>
      </c>
      <c r="Q684" s="16">
        <f>COUNTIF(Table1[[#This Row],[Math Score]],"&lt;60")+COUNTIF(Table1[[#This Row],[Reading Score]],"&lt;60")+COUNTIF(Table1[[#This Row],[Writing Score]],"&lt;60")</f>
        <v>2</v>
      </c>
      <c r="R684" t="str">
        <f>IF(Table1[[#This Row],[Fail Count]]&gt;=2,"At risk","OK")</f>
        <v>At risk</v>
      </c>
    </row>
    <row r="685" spans="1:18">
      <c r="A685" t="str">
        <f t="shared" si="10"/>
        <v>Stu-684</v>
      </c>
      <c r="B685" t="s">
        <v>11</v>
      </c>
      <c r="C685" t="s">
        <v>19</v>
      </c>
      <c r="D685" t="s">
        <v>33</v>
      </c>
      <c r="E685" t="s">
        <v>30</v>
      </c>
      <c r="F685" t="s">
        <v>21</v>
      </c>
      <c r="G685" s="16">
        <v>29</v>
      </c>
      <c r="H685">
        <f>RANK(G685,$G$2:$G$1001,0)+COUNTIF($G$2:G685,G685)-1</f>
        <v>989</v>
      </c>
      <c r="I685" t="str">
        <f>INDEX('Boundary table'!$B$3:$B$7,MATCH(G685,'Boundary table'!$A$3:$A$7,1))</f>
        <v>F</v>
      </c>
      <c r="J685" s="16">
        <v>40</v>
      </c>
      <c r="K685">
        <f>RANK(J685,$J$2:$J$1001,0)+COUNTIF($J$2:J685,J685)-1</f>
        <v>974</v>
      </c>
      <c r="L685" t="str">
        <f>INDEX('Boundary table'!$B$3:$B$7,MATCH(J685,'Boundary table'!$A$3:$A$7,1))</f>
        <v>F</v>
      </c>
      <c r="M685" s="16">
        <v>44</v>
      </c>
      <c r="N685">
        <f>RANK(M685,$M$2:$M$1001,0)+COUNTIF($M$2:M685,M685)-1</f>
        <v>933</v>
      </c>
      <c r="O685" t="str">
        <f>INDEX('Boundary table'!$B$3:$B$7,MATCH(M685,'Boundary table'!$A$3:$A$7))</f>
        <v>F</v>
      </c>
      <c r="P685">
        <f>Table1[[#This Row],[Math Score]]+Table1[[#This Row],[Reading Score]]+Table1[[#This Row],[Writing Score]]</f>
        <v>113</v>
      </c>
      <c r="Q685" s="16">
        <f>COUNTIF(Table1[[#This Row],[Math Score]],"&lt;60")+COUNTIF(Table1[[#This Row],[Reading Score]],"&lt;60")+COUNTIF(Table1[[#This Row],[Writing Score]],"&lt;60")</f>
        <v>3</v>
      </c>
      <c r="R685" t="str">
        <f>IF(Table1[[#This Row],[Fail Count]]&gt;=2,"At risk","OK")</f>
        <v>At risk</v>
      </c>
    </row>
    <row r="686" spans="1:18">
      <c r="A686" t="str">
        <f t="shared" si="10"/>
        <v>Stu-685</v>
      </c>
      <c r="B686" t="s">
        <v>27</v>
      </c>
      <c r="C686" t="s">
        <v>12</v>
      </c>
      <c r="D686" t="s">
        <v>20</v>
      </c>
      <c r="E686" t="s">
        <v>14</v>
      </c>
      <c r="F686" t="s">
        <v>21</v>
      </c>
      <c r="G686" s="16">
        <v>62</v>
      </c>
      <c r="H686">
        <f>RANK(G686,$G$2:$G$1001,0)+COUNTIF($G$2:G686,G686)-1</f>
        <v>621</v>
      </c>
      <c r="I686" t="str">
        <f>INDEX('Boundary table'!$B$3:$B$7,MATCH(G686,'Boundary table'!$A$3:$A$7,1))</f>
        <v>D</v>
      </c>
      <c r="J686" s="16">
        <v>66</v>
      </c>
      <c r="K686">
        <f>RANK(J686,$J$2:$J$1001,0)+COUNTIF($J$2:J686,J686)-1</f>
        <v>602</v>
      </c>
      <c r="L686" t="str">
        <f>INDEX('Boundary table'!$B$3:$B$7,MATCH(J686,'Boundary table'!$A$3:$A$7,1))</f>
        <v>D</v>
      </c>
      <c r="M686" s="16">
        <v>68</v>
      </c>
      <c r="N686">
        <f>RANK(M686,$M$2:$M$1001,0)+COUNTIF($M$2:M686,M686)-1</f>
        <v>537</v>
      </c>
      <c r="O686" t="str">
        <f>INDEX('Boundary table'!$B$3:$B$7,MATCH(M686,'Boundary table'!$A$3:$A$7))</f>
        <v>D</v>
      </c>
      <c r="P686">
        <f>Table1[[#This Row],[Math Score]]+Table1[[#This Row],[Reading Score]]+Table1[[#This Row],[Writing Score]]</f>
        <v>196</v>
      </c>
      <c r="Q686" s="16">
        <f>COUNTIF(Table1[[#This Row],[Math Score]],"&lt;60")+COUNTIF(Table1[[#This Row],[Reading Score]],"&lt;60")+COUNTIF(Table1[[#This Row],[Writing Score]],"&lt;60")</f>
        <v>0</v>
      </c>
      <c r="R686" t="str">
        <f>IF(Table1[[#This Row],[Fail Count]]&gt;=2,"At risk","OK")</f>
        <v>OK</v>
      </c>
    </row>
    <row r="687" spans="1:18">
      <c r="A687" t="str">
        <f t="shared" si="10"/>
        <v>Stu-686</v>
      </c>
      <c r="B687" t="s">
        <v>11</v>
      </c>
      <c r="C687" t="s">
        <v>34</v>
      </c>
      <c r="D687" t="s">
        <v>26</v>
      </c>
      <c r="E687" t="s">
        <v>14</v>
      </c>
      <c r="F687" t="s">
        <v>21</v>
      </c>
      <c r="G687" s="16">
        <v>94</v>
      </c>
      <c r="H687">
        <f>RANK(G687,$G$2:$G$1001,0)+COUNTIF($G$2:G687,G687)-1</f>
        <v>28</v>
      </c>
      <c r="I687" t="str">
        <f>INDEX('Boundary table'!$B$3:$B$7,MATCH(G687,'Boundary table'!$A$3:$A$7,1))</f>
        <v>A</v>
      </c>
      <c r="J687" s="16">
        <v>99</v>
      </c>
      <c r="K687">
        <f>RANK(J687,$J$2:$J$1001,0)+COUNTIF($J$2:J687,J687)-1</f>
        <v>19</v>
      </c>
      <c r="L687" t="str">
        <f>INDEX('Boundary table'!$B$3:$B$7,MATCH(J687,'Boundary table'!$A$3:$A$7,1))</f>
        <v>A</v>
      </c>
      <c r="M687" s="16">
        <v>100</v>
      </c>
      <c r="N687">
        <f>RANK(M687,$M$2:$M$1001,0)+COUNTIF($M$2:M687,M687)-1</f>
        <v>9</v>
      </c>
      <c r="O687" t="str">
        <f>INDEX('Boundary table'!$B$3:$B$7,MATCH(M687,'Boundary table'!$A$3:$A$7))</f>
        <v>A</v>
      </c>
      <c r="P687">
        <f>Table1[[#This Row],[Math Score]]+Table1[[#This Row],[Reading Score]]+Table1[[#This Row],[Writing Score]]</f>
        <v>293</v>
      </c>
      <c r="Q687" s="16">
        <f>COUNTIF(Table1[[#This Row],[Math Score]],"&lt;60")+COUNTIF(Table1[[#This Row],[Reading Score]],"&lt;60")+COUNTIF(Table1[[#This Row],[Writing Score]],"&lt;60")</f>
        <v>0</v>
      </c>
      <c r="R687" t="str">
        <f>IF(Table1[[#This Row],[Fail Count]]&gt;=2,"At risk","OK")</f>
        <v>OK</v>
      </c>
    </row>
    <row r="688" spans="1:18">
      <c r="A688" t="str">
        <f t="shared" si="10"/>
        <v>Stu-687</v>
      </c>
      <c r="B688" t="s">
        <v>27</v>
      </c>
      <c r="C688" t="s">
        <v>34</v>
      </c>
      <c r="D688" t="s">
        <v>20</v>
      </c>
      <c r="E688" t="s">
        <v>14</v>
      </c>
      <c r="F688" t="s">
        <v>21</v>
      </c>
      <c r="G688" s="16">
        <v>85</v>
      </c>
      <c r="H688">
        <f>RANK(G688,$G$2:$G$1001,0)+COUNTIF($G$2:G688,G688)-1</f>
        <v>113</v>
      </c>
      <c r="I688" t="str">
        <f>INDEX('Boundary table'!$B$3:$B$7,MATCH(G688,'Boundary table'!$A$3:$A$7,1))</f>
        <v>B</v>
      </c>
      <c r="J688" s="16">
        <v>75</v>
      </c>
      <c r="K688">
        <f>RANK(J688,$J$2:$J$1001,0)+COUNTIF($J$2:J688,J688)-1</f>
        <v>360</v>
      </c>
      <c r="L688" t="str">
        <f>INDEX('Boundary table'!$B$3:$B$7,MATCH(J688,'Boundary table'!$A$3:$A$7,1))</f>
        <v>C</v>
      </c>
      <c r="M688" s="16">
        <v>68</v>
      </c>
      <c r="N688">
        <f>RANK(M688,$M$2:$M$1001,0)+COUNTIF($M$2:M688,M688)-1</f>
        <v>538</v>
      </c>
      <c r="O688" t="str">
        <f>INDEX('Boundary table'!$B$3:$B$7,MATCH(M688,'Boundary table'!$A$3:$A$7))</f>
        <v>D</v>
      </c>
      <c r="P688">
        <f>Table1[[#This Row],[Math Score]]+Table1[[#This Row],[Reading Score]]+Table1[[#This Row],[Writing Score]]</f>
        <v>228</v>
      </c>
      <c r="Q688" s="16">
        <f>COUNTIF(Table1[[#This Row],[Math Score]],"&lt;60")+COUNTIF(Table1[[#This Row],[Reading Score]],"&lt;60")+COUNTIF(Table1[[#This Row],[Writing Score]],"&lt;60")</f>
        <v>0</v>
      </c>
      <c r="R688" t="str">
        <f>IF(Table1[[#This Row],[Fail Count]]&gt;=2,"At risk","OK")</f>
        <v>OK</v>
      </c>
    </row>
    <row r="689" spans="1:18">
      <c r="A689" t="str">
        <f t="shared" si="10"/>
        <v>Stu-688</v>
      </c>
      <c r="B689" t="s">
        <v>27</v>
      </c>
      <c r="C689" t="s">
        <v>31</v>
      </c>
      <c r="D689" t="s">
        <v>29</v>
      </c>
      <c r="E689" t="s">
        <v>30</v>
      </c>
      <c r="F689" t="s">
        <v>15</v>
      </c>
      <c r="G689" s="16">
        <v>77</v>
      </c>
      <c r="H689">
        <f>RANK(G689,$G$2:$G$1001,0)+COUNTIF($G$2:G689,G689)-1</f>
        <v>246</v>
      </c>
      <c r="I689" t="str">
        <f>INDEX('Boundary table'!$B$3:$B$7,MATCH(G689,'Boundary table'!$A$3:$A$7,1))</f>
        <v>C</v>
      </c>
      <c r="J689" s="16">
        <v>78</v>
      </c>
      <c r="K689">
        <f>RANK(J689,$J$2:$J$1001,0)+COUNTIF($J$2:J689,J689)-1</f>
        <v>287</v>
      </c>
      <c r="L689" t="str">
        <f>INDEX('Boundary table'!$B$3:$B$7,MATCH(J689,'Boundary table'!$A$3:$A$7,1))</f>
        <v>C</v>
      </c>
      <c r="M689" s="16">
        <v>73</v>
      </c>
      <c r="N689">
        <f>RANK(M689,$M$2:$M$1001,0)+COUNTIF($M$2:M689,M689)-1</f>
        <v>404</v>
      </c>
      <c r="O689" t="str">
        <f>INDEX('Boundary table'!$B$3:$B$7,MATCH(M689,'Boundary table'!$A$3:$A$7))</f>
        <v>C</v>
      </c>
      <c r="P689">
        <f>Table1[[#This Row],[Math Score]]+Table1[[#This Row],[Reading Score]]+Table1[[#This Row],[Writing Score]]</f>
        <v>228</v>
      </c>
      <c r="Q689" s="16">
        <f>COUNTIF(Table1[[#This Row],[Math Score]],"&lt;60")+COUNTIF(Table1[[#This Row],[Reading Score]],"&lt;60")+COUNTIF(Table1[[#This Row],[Writing Score]],"&lt;60")</f>
        <v>0</v>
      </c>
      <c r="R689" t="str">
        <f>IF(Table1[[#This Row],[Fail Count]]&gt;=2,"At risk","OK")</f>
        <v>OK</v>
      </c>
    </row>
    <row r="690" spans="1:18">
      <c r="A690" t="str">
        <f t="shared" si="10"/>
        <v>Stu-689</v>
      </c>
      <c r="B690" t="s">
        <v>27</v>
      </c>
      <c r="C690" t="s">
        <v>28</v>
      </c>
      <c r="D690" t="s">
        <v>32</v>
      </c>
      <c r="E690" t="s">
        <v>30</v>
      </c>
      <c r="F690" t="s">
        <v>15</v>
      </c>
      <c r="G690" s="16">
        <v>53</v>
      </c>
      <c r="H690">
        <f>RANK(G690,$G$2:$G$1001,0)+COUNTIF($G$2:G690,G690)-1</f>
        <v>815</v>
      </c>
      <c r="I690" t="str">
        <f>INDEX('Boundary table'!$B$3:$B$7,MATCH(G690,'Boundary table'!$A$3:$A$7,1))</f>
        <v>F</v>
      </c>
      <c r="J690" s="16">
        <v>58</v>
      </c>
      <c r="K690">
        <f>RANK(J690,$J$2:$J$1001,0)+COUNTIF($J$2:J690,J690)-1</f>
        <v>781</v>
      </c>
      <c r="L690" t="str">
        <f>INDEX('Boundary table'!$B$3:$B$7,MATCH(J690,'Boundary table'!$A$3:$A$7,1))</f>
        <v>F</v>
      </c>
      <c r="M690" s="16">
        <v>44</v>
      </c>
      <c r="N690">
        <f>RANK(M690,$M$2:$M$1001,0)+COUNTIF($M$2:M690,M690)-1</f>
        <v>934</v>
      </c>
      <c r="O690" t="str">
        <f>INDEX('Boundary table'!$B$3:$B$7,MATCH(M690,'Boundary table'!$A$3:$A$7))</f>
        <v>F</v>
      </c>
      <c r="P690">
        <f>Table1[[#This Row],[Math Score]]+Table1[[#This Row],[Reading Score]]+Table1[[#This Row],[Writing Score]]</f>
        <v>155</v>
      </c>
      <c r="Q690" s="16">
        <f>COUNTIF(Table1[[#This Row],[Math Score]],"&lt;60")+COUNTIF(Table1[[#This Row],[Reading Score]],"&lt;60")+COUNTIF(Table1[[#This Row],[Writing Score]],"&lt;60")</f>
        <v>3</v>
      </c>
      <c r="R690" t="str">
        <f>IF(Table1[[#This Row],[Fail Count]]&gt;=2,"At risk","OK")</f>
        <v>At risk</v>
      </c>
    </row>
    <row r="691" spans="1:18">
      <c r="A691" t="str">
        <f t="shared" si="10"/>
        <v>Stu-690</v>
      </c>
      <c r="B691" t="s">
        <v>27</v>
      </c>
      <c r="C691" t="s">
        <v>34</v>
      </c>
      <c r="D691" t="s">
        <v>20</v>
      </c>
      <c r="E691" t="s">
        <v>30</v>
      </c>
      <c r="F691" t="s">
        <v>15</v>
      </c>
      <c r="G691" s="16">
        <v>93</v>
      </c>
      <c r="H691">
        <f>RANK(G691,$G$2:$G$1001,0)+COUNTIF($G$2:G691,G691)-1</f>
        <v>32</v>
      </c>
      <c r="I691" t="str">
        <f>INDEX('Boundary table'!$B$3:$B$7,MATCH(G691,'Boundary table'!$A$3:$A$7,1))</f>
        <v>A</v>
      </c>
      <c r="J691" s="16">
        <v>90</v>
      </c>
      <c r="K691">
        <f>RANK(J691,$J$2:$J$1001,0)+COUNTIF($J$2:J691,J691)-1</f>
        <v>73</v>
      </c>
      <c r="L691" t="str">
        <f>INDEX('Boundary table'!$B$3:$B$7,MATCH(J691,'Boundary table'!$A$3:$A$7,1))</f>
        <v>A</v>
      </c>
      <c r="M691" s="16">
        <v>83</v>
      </c>
      <c r="N691">
        <f>RANK(M691,$M$2:$M$1001,0)+COUNTIF($M$2:M691,M691)-1</f>
        <v>161</v>
      </c>
      <c r="O691" t="str">
        <f>INDEX('Boundary table'!$B$3:$B$7,MATCH(M691,'Boundary table'!$A$3:$A$7))</f>
        <v>B</v>
      </c>
      <c r="P691">
        <f>Table1[[#This Row],[Math Score]]+Table1[[#This Row],[Reading Score]]+Table1[[#This Row],[Writing Score]]</f>
        <v>266</v>
      </c>
      <c r="Q691" s="16">
        <f>COUNTIF(Table1[[#This Row],[Math Score]],"&lt;60")+COUNTIF(Table1[[#This Row],[Reading Score]],"&lt;60")+COUNTIF(Table1[[#This Row],[Writing Score]],"&lt;60")</f>
        <v>0</v>
      </c>
      <c r="R691" t="str">
        <f>IF(Table1[[#This Row],[Fail Count]]&gt;=2,"At risk","OK")</f>
        <v>OK</v>
      </c>
    </row>
    <row r="692" spans="1:18">
      <c r="A692" t="str">
        <f t="shared" si="10"/>
        <v>Stu-691</v>
      </c>
      <c r="B692" t="s">
        <v>11</v>
      </c>
      <c r="C692" t="s">
        <v>19</v>
      </c>
      <c r="D692" t="s">
        <v>29</v>
      </c>
      <c r="E692" t="s">
        <v>14</v>
      </c>
      <c r="F692" t="s">
        <v>15</v>
      </c>
      <c r="G692" s="16">
        <v>49</v>
      </c>
      <c r="H692">
        <f>RANK(G692,$G$2:$G$1001,0)+COUNTIF($G$2:G692,G692)-1</f>
        <v>875</v>
      </c>
      <c r="I692" t="str">
        <f>INDEX('Boundary table'!$B$3:$B$7,MATCH(G692,'Boundary table'!$A$3:$A$7,1))</f>
        <v>F</v>
      </c>
      <c r="J692" s="16">
        <v>53</v>
      </c>
      <c r="K692">
        <f>RANK(J692,$J$2:$J$1001,0)+COUNTIF($J$2:J692,J692)-1</f>
        <v>869</v>
      </c>
      <c r="L692" t="str">
        <f>INDEX('Boundary table'!$B$3:$B$7,MATCH(J692,'Boundary table'!$A$3:$A$7,1))</f>
        <v>F</v>
      </c>
      <c r="M692" s="16">
        <v>53</v>
      </c>
      <c r="N692">
        <f>RANK(M692,$M$2:$M$1001,0)+COUNTIF($M$2:M692,M692)-1</f>
        <v>833</v>
      </c>
      <c r="O692" t="str">
        <f>INDEX('Boundary table'!$B$3:$B$7,MATCH(M692,'Boundary table'!$A$3:$A$7))</f>
        <v>F</v>
      </c>
      <c r="P692">
        <f>Table1[[#This Row],[Math Score]]+Table1[[#This Row],[Reading Score]]+Table1[[#This Row],[Writing Score]]</f>
        <v>155</v>
      </c>
      <c r="Q692" s="16">
        <f>COUNTIF(Table1[[#This Row],[Math Score]],"&lt;60")+COUNTIF(Table1[[#This Row],[Reading Score]],"&lt;60")+COUNTIF(Table1[[#This Row],[Writing Score]],"&lt;60")</f>
        <v>3</v>
      </c>
      <c r="R692" t="str">
        <f>IF(Table1[[#This Row],[Fail Count]]&gt;=2,"At risk","OK")</f>
        <v>At risk</v>
      </c>
    </row>
    <row r="693" spans="1:18">
      <c r="A693" t="str">
        <f t="shared" si="10"/>
        <v>Stu-692</v>
      </c>
      <c r="B693" t="s">
        <v>11</v>
      </c>
      <c r="C693" t="s">
        <v>34</v>
      </c>
      <c r="D693" t="s">
        <v>29</v>
      </c>
      <c r="E693" t="s">
        <v>30</v>
      </c>
      <c r="F693" t="s">
        <v>15</v>
      </c>
      <c r="G693" s="16">
        <v>73</v>
      </c>
      <c r="H693">
        <f>RANK(G693,$G$2:$G$1001,0)+COUNTIF($G$2:G693,G693)-1</f>
        <v>342</v>
      </c>
      <c r="I693" t="str">
        <f>INDEX('Boundary table'!$B$3:$B$7,MATCH(G693,'Boundary table'!$A$3:$A$7,1))</f>
        <v>C</v>
      </c>
      <c r="J693" s="16">
        <v>76</v>
      </c>
      <c r="K693">
        <f>RANK(J693,$J$2:$J$1001,0)+COUNTIF($J$2:J693,J693)-1</f>
        <v>337</v>
      </c>
      <c r="L693" t="str">
        <f>INDEX('Boundary table'!$B$3:$B$7,MATCH(J693,'Boundary table'!$A$3:$A$7,1))</f>
        <v>C</v>
      </c>
      <c r="M693" s="16">
        <v>78</v>
      </c>
      <c r="N693">
        <f>RANK(M693,$M$2:$M$1001,0)+COUNTIF($M$2:M693,M693)-1</f>
        <v>275</v>
      </c>
      <c r="O693" t="str">
        <f>INDEX('Boundary table'!$B$3:$B$7,MATCH(M693,'Boundary table'!$A$3:$A$7))</f>
        <v>C</v>
      </c>
      <c r="P693">
        <f>Table1[[#This Row],[Math Score]]+Table1[[#This Row],[Reading Score]]+Table1[[#This Row],[Writing Score]]</f>
        <v>227</v>
      </c>
      <c r="Q693" s="16">
        <f>COUNTIF(Table1[[#This Row],[Math Score]],"&lt;60")+COUNTIF(Table1[[#This Row],[Reading Score]],"&lt;60")+COUNTIF(Table1[[#This Row],[Writing Score]],"&lt;60")</f>
        <v>0</v>
      </c>
      <c r="R693" t="str">
        <f>IF(Table1[[#This Row],[Fail Count]]&gt;=2,"At risk","OK")</f>
        <v>OK</v>
      </c>
    </row>
    <row r="694" spans="1:18">
      <c r="A694" t="str">
        <f t="shared" si="10"/>
        <v>Stu-693</v>
      </c>
      <c r="B694" t="s">
        <v>11</v>
      </c>
      <c r="C694" t="s">
        <v>19</v>
      </c>
      <c r="D694" t="s">
        <v>13</v>
      </c>
      <c r="E694" t="s">
        <v>30</v>
      </c>
      <c r="F694" t="s">
        <v>21</v>
      </c>
      <c r="G694" s="16">
        <v>66</v>
      </c>
      <c r="H694">
        <f>RANK(G694,$G$2:$G$1001,0)+COUNTIF($G$2:G694,G694)-1</f>
        <v>510</v>
      </c>
      <c r="I694" t="str">
        <f>INDEX('Boundary table'!$B$3:$B$7,MATCH(G694,'Boundary table'!$A$3:$A$7,1))</f>
        <v>D</v>
      </c>
      <c r="J694" s="16">
        <v>74</v>
      </c>
      <c r="K694">
        <f>RANK(J694,$J$2:$J$1001,0)+COUNTIF($J$2:J694,J694)-1</f>
        <v>396</v>
      </c>
      <c r="L694" t="str">
        <f>INDEX('Boundary table'!$B$3:$B$7,MATCH(J694,'Boundary table'!$A$3:$A$7,1))</f>
        <v>C</v>
      </c>
      <c r="M694" s="16">
        <v>81</v>
      </c>
      <c r="N694">
        <f>RANK(M694,$M$2:$M$1001,0)+COUNTIF($M$2:M694,M694)-1</f>
        <v>204</v>
      </c>
      <c r="O694" t="str">
        <f>INDEX('Boundary table'!$B$3:$B$7,MATCH(M694,'Boundary table'!$A$3:$A$7))</f>
        <v>B</v>
      </c>
      <c r="P694">
        <f>Table1[[#This Row],[Math Score]]+Table1[[#This Row],[Reading Score]]+Table1[[#This Row],[Writing Score]]</f>
        <v>221</v>
      </c>
      <c r="Q694" s="16">
        <f>COUNTIF(Table1[[#This Row],[Math Score]],"&lt;60")+COUNTIF(Table1[[#This Row],[Reading Score]],"&lt;60")+COUNTIF(Table1[[#This Row],[Writing Score]],"&lt;60")</f>
        <v>0</v>
      </c>
      <c r="R694" t="str">
        <f>IF(Table1[[#This Row],[Fail Count]]&gt;=2,"At risk","OK")</f>
        <v>OK</v>
      </c>
    </row>
    <row r="695" spans="1:18">
      <c r="A695" t="str">
        <f t="shared" si="10"/>
        <v>Stu-694</v>
      </c>
      <c r="B695" t="s">
        <v>11</v>
      </c>
      <c r="C695" t="s">
        <v>31</v>
      </c>
      <c r="D695" t="s">
        <v>29</v>
      </c>
      <c r="E695" t="s">
        <v>14</v>
      </c>
      <c r="F695" t="s">
        <v>15</v>
      </c>
      <c r="G695" s="16">
        <v>77</v>
      </c>
      <c r="H695">
        <f>RANK(G695,$G$2:$G$1001,0)+COUNTIF($G$2:G695,G695)-1</f>
        <v>247</v>
      </c>
      <c r="I695" t="str">
        <f>INDEX('Boundary table'!$B$3:$B$7,MATCH(G695,'Boundary table'!$A$3:$A$7,1))</f>
        <v>C</v>
      </c>
      <c r="J695" s="16">
        <v>77</v>
      </c>
      <c r="K695">
        <f>RANK(J695,$J$2:$J$1001,0)+COUNTIF($J$2:J695,J695)-1</f>
        <v>311</v>
      </c>
      <c r="L695" t="str">
        <f>INDEX('Boundary table'!$B$3:$B$7,MATCH(J695,'Boundary table'!$A$3:$A$7,1))</f>
        <v>C</v>
      </c>
      <c r="M695" s="16">
        <v>73</v>
      </c>
      <c r="N695">
        <f>RANK(M695,$M$2:$M$1001,0)+COUNTIF($M$2:M695,M695)-1</f>
        <v>405</v>
      </c>
      <c r="O695" t="str">
        <f>INDEX('Boundary table'!$B$3:$B$7,MATCH(M695,'Boundary table'!$A$3:$A$7))</f>
        <v>C</v>
      </c>
      <c r="P695">
        <f>Table1[[#This Row],[Math Score]]+Table1[[#This Row],[Reading Score]]+Table1[[#This Row],[Writing Score]]</f>
        <v>227</v>
      </c>
      <c r="Q695" s="16">
        <f>COUNTIF(Table1[[#This Row],[Math Score]],"&lt;60")+COUNTIF(Table1[[#This Row],[Reading Score]],"&lt;60")+COUNTIF(Table1[[#This Row],[Writing Score]],"&lt;60")</f>
        <v>0</v>
      </c>
      <c r="R695" t="str">
        <f>IF(Table1[[#This Row],[Fail Count]]&gt;=2,"At risk","OK")</f>
        <v>OK</v>
      </c>
    </row>
    <row r="696" spans="1:18">
      <c r="A696" t="str">
        <f t="shared" si="10"/>
        <v>Stu-695</v>
      </c>
      <c r="B696" t="s">
        <v>11</v>
      </c>
      <c r="C696" t="s">
        <v>19</v>
      </c>
      <c r="D696" t="s">
        <v>33</v>
      </c>
      <c r="E696" t="s">
        <v>14</v>
      </c>
      <c r="F696" t="s">
        <v>15</v>
      </c>
      <c r="G696" s="16">
        <v>49</v>
      </c>
      <c r="H696">
        <f>RANK(G696,$G$2:$G$1001,0)+COUNTIF($G$2:G696,G696)-1</f>
        <v>876</v>
      </c>
      <c r="I696" t="str">
        <f>INDEX('Boundary table'!$B$3:$B$7,MATCH(G696,'Boundary table'!$A$3:$A$7,1))</f>
        <v>F</v>
      </c>
      <c r="J696" s="16">
        <v>63</v>
      </c>
      <c r="K696">
        <f>RANK(J696,$J$2:$J$1001,0)+COUNTIF($J$2:J696,J696)-1</f>
        <v>672</v>
      </c>
      <c r="L696" t="str">
        <f>INDEX('Boundary table'!$B$3:$B$7,MATCH(J696,'Boundary table'!$A$3:$A$7,1))</f>
        <v>D</v>
      </c>
      <c r="M696" s="16">
        <v>56</v>
      </c>
      <c r="N696">
        <f>RANK(M696,$M$2:$M$1001,0)+COUNTIF($M$2:M696,M696)-1</f>
        <v>782</v>
      </c>
      <c r="O696" t="str">
        <f>INDEX('Boundary table'!$B$3:$B$7,MATCH(M696,'Boundary table'!$A$3:$A$7))</f>
        <v>F</v>
      </c>
      <c r="P696">
        <f>Table1[[#This Row],[Math Score]]+Table1[[#This Row],[Reading Score]]+Table1[[#This Row],[Writing Score]]</f>
        <v>168</v>
      </c>
      <c r="Q696" s="16">
        <f>COUNTIF(Table1[[#This Row],[Math Score]],"&lt;60")+COUNTIF(Table1[[#This Row],[Reading Score]],"&lt;60")+COUNTIF(Table1[[#This Row],[Writing Score]],"&lt;60")</f>
        <v>2</v>
      </c>
      <c r="R696" t="str">
        <f>IF(Table1[[#This Row],[Fail Count]]&gt;=2,"At risk","OK")</f>
        <v>At risk</v>
      </c>
    </row>
    <row r="697" spans="1:18">
      <c r="A697" t="str">
        <f t="shared" si="10"/>
        <v>Stu-696</v>
      </c>
      <c r="B697" t="s">
        <v>11</v>
      </c>
      <c r="C697" t="s">
        <v>31</v>
      </c>
      <c r="D697" t="s">
        <v>20</v>
      </c>
      <c r="E697" t="s">
        <v>30</v>
      </c>
      <c r="F697" t="s">
        <v>15</v>
      </c>
      <c r="G697" s="16">
        <v>79</v>
      </c>
      <c r="H697">
        <f>RANK(G697,$G$2:$G$1001,0)+COUNTIF($G$2:G697,G697)-1</f>
        <v>211</v>
      </c>
      <c r="I697" t="str">
        <f>INDEX('Boundary table'!$B$3:$B$7,MATCH(G697,'Boundary table'!$A$3:$A$7,1))</f>
        <v>C</v>
      </c>
      <c r="J697" s="16">
        <v>89</v>
      </c>
      <c r="K697">
        <f>RANK(J697,$J$2:$J$1001,0)+COUNTIF($J$2:J697,J697)-1</f>
        <v>90</v>
      </c>
      <c r="L697" t="str">
        <f>INDEX('Boundary table'!$B$3:$B$7,MATCH(J697,'Boundary table'!$A$3:$A$7,1))</f>
        <v>B</v>
      </c>
      <c r="M697" s="16">
        <v>86</v>
      </c>
      <c r="N697">
        <f>RANK(M697,$M$2:$M$1001,0)+COUNTIF($M$2:M697,M697)-1</f>
        <v>117</v>
      </c>
      <c r="O697" t="str">
        <f>INDEX('Boundary table'!$B$3:$B$7,MATCH(M697,'Boundary table'!$A$3:$A$7))</f>
        <v>B</v>
      </c>
      <c r="P697">
        <f>Table1[[#This Row],[Math Score]]+Table1[[#This Row],[Reading Score]]+Table1[[#This Row],[Writing Score]]</f>
        <v>254</v>
      </c>
      <c r="Q697" s="16">
        <f>COUNTIF(Table1[[#This Row],[Math Score]],"&lt;60")+COUNTIF(Table1[[#This Row],[Reading Score]],"&lt;60")+COUNTIF(Table1[[#This Row],[Writing Score]],"&lt;60")</f>
        <v>0</v>
      </c>
      <c r="R697" t="str">
        <f>IF(Table1[[#This Row],[Fail Count]]&gt;=2,"At risk","OK")</f>
        <v>OK</v>
      </c>
    </row>
    <row r="698" spans="1:18">
      <c r="A698" t="str">
        <f t="shared" si="10"/>
        <v>Stu-697</v>
      </c>
      <c r="B698" t="s">
        <v>11</v>
      </c>
      <c r="C698" t="s">
        <v>19</v>
      </c>
      <c r="D698" t="s">
        <v>29</v>
      </c>
      <c r="E698" t="s">
        <v>14</v>
      </c>
      <c r="F698" t="s">
        <v>21</v>
      </c>
      <c r="G698" s="16">
        <v>75</v>
      </c>
      <c r="H698">
        <f>RANK(G698,$G$2:$G$1001,0)+COUNTIF($G$2:G698,G698)-1</f>
        <v>288</v>
      </c>
      <c r="I698" t="str">
        <f>INDEX('Boundary table'!$B$3:$B$7,MATCH(G698,'Boundary table'!$A$3:$A$7,1))</f>
        <v>C</v>
      </c>
      <c r="J698" s="16">
        <v>82</v>
      </c>
      <c r="K698">
        <f>RANK(J698,$J$2:$J$1001,0)+COUNTIF($J$2:J698,J698)-1</f>
        <v>203</v>
      </c>
      <c r="L698" t="str">
        <f>INDEX('Boundary table'!$B$3:$B$7,MATCH(J698,'Boundary table'!$A$3:$A$7,1))</f>
        <v>B</v>
      </c>
      <c r="M698" s="16">
        <v>90</v>
      </c>
      <c r="N698">
        <f>RANK(M698,$M$2:$M$1001,0)+COUNTIF($M$2:M698,M698)-1</f>
        <v>76</v>
      </c>
      <c r="O698" t="str">
        <f>INDEX('Boundary table'!$B$3:$B$7,MATCH(M698,'Boundary table'!$A$3:$A$7))</f>
        <v>A</v>
      </c>
      <c r="P698">
        <f>Table1[[#This Row],[Math Score]]+Table1[[#This Row],[Reading Score]]+Table1[[#This Row],[Writing Score]]</f>
        <v>247</v>
      </c>
      <c r="Q698" s="16">
        <f>COUNTIF(Table1[[#This Row],[Math Score]],"&lt;60")+COUNTIF(Table1[[#This Row],[Reading Score]],"&lt;60")+COUNTIF(Table1[[#This Row],[Writing Score]],"&lt;60")</f>
        <v>0</v>
      </c>
      <c r="R698" t="str">
        <f>IF(Table1[[#This Row],[Fail Count]]&gt;=2,"At risk","OK")</f>
        <v>OK</v>
      </c>
    </row>
    <row r="699" spans="1:18">
      <c r="A699" t="str">
        <f t="shared" si="10"/>
        <v>Stu-698</v>
      </c>
      <c r="B699" t="s">
        <v>11</v>
      </c>
      <c r="C699" t="s">
        <v>28</v>
      </c>
      <c r="D699" t="s">
        <v>13</v>
      </c>
      <c r="E699" t="s">
        <v>14</v>
      </c>
      <c r="F699" t="s">
        <v>15</v>
      </c>
      <c r="G699" s="16">
        <v>59</v>
      </c>
      <c r="H699">
        <f>RANK(G699,$G$2:$G$1001,0)+COUNTIF($G$2:G699,G699)-1</f>
        <v>700</v>
      </c>
      <c r="I699" t="str">
        <f>INDEX('Boundary table'!$B$3:$B$7,MATCH(G699,'Boundary table'!$A$3:$A$7,1))</f>
        <v>F</v>
      </c>
      <c r="J699" s="16">
        <v>72</v>
      </c>
      <c r="K699">
        <f>RANK(J699,$J$2:$J$1001,0)+COUNTIF($J$2:J699,J699)-1</f>
        <v>454</v>
      </c>
      <c r="L699" t="str">
        <f>INDEX('Boundary table'!$B$3:$B$7,MATCH(J699,'Boundary table'!$A$3:$A$7,1))</f>
        <v>C</v>
      </c>
      <c r="M699" s="16">
        <v>70</v>
      </c>
      <c r="N699">
        <f>RANK(M699,$M$2:$M$1001,0)+COUNTIF($M$2:M699,M699)-1</f>
        <v>481</v>
      </c>
      <c r="O699" t="str">
        <f>INDEX('Boundary table'!$B$3:$B$7,MATCH(M699,'Boundary table'!$A$3:$A$7))</f>
        <v>C</v>
      </c>
      <c r="P699">
        <f>Table1[[#This Row],[Math Score]]+Table1[[#This Row],[Reading Score]]+Table1[[#This Row],[Writing Score]]</f>
        <v>201</v>
      </c>
      <c r="Q699" s="16">
        <f>COUNTIF(Table1[[#This Row],[Math Score]],"&lt;60")+COUNTIF(Table1[[#This Row],[Reading Score]],"&lt;60")+COUNTIF(Table1[[#This Row],[Writing Score]],"&lt;60")</f>
        <v>1</v>
      </c>
      <c r="R699" t="str">
        <f>IF(Table1[[#This Row],[Fail Count]]&gt;=2,"At risk","OK")</f>
        <v>OK</v>
      </c>
    </row>
    <row r="700" spans="1:18">
      <c r="A700" t="str">
        <f t="shared" si="10"/>
        <v>Stu-699</v>
      </c>
      <c r="B700" t="s">
        <v>11</v>
      </c>
      <c r="C700" t="s">
        <v>31</v>
      </c>
      <c r="D700" t="s">
        <v>29</v>
      </c>
      <c r="E700" t="s">
        <v>14</v>
      </c>
      <c r="F700" t="s">
        <v>21</v>
      </c>
      <c r="G700" s="16">
        <v>57</v>
      </c>
      <c r="H700">
        <f>RANK(G700,$G$2:$G$1001,0)+COUNTIF($G$2:G700,G700)-1</f>
        <v>744</v>
      </c>
      <c r="I700" t="str">
        <f>INDEX('Boundary table'!$B$3:$B$7,MATCH(G700,'Boundary table'!$A$3:$A$7,1))</f>
        <v>F</v>
      </c>
      <c r="J700" s="16">
        <v>78</v>
      </c>
      <c r="K700">
        <f>RANK(J700,$J$2:$J$1001,0)+COUNTIF($J$2:J700,J700)-1</f>
        <v>288</v>
      </c>
      <c r="L700" t="str">
        <f>INDEX('Boundary table'!$B$3:$B$7,MATCH(J700,'Boundary table'!$A$3:$A$7,1))</f>
        <v>C</v>
      </c>
      <c r="M700" s="16">
        <v>79</v>
      </c>
      <c r="N700">
        <f>RANK(M700,$M$2:$M$1001,0)+COUNTIF($M$2:M700,M700)-1</f>
        <v>249</v>
      </c>
      <c r="O700" t="str">
        <f>INDEX('Boundary table'!$B$3:$B$7,MATCH(M700,'Boundary table'!$A$3:$A$7))</f>
        <v>C</v>
      </c>
      <c r="P700">
        <f>Table1[[#This Row],[Math Score]]+Table1[[#This Row],[Reading Score]]+Table1[[#This Row],[Writing Score]]</f>
        <v>214</v>
      </c>
      <c r="Q700" s="16">
        <f>COUNTIF(Table1[[#This Row],[Math Score]],"&lt;60")+COUNTIF(Table1[[#This Row],[Reading Score]],"&lt;60")+COUNTIF(Table1[[#This Row],[Writing Score]],"&lt;60")</f>
        <v>1</v>
      </c>
      <c r="R700" t="str">
        <f>IF(Table1[[#This Row],[Fail Count]]&gt;=2,"At risk","OK")</f>
        <v>OK</v>
      </c>
    </row>
    <row r="701" spans="1:18">
      <c r="A701" t="str">
        <f t="shared" si="10"/>
        <v>Stu-700</v>
      </c>
      <c r="B701" t="s">
        <v>27</v>
      </c>
      <c r="C701" t="s">
        <v>19</v>
      </c>
      <c r="D701" t="s">
        <v>32</v>
      </c>
      <c r="E701" t="s">
        <v>30</v>
      </c>
      <c r="F701" t="s">
        <v>15</v>
      </c>
      <c r="G701" s="16">
        <v>66</v>
      </c>
      <c r="H701">
        <f>RANK(G701,$G$2:$G$1001,0)+COUNTIF($G$2:G701,G701)-1</f>
        <v>511</v>
      </c>
      <c r="I701" t="str">
        <f>INDEX('Boundary table'!$B$3:$B$7,MATCH(G701,'Boundary table'!$A$3:$A$7,1))</f>
        <v>D</v>
      </c>
      <c r="J701" s="16">
        <v>66</v>
      </c>
      <c r="K701">
        <f>RANK(J701,$J$2:$J$1001,0)+COUNTIF($J$2:J701,J701)-1</f>
        <v>603</v>
      </c>
      <c r="L701" t="str">
        <f>INDEX('Boundary table'!$B$3:$B$7,MATCH(J701,'Boundary table'!$A$3:$A$7,1))</f>
        <v>D</v>
      </c>
      <c r="M701" s="16">
        <v>59</v>
      </c>
      <c r="N701">
        <f>RANK(M701,$M$2:$M$1001,0)+COUNTIF($M$2:M701,M701)-1</f>
        <v>726</v>
      </c>
      <c r="O701" t="str">
        <f>INDEX('Boundary table'!$B$3:$B$7,MATCH(M701,'Boundary table'!$A$3:$A$7))</f>
        <v>F</v>
      </c>
      <c r="P701">
        <f>Table1[[#This Row],[Math Score]]+Table1[[#This Row],[Reading Score]]+Table1[[#This Row],[Writing Score]]</f>
        <v>191</v>
      </c>
      <c r="Q701" s="16">
        <f>COUNTIF(Table1[[#This Row],[Math Score]],"&lt;60")+COUNTIF(Table1[[#This Row],[Reading Score]],"&lt;60")+COUNTIF(Table1[[#This Row],[Writing Score]],"&lt;60")</f>
        <v>1</v>
      </c>
      <c r="R701" t="str">
        <f>IF(Table1[[#This Row],[Fail Count]]&gt;=2,"At risk","OK")</f>
        <v>OK</v>
      </c>
    </row>
    <row r="702" spans="1:18">
      <c r="A702" t="str">
        <f t="shared" si="10"/>
        <v>Stu-701</v>
      </c>
      <c r="B702" t="s">
        <v>11</v>
      </c>
      <c r="C702" t="s">
        <v>34</v>
      </c>
      <c r="D702" t="s">
        <v>13</v>
      </c>
      <c r="E702" t="s">
        <v>14</v>
      </c>
      <c r="F702" t="s">
        <v>21</v>
      </c>
      <c r="G702" s="16">
        <v>79</v>
      </c>
      <c r="H702">
        <f>RANK(G702,$G$2:$G$1001,0)+COUNTIF($G$2:G702,G702)-1</f>
        <v>212</v>
      </c>
      <c r="I702" t="str">
        <f>INDEX('Boundary table'!$B$3:$B$7,MATCH(G702,'Boundary table'!$A$3:$A$7,1))</f>
        <v>C</v>
      </c>
      <c r="J702" s="16">
        <v>81</v>
      </c>
      <c r="K702">
        <f>RANK(J702,$J$2:$J$1001,0)+COUNTIF($J$2:J702,J702)-1</f>
        <v>228</v>
      </c>
      <c r="L702" t="str">
        <f>INDEX('Boundary table'!$B$3:$B$7,MATCH(J702,'Boundary table'!$A$3:$A$7,1))</f>
        <v>B</v>
      </c>
      <c r="M702" s="16">
        <v>82</v>
      </c>
      <c r="N702">
        <f>RANK(M702,$M$2:$M$1001,0)+COUNTIF($M$2:M702,M702)-1</f>
        <v>179</v>
      </c>
      <c r="O702" t="str">
        <f>INDEX('Boundary table'!$B$3:$B$7,MATCH(M702,'Boundary table'!$A$3:$A$7))</f>
        <v>B</v>
      </c>
      <c r="P702">
        <f>Table1[[#This Row],[Math Score]]+Table1[[#This Row],[Reading Score]]+Table1[[#This Row],[Writing Score]]</f>
        <v>242</v>
      </c>
      <c r="Q702" s="16">
        <f>COUNTIF(Table1[[#This Row],[Math Score]],"&lt;60")+COUNTIF(Table1[[#This Row],[Reading Score]],"&lt;60")+COUNTIF(Table1[[#This Row],[Writing Score]],"&lt;60")</f>
        <v>0</v>
      </c>
      <c r="R702" t="str">
        <f>IF(Table1[[#This Row],[Fail Count]]&gt;=2,"At risk","OK")</f>
        <v>OK</v>
      </c>
    </row>
    <row r="703" spans="1:18">
      <c r="A703" t="str">
        <f t="shared" si="10"/>
        <v>Stu-702</v>
      </c>
      <c r="B703" t="s">
        <v>11</v>
      </c>
      <c r="C703" t="s">
        <v>12</v>
      </c>
      <c r="D703" t="s">
        <v>33</v>
      </c>
      <c r="E703" t="s">
        <v>14</v>
      </c>
      <c r="F703" t="s">
        <v>15</v>
      </c>
      <c r="G703" s="16">
        <v>57</v>
      </c>
      <c r="H703">
        <f>RANK(G703,$G$2:$G$1001,0)+COUNTIF($G$2:G703,G703)-1</f>
        <v>745</v>
      </c>
      <c r="I703" t="str">
        <f>INDEX('Boundary table'!$B$3:$B$7,MATCH(G703,'Boundary table'!$A$3:$A$7,1))</f>
        <v>F</v>
      </c>
      <c r="J703" s="16">
        <v>67</v>
      </c>
      <c r="K703">
        <f>RANK(J703,$J$2:$J$1001,0)+COUNTIF($J$2:J703,J703)-1</f>
        <v>576</v>
      </c>
      <c r="L703" t="str">
        <f>INDEX('Boundary table'!$B$3:$B$7,MATCH(J703,'Boundary table'!$A$3:$A$7,1))</f>
        <v>D</v>
      </c>
      <c r="M703" s="16">
        <v>72</v>
      </c>
      <c r="N703">
        <f>RANK(M703,$M$2:$M$1001,0)+COUNTIF($M$2:M703,M703)-1</f>
        <v>426</v>
      </c>
      <c r="O703" t="str">
        <f>INDEX('Boundary table'!$B$3:$B$7,MATCH(M703,'Boundary table'!$A$3:$A$7))</f>
        <v>C</v>
      </c>
      <c r="P703">
        <f>Table1[[#This Row],[Math Score]]+Table1[[#This Row],[Reading Score]]+Table1[[#This Row],[Writing Score]]</f>
        <v>196</v>
      </c>
      <c r="Q703" s="16">
        <f>COUNTIF(Table1[[#This Row],[Math Score]],"&lt;60")+COUNTIF(Table1[[#This Row],[Reading Score]],"&lt;60")+COUNTIF(Table1[[#This Row],[Writing Score]],"&lt;60")</f>
        <v>1</v>
      </c>
      <c r="R703" t="str">
        <f>IF(Table1[[#This Row],[Fail Count]]&gt;=2,"At risk","OK")</f>
        <v>OK</v>
      </c>
    </row>
    <row r="704" spans="1:18">
      <c r="A704" t="str">
        <f t="shared" si="10"/>
        <v>Stu-703</v>
      </c>
      <c r="B704" t="s">
        <v>27</v>
      </c>
      <c r="C704" t="s">
        <v>28</v>
      </c>
      <c r="D704" t="s">
        <v>13</v>
      </c>
      <c r="E704" t="s">
        <v>14</v>
      </c>
      <c r="F704" t="s">
        <v>21</v>
      </c>
      <c r="G704" s="16">
        <v>87</v>
      </c>
      <c r="H704">
        <f>RANK(G704,$G$2:$G$1001,0)+COUNTIF($G$2:G704,G704)-1</f>
        <v>89</v>
      </c>
      <c r="I704" t="str">
        <f>INDEX('Boundary table'!$B$3:$B$7,MATCH(G704,'Boundary table'!$A$3:$A$7,1))</f>
        <v>B</v>
      </c>
      <c r="J704" s="16">
        <v>84</v>
      </c>
      <c r="K704">
        <f>RANK(J704,$J$2:$J$1001,0)+COUNTIF($J$2:J704,J704)-1</f>
        <v>164</v>
      </c>
      <c r="L704" t="str">
        <f>INDEX('Boundary table'!$B$3:$B$7,MATCH(J704,'Boundary table'!$A$3:$A$7,1))</f>
        <v>B</v>
      </c>
      <c r="M704" s="16">
        <v>87</v>
      </c>
      <c r="N704">
        <f>RANK(M704,$M$2:$M$1001,0)+COUNTIF($M$2:M704,M704)-1</f>
        <v>105</v>
      </c>
      <c r="O704" t="str">
        <f>INDEX('Boundary table'!$B$3:$B$7,MATCH(M704,'Boundary table'!$A$3:$A$7))</f>
        <v>B</v>
      </c>
      <c r="P704">
        <f>Table1[[#This Row],[Math Score]]+Table1[[#This Row],[Reading Score]]+Table1[[#This Row],[Writing Score]]</f>
        <v>258</v>
      </c>
      <c r="Q704" s="16">
        <f>COUNTIF(Table1[[#This Row],[Math Score]],"&lt;60")+COUNTIF(Table1[[#This Row],[Reading Score]],"&lt;60")+COUNTIF(Table1[[#This Row],[Writing Score]],"&lt;60")</f>
        <v>0</v>
      </c>
      <c r="R704" t="str">
        <f>IF(Table1[[#This Row],[Fail Count]]&gt;=2,"At risk","OK")</f>
        <v>OK</v>
      </c>
    </row>
    <row r="705" spans="1:18">
      <c r="A705" t="str">
        <f t="shared" si="10"/>
        <v>Stu-704</v>
      </c>
      <c r="B705" t="s">
        <v>11</v>
      </c>
      <c r="C705" t="s">
        <v>31</v>
      </c>
      <c r="D705" t="s">
        <v>20</v>
      </c>
      <c r="E705" t="s">
        <v>14</v>
      </c>
      <c r="F705" t="s">
        <v>15</v>
      </c>
      <c r="G705" s="16">
        <v>63</v>
      </c>
      <c r="H705">
        <f>RANK(G705,$G$2:$G$1001,0)+COUNTIF($G$2:G705,G705)-1</f>
        <v>595</v>
      </c>
      <c r="I705" t="str">
        <f>INDEX('Boundary table'!$B$3:$B$7,MATCH(G705,'Boundary table'!$A$3:$A$7,1))</f>
        <v>D</v>
      </c>
      <c r="J705" s="16">
        <v>64</v>
      </c>
      <c r="K705">
        <f>RANK(J705,$J$2:$J$1001,0)+COUNTIF($J$2:J705,J705)-1</f>
        <v>650</v>
      </c>
      <c r="L705" t="str">
        <f>INDEX('Boundary table'!$B$3:$B$7,MATCH(J705,'Boundary table'!$A$3:$A$7,1))</f>
        <v>D</v>
      </c>
      <c r="M705" s="16">
        <v>67</v>
      </c>
      <c r="N705">
        <f>RANK(M705,$M$2:$M$1001,0)+COUNTIF($M$2:M705,M705)-1</f>
        <v>563</v>
      </c>
      <c r="O705" t="str">
        <f>INDEX('Boundary table'!$B$3:$B$7,MATCH(M705,'Boundary table'!$A$3:$A$7))</f>
        <v>D</v>
      </c>
      <c r="P705">
        <f>Table1[[#This Row],[Math Score]]+Table1[[#This Row],[Reading Score]]+Table1[[#This Row],[Writing Score]]</f>
        <v>194</v>
      </c>
      <c r="Q705" s="16">
        <f>COUNTIF(Table1[[#This Row],[Math Score]],"&lt;60")+COUNTIF(Table1[[#This Row],[Reading Score]],"&lt;60")+COUNTIF(Table1[[#This Row],[Writing Score]],"&lt;60")</f>
        <v>0</v>
      </c>
      <c r="R705" t="str">
        <f>IF(Table1[[#This Row],[Fail Count]]&gt;=2,"At risk","OK")</f>
        <v>OK</v>
      </c>
    </row>
    <row r="706" spans="1:18">
      <c r="A706" t="str">
        <f t="shared" ref="A706:A769" si="11">"Stu-"&amp;TEXT(ROW()-1,"000")</f>
        <v>Stu-705</v>
      </c>
      <c r="B706" t="s">
        <v>11</v>
      </c>
      <c r="C706" t="s">
        <v>12</v>
      </c>
      <c r="D706" t="s">
        <v>33</v>
      </c>
      <c r="E706" t="s">
        <v>30</v>
      </c>
      <c r="F706" t="s">
        <v>21</v>
      </c>
      <c r="G706" s="16">
        <v>59</v>
      </c>
      <c r="H706">
        <f>RANK(G706,$G$2:$G$1001,0)+COUNTIF($G$2:G706,G706)-1</f>
        <v>701</v>
      </c>
      <c r="I706" t="str">
        <f>INDEX('Boundary table'!$B$3:$B$7,MATCH(G706,'Boundary table'!$A$3:$A$7,1))</f>
        <v>F</v>
      </c>
      <c r="J706" s="16">
        <v>63</v>
      </c>
      <c r="K706">
        <f>RANK(J706,$J$2:$J$1001,0)+COUNTIF($J$2:J706,J706)-1</f>
        <v>673</v>
      </c>
      <c r="L706" t="str">
        <f>INDEX('Boundary table'!$B$3:$B$7,MATCH(J706,'Boundary table'!$A$3:$A$7,1))</f>
        <v>D</v>
      </c>
      <c r="M706" s="16">
        <v>64</v>
      </c>
      <c r="N706">
        <f>RANK(M706,$M$2:$M$1001,0)+COUNTIF($M$2:M706,M706)-1</f>
        <v>630</v>
      </c>
      <c r="O706" t="str">
        <f>INDEX('Boundary table'!$B$3:$B$7,MATCH(M706,'Boundary table'!$A$3:$A$7))</f>
        <v>D</v>
      </c>
      <c r="P706">
        <f>Table1[[#This Row],[Math Score]]+Table1[[#This Row],[Reading Score]]+Table1[[#This Row],[Writing Score]]</f>
        <v>186</v>
      </c>
      <c r="Q706" s="16">
        <f>COUNTIF(Table1[[#This Row],[Math Score]],"&lt;60")+COUNTIF(Table1[[#This Row],[Reading Score]],"&lt;60")+COUNTIF(Table1[[#This Row],[Writing Score]],"&lt;60")</f>
        <v>1</v>
      </c>
      <c r="R706" t="str">
        <f>IF(Table1[[#This Row],[Fail Count]]&gt;=2,"At risk","OK")</f>
        <v>OK</v>
      </c>
    </row>
    <row r="707" spans="1:18">
      <c r="A707" t="str">
        <f t="shared" si="11"/>
        <v>Stu-706</v>
      </c>
      <c r="B707" t="s">
        <v>27</v>
      </c>
      <c r="C707" t="s">
        <v>28</v>
      </c>
      <c r="D707" t="s">
        <v>13</v>
      </c>
      <c r="E707" t="s">
        <v>30</v>
      </c>
      <c r="F707" t="s">
        <v>15</v>
      </c>
      <c r="G707" s="16">
        <v>62</v>
      </c>
      <c r="H707">
        <f>RANK(G707,$G$2:$G$1001,0)+COUNTIF($G$2:G707,G707)-1</f>
        <v>622</v>
      </c>
      <c r="I707" t="str">
        <f>INDEX('Boundary table'!$B$3:$B$7,MATCH(G707,'Boundary table'!$A$3:$A$7,1))</f>
        <v>D</v>
      </c>
      <c r="J707" s="16">
        <v>72</v>
      </c>
      <c r="K707">
        <f>RANK(J707,$J$2:$J$1001,0)+COUNTIF($J$2:J707,J707)-1</f>
        <v>455</v>
      </c>
      <c r="L707" t="str">
        <f>INDEX('Boundary table'!$B$3:$B$7,MATCH(J707,'Boundary table'!$A$3:$A$7,1))</f>
        <v>C</v>
      </c>
      <c r="M707" s="16">
        <v>65</v>
      </c>
      <c r="N707">
        <f>RANK(M707,$M$2:$M$1001,0)+COUNTIF($M$2:M707,M707)-1</f>
        <v>609</v>
      </c>
      <c r="O707" t="str">
        <f>INDEX('Boundary table'!$B$3:$B$7,MATCH(M707,'Boundary table'!$A$3:$A$7))</f>
        <v>D</v>
      </c>
      <c r="P707">
        <f>Table1[[#This Row],[Math Score]]+Table1[[#This Row],[Reading Score]]+Table1[[#This Row],[Writing Score]]</f>
        <v>199</v>
      </c>
      <c r="Q707" s="16">
        <f>COUNTIF(Table1[[#This Row],[Math Score]],"&lt;60")+COUNTIF(Table1[[#This Row],[Reading Score]],"&lt;60")+COUNTIF(Table1[[#This Row],[Writing Score]],"&lt;60")</f>
        <v>0</v>
      </c>
      <c r="R707" t="str">
        <f>IF(Table1[[#This Row],[Fail Count]]&gt;=2,"At risk","OK")</f>
        <v>OK</v>
      </c>
    </row>
    <row r="708" spans="1:18">
      <c r="A708" t="str">
        <f t="shared" si="11"/>
        <v>Stu-707</v>
      </c>
      <c r="B708" t="s">
        <v>27</v>
      </c>
      <c r="C708" t="s">
        <v>31</v>
      </c>
      <c r="D708" t="s">
        <v>32</v>
      </c>
      <c r="E708" t="s">
        <v>14</v>
      </c>
      <c r="F708" t="s">
        <v>15</v>
      </c>
      <c r="G708" s="16">
        <v>46</v>
      </c>
      <c r="H708">
        <f>RANK(G708,$G$2:$G$1001,0)+COUNTIF($G$2:G708,G708)-1</f>
        <v>912</v>
      </c>
      <c r="I708" t="str">
        <f>INDEX('Boundary table'!$B$3:$B$7,MATCH(G708,'Boundary table'!$A$3:$A$7,1))</f>
        <v>F</v>
      </c>
      <c r="J708" s="16">
        <v>34</v>
      </c>
      <c r="K708">
        <f>RANK(J708,$J$2:$J$1001,0)+COUNTIF($J$2:J708,J708)-1</f>
        <v>988</v>
      </c>
      <c r="L708" t="str">
        <f>INDEX('Boundary table'!$B$3:$B$7,MATCH(J708,'Boundary table'!$A$3:$A$7,1))</f>
        <v>F</v>
      </c>
      <c r="M708" s="16">
        <v>36</v>
      </c>
      <c r="N708">
        <f>RANK(M708,$M$2:$M$1001,0)+COUNTIF($M$2:M708,M708)-1</f>
        <v>980</v>
      </c>
      <c r="O708" t="str">
        <f>INDEX('Boundary table'!$B$3:$B$7,MATCH(M708,'Boundary table'!$A$3:$A$7))</f>
        <v>F</v>
      </c>
      <c r="P708">
        <f>Table1[[#This Row],[Math Score]]+Table1[[#This Row],[Reading Score]]+Table1[[#This Row],[Writing Score]]</f>
        <v>116</v>
      </c>
      <c r="Q708" s="16">
        <f>COUNTIF(Table1[[#This Row],[Math Score]],"&lt;60")+COUNTIF(Table1[[#This Row],[Reading Score]],"&lt;60")+COUNTIF(Table1[[#This Row],[Writing Score]],"&lt;60")</f>
        <v>3</v>
      </c>
      <c r="R708" t="str">
        <f>IF(Table1[[#This Row],[Fail Count]]&gt;=2,"At risk","OK")</f>
        <v>At risk</v>
      </c>
    </row>
    <row r="709" spans="1:18">
      <c r="A709" t="str">
        <f t="shared" si="11"/>
        <v>Stu-708</v>
      </c>
      <c r="B709" t="s">
        <v>27</v>
      </c>
      <c r="C709" t="s">
        <v>19</v>
      </c>
      <c r="D709" t="s">
        <v>20</v>
      </c>
      <c r="E709" t="s">
        <v>14</v>
      </c>
      <c r="F709" t="s">
        <v>15</v>
      </c>
      <c r="G709" s="16">
        <v>66</v>
      </c>
      <c r="H709">
        <f>RANK(G709,$G$2:$G$1001,0)+COUNTIF($G$2:G709,G709)-1</f>
        <v>512</v>
      </c>
      <c r="I709" t="str">
        <f>INDEX('Boundary table'!$B$3:$B$7,MATCH(G709,'Boundary table'!$A$3:$A$7,1))</f>
        <v>D</v>
      </c>
      <c r="J709" s="16">
        <v>59</v>
      </c>
      <c r="K709">
        <f>RANK(J709,$J$2:$J$1001,0)+COUNTIF($J$2:J709,J709)-1</f>
        <v>758</v>
      </c>
      <c r="L709" t="str">
        <f>INDEX('Boundary table'!$B$3:$B$7,MATCH(J709,'Boundary table'!$A$3:$A$7,1))</f>
        <v>F</v>
      </c>
      <c r="M709" s="16">
        <v>52</v>
      </c>
      <c r="N709">
        <f>RANK(M709,$M$2:$M$1001,0)+COUNTIF($M$2:M709,M709)-1</f>
        <v>853</v>
      </c>
      <c r="O709" t="str">
        <f>INDEX('Boundary table'!$B$3:$B$7,MATCH(M709,'Boundary table'!$A$3:$A$7))</f>
        <v>F</v>
      </c>
      <c r="P709">
        <f>Table1[[#This Row],[Math Score]]+Table1[[#This Row],[Reading Score]]+Table1[[#This Row],[Writing Score]]</f>
        <v>177</v>
      </c>
      <c r="Q709" s="16">
        <f>COUNTIF(Table1[[#This Row],[Math Score]],"&lt;60")+COUNTIF(Table1[[#This Row],[Reading Score]],"&lt;60")+COUNTIF(Table1[[#This Row],[Writing Score]],"&lt;60")</f>
        <v>2</v>
      </c>
      <c r="R709" t="str">
        <f>IF(Table1[[#This Row],[Fail Count]]&gt;=2,"At risk","OK")</f>
        <v>At risk</v>
      </c>
    </row>
    <row r="710" spans="1:18">
      <c r="A710" t="str">
        <f t="shared" si="11"/>
        <v>Stu-709</v>
      </c>
      <c r="B710" t="s">
        <v>27</v>
      </c>
      <c r="C710" t="s">
        <v>31</v>
      </c>
      <c r="D710" t="s">
        <v>32</v>
      </c>
      <c r="E710" t="s">
        <v>14</v>
      </c>
      <c r="F710" t="s">
        <v>15</v>
      </c>
      <c r="G710" s="16">
        <v>89</v>
      </c>
      <c r="H710">
        <f>RANK(G710,$G$2:$G$1001,0)+COUNTIF($G$2:G710,G710)-1</f>
        <v>62</v>
      </c>
      <c r="I710" t="str">
        <f>INDEX('Boundary table'!$B$3:$B$7,MATCH(G710,'Boundary table'!$A$3:$A$7,1))</f>
        <v>B</v>
      </c>
      <c r="J710" s="16">
        <v>87</v>
      </c>
      <c r="K710">
        <f>RANK(J710,$J$2:$J$1001,0)+COUNTIF($J$2:J710,J710)-1</f>
        <v>109</v>
      </c>
      <c r="L710" t="str">
        <f>INDEX('Boundary table'!$B$3:$B$7,MATCH(J710,'Boundary table'!$A$3:$A$7,1))</f>
        <v>B</v>
      </c>
      <c r="M710" s="16">
        <v>79</v>
      </c>
      <c r="N710">
        <f>RANK(M710,$M$2:$M$1001,0)+COUNTIF($M$2:M710,M710)-1</f>
        <v>250</v>
      </c>
      <c r="O710" t="str">
        <f>INDEX('Boundary table'!$B$3:$B$7,MATCH(M710,'Boundary table'!$A$3:$A$7))</f>
        <v>C</v>
      </c>
      <c r="P710">
        <f>Table1[[#This Row],[Math Score]]+Table1[[#This Row],[Reading Score]]+Table1[[#This Row],[Writing Score]]</f>
        <v>255</v>
      </c>
      <c r="Q710" s="16">
        <f>COUNTIF(Table1[[#This Row],[Math Score]],"&lt;60")+COUNTIF(Table1[[#This Row],[Reading Score]],"&lt;60")+COUNTIF(Table1[[#This Row],[Writing Score]],"&lt;60")</f>
        <v>0</v>
      </c>
      <c r="R710" t="str">
        <f>IF(Table1[[#This Row],[Fail Count]]&gt;=2,"At risk","OK")</f>
        <v>OK</v>
      </c>
    </row>
    <row r="711" spans="1:18">
      <c r="A711" t="str">
        <f t="shared" si="11"/>
        <v>Stu-710</v>
      </c>
      <c r="B711" t="s">
        <v>11</v>
      </c>
      <c r="C711" t="s">
        <v>31</v>
      </c>
      <c r="D711" t="s">
        <v>29</v>
      </c>
      <c r="E711" t="s">
        <v>30</v>
      </c>
      <c r="F711" t="s">
        <v>21</v>
      </c>
      <c r="G711" s="16">
        <v>42</v>
      </c>
      <c r="H711">
        <f>RANK(G711,$G$2:$G$1001,0)+COUNTIF($G$2:G711,G711)-1</f>
        <v>943</v>
      </c>
      <c r="I711" t="str">
        <f>INDEX('Boundary table'!$B$3:$B$7,MATCH(G711,'Boundary table'!$A$3:$A$7,1))</f>
        <v>F</v>
      </c>
      <c r="J711" s="16">
        <v>61</v>
      </c>
      <c r="K711">
        <f>RANK(J711,$J$2:$J$1001,0)+COUNTIF($J$2:J711,J711)-1</f>
        <v>719</v>
      </c>
      <c r="L711" t="str">
        <f>INDEX('Boundary table'!$B$3:$B$7,MATCH(J711,'Boundary table'!$A$3:$A$7,1))</f>
        <v>D</v>
      </c>
      <c r="M711" s="16">
        <v>58</v>
      </c>
      <c r="N711">
        <f>RANK(M711,$M$2:$M$1001,0)+COUNTIF($M$2:M711,M711)-1</f>
        <v>744</v>
      </c>
      <c r="O711" t="str">
        <f>INDEX('Boundary table'!$B$3:$B$7,MATCH(M711,'Boundary table'!$A$3:$A$7))</f>
        <v>F</v>
      </c>
      <c r="P711">
        <f>Table1[[#This Row],[Math Score]]+Table1[[#This Row],[Reading Score]]+Table1[[#This Row],[Writing Score]]</f>
        <v>161</v>
      </c>
      <c r="Q711" s="16">
        <f>COUNTIF(Table1[[#This Row],[Math Score]],"&lt;60")+COUNTIF(Table1[[#This Row],[Reading Score]],"&lt;60")+COUNTIF(Table1[[#This Row],[Writing Score]],"&lt;60")</f>
        <v>2</v>
      </c>
      <c r="R711" t="str">
        <f>IF(Table1[[#This Row],[Fail Count]]&gt;=2,"At risk","OK")</f>
        <v>At risk</v>
      </c>
    </row>
    <row r="712" spans="1:18">
      <c r="A712" t="str">
        <f t="shared" si="11"/>
        <v>Stu-711</v>
      </c>
      <c r="B712" t="s">
        <v>27</v>
      </c>
      <c r="C712" t="s">
        <v>19</v>
      </c>
      <c r="D712" t="s">
        <v>20</v>
      </c>
      <c r="E712" t="s">
        <v>14</v>
      </c>
      <c r="F712" t="s">
        <v>21</v>
      </c>
      <c r="G712" s="16">
        <v>93</v>
      </c>
      <c r="H712">
        <f>RANK(G712,$G$2:$G$1001,0)+COUNTIF($G$2:G712,G712)-1</f>
        <v>33</v>
      </c>
      <c r="I712" t="str">
        <f>INDEX('Boundary table'!$B$3:$B$7,MATCH(G712,'Boundary table'!$A$3:$A$7,1))</f>
        <v>A</v>
      </c>
      <c r="J712" s="16">
        <v>84</v>
      </c>
      <c r="K712">
        <f>RANK(J712,$J$2:$J$1001,0)+COUNTIF($J$2:J712,J712)-1</f>
        <v>165</v>
      </c>
      <c r="L712" t="str">
        <f>INDEX('Boundary table'!$B$3:$B$7,MATCH(J712,'Boundary table'!$A$3:$A$7,1))</f>
        <v>B</v>
      </c>
      <c r="M712" s="16">
        <v>90</v>
      </c>
      <c r="N712">
        <f>RANK(M712,$M$2:$M$1001,0)+COUNTIF($M$2:M712,M712)-1</f>
        <v>77</v>
      </c>
      <c r="O712" t="str">
        <f>INDEX('Boundary table'!$B$3:$B$7,MATCH(M712,'Boundary table'!$A$3:$A$7))</f>
        <v>A</v>
      </c>
      <c r="P712">
        <f>Table1[[#This Row],[Math Score]]+Table1[[#This Row],[Reading Score]]+Table1[[#This Row],[Writing Score]]</f>
        <v>267</v>
      </c>
      <c r="Q712" s="16">
        <f>COUNTIF(Table1[[#This Row],[Math Score]],"&lt;60")+COUNTIF(Table1[[#This Row],[Reading Score]],"&lt;60")+COUNTIF(Table1[[#This Row],[Writing Score]],"&lt;60")</f>
        <v>0</v>
      </c>
      <c r="R712" t="str">
        <f>IF(Table1[[#This Row],[Fail Count]]&gt;=2,"At risk","OK")</f>
        <v>OK</v>
      </c>
    </row>
    <row r="713" spans="1:18">
      <c r="A713" t="str">
        <f t="shared" si="11"/>
        <v>Stu-712</v>
      </c>
      <c r="B713" t="s">
        <v>11</v>
      </c>
      <c r="C713" t="s">
        <v>34</v>
      </c>
      <c r="D713" t="s">
        <v>33</v>
      </c>
      <c r="E713" t="s">
        <v>14</v>
      </c>
      <c r="F713" t="s">
        <v>21</v>
      </c>
      <c r="G713" s="16">
        <v>80</v>
      </c>
      <c r="H713">
        <f>RANK(G713,$G$2:$G$1001,0)+COUNTIF($G$2:G713,G713)-1</f>
        <v>190</v>
      </c>
      <c r="I713" t="str">
        <f>INDEX('Boundary table'!$B$3:$B$7,MATCH(G713,'Boundary table'!$A$3:$A$7,1))</f>
        <v>B</v>
      </c>
      <c r="J713" s="16">
        <v>85</v>
      </c>
      <c r="K713">
        <f>RANK(J713,$J$2:$J$1001,0)+COUNTIF($J$2:J713,J713)-1</f>
        <v>142</v>
      </c>
      <c r="L713" t="str">
        <f>INDEX('Boundary table'!$B$3:$B$7,MATCH(J713,'Boundary table'!$A$3:$A$7,1))</f>
        <v>B</v>
      </c>
      <c r="M713" s="16">
        <v>85</v>
      </c>
      <c r="N713">
        <f>RANK(M713,$M$2:$M$1001,0)+COUNTIF($M$2:M713,M713)-1</f>
        <v>131</v>
      </c>
      <c r="O713" t="str">
        <f>INDEX('Boundary table'!$B$3:$B$7,MATCH(M713,'Boundary table'!$A$3:$A$7))</f>
        <v>B</v>
      </c>
      <c r="P713">
        <f>Table1[[#This Row],[Math Score]]+Table1[[#This Row],[Reading Score]]+Table1[[#This Row],[Writing Score]]</f>
        <v>250</v>
      </c>
      <c r="Q713" s="16">
        <f>COUNTIF(Table1[[#This Row],[Math Score]],"&lt;60")+COUNTIF(Table1[[#This Row],[Reading Score]],"&lt;60")+COUNTIF(Table1[[#This Row],[Writing Score]],"&lt;60")</f>
        <v>0</v>
      </c>
      <c r="R713" t="str">
        <f>IF(Table1[[#This Row],[Fail Count]]&gt;=2,"At risk","OK")</f>
        <v>OK</v>
      </c>
    </row>
    <row r="714" spans="1:18">
      <c r="A714" t="str">
        <f t="shared" si="11"/>
        <v>Stu-713</v>
      </c>
      <c r="B714" t="s">
        <v>11</v>
      </c>
      <c r="C714" t="s">
        <v>31</v>
      </c>
      <c r="D714" t="s">
        <v>20</v>
      </c>
      <c r="E714" t="s">
        <v>14</v>
      </c>
      <c r="F714" t="s">
        <v>15</v>
      </c>
      <c r="G714" s="16">
        <v>98</v>
      </c>
      <c r="H714">
        <f>RANK(G714,$G$2:$G$1001,0)+COUNTIF($G$2:G714,G714)-1</f>
        <v>12</v>
      </c>
      <c r="I714" t="str">
        <f>INDEX('Boundary table'!$B$3:$B$7,MATCH(G714,'Boundary table'!$A$3:$A$7,1))</f>
        <v>A</v>
      </c>
      <c r="J714" s="16">
        <v>100</v>
      </c>
      <c r="K714">
        <f>RANK(J714,$J$2:$J$1001,0)+COUNTIF($J$2:J714,J714)-1</f>
        <v>11</v>
      </c>
      <c r="L714" t="str">
        <f>INDEX('Boundary table'!$B$3:$B$7,MATCH(J714,'Boundary table'!$A$3:$A$7,1))</f>
        <v>A</v>
      </c>
      <c r="M714" s="16">
        <v>99</v>
      </c>
      <c r="N714">
        <f>RANK(M714,$M$2:$M$1001,0)+COUNTIF($M$2:M714,M714)-1</f>
        <v>17</v>
      </c>
      <c r="O714" t="str">
        <f>INDEX('Boundary table'!$B$3:$B$7,MATCH(M714,'Boundary table'!$A$3:$A$7))</f>
        <v>A</v>
      </c>
      <c r="P714">
        <f>Table1[[#This Row],[Math Score]]+Table1[[#This Row],[Reading Score]]+Table1[[#This Row],[Writing Score]]</f>
        <v>297</v>
      </c>
      <c r="Q714" s="16">
        <f>COUNTIF(Table1[[#This Row],[Math Score]],"&lt;60")+COUNTIF(Table1[[#This Row],[Reading Score]],"&lt;60")+COUNTIF(Table1[[#This Row],[Writing Score]],"&lt;60")</f>
        <v>0</v>
      </c>
      <c r="R714" t="str">
        <f>IF(Table1[[#This Row],[Fail Count]]&gt;=2,"At risk","OK")</f>
        <v>OK</v>
      </c>
    </row>
    <row r="715" spans="1:18">
      <c r="A715" t="str">
        <f t="shared" si="11"/>
        <v>Stu-714</v>
      </c>
      <c r="B715" t="s">
        <v>27</v>
      </c>
      <c r="C715" t="s">
        <v>31</v>
      </c>
      <c r="D715" t="s">
        <v>26</v>
      </c>
      <c r="E715" t="s">
        <v>14</v>
      </c>
      <c r="F715" t="s">
        <v>15</v>
      </c>
      <c r="G715" s="16">
        <v>81</v>
      </c>
      <c r="H715">
        <f>RANK(G715,$G$2:$G$1001,0)+COUNTIF($G$2:G715,G715)-1</f>
        <v>168</v>
      </c>
      <c r="I715" t="str">
        <f>INDEX('Boundary table'!$B$3:$B$7,MATCH(G715,'Boundary table'!$A$3:$A$7,1))</f>
        <v>B</v>
      </c>
      <c r="J715" s="16">
        <v>81</v>
      </c>
      <c r="K715">
        <f>RANK(J715,$J$2:$J$1001,0)+COUNTIF($J$2:J715,J715)-1</f>
        <v>229</v>
      </c>
      <c r="L715" t="str">
        <f>INDEX('Boundary table'!$B$3:$B$7,MATCH(J715,'Boundary table'!$A$3:$A$7,1))</f>
        <v>B</v>
      </c>
      <c r="M715" s="16">
        <v>84</v>
      </c>
      <c r="N715">
        <f>RANK(M715,$M$2:$M$1001,0)+COUNTIF($M$2:M715,M715)-1</f>
        <v>145</v>
      </c>
      <c r="O715" t="str">
        <f>INDEX('Boundary table'!$B$3:$B$7,MATCH(M715,'Boundary table'!$A$3:$A$7))</f>
        <v>B</v>
      </c>
      <c r="P715">
        <f>Table1[[#This Row],[Math Score]]+Table1[[#This Row],[Reading Score]]+Table1[[#This Row],[Writing Score]]</f>
        <v>246</v>
      </c>
      <c r="Q715" s="16">
        <f>COUNTIF(Table1[[#This Row],[Math Score]],"&lt;60")+COUNTIF(Table1[[#This Row],[Reading Score]],"&lt;60")+COUNTIF(Table1[[#This Row],[Writing Score]],"&lt;60")</f>
        <v>0</v>
      </c>
      <c r="R715" t="str">
        <f>IF(Table1[[#This Row],[Fail Count]]&gt;=2,"At risk","OK")</f>
        <v>OK</v>
      </c>
    </row>
    <row r="716" spans="1:18">
      <c r="A716" t="str">
        <f t="shared" si="11"/>
        <v>Stu-715</v>
      </c>
      <c r="B716" t="s">
        <v>11</v>
      </c>
      <c r="C716" t="s">
        <v>12</v>
      </c>
      <c r="D716" t="s">
        <v>33</v>
      </c>
      <c r="E716" t="s">
        <v>14</v>
      </c>
      <c r="F716" t="s">
        <v>21</v>
      </c>
      <c r="G716" s="16">
        <v>60</v>
      </c>
      <c r="H716">
        <f>RANK(G716,$G$2:$G$1001,0)+COUNTIF($G$2:G716,G716)-1</f>
        <v>672</v>
      </c>
      <c r="I716" t="str">
        <f>INDEX('Boundary table'!$B$3:$B$7,MATCH(G716,'Boundary table'!$A$3:$A$7,1))</f>
        <v>D</v>
      </c>
      <c r="J716" s="16">
        <v>70</v>
      </c>
      <c r="K716">
        <f>RANK(J716,$J$2:$J$1001,0)+COUNTIF($J$2:J716,J716)-1</f>
        <v>506</v>
      </c>
      <c r="L716" t="str">
        <f>INDEX('Boundary table'!$B$3:$B$7,MATCH(J716,'Boundary table'!$A$3:$A$7,1))</f>
        <v>C</v>
      </c>
      <c r="M716" s="16">
        <v>74</v>
      </c>
      <c r="N716">
        <f>RANK(M716,$M$2:$M$1001,0)+COUNTIF($M$2:M716,M716)-1</f>
        <v>375</v>
      </c>
      <c r="O716" t="str">
        <f>INDEX('Boundary table'!$B$3:$B$7,MATCH(M716,'Boundary table'!$A$3:$A$7))</f>
        <v>C</v>
      </c>
      <c r="P716">
        <f>Table1[[#This Row],[Math Score]]+Table1[[#This Row],[Reading Score]]+Table1[[#This Row],[Writing Score]]</f>
        <v>204</v>
      </c>
      <c r="Q716" s="16">
        <f>COUNTIF(Table1[[#This Row],[Math Score]],"&lt;60")+COUNTIF(Table1[[#This Row],[Reading Score]],"&lt;60")+COUNTIF(Table1[[#This Row],[Writing Score]],"&lt;60")</f>
        <v>0</v>
      </c>
      <c r="R716" t="str">
        <f>IF(Table1[[#This Row],[Fail Count]]&gt;=2,"At risk","OK")</f>
        <v>OK</v>
      </c>
    </row>
    <row r="717" spans="1:18">
      <c r="A717" t="str">
        <f t="shared" si="11"/>
        <v>Stu-716</v>
      </c>
      <c r="B717" t="s">
        <v>11</v>
      </c>
      <c r="C717" t="s">
        <v>12</v>
      </c>
      <c r="D717" t="s">
        <v>29</v>
      </c>
      <c r="E717" t="s">
        <v>30</v>
      </c>
      <c r="F717" t="s">
        <v>21</v>
      </c>
      <c r="G717" s="16">
        <v>76</v>
      </c>
      <c r="H717">
        <f>RANK(G717,$G$2:$G$1001,0)+COUNTIF($G$2:G717,G717)-1</f>
        <v>270</v>
      </c>
      <c r="I717" t="str">
        <f>INDEX('Boundary table'!$B$3:$B$7,MATCH(G717,'Boundary table'!$A$3:$A$7,1))</f>
        <v>C</v>
      </c>
      <c r="J717" s="16">
        <v>94</v>
      </c>
      <c r="K717">
        <f>RANK(J717,$J$2:$J$1001,0)+COUNTIF($J$2:J717,J717)-1</f>
        <v>39</v>
      </c>
      <c r="L717" t="str">
        <f>INDEX('Boundary table'!$B$3:$B$7,MATCH(J717,'Boundary table'!$A$3:$A$7,1))</f>
        <v>A</v>
      </c>
      <c r="M717" s="16">
        <v>87</v>
      </c>
      <c r="N717">
        <f>RANK(M717,$M$2:$M$1001,0)+COUNTIF($M$2:M717,M717)-1</f>
        <v>106</v>
      </c>
      <c r="O717" t="str">
        <f>INDEX('Boundary table'!$B$3:$B$7,MATCH(M717,'Boundary table'!$A$3:$A$7))</f>
        <v>B</v>
      </c>
      <c r="P717">
        <f>Table1[[#This Row],[Math Score]]+Table1[[#This Row],[Reading Score]]+Table1[[#This Row],[Writing Score]]</f>
        <v>257</v>
      </c>
      <c r="Q717" s="16">
        <f>COUNTIF(Table1[[#This Row],[Math Score]],"&lt;60")+COUNTIF(Table1[[#This Row],[Reading Score]],"&lt;60")+COUNTIF(Table1[[#This Row],[Writing Score]],"&lt;60")</f>
        <v>0</v>
      </c>
      <c r="R717" t="str">
        <f>IF(Table1[[#This Row],[Fail Count]]&gt;=2,"At risk","OK")</f>
        <v>OK</v>
      </c>
    </row>
    <row r="718" spans="1:18">
      <c r="A718" t="str">
        <f t="shared" si="11"/>
        <v>Stu-717</v>
      </c>
      <c r="B718" t="s">
        <v>27</v>
      </c>
      <c r="C718" t="s">
        <v>19</v>
      </c>
      <c r="D718" t="s">
        <v>29</v>
      </c>
      <c r="E718" t="s">
        <v>14</v>
      </c>
      <c r="F718" t="s">
        <v>21</v>
      </c>
      <c r="G718" s="16">
        <v>73</v>
      </c>
      <c r="H718">
        <f>RANK(G718,$G$2:$G$1001,0)+COUNTIF($G$2:G718,G718)-1</f>
        <v>343</v>
      </c>
      <c r="I718" t="str">
        <f>INDEX('Boundary table'!$B$3:$B$7,MATCH(G718,'Boundary table'!$A$3:$A$7,1))</f>
        <v>C</v>
      </c>
      <c r="J718" s="16">
        <v>78</v>
      </c>
      <c r="K718">
        <f>RANK(J718,$J$2:$J$1001,0)+COUNTIF($J$2:J718,J718)-1</f>
        <v>289</v>
      </c>
      <c r="L718" t="str">
        <f>INDEX('Boundary table'!$B$3:$B$7,MATCH(J718,'Boundary table'!$A$3:$A$7,1))</f>
        <v>C</v>
      </c>
      <c r="M718" s="16">
        <v>72</v>
      </c>
      <c r="N718">
        <f>RANK(M718,$M$2:$M$1001,0)+COUNTIF($M$2:M718,M718)-1</f>
        <v>427</v>
      </c>
      <c r="O718" t="str">
        <f>INDEX('Boundary table'!$B$3:$B$7,MATCH(M718,'Boundary table'!$A$3:$A$7))</f>
        <v>C</v>
      </c>
      <c r="P718">
        <f>Table1[[#This Row],[Math Score]]+Table1[[#This Row],[Reading Score]]+Table1[[#This Row],[Writing Score]]</f>
        <v>223</v>
      </c>
      <c r="Q718" s="16">
        <f>COUNTIF(Table1[[#This Row],[Math Score]],"&lt;60")+COUNTIF(Table1[[#This Row],[Reading Score]],"&lt;60")+COUNTIF(Table1[[#This Row],[Writing Score]],"&lt;60")</f>
        <v>0</v>
      </c>
      <c r="R718" t="str">
        <f>IF(Table1[[#This Row],[Fail Count]]&gt;=2,"At risk","OK")</f>
        <v>OK</v>
      </c>
    </row>
    <row r="719" spans="1:18">
      <c r="A719" t="str">
        <f t="shared" si="11"/>
        <v>Stu-718</v>
      </c>
      <c r="B719" t="s">
        <v>11</v>
      </c>
      <c r="C719" t="s">
        <v>19</v>
      </c>
      <c r="D719" t="s">
        <v>29</v>
      </c>
      <c r="E719" t="s">
        <v>14</v>
      </c>
      <c r="F719" t="s">
        <v>21</v>
      </c>
      <c r="G719" s="16">
        <v>96</v>
      </c>
      <c r="H719">
        <f>RANK(G719,$G$2:$G$1001,0)+COUNTIF($G$2:G719,G719)-1</f>
        <v>22</v>
      </c>
      <c r="I719" t="str">
        <f>INDEX('Boundary table'!$B$3:$B$7,MATCH(G719,'Boundary table'!$A$3:$A$7,1))</f>
        <v>A</v>
      </c>
      <c r="J719" s="16">
        <v>96</v>
      </c>
      <c r="K719">
        <f>RANK(J719,$J$2:$J$1001,0)+COUNTIF($J$2:J719,J719)-1</f>
        <v>28</v>
      </c>
      <c r="L719" t="str">
        <f>INDEX('Boundary table'!$B$3:$B$7,MATCH(J719,'Boundary table'!$A$3:$A$7,1))</f>
        <v>A</v>
      </c>
      <c r="M719" s="16">
        <v>99</v>
      </c>
      <c r="N719">
        <f>RANK(M719,$M$2:$M$1001,0)+COUNTIF($M$2:M719,M719)-1</f>
        <v>18</v>
      </c>
      <c r="O719" t="str">
        <f>INDEX('Boundary table'!$B$3:$B$7,MATCH(M719,'Boundary table'!$A$3:$A$7))</f>
        <v>A</v>
      </c>
      <c r="P719">
        <f>Table1[[#This Row],[Math Score]]+Table1[[#This Row],[Reading Score]]+Table1[[#This Row],[Writing Score]]</f>
        <v>291</v>
      </c>
      <c r="Q719" s="16">
        <f>COUNTIF(Table1[[#This Row],[Math Score]],"&lt;60")+COUNTIF(Table1[[#This Row],[Reading Score]],"&lt;60")+COUNTIF(Table1[[#This Row],[Writing Score]],"&lt;60")</f>
        <v>0</v>
      </c>
      <c r="R719" t="str">
        <f>IF(Table1[[#This Row],[Fail Count]]&gt;=2,"At risk","OK")</f>
        <v>OK</v>
      </c>
    </row>
    <row r="720" spans="1:18">
      <c r="A720" t="str">
        <f t="shared" si="11"/>
        <v>Stu-719</v>
      </c>
      <c r="B720" t="s">
        <v>11</v>
      </c>
      <c r="C720" t="s">
        <v>19</v>
      </c>
      <c r="D720" t="s">
        <v>32</v>
      </c>
      <c r="E720" t="s">
        <v>14</v>
      </c>
      <c r="F720" t="s">
        <v>15</v>
      </c>
      <c r="G720" s="16">
        <v>76</v>
      </c>
      <c r="H720">
        <f>RANK(G720,$G$2:$G$1001,0)+COUNTIF($G$2:G720,G720)-1</f>
        <v>271</v>
      </c>
      <c r="I720" t="str">
        <f>INDEX('Boundary table'!$B$3:$B$7,MATCH(G720,'Boundary table'!$A$3:$A$7,1))</f>
        <v>C</v>
      </c>
      <c r="J720" s="16">
        <v>76</v>
      </c>
      <c r="K720">
        <f>RANK(J720,$J$2:$J$1001,0)+COUNTIF($J$2:J720,J720)-1</f>
        <v>338</v>
      </c>
      <c r="L720" t="str">
        <f>INDEX('Boundary table'!$B$3:$B$7,MATCH(J720,'Boundary table'!$A$3:$A$7,1))</f>
        <v>C</v>
      </c>
      <c r="M720" s="16">
        <v>74</v>
      </c>
      <c r="N720">
        <f>RANK(M720,$M$2:$M$1001,0)+COUNTIF($M$2:M720,M720)-1</f>
        <v>376</v>
      </c>
      <c r="O720" t="str">
        <f>INDEX('Boundary table'!$B$3:$B$7,MATCH(M720,'Boundary table'!$A$3:$A$7))</f>
        <v>C</v>
      </c>
      <c r="P720">
        <f>Table1[[#This Row],[Math Score]]+Table1[[#This Row],[Reading Score]]+Table1[[#This Row],[Writing Score]]</f>
        <v>226</v>
      </c>
      <c r="Q720" s="16">
        <f>COUNTIF(Table1[[#This Row],[Math Score]],"&lt;60")+COUNTIF(Table1[[#This Row],[Reading Score]],"&lt;60")+COUNTIF(Table1[[#This Row],[Writing Score]],"&lt;60")</f>
        <v>0</v>
      </c>
      <c r="R720" t="str">
        <f>IF(Table1[[#This Row],[Fail Count]]&gt;=2,"At risk","OK")</f>
        <v>OK</v>
      </c>
    </row>
    <row r="721" spans="1:18">
      <c r="A721" t="str">
        <f t="shared" si="11"/>
        <v>Stu-720</v>
      </c>
      <c r="B721" t="s">
        <v>27</v>
      </c>
      <c r="C721" t="s">
        <v>34</v>
      </c>
      <c r="D721" t="s">
        <v>29</v>
      </c>
      <c r="E721" t="s">
        <v>30</v>
      </c>
      <c r="F721" t="s">
        <v>21</v>
      </c>
      <c r="G721" s="16">
        <v>91</v>
      </c>
      <c r="H721">
        <f>RANK(G721,$G$2:$G$1001,0)+COUNTIF($G$2:G721,G721)-1</f>
        <v>46</v>
      </c>
      <c r="I721" t="str">
        <f>INDEX('Boundary table'!$B$3:$B$7,MATCH(G721,'Boundary table'!$A$3:$A$7,1))</f>
        <v>A</v>
      </c>
      <c r="J721" s="16">
        <v>73</v>
      </c>
      <c r="K721">
        <f>RANK(J721,$J$2:$J$1001,0)+COUNTIF($J$2:J721,J721)-1</f>
        <v>426</v>
      </c>
      <c r="L721" t="str">
        <f>INDEX('Boundary table'!$B$3:$B$7,MATCH(J721,'Boundary table'!$A$3:$A$7,1))</f>
        <v>C</v>
      </c>
      <c r="M721" s="16">
        <v>80</v>
      </c>
      <c r="N721">
        <f>RANK(M721,$M$2:$M$1001,0)+COUNTIF($M$2:M721,M721)-1</f>
        <v>228</v>
      </c>
      <c r="O721" t="str">
        <f>INDEX('Boundary table'!$B$3:$B$7,MATCH(M721,'Boundary table'!$A$3:$A$7))</f>
        <v>B</v>
      </c>
      <c r="P721">
        <f>Table1[[#This Row],[Math Score]]+Table1[[#This Row],[Reading Score]]+Table1[[#This Row],[Writing Score]]</f>
        <v>244</v>
      </c>
      <c r="Q721" s="16">
        <f>COUNTIF(Table1[[#This Row],[Math Score]],"&lt;60")+COUNTIF(Table1[[#This Row],[Reading Score]],"&lt;60")+COUNTIF(Table1[[#This Row],[Writing Score]],"&lt;60")</f>
        <v>0</v>
      </c>
      <c r="R721" t="str">
        <f>IF(Table1[[#This Row],[Fail Count]]&gt;=2,"At risk","OK")</f>
        <v>OK</v>
      </c>
    </row>
    <row r="722" spans="1:18">
      <c r="A722" t="str">
        <f t="shared" si="11"/>
        <v>Stu-721</v>
      </c>
      <c r="B722" t="s">
        <v>11</v>
      </c>
      <c r="C722" t="s">
        <v>19</v>
      </c>
      <c r="D722" t="s">
        <v>20</v>
      </c>
      <c r="E722" t="s">
        <v>30</v>
      </c>
      <c r="F722" t="s">
        <v>15</v>
      </c>
      <c r="G722" s="16">
        <v>62</v>
      </c>
      <c r="H722">
        <f>RANK(G722,$G$2:$G$1001,0)+COUNTIF($G$2:G722,G722)-1</f>
        <v>623</v>
      </c>
      <c r="I722" t="str">
        <f>INDEX('Boundary table'!$B$3:$B$7,MATCH(G722,'Boundary table'!$A$3:$A$7,1))</f>
        <v>D</v>
      </c>
      <c r="J722" s="16">
        <v>72</v>
      </c>
      <c r="K722">
        <f>RANK(J722,$J$2:$J$1001,0)+COUNTIF($J$2:J722,J722)-1</f>
        <v>456</v>
      </c>
      <c r="L722" t="str">
        <f>INDEX('Boundary table'!$B$3:$B$7,MATCH(J722,'Boundary table'!$A$3:$A$7,1))</f>
        <v>C</v>
      </c>
      <c r="M722" s="16">
        <v>70</v>
      </c>
      <c r="N722">
        <f>RANK(M722,$M$2:$M$1001,0)+COUNTIF($M$2:M722,M722)-1</f>
        <v>482</v>
      </c>
      <c r="O722" t="str">
        <f>INDEX('Boundary table'!$B$3:$B$7,MATCH(M722,'Boundary table'!$A$3:$A$7))</f>
        <v>C</v>
      </c>
      <c r="P722">
        <f>Table1[[#This Row],[Math Score]]+Table1[[#This Row],[Reading Score]]+Table1[[#This Row],[Writing Score]]</f>
        <v>204</v>
      </c>
      <c r="Q722" s="16">
        <f>COUNTIF(Table1[[#This Row],[Math Score]],"&lt;60")+COUNTIF(Table1[[#This Row],[Reading Score]],"&lt;60")+COUNTIF(Table1[[#This Row],[Writing Score]],"&lt;60")</f>
        <v>0</v>
      </c>
      <c r="R722" t="str">
        <f>IF(Table1[[#This Row],[Fail Count]]&gt;=2,"At risk","OK")</f>
        <v>OK</v>
      </c>
    </row>
    <row r="723" spans="1:18">
      <c r="A723" t="str">
        <f t="shared" si="11"/>
        <v>Stu-722</v>
      </c>
      <c r="B723" t="s">
        <v>27</v>
      </c>
      <c r="C723" t="s">
        <v>31</v>
      </c>
      <c r="D723" t="s">
        <v>33</v>
      </c>
      <c r="E723" t="s">
        <v>30</v>
      </c>
      <c r="F723" t="s">
        <v>21</v>
      </c>
      <c r="G723" s="16">
        <v>55</v>
      </c>
      <c r="H723">
        <f>RANK(G723,$G$2:$G$1001,0)+COUNTIF($G$2:G723,G723)-1</f>
        <v>772</v>
      </c>
      <c r="I723" t="str">
        <f>INDEX('Boundary table'!$B$3:$B$7,MATCH(G723,'Boundary table'!$A$3:$A$7,1))</f>
        <v>F</v>
      </c>
      <c r="J723" s="16">
        <v>59</v>
      </c>
      <c r="K723">
        <f>RANK(J723,$J$2:$J$1001,0)+COUNTIF($J$2:J723,J723)-1</f>
        <v>759</v>
      </c>
      <c r="L723" t="str">
        <f>INDEX('Boundary table'!$B$3:$B$7,MATCH(J723,'Boundary table'!$A$3:$A$7,1))</f>
        <v>F</v>
      </c>
      <c r="M723" s="16">
        <v>59</v>
      </c>
      <c r="N723">
        <f>RANK(M723,$M$2:$M$1001,0)+COUNTIF($M$2:M723,M723)-1</f>
        <v>727</v>
      </c>
      <c r="O723" t="str">
        <f>INDEX('Boundary table'!$B$3:$B$7,MATCH(M723,'Boundary table'!$A$3:$A$7))</f>
        <v>F</v>
      </c>
      <c r="P723">
        <f>Table1[[#This Row],[Math Score]]+Table1[[#This Row],[Reading Score]]+Table1[[#This Row],[Writing Score]]</f>
        <v>173</v>
      </c>
      <c r="Q723" s="16">
        <f>COUNTIF(Table1[[#This Row],[Math Score]],"&lt;60")+COUNTIF(Table1[[#This Row],[Reading Score]],"&lt;60")+COUNTIF(Table1[[#This Row],[Writing Score]],"&lt;60")</f>
        <v>3</v>
      </c>
      <c r="R723" t="str">
        <f>IF(Table1[[#This Row],[Fail Count]]&gt;=2,"At risk","OK")</f>
        <v>At risk</v>
      </c>
    </row>
    <row r="724" spans="1:18">
      <c r="A724" t="str">
        <f t="shared" si="11"/>
        <v>Stu-723</v>
      </c>
      <c r="B724" t="s">
        <v>11</v>
      </c>
      <c r="C724" t="s">
        <v>12</v>
      </c>
      <c r="D724" t="s">
        <v>33</v>
      </c>
      <c r="E724" t="s">
        <v>30</v>
      </c>
      <c r="F724" t="s">
        <v>21</v>
      </c>
      <c r="G724" s="16">
        <v>74</v>
      </c>
      <c r="H724">
        <f>RANK(G724,$G$2:$G$1001,0)+COUNTIF($G$2:G724,G724)-1</f>
        <v>313</v>
      </c>
      <c r="I724" t="str">
        <f>INDEX('Boundary table'!$B$3:$B$7,MATCH(G724,'Boundary table'!$A$3:$A$7,1))</f>
        <v>C</v>
      </c>
      <c r="J724" s="16">
        <v>90</v>
      </c>
      <c r="K724">
        <f>RANK(J724,$J$2:$J$1001,0)+COUNTIF($J$2:J724,J724)-1</f>
        <v>74</v>
      </c>
      <c r="L724" t="str">
        <f>INDEX('Boundary table'!$B$3:$B$7,MATCH(J724,'Boundary table'!$A$3:$A$7,1))</f>
        <v>A</v>
      </c>
      <c r="M724" s="16">
        <v>88</v>
      </c>
      <c r="N724">
        <f>RANK(M724,$M$2:$M$1001,0)+COUNTIF($M$2:M724,M724)-1</f>
        <v>96</v>
      </c>
      <c r="O724" t="str">
        <f>INDEX('Boundary table'!$B$3:$B$7,MATCH(M724,'Boundary table'!$A$3:$A$7))</f>
        <v>B</v>
      </c>
      <c r="P724">
        <f>Table1[[#This Row],[Math Score]]+Table1[[#This Row],[Reading Score]]+Table1[[#This Row],[Writing Score]]</f>
        <v>252</v>
      </c>
      <c r="Q724" s="16">
        <f>COUNTIF(Table1[[#This Row],[Math Score]],"&lt;60")+COUNTIF(Table1[[#This Row],[Reading Score]],"&lt;60")+COUNTIF(Table1[[#This Row],[Writing Score]],"&lt;60")</f>
        <v>0</v>
      </c>
      <c r="R724" t="str">
        <f>IF(Table1[[#This Row],[Fail Count]]&gt;=2,"At risk","OK")</f>
        <v>OK</v>
      </c>
    </row>
    <row r="725" spans="1:18">
      <c r="A725" t="str">
        <f t="shared" si="11"/>
        <v>Stu-724</v>
      </c>
      <c r="B725" t="s">
        <v>27</v>
      </c>
      <c r="C725" t="s">
        <v>19</v>
      </c>
      <c r="D725" t="s">
        <v>32</v>
      </c>
      <c r="E725" t="s">
        <v>14</v>
      </c>
      <c r="F725" t="s">
        <v>15</v>
      </c>
      <c r="G725" s="16">
        <v>50</v>
      </c>
      <c r="H725">
        <f>RANK(G725,$G$2:$G$1001,0)+COUNTIF($G$2:G725,G725)-1</f>
        <v>862</v>
      </c>
      <c r="I725" t="str">
        <f>INDEX('Boundary table'!$B$3:$B$7,MATCH(G725,'Boundary table'!$A$3:$A$7,1))</f>
        <v>F</v>
      </c>
      <c r="J725" s="16">
        <v>48</v>
      </c>
      <c r="K725">
        <f>RANK(J725,$J$2:$J$1001,0)+COUNTIF($J$2:J725,J725)-1</f>
        <v>927</v>
      </c>
      <c r="L725" t="str">
        <f>INDEX('Boundary table'!$B$3:$B$7,MATCH(J725,'Boundary table'!$A$3:$A$7,1))</f>
        <v>F</v>
      </c>
      <c r="M725" s="16">
        <v>42</v>
      </c>
      <c r="N725">
        <f>RANK(M725,$M$2:$M$1001,0)+COUNTIF($M$2:M725,M725)-1</f>
        <v>957</v>
      </c>
      <c r="O725" t="str">
        <f>INDEX('Boundary table'!$B$3:$B$7,MATCH(M725,'Boundary table'!$A$3:$A$7))</f>
        <v>F</v>
      </c>
      <c r="P725">
        <f>Table1[[#This Row],[Math Score]]+Table1[[#This Row],[Reading Score]]+Table1[[#This Row],[Writing Score]]</f>
        <v>140</v>
      </c>
      <c r="Q725" s="16">
        <f>COUNTIF(Table1[[#This Row],[Math Score]],"&lt;60")+COUNTIF(Table1[[#This Row],[Reading Score]],"&lt;60")+COUNTIF(Table1[[#This Row],[Writing Score]],"&lt;60")</f>
        <v>3</v>
      </c>
      <c r="R725" t="str">
        <f>IF(Table1[[#This Row],[Fail Count]]&gt;=2,"At risk","OK")</f>
        <v>At risk</v>
      </c>
    </row>
    <row r="726" spans="1:18">
      <c r="A726" t="str">
        <f t="shared" si="11"/>
        <v>Stu-725</v>
      </c>
      <c r="B726" t="s">
        <v>27</v>
      </c>
      <c r="C726" t="s">
        <v>12</v>
      </c>
      <c r="D726" t="s">
        <v>20</v>
      </c>
      <c r="E726" t="s">
        <v>14</v>
      </c>
      <c r="F726" t="s">
        <v>15</v>
      </c>
      <c r="G726" s="16">
        <v>47</v>
      </c>
      <c r="H726">
        <f>RANK(G726,$G$2:$G$1001,0)+COUNTIF($G$2:G726,G726)-1</f>
        <v>903</v>
      </c>
      <c r="I726" t="str">
        <f>INDEX('Boundary table'!$B$3:$B$7,MATCH(G726,'Boundary table'!$A$3:$A$7,1))</f>
        <v>F</v>
      </c>
      <c r="J726" s="16">
        <v>43</v>
      </c>
      <c r="K726">
        <f>RANK(J726,$J$2:$J$1001,0)+COUNTIF($J$2:J726,J726)-1</f>
        <v>959</v>
      </c>
      <c r="L726" t="str">
        <f>INDEX('Boundary table'!$B$3:$B$7,MATCH(J726,'Boundary table'!$A$3:$A$7,1))</f>
        <v>F</v>
      </c>
      <c r="M726" s="16">
        <v>41</v>
      </c>
      <c r="N726">
        <f>RANK(M726,$M$2:$M$1001,0)+COUNTIF($M$2:M726,M726)-1</f>
        <v>963</v>
      </c>
      <c r="O726" t="str">
        <f>INDEX('Boundary table'!$B$3:$B$7,MATCH(M726,'Boundary table'!$A$3:$A$7))</f>
        <v>F</v>
      </c>
      <c r="P726">
        <f>Table1[[#This Row],[Math Score]]+Table1[[#This Row],[Reading Score]]+Table1[[#This Row],[Writing Score]]</f>
        <v>131</v>
      </c>
      <c r="Q726" s="16">
        <f>COUNTIF(Table1[[#This Row],[Math Score]],"&lt;60")+COUNTIF(Table1[[#This Row],[Reading Score]],"&lt;60")+COUNTIF(Table1[[#This Row],[Writing Score]],"&lt;60")</f>
        <v>3</v>
      </c>
      <c r="R726" t="str">
        <f>IF(Table1[[#This Row],[Fail Count]]&gt;=2,"At risk","OK")</f>
        <v>At risk</v>
      </c>
    </row>
    <row r="727" spans="1:18">
      <c r="A727" t="str">
        <f t="shared" si="11"/>
        <v>Stu-726</v>
      </c>
      <c r="B727" t="s">
        <v>27</v>
      </c>
      <c r="C727" t="s">
        <v>34</v>
      </c>
      <c r="D727" t="s">
        <v>20</v>
      </c>
      <c r="E727" t="s">
        <v>14</v>
      </c>
      <c r="F727" t="s">
        <v>21</v>
      </c>
      <c r="G727" s="16">
        <v>81</v>
      </c>
      <c r="H727">
        <f>RANK(G727,$G$2:$G$1001,0)+COUNTIF($G$2:G727,G727)-1</f>
        <v>169</v>
      </c>
      <c r="I727" t="str">
        <f>INDEX('Boundary table'!$B$3:$B$7,MATCH(G727,'Boundary table'!$A$3:$A$7,1))</f>
        <v>B</v>
      </c>
      <c r="J727" s="16">
        <v>74</v>
      </c>
      <c r="K727">
        <f>RANK(J727,$J$2:$J$1001,0)+COUNTIF($J$2:J727,J727)-1</f>
        <v>397</v>
      </c>
      <c r="L727" t="str">
        <f>INDEX('Boundary table'!$B$3:$B$7,MATCH(J727,'Boundary table'!$A$3:$A$7,1))</f>
        <v>C</v>
      </c>
      <c r="M727" s="16">
        <v>71</v>
      </c>
      <c r="N727">
        <f>RANK(M727,$M$2:$M$1001,0)+COUNTIF($M$2:M727,M727)-1</f>
        <v>451</v>
      </c>
      <c r="O727" t="str">
        <f>INDEX('Boundary table'!$B$3:$B$7,MATCH(M727,'Boundary table'!$A$3:$A$7))</f>
        <v>C</v>
      </c>
      <c r="P727">
        <f>Table1[[#This Row],[Math Score]]+Table1[[#This Row],[Reading Score]]+Table1[[#This Row],[Writing Score]]</f>
        <v>226</v>
      </c>
      <c r="Q727" s="16">
        <f>COUNTIF(Table1[[#This Row],[Math Score]],"&lt;60")+COUNTIF(Table1[[#This Row],[Reading Score]],"&lt;60")+COUNTIF(Table1[[#This Row],[Writing Score]],"&lt;60")</f>
        <v>0</v>
      </c>
      <c r="R727" t="str">
        <f>IF(Table1[[#This Row],[Fail Count]]&gt;=2,"At risk","OK")</f>
        <v>OK</v>
      </c>
    </row>
    <row r="728" spans="1:18">
      <c r="A728" t="str">
        <f t="shared" si="11"/>
        <v>Stu-727</v>
      </c>
      <c r="B728" t="s">
        <v>11</v>
      </c>
      <c r="C728" t="s">
        <v>34</v>
      </c>
      <c r="D728" t="s">
        <v>29</v>
      </c>
      <c r="E728" t="s">
        <v>14</v>
      </c>
      <c r="F728" t="s">
        <v>21</v>
      </c>
      <c r="G728" s="16">
        <v>65</v>
      </c>
      <c r="H728">
        <f>RANK(G728,$G$2:$G$1001,0)+COUNTIF($G$2:G728,G728)-1</f>
        <v>547</v>
      </c>
      <c r="I728" t="str">
        <f>INDEX('Boundary table'!$B$3:$B$7,MATCH(G728,'Boundary table'!$A$3:$A$7,1))</f>
        <v>D</v>
      </c>
      <c r="J728" s="16">
        <v>75</v>
      </c>
      <c r="K728">
        <f>RANK(J728,$J$2:$J$1001,0)+COUNTIF($J$2:J728,J728)-1</f>
        <v>361</v>
      </c>
      <c r="L728" t="str">
        <f>INDEX('Boundary table'!$B$3:$B$7,MATCH(J728,'Boundary table'!$A$3:$A$7,1))</f>
        <v>C</v>
      </c>
      <c r="M728" s="16">
        <v>77</v>
      </c>
      <c r="N728">
        <f>RANK(M728,$M$2:$M$1001,0)+COUNTIF($M$2:M728,M728)-1</f>
        <v>296</v>
      </c>
      <c r="O728" t="str">
        <f>INDEX('Boundary table'!$B$3:$B$7,MATCH(M728,'Boundary table'!$A$3:$A$7))</f>
        <v>C</v>
      </c>
      <c r="P728">
        <f>Table1[[#This Row],[Math Score]]+Table1[[#This Row],[Reading Score]]+Table1[[#This Row],[Writing Score]]</f>
        <v>217</v>
      </c>
      <c r="Q728" s="16">
        <f>COUNTIF(Table1[[#This Row],[Math Score]],"&lt;60")+COUNTIF(Table1[[#This Row],[Reading Score]],"&lt;60")+COUNTIF(Table1[[#This Row],[Writing Score]],"&lt;60")</f>
        <v>0</v>
      </c>
      <c r="R728" t="str">
        <f>IF(Table1[[#This Row],[Fail Count]]&gt;=2,"At risk","OK")</f>
        <v>OK</v>
      </c>
    </row>
    <row r="729" spans="1:18">
      <c r="A729" t="str">
        <f t="shared" si="11"/>
        <v>Stu-728</v>
      </c>
      <c r="B729" t="s">
        <v>27</v>
      </c>
      <c r="C729" t="s">
        <v>34</v>
      </c>
      <c r="D729" t="s">
        <v>33</v>
      </c>
      <c r="E729" t="s">
        <v>14</v>
      </c>
      <c r="F729" t="s">
        <v>21</v>
      </c>
      <c r="G729" s="16">
        <v>68</v>
      </c>
      <c r="H729">
        <f>RANK(G729,$G$2:$G$1001,0)+COUNTIF($G$2:G729,G729)-1</f>
        <v>459</v>
      </c>
      <c r="I729" t="str">
        <f>INDEX('Boundary table'!$B$3:$B$7,MATCH(G729,'Boundary table'!$A$3:$A$7,1))</f>
        <v>D</v>
      </c>
      <c r="J729" s="16">
        <v>51</v>
      </c>
      <c r="K729">
        <f>RANK(J729,$J$2:$J$1001,0)+COUNTIF($J$2:J729,J729)-1</f>
        <v>898</v>
      </c>
      <c r="L729" t="str">
        <f>INDEX('Boundary table'!$B$3:$B$7,MATCH(J729,'Boundary table'!$A$3:$A$7,1))</f>
        <v>F</v>
      </c>
      <c r="M729" s="16">
        <v>57</v>
      </c>
      <c r="N729">
        <f>RANK(M729,$M$2:$M$1001,0)+COUNTIF($M$2:M729,M729)-1</f>
        <v>762</v>
      </c>
      <c r="O729" t="str">
        <f>INDEX('Boundary table'!$B$3:$B$7,MATCH(M729,'Boundary table'!$A$3:$A$7))</f>
        <v>F</v>
      </c>
      <c r="P729">
        <f>Table1[[#This Row],[Math Score]]+Table1[[#This Row],[Reading Score]]+Table1[[#This Row],[Writing Score]]</f>
        <v>176</v>
      </c>
      <c r="Q729" s="16">
        <f>COUNTIF(Table1[[#This Row],[Math Score]],"&lt;60")+COUNTIF(Table1[[#This Row],[Reading Score]],"&lt;60")+COUNTIF(Table1[[#This Row],[Writing Score]],"&lt;60")</f>
        <v>2</v>
      </c>
      <c r="R729" t="str">
        <f>IF(Table1[[#This Row],[Fail Count]]&gt;=2,"At risk","OK")</f>
        <v>At risk</v>
      </c>
    </row>
    <row r="730" spans="1:18">
      <c r="A730" t="str">
        <f t="shared" si="11"/>
        <v>Stu-729</v>
      </c>
      <c r="B730" t="s">
        <v>11</v>
      </c>
      <c r="C730" t="s">
        <v>31</v>
      </c>
      <c r="D730" t="s">
        <v>32</v>
      </c>
      <c r="E730" t="s">
        <v>30</v>
      </c>
      <c r="F730" t="s">
        <v>15</v>
      </c>
      <c r="G730" s="16">
        <v>73</v>
      </c>
      <c r="H730">
        <f>RANK(G730,$G$2:$G$1001,0)+COUNTIF($G$2:G730,G730)-1</f>
        <v>344</v>
      </c>
      <c r="I730" t="str">
        <f>INDEX('Boundary table'!$B$3:$B$7,MATCH(G730,'Boundary table'!$A$3:$A$7,1))</f>
        <v>C</v>
      </c>
      <c r="J730" s="16">
        <v>92</v>
      </c>
      <c r="K730">
        <f>RANK(J730,$J$2:$J$1001,0)+COUNTIF($J$2:J730,J730)-1</f>
        <v>55</v>
      </c>
      <c r="L730" t="str">
        <f>INDEX('Boundary table'!$B$3:$B$7,MATCH(J730,'Boundary table'!$A$3:$A$7,1))</f>
        <v>A</v>
      </c>
      <c r="M730" s="16">
        <v>84</v>
      </c>
      <c r="N730">
        <f>RANK(M730,$M$2:$M$1001,0)+COUNTIF($M$2:M730,M730)-1</f>
        <v>146</v>
      </c>
      <c r="O730" t="str">
        <f>INDEX('Boundary table'!$B$3:$B$7,MATCH(M730,'Boundary table'!$A$3:$A$7))</f>
        <v>B</v>
      </c>
      <c r="P730">
        <f>Table1[[#This Row],[Math Score]]+Table1[[#This Row],[Reading Score]]+Table1[[#This Row],[Writing Score]]</f>
        <v>249</v>
      </c>
      <c r="Q730" s="16">
        <f>COUNTIF(Table1[[#This Row],[Math Score]],"&lt;60")+COUNTIF(Table1[[#This Row],[Reading Score]],"&lt;60")+COUNTIF(Table1[[#This Row],[Writing Score]],"&lt;60")</f>
        <v>0</v>
      </c>
      <c r="R730" t="str">
        <f>IF(Table1[[#This Row],[Fail Count]]&gt;=2,"At risk","OK")</f>
        <v>OK</v>
      </c>
    </row>
    <row r="731" spans="1:18">
      <c r="A731" t="str">
        <f t="shared" si="11"/>
        <v>Stu-730</v>
      </c>
      <c r="B731" t="s">
        <v>27</v>
      </c>
      <c r="C731" t="s">
        <v>19</v>
      </c>
      <c r="D731" t="s">
        <v>20</v>
      </c>
      <c r="E731" t="s">
        <v>14</v>
      </c>
      <c r="F731" t="s">
        <v>15</v>
      </c>
      <c r="G731" s="16">
        <v>53</v>
      </c>
      <c r="H731">
        <f>RANK(G731,$G$2:$G$1001,0)+COUNTIF($G$2:G731,G731)-1</f>
        <v>816</v>
      </c>
      <c r="I731" t="str">
        <f>INDEX('Boundary table'!$B$3:$B$7,MATCH(G731,'Boundary table'!$A$3:$A$7,1))</f>
        <v>F</v>
      </c>
      <c r="J731" s="16">
        <v>39</v>
      </c>
      <c r="K731">
        <f>RANK(J731,$J$2:$J$1001,0)+COUNTIF($J$2:J731,J731)-1</f>
        <v>980</v>
      </c>
      <c r="L731" t="str">
        <f>INDEX('Boundary table'!$B$3:$B$7,MATCH(J731,'Boundary table'!$A$3:$A$7,1))</f>
        <v>F</v>
      </c>
      <c r="M731" s="16">
        <v>37</v>
      </c>
      <c r="N731">
        <f>RANK(M731,$M$2:$M$1001,0)+COUNTIF($M$2:M731,M731)-1</f>
        <v>978</v>
      </c>
      <c r="O731" t="str">
        <f>INDEX('Boundary table'!$B$3:$B$7,MATCH(M731,'Boundary table'!$A$3:$A$7))</f>
        <v>F</v>
      </c>
      <c r="P731">
        <f>Table1[[#This Row],[Math Score]]+Table1[[#This Row],[Reading Score]]+Table1[[#This Row],[Writing Score]]</f>
        <v>129</v>
      </c>
      <c r="Q731" s="16">
        <f>COUNTIF(Table1[[#This Row],[Math Score]],"&lt;60")+COUNTIF(Table1[[#This Row],[Reading Score]],"&lt;60")+COUNTIF(Table1[[#This Row],[Writing Score]],"&lt;60")</f>
        <v>3</v>
      </c>
      <c r="R731" t="str">
        <f>IF(Table1[[#This Row],[Fail Count]]&gt;=2,"At risk","OK")</f>
        <v>At risk</v>
      </c>
    </row>
    <row r="732" spans="1:18">
      <c r="A732" t="str">
        <f t="shared" si="11"/>
        <v>Stu-731</v>
      </c>
      <c r="B732" t="s">
        <v>11</v>
      </c>
      <c r="C732" t="s">
        <v>12</v>
      </c>
      <c r="D732" t="s">
        <v>29</v>
      </c>
      <c r="E732" t="s">
        <v>30</v>
      </c>
      <c r="F732" t="s">
        <v>21</v>
      </c>
      <c r="G732" s="16">
        <v>68</v>
      </c>
      <c r="H732">
        <f>RANK(G732,$G$2:$G$1001,0)+COUNTIF($G$2:G732,G732)-1</f>
        <v>460</v>
      </c>
      <c r="I732" t="str">
        <f>INDEX('Boundary table'!$B$3:$B$7,MATCH(G732,'Boundary table'!$A$3:$A$7,1))</f>
        <v>D</v>
      </c>
      <c r="J732" s="16">
        <v>77</v>
      </c>
      <c r="K732">
        <f>RANK(J732,$J$2:$J$1001,0)+COUNTIF($J$2:J732,J732)-1</f>
        <v>312</v>
      </c>
      <c r="L732" t="str">
        <f>INDEX('Boundary table'!$B$3:$B$7,MATCH(J732,'Boundary table'!$A$3:$A$7,1))</f>
        <v>C</v>
      </c>
      <c r="M732" s="16">
        <v>80</v>
      </c>
      <c r="N732">
        <f>RANK(M732,$M$2:$M$1001,0)+COUNTIF($M$2:M732,M732)-1</f>
        <v>229</v>
      </c>
      <c r="O732" t="str">
        <f>INDEX('Boundary table'!$B$3:$B$7,MATCH(M732,'Boundary table'!$A$3:$A$7))</f>
        <v>B</v>
      </c>
      <c r="P732">
        <f>Table1[[#This Row],[Math Score]]+Table1[[#This Row],[Reading Score]]+Table1[[#This Row],[Writing Score]]</f>
        <v>225</v>
      </c>
      <c r="Q732" s="16">
        <f>COUNTIF(Table1[[#This Row],[Math Score]],"&lt;60")+COUNTIF(Table1[[#This Row],[Reading Score]],"&lt;60")+COUNTIF(Table1[[#This Row],[Writing Score]],"&lt;60")</f>
        <v>0</v>
      </c>
      <c r="R732" t="str">
        <f>IF(Table1[[#This Row],[Fail Count]]&gt;=2,"At risk","OK")</f>
        <v>OK</v>
      </c>
    </row>
    <row r="733" spans="1:18">
      <c r="A733" t="str">
        <f t="shared" si="11"/>
        <v>Stu-732</v>
      </c>
      <c r="B733" t="s">
        <v>27</v>
      </c>
      <c r="C733" t="s">
        <v>28</v>
      </c>
      <c r="D733" t="s">
        <v>33</v>
      </c>
      <c r="E733" t="s">
        <v>30</v>
      </c>
      <c r="F733" t="s">
        <v>15</v>
      </c>
      <c r="G733" s="16">
        <v>55</v>
      </c>
      <c r="H733">
        <f>RANK(G733,$G$2:$G$1001,0)+COUNTIF($G$2:G733,G733)-1</f>
        <v>773</v>
      </c>
      <c r="I733" t="str">
        <f>INDEX('Boundary table'!$B$3:$B$7,MATCH(G733,'Boundary table'!$A$3:$A$7,1))</f>
        <v>F</v>
      </c>
      <c r="J733" s="16">
        <v>46</v>
      </c>
      <c r="K733">
        <f>RANK(J733,$J$2:$J$1001,0)+COUNTIF($J$2:J733,J733)-1</f>
        <v>939</v>
      </c>
      <c r="L733" t="str">
        <f>INDEX('Boundary table'!$B$3:$B$7,MATCH(J733,'Boundary table'!$A$3:$A$7,1))</f>
        <v>F</v>
      </c>
      <c r="M733" s="16">
        <v>43</v>
      </c>
      <c r="N733">
        <f>RANK(M733,$M$2:$M$1001,0)+COUNTIF($M$2:M733,M733)-1</f>
        <v>949</v>
      </c>
      <c r="O733" t="str">
        <f>INDEX('Boundary table'!$B$3:$B$7,MATCH(M733,'Boundary table'!$A$3:$A$7))</f>
        <v>F</v>
      </c>
      <c r="P733">
        <f>Table1[[#This Row],[Math Score]]+Table1[[#This Row],[Reading Score]]+Table1[[#This Row],[Writing Score]]</f>
        <v>144</v>
      </c>
      <c r="Q733" s="16">
        <f>COUNTIF(Table1[[#This Row],[Math Score]],"&lt;60")+COUNTIF(Table1[[#This Row],[Reading Score]],"&lt;60")+COUNTIF(Table1[[#This Row],[Writing Score]],"&lt;60")</f>
        <v>3</v>
      </c>
      <c r="R733" t="str">
        <f>IF(Table1[[#This Row],[Fail Count]]&gt;=2,"At risk","OK")</f>
        <v>At risk</v>
      </c>
    </row>
    <row r="734" spans="1:18">
      <c r="A734" t="str">
        <f t="shared" si="11"/>
        <v>Stu-733</v>
      </c>
      <c r="B734" t="s">
        <v>11</v>
      </c>
      <c r="C734" t="s">
        <v>19</v>
      </c>
      <c r="D734" t="s">
        <v>20</v>
      </c>
      <c r="E734" t="s">
        <v>14</v>
      </c>
      <c r="F734" t="s">
        <v>21</v>
      </c>
      <c r="G734" s="16">
        <v>87</v>
      </c>
      <c r="H734">
        <f>RANK(G734,$G$2:$G$1001,0)+COUNTIF($G$2:G734,G734)-1</f>
        <v>90</v>
      </c>
      <c r="I734" t="str">
        <f>INDEX('Boundary table'!$B$3:$B$7,MATCH(G734,'Boundary table'!$A$3:$A$7,1))</f>
        <v>B</v>
      </c>
      <c r="J734" s="16">
        <v>89</v>
      </c>
      <c r="K734">
        <f>RANK(J734,$J$2:$J$1001,0)+COUNTIF($J$2:J734,J734)-1</f>
        <v>91</v>
      </c>
      <c r="L734" t="str">
        <f>INDEX('Boundary table'!$B$3:$B$7,MATCH(J734,'Boundary table'!$A$3:$A$7,1))</f>
        <v>B</v>
      </c>
      <c r="M734" s="16">
        <v>94</v>
      </c>
      <c r="N734">
        <f>RANK(M734,$M$2:$M$1001,0)+COUNTIF($M$2:M734,M734)-1</f>
        <v>39</v>
      </c>
      <c r="O734" t="str">
        <f>INDEX('Boundary table'!$B$3:$B$7,MATCH(M734,'Boundary table'!$A$3:$A$7))</f>
        <v>A</v>
      </c>
      <c r="P734">
        <f>Table1[[#This Row],[Math Score]]+Table1[[#This Row],[Reading Score]]+Table1[[#This Row],[Writing Score]]</f>
        <v>270</v>
      </c>
      <c r="Q734" s="16">
        <f>COUNTIF(Table1[[#This Row],[Math Score]],"&lt;60")+COUNTIF(Table1[[#This Row],[Reading Score]],"&lt;60")+COUNTIF(Table1[[#This Row],[Writing Score]],"&lt;60")</f>
        <v>0</v>
      </c>
      <c r="R734" t="str">
        <f>IF(Table1[[#This Row],[Fail Count]]&gt;=2,"At risk","OK")</f>
        <v>OK</v>
      </c>
    </row>
    <row r="735" spans="1:18">
      <c r="A735" t="str">
        <f t="shared" si="11"/>
        <v>Stu-734</v>
      </c>
      <c r="B735" t="s">
        <v>27</v>
      </c>
      <c r="C735" t="s">
        <v>31</v>
      </c>
      <c r="D735" t="s">
        <v>33</v>
      </c>
      <c r="E735" t="s">
        <v>14</v>
      </c>
      <c r="F735" t="s">
        <v>15</v>
      </c>
      <c r="G735" s="16">
        <v>55</v>
      </c>
      <c r="H735">
        <f>RANK(G735,$G$2:$G$1001,0)+COUNTIF($G$2:G735,G735)-1</f>
        <v>774</v>
      </c>
      <c r="I735" t="str">
        <f>INDEX('Boundary table'!$B$3:$B$7,MATCH(G735,'Boundary table'!$A$3:$A$7,1))</f>
        <v>F</v>
      </c>
      <c r="J735" s="16">
        <v>47</v>
      </c>
      <c r="K735">
        <f>RANK(J735,$J$2:$J$1001,0)+COUNTIF($J$2:J735,J735)-1</f>
        <v>933</v>
      </c>
      <c r="L735" t="str">
        <f>INDEX('Boundary table'!$B$3:$B$7,MATCH(J735,'Boundary table'!$A$3:$A$7,1))</f>
        <v>F</v>
      </c>
      <c r="M735" s="16">
        <v>44</v>
      </c>
      <c r="N735">
        <f>RANK(M735,$M$2:$M$1001,0)+COUNTIF($M$2:M735,M735)-1</f>
        <v>935</v>
      </c>
      <c r="O735" t="str">
        <f>INDEX('Boundary table'!$B$3:$B$7,MATCH(M735,'Boundary table'!$A$3:$A$7))</f>
        <v>F</v>
      </c>
      <c r="P735">
        <f>Table1[[#This Row],[Math Score]]+Table1[[#This Row],[Reading Score]]+Table1[[#This Row],[Writing Score]]</f>
        <v>146</v>
      </c>
      <c r="Q735" s="16">
        <f>COUNTIF(Table1[[#This Row],[Math Score]],"&lt;60")+COUNTIF(Table1[[#This Row],[Reading Score]],"&lt;60")+COUNTIF(Table1[[#This Row],[Writing Score]],"&lt;60")</f>
        <v>3</v>
      </c>
      <c r="R735" t="str">
        <f>IF(Table1[[#This Row],[Fail Count]]&gt;=2,"At risk","OK")</f>
        <v>At risk</v>
      </c>
    </row>
    <row r="736" spans="1:18">
      <c r="A736" t="str">
        <f t="shared" si="11"/>
        <v>Stu-735</v>
      </c>
      <c r="B736" t="s">
        <v>11</v>
      </c>
      <c r="C736" t="s">
        <v>34</v>
      </c>
      <c r="D736" t="s">
        <v>20</v>
      </c>
      <c r="E736" t="s">
        <v>30</v>
      </c>
      <c r="F736" t="s">
        <v>15</v>
      </c>
      <c r="G736" s="16">
        <v>53</v>
      </c>
      <c r="H736">
        <f>RANK(G736,$G$2:$G$1001,0)+COUNTIF($G$2:G736,G736)-1</f>
        <v>817</v>
      </c>
      <c r="I736" t="str">
        <f>INDEX('Boundary table'!$B$3:$B$7,MATCH(G736,'Boundary table'!$A$3:$A$7,1))</f>
        <v>F</v>
      </c>
      <c r="J736" s="16">
        <v>58</v>
      </c>
      <c r="K736">
        <f>RANK(J736,$J$2:$J$1001,0)+COUNTIF($J$2:J736,J736)-1</f>
        <v>782</v>
      </c>
      <c r="L736" t="str">
        <f>INDEX('Boundary table'!$B$3:$B$7,MATCH(J736,'Boundary table'!$A$3:$A$7,1))</f>
        <v>F</v>
      </c>
      <c r="M736" s="16">
        <v>57</v>
      </c>
      <c r="N736">
        <f>RANK(M736,$M$2:$M$1001,0)+COUNTIF($M$2:M736,M736)-1</f>
        <v>763</v>
      </c>
      <c r="O736" t="str">
        <f>INDEX('Boundary table'!$B$3:$B$7,MATCH(M736,'Boundary table'!$A$3:$A$7))</f>
        <v>F</v>
      </c>
      <c r="P736">
        <f>Table1[[#This Row],[Math Score]]+Table1[[#This Row],[Reading Score]]+Table1[[#This Row],[Writing Score]]</f>
        <v>168</v>
      </c>
      <c r="Q736" s="16">
        <f>COUNTIF(Table1[[#This Row],[Math Score]],"&lt;60")+COUNTIF(Table1[[#This Row],[Reading Score]],"&lt;60")+COUNTIF(Table1[[#This Row],[Writing Score]],"&lt;60")</f>
        <v>3</v>
      </c>
      <c r="R736" t="str">
        <f>IF(Table1[[#This Row],[Fail Count]]&gt;=2,"At risk","OK")</f>
        <v>At risk</v>
      </c>
    </row>
    <row r="737" spans="1:18">
      <c r="A737" t="str">
        <f t="shared" si="11"/>
        <v>Stu-736</v>
      </c>
      <c r="B737" t="s">
        <v>27</v>
      </c>
      <c r="C737" t="s">
        <v>19</v>
      </c>
      <c r="D737" t="s">
        <v>26</v>
      </c>
      <c r="E737" t="s">
        <v>14</v>
      </c>
      <c r="F737" t="s">
        <v>15</v>
      </c>
      <c r="G737" s="16">
        <v>67</v>
      </c>
      <c r="H737">
        <f>RANK(G737,$G$2:$G$1001,0)+COUNTIF($G$2:G737,G737)-1</f>
        <v>486</v>
      </c>
      <c r="I737" t="str">
        <f>INDEX('Boundary table'!$B$3:$B$7,MATCH(G737,'Boundary table'!$A$3:$A$7,1))</f>
        <v>D</v>
      </c>
      <c r="J737" s="16">
        <v>57</v>
      </c>
      <c r="K737">
        <f>RANK(J737,$J$2:$J$1001,0)+COUNTIF($J$2:J737,J737)-1</f>
        <v>802</v>
      </c>
      <c r="L737" t="str">
        <f>INDEX('Boundary table'!$B$3:$B$7,MATCH(J737,'Boundary table'!$A$3:$A$7,1))</f>
        <v>F</v>
      </c>
      <c r="M737" s="16">
        <v>59</v>
      </c>
      <c r="N737">
        <f>RANK(M737,$M$2:$M$1001,0)+COUNTIF($M$2:M737,M737)-1</f>
        <v>728</v>
      </c>
      <c r="O737" t="str">
        <f>INDEX('Boundary table'!$B$3:$B$7,MATCH(M737,'Boundary table'!$A$3:$A$7))</f>
        <v>F</v>
      </c>
      <c r="P737">
        <f>Table1[[#This Row],[Math Score]]+Table1[[#This Row],[Reading Score]]+Table1[[#This Row],[Writing Score]]</f>
        <v>183</v>
      </c>
      <c r="Q737" s="16">
        <f>COUNTIF(Table1[[#This Row],[Math Score]],"&lt;60")+COUNTIF(Table1[[#This Row],[Reading Score]],"&lt;60")+COUNTIF(Table1[[#This Row],[Writing Score]],"&lt;60")</f>
        <v>2</v>
      </c>
      <c r="R737" t="str">
        <f>IF(Table1[[#This Row],[Fail Count]]&gt;=2,"At risk","OK")</f>
        <v>At risk</v>
      </c>
    </row>
    <row r="738" spans="1:18">
      <c r="A738" t="str">
        <f t="shared" si="11"/>
        <v>Stu-737</v>
      </c>
      <c r="B738" t="s">
        <v>27</v>
      </c>
      <c r="C738" t="s">
        <v>19</v>
      </c>
      <c r="D738" t="s">
        <v>29</v>
      </c>
      <c r="E738" t="s">
        <v>14</v>
      </c>
      <c r="F738" t="s">
        <v>15</v>
      </c>
      <c r="G738" s="16">
        <v>92</v>
      </c>
      <c r="H738">
        <f>RANK(G738,$G$2:$G$1001,0)+COUNTIF($G$2:G738,G738)-1</f>
        <v>40</v>
      </c>
      <c r="I738" t="str">
        <f>INDEX('Boundary table'!$B$3:$B$7,MATCH(G738,'Boundary table'!$A$3:$A$7,1))</f>
        <v>A</v>
      </c>
      <c r="J738" s="16">
        <v>79</v>
      </c>
      <c r="K738">
        <f>RANK(J738,$J$2:$J$1001,0)+COUNTIF($J$2:J738,J738)-1</f>
        <v>264</v>
      </c>
      <c r="L738" t="str">
        <f>INDEX('Boundary table'!$B$3:$B$7,MATCH(J738,'Boundary table'!$A$3:$A$7,1))</f>
        <v>C</v>
      </c>
      <c r="M738" s="16">
        <v>84</v>
      </c>
      <c r="N738">
        <f>RANK(M738,$M$2:$M$1001,0)+COUNTIF($M$2:M738,M738)-1</f>
        <v>147</v>
      </c>
      <c r="O738" t="str">
        <f>INDEX('Boundary table'!$B$3:$B$7,MATCH(M738,'Boundary table'!$A$3:$A$7))</f>
        <v>B</v>
      </c>
      <c r="P738">
        <f>Table1[[#This Row],[Math Score]]+Table1[[#This Row],[Reading Score]]+Table1[[#This Row],[Writing Score]]</f>
        <v>255</v>
      </c>
      <c r="Q738" s="16">
        <f>COUNTIF(Table1[[#This Row],[Math Score]],"&lt;60")+COUNTIF(Table1[[#This Row],[Reading Score]],"&lt;60")+COUNTIF(Table1[[#This Row],[Writing Score]],"&lt;60")</f>
        <v>0</v>
      </c>
      <c r="R738" t="str">
        <f>IF(Table1[[#This Row],[Fail Count]]&gt;=2,"At risk","OK")</f>
        <v>OK</v>
      </c>
    </row>
    <row r="739" spans="1:18">
      <c r="A739" t="str">
        <f t="shared" si="11"/>
        <v>Stu-738</v>
      </c>
      <c r="B739" t="s">
        <v>11</v>
      </c>
      <c r="C739" t="s">
        <v>12</v>
      </c>
      <c r="D739" t="s">
        <v>20</v>
      </c>
      <c r="E739" t="s">
        <v>30</v>
      </c>
      <c r="F739" t="s">
        <v>21</v>
      </c>
      <c r="G739" s="16">
        <v>53</v>
      </c>
      <c r="H739">
        <f>RANK(G739,$G$2:$G$1001,0)+COUNTIF($G$2:G739,G739)-1</f>
        <v>818</v>
      </c>
      <c r="I739" t="str">
        <f>INDEX('Boundary table'!$B$3:$B$7,MATCH(G739,'Boundary table'!$A$3:$A$7,1))</f>
        <v>F</v>
      </c>
      <c r="J739" s="16">
        <v>66</v>
      </c>
      <c r="K739">
        <f>RANK(J739,$J$2:$J$1001,0)+COUNTIF($J$2:J739,J739)-1</f>
        <v>604</v>
      </c>
      <c r="L739" t="str">
        <f>INDEX('Boundary table'!$B$3:$B$7,MATCH(J739,'Boundary table'!$A$3:$A$7,1))</f>
        <v>D</v>
      </c>
      <c r="M739" s="16">
        <v>73</v>
      </c>
      <c r="N739">
        <f>RANK(M739,$M$2:$M$1001,0)+COUNTIF($M$2:M739,M739)-1</f>
        <v>406</v>
      </c>
      <c r="O739" t="str">
        <f>INDEX('Boundary table'!$B$3:$B$7,MATCH(M739,'Boundary table'!$A$3:$A$7))</f>
        <v>C</v>
      </c>
      <c r="P739">
        <f>Table1[[#This Row],[Math Score]]+Table1[[#This Row],[Reading Score]]+Table1[[#This Row],[Writing Score]]</f>
        <v>192</v>
      </c>
      <c r="Q739" s="16">
        <f>COUNTIF(Table1[[#This Row],[Math Score]],"&lt;60")+COUNTIF(Table1[[#This Row],[Reading Score]],"&lt;60")+COUNTIF(Table1[[#This Row],[Writing Score]],"&lt;60")</f>
        <v>1</v>
      </c>
      <c r="R739" t="str">
        <f>IF(Table1[[#This Row],[Fail Count]]&gt;=2,"At risk","OK")</f>
        <v>OK</v>
      </c>
    </row>
    <row r="740" spans="1:18">
      <c r="A740" t="str">
        <f t="shared" si="11"/>
        <v>Stu-739</v>
      </c>
      <c r="B740" t="s">
        <v>27</v>
      </c>
      <c r="C740" t="s">
        <v>31</v>
      </c>
      <c r="D740" t="s">
        <v>29</v>
      </c>
      <c r="E740" t="s">
        <v>14</v>
      </c>
      <c r="F740" t="s">
        <v>15</v>
      </c>
      <c r="G740" s="16">
        <v>81</v>
      </c>
      <c r="H740">
        <f>RANK(G740,$G$2:$G$1001,0)+COUNTIF($G$2:G740,G740)-1</f>
        <v>170</v>
      </c>
      <c r="I740" t="str">
        <f>INDEX('Boundary table'!$B$3:$B$7,MATCH(G740,'Boundary table'!$A$3:$A$7,1))</f>
        <v>B</v>
      </c>
      <c r="J740" s="16">
        <v>71</v>
      </c>
      <c r="K740">
        <f>RANK(J740,$J$2:$J$1001,0)+COUNTIF($J$2:J740,J740)-1</f>
        <v>483</v>
      </c>
      <c r="L740" t="str">
        <f>INDEX('Boundary table'!$B$3:$B$7,MATCH(J740,'Boundary table'!$A$3:$A$7,1))</f>
        <v>C</v>
      </c>
      <c r="M740" s="16">
        <v>73</v>
      </c>
      <c r="N740">
        <f>RANK(M740,$M$2:$M$1001,0)+COUNTIF($M$2:M740,M740)-1</f>
        <v>407</v>
      </c>
      <c r="O740" t="str">
        <f>INDEX('Boundary table'!$B$3:$B$7,MATCH(M740,'Boundary table'!$A$3:$A$7))</f>
        <v>C</v>
      </c>
      <c r="P740">
        <f>Table1[[#This Row],[Math Score]]+Table1[[#This Row],[Reading Score]]+Table1[[#This Row],[Writing Score]]</f>
        <v>225</v>
      </c>
      <c r="Q740" s="16">
        <f>COUNTIF(Table1[[#This Row],[Math Score]],"&lt;60")+COUNTIF(Table1[[#This Row],[Reading Score]],"&lt;60")+COUNTIF(Table1[[#This Row],[Writing Score]],"&lt;60")</f>
        <v>0</v>
      </c>
      <c r="R740" t="str">
        <f>IF(Table1[[#This Row],[Fail Count]]&gt;=2,"At risk","OK")</f>
        <v>OK</v>
      </c>
    </row>
    <row r="741" spans="1:18">
      <c r="A741" t="str">
        <f t="shared" si="11"/>
        <v>Stu-740</v>
      </c>
      <c r="B741" t="s">
        <v>27</v>
      </c>
      <c r="C741" t="s">
        <v>19</v>
      </c>
      <c r="D741" t="s">
        <v>32</v>
      </c>
      <c r="E741" t="s">
        <v>30</v>
      </c>
      <c r="F741" t="s">
        <v>15</v>
      </c>
      <c r="G741" s="16">
        <v>61</v>
      </c>
      <c r="H741">
        <f>RANK(G741,$G$2:$G$1001,0)+COUNTIF($G$2:G741,G741)-1</f>
        <v>655</v>
      </c>
      <c r="I741" t="str">
        <f>INDEX('Boundary table'!$B$3:$B$7,MATCH(G741,'Boundary table'!$A$3:$A$7,1))</f>
        <v>D</v>
      </c>
      <c r="J741" s="16">
        <v>60</v>
      </c>
      <c r="K741">
        <f>RANK(J741,$J$2:$J$1001,0)+COUNTIF($J$2:J741,J741)-1</f>
        <v>741</v>
      </c>
      <c r="L741" t="str">
        <f>INDEX('Boundary table'!$B$3:$B$7,MATCH(J741,'Boundary table'!$A$3:$A$7,1))</f>
        <v>D</v>
      </c>
      <c r="M741" s="16">
        <v>55</v>
      </c>
      <c r="N741">
        <f>RANK(M741,$M$2:$M$1001,0)+COUNTIF($M$2:M741,M741)-1</f>
        <v>793</v>
      </c>
      <c r="O741" t="str">
        <f>INDEX('Boundary table'!$B$3:$B$7,MATCH(M741,'Boundary table'!$A$3:$A$7))</f>
        <v>F</v>
      </c>
      <c r="P741">
        <f>Table1[[#This Row],[Math Score]]+Table1[[#This Row],[Reading Score]]+Table1[[#This Row],[Writing Score]]</f>
        <v>176</v>
      </c>
      <c r="Q741" s="16">
        <f>COUNTIF(Table1[[#This Row],[Math Score]],"&lt;60")+COUNTIF(Table1[[#This Row],[Reading Score]],"&lt;60")+COUNTIF(Table1[[#This Row],[Writing Score]],"&lt;60")</f>
        <v>1</v>
      </c>
      <c r="R741" t="str">
        <f>IF(Table1[[#This Row],[Fail Count]]&gt;=2,"At risk","OK")</f>
        <v>OK</v>
      </c>
    </row>
    <row r="742" spans="1:18">
      <c r="A742" t="str">
        <f t="shared" si="11"/>
        <v>Stu-741</v>
      </c>
      <c r="B742" t="s">
        <v>27</v>
      </c>
      <c r="C742" t="s">
        <v>31</v>
      </c>
      <c r="D742" t="s">
        <v>13</v>
      </c>
      <c r="E742" t="s">
        <v>14</v>
      </c>
      <c r="F742" t="s">
        <v>15</v>
      </c>
      <c r="G742" s="16">
        <v>80</v>
      </c>
      <c r="H742">
        <f>RANK(G742,$G$2:$G$1001,0)+COUNTIF($G$2:G742,G742)-1</f>
        <v>191</v>
      </c>
      <c r="I742" t="str">
        <f>INDEX('Boundary table'!$B$3:$B$7,MATCH(G742,'Boundary table'!$A$3:$A$7,1))</f>
        <v>B</v>
      </c>
      <c r="J742" s="16">
        <v>73</v>
      </c>
      <c r="K742">
        <f>RANK(J742,$J$2:$J$1001,0)+COUNTIF($J$2:J742,J742)-1</f>
        <v>427</v>
      </c>
      <c r="L742" t="str">
        <f>INDEX('Boundary table'!$B$3:$B$7,MATCH(J742,'Boundary table'!$A$3:$A$7,1))</f>
        <v>C</v>
      </c>
      <c r="M742" s="16">
        <v>72</v>
      </c>
      <c r="N742">
        <f>RANK(M742,$M$2:$M$1001,0)+COUNTIF($M$2:M742,M742)-1</f>
        <v>428</v>
      </c>
      <c r="O742" t="str">
        <f>INDEX('Boundary table'!$B$3:$B$7,MATCH(M742,'Boundary table'!$A$3:$A$7))</f>
        <v>C</v>
      </c>
      <c r="P742">
        <f>Table1[[#This Row],[Math Score]]+Table1[[#This Row],[Reading Score]]+Table1[[#This Row],[Writing Score]]</f>
        <v>225</v>
      </c>
      <c r="Q742" s="16">
        <f>COUNTIF(Table1[[#This Row],[Math Score]],"&lt;60")+COUNTIF(Table1[[#This Row],[Reading Score]],"&lt;60")+COUNTIF(Table1[[#This Row],[Writing Score]],"&lt;60")</f>
        <v>0</v>
      </c>
      <c r="R742" t="str">
        <f>IF(Table1[[#This Row],[Fail Count]]&gt;=2,"At risk","OK")</f>
        <v>OK</v>
      </c>
    </row>
    <row r="743" spans="1:18">
      <c r="A743" t="str">
        <f t="shared" si="11"/>
        <v>Stu-742</v>
      </c>
      <c r="B743" t="s">
        <v>11</v>
      </c>
      <c r="C743" t="s">
        <v>28</v>
      </c>
      <c r="D743" t="s">
        <v>29</v>
      </c>
      <c r="E743" t="s">
        <v>30</v>
      </c>
      <c r="F743" t="s">
        <v>15</v>
      </c>
      <c r="G743" s="16">
        <v>37</v>
      </c>
      <c r="H743">
        <f>RANK(G743,$G$2:$G$1001,0)+COUNTIF($G$2:G743,G743)-1</f>
        <v>971</v>
      </c>
      <c r="I743" t="str">
        <f>INDEX('Boundary table'!$B$3:$B$7,MATCH(G743,'Boundary table'!$A$3:$A$7,1))</f>
        <v>F</v>
      </c>
      <c r="J743" s="16">
        <v>57</v>
      </c>
      <c r="K743">
        <f>RANK(J743,$J$2:$J$1001,0)+COUNTIF($J$2:J743,J743)-1</f>
        <v>803</v>
      </c>
      <c r="L743" t="str">
        <f>INDEX('Boundary table'!$B$3:$B$7,MATCH(J743,'Boundary table'!$A$3:$A$7,1))</f>
        <v>F</v>
      </c>
      <c r="M743" s="16">
        <v>56</v>
      </c>
      <c r="N743">
        <f>RANK(M743,$M$2:$M$1001,0)+COUNTIF($M$2:M743,M743)-1</f>
        <v>783</v>
      </c>
      <c r="O743" t="str">
        <f>INDEX('Boundary table'!$B$3:$B$7,MATCH(M743,'Boundary table'!$A$3:$A$7))</f>
        <v>F</v>
      </c>
      <c r="P743">
        <f>Table1[[#This Row],[Math Score]]+Table1[[#This Row],[Reading Score]]+Table1[[#This Row],[Writing Score]]</f>
        <v>150</v>
      </c>
      <c r="Q743" s="16">
        <f>COUNTIF(Table1[[#This Row],[Math Score]],"&lt;60")+COUNTIF(Table1[[#This Row],[Reading Score]],"&lt;60")+COUNTIF(Table1[[#This Row],[Writing Score]],"&lt;60")</f>
        <v>3</v>
      </c>
      <c r="R743" t="str">
        <f>IF(Table1[[#This Row],[Fail Count]]&gt;=2,"At risk","OK")</f>
        <v>At risk</v>
      </c>
    </row>
    <row r="744" spans="1:18">
      <c r="A744" t="str">
        <f t="shared" si="11"/>
        <v>Stu-743</v>
      </c>
      <c r="B744" t="s">
        <v>11</v>
      </c>
      <c r="C744" t="s">
        <v>19</v>
      </c>
      <c r="D744" t="s">
        <v>32</v>
      </c>
      <c r="E744" t="s">
        <v>14</v>
      </c>
      <c r="F744" t="s">
        <v>15</v>
      </c>
      <c r="G744" s="16">
        <v>81</v>
      </c>
      <c r="H744">
        <f>RANK(G744,$G$2:$G$1001,0)+COUNTIF($G$2:G744,G744)-1</f>
        <v>171</v>
      </c>
      <c r="I744" t="str">
        <f>INDEX('Boundary table'!$B$3:$B$7,MATCH(G744,'Boundary table'!$A$3:$A$7,1))</f>
        <v>B</v>
      </c>
      <c r="J744" s="16">
        <v>84</v>
      </c>
      <c r="K744">
        <f>RANK(J744,$J$2:$J$1001,0)+COUNTIF($J$2:J744,J744)-1</f>
        <v>166</v>
      </c>
      <c r="L744" t="str">
        <f>INDEX('Boundary table'!$B$3:$B$7,MATCH(J744,'Boundary table'!$A$3:$A$7,1))</f>
        <v>B</v>
      </c>
      <c r="M744" s="16">
        <v>82</v>
      </c>
      <c r="N744">
        <f>RANK(M744,$M$2:$M$1001,0)+COUNTIF($M$2:M744,M744)-1</f>
        <v>180</v>
      </c>
      <c r="O744" t="str">
        <f>INDEX('Boundary table'!$B$3:$B$7,MATCH(M744,'Boundary table'!$A$3:$A$7))</f>
        <v>B</v>
      </c>
      <c r="P744">
        <f>Table1[[#This Row],[Math Score]]+Table1[[#This Row],[Reading Score]]+Table1[[#This Row],[Writing Score]]</f>
        <v>247</v>
      </c>
      <c r="Q744" s="16">
        <f>COUNTIF(Table1[[#This Row],[Math Score]],"&lt;60")+COUNTIF(Table1[[#This Row],[Reading Score]],"&lt;60")+COUNTIF(Table1[[#This Row],[Writing Score]],"&lt;60")</f>
        <v>0</v>
      </c>
      <c r="R744" t="str">
        <f>IF(Table1[[#This Row],[Fail Count]]&gt;=2,"At risk","OK")</f>
        <v>OK</v>
      </c>
    </row>
    <row r="745" spans="1:18">
      <c r="A745" t="str">
        <f t="shared" si="11"/>
        <v>Stu-744</v>
      </c>
      <c r="B745" t="s">
        <v>11</v>
      </c>
      <c r="C745" t="s">
        <v>19</v>
      </c>
      <c r="D745" t="s">
        <v>29</v>
      </c>
      <c r="E745" t="s">
        <v>14</v>
      </c>
      <c r="F745" t="s">
        <v>21</v>
      </c>
      <c r="G745" s="16">
        <v>59</v>
      </c>
      <c r="H745">
        <f>RANK(G745,$G$2:$G$1001,0)+COUNTIF($G$2:G745,G745)-1</f>
        <v>702</v>
      </c>
      <c r="I745" t="str">
        <f>INDEX('Boundary table'!$B$3:$B$7,MATCH(G745,'Boundary table'!$A$3:$A$7,1))</f>
        <v>F</v>
      </c>
      <c r="J745" s="16">
        <v>73</v>
      </c>
      <c r="K745">
        <f>RANK(J745,$J$2:$J$1001,0)+COUNTIF($J$2:J745,J745)-1</f>
        <v>428</v>
      </c>
      <c r="L745" t="str">
        <f>INDEX('Boundary table'!$B$3:$B$7,MATCH(J745,'Boundary table'!$A$3:$A$7,1))</f>
        <v>C</v>
      </c>
      <c r="M745" s="16">
        <v>72</v>
      </c>
      <c r="N745">
        <f>RANK(M745,$M$2:$M$1001,0)+COUNTIF($M$2:M745,M745)-1</f>
        <v>429</v>
      </c>
      <c r="O745" t="str">
        <f>INDEX('Boundary table'!$B$3:$B$7,MATCH(M745,'Boundary table'!$A$3:$A$7))</f>
        <v>C</v>
      </c>
      <c r="P745">
        <f>Table1[[#This Row],[Math Score]]+Table1[[#This Row],[Reading Score]]+Table1[[#This Row],[Writing Score]]</f>
        <v>204</v>
      </c>
      <c r="Q745" s="16">
        <f>COUNTIF(Table1[[#This Row],[Math Score]],"&lt;60")+COUNTIF(Table1[[#This Row],[Reading Score]],"&lt;60")+COUNTIF(Table1[[#This Row],[Writing Score]],"&lt;60")</f>
        <v>1</v>
      </c>
      <c r="R745" t="str">
        <f>IF(Table1[[#This Row],[Fail Count]]&gt;=2,"At risk","OK")</f>
        <v>OK</v>
      </c>
    </row>
    <row r="746" spans="1:18">
      <c r="A746" t="str">
        <f t="shared" si="11"/>
        <v>Stu-745</v>
      </c>
      <c r="B746" t="s">
        <v>27</v>
      </c>
      <c r="C746" t="s">
        <v>12</v>
      </c>
      <c r="D746" t="s">
        <v>20</v>
      </c>
      <c r="E746" t="s">
        <v>30</v>
      </c>
      <c r="F746" t="s">
        <v>15</v>
      </c>
      <c r="G746" s="16">
        <v>55</v>
      </c>
      <c r="H746">
        <f>RANK(G746,$G$2:$G$1001,0)+COUNTIF($G$2:G746,G746)-1</f>
        <v>775</v>
      </c>
      <c r="I746" t="str">
        <f>INDEX('Boundary table'!$B$3:$B$7,MATCH(G746,'Boundary table'!$A$3:$A$7,1))</f>
        <v>F</v>
      </c>
      <c r="J746" s="16">
        <v>55</v>
      </c>
      <c r="K746">
        <f>RANK(J746,$J$2:$J$1001,0)+COUNTIF($J$2:J746,J746)-1</f>
        <v>837</v>
      </c>
      <c r="L746" t="str">
        <f>INDEX('Boundary table'!$B$3:$B$7,MATCH(J746,'Boundary table'!$A$3:$A$7,1))</f>
        <v>F</v>
      </c>
      <c r="M746" s="16">
        <v>47</v>
      </c>
      <c r="N746">
        <f>RANK(M746,$M$2:$M$1001,0)+COUNTIF($M$2:M746,M746)-1</f>
        <v>912</v>
      </c>
      <c r="O746" t="str">
        <f>INDEX('Boundary table'!$B$3:$B$7,MATCH(M746,'Boundary table'!$A$3:$A$7))</f>
        <v>F</v>
      </c>
      <c r="P746">
        <f>Table1[[#This Row],[Math Score]]+Table1[[#This Row],[Reading Score]]+Table1[[#This Row],[Writing Score]]</f>
        <v>157</v>
      </c>
      <c r="Q746" s="16">
        <f>COUNTIF(Table1[[#This Row],[Math Score]],"&lt;60")+COUNTIF(Table1[[#This Row],[Reading Score]],"&lt;60")+COUNTIF(Table1[[#This Row],[Writing Score]],"&lt;60")</f>
        <v>3</v>
      </c>
      <c r="R746" t="str">
        <f>IF(Table1[[#This Row],[Fail Count]]&gt;=2,"At risk","OK")</f>
        <v>At risk</v>
      </c>
    </row>
    <row r="747" spans="1:18">
      <c r="A747" t="str">
        <f t="shared" si="11"/>
        <v>Stu-746</v>
      </c>
      <c r="B747" t="s">
        <v>27</v>
      </c>
      <c r="C747" t="s">
        <v>31</v>
      </c>
      <c r="D747" t="s">
        <v>29</v>
      </c>
      <c r="E747" t="s">
        <v>14</v>
      </c>
      <c r="F747" t="s">
        <v>15</v>
      </c>
      <c r="G747" s="16">
        <v>72</v>
      </c>
      <c r="H747">
        <f>RANK(G747,$G$2:$G$1001,0)+COUNTIF($G$2:G747,G747)-1</f>
        <v>358</v>
      </c>
      <c r="I747" t="str">
        <f>INDEX('Boundary table'!$B$3:$B$7,MATCH(G747,'Boundary table'!$A$3:$A$7,1))</f>
        <v>C</v>
      </c>
      <c r="J747" s="16">
        <v>79</v>
      </c>
      <c r="K747">
        <f>RANK(J747,$J$2:$J$1001,0)+COUNTIF($J$2:J747,J747)-1</f>
        <v>265</v>
      </c>
      <c r="L747" t="str">
        <f>INDEX('Boundary table'!$B$3:$B$7,MATCH(J747,'Boundary table'!$A$3:$A$7,1))</f>
        <v>C</v>
      </c>
      <c r="M747" s="16">
        <v>74</v>
      </c>
      <c r="N747">
        <f>RANK(M747,$M$2:$M$1001,0)+COUNTIF($M$2:M747,M747)-1</f>
        <v>377</v>
      </c>
      <c r="O747" t="str">
        <f>INDEX('Boundary table'!$B$3:$B$7,MATCH(M747,'Boundary table'!$A$3:$A$7))</f>
        <v>C</v>
      </c>
      <c r="P747">
        <f>Table1[[#This Row],[Math Score]]+Table1[[#This Row],[Reading Score]]+Table1[[#This Row],[Writing Score]]</f>
        <v>225</v>
      </c>
      <c r="Q747" s="16">
        <f>COUNTIF(Table1[[#This Row],[Math Score]],"&lt;60")+COUNTIF(Table1[[#This Row],[Reading Score]],"&lt;60")+COUNTIF(Table1[[#This Row],[Writing Score]],"&lt;60")</f>
        <v>0</v>
      </c>
      <c r="R747" t="str">
        <f>IF(Table1[[#This Row],[Fail Count]]&gt;=2,"At risk","OK")</f>
        <v>OK</v>
      </c>
    </row>
    <row r="748" spans="1:18">
      <c r="A748" t="str">
        <f t="shared" si="11"/>
        <v>Stu-747</v>
      </c>
      <c r="B748" t="s">
        <v>27</v>
      </c>
      <c r="C748" t="s">
        <v>31</v>
      </c>
      <c r="D748" t="s">
        <v>32</v>
      </c>
      <c r="E748" t="s">
        <v>14</v>
      </c>
      <c r="F748" t="s">
        <v>15</v>
      </c>
      <c r="G748" s="16">
        <v>69</v>
      </c>
      <c r="H748">
        <f>RANK(G748,$G$2:$G$1001,0)+COUNTIF($G$2:G748,G748)-1</f>
        <v>434</v>
      </c>
      <c r="I748" t="str">
        <f>INDEX('Boundary table'!$B$3:$B$7,MATCH(G748,'Boundary table'!$A$3:$A$7,1))</f>
        <v>D</v>
      </c>
      <c r="J748" s="16">
        <v>75</v>
      </c>
      <c r="K748">
        <f>RANK(J748,$J$2:$J$1001,0)+COUNTIF($J$2:J748,J748)-1</f>
        <v>362</v>
      </c>
      <c r="L748" t="str">
        <f>INDEX('Boundary table'!$B$3:$B$7,MATCH(J748,'Boundary table'!$A$3:$A$7,1))</f>
        <v>C</v>
      </c>
      <c r="M748" s="16">
        <v>71</v>
      </c>
      <c r="N748">
        <f>RANK(M748,$M$2:$M$1001,0)+COUNTIF($M$2:M748,M748)-1</f>
        <v>452</v>
      </c>
      <c r="O748" t="str">
        <f>INDEX('Boundary table'!$B$3:$B$7,MATCH(M748,'Boundary table'!$A$3:$A$7))</f>
        <v>C</v>
      </c>
      <c r="P748">
        <f>Table1[[#This Row],[Math Score]]+Table1[[#This Row],[Reading Score]]+Table1[[#This Row],[Writing Score]]</f>
        <v>215</v>
      </c>
      <c r="Q748" s="16">
        <f>COUNTIF(Table1[[#This Row],[Math Score]],"&lt;60")+COUNTIF(Table1[[#This Row],[Reading Score]],"&lt;60")+COUNTIF(Table1[[#This Row],[Writing Score]],"&lt;60")</f>
        <v>0</v>
      </c>
      <c r="R748" t="str">
        <f>IF(Table1[[#This Row],[Fail Count]]&gt;=2,"At risk","OK")</f>
        <v>OK</v>
      </c>
    </row>
    <row r="749" spans="1:18">
      <c r="A749" t="str">
        <f t="shared" si="11"/>
        <v>Stu-748</v>
      </c>
      <c r="B749" t="s">
        <v>27</v>
      </c>
      <c r="C749" t="s">
        <v>19</v>
      </c>
      <c r="D749" t="s">
        <v>20</v>
      </c>
      <c r="E749" t="s">
        <v>14</v>
      </c>
      <c r="F749" t="s">
        <v>15</v>
      </c>
      <c r="G749" s="16">
        <v>69</v>
      </c>
      <c r="H749">
        <f>RANK(G749,$G$2:$G$1001,0)+COUNTIF($G$2:G749,G749)-1</f>
        <v>435</v>
      </c>
      <c r="I749" t="str">
        <f>INDEX('Boundary table'!$B$3:$B$7,MATCH(G749,'Boundary table'!$A$3:$A$7,1))</f>
        <v>D</v>
      </c>
      <c r="J749" s="16">
        <v>64</v>
      </c>
      <c r="K749">
        <f>RANK(J749,$J$2:$J$1001,0)+COUNTIF($J$2:J749,J749)-1</f>
        <v>651</v>
      </c>
      <c r="L749" t="str">
        <f>INDEX('Boundary table'!$B$3:$B$7,MATCH(J749,'Boundary table'!$A$3:$A$7,1))</f>
        <v>D</v>
      </c>
      <c r="M749" s="16">
        <v>68</v>
      </c>
      <c r="N749">
        <f>RANK(M749,$M$2:$M$1001,0)+COUNTIF($M$2:M749,M749)-1</f>
        <v>539</v>
      </c>
      <c r="O749" t="str">
        <f>INDEX('Boundary table'!$B$3:$B$7,MATCH(M749,'Boundary table'!$A$3:$A$7))</f>
        <v>D</v>
      </c>
      <c r="P749">
        <f>Table1[[#This Row],[Math Score]]+Table1[[#This Row],[Reading Score]]+Table1[[#This Row],[Writing Score]]</f>
        <v>201</v>
      </c>
      <c r="Q749" s="16">
        <f>COUNTIF(Table1[[#This Row],[Math Score]],"&lt;60")+COUNTIF(Table1[[#This Row],[Reading Score]],"&lt;60")+COUNTIF(Table1[[#This Row],[Writing Score]],"&lt;60")</f>
        <v>0</v>
      </c>
      <c r="R749" t="str">
        <f>IF(Table1[[#This Row],[Fail Count]]&gt;=2,"At risk","OK")</f>
        <v>OK</v>
      </c>
    </row>
    <row r="750" spans="1:18">
      <c r="A750" t="str">
        <f t="shared" si="11"/>
        <v>Stu-749</v>
      </c>
      <c r="B750" t="s">
        <v>11</v>
      </c>
      <c r="C750" t="s">
        <v>19</v>
      </c>
      <c r="D750" t="s">
        <v>13</v>
      </c>
      <c r="E750" t="s">
        <v>30</v>
      </c>
      <c r="F750" t="s">
        <v>15</v>
      </c>
      <c r="G750" s="16">
        <v>50</v>
      </c>
      <c r="H750">
        <f>RANK(G750,$G$2:$G$1001,0)+COUNTIF($G$2:G750,G750)-1</f>
        <v>863</v>
      </c>
      <c r="I750" t="str">
        <f>INDEX('Boundary table'!$B$3:$B$7,MATCH(G750,'Boundary table'!$A$3:$A$7,1))</f>
        <v>F</v>
      </c>
      <c r="J750" s="16">
        <v>60</v>
      </c>
      <c r="K750">
        <f>RANK(J750,$J$2:$J$1001,0)+COUNTIF($J$2:J750,J750)-1</f>
        <v>742</v>
      </c>
      <c r="L750" t="str">
        <f>INDEX('Boundary table'!$B$3:$B$7,MATCH(J750,'Boundary table'!$A$3:$A$7,1))</f>
        <v>D</v>
      </c>
      <c r="M750" s="16">
        <v>59</v>
      </c>
      <c r="N750">
        <f>RANK(M750,$M$2:$M$1001,0)+COUNTIF($M$2:M750,M750)-1</f>
        <v>729</v>
      </c>
      <c r="O750" t="str">
        <f>INDEX('Boundary table'!$B$3:$B$7,MATCH(M750,'Boundary table'!$A$3:$A$7))</f>
        <v>F</v>
      </c>
      <c r="P750">
        <f>Table1[[#This Row],[Math Score]]+Table1[[#This Row],[Reading Score]]+Table1[[#This Row],[Writing Score]]</f>
        <v>169</v>
      </c>
      <c r="Q750" s="16">
        <f>COUNTIF(Table1[[#This Row],[Math Score]],"&lt;60")+COUNTIF(Table1[[#This Row],[Reading Score]],"&lt;60")+COUNTIF(Table1[[#This Row],[Writing Score]],"&lt;60")</f>
        <v>2</v>
      </c>
      <c r="R750" t="str">
        <f>IF(Table1[[#This Row],[Fail Count]]&gt;=2,"At risk","OK")</f>
        <v>At risk</v>
      </c>
    </row>
    <row r="751" spans="1:18">
      <c r="A751" t="str">
        <f t="shared" si="11"/>
        <v>Stu-750</v>
      </c>
      <c r="B751" t="s">
        <v>27</v>
      </c>
      <c r="C751" t="s">
        <v>12</v>
      </c>
      <c r="D751" t="s">
        <v>20</v>
      </c>
      <c r="E751" t="s">
        <v>14</v>
      </c>
      <c r="F751" t="s">
        <v>21</v>
      </c>
      <c r="G751" s="16">
        <v>87</v>
      </c>
      <c r="H751">
        <f>RANK(G751,$G$2:$G$1001,0)+COUNTIF($G$2:G751,G751)-1</f>
        <v>91</v>
      </c>
      <c r="I751" t="str">
        <f>INDEX('Boundary table'!$B$3:$B$7,MATCH(G751,'Boundary table'!$A$3:$A$7,1))</f>
        <v>B</v>
      </c>
      <c r="J751" s="16">
        <v>84</v>
      </c>
      <c r="K751">
        <f>RANK(J751,$J$2:$J$1001,0)+COUNTIF($J$2:J751,J751)-1</f>
        <v>167</v>
      </c>
      <c r="L751" t="str">
        <f>INDEX('Boundary table'!$B$3:$B$7,MATCH(J751,'Boundary table'!$A$3:$A$7,1))</f>
        <v>B</v>
      </c>
      <c r="M751" s="16">
        <v>86</v>
      </c>
      <c r="N751">
        <f>RANK(M751,$M$2:$M$1001,0)+COUNTIF($M$2:M751,M751)-1</f>
        <v>118</v>
      </c>
      <c r="O751" t="str">
        <f>INDEX('Boundary table'!$B$3:$B$7,MATCH(M751,'Boundary table'!$A$3:$A$7))</f>
        <v>B</v>
      </c>
      <c r="P751">
        <f>Table1[[#This Row],[Math Score]]+Table1[[#This Row],[Reading Score]]+Table1[[#This Row],[Writing Score]]</f>
        <v>257</v>
      </c>
      <c r="Q751" s="16">
        <f>COUNTIF(Table1[[#This Row],[Math Score]],"&lt;60")+COUNTIF(Table1[[#This Row],[Reading Score]],"&lt;60")+COUNTIF(Table1[[#This Row],[Writing Score]],"&lt;60")</f>
        <v>0</v>
      </c>
      <c r="R751" t="str">
        <f>IF(Table1[[#This Row],[Fail Count]]&gt;=2,"At risk","OK")</f>
        <v>OK</v>
      </c>
    </row>
    <row r="752" spans="1:18">
      <c r="A752" t="str">
        <f t="shared" si="11"/>
        <v>Stu-751</v>
      </c>
      <c r="B752" t="s">
        <v>27</v>
      </c>
      <c r="C752" t="s">
        <v>31</v>
      </c>
      <c r="D752" t="s">
        <v>33</v>
      </c>
      <c r="E752" t="s">
        <v>14</v>
      </c>
      <c r="F752" t="s">
        <v>21</v>
      </c>
      <c r="G752" s="16">
        <v>71</v>
      </c>
      <c r="H752">
        <f>RANK(G752,$G$2:$G$1001,0)+COUNTIF($G$2:G752,G752)-1</f>
        <v>387</v>
      </c>
      <c r="I752" t="str">
        <f>INDEX('Boundary table'!$B$3:$B$7,MATCH(G752,'Boundary table'!$A$3:$A$7,1))</f>
        <v>C</v>
      </c>
      <c r="J752" s="16">
        <v>69</v>
      </c>
      <c r="K752">
        <f>RANK(J752,$J$2:$J$1001,0)+COUNTIF($J$2:J752,J752)-1</f>
        <v>526</v>
      </c>
      <c r="L752" t="str">
        <f>INDEX('Boundary table'!$B$3:$B$7,MATCH(J752,'Boundary table'!$A$3:$A$7,1))</f>
        <v>D</v>
      </c>
      <c r="M752" s="16">
        <v>68</v>
      </c>
      <c r="N752">
        <f>RANK(M752,$M$2:$M$1001,0)+COUNTIF($M$2:M752,M752)-1</f>
        <v>540</v>
      </c>
      <c r="O752" t="str">
        <f>INDEX('Boundary table'!$B$3:$B$7,MATCH(M752,'Boundary table'!$A$3:$A$7))</f>
        <v>D</v>
      </c>
      <c r="P752">
        <f>Table1[[#This Row],[Math Score]]+Table1[[#This Row],[Reading Score]]+Table1[[#This Row],[Writing Score]]</f>
        <v>208</v>
      </c>
      <c r="Q752" s="16">
        <f>COUNTIF(Table1[[#This Row],[Math Score]],"&lt;60")+COUNTIF(Table1[[#This Row],[Reading Score]],"&lt;60")+COUNTIF(Table1[[#This Row],[Writing Score]],"&lt;60")</f>
        <v>0</v>
      </c>
      <c r="R752" t="str">
        <f>IF(Table1[[#This Row],[Fail Count]]&gt;=2,"At risk","OK")</f>
        <v>OK</v>
      </c>
    </row>
    <row r="753" spans="1:18">
      <c r="A753" t="str">
        <f t="shared" si="11"/>
        <v>Stu-752</v>
      </c>
      <c r="B753" t="s">
        <v>27</v>
      </c>
      <c r="C753" t="s">
        <v>34</v>
      </c>
      <c r="D753" t="s">
        <v>20</v>
      </c>
      <c r="E753" t="s">
        <v>14</v>
      </c>
      <c r="F753" t="s">
        <v>15</v>
      </c>
      <c r="G753" s="16">
        <v>68</v>
      </c>
      <c r="H753">
        <f>RANK(G753,$G$2:$G$1001,0)+COUNTIF($G$2:G753,G753)-1</f>
        <v>461</v>
      </c>
      <c r="I753" t="str">
        <f>INDEX('Boundary table'!$B$3:$B$7,MATCH(G753,'Boundary table'!$A$3:$A$7,1))</f>
        <v>D</v>
      </c>
      <c r="J753" s="16">
        <v>72</v>
      </c>
      <c r="K753">
        <f>RANK(J753,$J$2:$J$1001,0)+COUNTIF($J$2:J753,J753)-1</f>
        <v>457</v>
      </c>
      <c r="L753" t="str">
        <f>INDEX('Boundary table'!$B$3:$B$7,MATCH(J753,'Boundary table'!$A$3:$A$7,1))</f>
        <v>C</v>
      </c>
      <c r="M753" s="16">
        <v>65</v>
      </c>
      <c r="N753">
        <f>RANK(M753,$M$2:$M$1001,0)+COUNTIF($M$2:M753,M753)-1</f>
        <v>610</v>
      </c>
      <c r="O753" t="str">
        <f>INDEX('Boundary table'!$B$3:$B$7,MATCH(M753,'Boundary table'!$A$3:$A$7))</f>
        <v>D</v>
      </c>
      <c r="P753">
        <f>Table1[[#This Row],[Math Score]]+Table1[[#This Row],[Reading Score]]+Table1[[#This Row],[Writing Score]]</f>
        <v>205</v>
      </c>
      <c r="Q753" s="16">
        <f>COUNTIF(Table1[[#This Row],[Math Score]],"&lt;60")+COUNTIF(Table1[[#This Row],[Reading Score]],"&lt;60")+COUNTIF(Table1[[#This Row],[Writing Score]],"&lt;60")</f>
        <v>0</v>
      </c>
      <c r="R753" t="str">
        <f>IF(Table1[[#This Row],[Fail Count]]&gt;=2,"At risk","OK")</f>
        <v>OK</v>
      </c>
    </row>
    <row r="754" spans="1:18">
      <c r="A754" t="str">
        <f t="shared" si="11"/>
        <v>Stu-753</v>
      </c>
      <c r="B754" t="s">
        <v>27</v>
      </c>
      <c r="C754" t="s">
        <v>19</v>
      </c>
      <c r="D754" t="s">
        <v>26</v>
      </c>
      <c r="E754" t="s">
        <v>30</v>
      </c>
      <c r="F754" t="s">
        <v>21</v>
      </c>
      <c r="G754" s="16">
        <v>79</v>
      </c>
      <c r="H754">
        <f>RANK(G754,$G$2:$G$1001,0)+COUNTIF($G$2:G754,G754)-1</f>
        <v>213</v>
      </c>
      <c r="I754" t="str">
        <f>INDEX('Boundary table'!$B$3:$B$7,MATCH(G754,'Boundary table'!$A$3:$A$7,1))</f>
        <v>C</v>
      </c>
      <c r="J754" s="16">
        <v>77</v>
      </c>
      <c r="K754">
        <f>RANK(J754,$J$2:$J$1001,0)+COUNTIF($J$2:J754,J754)-1</f>
        <v>313</v>
      </c>
      <c r="L754" t="str">
        <f>INDEX('Boundary table'!$B$3:$B$7,MATCH(J754,'Boundary table'!$A$3:$A$7,1))</f>
        <v>C</v>
      </c>
      <c r="M754" s="16">
        <v>75</v>
      </c>
      <c r="N754">
        <f>RANK(M754,$M$2:$M$1001,0)+COUNTIF($M$2:M754,M754)-1</f>
        <v>345</v>
      </c>
      <c r="O754" t="str">
        <f>INDEX('Boundary table'!$B$3:$B$7,MATCH(M754,'Boundary table'!$A$3:$A$7))</f>
        <v>C</v>
      </c>
      <c r="P754">
        <f>Table1[[#This Row],[Math Score]]+Table1[[#This Row],[Reading Score]]+Table1[[#This Row],[Writing Score]]</f>
        <v>231</v>
      </c>
      <c r="Q754" s="16">
        <f>COUNTIF(Table1[[#This Row],[Math Score]],"&lt;60")+COUNTIF(Table1[[#This Row],[Reading Score]],"&lt;60")+COUNTIF(Table1[[#This Row],[Writing Score]],"&lt;60")</f>
        <v>0</v>
      </c>
      <c r="R754" t="str">
        <f>IF(Table1[[#This Row],[Fail Count]]&gt;=2,"At risk","OK")</f>
        <v>OK</v>
      </c>
    </row>
    <row r="755" spans="1:18">
      <c r="A755" t="str">
        <f t="shared" si="11"/>
        <v>Stu-754</v>
      </c>
      <c r="B755" t="s">
        <v>11</v>
      </c>
      <c r="C755" t="s">
        <v>19</v>
      </c>
      <c r="D755" t="s">
        <v>33</v>
      </c>
      <c r="E755" t="s">
        <v>14</v>
      </c>
      <c r="F755" t="s">
        <v>21</v>
      </c>
      <c r="G755" s="16">
        <v>77</v>
      </c>
      <c r="H755">
        <f>RANK(G755,$G$2:$G$1001,0)+COUNTIF($G$2:G755,G755)-1</f>
        <v>248</v>
      </c>
      <c r="I755" t="str">
        <f>INDEX('Boundary table'!$B$3:$B$7,MATCH(G755,'Boundary table'!$A$3:$A$7,1))</f>
        <v>C</v>
      </c>
      <c r="J755" s="16">
        <v>90</v>
      </c>
      <c r="K755">
        <f>RANK(J755,$J$2:$J$1001,0)+COUNTIF($J$2:J755,J755)-1</f>
        <v>75</v>
      </c>
      <c r="L755" t="str">
        <f>INDEX('Boundary table'!$B$3:$B$7,MATCH(J755,'Boundary table'!$A$3:$A$7,1))</f>
        <v>A</v>
      </c>
      <c r="M755" s="16">
        <v>85</v>
      </c>
      <c r="N755">
        <f>RANK(M755,$M$2:$M$1001,0)+COUNTIF($M$2:M755,M755)-1</f>
        <v>132</v>
      </c>
      <c r="O755" t="str">
        <f>INDEX('Boundary table'!$B$3:$B$7,MATCH(M755,'Boundary table'!$A$3:$A$7))</f>
        <v>B</v>
      </c>
      <c r="P755">
        <f>Table1[[#This Row],[Math Score]]+Table1[[#This Row],[Reading Score]]+Table1[[#This Row],[Writing Score]]</f>
        <v>252</v>
      </c>
      <c r="Q755" s="16">
        <f>COUNTIF(Table1[[#This Row],[Math Score]],"&lt;60")+COUNTIF(Table1[[#This Row],[Reading Score]],"&lt;60")+COUNTIF(Table1[[#This Row],[Writing Score]],"&lt;60")</f>
        <v>0</v>
      </c>
      <c r="R755" t="str">
        <f>IF(Table1[[#This Row],[Fail Count]]&gt;=2,"At risk","OK")</f>
        <v>OK</v>
      </c>
    </row>
    <row r="756" spans="1:18">
      <c r="A756" t="str">
        <f t="shared" si="11"/>
        <v>Stu-755</v>
      </c>
      <c r="B756" t="s">
        <v>27</v>
      </c>
      <c r="C756" t="s">
        <v>19</v>
      </c>
      <c r="D756" t="s">
        <v>29</v>
      </c>
      <c r="E756" t="s">
        <v>30</v>
      </c>
      <c r="F756" t="s">
        <v>15</v>
      </c>
      <c r="G756" s="16">
        <v>58</v>
      </c>
      <c r="H756">
        <f>RANK(G756,$G$2:$G$1001,0)+COUNTIF($G$2:G756,G756)-1</f>
        <v>728</v>
      </c>
      <c r="I756" t="str">
        <f>INDEX('Boundary table'!$B$3:$B$7,MATCH(G756,'Boundary table'!$A$3:$A$7,1))</f>
        <v>F</v>
      </c>
      <c r="J756" s="16">
        <v>55</v>
      </c>
      <c r="K756">
        <f>RANK(J756,$J$2:$J$1001,0)+COUNTIF($J$2:J756,J756)-1</f>
        <v>838</v>
      </c>
      <c r="L756" t="str">
        <f>INDEX('Boundary table'!$B$3:$B$7,MATCH(J756,'Boundary table'!$A$3:$A$7,1))</f>
        <v>F</v>
      </c>
      <c r="M756" s="16">
        <v>53</v>
      </c>
      <c r="N756">
        <f>RANK(M756,$M$2:$M$1001,0)+COUNTIF($M$2:M756,M756)-1</f>
        <v>834</v>
      </c>
      <c r="O756" t="str">
        <f>INDEX('Boundary table'!$B$3:$B$7,MATCH(M756,'Boundary table'!$A$3:$A$7))</f>
        <v>F</v>
      </c>
      <c r="P756">
        <f>Table1[[#This Row],[Math Score]]+Table1[[#This Row],[Reading Score]]+Table1[[#This Row],[Writing Score]]</f>
        <v>166</v>
      </c>
      <c r="Q756" s="16">
        <f>COUNTIF(Table1[[#This Row],[Math Score]],"&lt;60")+COUNTIF(Table1[[#This Row],[Reading Score]],"&lt;60")+COUNTIF(Table1[[#This Row],[Writing Score]],"&lt;60")</f>
        <v>3</v>
      </c>
      <c r="R756" t="str">
        <f>IF(Table1[[#This Row],[Fail Count]]&gt;=2,"At risk","OK")</f>
        <v>At risk</v>
      </c>
    </row>
    <row r="757" spans="1:18">
      <c r="A757" t="str">
        <f t="shared" si="11"/>
        <v>Stu-756</v>
      </c>
      <c r="B757" t="s">
        <v>11</v>
      </c>
      <c r="C757" t="s">
        <v>34</v>
      </c>
      <c r="D757" t="s">
        <v>29</v>
      </c>
      <c r="E757" t="s">
        <v>14</v>
      </c>
      <c r="F757" t="s">
        <v>15</v>
      </c>
      <c r="G757" s="16">
        <v>84</v>
      </c>
      <c r="H757">
        <f>RANK(G757,$G$2:$G$1001,0)+COUNTIF($G$2:G757,G757)-1</f>
        <v>127</v>
      </c>
      <c r="I757" t="str">
        <f>INDEX('Boundary table'!$B$3:$B$7,MATCH(G757,'Boundary table'!$A$3:$A$7,1))</f>
        <v>B</v>
      </c>
      <c r="J757" s="16">
        <v>95</v>
      </c>
      <c r="K757">
        <f>RANK(J757,$J$2:$J$1001,0)+COUNTIF($J$2:J757,J757)-1</f>
        <v>36</v>
      </c>
      <c r="L757" t="str">
        <f>INDEX('Boundary table'!$B$3:$B$7,MATCH(J757,'Boundary table'!$A$3:$A$7,1))</f>
        <v>A</v>
      </c>
      <c r="M757" s="16">
        <v>92</v>
      </c>
      <c r="N757">
        <f>RANK(M757,$M$2:$M$1001,0)+COUNTIF($M$2:M757,M757)-1</f>
        <v>56</v>
      </c>
      <c r="O757" t="str">
        <f>INDEX('Boundary table'!$B$3:$B$7,MATCH(M757,'Boundary table'!$A$3:$A$7))</f>
        <v>A</v>
      </c>
      <c r="P757">
        <f>Table1[[#This Row],[Math Score]]+Table1[[#This Row],[Reading Score]]+Table1[[#This Row],[Writing Score]]</f>
        <v>271</v>
      </c>
      <c r="Q757" s="16">
        <f>COUNTIF(Table1[[#This Row],[Math Score]],"&lt;60")+COUNTIF(Table1[[#This Row],[Reading Score]],"&lt;60")+COUNTIF(Table1[[#This Row],[Writing Score]],"&lt;60")</f>
        <v>0</v>
      </c>
      <c r="R757" t="str">
        <f>IF(Table1[[#This Row],[Fail Count]]&gt;=2,"At risk","OK")</f>
        <v>OK</v>
      </c>
    </row>
    <row r="758" spans="1:18">
      <c r="A758" t="str">
        <f t="shared" si="11"/>
        <v>Stu-757</v>
      </c>
      <c r="B758" t="s">
        <v>27</v>
      </c>
      <c r="C758" t="s">
        <v>31</v>
      </c>
      <c r="D758" t="s">
        <v>20</v>
      </c>
      <c r="E758" t="s">
        <v>14</v>
      </c>
      <c r="F758" t="s">
        <v>15</v>
      </c>
      <c r="G758" s="16">
        <v>55</v>
      </c>
      <c r="H758">
        <f>RANK(G758,$G$2:$G$1001,0)+COUNTIF($G$2:G758,G758)-1</f>
        <v>776</v>
      </c>
      <c r="I758" t="str">
        <f>INDEX('Boundary table'!$B$3:$B$7,MATCH(G758,'Boundary table'!$A$3:$A$7,1))</f>
        <v>F</v>
      </c>
      <c r="J758" s="16">
        <v>58</v>
      </c>
      <c r="K758">
        <f>RANK(J758,$J$2:$J$1001,0)+COUNTIF($J$2:J758,J758)-1</f>
        <v>783</v>
      </c>
      <c r="L758" t="str">
        <f>INDEX('Boundary table'!$B$3:$B$7,MATCH(J758,'Boundary table'!$A$3:$A$7,1))</f>
        <v>F</v>
      </c>
      <c r="M758" s="16">
        <v>52</v>
      </c>
      <c r="N758">
        <f>RANK(M758,$M$2:$M$1001,0)+COUNTIF($M$2:M758,M758)-1</f>
        <v>854</v>
      </c>
      <c r="O758" t="str">
        <f>INDEX('Boundary table'!$B$3:$B$7,MATCH(M758,'Boundary table'!$A$3:$A$7))</f>
        <v>F</v>
      </c>
      <c r="P758">
        <f>Table1[[#This Row],[Math Score]]+Table1[[#This Row],[Reading Score]]+Table1[[#This Row],[Writing Score]]</f>
        <v>165</v>
      </c>
      <c r="Q758" s="16">
        <f>COUNTIF(Table1[[#This Row],[Math Score]],"&lt;60")+COUNTIF(Table1[[#This Row],[Reading Score]],"&lt;60")+COUNTIF(Table1[[#This Row],[Writing Score]],"&lt;60")</f>
        <v>3</v>
      </c>
      <c r="R758" t="str">
        <f>IF(Table1[[#This Row],[Fail Count]]&gt;=2,"At risk","OK")</f>
        <v>At risk</v>
      </c>
    </row>
    <row r="759" spans="1:18">
      <c r="A759" t="str">
        <f t="shared" si="11"/>
        <v>Stu-758</v>
      </c>
      <c r="B759" t="s">
        <v>27</v>
      </c>
      <c r="C759" t="s">
        <v>34</v>
      </c>
      <c r="D759" t="s">
        <v>13</v>
      </c>
      <c r="E759" t="s">
        <v>30</v>
      </c>
      <c r="F759" t="s">
        <v>21</v>
      </c>
      <c r="G759" s="16">
        <v>70</v>
      </c>
      <c r="H759">
        <f>RANK(G759,$G$2:$G$1001,0)+COUNTIF($G$2:G759,G759)-1</f>
        <v>403</v>
      </c>
      <c r="I759" t="str">
        <f>INDEX('Boundary table'!$B$3:$B$7,MATCH(G759,'Boundary table'!$A$3:$A$7,1))</f>
        <v>C</v>
      </c>
      <c r="J759" s="16">
        <v>68</v>
      </c>
      <c r="K759">
        <f>RANK(J759,$J$2:$J$1001,0)+COUNTIF($J$2:J759,J759)-1</f>
        <v>544</v>
      </c>
      <c r="L759" t="str">
        <f>INDEX('Boundary table'!$B$3:$B$7,MATCH(J759,'Boundary table'!$A$3:$A$7,1))</f>
        <v>D</v>
      </c>
      <c r="M759" s="16">
        <v>72</v>
      </c>
      <c r="N759">
        <f>RANK(M759,$M$2:$M$1001,0)+COUNTIF($M$2:M759,M759)-1</f>
        <v>430</v>
      </c>
      <c r="O759" t="str">
        <f>INDEX('Boundary table'!$B$3:$B$7,MATCH(M759,'Boundary table'!$A$3:$A$7))</f>
        <v>C</v>
      </c>
      <c r="P759">
        <f>Table1[[#This Row],[Math Score]]+Table1[[#This Row],[Reading Score]]+Table1[[#This Row],[Writing Score]]</f>
        <v>210</v>
      </c>
      <c r="Q759" s="16">
        <f>COUNTIF(Table1[[#This Row],[Math Score]],"&lt;60")+COUNTIF(Table1[[#This Row],[Reading Score]],"&lt;60")+COUNTIF(Table1[[#This Row],[Writing Score]],"&lt;60")</f>
        <v>0</v>
      </c>
      <c r="R759" t="str">
        <f>IF(Table1[[#This Row],[Fail Count]]&gt;=2,"At risk","OK")</f>
        <v>OK</v>
      </c>
    </row>
    <row r="760" spans="1:18">
      <c r="A760" t="str">
        <f t="shared" si="11"/>
        <v>Stu-759</v>
      </c>
      <c r="B760" t="s">
        <v>11</v>
      </c>
      <c r="C760" t="s">
        <v>31</v>
      </c>
      <c r="D760" t="s">
        <v>20</v>
      </c>
      <c r="E760" t="s">
        <v>30</v>
      </c>
      <c r="F760" t="s">
        <v>21</v>
      </c>
      <c r="G760" s="16">
        <v>52</v>
      </c>
      <c r="H760">
        <f>RANK(G760,$G$2:$G$1001,0)+COUNTIF($G$2:G760,G760)-1</f>
        <v>832</v>
      </c>
      <c r="I760" t="str">
        <f>INDEX('Boundary table'!$B$3:$B$7,MATCH(G760,'Boundary table'!$A$3:$A$7,1))</f>
        <v>F</v>
      </c>
      <c r="J760" s="16">
        <v>59</v>
      </c>
      <c r="K760">
        <f>RANK(J760,$J$2:$J$1001,0)+COUNTIF($J$2:J760,J760)-1</f>
        <v>760</v>
      </c>
      <c r="L760" t="str">
        <f>INDEX('Boundary table'!$B$3:$B$7,MATCH(J760,'Boundary table'!$A$3:$A$7,1))</f>
        <v>F</v>
      </c>
      <c r="M760" s="16">
        <v>65</v>
      </c>
      <c r="N760">
        <f>RANK(M760,$M$2:$M$1001,0)+COUNTIF($M$2:M760,M760)-1</f>
        <v>611</v>
      </c>
      <c r="O760" t="str">
        <f>INDEX('Boundary table'!$B$3:$B$7,MATCH(M760,'Boundary table'!$A$3:$A$7))</f>
        <v>D</v>
      </c>
      <c r="P760">
        <f>Table1[[#This Row],[Math Score]]+Table1[[#This Row],[Reading Score]]+Table1[[#This Row],[Writing Score]]</f>
        <v>176</v>
      </c>
      <c r="Q760" s="16">
        <f>COUNTIF(Table1[[#This Row],[Math Score]],"&lt;60")+COUNTIF(Table1[[#This Row],[Reading Score]],"&lt;60")+COUNTIF(Table1[[#This Row],[Writing Score]],"&lt;60")</f>
        <v>2</v>
      </c>
      <c r="R760" t="str">
        <f>IF(Table1[[#This Row],[Fail Count]]&gt;=2,"At risk","OK")</f>
        <v>At risk</v>
      </c>
    </row>
    <row r="761" spans="1:18">
      <c r="A761" t="str">
        <f t="shared" si="11"/>
        <v>Stu-760</v>
      </c>
      <c r="B761" t="s">
        <v>27</v>
      </c>
      <c r="C761" t="s">
        <v>12</v>
      </c>
      <c r="D761" t="s">
        <v>20</v>
      </c>
      <c r="E761" t="s">
        <v>14</v>
      </c>
      <c r="F761" t="s">
        <v>21</v>
      </c>
      <c r="G761" s="16">
        <v>69</v>
      </c>
      <c r="H761">
        <f>RANK(G761,$G$2:$G$1001,0)+COUNTIF($G$2:G761,G761)-1</f>
        <v>436</v>
      </c>
      <c r="I761" t="str">
        <f>INDEX('Boundary table'!$B$3:$B$7,MATCH(G761,'Boundary table'!$A$3:$A$7,1))</f>
        <v>D</v>
      </c>
      <c r="J761" s="16">
        <v>77</v>
      </c>
      <c r="K761">
        <f>RANK(J761,$J$2:$J$1001,0)+COUNTIF($J$2:J761,J761)-1</f>
        <v>314</v>
      </c>
      <c r="L761" t="str">
        <f>INDEX('Boundary table'!$B$3:$B$7,MATCH(J761,'Boundary table'!$A$3:$A$7,1))</f>
        <v>C</v>
      </c>
      <c r="M761" s="16">
        <v>77</v>
      </c>
      <c r="N761">
        <f>RANK(M761,$M$2:$M$1001,0)+COUNTIF($M$2:M761,M761)-1</f>
        <v>297</v>
      </c>
      <c r="O761" t="str">
        <f>INDEX('Boundary table'!$B$3:$B$7,MATCH(M761,'Boundary table'!$A$3:$A$7))</f>
        <v>C</v>
      </c>
      <c r="P761">
        <f>Table1[[#This Row],[Math Score]]+Table1[[#This Row],[Reading Score]]+Table1[[#This Row],[Writing Score]]</f>
        <v>223</v>
      </c>
      <c r="Q761" s="16">
        <f>COUNTIF(Table1[[#This Row],[Math Score]],"&lt;60")+COUNTIF(Table1[[#This Row],[Reading Score]],"&lt;60")+COUNTIF(Table1[[#This Row],[Writing Score]],"&lt;60")</f>
        <v>0</v>
      </c>
      <c r="R761" t="str">
        <f>IF(Table1[[#This Row],[Fail Count]]&gt;=2,"At risk","OK")</f>
        <v>OK</v>
      </c>
    </row>
    <row r="762" spans="1:18">
      <c r="A762" t="str">
        <f t="shared" si="11"/>
        <v>Stu-761</v>
      </c>
      <c r="B762" t="s">
        <v>11</v>
      </c>
      <c r="C762" t="s">
        <v>19</v>
      </c>
      <c r="D762" t="s">
        <v>32</v>
      </c>
      <c r="E762" t="s">
        <v>30</v>
      </c>
      <c r="F762" t="s">
        <v>15</v>
      </c>
      <c r="G762" s="16">
        <v>53</v>
      </c>
      <c r="H762">
        <f>RANK(G762,$G$2:$G$1001,0)+COUNTIF($G$2:G762,G762)-1</f>
        <v>819</v>
      </c>
      <c r="I762" t="str">
        <f>INDEX('Boundary table'!$B$3:$B$7,MATCH(G762,'Boundary table'!$A$3:$A$7,1))</f>
        <v>F</v>
      </c>
      <c r="J762" s="16">
        <v>72</v>
      </c>
      <c r="K762">
        <f>RANK(J762,$J$2:$J$1001,0)+COUNTIF($J$2:J762,J762)-1</f>
        <v>458</v>
      </c>
      <c r="L762" t="str">
        <f>INDEX('Boundary table'!$B$3:$B$7,MATCH(J762,'Boundary table'!$A$3:$A$7,1))</f>
        <v>C</v>
      </c>
      <c r="M762" s="16">
        <v>64</v>
      </c>
      <c r="N762">
        <f>RANK(M762,$M$2:$M$1001,0)+COUNTIF($M$2:M762,M762)-1</f>
        <v>631</v>
      </c>
      <c r="O762" t="str">
        <f>INDEX('Boundary table'!$B$3:$B$7,MATCH(M762,'Boundary table'!$A$3:$A$7))</f>
        <v>D</v>
      </c>
      <c r="P762">
        <f>Table1[[#This Row],[Math Score]]+Table1[[#This Row],[Reading Score]]+Table1[[#This Row],[Writing Score]]</f>
        <v>189</v>
      </c>
      <c r="Q762" s="16">
        <f>COUNTIF(Table1[[#This Row],[Math Score]],"&lt;60")+COUNTIF(Table1[[#This Row],[Reading Score]],"&lt;60")+COUNTIF(Table1[[#This Row],[Writing Score]],"&lt;60")</f>
        <v>1</v>
      </c>
      <c r="R762" t="str">
        <f>IF(Table1[[#This Row],[Fail Count]]&gt;=2,"At risk","OK")</f>
        <v>OK</v>
      </c>
    </row>
    <row r="763" spans="1:18">
      <c r="A763" t="str">
        <f t="shared" si="11"/>
        <v>Stu-762</v>
      </c>
      <c r="B763" t="s">
        <v>11</v>
      </c>
      <c r="C763" t="s">
        <v>31</v>
      </c>
      <c r="D763" t="s">
        <v>33</v>
      </c>
      <c r="E763" t="s">
        <v>14</v>
      </c>
      <c r="F763" t="s">
        <v>15</v>
      </c>
      <c r="G763" s="16">
        <v>48</v>
      </c>
      <c r="H763">
        <f>RANK(G763,$G$2:$G$1001,0)+COUNTIF($G$2:G763,G763)-1</f>
        <v>889</v>
      </c>
      <c r="I763" t="str">
        <f>INDEX('Boundary table'!$B$3:$B$7,MATCH(G763,'Boundary table'!$A$3:$A$7,1))</f>
        <v>F</v>
      </c>
      <c r="J763" s="16">
        <v>58</v>
      </c>
      <c r="K763">
        <f>RANK(J763,$J$2:$J$1001,0)+COUNTIF($J$2:J763,J763)-1</f>
        <v>784</v>
      </c>
      <c r="L763" t="str">
        <f>INDEX('Boundary table'!$B$3:$B$7,MATCH(J763,'Boundary table'!$A$3:$A$7,1))</f>
        <v>F</v>
      </c>
      <c r="M763" s="16">
        <v>54</v>
      </c>
      <c r="N763">
        <f>RANK(M763,$M$2:$M$1001,0)+COUNTIF($M$2:M763,M763)-1</f>
        <v>817</v>
      </c>
      <c r="O763" t="str">
        <f>INDEX('Boundary table'!$B$3:$B$7,MATCH(M763,'Boundary table'!$A$3:$A$7))</f>
        <v>F</v>
      </c>
      <c r="P763">
        <f>Table1[[#This Row],[Math Score]]+Table1[[#This Row],[Reading Score]]+Table1[[#This Row],[Writing Score]]</f>
        <v>160</v>
      </c>
      <c r="Q763" s="16">
        <f>COUNTIF(Table1[[#This Row],[Math Score]],"&lt;60")+COUNTIF(Table1[[#This Row],[Reading Score]],"&lt;60")+COUNTIF(Table1[[#This Row],[Writing Score]],"&lt;60")</f>
        <v>3</v>
      </c>
      <c r="R763" t="str">
        <f>IF(Table1[[#This Row],[Fail Count]]&gt;=2,"At risk","OK")</f>
        <v>At risk</v>
      </c>
    </row>
    <row r="764" spans="1:18">
      <c r="A764" t="str">
        <f t="shared" si="11"/>
        <v>Stu-763</v>
      </c>
      <c r="B764" t="s">
        <v>27</v>
      </c>
      <c r="C764" t="s">
        <v>31</v>
      </c>
      <c r="D764" t="s">
        <v>33</v>
      </c>
      <c r="E764" t="s">
        <v>14</v>
      </c>
      <c r="F764" t="s">
        <v>21</v>
      </c>
      <c r="G764" s="16">
        <v>78</v>
      </c>
      <c r="H764">
        <f>RANK(G764,$G$2:$G$1001,0)+COUNTIF($G$2:G764,G764)-1</f>
        <v>224</v>
      </c>
      <c r="I764" t="str">
        <f>INDEX('Boundary table'!$B$3:$B$7,MATCH(G764,'Boundary table'!$A$3:$A$7,1))</f>
        <v>C</v>
      </c>
      <c r="J764" s="16">
        <v>81</v>
      </c>
      <c r="K764">
        <f>RANK(J764,$J$2:$J$1001,0)+COUNTIF($J$2:J764,J764)-1</f>
        <v>230</v>
      </c>
      <c r="L764" t="str">
        <f>INDEX('Boundary table'!$B$3:$B$7,MATCH(J764,'Boundary table'!$A$3:$A$7,1))</f>
        <v>B</v>
      </c>
      <c r="M764" s="16">
        <v>86</v>
      </c>
      <c r="N764">
        <f>RANK(M764,$M$2:$M$1001,0)+COUNTIF($M$2:M764,M764)-1</f>
        <v>119</v>
      </c>
      <c r="O764" t="str">
        <f>INDEX('Boundary table'!$B$3:$B$7,MATCH(M764,'Boundary table'!$A$3:$A$7))</f>
        <v>B</v>
      </c>
      <c r="P764">
        <f>Table1[[#This Row],[Math Score]]+Table1[[#This Row],[Reading Score]]+Table1[[#This Row],[Writing Score]]</f>
        <v>245</v>
      </c>
      <c r="Q764" s="16">
        <f>COUNTIF(Table1[[#This Row],[Math Score]],"&lt;60")+COUNTIF(Table1[[#This Row],[Reading Score]],"&lt;60")+COUNTIF(Table1[[#This Row],[Writing Score]],"&lt;60")</f>
        <v>0</v>
      </c>
      <c r="R764" t="str">
        <f>IF(Table1[[#This Row],[Fail Count]]&gt;=2,"At risk","OK")</f>
        <v>OK</v>
      </c>
    </row>
    <row r="765" spans="1:18">
      <c r="A765" t="str">
        <f t="shared" si="11"/>
        <v>Stu-764</v>
      </c>
      <c r="B765" t="s">
        <v>11</v>
      </c>
      <c r="C765" t="s">
        <v>12</v>
      </c>
      <c r="D765" t="s">
        <v>32</v>
      </c>
      <c r="E765" t="s">
        <v>14</v>
      </c>
      <c r="F765" t="s">
        <v>15</v>
      </c>
      <c r="G765" s="16">
        <v>62</v>
      </c>
      <c r="H765">
        <f>RANK(G765,$G$2:$G$1001,0)+COUNTIF($G$2:G765,G765)-1</f>
        <v>624</v>
      </c>
      <c r="I765" t="str">
        <f>INDEX('Boundary table'!$B$3:$B$7,MATCH(G765,'Boundary table'!$A$3:$A$7,1))</f>
        <v>D</v>
      </c>
      <c r="J765" s="16">
        <v>62</v>
      </c>
      <c r="K765">
        <f>RANK(J765,$J$2:$J$1001,0)+COUNTIF($J$2:J765,J765)-1</f>
        <v>693</v>
      </c>
      <c r="L765" t="str">
        <f>INDEX('Boundary table'!$B$3:$B$7,MATCH(J765,'Boundary table'!$A$3:$A$7,1))</f>
        <v>D</v>
      </c>
      <c r="M765" s="16">
        <v>63</v>
      </c>
      <c r="N765">
        <f>RANK(M765,$M$2:$M$1001,0)+COUNTIF($M$2:M765,M765)-1</f>
        <v>649</v>
      </c>
      <c r="O765" t="str">
        <f>INDEX('Boundary table'!$B$3:$B$7,MATCH(M765,'Boundary table'!$A$3:$A$7))</f>
        <v>D</v>
      </c>
      <c r="P765">
        <f>Table1[[#This Row],[Math Score]]+Table1[[#This Row],[Reading Score]]+Table1[[#This Row],[Writing Score]]</f>
        <v>187</v>
      </c>
      <c r="Q765" s="16">
        <f>COUNTIF(Table1[[#This Row],[Math Score]],"&lt;60")+COUNTIF(Table1[[#This Row],[Reading Score]],"&lt;60")+COUNTIF(Table1[[#This Row],[Writing Score]],"&lt;60")</f>
        <v>0</v>
      </c>
      <c r="R765" t="str">
        <f>IF(Table1[[#This Row],[Fail Count]]&gt;=2,"At risk","OK")</f>
        <v>OK</v>
      </c>
    </row>
    <row r="766" spans="1:18">
      <c r="A766" t="str">
        <f t="shared" si="11"/>
        <v>Stu-765</v>
      </c>
      <c r="B766" t="s">
        <v>27</v>
      </c>
      <c r="C766" t="s">
        <v>31</v>
      </c>
      <c r="D766" t="s">
        <v>20</v>
      </c>
      <c r="E766" t="s">
        <v>14</v>
      </c>
      <c r="F766" t="s">
        <v>15</v>
      </c>
      <c r="G766" s="16">
        <v>60</v>
      </c>
      <c r="H766">
        <f>RANK(G766,$G$2:$G$1001,0)+COUNTIF($G$2:G766,G766)-1</f>
        <v>673</v>
      </c>
      <c r="I766" t="str">
        <f>INDEX('Boundary table'!$B$3:$B$7,MATCH(G766,'Boundary table'!$A$3:$A$7,1))</f>
        <v>D</v>
      </c>
      <c r="J766" s="16">
        <v>63</v>
      </c>
      <c r="K766">
        <f>RANK(J766,$J$2:$J$1001,0)+COUNTIF($J$2:J766,J766)-1</f>
        <v>674</v>
      </c>
      <c r="L766" t="str">
        <f>INDEX('Boundary table'!$B$3:$B$7,MATCH(J766,'Boundary table'!$A$3:$A$7,1))</f>
        <v>D</v>
      </c>
      <c r="M766" s="16">
        <v>59</v>
      </c>
      <c r="N766">
        <f>RANK(M766,$M$2:$M$1001,0)+COUNTIF($M$2:M766,M766)-1</f>
        <v>730</v>
      </c>
      <c r="O766" t="str">
        <f>INDEX('Boundary table'!$B$3:$B$7,MATCH(M766,'Boundary table'!$A$3:$A$7))</f>
        <v>F</v>
      </c>
      <c r="P766">
        <f>Table1[[#This Row],[Math Score]]+Table1[[#This Row],[Reading Score]]+Table1[[#This Row],[Writing Score]]</f>
        <v>182</v>
      </c>
      <c r="Q766" s="16">
        <f>COUNTIF(Table1[[#This Row],[Math Score]],"&lt;60")+COUNTIF(Table1[[#This Row],[Reading Score]],"&lt;60")+COUNTIF(Table1[[#This Row],[Writing Score]],"&lt;60")</f>
        <v>1</v>
      </c>
      <c r="R766" t="str">
        <f>IF(Table1[[#This Row],[Fail Count]]&gt;=2,"At risk","OK")</f>
        <v>OK</v>
      </c>
    </row>
    <row r="767" spans="1:18">
      <c r="A767" t="str">
        <f t="shared" si="11"/>
        <v>Stu-766</v>
      </c>
      <c r="B767" t="s">
        <v>11</v>
      </c>
      <c r="C767" t="s">
        <v>12</v>
      </c>
      <c r="D767" t="s">
        <v>32</v>
      </c>
      <c r="E767" t="s">
        <v>14</v>
      </c>
      <c r="F767" t="s">
        <v>15</v>
      </c>
      <c r="G767" s="16">
        <v>74</v>
      </c>
      <c r="H767">
        <f>RANK(G767,$G$2:$G$1001,0)+COUNTIF($G$2:G767,G767)-1</f>
        <v>314</v>
      </c>
      <c r="I767" t="str">
        <f>INDEX('Boundary table'!$B$3:$B$7,MATCH(G767,'Boundary table'!$A$3:$A$7,1))</f>
        <v>C</v>
      </c>
      <c r="J767" s="16">
        <v>72</v>
      </c>
      <c r="K767">
        <f>RANK(J767,$J$2:$J$1001,0)+COUNTIF($J$2:J767,J767)-1</f>
        <v>459</v>
      </c>
      <c r="L767" t="str">
        <f>INDEX('Boundary table'!$B$3:$B$7,MATCH(J767,'Boundary table'!$A$3:$A$7,1))</f>
        <v>C</v>
      </c>
      <c r="M767" s="16">
        <v>72</v>
      </c>
      <c r="N767">
        <f>RANK(M767,$M$2:$M$1001,0)+COUNTIF($M$2:M767,M767)-1</f>
        <v>431</v>
      </c>
      <c r="O767" t="str">
        <f>INDEX('Boundary table'!$B$3:$B$7,MATCH(M767,'Boundary table'!$A$3:$A$7))</f>
        <v>C</v>
      </c>
      <c r="P767">
        <f>Table1[[#This Row],[Math Score]]+Table1[[#This Row],[Reading Score]]+Table1[[#This Row],[Writing Score]]</f>
        <v>218</v>
      </c>
      <c r="Q767" s="16">
        <f>COUNTIF(Table1[[#This Row],[Math Score]],"&lt;60")+COUNTIF(Table1[[#This Row],[Reading Score]],"&lt;60")+COUNTIF(Table1[[#This Row],[Writing Score]],"&lt;60")</f>
        <v>0</v>
      </c>
      <c r="R767" t="str">
        <f>IF(Table1[[#This Row],[Fail Count]]&gt;=2,"At risk","OK")</f>
        <v>OK</v>
      </c>
    </row>
    <row r="768" spans="1:18">
      <c r="A768" t="str">
        <f t="shared" si="11"/>
        <v>Stu-767</v>
      </c>
      <c r="B768" t="s">
        <v>11</v>
      </c>
      <c r="C768" t="s">
        <v>19</v>
      </c>
      <c r="D768" t="s">
        <v>32</v>
      </c>
      <c r="E768" t="s">
        <v>14</v>
      </c>
      <c r="F768" t="s">
        <v>21</v>
      </c>
      <c r="G768" s="16">
        <v>58</v>
      </c>
      <c r="H768">
        <f>RANK(G768,$G$2:$G$1001,0)+COUNTIF($G$2:G768,G768)-1</f>
        <v>729</v>
      </c>
      <c r="I768" t="str">
        <f>INDEX('Boundary table'!$B$3:$B$7,MATCH(G768,'Boundary table'!$A$3:$A$7,1))</f>
        <v>F</v>
      </c>
      <c r="J768" s="16">
        <v>75</v>
      </c>
      <c r="K768">
        <f>RANK(J768,$J$2:$J$1001,0)+COUNTIF($J$2:J768,J768)-1</f>
        <v>363</v>
      </c>
      <c r="L768" t="str">
        <f>INDEX('Boundary table'!$B$3:$B$7,MATCH(J768,'Boundary table'!$A$3:$A$7,1))</f>
        <v>C</v>
      </c>
      <c r="M768" s="16">
        <v>77</v>
      </c>
      <c r="N768">
        <f>RANK(M768,$M$2:$M$1001,0)+COUNTIF($M$2:M768,M768)-1</f>
        <v>298</v>
      </c>
      <c r="O768" t="str">
        <f>INDEX('Boundary table'!$B$3:$B$7,MATCH(M768,'Boundary table'!$A$3:$A$7))</f>
        <v>C</v>
      </c>
      <c r="P768">
        <f>Table1[[#This Row],[Math Score]]+Table1[[#This Row],[Reading Score]]+Table1[[#This Row],[Writing Score]]</f>
        <v>210</v>
      </c>
      <c r="Q768" s="16">
        <f>COUNTIF(Table1[[#This Row],[Math Score]],"&lt;60")+COUNTIF(Table1[[#This Row],[Reading Score]],"&lt;60")+COUNTIF(Table1[[#This Row],[Writing Score]],"&lt;60")</f>
        <v>1</v>
      </c>
      <c r="R768" t="str">
        <f>IF(Table1[[#This Row],[Fail Count]]&gt;=2,"At risk","OK")</f>
        <v>OK</v>
      </c>
    </row>
    <row r="769" spans="1:18">
      <c r="A769" t="str">
        <f t="shared" si="11"/>
        <v>Stu-768</v>
      </c>
      <c r="B769" t="s">
        <v>27</v>
      </c>
      <c r="C769" t="s">
        <v>12</v>
      </c>
      <c r="D769" t="s">
        <v>32</v>
      </c>
      <c r="E769" t="s">
        <v>14</v>
      </c>
      <c r="F769" t="s">
        <v>21</v>
      </c>
      <c r="G769" s="16">
        <v>76</v>
      </c>
      <c r="H769">
        <f>RANK(G769,$G$2:$G$1001,0)+COUNTIF($G$2:G769,G769)-1</f>
        <v>272</v>
      </c>
      <c r="I769" t="str">
        <f>INDEX('Boundary table'!$B$3:$B$7,MATCH(G769,'Boundary table'!$A$3:$A$7,1))</f>
        <v>C</v>
      </c>
      <c r="J769" s="16">
        <v>62</v>
      </c>
      <c r="K769">
        <f>RANK(J769,$J$2:$J$1001,0)+COUNTIF($J$2:J769,J769)-1</f>
        <v>694</v>
      </c>
      <c r="L769" t="str">
        <f>INDEX('Boundary table'!$B$3:$B$7,MATCH(J769,'Boundary table'!$A$3:$A$7,1))</f>
        <v>D</v>
      </c>
      <c r="M769" s="16">
        <v>60</v>
      </c>
      <c r="N769">
        <f>RANK(M769,$M$2:$M$1001,0)+COUNTIF($M$2:M769,M769)-1</f>
        <v>712</v>
      </c>
      <c r="O769" t="str">
        <f>INDEX('Boundary table'!$B$3:$B$7,MATCH(M769,'Boundary table'!$A$3:$A$7))</f>
        <v>D</v>
      </c>
      <c r="P769">
        <f>Table1[[#This Row],[Math Score]]+Table1[[#This Row],[Reading Score]]+Table1[[#This Row],[Writing Score]]</f>
        <v>198</v>
      </c>
      <c r="Q769" s="16">
        <f>COUNTIF(Table1[[#This Row],[Math Score]],"&lt;60")+COUNTIF(Table1[[#This Row],[Reading Score]],"&lt;60")+COUNTIF(Table1[[#This Row],[Writing Score]],"&lt;60")</f>
        <v>0</v>
      </c>
      <c r="R769" t="str">
        <f>IF(Table1[[#This Row],[Fail Count]]&gt;=2,"At risk","OK")</f>
        <v>OK</v>
      </c>
    </row>
    <row r="770" spans="1:18">
      <c r="A770" t="str">
        <f t="shared" ref="A770:A833" si="12">"Stu-"&amp;TEXT(ROW()-1,"000")</f>
        <v>Stu-769</v>
      </c>
      <c r="B770" t="s">
        <v>11</v>
      </c>
      <c r="C770" t="s">
        <v>31</v>
      </c>
      <c r="D770" t="s">
        <v>33</v>
      </c>
      <c r="E770" t="s">
        <v>14</v>
      </c>
      <c r="F770" t="s">
        <v>15</v>
      </c>
      <c r="G770" s="16">
        <v>68</v>
      </c>
      <c r="H770">
        <f>RANK(G770,$G$2:$G$1001,0)+COUNTIF($G$2:G770,G770)-1</f>
        <v>462</v>
      </c>
      <c r="I770" t="str">
        <f>INDEX('Boundary table'!$B$3:$B$7,MATCH(G770,'Boundary table'!$A$3:$A$7,1))</f>
        <v>D</v>
      </c>
      <c r="J770" s="16">
        <v>71</v>
      </c>
      <c r="K770">
        <f>RANK(J770,$J$2:$J$1001,0)+COUNTIF($J$2:J770,J770)-1</f>
        <v>484</v>
      </c>
      <c r="L770" t="str">
        <f>INDEX('Boundary table'!$B$3:$B$7,MATCH(J770,'Boundary table'!$A$3:$A$7,1))</f>
        <v>C</v>
      </c>
      <c r="M770" s="16">
        <v>75</v>
      </c>
      <c r="N770">
        <f>RANK(M770,$M$2:$M$1001,0)+COUNTIF($M$2:M770,M770)-1</f>
        <v>346</v>
      </c>
      <c r="O770" t="str">
        <f>INDEX('Boundary table'!$B$3:$B$7,MATCH(M770,'Boundary table'!$A$3:$A$7))</f>
        <v>C</v>
      </c>
      <c r="P770">
        <f>Table1[[#This Row],[Math Score]]+Table1[[#This Row],[Reading Score]]+Table1[[#This Row],[Writing Score]]</f>
        <v>214</v>
      </c>
      <c r="Q770" s="16">
        <f>COUNTIF(Table1[[#This Row],[Math Score]],"&lt;60")+COUNTIF(Table1[[#This Row],[Reading Score]],"&lt;60")+COUNTIF(Table1[[#This Row],[Writing Score]],"&lt;60")</f>
        <v>0</v>
      </c>
      <c r="R770" t="str">
        <f>IF(Table1[[#This Row],[Fail Count]]&gt;=2,"At risk","OK")</f>
        <v>OK</v>
      </c>
    </row>
    <row r="771" spans="1:18">
      <c r="A771" t="str">
        <f t="shared" si="12"/>
        <v>Stu-770</v>
      </c>
      <c r="B771" t="s">
        <v>27</v>
      </c>
      <c r="C771" t="s">
        <v>28</v>
      </c>
      <c r="D771" t="s">
        <v>20</v>
      </c>
      <c r="E771" t="s">
        <v>30</v>
      </c>
      <c r="F771" t="s">
        <v>15</v>
      </c>
      <c r="G771" s="16">
        <v>58</v>
      </c>
      <c r="H771">
        <f>RANK(G771,$G$2:$G$1001,0)+COUNTIF($G$2:G771,G771)-1</f>
        <v>730</v>
      </c>
      <c r="I771" t="str">
        <f>INDEX('Boundary table'!$B$3:$B$7,MATCH(G771,'Boundary table'!$A$3:$A$7,1))</f>
        <v>F</v>
      </c>
      <c r="J771" s="16">
        <v>60</v>
      </c>
      <c r="K771">
        <f>RANK(J771,$J$2:$J$1001,0)+COUNTIF($J$2:J771,J771)-1</f>
        <v>743</v>
      </c>
      <c r="L771" t="str">
        <f>INDEX('Boundary table'!$B$3:$B$7,MATCH(J771,'Boundary table'!$A$3:$A$7,1))</f>
        <v>D</v>
      </c>
      <c r="M771" s="16">
        <v>57</v>
      </c>
      <c r="N771">
        <f>RANK(M771,$M$2:$M$1001,0)+COUNTIF($M$2:M771,M771)-1</f>
        <v>764</v>
      </c>
      <c r="O771" t="str">
        <f>INDEX('Boundary table'!$B$3:$B$7,MATCH(M771,'Boundary table'!$A$3:$A$7))</f>
        <v>F</v>
      </c>
      <c r="P771">
        <f>Table1[[#This Row],[Math Score]]+Table1[[#This Row],[Reading Score]]+Table1[[#This Row],[Writing Score]]</f>
        <v>175</v>
      </c>
      <c r="Q771" s="16">
        <f>COUNTIF(Table1[[#This Row],[Math Score]],"&lt;60")+COUNTIF(Table1[[#This Row],[Reading Score]],"&lt;60")+COUNTIF(Table1[[#This Row],[Writing Score]],"&lt;60")</f>
        <v>2</v>
      </c>
      <c r="R771" t="str">
        <f>IF(Table1[[#This Row],[Fail Count]]&gt;=2,"At risk","OK")</f>
        <v>At risk</v>
      </c>
    </row>
    <row r="772" spans="1:18">
      <c r="A772" t="str">
        <f t="shared" si="12"/>
        <v>Stu-771</v>
      </c>
      <c r="B772" t="s">
        <v>27</v>
      </c>
      <c r="C772" t="s">
        <v>12</v>
      </c>
      <c r="D772" t="s">
        <v>32</v>
      </c>
      <c r="E772" t="s">
        <v>14</v>
      </c>
      <c r="F772" t="s">
        <v>15</v>
      </c>
      <c r="G772" s="16">
        <v>52</v>
      </c>
      <c r="H772">
        <f>RANK(G772,$G$2:$G$1001,0)+COUNTIF($G$2:G772,G772)-1</f>
        <v>833</v>
      </c>
      <c r="I772" t="str">
        <f>INDEX('Boundary table'!$B$3:$B$7,MATCH(G772,'Boundary table'!$A$3:$A$7,1))</f>
        <v>F</v>
      </c>
      <c r="J772" s="16">
        <v>48</v>
      </c>
      <c r="K772">
        <f>RANK(J772,$J$2:$J$1001,0)+COUNTIF($J$2:J772,J772)-1</f>
        <v>928</v>
      </c>
      <c r="L772" t="str">
        <f>INDEX('Boundary table'!$B$3:$B$7,MATCH(J772,'Boundary table'!$A$3:$A$7,1))</f>
        <v>F</v>
      </c>
      <c r="M772" s="16">
        <v>49</v>
      </c>
      <c r="N772">
        <f>RANK(M772,$M$2:$M$1001,0)+COUNTIF($M$2:M772,M772)-1</f>
        <v>894</v>
      </c>
      <c r="O772" t="str">
        <f>INDEX('Boundary table'!$B$3:$B$7,MATCH(M772,'Boundary table'!$A$3:$A$7))</f>
        <v>F</v>
      </c>
      <c r="P772">
        <f>Table1[[#This Row],[Math Score]]+Table1[[#This Row],[Reading Score]]+Table1[[#This Row],[Writing Score]]</f>
        <v>149</v>
      </c>
      <c r="Q772" s="16">
        <f>COUNTIF(Table1[[#This Row],[Math Score]],"&lt;60")+COUNTIF(Table1[[#This Row],[Reading Score]],"&lt;60")+COUNTIF(Table1[[#This Row],[Writing Score]],"&lt;60")</f>
        <v>3</v>
      </c>
      <c r="R772" t="str">
        <f>IF(Table1[[#This Row],[Fail Count]]&gt;=2,"At risk","OK")</f>
        <v>At risk</v>
      </c>
    </row>
    <row r="773" spans="1:18">
      <c r="A773" t="str">
        <f t="shared" si="12"/>
        <v>Stu-772</v>
      </c>
      <c r="B773" t="s">
        <v>27</v>
      </c>
      <c r="C773" t="s">
        <v>31</v>
      </c>
      <c r="D773" t="s">
        <v>13</v>
      </c>
      <c r="E773" t="s">
        <v>14</v>
      </c>
      <c r="F773" t="s">
        <v>15</v>
      </c>
      <c r="G773" s="16">
        <v>75</v>
      </c>
      <c r="H773">
        <f>RANK(G773,$G$2:$G$1001,0)+COUNTIF($G$2:G773,G773)-1</f>
        <v>289</v>
      </c>
      <c r="I773" t="str">
        <f>INDEX('Boundary table'!$B$3:$B$7,MATCH(G773,'Boundary table'!$A$3:$A$7,1))</f>
        <v>C</v>
      </c>
      <c r="J773" s="16">
        <v>73</v>
      </c>
      <c r="K773">
        <f>RANK(J773,$J$2:$J$1001,0)+COUNTIF($J$2:J773,J773)-1</f>
        <v>429</v>
      </c>
      <c r="L773" t="str">
        <f>INDEX('Boundary table'!$B$3:$B$7,MATCH(J773,'Boundary table'!$A$3:$A$7,1))</f>
        <v>C</v>
      </c>
      <c r="M773" s="16">
        <v>74</v>
      </c>
      <c r="N773">
        <f>RANK(M773,$M$2:$M$1001,0)+COUNTIF($M$2:M773,M773)-1</f>
        <v>378</v>
      </c>
      <c r="O773" t="str">
        <f>INDEX('Boundary table'!$B$3:$B$7,MATCH(M773,'Boundary table'!$A$3:$A$7))</f>
        <v>C</v>
      </c>
      <c r="P773">
        <f>Table1[[#This Row],[Math Score]]+Table1[[#This Row],[Reading Score]]+Table1[[#This Row],[Writing Score]]</f>
        <v>222</v>
      </c>
      <c r="Q773" s="16">
        <f>COUNTIF(Table1[[#This Row],[Math Score]],"&lt;60")+COUNTIF(Table1[[#This Row],[Reading Score]],"&lt;60")+COUNTIF(Table1[[#This Row],[Writing Score]],"&lt;60")</f>
        <v>0</v>
      </c>
      <c r="R773" t="str">
        <f>IF(Table1[[#This Row],[Fail Count]]&gt;=2,"At risk","OK")</f>
        <v>OK</v>
      </c>
    </row>
    <row r="774" spans="1:18">
      <c r="A774" t="str">
        <f t="shared" si="12"/>
        <v>Stu-773</v>
      </c>
      <c r="B774" t="s">
        <v>11</v>
      </c>
      <c r="C774" t="s">
        <v>12</v>
      </c>
      <c r="D774" t="s">
        <v>33</v>
      </c>
      <c r="E774" t="s">
        <v>30</v>
      </c>
      <c r="F774" t="s">
        <v>21</v>
      </c>
      <c r="G774" s="16">
        <v>52</v>
      </c>
      <c r="H774">
        <f>RANK(G774,$G$2:$G$1001,0)+COUNTIF($G$2:G774,G774)-1</f>
        <v>834</v>
      </c>
      <c r="I774" t="str">
        <f>INDEX('Boundary table'!$B$3:$B$7,MATCH(G774,'Boundary table'!$A$3:$A$7,1))</f>
        <v>F</v>
      </c>
      <c r="J774" s="16">
        <v>67</v>
      </c>
      <c r="K774">
        <f>RANK(J774,$J$2:$J$1001,0)+COUNTIF($J$2:J774,J774)-1</f>
        <v>577</v>
      </c>
      <c r="L774" t="str">
        <f>INDEX('Boundary table'!$B$3:$B$7,MATCH(J774,'Boundary table'!$A$3:$A$7,1))</f>
        <v>D</v>
      </c>
      <c r="M774" s="16">
        <v>72</v>
      </c>
      <c r="N774">
        <f>RANK(M774,$M$2:$M$1001,0)+COUNTIF($M$2:M774,M774)-1</f>
        <v>432</v>
      </c>
      <c r="O774" t="str">
        <f>INDEX('Boundary table'!$B$3:$B$7,MATCH(M774,'Boundary table'!$A$3:$A$7))</f>
        <v>C</v>
      </c>
      <c r="P774">
        <f>Table1[[#This Row],[Math Score]]+Table1[[#This Row],[Reading Score]]+Table1[[#This Row],[Writing Score]]</f>
        <v>191</v>
      </c>
      <c r="Q774" s="16">
        <f>COUNTIF(Table1[[#This Row],[Math Score]],"&lt;60")+COUNTIF(Table1[[#This Row],[Reading Score]],"&lt;60")+COUNTIF(Table1[[#This Row],[Writing Score]],"&lt;60")</f>
        <v>1</v>
      </c>
      <c r="R774" t="str">
        <f>IF(Table1[[#This Row],[Fail Count]]&gt;=2,"At risk","OK")</f>
        <v>OK</v>
      </c>
    </row>
    <row r="775" spans="1:18">
      <c r="A775" t="str">
        <f t="shared" si="12"/>
        <v>Stu-774</v>
      </c>
      <c r="B775" t="s">
        <v>11</v>
      </c>
      <c r="C775" t="s">
        <v>19</v>
      </c>
      <c r="D775" t="s">
        <v>13</v>
      </c>
      <c r="E775" t="s">
        <v>30</v>
      </c>
      <c r="F775" t="s">
        <v>15</v>
      </c>
      <c r="G775" s="16">
        <v>62</v>
      </c>
      <c r="H775">
        <f>RANK(G775,$G$2:$G$1001,0)+COUNTIF($G$2:G775,G775)-1</f>
        <v>625</v>
      </c>
      <c r="I775" t="str">
        <f>INDEX('Boundary table'!$B$3:$B$7,MATCH(G775,'Boundary table'!$A$3:$A$7,1))</f>
        <v>D</v>
      </c>
      <c r="J775" s="16">
        <v>78</v>
      </c>
      <c r="K775">
        <f>RANK(J775,$J$2:$J$1001,0)+COUNTIF($J$2:J775,J775)-1</f>
        <v>290</v>
      </c>
      <c r="L775" t="str">
        <f>INDEX('Boundary table'!$B$3:$B$7,MATCH(J775,'Boundary table'!$A$3:$A$7,1))</f>
        <v>C</v>
      </c>
      <c r="M775" s="16">
        <v>79</v>
      </c>
      <c r="N775">
        <f>RANK(M775,$M$2:$M$1001,0)+COUNTIF($M$2:M775,M775)-1</f>
        <v>251</v>
      </c>
      <c r="O775" t="str">
        <f>INDEX('Boundary table'!$B$3:$B$7,MATCH(M775,'Boundary table'!$A$3:$A$7))</f>
        <v>C</v>
      </c>
      <c r="P775">
        <f>Table1[[#This Row],[Math Score]]+Table1[[#This Row],[Reading Score]]+Table1[[#This Row],[Writing Score]]</f>
        <v>219</v>
      </c>
      <c r="Q775" s="16">
        <f>COUNTIF(Table1[[#This Row],[Math Score]],"&lt;60")+COUNTIF(Table1[[#This Row],[Reading Score]],"&lt;60")+COUNTIF(Table1[[#This Row],[Writing Score]],"&lt;60")</f>
        <v>0</v>
      </c>
      <c r="R775" t="str">
        <f>IF(Table1[[#This Row],[Fail Count]]&gt;=2,"At risk","OK")</f>
        <v>OK</v>
      </c>
    </row>
    <row r="776" spans="1:18">
      <c r="A776" t="str">
        <f t="shared" si="12"/>
        <v>Stu-775</v>
      </c>
      <c r="B776" t="s">
        <v>27</v>
      </c>
      <c r="C776" t="s">
        <v>12</v>
      </c>
      <c r="D776" t="s">
        <v>20</v>
      </c>
      <c r="E776" t="s">
        <v>14</v>
      </c>
      <c r="F776" t="s">
        <v>15</v>
      </c>
      <c r="G776" s="16">
        <v>66</v>
      </c>
      <c r="H776">
        <f>RANK(G776,$G$2:$G$1001,0)+COUNTIF($G$2:G776,G776)-1</f>
        <v>513</v>
      </c>
      <c r="I776" t="str">
        <f>INDEX('Boundary table'!$B$3:$B$7,MATCH(G776,'Boundary table'!$A$3:$A$7,1))</f>
        <v>D</v>
      </c>
      <c r="J776" s="16">
        <v>65</v>
      </c>
      <c r="K776">
        <f>RANK(J776,$J$2:$J$1001,0)+COUNTIF($J$2:J776,J776)-1</f>
        <v>620</v>
      </c>
      <c r="L776" t="str">
        <f>INDEX('Boundary table'!$B$3:$B$7,MATCH(J776,'Boundary table'!$A$3:$A$7,1))</f>
        <v>D</v>
      </c>
      <c r="M776" s="16">
        <v>60</v>
      </c>
      <c r="N776">
        <f>RANK(M776,$M$2:$M$1001,0)+COUNTIF($M$2:M776,M776)-1</f>
        <v>713</v>
      </c>
      <c r="O776" t="str">
        <f>INDEX('Boundary table'!$B$3:$B$7,MATCH(M776,'Boundary table'!$A$3:$A$7))</f>
        <v>D</v>
      </c>
      <c r="P776">
        <f>Table1[[#This Row],[Math Score]]+Table1[[#This Row],[Reading Score]]+Table1[[#This Row],[Writing Score]]</f>
        <v>191</v>
      </c>
      <c r="Q776" s="16">
        <f>COUNTIF(Table1[[#This Row],[Math Score]],"&lt;60")+COUNTIF(Table1[[#This Row],[Reading Score]],"&lt;60")+COUNTIF(Table1[[#This Row],[Writing Score]],"&lt;60")</f>
        <v>0</v>
      </c>
      <c r="R776" t="str">
        <f>IF(Table1[[#This Row],[Fail Count]]&gt;=2,"At risk","OK")</f>
        <v>OK</v>
      </c>
    </row>
    <row r="777" spans="1:18">
      <c r="A777" t="str">
        <f t="shared" si="12"/>
        <v>Stu-776</v>
      </c>
      <c r="B777" t="s">
        <v>11</v>
      </c>
      <c r="C777" t="s">
        <v>12</v>
      </c>
      <c r="D777" t="s">
        <v>33</v>
      </c>
      <c r="E777" t="s">
        <v>30</v>
      </c>
      <c r="F777" t="s">
        <v>15</v>
      </c>
      <c r="G777" s="16">
        <v>49</v>
      </c>
      <c r="H777">
        <f>RANK(G777,$G$2:$G$1001,0)+COUNTIF($G$2:G777,G777)-1</f>
        <v>877</v>
      </c>
      <c r="I777" t="str">
        <f>INDEX('Boundary table'!$B$3:$B$7,MATCH(G777,'Boundary table'!$A$3:$A$7,1))</f>
        <v>F</v>
      </c>
      <c r="J777" s="16">
        <v>58</v>
      </c>
      <c r="K777">
        <f>RANK(J777,$J$2:$J$1001,0)+COUNTIF($J$2:J777,J777)-1</f>
        <v>785</v>
      </c>
      <c r="L777" t="str">
        <f>INDEX('Boundary table'!$B$3:$B$7,MATCH(J777,'Boundary table'!$A$3:$A$7,1))</f>
        <v>F</v>
      </c>
      <c r="M777" s="16">
        <v>55</v>
      </c>
      <c r="N777">
        <f>RANK(M777,$M$2:$M$1001,0)+COUNTIF($M$2:M777,M777)-1</f>
        <v>794</v>
      </c>
      <c r="O777" t="str">
        <f>INDEX('Boundary table'!$B$3:$B$7,MATCH(M777,'Boundary table'!$A$3:$A$7))</f>
        <v>F</v>
      </c>
      <c r="P777">
        <f>Table1[[#This Row],[Math Score]]+Table1[[#This Row],[Reading Score]]+Table1[[#This Row],[Writing Score]]</f>
        <v>162</v>
      </c>
      <c r="Q777" s="16">
        <f>COUNTIF(Table1[[#This Row],[Math Score]],"&lt;60")+COUNTIF(Table1[[#This Row],[Reading Score]],"&lt;60")+COUNTIF(Table1[[#This Row],[Writing Score]],"&lt;60")</f>
        <v>3</v>
      </c>
      <c r="R777" t="str">
        <f>IF(Table1[[#This Row],[Fail Count]]&gt;=2,"At risk","OK")</f>
        <v>At risk</v>
      </c>
    </row>
    <row r="778" spans="1:18">
      <c r="A778" t="str">
        <f t="shared" si="12"/>
        <v>Stu-777</v>
      </c>
      <c r="B778" t="s">
        <v>11</v>
      </c>
      <c r="C778" t="s">
        <v>12</v>
      </c>
      <c r="D778" t="s">
        <v>32</v>
      </c>
      <c r="E778" t="s">
        <v>14</v>
      </c>
      <c r="F778" t="s">
        <v>15</v>
      </c>
      <c r="G778" s="16">
        <v>66</v>
      </c>
      <c r="H778">
        <f>RANK(G778,$G$2:$G$1001,0)+COUNTIF($G$2:G778,G778)-1</f>
        <v>514</v>
      </c>
      <c r="I778" t="str">
        <f>INDEX('Boundary table'!$B$3:$B$7,MATCH(G778,'Boundary table'!$A$3:$A$7,1))</f>
        <v>D</v>
      </c>
      <c r="J778" s="16">
        <v>72</v>
      </c>
      <c r="K778">
        <f>RANK(J778,$J$2:$J$1001,0)+COUNTIF($J$2:J778,J778)-1</f>
        <v>460</v>
      </c>
      <c r="L778" t="str">
        <f>INDEX('Boundary table'!$B$3:$B$7,MATCH(J778,'Boundary table'!$A$3:$A$7,1))</f>
        <v>C</v>
      </c>
      <c r="M778" s="16">
        <v>70</v>
      </c>
      <c r="N778">
        <f>RANK(M778,$M$2:$M$1001,0)+COUNTIF($M$2:M778,M778)-1</f>
        <v>483</v>
      </c>
      <c r="O778" t="str">
        <f>INDEX('Boundary table'!$B$3:$B$7,MATCH(M778,'Boundary table'!$A$3:$A$7))</f>
        <v>C</v>
      </c>
      <c r="P778">
        <f>Table1[[#This Row],[Math Score]]+Table1[[#This Row],[Reading Score]]+Table1[[#This Row],[Writing Score]]</f>
        <v>208</v>
      </c>
      <c r="Q778" s="16">
        <f>COUNTIF(Table1[[#This Row],[Math Score]],"&lt;60")+COUNTIF(Table1[[#This Row],[Reading Score]],"&lt;60")+COUNTIF(Table1[[#This Row],[Writing Score]],"&lt;60")</f>
        <v>0</v>
      </c>
      <c r="R778" t="str">
        <f>IF(Table1[[#This Row],[Fail Count]]&gt;=2,"At risk","OK")</f>
        <v>OK</v>
      </c>
    </row>
    <row r="779" spans="1:18">
      <c r="A779" t="str">
        <f t="shared" si="12"/>
        <v>Stu-778</v>
      </c>
      <c r="B779" t="s">
        <v>11</v>
      </c>
      <c r="C779" t="s">
        <v>19</v>
      </c>
      <c r="D779" t="s">
        <v>20</v>
      </c>
      <c r="E779" t="s">
        <v>30</v>
      </c>
      <c r="F779" t="s">
        <v>15</v>
      </c>
      <c r="G779" s="16">
        <v>35</v>
      </c>
      <c r="H779">
        <f>RANK(G779,$G$2:$G$1001,0)+COUNTIF($G$2:G779,G779)-1</f>
        <v>977</v>
      </c>
      <c r="I779" t="str">
        <f>INDEX('Boundary table'!$B$3:$B$7,MATCH(G779,'Boundary table'!$A$3:$A$7,1))</f>
        <v>F</v>
      </c>
      <c r="J779" s="16">
        <v>44</v>
      </c>
      <c r="K779">
        <f>RANK(J779,$J$2:$J$1001,0)+COUNTIF($J$2:J779,J779)-1</f>
        <v>950</v>
      </c>
      <c r="L779" t="str">
        <f>INDEX('Boundary table'!$B$3:$B$7,MATCH(J779,'Boundary table'!$A$3:$A$7,1))</f>
        <v>F</v>
      </c>
      <c r="M779" s="16">
        <v>43</v>
      </c>
      <c r="N779">
        <f>RANK(M779,$M$2:$M$1001,0)+COUNTIF($M$2:M779,M779)-1</f>
        <v>950</v>
      </c>
      <c r="O779" t="str">
        <f>INDEX('Boundary table'!$B$3:$B$7,MATCH(M779,'Boundary table'!$A$3:$A$7))</f>
        <v>F</v>
      </c>
      <c r="P779">
        <f>Table1[[#This Row],[Math Score]]+Table1[[#This Row],[Reading Score]]+Table1[[#This Row],[Writing Score]]</f>
        <v>122</v>
      </c>
      <c r="Q779" s="16">
        <f>COUNTIF(Table1[[#This Row],[Math Score]],"&lt;60")+COUNTIF(Table1[[#This Row],[Reading Score]],"&lt;60")+COUNTIF(Table1[[#This Row],[Writing Score]],"&lt;60")</f>
        <v>3</v>
      </c>
      <c r="R779" t="str">
        <f>IF(Table1[[#This Row],[Fail Count]]&gt;=2,"At risk","OK")</f>
        <v>At risk</v>
      </c>
    </row>
    <row r="780" spans="1:18">
      <c r="A780" t="str">
        <f t="shared" si="12"/>
        <v>Stu-779</v>
      </c>
      <c r="B780" t="s">
        <v>11</v>
      </c>
      <c r="C780" t="s">
        <v>28</v>
      </c>
      <c r="D780" t="s">
        <v>20</v>
      </c>
      <c r="E780" t="s">
        <v>14</v>
      </c>
      <c r="F780" t="s">
        <v>21</v>
      </c>
      <c r="G780" s="16">
        <v>72</v>
      </c>
      <c r="H780">
        <f>RANK(G780,$G$2:$G$1001,0)+COUNTIF($G$2:G780,G780)-1</f>
        <v>359</v>
      </c>
      <c r="I780" t="str">
        <f>INDEX('Boundary table'!$B$3:$B$7,MATCH(G780,'Boundary table'!$A$3:$A$7,1))</f>
        <v>C</v>
      </c>
      <c r="J780" s="16">
        <v>79</v>
      </c>
      <c r="K780">
        <f>RANK(J780,$J$2:$J$1001,0)+COUNTIF($J$2:J780,J780)-1</f>
        <v>266</v>
      </c>
      <c r="L780" t="str">
        <f>INDEX('Boundary table'!$B$3:$B$7,MATCH(J780,'Boundary table'!$A$3:$A$7,1))</f>
        <v>C</v>
      </c>
      <c r="M780" s="16">
        <v>82</v>
      </c>
      <c r="N780">
        <f>RANK(M780,$M$2:$M$1001,0)+COUNTIF($M$2:M780,M780)-1</f>
        <v>181</v>
      </c>
      <c r="O780" t="str">
        <f>INDEX('Boundary table'!$B$3:$B$7,MATCH(M780,'Boundary table'!$A$3:$A$7))</f>
        <v>B</v>
      </c>
      <c r="P780">
        <f>Table1[[#This Row],[Math Score]]+Table1[[#This Row],[Reading Score]]+Table1[[#This Row],[Writing Score]]</f>
        <v>233</v>
      </c>
      <c r="Q780" s="16">
        <f>COUNTIF(Table1[[#This Row],[Math Score]],"&lt;60")+COUNTIF(Table1[[#This Row],[Reading Score]],"&lt;60")+COUNTIF(Table1[[#This Row],[Writing Score]],"&lt;60")</f>
        <v>0</v>
      </c>
      <c r="R780" t="str">
        <f>IF(Table1[[#This Row],[Fail Count]]&gt;=2,"At risk","OK")</f>
        <v>OK</v>
      </c>
    </row>
    <row r="781" spans="1:18">
      <c r="A781" t="str">
        <f t="shared" si="12"/>
        <v>Stu-780</v>
      </c>
      <c r="B781" t="s">
        <v>27</v>
      </c>
      <c r="C781" t="s">
        <v>34</v>
      </c>
      <c r="D781" t="s">
        <v>29</v>
      </c>
      <c r="E781" t="s">
        <v>14</v>
      </c>
      <c r="F781" t="s">
        <v>21</v>
      </c>
      <c r="G781" s="16">
        <v>94</v>
      </c>
      <c r="H781">
        <f>RANK(G781,$G$2:$G$1001,0)+COUNTIF($G$2:G781,G781)-1</f>
        <v>29</v>
      </c>
      <c r="I781" t="str">
        <f>INDEX('Boundary table'!$B$3:$B$7,MATCH(G781,'Boundary table'!$A$3:$A$7,1))</f>
        <v>A</v>
      </c>
      <c r="J781" s="16">
        <v>85</v>
      </c>
      <c r="K781">
        <f>RANK(J781,$J$2:$J$1001,0)+COUNTIF($J$2:J781,J781)-1</f>
        <v>143</v>
      </c>
      <c r="L781" t="str">
        <f>INDEX('Boundary table'!$B$3:$B$7,MATCH(J781,'Boundary table'!$A$3:$A$7,1))</f>
        <v>B</v>
      </c>
      <c r="M781" s="16">
        <v>82</v>
      </c>
      <c r="N781">
        <f>RANK(M781,$M$2:$M$1001,0)+COUNTIF($M$2:M781,M781)-1</f>
        <v>182</v>
      </c>
      <c r="O781" t="str">
        <f>INDEX('Boundary table'!$B$3:$B$7,MATCH(M781,'Boundary table'!$A$3:$A$7))</f>
        <v>B</v>
      </c>
      <c r="P781">
        <f>Table1[[#This Row],[Math Score]]+Table1[[#This Row],[Reading Score]]+Table1[[#This Row],[Writing Score]]</f>
        <v>261</v>
      </c>
      <c r="Q781" s="16">
        <f>COUNTIF(Table1[[#This Row],[Math Score]],"&lt;60")+COUNTIF(Table1[[#This Row],[Reading Score]],"&lt;60")+COUNTIF(Table1[[#This Row],[Writing Score]],"&lt;60")</f>
        <v>0</v>
      </c>
      <c r="R781" t="str">
        <f>IF(Table1[[#This Row],[Fail Count]]&gt;=2,"At risk","OK")</f>
        <v>OK</v>
      </c>
    </row>
    <row r="782" spans="1:18">
      <c r="A782" t="str">
        <f t="shared" si="12"/>
        <v>Stu-781</v>
      </c>
      <c r="B782" t="s">
        <v>11</v>
      </c>
      <c r="C782" t="s">
        <v>31</v>
      </c>
      <c r="D782" t="s">
        <v>29</v>
      </c>
      <c r="E782" t="s">
        <v>30</v>
      </c>
      <c r="F782" t="s">
        <v>15</v>
      </c>
      <c r="G782" s="16">
        <v>46</v>
      </c>
      <c r="H782">
        <f>RANK(G782,$G$2:$G$1001,0)+COUNTIF($G$2:G782,G782)-1</f>
        <v>913</v>
      </c>
      <c r="I782" t="str">
        <f>INDEX('Boundary table'!$B$3:$B$7,MATCH(G782,'Boundary table'!$A$3:$A$7,1))</f>
        <v>F</v>
      </c>
      <c r="J782" s="16">
        <v>56</v>
      </c>
      <c r="K782">
        <f>RANK(J782,$J$2:$J$1001,0)+COUNTIF($J$2:J782,J782)-1</f>
        <v>822</v>
      </c>
      <c r="L782" t="str">
        <f>INDEX('Boundary table'!$B$3:$B$7,MATCH(J782,'Boundary table'!$A$3:$A$7,1))</f>
        <v>F</v>
      </c>
      <c r="M782" s="16">
        <v>57</v>
      </c>
      <c r="N782">
        <f>RANK(M782,$M$2:$M$1001,0)+COUNTIF($M$2:M782,M782)-1</f>
        <v>765</v>
      </c>
      <c r="O782" t="str">
        <f>INDEX('Boundary table'!$B$3:$B$7,MATCH(M782,'Boundary table'!$A$3:$A$7))</f>
        <v>F</v>
      </c>
      <c r="P782">
        <f>Table1[[#This Row],[Math Score]]+Table1[[#This Row],[Reading Score]]+Table1[[#This Row],[Writing Score]]</f>
        <v>159</v>
      </c>
      <c r="Q782" s="16">
        <f>COUNTIF(Table1[[#This Row],[Math Score]],"&lt;60")+COUNTIF(Table1[[#This Row],[Reading Score]],"&lt;60")+COUNTIF(Table1[[#This Row],[Writing Score]],"&lt;60")</f>
        <v>3</v>
      </c>
      <c r="R782" t="str">
        <f>IF(Table1[[#This Row],[Fail Count]]&gt;=2,"At risk","OK")</f>
        <v>At risk</v>
      </c>
    </row>
    <row r="783" spans="1:18">
      <c r="A783" t="str">
        <f t="shared" si="12"/>
        <v>Stu-782</v>
      </c>
      <c r="B783" t="s">
        <v>11</v>
      </c>
      <c r="C783" t="s">
        <v>12</v>
      </c>
      <c r="D783" t="s">
        <v>26</v>
      </c>
      <c r="E783" t="s">
        <v>14</v>
      </c>
      <c r="F783" t="s">
        <v>15</v>
      </c>
      <c r="G783" s="16">
        <v>77</v>
      </c>
      <c r="H783">
        <f>RANK(G783,$G$2:$G$1001,0)+COUNTIF($G$2:G783,G783)-1</f>
        <v>249</v>
      </c>
      <c r="I783" t="str">
        <f>INDEX('Boundary table'!$B$3:$B$7,MATCH(G783,'Boundary table'!$A$3:$A$7,1))</f>
        <v>C</v>
      </c>
      <c r="J783" s="16">
        <v>90</v>
      </c>
      <c r="K783">
        <f>RANK(J783,$J$2:$J$1001,0)+COUNTIF($J$2:J783,J783)-1</f>
        <v>76</v>
      </c>
      <c r="L783" t="str">
        <f>INDEX('Boundary table'!$B$3:$B$7,MATCH(J783,'Boundary table'!$A$3:$A$7,1))</f>
        <v>A</v>
      </c>
      <c r="M783" s="16">
        <v>84</v>
      </c>
      <c r="N783">
        <f>RANK(M783,$M$2:$M$1001,0)+COUNTIF($M$2:M783,M783)-1</f>
        <v>148</v>
      </c>
      <c r="O783" t="str">
        <f>INDEX('Boundary table'!$B$3:$B$7,MATCH(M783,'Boundary table'!$A$3:$A$7))</f>
        <v>B</v>
      </c>
      <c r="P783">
        <f>Table1[[#This Row],[Math Score]]+Table1[[#This Row],[Reading Score]]+Table1[[#This Row],[Writing Score]]</f>
        <v>251</v>
      </c>
      <c r="Q783" s="16">
        <f>COUNTIF(Table1[[#This Row],[Math Score]],"&lt;60")+COUNTIF(Table1[[#This Row],[Reading Score]],"&lt;60")+COUNTIF(Table1[[#This Row],[Writing Score]],"&lt;60")</f>
        <v>0</v>
      </c>
      <c r="R783" t="str">
        <f>IF(Table1[[#This Row],[Fail Count]]&gt;=2,"At risk","OK")</f>
        <v>OK</v>
      </c>
    </row>
    <row r="784" spans="1:18">
      <c r="A784" t="str">
        <f t="shared" si="12"/>
        <v>Stu-783</v>
      </c>
      <c r="B784" t="s">
        <v>11</v>
      </c>
      <c r="C784" t="s">
        <v>12</v>
      </c>
      <c r="D784" t="s">
        <v>32</v>
      </c>
      <c r="E784" t="s">
        <v>30</v>
      </c>
      <c r="F784" t="s">
        <v>21</v>
      </c>
      <c r="G784" s="16">
        <v>76</v>
      </c>
      <c r="H784">
        <f>RANK(G784,$G$2:$G$1001,0)+COUNTIF($G$2:G784,G784)-1</f>
        <v>273</v>
      </c>
      <c r="I784" t="str">
        <f>INDEX('Boundary table'!$B$3:$B$7,MATCH(G784,'Boundary table'!$A$3:$A$7,1))</f>
        <v>C</v>
      </c>
      <c r="J784" s="16">
        <v>85</v>
      </c>
      <c r="K784">
        <f>RANK(J784,$J$2:$J$1001,0)+COUNTIF($J$2:J784,J784)-1</f>
        <v>144</v>
      </c>
      <c r="L784" t="str">
        <f>INDEX('Boundary table'!$B$3:$B$7,MATCH(J784,'Boundary table'!$A$3:$A$7,1))</f>
        <v>B</v>
      </c>
      <c r="M784" s="16">
        <v>82</v>
      </c>
      <c r="N784">
        <f>RANK(M784,$M$2:$M$1001,0)+COUNTIF($M$2:M784,M784)-1</f>
        <v>183</v>
      </c>
      <c r="O784" t="str">
        <f>INDEX('Boundary table'!$B$3:$B$7,MATCH(M784,'Boundary table'!$A$3:$A$7))</f>
        <v>B</v>
      </c>
      <c r="P784">
        <f>Table1[[#This Row],[Math Score]]+Table1[[#This Row],[Reading Score]]+Table1[[#This Row],[Writing Score]]</f>
        <v>243</v>
      </c>
      <c r="Q784" s="16">
        <f>COUNTIF(Table1[[#This Row],[Math Score]],"&lt;60")+COUNTIF(Table1[[#This Row],[Reading Score]],"&lt;60")+COUNTIF(Table1[[#This Row],[Writing Score]],"&lt;60")</f>
        <v>0</v>
      </c>
      <c r="R784" t="str">
        <f>IF(Table1[[#This Row],[Fail Count]]&gt;=2,"At risk","OK")</f>
        <v>OK</v>
      </c>
    </row>
    <row r="785" spans="1:18">
      <c r="A785" t="str">
        <f t="shared" si="12"/>
        <v>Stu-784</v>
      </c>
      <c r="B785" t="s">
        <v>11</v>
      </c>
      <c r="C785" t="s">
        <v>19</v>
      </c>
      <c r="D785" t="s">
        <v>29</v>
      </c>
      <c r="E785" t="s">
        <v>14</v>
      </c>
      <c r="F785" t="s">
        <v>21</v>
      </c>
      <c r="G785" s="16">
        <v>52</v>
      </c>
      <c r="H785">
        <f>RANK(G785,$G$2:$G$1001,0)+COUNTIF($G$2:G785,G785)-1</f>
        <v>835</v>
      </c>
      <c r="I785" t="str">
        <f>INDEX('Boundary table'!$B$3:$B$7,MATCH(G785,'Boundary table'!$A$3:$A$7,1))</f>
        <v>F</v>
      </c>
      <c r="J785" s="16">
        <v>59</v>
      </c>
      <c r="K785">
        <f>RANK(J785,$J$2:$J$1001,0)+COUNTIF($J$2:J785,J785)-1</f>
        <v>761</v>
      </c>
      <c r="L785" t="str">
        <f>INDEX('Boundary table'!$B$3:$B$7,MATCH(J785,'Boundary table'!$A$3:$A$7,1))</f>
        <v>F</v>
      </c>
      <c r="M785" s="16">
        <v>62</v>
      </c>
      <c r="N785">
        <f>RANK(M785,$M$2:$M$1001,0)+COUNTIF($M$2:M785,M785)-1</f>
        <v>675</v>
      </c>
      <c r="O785" t="str">
        <f>INDEX('Boundary table'!$B$3:$B$7,MATCH(M785,'Boundary table'!$A$3:$A$7))</f>
        <v>D</v>
      </c>
      <c r="P785">
        <f>Table1[[#This Row],[Math Score]]+Table1[[#This Row],[Reading Score]]+Table1[[#This Row],[Writing Score]]</f>
        <v>173</v>
      </c>
      <c r="Q785" s="16">
        <f>COUNTIF(Table1[[#This Row],[Math Score]],"&lt;60")+COUNTIF(Table1[[#This Row],[Reading Score]],"&lt;60")+COUNTIF(Table1[[#This Row],[Writing Score]],"&lt;60")</f>
        <v>2</v>
      </c>
      <c r="R785" t="str">
        <f>IF(Table1[[#This Row],[Fail Count]]&gt;=2,"At risk","OK")</f>
        <v>At risk</v>
      </c>
    </row>
    <row r="786" spans="1:18">
      <c r="A786" t="str">
        <f t="shared" si="12"/>
        <v>Stu-785</v>
      </c>
      <c r="B786" t="s">
        <v>27</v>
      </c>
      <c r="C786" t="s">
        <v>19</v>
      </c>
      <c r="D786" t="s">
        <v>13</v>
      </c>
      <c r="E786" t="s">
        <v>14</v>
      </c>
      <c r="F786" t="s">
        <v>21</v>
      </c>
      <c r="G786" s="16">
        <v>91</v>
      </c>
      <c r="H786">
        <f>RANK(G786,$G$2:$G$1001,0)+COUNTIF($G$2:G786,G786)-1</f>
        <v>47</v>
      </c>
      <c r="I786" t="str">
        <f>INDEX('Boundary table'!$B$3:$B$7,MATCH(G786,'Boundary table'!$A$3:$A$7,1))</f>
        <v>A</v>
      </c>
      <c r="J786" s="16">
        <v>81</v>
      </c>
      <c r="K786">
        <f>RANK(J786,$J$2:$J$1001,0)+COUNTIF($J$2:J786,J786)-1</f>
        <v>231</v>
      </c>
      <c r="L786" t="str">
        <f>INDEX('Boundary table'!$B$3:$B$7,MATCH(J786,'Boundary table'!$A$3:$A$7,1))</f>
        <v>B</v>
      </c>
      <c r="M786" s="16">
        <v>79</v>
      </c>
      <c r="N786">
        <f>RANK(M786,$M$2:$M$1001,0)+COUNTIF($M$2:M786,M786)-1</f>
        <v>252</v>
      </c>
      <c r="O786" t="str">
        <f>INDEX('Boundary table'!$B$3:$B$7,MATCH(M786,'Boundary table'!$A$3:$A$7))</f>
        <v>C</v>
      </c>
      <c r="P786">
        <f>Table1[[#This Row],[Math Score]]+Table1[[#This Row],[Reading Score]]+Table1[[#This Row],[Writing Score]]</f>
        <v>251</v>
      </c>
      <c r="Q786" s="16">
        <f>COUNTIF(Table1[[#This Row],[Math Score]],"&lt;60")+COUNTIF(Table1[[#This Row],[Reading Score]],"&lt;60")+COUNTIF(Table1[[#This Row],[Writing Score]],"&lt;60")</f>
        <v>0</v>
      </c>
      <c r="R786" t="str">
        <f>IF(Table1[[#This Row],[Fail Count]]&gt;=2,"At risk","OK")</f>
        <v>OK</v>
      </c>
    </row>
    <row r="787" spans="1:18">
      <c r="A787" t="str">
        <f t="shared" si="12"/>
        <v>Stu-786</v>
      </c>
      <c r="B787" t="s">
        <v>11</v>
      </c>
      <c r="C787" t="s">
        <v>12</v>
      </c>
      <c r="D787" t="s">
        <v>33</v>
      </c>
      <c r="E787" t="s">
        <v>14</v>
      </c>
      <c r="F787" t="s">
        <v>21</v>
      </c>
      <c r="G787" s="16">
        <v>32</v>
      </c>
      <c r="H787">
        <f>RANK(G787,$G$2:$G$1001,0)+COUNTIF($G$2:G787,G787)-1</f>
        <v>983</v>
      </c>
      <c r="I787" t="str">
        <f>INDEX('Boundary table'!$B$3:$B$7,MATCH(G787,'Boundary table'!$A$3:$A$7,1))</f>
        <v>F</v>
      </c>
      <c r="J787" s="16">
        <v>51</v>
      </c>
      <c r="K787">
        <f>RANK(J787,$J$2:$J$1001,0)+COUNTIF($J$2:J787,J787)-1</f>
        <v>899</v>
      </c>
      <c r="L787" t="str">
        <f>INDEX('Boundary table'!$B$3:$B$7,MATCH(J787,'Boundary table'!$A$3:$A$7,1))</f>
        <v>F</v>
      </c>
      <c r="M787" s="16">
        <v>44</v>
      </c>
      <c r="N787">
        <f>RANK(M787,$M$2:$M$1001,0)+COUNTIF($M$2:M787,M787)-1</f>
        <v>936</v>
      </c>
      <c r="O787" t="str">
        <f>INDEX('Boundary table'!$B$3:$B$7,MATCH(M787,'Boundary table'!$A$3:$A$7))</f>
        <v>F</v>
      </c>
      <c r="P787">
        <f>Table1[[#This Row],[Math Score]]+Table1[[#This Row],[Reading Score]]+Table1[[#This Row],[Writing Score]]</f>
        <v>127</v>
      </c>
      <c r="Q787" s="16">
        <f>COUNTIF(Table1[[#This Row],[Math Score]],"&lt;60")+COUNTIF(Table1[[#This Row],[Reading Score]],"&lt;60")+COUNTIF(Table1[[#This Row],[Writing Score]],"&lt;60")</f>
        <v>3</v>
      </c>
      <c r="R787" t="str">
        <f>IF(Table1[[#This Row],[Fail Count]]&gt;=2,"At risk","OK")</f>
        <v>At risk</v>
      </c>
    </row>
    <row r="788" spans="1:18">
      <c r="A788" t="str">
        <f t="shared" si="12"/>
        <v>Stu-787</v>
      </c>
      <c r="B788" t="s">
        <v>11</v>
      </c>
      <c r="C788" t="s">
        <v>34</v>
      </c>
      <c r="D788" t="s">
        <v>33</v>
      </c>
      <c r="E788" t="s">
        <v>30</v>
      </c>
      <c r="F788" t="s">
        <v>15</v>
      </c>
      <c r="G788" s="16">
        <v>72</v>
      </c>
      <c r="H788">
        <f>RANK(G788,$G$2:$G$1001,0)+COUNTIF($G$2:G788,G788)-1</f>
        <v>360</v>
      </c>
      <c r="I788" t="str">
        <f>INDEX('Boundary table'!$B$3:$B$7,MATCH(G788,'Boundary table'!$A$3:$A$7,1))</f>
        <v>C</v>
      </c>
      <c r="J788" s="16">
        <v>79</v>
      </c>
      <c r="K788">
        <f>RANK(J788,$J$2:$J$1001,0)+COUNTIF($J$2:J788,J788)-1</f>
        <v>267</v>
      </c>
      <c r="L788" t="str">
        <f>INDEX('Boundary table'!$B$3:$B$7,MATCH(J788,'Boundary table'!$A$3:$A$7,1))</f>
        <v>C</v>
      </c>
      <c r="M788" s="16">
        <v>77</v>
      </c>
      <c r="N788">
        <f>RANK(M788,$M$2:$M$1001,0)+COUNTIF($M$2:M788,M788)-1</f>
        <v>299</v>
      </c>
      <c r="O788" t="str">
        <f>INDEX('Boundary table'!$B$3:$B$7,MATCH(M788,'Boundary table'!$A$3:$A$7))</f>
        <v>C</v>
      </c>
      <c r="P788">
        <f>Table1[[#This Row],[Math Score]]+Table1[[#This Row],[Reading Score]]+Table1[[#This Row],[Writing Score]]</f>
        <v>228</v>
      </c>
      <c r="Q788" s="16">
        <f>COUNTIF(Table1[[#This Row],[Math Score]],"&lt;60")+COUNTIF(Table1[[#This Row],[Reading Score]],"&lt;60")+COUNTIF(Table1[[#This Row],[Writing Score]],"&lt;60")</f>
        <v>0</v>
      </c>
      <c r="R788" t="str">
        <f>IF(Table1[[#This Row],[Fail Count]]&gt;=2,"At risk","OK")</f>
        <v>OK</v>
      </c>
    </row>
    <row r="789" spans="1:18">
      <c r="A789" t="str">
        <f t="shared" si="12"/>
        <v>Stu-788</v>
      </c>
      <c r="B789" t="s">
        <v>11</v>
      </c>
      <c r="C789" t="s">
        <v>12</v>
      </c>
      <c r="D789" t="s">
        <v>20</v>
      </c>
      <c r="E789" t="s">
        <v>14</v>
      </c>
      <c r="F789" t="s">
        <v>15</v>
      </c>
      <c r="G789" s="16">
        <v>19</v>
      </c>
      <c r="H789">
        <f>RANK(G789,$G$2:$G$1001,0)+COUNTIF($G$2:G789,G789)-1</f>
        <v>997</v>
      </c>
      <c r="I789" t="str">
        <f>INDEX('Boundary table'!$B$3:$B$7,MATCH(G789,'Boundary table'!$A$3:$A$7,1))</f>
        <v>F</v>
      </c>
      <c r="J789" s="16">
        <v>38</v>
      </c>
      <c r="K789">
        <f>RANK(J789,$J$2:$J$1001,0)+COUNTIF($J$2:J789,J789)-1</f>
        <v>982</v>
      </c>
      <c r="L789" t="str">
        <f>INDEX('Boundary table'!$B$3:$B$7,MATCH(J789,'Boundary table'!$A$3:$A$7,1))</f>
        <v>F</v>
      </c>
      <c r="M789" s="16">
        <v>32</v>
      </c>
      <c r="N789">
        <f>RANK(M789,$M$2:$M$1001,0)+COUNTIF($M$2:M789,M789)-1</f>
        <v>990</v>
      </c>
      <c r="O789" t="str">
        <f>INDEX('Boundary table'!$B$3:$B$7,MATCH(M789,'Boundary table'!$A$3:$A$7))</f>
        <v>F</v>
      </c>
      <c r="P789">
        <f>Table1[[#This Row],[Math Score]]+Table1[[#This Row],[Reading Score]]+Table1[[#This Row],[Writing Score]]</f>
        <v>89</v>
      </c>
      <c r="Q789" s="16">
        <f>COUNTIF(Table1[[#This Row],[Math Score]],"&lt;60")+COUNTIF(Table1[[#This Row],[Reading Score]],"&lt;60")+COUNTIF(Table1[[#This Row],[Writing Score]],"&lt;60")</f>
        <v>3</v>
      </c>
      <c r="R789" t="str">
        <f>IF(Table1[[#This Row],[Fail Count]]&gt;=2,"At risk","OK")</f>
        <v>At risk</v>
      </c>
    </row>
    <row r="790" spans="1:18">
      <c r="A790" t="str">
        <f t="shared" si="12"/>
        <v>Stu-789</v>
      </c>
      <c r="B790" t="s">
        <v>27</v>
      </c>
      <c r="C790" t="s">
        <v>19</v>
      </c>
      <c r="D790" t="s">
        <v>29</v>
      </c>
      <c r="E790" t="s">
        <v>30</v>
      </c>
      <c r="F790" t="s">
        <v>15</v>
      </c>
      <c r="G790" s="16">
        <v>68</v>
      </c>
      <c r="H790">
        <f>RANK(G790,$G$2:$G$1001,0)+COUNTIF($G$2:G790,G790)-1</f>
        <v>463</v>
      </c>
      <c r="I790" t="str">
        <f>INDEX('Boundary table'!$B$3:$B$7,MATCH(G790,'Boundary table'!$A$3:$A$7,1))</f>
        <v>D</v>
      </c>
      <c r="J790" s="16">
        <v>65</v>
      </c>
      <c r="K790">
        <f>RANK(J790,$J$2:$J$1001,0)+COUNTIF($J$2:J790,J790)-1</f>
        <v>621</v>
      </c>
      <c r="L790" t="str">
        <f>INDEX('Boundary table'!$B$3:$B$7,MATCH(J790,'Boundary table'!$A$3:$A$7,1))</f>
        <v>D</v>
      </c>
      <c r="M790" s="16">
        <v>61</v>
      </c>
      <c r="N790">
        <f>RANK(M790,$M$2:$M$1001,0)+COUNTIF($M$2:M790,M790)-1</f>
        <v>693</v>
      </c>
      <c r="O790" t="str">
        <f>INDEX('Boundary table'!$B$3:$B$7,MATCH(M790,'Boundary table'!$A$3:$A$7))</f>
        <v>D</v>
      </c>
      <c r="P790">
        <f>Table1[[#This Row],[Math Score]]+Table1[[#This Row],[Reading Score]]+Table1[[#This Row],[Writing Score]]</f>
        <v>194</v>
      </c>
      <c r="Q790" s="16">
        <f>COUNTIF(Table1[[#This Row],[Math Score]],"&lt;60")+COUNTIF(Table1[[#This Row],[Reading Score]],"&lt;60")+COUNTIF(Table1[[#This Row],[Writing Score]],"&lt;60")</f>
        <v>0</v>
      </c>
      <c r="R790" t="str">
        <f>IF(Table1[[#This Row],[Fail Count]]&gt;=2,"At risk","OK")</f>
        <v>OK</v>
      </c>
    </row>
    <row r="791" spans="1:18">
      <c r="A791" t="str">
        <f t="shared" si="12"/>
        <v>Stu-790</v>
      </c>
      <c r="B791" t="s">
        <v>11</v>
      </c>
      <c r="C791" t="s">
        <v>19</v>
      </c>
      <c r="D791" t="s">
        <v>26</v>
      </c>
      <c r="E791" t="s">
        <v>30</v>
      </c>
      <c r="F791" t="s">
        <v>15</v>
      </c>
      <c r="G791" s="16">
        <v>52</v>
      </c>
      <c r="H791">
        <f>RANK(G791,$G$2:$G$1001,0)+COUNTIF($G$2:G791,G791)-1</f>
        <v>836</v>
      </c>
      <c r="I791" t="str">
        <f>INDEX('Boundary table'!$B$3:$B$7,MATCH(G791,'Boundary table'!$A$3:$A$7,1))</f>
        <v>F</v>
      </c>
      <c r="J791" s="16">
        <v>65</v>
      </c>
      <c r="K791">
        <f>RANK(J791,$J$2:$J$1001,0)+COUNTIF($J$2:J791,J791)-1</f>
        <v>622</v>
      </c>
      <c r="L791" t="str">
        <f>INDEX('Boundary table'!$B$3:$B$7,MATCH(J791,'Boundary table'!$A$3:$A$7,1))</f>
        <v>D</v>
      </c>
      <c r="M791" s="16">
        <v>61</v>
      </c>
      <c r="N791">
        <f>RANK(M791,$M$2:$M$1001,0)+COUNTIF($M$2:M791,M791)-1</f>
        <v>694</v>
      </c>
      <c r="O791" t="str">
        <f>INDEX('Boundary table'!$B$3:$B$7,MATCH(M791,'Boundary table'!$A$3:$A$7))</f>
        <v>D</v>
      </c>
      <c r="P791">
        <f>Table1[[#This Row],[Math Score]]+Table1[[#This Row],[Reading Score]]+Table1[[#This Row],[Writing Score]]</f>
        <v>178</v>
      </c>
      <c r="Q791" s="16">
        <f>COUNTIF(Table1[[#This Row],[Math Score]],"&lt;60")+COUNTIF(Table1[[#This Row],[Reading Score]],"&lt;60")+COUNTIF(Table1[[#This Row],[Writing Score]],"&lt;60")</f>
        <v>1</v>
      </c>
      <c r="R791" t="str">
        <f>IF(Table1[[#This Row],[Fail Count]]&gt;=2,"At risk","OK")</f>
        <v>OK</v>
      </c>
    </row>
    <row r="792" spans="1:18">
      <c r="A792" t="str">
        <f t="shared" si="12"/>
        <v>Stu-791</v>
      </c>
      <c r="B792" t="s">
        <v>11</v>
      </c>
      <c r="C792" t="s">
        <v>12</v>
      </c>
      <c r="D792" t="s">
        <v>32</v>
      </c>
      <c r="E792" t="s">
        <v>14</v>
      </c>
      <c r="F792" t="s">
        <v>15</v>
      </c>
      <c r="G792" s="16">
        <v>48</v>
      </c>
      <c r="H792">
        <f>RANK(G792,$G$2:$G$1001,0)+COUNTIF($G$2:G792,G792)-1</f>
        <v>890</v>
      </c>
      <c r="I792" t="str">
        <f>INDEX('Boundary table'!$B$3:$B$7,MATCH(G792,'Boundary table'!$A$3:$A$7,1))</f>
        <v>F</v>
      </c>
      <c r="J792" s="16">
        <v>62</v>
      </c>
      <c r="K792">
        <f>RANK(J792,$J$2:$J$1001,0)+COUNTIF($J$2:J792,J792)-1</f>
        <v>695</v>
      </c>
      <c r="L792" t="str">
        <f>INDEX('Boundary table'!$B$3:$B$7,MATCH(J792,'Boundary table'!$A$3:$A$7,1))</f>
        <v>D</v>
      </c>
      <c r="M792" s="16">
        <v>60</v>
      </c>
      <c r="N792">
        <f>RANK(M792,$M$2:$M$1001,0)+COUNTIF($M$2:M792,M792)-1</f>
        <v>714</v>
      </c>
      <c r="O792" t="str">
        <f>INDEX('Boundary table'!$B$3:$B$7,MATCH(M792,'Boundary table'!$A$3:$A$7))</f>
        <v>D</v>
      </c>
      <c r="P792">
        <f>Table1[[#This Row],[Math Score]]+Table1[[#This Row],[Reading Score]]+Table1[[#This Row],[Writing Score]]</f>
        <v>170</v>
      </c>
      <c r="Q792" s="16">
        <f>COUNTIF(Table1[[#This Row],[Math Score]],"&lt;60")+COUNTIF(Table1[[#This Row],[Reading Score]],"&lt;60")+COUNTIF(Table1[[#This Row],[Writing Score]],"&lt;60")</f>
        <v>1</v>
      </c>
      <c r="R792" t="str">
        <f>IF(Table1[[#This Row],[Fail Count]]&gt;=2,"At risk","OK")</f>
        <v>OK</v>
      </c>
    </row>
    <row r="793" spans="1:18">
      <c r="A793" t="str">
        <f t="shared" si="12"/>
        <v>Stu-792</v>
      </c>
      <c r="B793" t="s">
        <v>11</v>
      </c>
      <c r="C793" t="s">
        <v>31</v>
      </c>
      <c r="D793" t="s">
        <v>20</v>
      </c>
      <c r="E793" t="s">
        <v>30</v>
      </c>
      <c r="F793" t="s">
        <v>15</v>
      </c>
      <c r="G793" s="16">
        <v>60</v>
      </c>
      <c r="H793">
        <f>RANK(G793,$G$2:$G$1001,0)+COUNTIF($G$2:G793,G793)-1</f>
        <v>674</v>
      </c>
      <c r="I793" t="str">
        <f>INDEX('Boundary table'!$B$3:$B$7,MATCH(G793,'Boundary table'!$A$3:$A$7,1))</f>
        <v>D</v>
      </c>
      <c r="J793" s="16">
        <v>66</v>
      </c>
      <c r="K793">
        <f>RANK(J793,$J$2:$J$1001,0)+COUNTIF($J$2:J793,J793)-1</f>
        <v>605</v>
      </c>
      <c r="L793" t="str">
        <f>INDEX('Boundary table'!$B$3:$B$7,MATCH(J793,'Boundary table'!$A$3:$A$7,1))</f>
        <v>D</v>
      </c>
      <c r="M793" s="16">
        <v>70</v>
      </c>
      <c r="N793">
        <f>RANK(M793,$M$2:$M$1001,0)+COUNTIF($M$2:M793,M793)-1</f>
        <v>484</v>
      </c>
      <c r="O793" t="str">
        <f>INDEX('Boundary table'!$B$3:$B$7,MATCH(M793,'Boundary table'!$A$3:$A$7))</f>
        <v>C</v>
      </c>
      <c r="P793">
        <f>Table1[[#This Row],[Math Score]]+Table1[[#This Row],[Reading Score]]+Table1[[#This Row],[Writing Score]]</f>
        <v>196</v>
      </c>
      <c r="Q793" s="16">
        <f>COUNTIF(Table1[[#This Row],[Math Score]],"&lt;60")+COUNTIF(Table1[[#This Row],[Reading Score]],"&lt;60")+COUNTIF(Table1[[#This Row],[Writing Score]],"&lt;60")</f>
        <v>0</v>
      </c>
      <c r="R793" t="str">
        <f>IF(Table1[[#This Row],[Fail Count]]&gt;=2,"At risk","OK")</f>
        <v>OK</v>
      </c>
    </row>
    <row r="794" spans="1:18">
      <c r="A794" t="str">
        <f t="shared" si="12"/>
        <v>Stu-793</v>
      </c>
      <c r="B794" t="s">
        <v>27</v>
      </c>
      <c r="C794" t="s">
        <v>31</v>
      </c>
      <c r="D794" t="s">
        <v>32</v>
      </c>
      <c r="E794" t="s">
        <v>30</v>
      </c>
      <c r="F794" t="s">
        <v>15</v>
      </c>
      <c r="G794" s="16">
        <v>66</v>
      </c>
      <c r="H794">
        <f>RANK(G794,$G$2:$G$1001,0)+COUNTIF($G$2:G794,G794)-1</f>
        <v>515</v>
      </c>
      <c r="I794" t="str">
        <f>INDEX('Boundary table'!$B$3:$B$7,MATCH(G794,'Boundary table'!$A$3:$A$7,1))</f>
        <v>D</v>
      </c>
      <c r="J794" s="16">
        <v>74</v>
      </c>
      <c r="K794">
        <f>RANK(J794,$J$2:$J$1001,0)+COUNTIF($J$2:J794,J794)-1</f>
        <v>398</v>
      </c>
      <c r="L794" t="str">
        <f>INDEX('Boundary table'!$B$3:$B$7,MATCH(J794,'Boundary table'!$A$3:$A$7,1))</f>
        <v>C</v>
      </c>
      <c r="M794" s="16">
        <v>69</v>
      </c>
      <c r="N794">
        <f>RANK(M794,$M$2:$M$1001,0)+COUNTIF($M$2:M794,M794)-1</f>
        <v>505</v>
      </c>
      <c r="O794" t="str">
        <f>INDEX('Boundary table'!$B$3:$B$7,MATCH(M794,'Boundary table'!$A$3:$A$7))</f>
        <v>D</v>
      </c>
      <c r="P794">
        <f>Table1[[#This Row],[Math Score]]+Table1[[#This Row],[Reading Score]]+Table1[[#This Row],[Writing Score]]</f>
        <v>209</v>
      </c>
      <c r="Q794" s="16">
        <f>COUNTIF(Table1[[#This Row],[Math Score]],"&lt;60")+COUNTIF(Table1[[#This Row],[Reading Score]],"&lt;60")+COUNTIF(Table1[[#This Row],[Writing Score]],"&lt;60")</f>
        <v>0</v>
      </c>
      <c r="R794" t="str">
        <f>IF(Table1[[#This Row],[Fail Count]]&gt;=2,"At risk","OK")</f>
        <v>OK</v>
      </c>
    </row>
    <row r="795" spans="1:18">
      <c r="A795" t="str">
        <f t="shared" si="12"/>
        <v>Stu-794</v>
      </c>
      <c r="B795" t="s">
        <v>27</v>
      </c>
      <c r="C795" t="s">
        <v>34</v>
      </c>
      <c r="D795" t="s">
        <v>33</v>
      </c>
      <c r="E795" t="s">
        <v>14</v>
      </c>
      <c r="F795" t="s">
        <v>21</v>
      </c>
      <c r="G795" s="16">
        <v>89</v>
      </c>
      <c r="H795">
        <f>RANK(G795,$G$2:$G$1001,0)+COUNTIF($G$2:G795,G795)-1</f>
        <v>63</v>
      </c>
      <c r="I795" t="str">
        <f>INDEX('Boundary table'!$B$3:$B$7,MATCH(G795,'Boundary table'!$A$3:$A$7,1))</f>
        <v>B</v>
      </c>
      <c r="J795" s="16">
        <v>84</v>
      </c>
      <c r="K795">
        <f>RANK(J795,$J$2:$J$1001,0)+COUNTIF($J$2:J795,J795)-1</f>
        <v>168</v>
      </c>
      <c r="L795" t="str">
        <f>INDEX('Boundary table'!$B$3:$B$7,MATCH(J795,'Boundary table'!$A$3:$A$7,1))</f>
        <v>B</v>
      </c>
      <c r="M795" s="16">
        <v>77</v>
      </c>
      <c r="N795">
        <f>RANK(M795,$M$2:$M$1001,0)+COUNTIF($M$2:M795,M795)-1</f>
        <v>300</v>
      </c>
      <c r="O795" t="str">
        <f>INDEX('Boundary table'!$B$3:$B$7,MATCH(M795,'Boundary table'!$A$3:$A$7))</f>
        <v>C</v>
      </c>
      <c r="P795">
        <f>Table1[[#This Row],[Math Score]]+Table1[[#This Row],[Reading Score]]+Table1[[#This Row],[Writing Score]]</f>
        <v>250</v>
      </c>
      <c r="Q795" s="16">
        <f>COUNTIF(Table1[[#This Row],[Math Score]],"&lt;60")+COUNTIF(Table1[[#This Row],[Reading Score]],"&lt;60")+COUNTIF(Table1[[#This Row],[Writing Score]],"&lt;60")</f>
        <v>0</v>
      </c>
      <c r="R795" t="str">
        <f>IF(Table1[[#This Row],[Fail Count]]&gt;=2,"At risk","OK")</f>
        <v>OK</v>
      </c>
    </row>
    <row r="796" spans="1:18">
      <c r="A796" t="str">
        <f t="shared" si="12"/>
        <v>Stu-795</v>
      </c>
      <c r="B796" t="s">
        <v>11</v>
      </c>
      <c r="C796" t="s">
        <v>12</v>
      </c>
      <c r="D796" t="s">
        <v>32</v>
      </c>
      <c r="E796" t="s">
        <v>14</v>
      </c>
      <c r="F796" t="s">
        <v>15</v>
      </c>
      <c r="G796" s="16">
        <v>42</v>
      </c>
      <c r="H796">
        <f>RANK(G796,$G$2:$G$1001,0)+COUNTIF($G$2:G796,G796)-1</f>
        <v>944</v>
      </c>
      <c r="I796" t="str">
        <f>INDEX('Boundary table'!$B$3:$B$7,MATCH(G796,'Boundary table'!$A$3:$A$7,1))</f>
        <v>F</v>
      </c>
      <c r="J796" s="16">
        <v>52</v>
      </c>
      <c r="K796">
        <f>RANK(J796,$J$2:$J$1001,0)+COUNTIF($J$2:J796,J796)-1</f>
        <v>884</v>
      </c>
      <c r="L796" t="str">
        <f>INDEX('Boundary table'!$B$3:$B$7,MATCH(J796,'Boundary table'!$A$3:$A$7,1))</f>
        <v>F</v>
      </c>
      <c r="M796" s="16">
        <v>51</v>
      </c>
      <c r="N796">
        <f>RANK(M796,$M$2:$M$1001,0)+COUNTIF($M$2:M796,M796)-1</f>
        <v>869</v>
      </c>
      <c r="O796" t="str">
        <f>INDEX('Boundary table'!$B$3:$B$7,MATCH(M796,'Boundary table'!$A$3:$A$7))</f>
        <v>F</v>
      </c>
      <c r="P796">
        <f>Table1[[#This Row],[Math Score]]+Table1[[#This Row],[Reading Score]]+Table1[[#This Row],[Writing Score]]</f>
        <v>145</v>
      </c>
      <c r="Q796" s="16">
        <f>COUNTIF(Table1[[#This Row],[Math Score]],"&lt;60")+COUNTIF(Table1[[#This Row],[Reading Score]],"&lt;60")+COUNTIF(Table1[[#This Row],[Writing Score]],"&lt;60")</f>
        <v>3</v>
      </c>
      <c r="R796" t="str">
        <f>IF(Table1[[#This Row],[Fail Count]]&gt;=2,"At risk","OK")</f>
        <v>At risk</v>
      </c>
    </row>
    <row r="797" spans="1:18">
      <c r="A797" t="str">
        <f t="shared" si="12"/>
        <v>Stu-796</v>
      </c>
      <c r="B797" t="s">
        <v>11</v>
      </c>
      <c r="C797" t="s">
        <v>34</v>
      </c>
      <c r="D797" t="s">
        <v>29</v>
      </c>
      <c r="E797" t="s">
        <v>30</v>
      </c>
      <c r="F797" t="s">
        <v>21</v>
      </c>
      <c r="G797" s="16">
        <v>57</v>
      </c>
      <c r="H797">
        <f>RANK(G797,$G$2:$G$1001,0)+COUNTIF($G$2:G797,G797)-1</f>
        <v>746</v>
      </c>
      <c r="I797" t="str">
        <f>INDEX('Boundary table'!$B$3:$B$7,MATCH(G797,'Boundary table'!$A$3:$A$7,1))</f>
        <v>F</v>
      </c>
      <c r="J797" s="16">
        <v>68</v>
      </c>
      <c r="K797">
        <f>RANK(J797,$J$2:$J$1001,0)+COUNTIF($J$2:J797,J797)-1</f>
        <v>545</v>
      </c>
      <c r="L797" t="str">
        <f>INDEX('Boundary table'!$B$3:$B$7,MATCH(J797,'Boundary table'!$A$3:$A$7,1))</f>
        <v>D</v>
      </c>
      <c r="M797" s="16">
        <v>73</v>
      </c>
      <c r="N797">
        <f>RANK(M797,$M$2:$M$1001,0)+COUNTIF($M$2:M797,M797)-1</f>
        <v>408</v>
      </c>
      <c r="O797" t="str">
        <f>INDEX('Boundary table'!$B$3:$B$7,MATCH(M797,'Boundary table'!$A$3:$A$7))</f>
        <v>C</v>
      </c>
      <c r="P797">
        <f>Table1[[#This Row],[Math Score]]+Table1[[#This Row],[Reading Score]]+Table1[[#This Row],[Writing Score]]</f>
        <v>198</v>
      </c>
      <c r="Q797" s="16">
        <f>COUNTIF(Table1[[#This Row],[Math Score]],"&lt;60")+COUNTIF(Table1[[#This Row],[Reading Score]],"&lt;60")+COUNTIF(Table1[[#This Row],[Writing Score]],"&lt;60")</f>
        <v>1</v>
      </c>
      <c r="R797" t="str">
        <f>IF(Table1[[#This Row],[Fail Count]]&gt;=2,"At risk","OK")</f>
        <v>OK</v>
      </c>
    </row>
    <row r="798" spans="1:18">
      <c r="A798" t="str">
        <f t="shared" si="12"/>
        <v>Stu-797</v>
      </c>
      <c r="B798" t="s">
        <v>27</v>
      </c>
      <c r="C798" t="s">
        <v>31</v>
      </c>
      <c r="D798" t="s">
        <v>32</v>
      </c>
      <c r="E798" t="s">
        <v>14</v>
      </c>
      <c r="F798" t="s">
        <v>15</v>
      </c>
      <c r="G798" s="16">
        <v>70</v>
      </c>
      <c r="H798">
        <f>RANK(G798,$G$2:$G$1001,0)+COUNTIF($G$2:G798,G798)-1</f>
        <v>404</v>
      </c>
      <c r="I798" t="str">
        <f>INDEX('Boundary table'!$B$3:$B$7,MATCH(G798,'Boundary table'!$A$3:$A$7,1))</f>
        <v>C</v>
      </c>
      <c r="J798" s="16">
        <v>70</v>
      </c>
      <c r="K798">
        <f>RANK(J798,$J$2:$J$1001,0)+COUNTIF($J$2:J798,J798)-1</f>
        <v>507</v>
      </c>
      <c r="L798" t="str">
        <f>INDEX('Boundary table'!$B$3:$B$7,MATCH(J798,'Boundary table'!$A$3:$A$7,1))</f>
        <v>C</v>
      </c>
      <c r="M798" s="16">
        <v>70</v>
      </c>
      <c r="N798">
        <f>RANK(M798,$M$2:$M$1001,0)+COUNTIF($M$2:M798,M798)-1</f>
        <v>485</v>
      </c>
      <c r="O798" t="str">
        <f>INDEX('Boundary table'!$B$3:$B$7,MATCH(M798,'Boundary table'!$A$3:$A$7))</f>
        <v>C</v>
      </c>
      <c r="P798">
        <f>Table1[[#This Row],[Math Score]]+Table1[[#This Row],[Reading Score]]+Table1[[#This Row],[Writing Score]]</f>
        <v>210</v>
      </c>
      <c r="Q798" s="16">
        <f>COUNTIF(Table1[[#This Row],[Math Score]],"&lt;60")+COUNTIF(Table1[[#This Row],[Reading Score]],"&lt;60")+COUNTIF(Table1[[#This Row],[Writing Score]],"&lt;60")</f>
        <v>0</v>
      </c>
      <c r="R798" t="str">
        <f>IF(Table1[[#This Row],[Fail Count]]&gt;=2,"At risk","OK")</f>
        <v>OK</v>
      </c>
    </row>
    <row r="799" spans="1:18">
      <c r="A799" t="str">
        <f t="shared" si="12"/>
        <v>Stu-798</v>
      </c>
      <c r="B799" t="s">
        <v>11</v>
      </c>
      <c r="C799" t="s">
        <v>34</v>
      </c>
      <c r="D799" t="s">
        <v>29</v>
      </c>
      <c r="E799" t="s">
        <v>30</v>
      </c>
      <c r="F799" t="s">
        <v>15</v>
      </c>
      <c r="G799" s="16">
        <v>70</v>
      </c>
      <c r="H799">
        <f>RANK(G799,$G$2:$G$1001,0)+COUNTIF($G$2:G799,G799)-1</f>
        <v>405</v>
      </c>
      <c r="I799" t="str">
        <f>INDEX('Boundary table'!$B$3:$B$7,MATCH(G799,'Boundary table'!$A$3:$A$7,1))</f>
        <v>C</v>
      </c>
      <c r="J799" s="16">
        <v>84</v>
      </c>
      <c r="K799">
        <f>RANK(J799,$J$2:$J$1001,0)+COUNTIF($J$2:J799,J799)-1</f>
        <v>169</v>
      </c>
      <c r="L799" t="str">
        <f>INDEX('Boundary table'!$B$3:$B$7,MATCH(J799,'Boundary table'!$A$3:$A$7,1))</f>
        <v>B</v>
      </c>
      <c r="M799" s="16">
        <v>81</v>
      </c>
      <c r="N799">
        <f>RANK(M799,$M$2:$M$1001,0)+COUNTIF($M$2:M799,M799)-1</f>
        <v>205</v>
      </c>
      <c r="O799" t="str">
        <f>INDEX('Boundary table'!$B$3:$B$7,MATCH(M799,'Boundary table'!$A$3:$A$7))</f>
        <v>B</v>
      </c>
      <c r="P799">
        <f>Table1[[#This Row],[Math Score]]+Table1[[#This Row],[Reading Score]]+Table1[[#This Row],[Writing Score]]</f>
        <v>235</v>
      </c>
      <c r="Q799" s="16">
        <f>COUNTIF(Table1[[#This Row],[Math Score]],"&lt;60")+COUNTIF(Table1[[#This Row],[Reading Score]],"&lt;60")+COUNTIF(Table1[[#This Row],[Writing Score]],"&lt;60")</f>
        <v>0</v>
      </c>
      <c r="R799" t="str">
        <f>IF(Table1[[#This Row],[Fail Count]]&gt;=2,"At risk","OK")</f>
        <v>OK</v>
      </c>
    </row>
    <row r="800" spans="1:18">
      <c r="A800" t="str">
        <f t="shared" si="12"/>
        <v>Stu-799</v>
      </c>
      <c r="B800" t="s">
        <v>27</v>
      </c>
      <c r="C800" t="s">
        <v>34</v>
      </c>
      <c r="D800" t="s">
        <v>20</v>
      </c>
      <c r="E800" t="s">
        <v>14</v>
      </c>
      <c r="F800" t="s">
        <v>15</v>
      </c>
      <c r="G800" s="16">
        <v>69</v>
      </c>
      <c r="H800">
        <f>RANK(G800,$G$2:$G$1001,0)+COUNTIF($G$2:G800,G800)-1</f>
        <v>437</v>
      </c>
      <c r="I800" t="str">
        <f>INDEX('Boundary table'!$B$3:$B$7,MATCH(G800,'Boundary table'!$A$3:$A$7,1))</f>
        <v>D</v>
      </c>
      <c r="J800" s="16">
        <v>60</v>
      </c>
      <c r="K800">
        <f>RANK(J800,$J$2:$J$1001,0)+COUNTIF($J$2:J800,J800)-1</f>
        <v>744</v>
      </c>
      <c r="L800" t="str">
        <f>INDEX('Boundary table'!$B$3:$B$7,MATCH(J800,'Boundary table'!$A$3:$A$7,1))</f>
        <v>D</v>
      </c>
      <c r="M800" s="16">
        <v>54</v>
      </c>
      <c r="N800">
        <f>RANK(M800,$M$2:$M$1001,0)+COUNTIF($M$2:M800,M800)-1</f>
        <v>818</v>
      </c>
      <c r="O800" t="str">
        <f>INDEX('Boundary table'!$B$3:$B$7,MATCH(M800,'Boundary table'!$A$3:$A$7))</f>
        <v>F</v>
      </c>
      <c r="P800">
        <f>Table1[[#This Row],[Math Score]]+Table1[[#This Row],[Reading Score]]+Table1[[#This Row],[Writing Score]]</f>
        <v>183</v>
      </c>
      <c r="Q800" s="16">
        <f>COUNTIF(Table1[[#This Row],[Math Score]],"&lt;60")+COUNTIF(Table1[[#This Row],[Reading Score]],"&lt;60")+COUNTIF(Table1[[#This Row],[Writing Score]],"&lt;60")</f>
        <v>1</v>
      </c>
      <c r="R800" t="str">
        <f>IF(Table1[[#This Row],[Fail Count]]&gt;=2,"At risk","OK")</f>
        <v>OK</v>
      </c>
    </row>
    <row r="801" spans="1:18">
      <c r="A801" t="str">
        <f t="shared" si="12"/>
        <v>Stu-800</v>
      </c>
      <c r="B801" t="s">
        <v>11</v>
      </c>
      <c r="C801" t="s">
        <v>19</v>
      </c>
      <c r="D801" t="s">
        <v>29</v>
      </c>
      <c r="E801" t="s">
        <v>14</v>
      </c>
      <c r="F801" t="s">
        <v>15</v>
      </c>
      <c r="G801" s="16">
        <v>52</v>
      </c>
      <c r="H801">
        <f>RANK(G801,$G$2:$G$1001,0)+COUNTIF($G$2:G801,G801)-1</f>
        <v>837</v>
      </c>
      <c r="I801" t="str">
        <f>INDEX('Boundary table'!$B$3:$B$7,MATCH(G801,'Boundary table'!$A$3:$A$7,1))</f>
        <v>F</v>
      </c>
      <c r="J801" s="16">
        <v>55</v>
      </c>
      <c r="K801">
        <f>RANK(J801,$J$2:$J$1001,0)+COUNTIF($J$2:J801,J801)-1</f>
        <v>839</v>
      </c>
      <c r="L801" t="str">
        <f>INDEX('Boundary table'!$B$3:$B$7,MATCH(J801,'Boundary table'!$A$3:$A$7,1))</f>
        <v>F</v>
      </c>
      <c r="M801" s="16">
        <v>57</v>
      </c>
      <c r="N801">
        <f>RANK(M801,$M$2:$M$1001,0)+COUNTIF($M$2:M801,M801)-1</f>
        <v>766</v>
      </c>
      <c r="O801" t="str">
        <f>INDEX('Boundary table'!$B$3:$B$7,MATCH(M801,'Boundary table'!$A$3:$A$7))</f>
        <v>F</v>
      </c>
      <c r="P801">
        <f>Table1[[#This Row],[Math Score]]+Table1[[#This Row],[Reading Score]]+Table1[[#This Row],[Writing Score]]</f>
        <v>164</v>
      </c>
      <c r="Q801" s="16">
        <f>COUNTIF(Table1[[#This Row],[Math Score]],"&lt;60")+COUNTIF(Table1[[#This Row],[Reading Score]],"&lt;60")+COUNTIF(Table1[[#This Row],[Writing Score]],"&lt;60")</f>
        <v>3</v>
      </c>
      <c r="R801" t="str">
        <f>IF(Table1[[#This Row],[Fail Count]]&gt;=2,"At risk","OK")</f>
        <v>At risk</v>
      </c>
    </row>
    <row r="802" spans="1:18">
      <c r="A802" t="str">
        <f t="shared" si="12"/>
        <v>Stu-801</v>
      </c>
      <c r="B802" t="s">
        <v>27</v>
      </c>
      <c r="C802" t="s">
        <v>19</v>
      </c>
      <c r="D802" t="s">
        <v>33</v>
      </c>
      <c r="E802" t="s">
        <v>14</v>
      </c>
      <c r="F802" t="s">
        <v>21</v>
      </c>
      <c r="G802" s="16">
        <v>67</v>
      </c>
      <c r="H802">
        <f>RANK(G802,$G$2:$G$1001,0)+COUNTIF($G$2:G802,G802)-1</f>
        <v>487</v>
      </c>
      <c r="I802" t="str">
        <f>INDEX('Boundary table'!$B$3:$B$7,MATCH(G802,'Boundary table'!$A$3:$A$7,1))</f>
        <v>D</v>
      </c>
      <c r="J802" s="16">
        <v>73</v>
      </c>
      <c r="K802">
        <f>RANK(J802,$J$2:$J$1001,0)+COUNTIF($J$2:J802,J802)-1</f>
        <v>430</v>
      </c>
      <c r="L802" t="str">
        <f>INDEX('Boundary table'!$B$3:$B$7,MATCH(J802,'Boundary table'!$A$3:$A$7,1))</f>
        <v>C</v>
      </c>
      <c r="M802" s="16">
        <v>68</v>
      </c>
      <c r="N802">
        <f>RANK(M802,$M$2:$M$1001,0)+COUNTIF($M$2:M802,M802)-1</f>
        <v>541</v>
      </c>
      <c r="O802" t="str">
        <f>INDEX('Boundary table'!$B$3:$B$7,MATCH(M802,'Boundary table'!$A$3:$A$7))</f>
        <v>D</v>
      </c>
      <c r="P802">
        <f>Table1[[#This Row],[Math Score]]+Table1[[#This Row],[Reading Score]]+Table1[[#This Row],[Writing Score]]</f>
        <v>208</v>
      </c>
      <c r="Q802" s="16">
        <f>COUNTIF(Table1[[#This Row],[Math Score]],"&lt;60")+COUNTIF(Table1[[#This Row],[Reading Score]],"&lt;60")+COUNTIF(Table1[[#This Row],[Writing Score]],"&lt;60")</f>
        <v>0</v>
      </c>
      <c r="R802" t="str">
        <f>IF(Table1[[#This Row],[Fail Count]]&gt;=2,"At risk","OK")</f>
        <v>OK</v>
      </c>
    </row>
    <row r="803" spans="1:18">
      <c r="A803" t="str">
        <f t="shared" si="12"/>
        <v>Stu-802</v>
      </c>
      <c r="B803" t="s">
        <v>27</v>
      </c>
      <c r="C803" t="s">
        <v>19</v>
      </c>
      <c r="D803" t="s">
        <v>33</v>
      </c>
      <c r="E803" t="s">
        <v>14</v>
      </c>
      <c r="F803" t="s">
        <v>21</v>
      </c>
      <c r="G803" s="16">
        <v>76</v>
      </c>
      <c r="H803">
        <f>RANK(G803,$G$2:$G$1001,0)+COUNTIF($G$2:G803,G803)-1</f>
        <v>274</v>
      </c>
      <c r="I803" t="str">
        <f>INDEX('Boundary table'!$B$3:$B$7,MATCH(G803,'Boundary table'!$A$3:$A$7,1))</f>
        <v>C</v>
      </c>
      <c r="J803" s="16">
        <v>80</v>
      </c>
      <c r="K803">
        <f>RANK(J803,$J$2:$J$1001,0)+COUNTIF($J$2:J803,J803)-1</f>
        <v>248</v>
      </c>
      <c r="L803" t="str">
        <f>INDEX('Boundary table'!$B$3:$B$7,MATCH(J803,'Boundary table'!$A$3:$A$7,1))</f>
        <v>B</v>
      </c>
      <c r="M803" s="16">
        <v>73</v>
      </c>
      <c r="N803">
        <f>RANK(M803,$M$2:$M$1001,0)+COUNTIF($M$2:M803,M803)-1</f>
        <v>409</v>
      </c>
      <c r="O803" t="str">
        <f>INDEX('Boundary table'!$B$3:$B$7,MATCH(M803,'Boundary table'!$A$3:$A$7))</f>
        <v>C</v>
      </c>
      <c r="P803">
        <f>Table1[[#This Row],[Math Score]]+Table1[[#This Row],[Reading Score]]+Table1[[#This Row],[Writing Score]]</f>
        <v>229</v>
      </c>
      <c r="Q803" s="16">
        <f>COUNTIF(Table1[[#This Row],[Math Score]],"&lt;60")+COUNTIF(Table1[[#This Row],[Reading Score]],"&lt;60")+COUNTIF(Table1[[#This Row],[Writing Score]],"&lt;60")</f>
        <v>0</v>
      </c>
      <c r="R803" t="str">
        <f>IF(Table1[[#This Row],[Fail Count]]&gt;=2,"At risk","OK")</f>
        <v>OK</v>
      </c>
    </row>
    <row r="804" spans="1:18">
      <c r="A804" t="str">
        <f t="shared" si="12"/>
        <v>Stu-803</v>
      </c>
      <c r="B804" t="s">
        <v>11</v>
      </c>
      <c r="C804" t="s">
        <v>34</v>
      </c>
      <c r="D804" t="s">
        <v>29</v>
      </c>
      <c r="E804" t="s">
        <v>14</v>
      </c>
      <c r="F804" t="s">
        <v>15</v>
      </c>
      <c r="G804" s="16">
        <v>87</v>
      </c>
      <c r="H804">
        <f>RANK(G804,$G$2:$G$1001,0)+COUNTIF($G$2:G804,G804)-1</f>
        <v>92</v>
      </c>
      <c r="I804" t="str">
        <f>INDEX('Boundary table'!$B$3:$B$7,MATCH(G804,'Boundary table'!$A$3:$A$7,1))</f>
        <v>B</v>
      </c>
      <c r="J804" s="16">
        <v>94</v>
      </c>
      <c r="K804">
        <f>RANK(J804,$J$2:$J$1001,0)+COUNTIF($J$2:J804,J804)-1</f>
        <v>40</v>
      </c>
      <c r="L804" t="str">
        <f>INDEX('Boundary table'!$B$3:$B$7,MATCH(J804,'Boundary table'!$A$3:$A$7,1))</f>
        <v>A</v>
      </c>
      <c r="M804" s="16">
        <v>95</v>
      </c>
      <c r="N804">
        <f>RANK(M804,$M$2:$M$1001,0)+COUNTIF($M$2:M804,M804)-1</f>
        <v>32</v>
      </c>
      <c r="O804" t="str">
        <f>INDEX('Boundary table'!$B$3:$B$7,MATCH(M804,'Boundary table'!$A$3:$A$7))</f>
        <v>A</v>
      </c>
      <c r="P804">
        <f>Table1[[#This Row],[Math Score]]+Table1[[#This Row],[Reading Score]]+Table1[[#This Row],[Writing Score]]</f>
        <v>276</v>
      </c>
      <c r="Q804" s="16">
        <f>COUNTIF(Table1[[#This Row],[Math Score]],"&lt;60")+COUNTIF(Table1[[#This Row],[Reading Score]],"&lt;60")+COUNTIF(Table1[[#This Row],[Writing Score]],"&lt;60")</f>
        <v>0</v>
      </c>
      <c r="R804" t="str">
        <f>IF(Table1[[#This Row],[Fail Count]]&gt;=2,"At risk","OK")</f>
        <v>OK</v>
      </c>
    </row>
    <row r="805" spans="1:18">
      <c r="A805" t="str">
        <f t="shared" si="12"/>
        <v>Stu-804</v>
      </c>
      <c r="B805" t="s">
        <v>11</v>
      </c>
      <c r="C805" t="s">
        <v>12</v>
      </c>
      <c r="D805" t="s">
        <v>20</v>
      </c>
      <c r="E805" t="s">
        <v>14</v>
      </c>
      <c r="F805" t="s">
        <v>15</v>
      </c>
      <c r="G805" s="16">
        <v>82</v>
      </c>
      <c r="H805">
        <f>RANK(G805,$G$2:$G$1001,0)+COUNTIF($G$2:G805,G805)-1</f>
        <v>150</v>
      </c>
      <c r="I805" t="str">
        <f>INDEX('Boundary table'!$B$3:$B$7,MATCH(G805,'Boundary table'!$A$3:$A$7,1))</f>
        <v>B</v>
      </c>
      <c r="J805" s="16">
        <v>85</v>
      </c>
      <c r="K805">
        <f>RANK(J805,$J$2:$J$1001,0)+COUNTIF($J$2:J805,J805)-1</f>
        <v>145</v>
      </c>
      <c r="L805" t="str">
        <f>INDEX('Boundary table'!$B$3:$B$7,MATCH(J805,'Boundary table'!$A$3:$A$7,1))</f>
        <v>B</v>
      </c>
      <c r="M805" s="16">
        <v>87</v>
      </c>
      <c r="N805">
        <f>RANK(M805,$M$2:$M$1001,0)+COUNTIF($M$2:M805,M805)-1</f>
        <v>107</v>
      </c>
      <c r="O805" t="str">
        <f>INDEX('Boundary table'!$B$3:$B$7,MATCH(M805,'Boundary table'!$A$3:$A$7))</f>
        <v>B</v>
      </c>
      <c r="P805">
        <f>Table1[[#This Row],[Math Score]]+Table1[[#This Row],[Reading Score]]+Table1[[#This Row],[Writing Score]]</f>
        <v>254</v>
      </c>
      <c r="Q805" s="16">
        <f>COUNTIF(Table1[[#This Row],[Math Score]],"&lt;60")+COUNTIF(Table1[[#This Row],[Reading Score]],"&lt;60")+COUNTIF(Table1[[#This Row],[Writing Score]],"&lt;60")</f>
        <v>0</v>
      </c>
      <c r="R805" t="str">
        <f>IF(Table1[[#This Row],[Fail Count]]&gt;=2,"At risk","OK")</f>
        <v>OK</v>
      </c>
    </row>
    <row r="806" spans="1:18">
      <c r="A806" t="str">
        <f t="shared" si="12"/>
        <v>Stu-805</v>
      </c>
      <c r="B806" t="s">
        <v>11</v>
      </c>
      <c r="C806" t="s">
        <v>19</v>
      </c>
      <c r="D806" t="s">
        <v>20</v>
      </c>
      <c r="E806" t="s">
        <v>14</v>
      </c>
      <c r="F806" t="s">
        <v>15</v>
      </c>
      <c r="G806" s="16">
        <v>73</v>
      </c>
      <c r="H806">
        <f>RANK(G806,$G$2:$G$1001,0)+COUNTIF($G$2:G806,G806)-1</f>
        <v>345</v>
      </c>
      <c r="I806" t="str">
        <f>INDEX('Boundary table'!$B$3:$B$7,MATCH(G806,'Boundary table'!$A$3:$A$7,1))</f>
        <v>C</v>
      </c>
      <c r="J806" s="16">
        <v>76</v>
      </c>
      <c r="K806">
        <f>RANK(J806,$J$2:$J$1001,0)+COUNTIF($J$2:J806,J806)-1</f>
        <v>339</v>
      </c>
      <c r="L806" t="str">
        <f>INDEX('Boundary table'!$B$3:$B$7,MATCH(J806,'Boundary table'!$A$3:$A$7,1))</f>
        <v>C</v>
      </c>
      <c r="M806" s="16">
        <v>78</v>
      </c>
      <c r="N806">
        <f>RANK(M806,$M$2:$M$1001,0)+COUNTIF($M$2:M806,M806)-1</f>
        <v>276</v>
      </c>
      <c r="O806" t="str">
        <f>INDEX('Boundary table'!$B$3:$B$7,MATCH(M806,'Boundary table'!$A$3:$A$7))</f>
        <v>C</v>
      </c>
      <c r="P806">
        <f>Table1[[#This Row],[Math Score]]+Table1[[#This Row],[Reading Score]]+Table1[[#This Row],[Writing Score]]</f>
        <v>227</v>
      </c>
      <c r="Q806" s="16">
        <f>COUNTIF(Table1[[#This Row],[Math Score]],"&lt;60")+COUNTIF(Table1[[#This Row],[Reading Score]],"&lt;60")+COUNTIF(Table1[[#This Row],[Writing Score]],"&lt;60")</f>
        <v>0</v>
      </c>
      <c r="R806" t="str">
        <f>IF(Table1[[#This Row],[Fail Count]]&gt;=2,"At risk","OK")</f>
        <v>OK</v>
      </c>
    </row>
    <row r="807" spans="1:18">
      <c r="A807" t="str">
        <f t="shared" si="12"/>
        <v>Stu-806</v>
      </c>
      <c r="B807" t="s">
        <v>27</v>
      </c>
      <c r="C807" t="s">
        <v>28</v>
      </c>
      <c r="D807" t="s">
        <v>20</v>
      </c>
      <c r="E807" t="s">
        <v>30</v>
      </c>
      <c r="F807" t="s">
        <v>15</v>
      </c>
      <c r="G807" s="16">
        <v>75</v>
      </c>
      <c r="H807">
        <f>RANK(G807,$G$2:$G$1001,0)+COUNTIF($G$2:G807,G807)-1</f>
        <v>290</v>
      </c>
      <c r="I807" t="str">
        <f>INDEX('Boundary table'!$B$3:$B$7,MATCH(G807,'Boundary table'!$A$3:$A$7,1))</f>
        <v>C</v>
      </c>
      <c r="J807" s="16">
        <v>81</v>
      </c>
      <c r="K807">
        <f>RANK(J807,$J$2:$J$1001,0)+COUNTIF($J$2:J807,J807)-1</f>
        <v>232</v>
      </c>
      <c r="L807" t="str">
        <f>INDEX('Boundary table'!$B$3:$B$7,MATCH(J807,'Boundary table'!$A$3:$A$7,1))</f>
        <v>B</v>
      </c>
      <c r="M807" s="16">
        <v>74</v>
      </c>
      <c r="N807">
        <f>RANK(M807,$M$2:$M$1001,0)+COUNTIF($M$2:M807,M807)-1</f>
        <v>379</v>
      </c>
      <c r="O807" t="str">
        <f>INDEX('Boundary table'!$B$3:$B$7,MATCH(M807,'Boundary table'!$A$3:$A$7))</f>
        <v>C</v>
      </c>
      <c r="P807">
        <f>Table1[[#This Row],[Math Score]]+Table1[[#This Row],[Reading Score]]+Table1[[#This Row],[Writing Score]]</f>
        <v>230</v>
      </c>
      <c r="Q807" s="16">
        <f>COUNTIF(Table1[[#This Row],[Math Score]],"&lt;60")+COUNTIF(Table1[[#This Row],[Reading Score]],"&lt;60")+COUNTIF(Table1[[#This Row],[Writing Score]],"&lt;60")</f>
        <v>0</v>
      </c>
      <c r="R807" t="str">
        <f>IF(Table1[[#This Row],[Fail Count]]&gt;=2,"At risk","OK")</f>
        <v>OK</v>
      </c>
    </row>
    <row r="808" spans="1:18">
      <c r="A808" t="str">
        <f t="shared" si="12"/>
        <v>Stu-807</v>
      </c>
      <c r="B808" t="s">
        <v>11</v>
      </c>
      <c r="C808" t="s">
        <v>31</v>
      </c>
      <c r="D808" t="s">
        <v>20</v>
      </c>
      <c r="E808" t="s">
        <v>30</v>
      </c>
      <c r="F808" t="s">
        <v>15</v>
      </c>
      <c r="G808" s="16">
        <v>64</v>
      </c>
      <c r="H808">
        <f>RANK(G808,$G$2:$G$1001,0)+COUNTIF($G$2:G808,G808)-1</f>
        <v>566</v>
      </c>
      <c r="I808" t="str">
        <f>INDEX('Boundary table'!$B$3:$B$7,MATCH(G808,'Boundary table'!$A$3:$A$7,1))</f>
        <v>D</v>
      </c>
      <c r="J808" s="16">
        <v>74</v>
      </c>
      <c r="K808">
        <f>RANK(J808,$J$2:$J$1001,0)+COUNTIF($J$2:J808,J808)-1</f>
        <v>399</v>
      </c>
      <c r="L808" t="str">
        <f>INDEX('Boundary table'!$B$3:$B$7,MATCH(J808,'Boundary table'!$A$3:$A$7,1))</f>
        <v>C</v>
      </c>
      <c r="M808" s="16">
        <v>75</v>
      </c>
      <c r="N808">
        <f>RANK(M808,$M$2:$M$1001,0)+COUNTIF($M$2:M808,M808)-1</f>
        <v>347</v>
      </c>
      <c r="O808" t="str">
        <f>INDEX('Boundary table'!$B$3:$B$7,MATCH(M808,'Boundary table'!$A$3:$A$7))</f>
        <v>C</v>
      </c>
      <c r="P808">
        <f>Table1[[#This Row],[Math Score]]+Table1[[#This Row],[Reading Score]]+Table1[[#This Row],[Writing Score]]</f>
        <v>213</v>
      </c>
      <c r="Q808" s="16">
        <f>COUNTIF(Table1[[#This Row],[Math Score]],"&lt;60")+COUNTIF(Table1[[#This Row],[Reading Score]],"&lt;60")+COUNTIF(Table1[[#This Row],[Writing Score]],"&lt;60")</f>
        <v>0</v>
      </c>
      <c r="R808" t="str">
        <f>IF(Table1[[#This Row],[Fail Count]]&gt;=2,"At risk","OK")</f>
        <v>OK</v>
      </c>
    </row>
    <row r="809" spans="1:18">
      <c r="A809" t="str">
        <f t="shared" si="12"/>
        <v>Stu-808</v>
      </c>
      <c r="B809" t="s">
        <v>11</v>
      </c>
      <c r="C809" t="s">
        <v>34</v>
      </c>
      <c r="D809" t="s">
        <v>32</v>
      </c>
      <c r="E809" t="s">
        <v>30</v>
      </c>
      <c r="F809" t="s">
        <v>15</v>
      </c>
      <c r="G809" s="16">
        <v>41</v>
      </c>
      <c r="H809">
        <f>RANK(G809,$G$2:$G$1001,0)+COUNTIF($G$2:G809,G809)-1</f>
        <v>950</v>
      </c>
      <c r="I809" t="str">
        <f>INDEX('Boundary table'!$B$3:$B$7,MATCH(G809,'Boundary table'!$A$3:$A$7,1))</f>
        <v>F</v>
      </c>
      <c r="J809" s="16">
        <v>45</v>
      </c>
      <c r="K809">
        <f>RANK(J809,$J$2:$J$1001,0)+COUNTIF($J$2:J809,J809)-1</f>
        <v>946</v>
      </c>
      <c r="L809" t="str">
        <f>INDEX('Boundary table'!$B$3:$B$7,MATCH(J809,'Boundary table'!$A$3:$A$7,1))</f>
        <v>F</v>
      </c>
      <c r="M809" s="16">
        <v>40</v>
      </c>
      <c r="N809">
        <f>RANK(M809,$M$2:$M$1001,0)+COUNTIF($M$2:M809,M809)-1</f>
        <v>968</v>
      </c>
      <c r="O809" t="str">
        <f>INDEX('Boundary table'!$B$3:$B$7,MATCH(M809,'Boundary table'!$A$3:$A$7))</f>
        <v>F</v>
      </c>
      <c r="P809">
        <f>Table1[[#This Row],[Math Score]]+Table1[[#This Row],[Reading Score]]+Table1[[#This Row],[Writing Score]]</f>
        <v>126</v>
      </c>
      <c r="Q809" s="16">
        <f>COUNTIF(Table1[[#This Row],[Math Score]],"&lt;60")+COUNTIF(Table1[[#This Row],[Reading Score]],"&lt;60")+COUNTIF(Table1[[#This Row],[Writing Score]],"&lt;60")</f>
        <v>3</v>
      </c>
      <c r="R809" t="str">
        <f>IF(Table1[[#This Row],[Fail Count]]&gt;=2,"At risk","OK")</f>
        <v>At risk</v>
      </c>
    </row>
    <row r="810" spans="1:18">
      <c r="A810" t="str">
        <f t="shared" si="12"/>
        <v>Stu-809</v>
      </c>
      <c r="B810" t="s">
        <v>27</v>
      </c>
      <c r="C810" t="s">
        <v>19</v>
      </c>
      <c r="D810" t="s">
        <v>32</v>
      </c>
      <c r="E810" t="s">
        <v>14</v>
      </c>
      <c r="F810" t="s">
        <v>15</v>
      </c>
      <c r="G810" s="16">
        <v>90</v>
      </c>
      <c r="H810">
        <f>RANK(G810,$G$2:$G$1001,0)+COUNTIF($G$2:G810,G810)-1</f>
        <v>56</v>
      </c>
      <c r="I810" t="str">
        <f>INDEX('Boundary table'!$B$3:$B$7,MATCH(G810,'Boundary table'!$A$3:$A$7,1))</f>
        <v>A</v>
      </c>
      <c r="J810" s="16">
        <v>75</v>
      </c>
      <c r="K810">
        <f>RANK(J810,$J$2:$J$1001,0)+COUNTIF($J$2:J810,J810)-1</f>
        <v>364</v>
      </c>
      <c r="L810" t="str">
        <f>INDEX('Boundary table'!$B$3:$B$7,MATCH(J810,'Boundary table'!$A$3:$A$7,1))</f>
        <v>C</v>
      </c>
      <c r="M810" s="16">
        <v>69</v>
      </c>
      <c r="N810">
        <f>RANK(M810,$M$2:$M$1001,0)+COUNTIF($M$2:M810,M810)-1</f>
        <v>506</v>
      </c>
      <c r="O810" t="str">
        <f>INDEX('Boundary table'!$B$3:$B$7,MATCH(M810,'Boundary table'!$A$3:$A$7))</f>
        <v>D</v>
      </c>
      <c r="P810">
        <f>Table1[[#This Row],[Math Score]]+Table1[[#This Row],[Reading Score]]+Table1[[#This Row],[Writing Score]]</f>
        <v>234</v>
      </c>
      <c r="Q810" s="16">
        <f>COUNTIF(Table1[[#This Row],[Math Score]],"&lt;60")+COUNTIF(Table1[[#This Row],[Reading Score]],"&lt;60")+COUNTIF(Table1[[#This Row],[Writing Score]],"&lt;60")</f>
        <v>0</v>
      </c>
      <c r="R810" t="str">
        <f>IF(Table1[[#This Row],[Fail Count]]&gt;=2,"At risk","OK")</f>
        <v>OK</v>
      </c>
    </row>
    <row r="811" spans="1:18">
      <c r="A811" t="str">
        <f t="shared" si="12"/>
        <v>Stu-810</v>
      </c>
      <c r="B811" t="s">
        <v>27</v>
      </c>
      <c r="C811" t="s">
        <v>12</v>
      </c>
      <c r="D811" t="s">
        <v>13</v>
      </c>
      <c r="E811" t="s">
        <v>14</v>
      </c>
      <c r="F811" t="s">
        <v>15</v>
      </c>
      <c r="G811" s="16">
        <v>59</v>
      </c>
      <c r="H811">
        <f>RANK(G811,$G$2:$G$1001,0)+COUNTIF($G$2:G811,G811)-1</f>
        <v>703</v>
      </c>
      <c r="I811" t="str">
        <f>INDEX('Boundary table'!$B$3:$B$7,MATCH(G811,'Boundary table'!$A$3:$A$7,1))</f>
        <v>F</v>
      </c>
      <c r="J811" s="16">
        <v>54</v>
      </c>
      <c r="K811">
        <f>RANK(J811,$J$2:$J$1001,0)+COUNTIF($J$2:J811,J811)-1</f>
        <v>854</v>
      </c>
      <c r="L811" t="str">
        <f>INDEX('Boundary table'!$B$3:$B$7,MATCH(J811,'Boundary table'!$A$3:$A$7,1))</f>
        <v>F</v>
      </c>
      <c r="M811" s="16">
        <v>51</v>
      </c>
      <c r="N811">
        <f>RANK(M811,$M$2:$M$1001,0)+COUNTIF($M$2:M811,M811)-1</f>
        <v>870</v>
      </c>
      <c r="O811" t="str">
        <f>INDEX('Boundary table'!$B$3:$B$7,MATCH(M811,'Boundary table'!$A$3:$A$7))</f>
        <v>F</v>
      </c>
      <c r="P811">
        <f>Table1[[#This Row],[Math Score]]+Table1[[#This Row],[Reading Score]]+Table1[[#This Row],[Writing Score]]</f>
        <v>164</v>
      </c>
      <c r="Q811" s="16">
        <f>COUNTIF(Table1[[#This Row],[Math Score]],"&lt;60")+COUNTIF(Table1[[#This Row],[Reading Score]],"&lt;60")+COUNTIF(Table1[[#This Row],[Writing Score]],"&lt;60")</f>
        <v>3</v>
      </c>
      <c r="R811" t="str">
        <f>IF(Table1[[#This Row],[Fail Count]]&gt;=2,"At risk","OK")</f>
        <v>At risk</v>
      </c>
    </row>
    <row r="812" spans="1:18">
      <c r="A812" t="str">
        <f t="shared" si="12"/>
        <v>Stu-811</v>
      </c>
      <c r="B812" t="s">
        <v>27</v>
      </c>
      <c r="C812" t="s">
        <v>28</v>
      </c>
      <c r="D812" t="s">
        <v>33</v>
      </c>
      <c r="E812" t="s">
        <v>14</v>
      </c>
      <c r="F812" t="s">
        <v>15</v>
      </c>
      <c r="G812" s="16">
        <v>51</v>
      </c>
      <c r="H812">
        <f>RANK(G812,$G$2:$G$1001,0)+COUNTIF($G$2:G812,G812)-1</f>
        <v>849</v>
      </c>
      <c r="I812" t="str">
        <f>INDEX('Boundary table'!$B$3:$B$7,MATCH(G812,'Boundary table'!$A$3:$A$7,1))</f>
        <v>F</v>
      </c>
      <c r="J812" s="16">
        <v>31</v>
      </c>
      <c r="K812">
        <f>RANK(J812,$J$2:$J$1001,0)+COUNTIF($J$2:J812,J812)-1</f>
        <v>992</v>
      </c>
      <c r="L812" t="str">
        <f>INDEX('Boundary table'!$B$3:$B$7,MATCH(J812,'Boundary table'!$A$3:$A$7,1))</f>
        <v>F</v>
      </c>
      <c r="M812" s="16">
        <v>36</v>
      </c>
      <c r="N812">
        <f>RANK(M812,$M$2:$M$1001,0)+COUNTIF($M$2:M812,M812)-1</f>
        <v>981</v>
      </c>
      <c r="O812" t="str">
        <f>INDEX('Boundary table'!$B$3:$B$7,MATCH(M812,'Boundary table'!$A$3:$A$7))</f>
        <v>F</v>
      </c>
      <c r="P812">
        <f>Table1[[#This Row],[Math Score]]+Table1[[#This Row],[Reading Score]]+Table1[[#This Row],[Writing Score]]</f>
        <v>118</v>
      </c>
      <c r="Q812" s="16">
        <f>COUNTIF(Table1[[#This Row],[Math Score]],"&lt;60")+COUNTIF(Table1[[#This Row],[Reading Score]],"&lt;60")+COUNTIF(Table1[[#This Row],[Writing Score]],"&lt;60")</f>
        <v>3</v>
      </c>
      <c r="R812" t="str">
        <f>IF(Table1[[#This Row],[Fail Count]]&gt;=2,"At risk","OK")</f>
        <v>At risk</v>
      </c>
    </row>
    <row r="813" spans="1:18">
      <c r="A813" t="str">
        <f t="shared" si="12"/>
        <v>Stu-812</v>
      </c>
      <c r="B813" t="s">
        <v>27</v>
      </c>
      <c r="C813" t="s">
        <v>28</v>
      </c>
      <c r="D813" t="s">
        <v>32</v>
      </c>
      <c r="E813" t="s">
        <v>30</v>
      </c>
      <c r="F813" t="s">
        <v>15</v>
      </c>
      <c r="G813" s="16">
        <v>45</v>
      </c>
      <c r="H813">
        <f>RANK(G813,$G$2:$G$1001,0)+COUNTIF($G$2:G813,G813)-1</f>
        <v>922</v>
      </c>
      <c r="I813" t="str">
        <f>INDEX('Boundary table'!$B$3:$B$7,MATCH(G813,'Boundary table'!$A$3:$A$7,1))</f>
        <v>F</v>
      </c>
      <c r="J813" s="16">
        <v>47</v>
      </c>
      <c r="K813">
        <f>RANK(J813,$J$2:$J$1001,0)+COUNTIF($J$2:J813,J813)-1</f>
        <v>934</v>
      </c>
      <c r="L813" t="str">
        <f>INDEX('Boundary table'!$B$3:$B$7,MATCH(J813,'Boundary table'!$A$3:$A$7,1))</f>
        <v>F</v>
      </c>
      <c r="M813" s="16">
        <v>49</v>
      </c>
      <c r="N813">
        <f>RANK(M813,$M$2:$M$1001,0)+COUNTIF($M$2:M813,M813)-1</f>
        <v>895</v>
      </c>
      <c r="O813" t="str">
        <f>INDEX('Boundary table'!$B$3:$B$7,MATCH(M813,'Boundary table'!$A$3:$A$7))</f>
        <v>F</v>
      </c>
      <c r="P813">
        <f>Table1[[#This Row],[Math Score]]+Table1[[#This Row],[Reading Score]]+Table1[[#This Row],[Writing Score]]</f>
        <v>141</v>
      </c>
      <c r="Q813" s="16">
        <f>COUNTIF(Table1[[#This Row],[Math Score]],"&lt;60")+COUNTIF(Table1[[#This Row],[Reading Score]],"&lt;60")+COUNTIF(Table1[[#This Row],[Writing Score]],"&lt;60")</f>
        <v>3</v>
      </c>
      <c r="R813" t="str">
        <f>IF(Table1[[#This Row],[Fail Count]]&gt;=2,"At risk","OK")</f>
        <v>At risk</v>
      </c>
    </row>
    <row r="814" spans="1:18">
      <c r="A814" t="str">
        <f t="shared" si="12"/>
        <v>Stu-813</v>
      </c>
      <c r="B814" t="s">
        <v>11</v>
      </c>
      <c r="C814" t="s">
        <v>19</v>
      </c>
      <c r="D814" t="s">
        <v>26</v>
      </c>
      <c r="E814" t="s">
        <v>14</v>
      </c>
      <c r="F814" t="s">
        <v>21</v>
      </c>
      <c r="G814" s="16">
        <v>54</v>
      </c>
      <c r="H814">
        <f>RANK(G814,$G$2:$G$1001,0)+COUNTIF($G$2:G814,G814)-1</f>
        <v>793</v>
      </c>
      <c r="I814" t="str">
        <f>INDEX('Boundary table'!$B$3:$B$7,MATCH(G814,'Boundary table'!$A$3:$A$7,1))</f>
        <v>F</v>
      </c>
      <c r="J814" s="16">
        <v>64</v>
      </c>
      <c r="K814">
        <f>RANK(J814,$J$2:$J$1001,0)+COUNTIF($J$2:J814,J814)-1</f>
        <v>652</v>
      </c>
      <c r="L814" t="str">
        <f>INDEX('Boundary table'!$B$3:$B$7,MATCH(J814,'Boundary table'!$A$3:$A$7,1))</f>
        <v>D</v>
      </c>
      <c r="M814" s="16">
        <v>67</v>
      </c>
      <c r="N814">
        <f>RANK(M814,$M$2:$M$1001,0)+COUNTIF($M$2:M814,M814)-1</f>
        <v>564</v>
      </c>
      <c r="O814" t="str">
        <f>INDEX('Boundary table'!$B$3:$B$7,MATCH(M814,'Boundary table'!$A$3:$A$7))</f>
        <v>D</v>
      </c>
      <c r="P814">
        <f>Table1[[#This Row],[Math Score]]+Table1[[#This Row],[Reading Score]]+Table1[[#This Row],[Writing Score]]</f>
        <v>185</v>
      </c>
      <c r="Q814" s="16">
        <f>COUNTIF(Table1[[#This Row],[Math Score]],"&lt;60")+COUNTIF(Table1[[#This Row],[Reading Score]],"&lt;60")+COUNTIF(Table1[[#This Row],[Writing Score]],"&lt;60")</f>
        <v>1</v>
      </c>
      <c r="R814" t="str">
        <f>IF(Table1[[#This Row],[Fail Count]]&gt;=2,"At risk","OK")</f>
        <v>OK</v>
      </c>
    </row>
    <row r="815" spans="1:18">
      <c r="A815" t="str">
        <f t="shared" si="12"/>
        <v>Stu-814</v>
      </c>
      <c r="B815" t="s">
        <v>27</v>
      </c>
      <c r="C815" t="s">
        <v>34</v>
      </c>
      <c r="D815" t="s">
        <v>33</v>
      </c>
      <c r="E815" t="s">
        <v>14</v>
      </c>
      <c r="F815" t="s">
        <v>21</v>
      </c>
      <c r="G815" s="16">
        <v>87</v>
      </c>
      <c r="H815">
        <f>RANK(G815,$G$2:$G$1001,0)+COUNTIF($G$2:G815,G815)-1</f>
        <v>93</v>
      </c>
      <c r="I815" t="str">
        <f>INDEX('Boundary table'!$B$3:$B$7,MATCH(G815,'Boundary table'!$A$3:$A$7,1))</f>
        <v>B</v>
      </c>
      <c r="J815" s="16">
        <v>84</v>
      </c>
      <c r="K815">
        <f>RANK(J815,$J$2:$J$1001,0)+COUNTIF($J$2:J815,J815)-1</f>
        <v>170</v>
      </c>
      <c r="L815" t="str">
        <f>INDEX('Boundary table'!$B$3:$B$7,MATCH(J815,'Boundary table'!$A$3:$A$7,1))</f>
        <v>B</v>
      </c>
      <c r="M815" s="16">
        <v>76</v>
      </c>
      <c r="N815">
        <f>RANK(M815,$M$2:$M$1001,0)+COUNTIF($M$2:M815,M815)-1</f>
        <v>322</v>
      </c>
      <c r="O815" t="str">
        <f>INDEX('Boundary table'!$B$3:$B$7,MATCH(M815,'Boundary table'!$A$3:$A$7))</f>
        <v>C</v>
      </c>
      <c r="P815">
        <f>Table1[[#This Row],[Math Score]]+Table1[[#This Row],[Reading Score]]+Table1[[#This Row],[Writing Score]]</f>
        <v>247</v>
      </c>
      <c r="Q815" s="16">
        <f>COUNTIF(Table1[[#This Row],[Math Score]],"&lt;60")+COUNTIF(Table1[[#This Row],[Reading Score]],"&lt;60")+COUNTIF(Table1[[#This Row],[Writing Score]],"&lt;60")</f>
        <v>0</v>
      </c>
      <c r="R815" t="str">
        <f>IF(Table1[[#This Row],[Fail Count]]&gt;=2,"At risk","OK")</f>
        <v>OK</v>
      </c>
    </row>
    <row r="816" spans="1:18">
      <c r="A816" t="str">
        <f t="shared" si="12"/>
        <v>Stu-815</v>
      </c>
      <c r="B816" t="s">
        <v>11</v>
      </c>
      <c r="C816" t="s">
        <v>19</v>
      </c>
      <c r="D816" t="s">
        <v>32</v>
      </c>
      <c r="E816" t="s">
        <v>14</v>
      </c>
      <c r="F816" t="s">
        <v>15</v>
      </c>
      <c r="G816" s="16">
        <v>72</v>
      </c>
      <c r="H816">
        <f>RANK(G816,$G$2:$G$1001,0)+COUNTIF($G$2:G816,G816)-1</f>
        <v>361</v>
      </c>
      <c r="I816" t="str">
        <f>INDEX('Boundary table'!$B$3:$B$7,MATCH(G816,'Boundary table'!$A$3:$A$7,1))</f>
        <v>C</v>
      </c>
      <c r="J816" s="16">
        <v>80</v>
      </c>
      <c r="K816">
        <f>RANK(J816,$J$2:$J$1001,0)+COUNTIF($J$2:J816,J816)-1</f>
        <v>249</v>
      </c>
      <c r="L816" t="str">
        <f>INDEX('Boundary table'!$B$3:$B$7,MATCH(J816,'Boundary table'!$A$3:$A$7,1))</f>
        <v>B</v>
      </c>
      <c r="M816" s="16">
        <v>83</v>
      </c>
      <c r="N816">
        <f>RANK(M816,$M$2:$M$1001,0)+COUNTIF($M$2:M816,M816)-1</f>
        <v>162</v>
      </c>
      <c r="O816" t="str">
        <f>INDEX('Boundary table'!$B$3:$B$7,MATCH(M816,'Boundary table'!$A$3:$A$7))</f>
        <v>B</v>
      </c>
      <c r="P816">
        <f>Table1[[#This Row],[Math Score]]+Table1[[#This Row],[Reading Score]]+Table1[[#This Row],[Writing Score]]</f>
        <v>235</v>
      </c>
      <c r="Q816" s="16">
        <f>COUNTIF(Table1[[#This Row],[Math Score]],"&lt;60")+COUNTIF(Table1[[#This Row],[Reading Score]],"&lt;60")+COUNTIF(Table1[[#This Row],[Writing Score]],"&lt;60")</f>
        <v>0</v>
      </c>
      <c r="R816" t="str">
        <f>IF(Table1[[#This Row],[Fail Count]]&gt;=2,"At risk","OK")</f>
        <v>OK</v>
      </c>
    </row>
    <row r="817" spans="1:18">
      <c r="A817" t="str">
        <f t="shared" si="12"/>
        <v>Stu-816</v>
      </c>
      <c r="B817" t="s">
        <v>27</v>
      </c>
      <c r="C817" t="s">
        <v>12</v>
      </c>
      <c r="D817" t="s">
        <v>33</v>
      </c>
      <c r="E817" t="s">
        <v>14</v>
      </c>
      <c r="F817" t="s">
        <v>21</v>
      </c>
      <c r="G817" s="16">
        <v>94</v>
      </c>
      <c r="H817">
        <f>RANK(G817,$G$2:$G$1001,0)+COUNTIF($G$2:G817,G817)-1</f>
        <v>30</v>
      </c>
      <c r="I817" t="str">
        <f>INDEX('Boundary table'!$B$3:$B$7,MATCH(G817,'Boundary table'!$A$3:$A$7,1))</f>
        <v>A</v>
      </c>
      <c r="J817" s="16">
        <v>86</v>
      </c>
      <c r="K817">
        <f>RANK(J817,$J$2:$J$1001,0)+COUNTIF($J$2:J817,J817)-1</f>
        <v>127</v>
      </c>
      <c r="L817" t="str">
        <f>INDEX('Boundary table'!$B$3:$B$7,MATCH(J817,'Boundary table'!$A$3:$A$7,1))</f>
        <v>B</v>
      </c>
      <c r="M817" s="16">
        <v>87</v>
      </c>
      <c r="N817">
        <f>RANK(M817,$M$2:$M$1001,0)+COUNTIF($M$2:M817,M817)-1</f>
        <v>108</v>
      </c>
      <c r="O817" t="str">
        <f>INDEX('Boundary table'!$B$3:$B$7,MATCH(M817,'Boundary table'!$A$3:$A$7))</f>
        <v>B</v>
      </c>
      <c r="P817">
        <f>Table1[[#This Row],[Math Score]]+Table1[[#This Row],[Reading Score]]+Table1[[#This Row],[Writing Score]]</f>
        <v>267</v>
      </c>
      <c r="Q817" s="16">
        <f>COUNTIF(Table1[[#This Row],[Math Score]],"&lt;60")+COUNTIF(Table1[[#This Row],[Reading Score]],"&lt;60")+COUNTIF(Table1[[#This Row],[Writing Score]],"&lt;60")</f>
        <v>0</v>
      </c>
      <c r="R817" t="str">
        <f>IF(Table1[[#This Row],[Fail Count]]&gt;=2,"At risk","OK")</f>
        <v>OK</v>
      </c>
    </row>
    <row r="818" spans="1:18">
      <c r="A818" t="str">
        <f t="shared" si="12"/>
        <v>Stu-817</v>
      </c>
      <c r="B818" t="s">
        <v>11</v>
      </c>
      <c r="C818" t="s">
        <v>28</v>
      </c>
      <c r="D818" t="s">
        <v>13</v>
      </c>
      <c r="E818" t="s">
        <v>14</v>
      </c>
      <c r="F818" t="s">
        <v>15</v>
      </c>
      <c r="G818" s="16">
        <v>45</v>
      </c>
      <c r="H818">
        <f>RANK(G818,$G$2:$G$1001,0)+COUNTIF($G$2:G818,G818)-1</f>
        <v>923</v>
      </c>
      <c r="I818" t="str">
        <f>INDEX('Boundary table'!$B$3:$B$7,MATCH(G818,'Boundary table'!$A$3:$A$7,1))</f>
        <v>F</v>
      </c>
      <c r="J818" s="16">
        <v>59</v>
      </c>
      <c r="K818">
        <f>RANK(J818,$J$2:$J$1001,0)+COUNTIF($J$2:J818,J818)-1</f>
        <v>762</v>
      </c>
      <c r="L818" t="str">
        <f>INDEX('Boundary table'!$B$3:$B$7,MATCH(J818,'Boundary table'!$A$3:$A$7,1))</f>
        <v>F</v>
      </c>
      <c r="M818" s="16">
        <v>64</v>
      </c>
      <c r="N818">
        <f>RANK(M818,$M$2:$M$1001,0)+COUNTIF($M$2:M818,M818)-1</f>
        <v>632</v>
      </c>
      <c r="O818" t="str">
        <f>INDEX('Boundary table'!$B$3:$B$7,MATCH(M818,'Boundary table'!$A$3:$A$7))</f>
        <v>D</v>
      </c>
      <c r="P818">
        <f>Table1[[#This Row],[Math Score]]+Table1[[#This Row],[Reading Score]]+Table1[[#This Row],[Writing Score]]</f>
        <v>168</v>
      </c>
      <c r="Q818" s="16">
        <f>COUNTIF(Table1[[#This Row],[Math Score]],"&lt;60")+COUNTIF(Table1[[#This Row],[Reading Score]],"&lt;60")+COUNTIF(Table1[[#This Row],[Writing Score]],"&lt;60")</f>
        <v>2</v>
      </c>
      <c r="R818" t="str">
        <f>IF(Table1[[#This Row],[Fail Count]]&gt;=2,"At risk","OK")</f>
        <v>At risk</v>
      </c>
    </row>
    <row r="819" spans="1:18">
      <c r="A819" t="str">
        <f t="shared" si="12"/>
        <v>Stu-818</v>
      </c>
      <c r="B819" t="s">
        <v>27</v>
      </c>
      <c r="C819" t="s">
        <v>31</v>
      </c>
      <c r="D819" t="s">
        <v>13</v>
      </c>
      <c r="E819" t="s">
        <v>30</v>
      </c>
      <c r="F819" t="s">
        <v>21</v>
      </c>
      <c r="G819" s="16">
        <v>61</v>
      </c>
      <c r="H819">
        <f>RANK(G819,$G$2:$G$1001,0)+COUNTIF($G$2:G819,G819)-1</f>
        <v>656</v>
      </c>
      <c r="I819" t="str">
        <f>INDEX('Boundary table'!$B$3:$B$7,MATCH(G819,'Boundary table'!$A$3:$A$7,1))</f>
        <v>D</v>
      </c>
      <c r="J819" s="16">
        <v>70</v>
      </c>
      <c r="K819">
        <f>RANK(J819,$J$2:$J$1001,0)+COUNTIF($J$2:J819,J819)-1</f>
        <v>508</v>
      </c>
      <c r="L819" t="str">
        <f>INDEX('Boundary table'!$B$3:$B$7,MATCH(J819,'Boundary table'!$A$3:$A$7,1))</f>
        <v>C</v>
      </c>
      <c r="M819" s="16">
        <v>76</v>
      </c>
      <c r="N819">
        <f>RANK(M819,$M$2:$M$1001,0)+COUNTIF($M$2:M819,M819)-1</f>
        <v>323</v>
      </c>
      <c r="O819" t="str">
        <f>INDEX('Boundary table'!$B$3:$B$7,MATCH(M819,'Boundary table'!$A$3:$A$7))</f>
        <v>C</v>
      </c>
      <c r="P819">
        <f>Table1[[#This Row],[Math Score]]+Table1[[#This Row],[Reading Score]]+Table1[[#This Row],[Writing Score]]</f>
        <v>207</v>
      </c>
      <c r="Q819" s="16">
        <f>COUNTIF(Table1[[#This Row],[Math Score]],"&lt;60")+COUNTIF(Table1[[#This Row],[Reading Score]],"&lt;60")+COUNTIF(Table1[[#This Row],[Writing Score]],"&lt;60")</f>
        <v>0</v>
      </c>
      <c r="R819" t="str">
        <f>IF(Table1[[#This Row],[Fail Count]]&gt;=2,"At risk","OK")</f>
        <v>OK</v>
      </c>
    </row>
    <row r="820" spans="1:18">
      <c r="A820" t="str">
        <f t="shared" si="12"/>
        <v>Stu-819</v>
      </c>
      <c r="B820" t="s">
        <v>11</v>
      </c>
      <c r="C820" t="s">
        <v>12</v>
      </c>
      <c r="D820" t="s">
        <v>32</v>
      </c>
      <c r="E820" t="s">
        <v>30</v>
      </c>
      <c r="F820" t="s">
        <v>15</v>
      </c>
      <c r="G820" s="16">
        <v>60</v>
      </c>
      <c r="H820">
        <f>RANK(G820,$G$2:$G$1001,0)+COUNTIF($G$2:G820,G820)-1</f>
        <v>675</v>
      </c>
      <c r="I820" t="str">
        <f>INDEX('Boundary table'!$B$3:$B$7,MATCH(G820,'Boundary table'!$A$3:$A$7,1))</f>
        <v>D</v>
      </c>
      <c r="J820" s="16">
        <v>72</v>
      </c>
      <c r="K820">
        <f>RANK(J820,$J$2:$J$1001,0)+COUNTIF($J$2:J820,J820)-1</f>
        <v>461</v>
      </c>
      <c r="L820" t="str">
        <f>INDEX('Boundary table'!$B$3:$B$7,MATCH(J820,'Boundary table'!$A$3:$A$7,1))</f>
        <v>C</v>
      </c>
      <c r="M820" s="16">
        <v>68</v>
      </c>
      <c r="N820">
        <f>RANK(M820,$M$2:$M$1001,0)+COUNTIF($M$2:M820,M820)-1</f>
        <v>542</v>
      </c>
      <c r="O820" t="str">
        <f>INDEX('Boundary table'!$B$3:$B$7,MATCH(M820,'Boundary table'!$A$3:$A$7))</f>
        <v>D</v>
      </c>
      <c r="P820">
        <f>Table1[[#This Row],[Math Score]]+Table1[[#This Row],[Reading Score]]+Table1[[#This Row],[Writing Score]]</f>
        <v>200</v>
      </c>
      <c r="Q820" s="16">
        <f>COUNTIF(Table1[[#This Row],[Math Score]],"&lt;60")+COUNTIF(Table1[[#This Row],[Reading Score]],"&lt;60")+COUNTIF(Table1[[#This Row],[Writing Score]],"&lt;60")</f>
        <v>0</v>
      </c>
      <c r="R820" t="str">
        <f>IF(Table1[[#This Row],[Fail Count]]&gt;=2,"At risk","OK")</f>
        <v>OK</v>
      </c>
    </row>
    <row r="821" spans="1:18">
      <c r="A821" t="str">
        <f t="shared" si="12"/>
        <v>Stu-820</v>
      </c>
      <c r="B821" t="s">
        <v>11</v>
      </c>
      <c r="C821" t="s">
        <v>19</v>
      </c>
      <c r="D821" t="s">
        <v>33</v>
      </c>
      <c r="E821" t="s">
        <v>14</v>
      </c>
      <c r="F821" t="s">
        <v>15</v>
      </c>
      <c r="G821" s="16">
        <v>77</v>
      </c>
      <c r="H821">
        <f>RANK(G821,$G$2:$G$1001,0)+COUNTIF($G$2:G821,G821)-1</f>
        <v>250</v>
      </c>
      <c r="I821" t="str">
        <f>INDEX('Boundary table'!$B$3:$B$7,MATCH(G821,'Boundary table'!$A$3:$A$7,1))</f>
        <v>C</v>
      </c>
      <c r="J821" s="16">
        <v>91</v>
      </c>
      <c r="K821">
        <f>RANK(J821,$J$2:$J$1001,0)+COUNTIF($J$2:J821,J821)-1</f>
        <v>61</v>
      </c>
      <c r="L821" t="str">
        <f>INDEX('Boundary table'!$B$3:$B$7,MATCH(J821,'Boundary table'!$A$3:$A$7,1))</f>
        <v>A</v>
      </c>
      <c r="M821" s="16">
        <v>88</v>
      </c>
      <c r="N821">
        <f>RANK(M821,$M$2:$M$1001,0)+COUNTIF($M$2:M821,M821)-1</f>
        <v>97</v>
      </c>
      <c r="O821" t="str">
        <f>INDEX('Boundary table'!$B$3:$B$7,MATCH(M821,'Boundary table'!$A$3:$A$7))</f>
        <v>B</v>
      </c>
      <c r="P821">
        <f>Table1[[#This Row],[Math Score]]+Table1[[#This Row],[Reading Score]]+Table1[[#This Row],[Writing Score]]</f>
        <v>256</v>
      </c>
      <c r="Q821" s="16">
        <f>COUNTIF(Table1[[#This Row],[Math Score]],"&lt;60")+COUNTIF(Table1[[#This Row],[Reading Score]],"&lt;60")+COUNTIF(Table1[[#This Row],[Writing Score]],"&lt;60")</f>
        <v>0</v>
      </c>
      <c r="R821" t="str">
        <f>IF(Table1[[#This Row],[Fail Count]]&gt;=2,"At risk","OK")</f>
        <v>OK</v>
      </c>
    </row>
    <row r="822" spans="1:18">
      <c r="A822" t="str">
        <f t="shared" si="12"/>
        <v>Stu-821</v>
      </c>
      <c r="B822" t="s">
        <v>11</v>
      </c>
      <c r="C822" t="s">
        <v>28</v>
      </c>
      <c r="D822" t="s">
        <v>33</v>
      </c>
      <c r="E822" t="s">
        <v>14</v>
      </c>
      <c r="F822" t="s">
        <v>21</v>
      </c>
      <c r="G822" s="16">
        <v>85</v>
      </c>
      <c r="H822">
        <f>RANK(G822,$G$2:$G$1001,0)+COUNTIF($G$2:G822,G822)-1</f>
        <v>114</v>
      </c>
      <c r="I822" t="str">
        <f>INDEX('Boundary table'!$B$3:$B$7,MATCH(G822,'Boundary table'!$A$3:$A$7,1))</f>
        <v>B</v>
      </c>
      <c r="J822" s="16">
        <v>90</v>
      </c>
      <c r="K822">
        <f>RANK(J822,$J$2:$J$1001,0)+COUNTIF($J$2:J822,J822)-1</f>
        <v>77</v>
      </c>
      <c r="L822" t="str">
        <f>INDEX('Boundary table'!$B$3:$B$7,MATCH(J822,'Boundary table'!$A$3:$A$7,1))</f>
        <v>A</v>
      </c>
      <c r="M822" s="16">
        <v>92</v>
      </c>
      <c r="N822">
        <f>RANK(M822,$M$2:$M$1001,0)+COUNTIF($M$2:M822,M822)-1</f>
        <v>57</v>
      </c>
      <c r="O822" t="str">
        <f>INDEX('Boundary table'!$B$3:$B$7,MATCH(M822,'Boundary table'!$A$3:$A$7))</f>
        <v>A</v>
      </c>
      <c r="P822">
        <f>Table1[[#This Row],[Math Score]]+Table1[[#This Row],[Reading Score]]+Table1[[#This Row],[Writing Score]]</f>
        <v>267</v>
      </c>
      <c r="Q822" s="16">
        <f>COUNTIF(Table1[[#This Row],[Math Score]],"&lt;60")+COUNTIF(Table1[[#This Row],[Reading Score]],"&lt;60")+COUNTIF(Table1[[#This Row],[Writing Score]],"&lt;60")</f>
        <v>0</v>
      </c>
      <c r="R822" t="str">
        <f>IF(Table1[[#This Row],[Fail Count]]&gt;=2,"At risk","OK")</f>
        <v>OK</v>
      </c>
    </row>
    <row r="823" spans="1:18">
      <c r="A823" t="str">
        <f t="shared" si="12"/>
        <v>Stu-822</v>
      </c>
      <c r="B823" t="s">
        <v>11</v>
      </c>
      <c r="C823" t="s">
        <v>31</v>
      </c>
      <c r="D823" t="s">
        <v>13</v>
      </c>
      <c r="E823" t="s">
        <v>30</v>
      </c>
      <c r="F823" t="s">
        <v>15</v>
      </c>
      <c r="G823" s="16">
        <v>78</v>
      </c>
      <c r="H823">
        <f>RANK(G823,$G$2:$G$1001,0)+COUNTIF($G$2:G823,G823)-1</f>
        <v>225</v>
      </c>
      <c r="I823" t="str">
        <f>INDEX('Boundary table'!$B$3:$B$7,MATCH(G823,'Boundary table'!$A$3:$A$7,1))</f>
        <v>C</v>
      </c>
      <c r="J823" s="16">
        <v>90</v>
      </c>
      <c r="K823">
        <f>RANK(J823,$J$2:$J$1001,0)+COUNTIF($J$2:J823,J823)-1</f>
        <v>78</v>
      </c>
      <c r="L823" t="str">
        <f>INDEX('Boundary table'!$B$3:$B$7,MATCH(J823,'Boundary table'!$A$3:$A$7,1))</f>
        <v>A</v>
      </c>
      <c r="M823" s="16">
        <v>93</v>
      </c>
      <c r="N823">
        <f>RANK(M823,$M$2:$M$1001,0)+COUNTIF($M$2:M823,M823)-1</f>
        <v>47</v>
      </c>
      <c r="O823" t="str">
        <f>INDEX('Boundary table'!$B$3:$B$7,MATCH(M823,'Boundary table'!$A$3:$A$7))</f>
        <v>A</v>
      </c>
      <c r="P823">
        <f>Table1[[#This Row],[Math Score]]+Table1[[#This Row],[Reading Score]]+Table1[[#This Row],[Writing Score]]</f>
        <v>261</v>
      </c>
      <c r="Q823" s="16">
        <f>COUNTIF(Table1[[#This Row],[Math Score]],"&lt;60")+COUNTIF(Table1[[#This Row],[Reading Score]],"&lt;60")+COUNTIF(Table1[[#This Row],[Writing Score]],"&lt;60")</f>
        <v>0</v>
      </c>
      <c r="R823" t="str">
        <f>IF(Table1[[#This Row],[Fail Count]]&gt;=2,"At risk","OK")</f>
        <v>OK</v>
      </c>
    </row>
    <row r="824" spans="1:18">
      <c r="A824" t="str">
        <f t="shared" si="12"/>
        <v>Stu-823</v>
      </c>
      <c r="B824" t="s">
        <v>27</v>
      </c>
      <c r="C824" t="s">
        <v>34</v>
      </c>
      <c r="D824" t="s">
        <v>20</v>
      </c>
      <c r="E824" t="s">
        <v>30</v>
      </c>
      <c r="F824" t="s">
        <v>21</v>
      </c>
      <c r="G824" s="16">
        <v>49</v>
      </c>
      <c r="H824">
        <f>RANK(G824,$G$2:$G$1001,0)+COUNTIF($G$2:G824,G824)-1</f>
        <v>878</v>
      </c>
      <c r="I824" t="str">
        <f>INDEX('Boundary table'!$B$3:$B$7,MATCH(G824,'Boundary table'!$A$3:$A$7,1))</f>
        <v>F</v>
      </c>
      <c r="J824" s="16">
        <v>52</v>
      </c>
      <c r="K824">
        <f>RANK(J824,$J$2:$J$1001,0)+COUNTIF($J$2:J824,J824)-1</f>
        <v>885</v>
      </c>
      <c r="L824" t="str">
        <f>INDEX('Boundary table'!$B$3:$B$7,MATCH(J824,'Boundary table'!$A$3:$A$7,1))</f>
        <v>F</v>
      </c>
      <c r="M824" s="16">
        <v>51</v>
      </c>
      <c r="N824">
        <f>RANK(M824,$M$2:$M$1001,0)+COUNTIF($M$2:M824,M824)-1</f>
        <v>871</v>
      </c>
      <c r="O824" t="str">
        <f>INDEX('Boundary table'!$B$3:$B$7,MATCH(M824,'Boundary table'!$A$3:$A$7))</f>
        <v>F</v>
      </c>
      <c r="P824">
        <f>Table1[[#This Row],[Math Score]]+Table1[[#This Row],[Reading Score]]+Table1[[#This Row],[Writing Score]]</f>
        <v>152</v>
      </c>
      <c r="Q824" s="16">
        <f>COUNTIF(Table1[[#This Row],[Math Score]],"&lt;60")+COUNTIF(Table1[[#This Row],[Reading Score]],"&lt;60")+COUNTIF(Table1[[#This Row],[Writing Score]],"&lt;60")</f>
        <v>3</v>
      </c>
      <c r="R824" t="str">
        <f>IF(Table1[[#This Row],[Fail Count]]&gt;=2,"At risk","OK")</f>
        <v>At risk</v>
      </c>
    </row>
    <row r="825" spans="1:18">
      <c r="A825" t="str">
        <f t="shared" si="12"/>
        <v>Stu-824</v>
      </c>
      <c r="B825" t="s">
        <v>11</v>
      </c>
      <c r="C825" t="s">
        <v>12</v>
      </c>
      <c r="D825" t="s">
        <v>32</v>
      </c>
      <c r="E825" t="s">
        <v>30</v>
      </c>
      <c r="F825" t="s">
        <v>15</v>
      </c>
      <c r="G825" s="16">
        <v>71</v>
      </c>
      <c r="H825">
        <f>RANK(G825,$G$2:$G$1001,0)+COUNTIF($G$2:G825,G825)-1</f>
        <v>388</v>
      </c>
      <c r="I825" t="str">
        <f>INDEX('Boundary table'!$B$3:$B$7,MATCH(G825,'Boundary table'!$A$3:$A$7,1))</f>
        <v>C</v>
      </c>
      <c r="J825" s="16">
        <v>87</v>
      </c>
      <c r="K825">
        <f>RANK(J825,$J$2:$J$1001,0)+COUNTIF($J$2:J825,J825)-1</f>
        <v>110</v>
      </c>
      <c r="L825" t="str">
        <f>INDEX('Boundary table'!$B$3:$B$7,MATCH(J825,'Boundary table'!$A$3:$A$7,1))</f>
        <v>B</v>
      </c>
      <c r="M825" s="16">
        <v>82</v>
      </c>
      <c r="N825">
        <f>RANK(M825,$M$2:$M$1001,0)+COUNTIF($M$2:M825,M825)-1</f>
        <v>184</v>
      </c>
      <c r="O825" t="str">
        <f>INDEX('Boundary table'!$B$3:$B$7,MATCH(M825,'Boundary table'!$A$3:$A$7))</f>
        <v>B</v>
      </c>
      <c r="P825">
        <f>Table1[[#This Row],[Math Score]]+Table1[[#This Row],[Reading Score]]+Table1[[#This Row],[Writing Score]]</f>
        <v>240</v>
      </c>
      <c r="Q825" s="16">
        <f>COUNTIF(Table1[[#This Row],[Math Score]],"&lt;60")+COUNTIF(Table1[[#This Row],[Reading Score]],"&lt;60")+COUNTIF(Table1[[#This Row],[Writing Score]],"&lt;60")</f>
        <v>0</v>
      </c>
      <c r="R825" t="str">
        <f>IF(Table1[[#This Row],[Fail Count]]&gt;=2,"At risk","OK")</f>
        <v>OK</v>
      </c>
    </row>
    <row r="826" spans="1:18">
      <c r="A826" t="str">
        <f t="shared" si="12"/>
        <v>Stu-825</v>
      </c>
      <c r="B826" t="s">
        <v>11</v>
      </c>
      <c r="C826" t="s">
        <v>19</v>
      </c>
      <c r="D826" t="s">
        <v>33</v>
      </c>
      <c r="E826" t="s">
        <v>30</v>
      </c>
      <c r="F826" t="s">
        <v>15</v>
      </c>
      <c r="G826" s="16">
        <v>48</v>
      </c>
      <c r="H826">
        <f>RANK(G826,$G$2:$G$1001,0)+COUNTIF($G$2:G826,G826)-1</f>
        <v>891</v>
      </c>
      <c r="I826" t="str">
        <f>INDEX('Boundary table'!$B$3:$B$7,MATCH(G826,'Boundary table'!$A$3:$A$7,1))</f>
        <v>F</v>
      </c>
      <c r="J826" s="16">
        <v>58</v>
      </c>
      <c r="K826">
        <f>RANK(J826,$J$2:$J$1001,0)+COUNTIF($J$2:J826,J826)-1</f>
        <v>786</v>
      </c>
      <c r="L826" t="str">
        <f>INDEX('Boundary table'!$B$3:$B$7,MATCH(J826,'Boundary table'!$A$3:$A$7,1))</f>
        <v>F</v>
      </c>
      <c r="M826" s="16">
        <v>52</v>
      </c>
      <c r="N826">
        <f>RANK(M826,$M$2:$M$1001,0)+COUNTIF($M$2:M826,M826)-1</f>
        <v>855</v>
      </c>
      <c r="O826" t="str">
        <f>INDEX('Boundary table'!$B$3:$B$7,MATCH(M826,'Boundary table'!$A$3:$A$7))</f>
        <v>F</v>
      </c>
      <c r="P826">
        <f>Table1[[#This Row],[Math Score]]+Table1[[#This Row],[Reading Score]]+Table1[[#This Row],[Writing Score]]</f>
        <v>158</v>
      </c>
      <c r="Q826" s="16">
        <f>COUNTIF(Table1[[#This Row],[Math Score]],"&lt;60")+COUNTIF(Table1[[#This Row],[Reading Score]],"&lt;60")+COUNTIF(Table1[[#This Row],[Writing Score]],"&lt;60")</f>
        <v>3</v>
      </c>
      <c r="R826" t="str">
        <f>IF(Table1[[#This Row],[Fail Count]]&gt;=2,"At risk","OK")</f>
        <v>At risk</v>
      </c>
    </row>
    <row r="827" spans="1:18">
      <c r="A827" t="str">
        <f t="shared" si="12"/>
        <v>Stu-826</v>
      </c>
      <c r="B827" t="s">
        <v>27</v>
      </c>
      <c r="C827" t="s">
        <v>19</v>
      </c>
      <c r="D827" t="s">
        <v>32</v>
      </c>
      <c r="E827" t="s">
        <v>14</v>
      </c>
      <c r="F827" t="s">
        <v>15</v>
      </c>
      <c r="G827" s="16">
        <v>62</v>
      </c>
      <c r="H827">
        <f>RANK(G827,$G$2:$G$1001,0)+COUNTIF($G$2:G827,G827)-1</f>
        <v>626</v>
      </c>
      <c r="I827" t="str">
        <f>INDEX('Boundary table'!$B$3:$B$7,MATCH(G827,'Boundary table'!$A$3:$A$7,1))</f>
        <v>D</v>
      </c>
      <c r="J827" s="16">
        <v>67</v>
      </c>
      <c r="K827">
        <f>RANK(J827,$J$2:$J$1001,0)+COUNTIF($J$2:J827,J827)-1</f>
        <v>578</v>
      </c>
      <c r="L827" t="str">
        <f>INDEX('Boundary table'!$B$3:$B$7,MATCH(J827,'Boundary table'!$A$3:$A$7,1))</f>
        <v>D</v>
      </c>
      <c r="M827" s="16">
        <v>58</v>
      </c>
      <c r="N827">
        <f>RANK(M827,$M$2:$M$1001,0)+COUNTIF($M$2:M827,M827)-1</f>
        <v>745</v>
      </c>
      <c r="O827" t="str">
        <f>INDEX('Boundary table'!$B$3:$B$7,MATCH(M827,'Boundary table'!$A$3:$A$7))</f>
        <v>F</v>
      </c>
      <c r="P827">
        <f>Table1[[#This Row],[Math Score]]+Table1[[#This Row],[Reading Score]]+Table1[[#This Row],[Writing Score]]</f>
        <v>187</v>
      </c>
      <c r="Q827" s="16">
        <f>COUNTIF(Table1[[#This Row],[Math Score]],"&lt;60")+COUNTIF(Table1[[#This Row],[Reading Score]],"&lt;60")+COUNTIF(Table1[[#This Row],[Writing Score]],"&lt;60")</f>
        <v>1</v>
      </c>
      <c r="R827" t="str">
        <f>IF(Table1[[#This Row],[Fail Count]]&gt;=2,"At risk","OK")</f>
        <v>OK</v>
      </c>
    </row>
    <row r="828" spans="1:18">
      <c r="A828" t="str">
        <f t="shared" si="12"/>
        <v>Stu-827</v>
      </c>
      <c r="B828" t="s">
        <v>11</v>
      </c>
      <c r="C828" t="s">
        <v>19</v>
      </c>
      <c r="D828" t="s">
        <v>29</v>
      </c>
      <c r="E828" t="s">
        <v>30</v>
      </c>
      <c r="F828" t="s">
        <v>21</v>
      </c>
      <c r="G828" s="16">
        <v>56</v>
      </c>
      <c r="H828">
        <f>RANK(G828,$G$2:$G$1001,0)+COUNTIF($G$2:G828,G828)-1</f>
        <v>760</v>
      </c>
      <c r="I828" t="str">
        <f>INDEX('Boundary table'!$B$3:$B$7,MATCH(G828,'Boundary table'!$A$3:$A$7,1))</f>
        <v>F</v>
      </c>
      <c r="J828" s="16">
        <v>68</v>
      </c>
      <c r="K828">
        <f>RANK(J828,$J$2:$J$1001,0)+COUNTIF($J$2:J828,J828)-1</f>
        <v>546</v>
      </c>
      <c r="L828" t="str">
        <f>INDEX('Boundary table'!$B$3:$B$7,MATCH(J828,'Boundary table'!$A$3:$A$7,1))</f>
        <v>D</v>
      </c>
      <c r="M828" s="16">
        <v>70</v>
      </c>
      <c r="N828">
        <f>RANK(M828,$M$2:$M$1001,0)+COUNTIF($M$2:M828,M828)-1</f>
        <v>486</v>
      </c>
      <c r="O828" t="str">
        <f>INDEX('Boundary table'!$B$3:$B$7,MATCH(M828,'Boundary table'!$A$3:$A$7))</f>
        <v>C</v>
      </c>
      <c r="P828">
        <f>Table1[[#This Row],[Math Score]]+Table1[[#This Row],[Reading Score]]+Table1[[#This Row],[Writing Score]]</f>
        <v>194</v>
      </c>
      <c r="Q828" s="16">
        <f>COUNTIF(Table1[[#This Row],[Math Score]],"&lt;60")+COUNTIF(Table1[[#This Row],[Reading Score]],"&lt;60")+COUNTIF(Table1[[#This Row],[Writing Score]],"&lt;60")</f>
        <v>1</v>
      </c>
      <c r="R828" t="str">
        <f>IF(Table1[[#This Row],[Fail Count]]&gt;=2,"At risk","OK")</f>
        <v>OK</v>
      </c>
    </row>
    <row r="829" spans="1:18">
      <c r="A829" t="str">
        <f t="shared" si="12"/>
        <v>Stu-828</v>
      </c>
      <c r="B829" t="s">
        <v>11</v>
      </c>
      <c r="C829" t="s">
        <v>19</v>
      </c>
      <c r="D829" t="s">
        <v>33</v>
      </c>
      <c r="E829" t="s">
        <v>14</v>
      </c>
      <c r="F829" t="s">
        <v>15</v>
      </c>
      <c r="G829" s="16">
        <v>65</v>
      </c>
      <c r="H829">
        <f>RANK(G829,$G$2:$G$1001,0)+COUNTIF($G$2:G829,G829)-1</f>
        <v>548</v>
      </c>
      <c r="I829" t="str">
        <f>INDEX('Boundary table'!$B$3:$B$7,MATCH(G829,'Boundary table'!$A$3:$A$7,1))</f>
        <v>D</v>
      </c>
      <c r="J829" s="16">
        <v>69</v>
      </c>
      <c r="K829">
        <f>RANK(J829,$J$2:$J$1001,0)+COUNTIF($J$2:J829,J829)-1</f>
        <v>527</v>
      </c>
      <c r="L829" t="str">
        <f>INDEX('Boundary table'!$B$3:$B$7,MATCH(J829,'Boundary table'!$A$3:$A$7,1))</f>
        <v>D</v>
      </c>
      <c r="M829" s="16">
        <v>76</v>
      </c>
      <c r="N829">
        <f>RANK(M829,$M$2:$M$1001,0)+COUNTIF($M$2:M829,M829)-1</f>
        <v>324</v>
      </c>
      <c r="O829" t="str">
        <f>INDEX('Boundary table'!$B$3:$B$7,MATCH(M829,'Boundary table'!$A$3:$A$7))</f>
        <v>C</v>
      </c>
      <c r="P829">
        <f>Table1[[#This Row],[Math Score]]+Table1[[#This Row],[Reading Score]]+Table1[[#This Row],[Writing Score]]</f>
        <v>210</v>
      </c>
      <c r="Q829" s="16">
        <f>COUNTIF(Table1[[#This Row],[Math Score]],"&lt;60")+COUNTIF(Table1[[#This Row],[Reading Score]],"&lt;60")+COUNTIF(Table1[[#This Row],[Writing Score]],"&lt;60")</f>
        <v>0</v>
      </c>
      <c r="R829" t="str">
        <f>IF(Table1[[#This Row],[Fail Count]]&gt;=2,"At risk","OK")</f>
        <v>OK</v>
      </c>
    </row>
    <row r="830" spans="1:18">
      <c r="A830" t="str">
        <f t="shared" si="12"/>
        <v>Stu-829</v>
      </c>
      <c r="B830" t="s">
        <v>11</v>
      </c>
      <c r="C830" t="s">
        <v>31</v>
      </c>
      <c r="D830" t="s">
        <v>33</v>
      </c>
      <c r="E830" t="s">
        <v>30</v>
      </c>
      <c r="F830" t="s">
        <v>21</v>
      </c>
      <c r="G830" s="16">
        <v>69</v>
      </c>
      <c r="H830">
        <f>RANK(G830,$G$2:$G$1001,0)+COUNTIF($G$2:G830,G830)-1</f>
        <v>438</v>
      </c>
      <c r="I830" t="str">
        <f>INDEX('Boundary table'!$B$3:$B$7,MATCH(G830,'Boundary table'!$A$3:$A$7,1))</f>
        <v>D</v>
      </c>
      <c r="J830" s="16">
        <v>86</v>
      </c>
      <c r="K830">
        <f>RANK(J830,$J$2:$J$1001,0)+COUNTIF($J$2:J830,J830)-1</f>
        <v>128</v>
      </c>
      <c r="L830" t="str">
        <f>INDEX('Boundary table'!$B$3:$B$7,MATCH(J830,'Boundary table'!$A$3:$A$7,1))</f>
        <v>B</v>
      </c>
      <c r="M830" s="16">
        <v>81</v>
      </c>
      <c r="N830">
        <f>RANK(M830,$M$2:$M$1001,0)+COUNTIF($M$2:M830,M830)-1</f>
        <v>206</v>
      </c>
      <c r="O830" t="str">
        <f>INDEX('Boundary table'!$B$3:$B$7,MATCH(M830,'Boundary table'!$A$3:$A$7))</f>
        <v>B</v>
      </c>
      <c r="P830">
        <f>Table1[[#This Row],[Math Score]]+Table1[[#This Row],[Reading Score]]+Table1[[#This Row],[Writing Score]]</f>
        <v>236</v>
      </c>
      <c r="Q830" s="16">
        <f>COUNTIF(Table1[[#This Row],[Math Score]],"&lt;60")+COUNTIF(Table1[[#This Row],[Reading Score]],"&lt;60")+COUNTIF(Table1[[#This Row],[Writing Score]],"&lt;60")</f>
        <v>0</v>
      </c>
      <c r="R830" t="str">
        <f>IF(Table1[[#This Row],[Fail Count]]&gt;=2,"At risk","OK")</f>
        <v>OK</v>
      </c>
    </row>
    <row r="831" spans="1:18">
      <c r="A831" t="str">
        <f t="shared" si="12"/>
        <v>Stu-830</v>
      </c>
      <c r="B831" t="s">
        <v>27</v>
      </c>
      <c r="C831" t="s">
        <v>12</v>
      </c>
      <c r="D831" t="s">
        <v>33</v>
      </c>
      <c r="E831" t="s">
        <v>14</v>
      </c>
      <c r="F831" t="s">
        <v>15</v>
      </c>
      <c r="G831" s="16">
        <v>68</v>
      </c>
      <c r="H831">
        <f>RANK(G831,$G$2:$G$1001,0)+COUNTIF($G$2:G831,G831)-1</f>
        <v>464</v>
      </c>
      <c r="I831" t="str">
        <f>INDEX('Boundary table'!$B$3:$B$7,MATCH(G831,'Boundary table'!$A$3:$A$7,1))</f>
        <v>D</v>
      </c>
      <c r="J831" s="16">
        <v>54</v>
      </c>
      <c r="K831">
        <f>RANK(J831,$J$2:$J$1001,0)+COUNTIF($J$2:J831,J831)-1</f>
        <v>855</v>
      </c>
      <c r="L831" t="str">
        <f>INDEX('Boundary table'!$B$3:$B$7,MATCH(J831,'Boundary table'!$A$3:$A$7,1))</f>
        <v>F</v>
      </c>
      <c r="M831" s="16">
        <v>53</v>
      </c>
      <c r="N831">
        <f>RANK(M831,$M$2:$M$1001,0)+COUNTIF($M$2:M831,M831)-1</f>
        <v>835</v>
      </c>
      <c r="O831" t="str">
        <f>INDEX('Boundary table'!$B$3:$B$7,MATCH(M831,'Boundary table'!$A$3:$A$7))</f>
        <v>F</v>
      </c>
      <c r="P831">
        <f>Table1[[#This Row],[Math Score]]+Table1[[#This Row],[Reading Score]]+Table1[[#This Row],[Writing Score]]</f>
        <v>175</v>
      </c>
      <c r="Q831" s="16">
        <f>COUNTIF(Table1[[#This Row],[Math Score]],"&lt;60")+COUNTIF(Table1[[#This Row],[Reading Score]],"&lt;60")+COUNTIF(Table1[[#This Row],[Writing Score]],"&lt;60")</f>
        <v>2</v>
      </c>
      <c r="R831" t="str">
        <f>IF(Table1[[#This Row],[Fail Count]]&gt;=2,"At risk","OK")</f>
        <v>At risk</v>
      </c>
    </row>
    <row r="832" spans="1:18">
      <c r="A832" t="str">
        <f t="shared" si="12"/>
        <v>Stu-831</v>
      </c>
      <c r="B832" t="s">
        <v>11</v>
      </c>
      <c r="C832" t="s">
        <v>28</v>
      </c>
      <c r="D832" t="s">
        <v>20</v>
      </c>
      <c r="E832" t="s">
        <v>30</v>
      </c>
      <c r="F832" t="s">
        <v>15</v>
      </c>
      <c r="G832" s="16">
        <v>61</v>
      </c>
      <c r="H832">
        <f>RANK(G832,$G$2:$G$1001,0)+COUNTIF($G$2:G832,G832)-1</f>
        <v>657</v>
      </c>
      <c r="I832" t="str">
        <f>INDEX('Boundary table'!$B$3:$B$7,MATCH(G832,'Boundary table'!$A$3:$A$7,1))</f>
        <v>D</v>
      </c>
      <c r="J832" s="16">
        <v>60</v>
      </c>
      <c r="K832">
        <f>RANK(J832,$J$2:$J$1001,0)+COUNTIF($J$2:J832,J832)-1</f>
        <v>745</v>
      </c>
      <c r="L832" t="str">
        <f>INDEX('Boundary table'!$B$3:$B$7,MATCH(J832,'Boundary table'!$A$3:$A$7,1))</f>
        <v>D</v>
      </c>
      <c r="M832" s="16">
        <v>57</v>
      </c>
      <c r="N832">
        <f>RANK(M832,$M$2:$M$1001,0)+COUNTIF($M$2:M832,M832)-1</f>
        <v>767</v>
      </c>
      <c r="O832" t="str">
        <f>INDEX('Boundary table'!$B$3:$B$7,MATCH(M832,'Boundary table'!$A$3:$A$7))</f>
        <v>F</v>
      </c>
      <c r="P832">
        <f>Table1[[#This Row],[Math Score]]+Table1[[#This Row],[Reading Score]]+Table1[[#This Row],[Writing Score]]</f>
        <v>178</v>
      </c>
      <c r="Q832" s="16">
        <f>COUNTIF(Table1[[#This Row],[Math Score]],"&lt;60")+COUNTIF(Table1[[#This Row],[Reading Score]],"&lt;60")+COUNTIF(Table1[[#This Row],[Writing Score]],"&lt;60")</f>
        <v>1</v>
      </c>
      <c r="R832" t="str">
        <f>IF(Table1[[#This Row],[Fail Count]]&gt;=2,"At risk","OK")</f>
        <v>OK</v>
      </c>
    </row>
    <row r="833" spans="1:18">
      <c r="A833" t="str">
        <f t="shared" si="12"/>
        <v>Stu-832</v>
      </c>
      <c r="B833" t="s">
        <v>11</v>
      </c>
      <c r="C833" t="s">
        <v>19</v>
      </c>
      <c r="D833" t="s">
        <v>13</v>
      </c>
      <c r="E833" t="s">
        <v>30</v>
      </c>
      <c r="F833" t="s">
        <v>21</v>
      </c>
      <c r="G833" s="16">
        <v>74</v>
      </c>
      <c r="H833">
        <f>RANK(G833,$G$2:$G$1001,0)+COUNTIF($G$2:G833,G833)-1</f>
        <v>315</v>
      </c>
      <c r="I833" t="str">
        <f>INDEX('Boundary table'!$B$3:$B$7,MATCH(G833,'Boundary table'!$A$3:$A$7,1))</f>
        <v>C</v>
      </c>
      <c r="J833" s="16">
        <v>86</v>
      </c>
      <c r="K833">
        <f>RANK(J833,$J$2:$J$1001,0)+COUNTIF($J$2:J833,J833)-1</f>
        <v>129</v>
      </c>
      <c r="L833" t="str">
        <f>INDEX('Boundary table'!$B$3:$B$7,MATCH(J833,'Boundary table'!$A$3:$A$7,1))</f>
        <v>B</v>
      </c>
      <c r="M833" s="16">
        <v>89</v>
      </c>
      <c r="N833">
        <f>RANK(M833,$M$2:$M$1001,0)+COUNTIF($M$2:M833,M833)-1</f>
        <v>85</v>
      </c>
      <c r="O833" t="str">
        <f>INDEX('Boundary table'!$B$3:$B$7,MATCH(M833,'Boundary table'!$A$3:$A$7))</f>
        <v>B</v>
      </c>
      <c r="P833">
        <f>Table1[[#This Row],[Math Score]]+Table1[[#This Row],[Reading Score]]+Table1[[#This Row],[Writing Score]]</f>
        <v>249</v>
      </c>
      <c r="Q833" s="16">
        <f>COUNTIF(Table1[[#This Row],[Math Score]],"&lt;60")+COUNTIF(Table1[[#This Row],[Reading Score]],"&lt;60")+COUNTIF(Table1[[#This Row],[Writing Score]],"&lt;60")</f>
        <v>0</v>
      </c>
      <c r="R833" t="str">
        <f>IF(Table1[[#This Row],[Fail Count]]&gt;=2,"At risk","OK")</f>
        <v>OK</v>
      </c>
    </row>
    <row r="834" spans="1:18">
      <c r="A834" t="str">
        <f t="shared" ref="A834:A897" si="13">"Stu-"&amp;TEXT(ROW()-1,"000")</f>
        <v>Stu-833</v>
      </c>
      <c r="B834" t="s">
        <v>27</v>
      </c>
      <c r="C834" t="s">
        <v>28</v>
      </c>
      <c r="D834" t="s">
        <v>13</v>
      </c>
      <c r="E834" t="s">
        <v>14</v>
      </c>
      <c r="F834" t="s">
        <v>15</v>
      </c>
      <c r="G834" s="16">
        <v>64</v>
      </c>
      <c r="H834">
        <f>RANK(G834,$G$2:$G$1001,0)+COUNTIF($G$2:G834,G834)-1</f>
        <v>567</v>
      </c>
      <c r="I834" t="str">
        <f>INDEX('Boundary table'!$B$3:$B$7,MATCH(G834,'Boundary table'!$A$3:$A$7,1))</f>
        <v>D</v>
      </c>
      <c r="J834" s="16">
        <v>60</v>
      </c>
      <c r="K834">
        <f>RANK(J834,$J$2:$J$1001,0)+COUNTIF($J$2:J834,J834)-1</f>
        <v>746</v>
      </c>
      <c r="L834" t="str">
        <f>INDEX('Boundary table'!$B$3:$B$7,MATCH(J834,'Boundary table'!$A$3:$A$7,1))</f>
        <v>D</v>
      </c>
      <c r="M834" s="16">
        <v>58</v>
      </c>
      <c r="N834">
        <f>RANK(M834,$M$2:$M$1001,0)+COUNTIF($M$2:M834,M834)-1</f>
        <v>746</v>
      </c>
      <c r="O834" t="str">
        <f>INDEX('Boundary table'!$B$3:$B$7,MATCH(M834,'Boundary table'!$A$3:$A$7))</f>
        <v>F</v>
      </c>
      <c r="P834">
        <f>Table1[[#This Row],[Math Score]]+Table1[[#This Row],[Reading Score]]+Table1[[#This Row],[Writing Score]]</f>
        <v>182</v>
      </c>
      <c r="Q834" s="16">
        <f>COUNTIF(Table1[[#This Row],[Math Score]],"&lt;60")+COUNTIF(Table1[[#This Row],[Reading Score]],"&lt;60")+COUNTIF(Table1[[#This Row],[Writing Score]],"&lt;60")</f>
        <v>1</v>
      </c>
      <c r="R834" t="str">
        <f>IF(Table1[[#This Row],[Fail Count]]&gt;=2,"At risk","OK")</f>
        <v>OK</v>
      </c>
    </row>
    <row r="835" spans="1:18">
      <c r="A835" t="str">
        <f t="shared" si="13"/>
        <v>Stu-834</v>
      </c>
      <c r="B835" t="s">
        <v>11</v>
      </c>
      <c r="C835" t="s">
        <v>12</v>
      </c>
      <c r="D835" t="s">
        <v>32</v>
      </c>
      <c r="E835" t="s">
        <v>14</v>
      </c>
      <c r="F835" t="s">
        <v>21</v>
      </c>
      <c r="G835" s="16">
        <v>77</v>
      </c>
      <c r="H835">
        <f>RANK(G835,$G$2:$G$1001,0)+COUNTIF($G$2:G835,G835)-1</f>
        <v>251</v>
      </c>
      <c r="I835" t="str">
        <f>INDEX('Boundary table'!$B$3:$B$7,MATCH(G835,'Boundary table'!$A$3:$A$7,1))</f>
        <v>C</v>
      </c>
      <c r="J835" s="16">
        <v>82</v>
      </c>
      <c r="K835">
        <f>RANK(J835,$J$2:$J$1001,0)+COUNTIF($J$2:J835,J835)-1</f>
        <v>204</v>
      </c>
      <c r="L835" t="str">
        <f>INDEX('Boundary table'!$B$3:$B$7,MATCH(J835,'Boundary table'!$A$3:$A$7,1))</f>
        <v>B</v>
      </c>
      <c r="M835" s="16">
        <v>89</v>
      </c>
      <c r="N835">
        <f>RANK(M835,$M$2:$M$1001,0)+COUNTIF($M$2:M835,M835)-1</f>
        <v>86</v>
      </c>
      <c r="O835" t="str">
        <f>INDEX('Boundary table'!$B$3:$B$7,MATCH(M835,'Boundary table'!$A$3:$A$7))</f>
        <v>B</v>
      </c>
      <c r="P835">
        <f>Table1[[#This Row],[Math Score]]+Table1[[#This Row],[Reading Score]]+Table1[[#This Row],[Writing Score]]</f>
        <v>248</v>
      </c>
      <c r="Q835" s="16">
        <f>COUNTIF(Table1[[#This Row],[Math Score]],"&lt;60")+COUNTIF(Table1[[#This Row],[Reading Score]],"&lt;60")+COUNTIF(Table1[[#This Row],[Writing Score]],"&lt;60")</f>
        <v>0</v>
      </c>
      <c r="R835" t="str">
        <f>IF(Table1[[#This Row],[Fail Count]]&gt;=2,"At risk","OK")</f>
        <v>OK</v>
      </c>
    </row>
    <row r="836" spans="1:18">
      <c r="A836" t="str">
        <f t="shared" si="13"/>
        <v>Stu-835</v>
      </c>
      <c r="B836" t="s">
        <v>27</v>
      </c>
      <c r="C836" t="s">
        <v>12</v>
      </c>
      <c r="D836" t="s">
        <v>20</v>
      </c>
      <c r="E836" t="s">
        <v>14</v>
      </c>
      <c r="F836" t="s">
        <v>15</v>
      </c>
      <c r="G836" s="16">
        <v>58</v>
      </c>
      <c r="H836">
        <f>RANK(G836,$G$2:$G$1001,0)+COUNTIF($G$2:G836,G836)-1</f>
        <v>731</v>
      </c>
      <c r="I836" t="str">
        <f>INDEX('Boundary table'!$B$3:$B$7,MATCH(G836,'Boundary table'!$A$3:$A$7,1))</f>
        <v>F</v>
      </c>
      <c r="J836" s="16">
        <v>50</v>
      </c>
      <c r="K836">
        <f>RANK(J836,$J$2:$J$1001,0)+COUNTIF($J$2:J836,J836)-1</f>
        <v>908</v>
      </c>
      <c r="L836" t="str">
        <f>INDEX('Boundary table'!$B$3:$B$7,MATCH(J836,'Boundary table'!$A$3:$A$7,1))</f>
        <v>F</v>
      </c>
      <c r="M836" s="16">
        <v>45</v>
      </c>
      <c r="N836">
        <f>RANK(M836,$M$2:$M$1001,0)+COUNTIF($M$2:M836,M836)-1</f>
        <v>929</v>
      </c>
      <c r="O836" t="str">
        <f>INDEX('Boundary table'!$B$3:$B$7,MATCH(M836,'Boundary table'!$A$3:$A$7))</f>
        <v>F</v>
      </c>
      <c r="P836">
        <f>Table1[[#This Row],[Math Score]]+Table1[[#This Row],[Reading Score]]+Table1[[#This Row],[Writing Score]]</f>
        <v>153</v>
      </c>
      <c r="Q836" s="16">
        <f>COUNTIF(Table1[[#This Row],[Math Score]],"&lt;60")+COUNTIF(Table1[[#This Row],[Reading Score]],"&lt;60")+COUNTIF(Table1[[#This Row],[Writing Score]],"&lt;60")</f>
        <v>3</v>
      </c>
      <c r="R836" t="str">
        <f>IF(Table1[[#This Row],[Fail Count]]&gt;=2,"At risk","OK")</f>
        <v>At risk</v>
      </c>
    </row>
    <row r="837" spans="1:18">
      <c r="A837" t="str">
        <f t="shared" si="13"/>
        <v>Stu-836</v>
      </c>
      <c r="B837" t="s">
        <v>11</v>
      </c>
      <c r="C837" t="s">
        <v>19</v>
      </c>
      <c r="D837" t="s">
        <v>32</v>
      </c>
      <c r="E837" t="s">
        <v>14</v>
      </c>
      <c r="F837" t="s">
        <v>21</v>
      </c>
      <c r="G837" s="16">
        <v>60</v>
      </c>
      <c r="H837">
        <f>RANK(G837,$G$2:$G$1001,0)+COUNTIF($G$2:G837,G837)-1</f>
        <v>676</v>
      </c>
      <c r="I837" t="str">
        <f>INDEX('Boundary table'!$B$3:$B$7,MATCH(G837,'Boundary table'!$A$3:$A$7,1))</f>
        <v>D</v>
      </c>
      <c r="J837" s="16">
        <v>64</v>
      </c>
      <c r="K837">
        <f>RANK(J837,$J$2:$J$1001,0)+COUNTIF($J$2:J837,J837)-1</f>
        <v>653</v>
      </c>
      <c r="L837" t="str">
        <f>INDEX('Boundary table'!$B$3:$B$7,MATCH(J837,'Boundary table'!$A$3:$A$7,1))</f>
        <v>D</v>
      </c>
      <c r="M837" s="16">
        <v>74</v>
      </c>
      <c r="N837">
        <f>RANK(M837,$M$2:$M$1001,0)+COUNTIF($M$2:M837,M837)-1</f>
        <v>380</v>
      </c>
      <c r="O837" t="str">
        <f>INDEX('Boundary table'!$B$3:$B$7,MATCH(M837,'Boundary table'!$A$3:$A$7))</f>
        <v>C</v>
      </c>
      <c r="P837">
        <f>Table1[[#This Row],[Math Score]]+Table1[[#This Row],[Reading Score]]+Table1[[#This Row],[Writing Score]]</f>
        <v>198</v>
      </c>
      <c r="Q837" s="16">
        <f>COUNTIF(Table1[[#This Row],[Math Score]],"&lt;60")+COUNTIF(Table1[[#This Row],[Reading Score]],"&lt;60")+COUNTIF(Table1[[#This Row],[Writing Score]],"&lt;60")</f>
        <v>0</v>
      </c>
      <c r="R837" t="str">
        <f>IF(Table1[[#This Row],[Fail Count]]&gt;=2,"At risk","OK")</f>
        <v>OK</v>
      </c>
    </row>
    <row r="838" spans="1:18">
      <c r="A838" t="str">
        <f t="shared" si="13"/>
        <v>Stu-837</v>
      </c>
      <c r="B838" t="s">
        <v>27</v>
      </c>
      <c r="C838" t="s">
        <v>34</v>
      </c>
      <c r="D838" t="s">
        <v>32</v>
      </c>
      <c r="E838" t="s">
        <v>14</v>
      </c>
      <c r="F838" t="s">
        <v>15</v>
      </c>
      <c r="G838" s="16">
        <v>73</v>
      </c>
      <c r="H838">
        <f>RANK(G838,$G$2:$G$1001,0)+COUNTIF($G$2:G838,G838)-1</f>
        <v>346</v>
      </c>
      <c r="I838" t="str">
        <f>INDEX('Boundary table'!$B$3:$B$7,MATCH(G838,'Boundary table'!$A$3:$A$7,1))</f>
        <v>C</v>
      </c>
      <c r="J838" s="16">
        <v>64</v>
      </c>
      <c r="K838">
        <f>RANK(J838,$J$2:$J$1001,0)+COUNTIF($J$2:J838,J838)-1</f>
        <v>654</v>
      </c>
      <c r="L838" t="str">
        <f>INDEX('Boundary table'!$B$3:$B$7,MATCH(J838,'Boundary table'!$A$3:$A$7,1))</f>
        <v>D</v>
      </c>
      <c r="M838" s="16">
        <v>57</v>
      </c>
      <c r="N838">
        <f>RANK(M838,$M$2:$M$1001,0)+COUNTIF($M$2:M838,M838)-1</f>
        <v>768</v>
      </c>
      <c r="O838" t="str">
        <f>INDEX('Boundary table'!$B$3:$B$7,MATCH(M838,'Boundary table'!$A$3:$A$7))</f>
        <v>F</v>
      </c>
      <c r="P838">
        <f>Table1[[#This Row],[Math Score]]+Table1[[#This Row],[Reading Score]]+Table1[[#This Row],[Writing Score]]</f>
        <v>194</v>
      </c>
      <c r="Q838" s="16">
        <f>COUNTIF(Table1[[#This Row],[Math Score]],"&lt;60")+COUNTIF(Table1[[#This Row],[Reading Score]],"&lt;60")+COUNTIF(Table1[[#This Row],[Writing Score]],"&lt;60")</f>
        <v>1</v>
      </c>
      <c r="R838" t="str">
        <f>IF(Table1[[#This Row],[Fail Count]]&gt;=2,"At risk","OK")</f>
        <v>OK</v>
      </c>
    </row>
    <row r="839" spans="1:18">
      <c r="A839" t="str">
        <f t="shared" si="13"/>
        <v>Stu-838</v>
      </c>
      <c r="B839" t="s">
        <v>11</v>
      </c>
      <c r="C839" t="s">
        <v>28</v>
      </c>
      <c r="D839" t="s">
        <v>32</v>
      </c>
      <c r="E839" t="s">
        <v>14</v>
      </c>
      <c r="F839" t="s">
        <v>21</v>
      </c>
      <c r="G839" s="16">
        <v>75</v>
      </c>
      <c r="H839">
        <f>RANK(G839,$G$2:$G$1001,0)+COUNTIF($G$2:G839,G839)-1</f>
        <v>291</v>
      </c>
      <c r="I839" t="str">
        <f>INDEX('Boundary table'!$B$3:$B$7,MATCH(G839,'Boundary table'!$A$3:$A$7,1))</f>
        <v>C</v>
      </c>
      <c r="J839" s="16">
        <v>82</v>
      </c>
      <c r="K839">
        <f>RANK(J839,$J$2:$J$1001,0)+COUNTIF($J$2:J839,J839)-1</f>
        <v>205</v>
      </c>
      <c r="L839" t="str">
        <f>INDEX('Boundary table'!$B$3:$B$7,MATCH(J839,'Boundary table'!$A$3:$A$7,1))</f>
        <v>B</v>
      </c>
      <c r="M839" s="16">
        <v>79</v>
      </c>
      <c r="N839">
        <f>RANK(M839,$M$2:$M$1001,0)+COUNTIF($M$2:M839,M839)-1</f>
        <v>253</v>
      </c>
      <c r="O839" t="str">
        <f>INDEX('Boundary table'!$B$3:$B$7,MATCH(M839,'Boundary table'!$A$3:$A$7))</f>
        <v>C</v>
      </c>
      <c r="P839">
        <f>Table1[[#This Row],[Math Score]]+Table1[[#This Row],[Reading Score]]+Table1[[#This Row],[Writing Score]]</f>
        <v>236</v>
      </c>
      <c r="Q839" s="16">
        <f>COUNTIF(Table1[[#This Row],[Math Score]],"&lt;60")+COUNTIF(Table1[[#This Row],[Reading Score]],"&lt;60")+COUNTIF(Table1[[#This Row],[Writing Score]],"&lt;60")</f>
        <v>0</v>
      </c>
      <c r="R839" t="str">
        <f>IF(Table1[[#This Row],[Fail Count]]&gt;=2,"At risk","OK")</f>
        <v>OK</v>
      </c>
    </row>
    <row r="840" spans="1:18">
      <c r="A840" t="str">
        <f t="shared" si="13"/>
        <v>Stu-839</v>
      </c>
      <c r="B840" t="s">
        <v>27</v>
      </c>
      <c r="C840" t="s">
        <v>12</v>
      </c>
      <c r="D840" t="s">
        <v>29</v>
      </c>
      <c r="E840" t="s">
        <v>30</v>
      </c>
      <c r="F840" t="s">
        <v>21</v>
      </c>
      <c r="G840" s="16">
        <v>58</v>
      </c>
      <c r="H840">
        <f>RANK(G840,$G$2:$G$1001,0)+COUNTIF($G$2:G840,G840)-1</f>
        <v>732</v>
      </c>
      <c r="I840" t="str">
        <f>INDEX('Boundary table'!$B$3:$B$7,MATCH(G840,'Boundary table'!$A$3:$A$7,1))</f>
        <v>F</v>
      </c>
      <c r="J840" s="16">
        <v>57</v>
      </c>
      <c r="K840">
        <f>RANK(J840,$J$2:$J$1001,0)+COUNTIF($J$2:J840,J840)-1</f>
        <v>804</v>
      </c>
      <c r="L840" t="str">
        <f>INDEX('Boundary table'!$B$3:$B$7,MATCH(J840,'Boundary table'!$A$3:$A$7,1))</f>
        <v>F</v>
      </c>
      <c r="M840" s="16">
        <v>53</v>
      </c>
      <c r="N840">
        <f>RANK(M840,$M$2:$M$1001,0)+COUNTIF($M$2:M840,M840)-1</f>
        <v>836</v>
      </c>
      <c r="O840" t="str">
        <f>INDEX('Boundary table'!$B$3:$B$7,MATCH(M840,'Boundary table'!$A$3:$A$7))</f>
        <v>F</v>
      </c>
      <c r="P840">
        <f>Table1[[#This Row],[Math Score]]+Table1[[#This Row],[Reading Score]]+Table1[[#This Row],[Writing Score]]</f>
        <v>168</v>
      </c>
      <c r="Q840" s="16">
        <f>COUNTIF(Table1[[#This Row],[Math Score]],"&lt;60")+COUNTIF(Table1[[#This Row],[Reading Score]],"&lt;60")+COUNTIF(Table1[[#This Row],[Writing Score]],"&lt;60")</f>
        <v>3</v>
      </c>
      <c r="R840" t="str">
        <f>IF(Table1[[#This Row],[Fail Count]]&gt;=2,"At risk","OK")</f>
        <v>At risk</v>
      </c>
    </row>
    <row r="841" spans="1:18">
      <c r="A841" t="str">
        <f t="shared" si="13"/>
        <v>Stu-840</v>
      </c>
      <c r="B841" t="s">
        <v>11</v>
      </c>
      <c r="C841" t="s">
        <v>19</v>
      </c>
      <c r="D841" t="s">
        <v>29</v>
      </c>
      <c r="E841" t="s">
        <v>14</v>
      </c>
      <c r="F841" t="s">
        <v>15</v>
      </c>
      <c r="G841" s="16">
        <v>66</v>
      </c>
      <c r="H841">
        <f>RANK(G841,$G$2:$G$1001,0)+COUNTIF($G$2:G841,G841)-1</f>
        <v>516</v>
      </c>
      <c r="I841" t="str">
        <f>INDEX('Boundary table'!$B$3:$B$7,MATCH(G841,'Boundary table'!$A$3:$A$7,1))</f>
        <v>D</v>
      </c>
      <c r="J841" s="16">
        <v>77</v>
      </c>
      <c r="K841">
        <f>RANK(J841,$J$2:$J$1001,0)+COUNTIF($J$2:J841,J841)-1</f>
        <v>315</v>
      </c>
      <c r="L841" t="str">
        <f>INDEX('Boundary table'!$B$3:$B$7,MATCH(J841,'Boundary table'!$A$3:$A$7,1))</f>
        <v>C</v>
      </c>
      <c r="M841" s="16">
        <v>73</v>
      </c>
      <c r="N841">
        <f>RANK(M841,$M$2:$M$1001,0)+COUNTIF($M$2:M841,M841)-1</f>
        <v>410</v>
      </c>
      <c r="O841" t="str">
        <f>INDEX('Boundary table'!$B$3:$B$7,MATCH(M841,'Boundary table'!$A$3:$A$7))</f>
        <v>C</v>
      </c>
      <c r="P841">
        <f>Table1[[#This Row],[Math Score]]+Table1[[#This Row],[Reading Score]]+Table1[[#This Row],[Writing Score]]</f>
        <v>216</v>
      </c>
      <c r="Q841" s="16">
        <f>COUNTIF(Table1[[#This Row],[Math Score]],"&lt;60")+COUNTIF(Table1[[#This Row],[Reading Score]],"&lt;60")+COUNTIF(Table1[[#This Row],[Writing Score]],"&lt;60")</f>
        <v>0</v>
      </c>
      <c r="R841" t="str">
        <f>IF(Table1[[#This Row],[Fail Count]]&gt;=2,"At risk","OK")</f>
        <v>OK</v>
      </c>
    </row>
    <row r="842" spans="1:18">
      <c r="A842" t="str">
        <f t="shared" si="13"/>
        <v>Stu-841</v>
      </c>
      <c r="B842" t="s">
        <v>11</v>
      </c>
      <c r="C842" t="s">
        <v>31</v>
      </c>
      <c r="D842" t="s">
        <v>32</v>
      </c>
      <c r="E842" t="s">
        <v>30</v>
      </c>
      <c r="F842" t="s">
        <v>15</v>
      </c>
      <c r="G842" s="16">
        <v>39</v>
      </c>
      <c r="H842">
        <f>RANK(G842,$G$2:$G$1001,0)+COUNTIF($G$2:G842,G842)-1</f>
        <v>963</v>
      </c>
      <c r="I842" t="str">
        <f>INDEX('Boundary table'!$B$3:$B$7,MATCH(G842,'Boundary table'!$A$3:$A$7,1))</f>
        <v>F</v>
      </c>
      <c r="J842" s="16">
        <v>52</v>
      </c>
      <c r="K842">
        <f>RANK(J842,$J$2:$J$1001,0)+COUNTIF($J$2:J842,J842)-1</f>
        <v>886</v>
      </c>
      <c r="L842" t="str">
        <f>INDEX('Boundary table'!$B$3:$B$7,MATCH(J842,'Boundary table'!$A$3:$A$7,1))</f>
        <v>F</v>
      </c>
      <c r="M842" s="16">
        <v>46</v>
      </c>
      <c r="N842">
        <f>RANK(M842,$M$2:$M$1001,0)+COUNTIF($M$2:M842,M842)-1</f>
        <v>921</v>
      </c>
      <c r="O842" t="str">
        <f>INDEX('Boundary table'!$B$3:$B$7,MATCH(M842,'Boundary table'!$A$3:$A$7))</f>
        <v>F</v>
      </c>
      <c r="P842">
        <f>Table1[[#This Row],[Math Score]]+Table1[[#This Row],[Reading Score]]+Table1[[#This Row],[Writing Score]]</f>
        <v>137</v>
      </c>
      <c r="Q842" s="16">
        <f>COUNTIF(Table1[[#This Row],[Math Score]],"&lt;60")+COUNTIF(Table1[[#This Row],[Reading Score]],"&lt;60")+COUNTIF(Table1[[#This Row],[Writing Score]],"&lt;60")</f>
        <v>3</v>
      </c>
      <c r="R842" t="str">
        <f>IF(Table1[[#This Row],[Fail Count]]&gt;=2,"At risk","OK")</f>
        <v>At risk</v>
      </c>
    </row>
    <row r="843" spans="1:18">
      <c r="A843" t="str">
        <f t="shared" si="13"/>
        <v>Stu-842</v>
      </c>
      <c r="B843" t="s">
        <v>27</v>
      </c>
      <c r="C843" t="s">
        <v>19</v>
      </c>
      <c r="D843" t="s">
        <v>33</v>
      </c>
      <c r="E843" t="s">
        <v>14</v>
      </c>
      <c r="F843" t="s">
        <v>15</v>
      </c>
      <c r="G843" s="16">
        <v>64</v>
      </c>
      <c r="H843">
        <f>RANK(G843,$G$2:$G$1001,0)+COUNTIF($G$2:G843,G843)-1</f>
        <v>568</v>
      </c>
      <c r="I843" t="str">
        <f>INDEX('Boundary table'!$B$3:$B$7,MATCH(G843,'Boundary table'!$A$3:$A$7,1))</f>
        <v>D</v>
      </c>
      <c r="J843" s="16">
        <v>58</v>
      </c>
      <c r="K843">
        <f>RANK(J843,$J$2:$J$1001,0)+COUNTIF($J$2:J843,J843)-1</f>
        <v>787</v>
      </c>
      <c r="L843" t="str">
        <f>INDEX('Boundary table'!$B$3:$B$7,MATCH(J843,'Boundary table'!$A$3:$A$7,1))</f>
        <v>F</v>
      </c>
      <c r="M843" s="16">
        <v>51</v>
      </c>
      <c r="N843">
        <f>RANK(M843,$M$2:$M$1001,0)+COUNTIF($M$2:M843,M843)-1</f>
        <v>872</v>
      </c>
      <c r="O843" t="str">
        <f>INDEX('Boundary table'!$B$3:$B$7,MATCH(M843,'Boundary table'!$A$3:$A$7))</f>
        <v>F</v>
      </c>
      <c r="P843">
        <f>Table1[[#This Row],[Math Score]]+Table1[[#This Row],[Reading Score]]+Table1[[#This Row],[Writing Score]]</f>
        <v>173</v>
      </c>
      <c r="Q843" s="16">
        <f>COUNTIF(Table1[[#This Row],[Math Score]],"&lt;60")+COUNTIF(Table1[[#This Row],[Reading Score]],"&lt;60")+COUNTIF(Table1[[#This Row],[Writing Score]],"&lt;60")</f>
        <v>2</v>
      </c>
      <c r="R843" t="str">
        <f>IF(Table1[[#This Row],[Fail Count]]&gt;=2,"At risk","OK")</f>
        <v>At risk</v>
      </c>
    </row>
    <row r="844" spans="1:18">
      <c r="A844" t="str">
        <f t="shared" si="13"/>
        <v>Stu-843</v>
      </c>
      <c r="B844" t="s">
        <v>11</v>
      </c>
      <c r="C844" t="s">
        <v>12</v>
      </c>
      <c r="D844" t="s">
        <v>32</v>
      </c>
      <c r="E844" t="s">
        <v>30</v>
      </c>
      <c r="F844" t="s">
        <v>21</v>
      </c>
      <c r="G844" s="16">
        <v>23</v>
      </c>
      <c r="H844">
        <f>RANK(G844,$G$2:$G$1001,0)+COUNTIF($G$2:G844,G844)-1</f>
        <v>995</v>
      </c>
      <c r="I844" t="str">
        <f>INDEX('Boundary table'!$B$3:$B$7,MATCH(G844,'Boundary table'!$A$3:$A$7,1))</f>
        <v>F</v>
      </c>
      <c r="J844" s="16">
        <v>44</v>
      </c>
      <c r="K844">
        <f>RANK(J844,$J$2:$J$1001,0)+COUNTIF($J$2:J844,J844)-1</f>
        <v>951</v>
      </c>
      <c r="L844" t="str">
        <f>INDEX('Boundary table'!$B$3:$B$7,MATCH(J844,'Boundary table'!$A$3:$A$7,1))</f>
        <v>F</v>
      </c>
      <c r="M844" s="16">
        <v>36</v>
      </c>
      <c r="N844">
        <f>RANK(M844,$M$2:$M$1001,0)+COUNTIF($M$2:M844,M844)-1</f>
        <v>982</v>
      </c>
      <c r="O844" t="str">
        <f>INDEX('Boundary table'!$B$3:$B$7,MATCH(M844,'Boundary table'!$A$3:$A$7))</f>
        <v>F</v>
      </c>
      <c r="P844">
        <f>Table1[[#This Row],[Math Score]]+Table1[[#This Row],[Reading Score]]+Table1[[#This Row],[Writing Score]]</f>
        <v>103</v>
      </c>
      <c r="Q844" s="16">
        <f>COUNTIF(Table1[[#This Row],[Math Score]],"&lt;60")+COUNTIF(Table1[[#This Row],[Reading Score]],"&lt;60")+COUNTIF(Table1[[#This Row],[Writing Score]],"&lt;60")</f>
        <v>3</v>
      </c>
      <c r="R844" t="str">
        <f>IF(Table1[[#This Row],[Fail Count]]&gt;=2,"At risk","OK")</f>
        <v>At risk</v>
      </c>
    </row>
    <row r="845" spans="1:18">
      <c r="A845" t="str">
        <f t="shared" si="13"/>
        <v>Stu-844</v>
      </c>
      <c r="B845" t="s">
        <v>27</v>
      </c>
      <c r="C845" t="s">
        <v>12</v>
      </c>
      <c r="D845" t="s">
        <v>20</v>
      </c>
      <c r="E845" t="s">
        <v>30</v>
      </c>
      <c r="F845" t="s">
        <v>21</v>
      </c>
      <c r="G845" s="16">
        <v>74</v>
      </c>
      <c r="H845">
        <f>RANK(G845,$G$2:$G$1001,0)+COUNTIF($G$2:G845,G845)-1</f>
        <v>316</v>
      </c>
      <c r="I845" t="str">
        <f>INDEX('Boundary table'!$B$3:$B$7,MATCH(G845,'Boundary table'!$A$3:$A$7,1))</f>
        <v>C</v>
      </c>
      <c r="J845" s="16">
        <v>77</v>
      </c>
      <c r="K845">
        <f>RANK(J845,$J$2:$J$1001,0)+COUNTIF($J$2:J845,J845)-1</f>
        <v>316</v>
      </c>
      <c r="L845" t="str">
        <f>INDEX('Boundary table'!$B$3:$B$7,MATCH(J845,'Boundary table'!$A$3:$A$7,1))</f>
        <v>C</v>
      </c>
      <c r="M845" s="16">
        <v>76</v>
      </c>
      <c r="N845">
        <f>RANK(M845,$M$2:$M$1001,0)+COUNTIF($M$2:M845,M845)-1</f>
        <v>325</v>
      </c>
      <c r="O845" t="str">
        <f>INDEX('Boundary table'!$B$3:$B$7,MATCH(M845,'Boundary table'!$A$3:$A$7))</f>
        <v>C</v>
      </c>
      <c r="P845">
        <f>Table1[[#This Row],[Math Score]]+Table1[[#This Row],[Reading Score]]+Table1[[#This Row],[Writing Score]]</f>
        <v>227</v>
      </c>
      <c r="Q845" s="16">
        <f>COUNTIF(Table1[[#This Row],[Math Score]],"&lt;60")+COUNTIF(Table1[[#This Row],[Reading Score]],"&lt;60")+COUNTIF(Table1[[#This Row],[Writing Score]],"&lt;60")</f>
        <v>0</v>
      </c>
      <c r="R845" t="str">
        <f>IF(Table1[[#This Row],[Fail Count]]&gt;=2,"At risk","OK")</f>
        <v>OK</v>
      </c>
    </row>
    <row r="846" spans="1:18">
      <c r="A846" t="str">
        <f t="shared" si="13"/>
        <v>Stu-845</v>
      </c>
      <c r="B846" t="s">
        <v>11</v>
      </c>
      <c r="C846" t="s">
        <v>31</v>
      </c>
      <c r="D846" t="s">
        <v>33</v>
      </c>
      <c r="E846" t="s">
        <v>30</v>
      </c>
      <c r="F846" t="s">
        <v>21</v>
      </c>
      <c r="G846" s="16">
        <v>40</v>
      </c>
      <c r="H846">
        <f>RANK(G846,$G$2:$G$1001,0)+COUNTIF($G$2:G846,G846)-1</f>
        <v>959</v>
      </c>
      <c r="I846" t="str">
        <f>INDEX('Boundary table'!$B$3:$B$7,MATCH(G846,'Boundary table'!$A$3:$A$7,1))</f>
        <v>F</v>
      </c>
      <c r="J846" s="16">
        <v>65</v>
      </c>
      <c r="K846">
        <f>RANK(J846,$J$2:$J$1001,0)+COUNTIF($J$2:J846,J846)-1</f>
        <v>623</v>
      </c>
      <c r="L846" t="str">
        <f>INDEX('Boundary table'!$B$3:$B$7,MATCH(J846,'Boundary table'!$A$3:$A$7,1))</f>
        <v>D</v>
      </c>
      <c r="M846" s="16">
        <v>64</v>
      </c>
      <c r="N846">
        <f>RANK(M846,$M$2:$M$1001,0)+COUNTIF($M$2:M846,M846)-1</f>
        <v>633</v>
      </c>
      <c r="O846" t="str">
        <f>INDEX('Boundary table'!$B$3:$B$7,MATCH(M846,'Boundary table'!$A$3:$A$7))</f>
        <v>D</v>
      </c>
      <c r="P846">
        <f>Table1[[#This Row],[Math Score]]+Table1[[#This Row],[Reading Score]]+Table1[[#This Row],[Writing Score]]</f>
        <v>169</v>
      </c>
      <c r="Q846" s="16">
        <f>COUNTIF(Table1[[#This Row],[Math Score]],"&lt;60")+COUNTIF(Table1[[#This Row],[Reading Score]],"&lt;60")+COUNTIF(Table1[[#This Row],[Writing Score]],"&lt;60")</f>
        <v>1</v>
      </c>
      <c r="R846" t="str">
        <f>IF(Table1[[#This Row],[Fail Count]]&gt;=2,"At risk","OK")</f>
        <v>OK</v>
      </c>
    </row>
    <row r="847" spans="1:18">
      <c r="A847" t="str">
        <f t="shared" si="13"/>
        <v>Stu-846</v>
      </c>
      <c r="B847" t="s">
        <v>27</v>
      </c>
      <c r="C847" t="s">
        <v>34</v>
      </c>
      <c r="D847" t="s">
        <v>26</v>
      </c>
      <c r="E847" t="s">
        <v>14</v>
      </c>
      <c r="F847" t="s">
        <v>15</v>
      </c>
      <c r="G847" s="16">
        <v>90</v>
      </c>
      <c r="H847">
        <f>RANK(G847,$G$2:$G$1001,0)+COUNTIF($G$2:G847,G847)-1</f>
        <v>57</v>
      </c>
      <c r="I847" t="str">
        <f>INDEX('Boundary table'!$B$3:$B$7,MATCH(G847,'Boundary table'!$A$3:$A$7,1))</f>
        <v>A</v>
      </c>
      <c r="J847" s="16">
        <v>85</v>
      </c>
      <c r="K847">
        <f>RANK(J847,$J$2:$J$1001,0)+COUNTIF($J$2:J847,J847)-1</f>
        <v>146</v>
      </c>
      <c r="L847" t="str">
        <f>INDEX('Boundary table'!$B$3:$B$7,MATCH(J847,'Boundary table'!$A$3:$A$7,1))</f>
        <v>B</v>
      </c>
      <c r="M847" s="16">
        <v>84</v>
      </c>
      <c r="N847">
        <f>RANK(M847,$M$2:$M$1001,0)+COUNTIF($M$2:M847,M847)-1</f>
        <v>149</v>
      </c>
      <c r="O847" t="str">
        <f>INDEX('Boundary table'!$B$3:$B$7,MATCH(M847,'Boundary table'!$A$3:$A$7))</f>
        <v>B</v>
      </c>
      <c r="P847">
        <f>Table1[[#This Row],[Math Score]]+Table1[[#This Row],[Reading Score]]+Table1[[#This Row],[Writing Score]]</f>
        <v>259</v>
      </c>
      <c r="Q847" s="16">
        <f>COUNTIF(Table1[[#This Row],[Math Score]],"&lt;60")+COUNTIF(Table1[[#This Row],[Reading Score]],"&lt;60")+COUNTIF(Table1[[#This Row],[Writing Score]],"&lt;60")</f>
        <v>0</v>
      </c>
      <c r="R847" t="str">
        <f>IF(Table1[[#This Row],[Fail Count]]&gt;=2,"At risk","OK")</f>
        <v>OK</v>
      </c>
    </row>
    <row r="848" spans="1:18">
      <c r="A848" t="str">
        <f t="shared" si="13"/>
        <v>Stu-847</v>
      </c>
      <c r="B848" t="s">
        <v>27</v>
      </c>
      <c r="C848" t="s">
        <v>19</v>
      </c>
      <c r="D848" t="s">
        <v>26</v>
      </c>
      <c r="E848" t="s">
        <v>14</v>
      </c>
      <c r="F848" t="s">
        <v>21</v>
      </c>
      <c r="G848" s="16">
        <v>91</v>
      </c>
      <c r="H848">
        <f>RANK(G848,$G$2:$G$1001,0)+COUNTIF($G$2:G848,G848)-1</f>
        <v>48</v>
      </c>
      <c r="I848" t="str">
        <f>INDEX('Boundary table'!$B$3:$B$7,MATCH(G848,'Boundary table'!$A$3:$A$7,1))</f>
        <v>A</v>
      </c>
      <c r="J848" s="16">
        <v>85</v>
      </c>
      <c r="K848">
        <f>RANK(J848,$J$2:$J$1001,0)+COUNTIF($J$2:J848,J848)-1</f>
        <v>147</v>
      </c>
      <c r="L848" t="str">
        <f>INDEX('Boundary table'!$B$3:$B$7,MATCH(J848,'Boundary table'!$A$3:$A$7,1))</f>
        <v>B</v>
      </c>
      <c r="M848" s="16">
        <v>85</v>
      </c>
      <c r="N848">
        <f>RANK(M848,$M$2:$M$1001,0)+COUNTIF($M$2:M848,M848)-1</f>
        <v>133</v>
      </c>
      <c r="O848" t="str">
        <f>INDEX('Boundary table'!$B$3:$B$7,MATCH(M848,'Boundary table'!$A$3:$A$7))</f>
        <v>B</v>
      </c>
      <c r="P848">
        <f>Table1[[#This Row],[Math Score]]+Table1[[#This Row],[Reading Score]]+Table1[[#This Row],[Writing Score]]</f>
        <v>261</v>
      </c>
      <c r="Q848" s="16">
        <f>COUNTIF(Table1[[#This Row],[Math Score]],"&lt;60")+COUNTIF(Table1[[#This Row],[Reading Score]],"&lt;60")+COUNTIF(Table1[[#This Row],[Writing Score]],"&lt;60")</f>
        <v>0</v>
      </c>
      <c r="R848" t="str">
        <f>IF(Table1[[#This Row],[Fail Count]]&gt;=2,"At risk","OK")</f>
        <v>OK</v>
      </c>
    </row>
    <row r="849" spans="1:18">
      <c r="A849" t="str">
        <f t="shared" si="13"/>
        <v>Stu-848</v>
      </c>
      <c r="B849" t="s">
        <v>27</v>
      </c>
      <c r="C849" t="s">
        <v>31</v>
      </c>
      <c r="D849" t="s">
        <v>32</v>
      </c>
      <c r="E849" t="s">
        <v>14</v>
      </c>
      <c r="F849" t="s">
        <v>15</v>
      </c>
      <c r="G849" s="16">
        <v>64</v>
      </c>
      <c r="H849">
        <f>RANK(G849,$G$2:$G$1001,0)+COUNTIF($G$2:G849,G849)-1</f>
        <v>569</v>
      </c>
      <c r="I849" t="str">
        <f>INDEX('Boundary table'!$B$3:$B$7,MATCH(G849,'Boundary table'!$A$3:$A$7,1))</f>
        <v>D</v>
      </c>
      <c r="J849" s="16">
        <v>54</v>
      </c>
      <c r="K849">
        <f>RANK(J849,$J$2:$J$1001,0)+COUNTIF($J$2:J849,J849)-1</f>
        <v>856</v>
      </c>
      <c r="L849" t="str">
        <f>INDEX('Boundary table'!$B$3:$B$7,MATCH(J849,'Boundary table'!$A$3:$A$7,1))</f>
        <v>F</v>
      </c>
      <c r="M849" s="16">
        <v>50</v>
      </c>
      <c r="N849">
        <f>RANK(M849,$M$2:$M$1001,0)+COUNTIF($M$2:M849,M849)-1</f>
        <v>886</v>
      </c>
      <c r="O849" t="str">
        <f>INDEX('Boundary table'!$B$3:$B$7,MATCH(M849,'Boundary table'!$A$3:$A$7))</f>
        <v>F</v>
      </c>
      <c r="P849">
        <f>Table1[[#This Row],[Math Score]]+Table1[[#This Row],[Reading Score]]+Table1[[#This Row],[Writing Score]]</f>
        <v>168</v>
      </c>
      <c r="Q849" s="16">
        <f>COUNTIF(Table1[[#This Row],[Math Score]],"&lt;60")+COUNTIF(Table1[[#This Row],[Reading Score]],"&lt;60")+COUNTIF(Table1[[#This Row],[Writing Score]],"&lt;60")</f>
        <v>2</v>
      </c>
      <c r="R849" t="str">
        <f>IF(Table1[[#This Row],[Fail Count]]&gt;=2,"At risk","OK")</f>
        <v>At risk</v>
      </c>
    </row>
    <row r="850" spans="1:18">
      <c r="A850" t="str">
        <f t="shared" si="13"/>
        <v>Stu-849</v>
      </c>
      <c r="B850" t="s">
        <v>11</v>
      </c>
      <c r="C850" t="s">
        <v>19</v>
      </c>
      <c r="D850" t="s">
        <v>32</v>
      </c>
      <c r="E850" t="s">
        <v>14</v>
      </c>
      <c r="F850" t="s">
        <v>15</v>
      </c>
      <c r="G850" s="16">
        <v>59</v>
      </c>
      <c r="H850">
        <f>RANK(G850,$G$2:$G$1001,0)+COUNTIF($G$2:G850,G850)-1</f>
        <v>704</v>
      </c>
      <c r="I850" t="str">
        <f>INDEX('Boundary table'!$B$3:$B$7,MATCH(G850,'Boundary table'!$A$3:$A$7,1))</f>
        <v>F</v>
      </c>
      <c r="J850" s="16">
        <v>72</v>
      </c>
      <c r="K850">
        <f>RANK(J850,$J$2:$J$1001,0)+COUNTIF($J$2:J850,J850)-1</f>
        <v>462</v>
      </c>
      <c r="L850" t="str">
        <f>INDEX('Boundary table'!$B$3:$B$7,MATCH(J850,'Boundary table'!$A$3:$A$7,1))</f>
        <v>C</v>
      </c>
      <c r="M850" s="16">
        <v>68</v>
      </c>
      <c r="N850">
        <f>RANK(M850,$M$2:$M$1001,0)+COUNTIF($M$2:M850,M850)-1</f>
        <v>543</v>
      </c>
      <c r="O850" t="str">
        <f>INDEX('Boundary table'!$B$3:$B$7,MATCH(M850,'Boundary table'!$A$3:$A$7))</f>
        <v>D</v>
      </c>
      <c r="P850">
        <f>Table1[[#This Row],[Math Score]]+Table1[[#This Row],[Reading Score]]+Table1[[#This Row],[Writing Score]]</f>
        <v>199</v>
      </c>
      <c r="Q850" s="16">
        <f>COUNTIF(Table1[[#This Row],[Math Score]],"&lt;60")+COUNTIF(Table1[[#This Row],[Reading Score]],"&lt;60")+COUNTIF(Table1[[#This Row],[Writing Score]],"&lt;60")</f>
        <v>1</v>
      </c>
      <c r="R850" t="str">
        <f>IF(Table1[[#This Row],[Fail Count]]&gt;=2,"At risk","OK")</f>
        <v>OK</v>
      </c>
    </row>
    <row r="851" spans="1:18">
      <c r="A851" t="str">
        <f t="shared" si="13"/>
        <v>Stu-850</v>
      </c>
      <c r="B851" t="s">
        <v>27</v>
      </c>
      <c r="C851" t="s">
        <v>31</v>
      </c>
      <c r="D851" t="s">
        <v>29</v>
      </c>
      <c r="E851" t="s">
        <v>14</v>
      </c>
      <c r="F851" t="s">
        <v>15</v>
      </c>
      <c r="G851" s="16">
        <v>80</v>
      </c>
      <c r="H851">
        <f>RANK(G851,$G$2:$G$1001,0)+COUNTIF($G$2:G851,G851)-1</f>
        <v>192</v>
      </c>
      <c r="I851" t="str">
        <f>INDEX('Boundary table'!$B$3:$B$7,MATCH(G851,'Boundary table'!$A$3:$A$7,1))</f>
        <v>B</v>
      </c>
      <c r="J851" s="16">
        <v>75</v>
      </c>
      <c r="K851">
        <f>RANK(J851,$J$2:$J$1001,0)+COUNTIF($J$2:J851,J851)-1</f>
        <v>365</v>
      </c>
      <c r="L851" t="str">
        <f>INDEX('Boundary table'!$B$3:$B$7,MATCH(J851,'Boundary table'!$A$3:$A$7,1))</f>
        <v>C</v>
      </c>
      <c r="M851" s="16">
        <v>69</v>
      </c>
      <c r="N851">
        <f>RANK(M851,$M$2:$M$1001,0)+COUNTIF($M$2:M851,M851)-1</f>
        <v>507</v>
      </c>
      <c r="O851" t="str">
        <f>INDEX('Boundary table'!$B$3:$B$7,MATCH(M851,'Boundary table'!$A$3:$A$7))</f>
        <v>D</v>
      </c>
      <c r="P851">
        <f>Table1[[#This Row],[Math Score]]+Table1[[#This Row],[Reading Score]]+Table1[[#This Row],[Writing Score]]</f>
        <v>224</v>
      </c>
      <c r="Q851" s="16">
        <f>COUNTIF(Table1[[#This Row],[Math Score]],"&lt;60")+COUNTIF(Table1[[#This Row],[Reading Score]],"&lt;60")+COUNTIF(Table1[[#This Row],[Writing Score]],"&lt;60")</f>
        <v>0</v>
      </c>
      <c r="R851" t="str">
        <f>IF(Table1[[#This Row],[Fail Count]]&gt;=2,"At risk","OK")</f>
        <v>OK</v>
      </c>
    </row>
    <row r="852" spans="1:18">
      <c r="A852" t="str">
        <f t="shared" si="13"/>
        <v>Stu-851</v>
      </c>
      <c r="B852" t="s">
        <v>27</v>
      </c>
      <c r="C852" t="s">
        <v>19</v>
      </c>
      <c r="D852" t="s">
        <v>26</v>
      </c>
      <c r="E852" t="s">
        <v>14</v>
      </c>
      <c r="F852" t="s">
        <v>15</v>
      </c>
      <c r="G852" s="16">
        <v>71</v>
      </c>
      <c r="H852">
        <f>RANK(G852,$G$2:$G$1001,0)+COUNTIF($G$2:G852,G852)-1</f>
        <v>389</v>
      </c>
      <c r="I852" t="str">
        <f>INDEX('Boundary table'!$B$3:$B$7,MATCH(G852,'Boundary table'!$A$3:$A$7,1))</f>
        <v>C</v>
      </c>
      <c r="J852" s="16">
        <v>67</v>
      </c>
      <c r="K852">
        <f>RANK(J852,$J$2:$J$1001,0)+COUNTIF($J$2:J852,J852)-1</f>
        <v>579</v>
      </c>
      <c r="L852" t="str">
        <f>INDEX('Boundary table'!$B$3:$B$7,MATCH(J852,'Boundary table'!$A$3:$A$7,1))</f>
        <v>D</v>
      </c>
      <c r="M852" s="16">
        <v>67</v>
      </c>
      <c r="N852">
        <f>RANK(M852,$M$2:$M$1001,0)+COUNTIF($M$2:M852,M852)-1</f>
        <v>565</v>
      </c>
      <c r="O852" t="str">
        <f>INDEX('Boundary table'!$B$3:$B$7,MATCH(M852,'Boundary table'!$A$3:$A$7))</f>
        <v>D</v>
      </c>
      <c r="P852">
        <f>Table1[[#This Row],[Math Score]]+Table1[[#This Row],[Reading Score]]+Table1[[#This Row],[Writing Score]]</f>
        <v>205</v>
      </c>
      <c r="Q852" s="16">
        <f>COUNTIF(Table1[[#This Row],[Math Score]],"&lt;60")+COUNTIF(Table1[[#This Row],[Reading Score]],"&lt;60")+COUNTIF(Table1[[#This Row],[Writing Score]],"&lt;60")</f>
        <v>0</v>
      </c>
      <c r="R852" t="str">
        <f>IF(Table1[[#This Row],[Fail Count]]&gt;=2,"At risk","OK")</f>
        <v>OK</v>
      </c>
    </row>
    <row r="853" spans="1:18">
      <c r="A853" t="str">
        <f t="shared" si="13"/>
        <v>Stu-852</v>
      </c>
      <c r="B853" t="s">
        <v>11</v>
      </c>
      <c r="C853" t="s">
        <v>28</v>
      </c>
      <c r="D853" t="s">
        <v>32</v>
      </c>
      <c r="E853" t="s">
        <v>14</v>
      </c>
      <c r="F853" t="s">
        <v>15</v>
      </c>
      <c r="G853" s="16">
        <v>61</v>
      </c>
      <c r="H853">
        <f>RANK(G853,$G$2:$G$1001,0)+COUNTIF($G$2:G853,G853)-1</f>
        <v>658</v>
      </c>
      <c r="I853" t="str">
        <f>INDEX('Boundary table'!$B$3:$B$7,MATCH(G853,'Boundary table'!$A$3:$A$7,1))</f>
        <v>D</v>
      </c>
      <c r="J853" s="16">
        <v>68</v>
      </c>
      <c r="K853">
        <f>RANK(J853,$J$2:$J$1001,0)+COUNTIF($J$2:J853,J853)-1</f>
        <v>547</v>
      </c>
      <c r="L853" t="str">
        <f>INDEX('Boundary table'!$B$3:$B$7,MATCH(J853,'Boundary table'!$A$3:$A$7,1))</f>
        <v>D</v>
      </c>
      <c r="M853" s="16">
        <v>63</v>
      </c>
      <c r="N853">
        <f>RANK(M853,$M$2:$M$1001,0)+COUNTIF($M$2:M853,M853)-1</f>
        <v>650</v>
      </c>
      <c r="O853" t="str">
        <f>INDEX('Boundary table'!$B$3:$B$7,MATCH(M853,'Boundary table'!$A$3:$A$7))</f>
        <v>D</v>
      </c>
      <c r="P853">
        <f>Table1[[#This Row],[Math Score]]+Table1[[#This Row],[Reading Score]]+Table1[[#This Row],[Writing Score]]</f>
        <v>192</v>
      </c>
      <c r="Q853" s="16">
        <f>COUNTIF(Table1[[#This Row],[Math Score]],"&lt;60")+COUNTIF(Table1[[#This Row],[Reading Score]],"&lt;60")+COUNTIF(Table1[[#This Row],[Writing Score]],"&lt;60")</f>
        <v>0</v>
      </c>
      <c r="R853" t="str">
        <f>IF(Table1[[#This Row],[Fail Count]]&gt;=2,"At risk","OK")</f>
        <v>OK</v>
      </c>
    </row>
    <row r="854" spans="1:18">
      <c r="A854" t="str">
        <f t="shared" si="13"/>
        <v>Stu-853</v>
      </c>
      <c r="B854" t="s">
        <v>11</v>
      </c>
      <c r="C854" t="s">
        <v>34</v>
      </c>
      <c r="D854" t="s">
        <v>20</v>
      </c>
      <c r="E854" t="s">
        <v>14</v>
      </c>
      <c r="F854" t="s">
        <v>15</v>
      </c>
      <c r="G854" s="16">
        <v>87</v>
      </c>
      <c r="H854">
        <f>RANK(G854,$G$2:$G$1001,0)+COUNTIF($G$2:G854,G854)-1</f>
        <v>94</v>
      </c>
      <c r="I854" t="str">
        <f>INDEX('Boundary table'!$B$3:$B$7,MATCH(G854,'Boundary table'!$A$3:$A$7,1))</f>
        <v>B</v>
      </c>
      <c r="J854" s="16">
        <v>85</v>
      </c>
      <c r="K854">
        <f>RANK(J854,$J$2:$J$1001,0)+COUNTIF($J$2:J854,J854)-1</f>
        <v>148</v>
      </c>
      <c r="L854" t="str">
        <f>INDEX('Boundary table'!$B$3:$B$7,MATCH(J854,'Boundary table'!$A$3:$A$7,1))</f>
        <v>B</v>
      </c>
      <c r="M854" s="16">
        <v>93</v>
      </c>
      <c r="N854">
        <f>RANK(M854,$M$2:$M$1001,0)+COUNTIF($M$2:M854,M854)-1</f>
        <v>48</v>
      </c>
      <c r="O854" t="str">
        <f>INDEX('Boundary table'!$B$3:$B$7,MATCH(M854,'Boundary table'!$A$3:$A$7))</f>
        <v>A</v>
      </c>
      <c r="P854">
        <f>Table1[[#This Row],[Math Score]]+Table1[[#This Row],[Reading Score]]+Table1[[#This Row],[Writing Score]]</f>
        <v>265</v>
      </c>
      <c r="Q854" s="16">
        <f>COUNTIF(Table1[[#This Row],[Math Score]],"&lt;60")+COUNTIF(Table1[[#This Row],[Reading Score]],"&lt;60")+COUNTIF(Table1[[#This Row],[Writing Score]],"&lt;60")</f>
        <v>0</v>
      </c>
      <c r="R854" t="str">
        <f>IF(Table1[[#This Row],[Fail Count]]&gt;=2,"At risk","OK")</f>
        <v>OK</v>
      </c>
    </row>
    <row r="855" spans="1:18">
      <c r="A855" t="str">
        <f t="shared" si="13"/>
        <v>Stu-854</v>
      </c>
      <c r="B855" t="s">
        <v>27</v>
      </c>
      <c r="C855" t="s">
        <v>34</v>
      </c>
      <c r="D855" t="s">
        <v>33</v>
      </c>
      <c r="E855" t="s">
        <v>14</v>
      </c>
      <c r="F855" t="s">
        <v>15</v>
      </c>
      <c r="G855" s="16">
        <v>82</v>
      </c>
      <c r="H855">
        <f>RANK(G855,$G$2:$G$1001,0)+COUNTIF($G$2:G855,G855)-1</f>
        <v>151</v>
      </c>
      <c r="I855" t="str">
        <f>INDEX('Boundary table'!$B$3:$B$7,MATCH(G855,'Boundary table'!$A$3:$A$7,1))</f>
        <v>B</v>
      </c>
      <c r="J855" s="16">
        <v>67</v>
      </c>
      <c r="K855">
        <f>RANK(J855,$J$2:$J$1001,0)+COUNTIF($J$2:J855,J855)-1</f>
        <v>580</v>
      </c>
      <c r="L855" t="str">
        <f>INDEX('Boundary table'!$B$3:$B$7,MATCH(J855,'Boundary table'!$A$3:$A$7,1))</f>
        <v>D</v>
      </c>
      <c r="M855" s="16">
        <v>61</v>
      </c>
      <c r="N855">
        <f>RANK(M855,$M$2:$M$1001,0)+COUNTIF($M$2:M855,M855)-1</f>
        <v>695</v>
      </c>
      <c r="O855" t="str">
        <f>INDEX('Boundary table'!$B$3:$B$7,MATCH(M855,'Boundary table'!$A$3:$A$7))</f>
        <v>D</v>
      </c>
      <c r="P855">
        <f>Table1[[#This Row],[Math Score]]+Table1[[#This Row],[Reading Score]]+Table1[[#This Row],[Writing Score]]</f>
        <v>210</v>
      </c>
      <c r="Q855" s="16">
        <f>COUNTIF(Table1[[#This Row],[Math Score]],"&lt;60")+COUNTIF(Table1[[#This Row],[Reading Score]],"&lt;60")+COUNTIF(Table1[[#This Row],[Writing Score]],"&lt;60")</f>
        <v>0</v>
      </c>
      <c r="R855" t="str">
        <f>IF(Table1[[#This Row],[Fail Count]]&gt;=2,"At risk","OK")</f>
        <v>OK</v>
      </c>
    </row>
    <row r="856" spans="1:18">
      <c r="A856" t="str">
        <f t="shared" si="13"/>
        <v>Stu-855</v>
      </c>
      <c r="B856" t="s">
        <v>27</v>
      </c>
      <c r="C856" t="s">
        <v>19</v>
      </c>
      <c r="D856" t="s">
        <v>33</v>
      </c>
      <c r="E856" t="s">
        <v>14</v>
      </c>
      <c r="F856" t="s">
        <v>15</v>
      </c>
      <c r="G856" s="16">
        <v>62</v>
      </c>
      <c r="H856">
        <f>RANK(G856,$G$2:$G$1001,0)+COUNTIF($G$2:G856,G856)-1</f>
        <v>627</v>
      </c>
      <c r="I856" t="str">
        <f>INDEX('Boundary table'!$B$3:$B$7,MATCH(G856,'Boundary table'!$A$3:$A$7,1))</f>
        <v>D</v>
      </c>
      <c r="J856" s="16">
        <v>64</v>
      </c>
      <c r="K856">
        <f>RANK(J856,$J$2:$J$1001,0)+COUNTIF($J$2:J856,J856)-1</f>
        <v>655</v>
      </c>
      <c r="L856" t="str">
        <f>INDEX('Boundary table'!$B$3:$B$7,MATCH(J856,'Boundary table'!$A$3:$A$7,1))</f>
        <v>D</v>
      </c>
      <c r="M856" s="16">
        <v>55</v>
      </c>
      <c r="N856">
        <f>RANK(M856,$M$2:$M$1001,0)+COUNTIF($M$2:M856,M856)-1</f>
        <v>795</v>
      </c>
      <c r="O856" t="str">
        <f>INDEX('Boundary table'!$B$3:$B$7,MATCH(M856,'Boundary table'!$A$3:$A$7))</f>
        <v>F</v>
      </c>
      <c r="P856">
        <f>Table1[[#This Row],[Math Score]]+Table1[[#This Row],[Reading Score]]+Table1[[#This Row],[Writing Score]]</f>
        <v>181</v>
      </c>
      <c r="Q856" s="16">
        <f>COUNTIF(Table1[[#This Row],[Math Score]],"&lt;60")+COUNTIF(Table1[[#This Row],[Reading Score]],"&lt;60")+COUNTIF(Table1[[#This Row],[Writing Score]],"&lt;60")</f>
        <v>1</v>
      </c>
      <c r="R856" t="str">
        <f>IF(Table1[[#This Row],[Fail Count]]&gt;=2,"At risk","OK")</f>
        <v>OK</v>
      </c>
    </row>
    <row r="857" spans="1:18">
      <c r="A857" t="str">
        <f t="shared" si="13"/>
        <v>Stu-856</v>
      </c>
      <c r="B857" t="s">
        <v>11</v>
      </c>
      <c r="C857" t="s">
        <v>12</v>
      </c>
      <c r="D857" t="s">
        <v>13</v>
      </c>
      <c r="E857" t="s">
        <v>14</v>
      </c>
      <c r="F857" t="s">
        <v>15</v>
      </c>
      <c r="G857" s="16">
        <v>97</v>
      </c>
      <c r="H857">
        <f>RANK(G857,$G$2:$G$1001,0)+COUNTIF($G$2:G857,G857)-1</f>
        <v>18</v>
      </c>
      <c r="I857" t="str">
        <f>INDEX('Boundary table'!$B$3:$B$7,MATCH(G857,'Boundary table'!$A$3:$A$7,1))</f>
        <v>A</v>
      </c>
      <c r="J857" s="16">
        <v>97</v>
      </c>
      <c r="K857">
        <f>RANK(J857,$J$2:$J$1001,0)+COUNTIF($J$2:J857,J857)-1</f>
        <v>25</v>
      </c>
      <c r="L857" t="str">
        <f>INDEX('Boundary table'!$B$3:$B$7,MATCH(J857,'Boundary table'!$A$3:$A$7,1))</f>
        <v>A</v>
      </c>
      <c r="M857" s="16">
        <v>96</v>
      </c>
      <c r="N857">
        <f>RANK(M857,$M$2:$M$1001,0)+COUNTIF($M$2:M857,M857)-1</f>
        <v>25</v>
      </c>
      <c r="O857" t="str">
        <f>INDEX('Boundary table'!$B$3:$B$7,MATCH(M857,'Boundary table'!$A$3:$A$7))</f>
        <v>A</v>
      </c>
      <c r="P857">
        <f>Table1[[#This Row],[Math Score]]+Table1[[#This Row],[Reading Score]]+Table1[[#This Row],[Writing Score]]</f>
        <v>290</v>
      </c>
      <c r="Q857" s="16">
        <f>COUNTIF(Table1[[#This Row],[Math Score]],"&lt;60")+COUNTIF(Table1[[#This Row],[Reading Score]],"&lt;60")+COUNTIF(Table1[[#This Row],[Writing Score]],"&lt;60")</f>
        <v>0</v>
      </c>
      <c r="R857" t="str">
        <f>IF(Table1[[#This Row],[Fail Count]]&gt;=2,"At risk","OK")</f>
        <v>OK</v>
      </c>
    </row>
    <row r="858" spans="1:18">
      <c r="A858" t="str">
        <f t="shared" si="13"/>
        <v>Stu-857</v>
      </c>
      <c r="B858" t="s">
        <v>27</v>
      </c>
      <c r="C858" t="s">
        <v>12</v>
      </c>
      <c r="D858" t="s">
        <v>20</v>
      </c>
      <c r="E858" t="s">
        <v>30</v>
      </c>
      <c r="F858" t="s">
        <v>15</v>
      </c>
      <c r="G858" s="16">
        <v>75</v>
      </c>
      <c r="H858">
        <f>RANK(G858,$G$2:$G$1001,0)+COUNTIF($G$2:G858,G858)-1</f>
        <v>292</v>
      </c>
      <c r="I858" t="str">
        <f>INDEX('Boundary table'!$B$3:$B$7,MATCH(G858,'Boundary table'!$A$3:$A$7,1))</f>
        <v>C</v>
      </c>
      <c r="J858" s="16">
        <v>68</v>
      </c>
      <c r="K858">
        <f>RANK(J858,$J$2:$J$1001,0)+COUNTIF($J$2:J858,J858)-1</f>
        <v>548</v>
      </c>
      <c r="L858" t="str">
        <f>INDEX('Boundary table'!$B$3:$B$7,MATCH(J858,'Boundary table'!$A$3:$A$7,1))</f>
        <v>D</v>
      </c>
      <c r="M858" s="16">
        <v>65</v>
      </c>
      <c r="N858">
        <f>RANK(M858,$M$2:$M$1001,0)+COUNTIF($M$2:M858,M858)-1</f>
        <v>612</v>
      </c>
      <c r="O858" t="str">
        <f>INDEX('Boundary table'!$B$3:$B$7,MATCH(M858,'Boundary table'!$A$3:$A$7))</f>
        <v>D</v>
      </c>
      <c r="P858">
        <f>Table1[[#This Row],[Math Score]]+Table1[[#This Row],[Reading Score]]+Table1[[#This Row],[Writing Score]]</f>
        <v>208</v>
      </c>
      <c r="Q858" s="16">
        <f>COUNTIF(Table1[[#This Row],[Math Score]],"&lt;60")+COUNTIF(Table1[[#This Row],[Reading Score]],"&lt;60")+COUNTIF(Table1[[#This Row],[Writing Score]],"&lt;60")</f>
        <v>0</v>
      </c>
      <c r="R858" t="str">
        <f>IF(Table1[[#This Row],[Fail Count]]&gt;=2,"At risk","OK")</f>
        <v>OK</v>
      </c>
    </row>
    <row r="859" spans="1:18">
      <c r="A859" t="str">
        <f t="shared" si="13"/>
        <v>Stu-858</v>
      </c>
      <c r="B859" t="s">
        <v>11</v>
      </c>
      <c r="C859" t="s">
        <v>19</v>
      </c>
      <c r="D859" t="s">
        <v>13</v>
      </c>
      <c r="E859" t="s">
        <v>14</v>
      </c>
      <c r="F859" t="s">
        <v>15</v>
      </c>
      <c r="G859" s="16">
        <v>65</v>
      </c>
      <c r="H859">
        <f>RANK(G859,$G$2:$G$1001,0)+COUNTIF($G$2:G859,G859)-1</f>
        <v>549</v>
      </c>
      <c r="I859" t="str">
        <f>INDEX('Boundary table'!$B$3:$B$7,MATCH(G859,'Boundary table'!$A$3:$A$7,1))</f>
        <v>D</v>
      </c>
      <c r="J859" s="16">
        <v>79</v>
      </c>
      <c r="K859">
        <f>RANK(J859,$J$2:$J$1001,0)+COUNTIF($J$2:J859,J859)-1</f>
        <v>268</v>
      </c>
      <c r="L859" t="str">
        <f>INDEX('Boundary table'!$B$3:$B$7,MATCH(J859,'Boundary table'!$A$3:$A$7,1))</f>
        <v>C</v>
      </c>
      <c r="M859" s="16">
        <v>81</v>
      </c>
      <c r="N859">
        <f>RANK(M859,$M$2:$M$1001,0)+COUNTIF($M$2:M859,M859)-1</f>
        <v>207</v>
      </c>
      <c r="O859" t="str">
        <f>INDEX('Boundary table'!$B$3:$B$7,MATCH(M859,'Boundary table'!$A$3:$A$7))</f>
        <v>B</v>
      </c>
      <c r="P859">
        <f>Table1[[#This Row],[Math Score]]+Table1[[#This Row],[Reading Score]]+Table1[[#This Row],[Writing Score]]</f>
        <v>225</v>
      </c>
      <c r="Q859" s="16">
        <f>COUNTIF(Table1[[#This Row],[Math Score]],"&lt;60")+COUNTIF(Table1[[#This Row],[Reading Score]],"&lt;60")+COUNTIF(Table1[[#This Row],[Writing Score]],"&lt;60")</f>
        <v>0</v>
      </c>
      <c r="R859" t="str">
        <f>IF(Table1[[#This Row],[Fail Count]]&gt;=2,"At risk","OK")</f>
        <v>OK</v>
      </c>
    </row>
    <row r="860" spans="1:18">
      <c r="A860" t="str">
        <f t="shared" si="13"/>
        <v>Stu-859</v>
      </c>
      <c r="B860" t="s">
        <v>27</v>
      </c>
      <c r="C860" t="s">
        <v>12</v>
      </c>
      <c r="D860" t="s">
        <v>32</v>
      </c>
      <c r="E860" t="s">
        <v>14</v>
      </c>
      <c r="F860" t="s">
        <v>21</v>
      </c>
      <c r="G860" s="16">
        <v>52</v>
      </c>
      <c r="H860">
        <f>RANK(G860,$G$2:$G$1001,0)+COUNTIF($G$2:G860,G860)-1</f>
        <v>838</v>
      </c>
      <c r="I860" t="str">
        <f>INDEX('Boundary table'!$B$3:$B$7,MATCH(G860,'Boundary table'!$A$3:$A$7,1))</f>
        <v>F</v>
      </c>
      <c r="J860" s="16">
        <v>49</v>
      </c>
      <c r="K860">
        <f>RANK(J860,$J$2:$J$1001,0)+COUNTIF($J$2:J860,J860)-1</f>
        <v>920</v>
      </c>
      <c r="L860" t="str">
        <f>INDEX('Boundary table'!$B$3:$B$7,MATCH(J860,'Boundary table'!$A$3:$A$7,1))</f>
        <v>F</v>
      </c>
      <c r="M860" s="16">
        <v>46</v>
      </c>
      <c r="N860">
        <f>RANK(M860,$M$2:$M$1001,0)+COUNTIF($M$2:M860,M860)-1</f>
        <v>922</v>
      </c>
      <c r="O860" t="str">
        <f>INDEX('Boundary table'!$B$3:$B$7,MATCH(M860,'Boundary table'!$A$3:$A$7))</f>
        <v>F</v>
      </c>
      <c r="P860">
        <f>Table1[[#This Row],[Math Score]]+Table1[[#This Row],[Reading Score]]+Table1[[#This Row],[Writing Score]]</f>
        <v>147</v>
      </c>
      <c r="Q860" s="16">
        <f>COUNTIF(Table1[[#This Row],[Math Score]],"&lt;60")+COUNTIF(Table1[[#This Row],[Reading Score]],"&lt;60")+COUNTIF(Table1[[#This Row],[Writing Score]],"&lt;60")</f>
        <v>3</v>
      </c>
      <c r="R860" t="str">
        <f>IF(Table1[[#This Row],[Fail Count]]&gt;=2,"At risk","OK")</f>
        <v>At risk</v>
      </c>
    </row>
    <row r="861" spans="1:18">
      <c r="A861" t="str">
        <f t="shared" si="13"/>
        <v>Stu-860</v>
      </c>
      <c r="B861" t="s">
        <v>27</v>
      </c>
      <c r="C861" t="s">
        <v>19</v>
      </c>
      <c r="D861" t="s">
        <v>29</v>
      </c>
      <c r="E861" t="s">
        <v>30</v>
      </c>
      <c r="F861" t="s">
        <v>15</v>
      </c>
      <c r="G861" s="16">
        <v>87</v>
      </c>
      <c r="H861">
        <f>RANK(G861,$G$2:$G$1001,0)+COUNTIF($G$2:G861,G861)-1</f>
        <v>95</v>
      </c>
      <c r="I861" t="str">
        <f>INDEX('Boundary table'!$B$3:$B$7,MATCH(G861,'Boundary table'!$A$3:$A$7,1))</f>
        <v>B</v>
      </c>
      <c r="J861" s="16">
        <v>73</v>
      </c>
      <c r="K861">
        <f>RANK(J861,$J$2:$J$1001,0)+COUNTIF($J$2:J861,J861)-1</f>
        <v>431</v>
      </c>
      <c r="L861" t="str">
        <f>INDEX('Boundary table'!$B$3:$B$7,MATCH(J861,'Boundary table'!$A$3:$A$7,1))</f>
        <v>C</v>
      </c>
      <c r="M861" s="16">
        <v>72</v>
      </c>
      <c r="N861">
        <f>RANK(M861,$M$2:$M$1001,0)+COUNTIF($M$2:M861,M861)-1</f>
        <v>433</v>
      </c>
      <c r="O861" t="str">
        <f>INDEX('Boundary table'!$B$3:$B$7,MATCH(M861,'Boundary table'!$A$3:$A$7))</f>
        <v>C</v>
      </c>
      <c r="P861">
        <f>Table1[[#This Row],[Math Score]]+Table1[[#This Row],[Reading Score]]+Table1[[#This Row],[Writing Score]]</f>
        <v>232</v>
      </c>
      <c r="Q861" s="16">
        <f>COUNTIF(Table1[[#This Row],[Math Score]],"&lt;60")+COUNTIF(Table1[[#This Row],[Reading Score]],"&lt;60")+COUNTIF(Table1[[#This Row],[Writing Score]],"&lt;60")</f>
        <v>0</v>
      </c>
      <c r="R861" t="str">
        <f>IF(Table1[[#This Row],[Fail Count]]&gt;=2,"At risk","OK")</f>
        <v>OK</v>
      </c>
    </row>
    <row r="862" spans="1:18">
      <c r="A862" t="str">
        <f t="shared" si="13"/>
        <v>Stu-861</v>
      </c>
      <c r="B862" t="s">
        <v>11</v>
      </c>
      <c r="C862" t="s">
        <v>19</v>
      </c>
      <c r="D862" t="s">
        <v>29</v>
      </c>
      <c r="E862" t="s">
        <v>14</v>
      </c>
      <c r="F862" t="s">
        <v>15</v>
      </c>
      <c r="G862" s="16">
        <v>53</v>
      </c>
      <c r="H862">
        <f>RANK(G862,$G$2:$G$1001,0)+COUNTIF($G$2:G862,G862)-1</f>
        <v>820</v>
      </c>
      <c r="I862" t="str">
        <f>INDEX('Boundary table'!$B$3:$B$7,MATCH(G862,'Boundary table'!$A$3:$A$7,1))</f>
        <v>F</v>
      </c>
      <c r="J862" s="16">
        <v>62</v>
      </c>
      <c r="K862">
        <f>RANK(J862,$J$2:$J$1001,0)+COUNTIF($J$2:J862,J862)-1</f>
        <v>696</v>
      </c>
      <c r="L862" t="str">
        <f>INDEX('Boundary table'!$B$3:$B$7,MATCH(J862,'Boundary table'!$A$3:$A$7,1))</f>
        <v>D</v>
      </c>
      <c r="M862" s="16">
        <v>53</v>
      </c>
      <c r="N862">
        <f>RANK(M862,$M$2:$M$1001,0)+COUNTIF($M$2:M862,M862)-1</f>
        <v>837</v>
      </c>
      <c r="O862" t="str">
        <f>INDEX('Boundary table'!$B$3:$B$7,MATCH(M862,'Boundary table'!$A$3:$A$7))</f>
        <v>F</v>
      </c>
      <c r="P862">
        <f>Table1[[#This Row],[Math Score]]+Table1[[#This Row],[Reading Score]]+Table1[[#This Row],[Writing Score]]</f>
        <v>168</v>
      </c>
      <c r="Q862" s="16">
        <f>COUNTIF(Table1[[#This Row],[Math Score]],"&lt;60")+COUNTIF(Table1[[#This Row],[Reading Score]],"&lt;60")+COUNTIF(Table1[[#This Row],[Writing Score]],"&lt;60")</f>
        <v>2</v>
      </c>
      <c r="R862" t="str">
        <f>IF(Table1[[#This Row],[Fail Count]]&gt;=2,"At risk","OK")</f>
        <v>At risk</v>
      </c>
    </row>
    <row r="863" spans="1:18">
      <c r="A863" t="str">
        <f t="shared" si="13"/>
        <v>Stu-862</v>
      </c>
      <c r="B863" t="s">
        <v>11</v>
      </c>
      <c r="C863" t="s">
        <v>34</v>
      </c>
      <c r="D863" t="s">
        <v>26</v>
      </c>
      <c r="E863" t="s">
        <v>30</v>
      </c>
      <c r="F863" t="s">
        <v>15</v>
      </c>
      <c r="G863" s="16">
        <v>81</v>
      </c>
      <c r="H863">
        <f>RANK(G863,$G$2:$G$1001,0)+COUNTIF($G$2:G863,G863)-1</f>
        <v>172</v>
      </c>
      <c r="I863" t="str">
        <f>INDEX('Boundary table'!$B$3:$B$7,MATCH(G863,'Boundary table'!$A$3:$A$7,1))</f>
        <v>B</v>
      </c>
      <c r="J863" s="16">
        <v>86</v>
      </c>
      <c r="K863">
        <f>RANK(J863,$J$2:$J$1001,0)+COUNTIF($J$2:J863,J863)-1</f>
        <v>130</v>
      </c>
      <c r="L863" t="str">
        <f>INDEX('Boundary table'!$B$3:$B$7,MATCH(J863,'Boundary table'!$A$3:$A$7,1))</f>
        <v>B</v>
      </c>
      <c r="M863" s="16">
        <v>87</v>
      </c>
      <c r="N863">
        <f>RANK(M863,$M$2:$M$1001,0)+COUNTIF($M$2:M863,M863)-1</f>
        <v>109</v>
      </c>
      <c r="O863" t="str">
        <f>INDEX('Boundary table'!$B$3:$B$7,MATCH(M863,'Boundary table'!$A$3:$A$7))</f>
        <v>B</v>
      </c>
      <c r="P863">
        <f>Table1[[#This Row],[Math Score]]+Table1[[#This Row],[Reading Score]]+Table1[[#This Row],[Writing Score]]</f>
        <v>254</v>
      </c>
      <c r="Q863" s="16">
        <f>COUNTIF(Table1[[#This Row],[Math Score]],"&lt;60")+COUNTIF(Table1[[#This Row],[Reading Score]],"&lt;60")+COUNTIF(Table1[[#This Row],[Writing Score]],"&lt;60")</f>
        <v>0</v>
      </c>
      <c r="R863" t="str">
        <f>IF(Table1[[#This Row],[Fail Count]]&gt;=2,"At risk","OK")</f>
        <v>OK</v>
      </c>
    </row>
    <row r="864" spans="1:18">
      <c r="A864" t="str">
        <f t="shared" si="13"/>
        <v>Stu-863</v>
      </c>
      <c r="B864" t="s">
        <v>27</v>
      </c>
      <c r="C864" t="s">
        <v>31</v>
      </c>
      <c r="D864" t="s">
        <v>13</v>
      </c>
      <c r="E864" t="s">
        <v>30</v>
      </c>
      <c r="F864" t="s">
        <v>21</v>
      </c>
      <c r="G864" s="16">
        <v>39</v>
      </c>
      <c r="H864">
        <f>RANK(G864,$G$2:$G$1001,0)+COUNTIF($G$2:G864,G864)-1</f>
        <v>964</v>
      </c>
      <c r="I864" t="str">
        <f>INDEX('Boundary table'!$B$3:$B$7,MATCH(G864,'Boundary table'!$A$3:$A$7,1))</f>
        <v>F</v>
      </c>
      <c r="J864" s="16">
        <v>42</v>
      </c>
      <c r="K864">
        <f>RANK(J864,$J$2:$J$1001,0)+COUNTIF($J$2:J864,J864)-1</f>
        <v>965</v>
      </c>
      <c r="L864" t="str">
        <f>INDEX('Boundary table'!$B$3:$B$7,MATCH(J864,'Boundary table'!$A$3:$A$7,1))</f>
        <v>F</v>
      </c>
      <c r="M864" s="16">
        <v>38</v>
      </c>
      <c r="N864">
        <f>RANK(M864,$M$2:$M$1001,0)+COUNTIF($M$2:M864,M864)-1</f>
        <v>975</v>
      </c>
      <c r="O864" t="str">
        <f>INDEX('Boundary table'!$B$3:$B$7,MATCH(M864,'Boundary table'!$A$3:$A$7))</f>
        <v>F</v>
      </c>
      <c r="P864">
        <f>Table1[[#This Row],[Math Score]]+Table1[[#This Row],[Reading Score]]+Table1[[#This Row],[Writing Score]]</f>
        <v>119</v>
      </c>
      <c r="Q864" s="16">
        <f>COUNTIF(Table1[[#This Row],[Math Score]],"&lt;60")+COUNTIF(Table1[[#This Row],[Reading Score]],"&lt;60")+COUNTIF(Table1[[#This Row],[Writing Score]],"&lt;60")</f>
        <v>3</v>
      </c>
      <c r="R864" t="str">
        <f>IF(Table1[[#This Row],[Fail Count]]&gt;=2,"At risk","OK")</f>
        <v>At risk</v>
      </c>
    </row>
    <row r="865" spans="1:18">
      <c r="A865" t="str">
        <f t="shared" si="13"/>
        <v>Stu-864</v>
      </c>
      <c r="B865" t="s">
        <v>11</v>
      </c>
      <c r="C865" t="s">
        <v>19</v>
      </c>
      <c r="D865" t="s">
        <v>20</v>
      </c>
      <c r="E865" t="s">
        <v>14</v>
      </c>
      <c r="F865" t="s">
        <v>21</v>
      </c>
      <c r="G865" s="16">
        <v>71</v>
      </c>
      <c r="H865">
        <f>RANK(G865,$G$2:$G$1001,0)+COUNTIF($G$2:G865,G865)-1</f>
        <v>390</v>
      </c>
      <c r="I865" t="str">
        <f>INDEX('Boundary table'!$B$3:$B$7,MATCH(G865,'Boundary table'!$A$3:$A$7,1))</f>
        <v>C</v>
      </c>
      <c r="J865" s="16">
        <v>71</v>
      </c>
      <c r="K865">
        <f>RANK(J865,$J$2:$J$1001,0)+COUNTIF($J$2:J865,J865)-1</f>
        <v>485</v>
      </c>
      <c r="L865" t="str">
        <f>INDEX('Boundary table'!$B$3:$B$7,MATCH(J865,'Boundary table'!$A$3:$A$7,1))</f>
        <v>C</v>
      </c>
      <c r="M865" s="16">
        <v>80</v>
      </c>
      <c r="N865">
        <f>RANK(M865,$M$2:$M$1001,0)+COUNTIF($M$2:M865,M865)-1</f>
        <v>230</v>
      </c>
      <c r="O865" t="str">
        <f>INDEX('Boundary table'!$B$3:$B$7,MATCH(M865,'Boundary table'!$A$3:$A$7))</f>
        <v>B</v>
      </c>
      <c r="P865">
        <f>Table1[[#This Row],[Math Score]]+Table1[[#This Row],[Reading Score]]+Table1[[#This Row],[Writing Score]]</f>
        <v>222</v>
      </c>
      <c r="Q865" s="16">
        <f>COUNTIF(Table1[[#This Row],[Math Score]],"&lt;60")+COUNTIF(Table1[[#This Row],[Reading Score]],"&lt;60")+COUNTIF(Table1[[#This Row],[Writing Score]],"&lt;60")</f>
        <v>0</v>
      </c>
      <c r="R865" t="str">
        <f>IF(Table1[[#This Row],[Fail Count]]&gt;=2,"At risk","OK")</f>
        <v>OK</v>
      </c>
    </row>
    <row r="866" spans="1:18">
      <c r="A866" t="str">
        <f t="shared" si="13"/>
        <v>Stu-865</v>
      </c>
      <c r="B866" t="s">
        <v>27</v>
      </c>
      <c r="C866" t="s">
        <v>19</v>
      </c>
      <c r="D866" t="s">
        <v>29</v>
      </c>
      <c r="E866" t="s">
        <v>14</v>
      </c>
      <c r="F866" t="s">
        <v>15</v>
      </c>
      <c r="G866" s="16">
        <v>97</v>
      </c>
      <c r="H866">
        <f>RANK(G866,$G$2:$G$1001,0)+COUNTIF($G$2:G866,G866)-1</f>
        <v>19</v>
      </c>
      <c r="I866" t="str">
        <f>INDEX('Boundary table'!$B$3:$B$7,MATCH(G866,'Boundary table'!$A$3:$A$7,1))</f>
        <v>A</v>
      </c>
      <c r="J866" s="16">
        <v>93</v>
      </c>
      <c r="K866">
        <f>RANK(J866,$J$2:$J$1001,0)+COUNTIF($J$2:J866,J866)-1</f>
        <v>46</v>
      </c>
      <c r="L866" t="str">
        <f>INDEX('Boundary table'!$B$3:$B$7,MATCH(J866,'Boundary table'!$A$3:$A$7,1))</f>
        <v>A</v>
      </c>
      <c r="M866" s="16">
        <v>91</v>
      </c>
      <c r="N866">
        <f>RANK(M866,$M$2:$M$1001,0)+COUNTIF($M$2:M866,M866)-1</f>
        <v>64</v>
      </c>
      <c r="O866" t="str">
        <f>INDEX('Boundary table'!$B$3:$B$7,MATCH(M866,'Boundary table'!$A$3:$A$7))</f>
        <v>A</v>
      </c>
      <c r="P866">
        <f>Table1[[#This Row],[Math Score]]+Table1[[#This Row],[Reading Score]]+Table1[[#This Row],[Writing Score]]</f>
        <v>281</v>
      </c>
      <c r="Q866" s="16">
        <f>COUNTIF(Table1[[#This Row],[Math Score]],"&lt;60")+COUNTIF(Table1[[#This Row],[Reading Score]],"&lt;60")+COUNTIF(Table1[[#This Row],[Writing Score]],"&lt;60")</f>
        <v>0</v>
      </c>
      <c r="R866" t="str">
        <f>IF(Table1[[#This Row],[Fail Count]]&gt;=2,"At risk","OK")</f>
        <v>OK</v>
      </c>
    </row>
    <row r="867" spans="1:18">
      <c r="A867" t="str">
        <f t="shared" si="13"/>
        <v>Stu-866</v>
      </c>
      <c r="B867" t="s">
        <v>27</v>
      </c>
      <c r="C867" t="s">
        <v>31</v>
      </c>
      <c r="D867" t="s">
        <v>20</v>
      </c>
      <c r="E867" t="s">
        <v>14</v>
      </c>
      <c r="F867" t="s">
        <v>21</v>
      </c>
      <c r="G867" s="16">
        <v>82</v>
      </c>
      <c r="H867">
        <f>RANK(G867,$G$2:$G$1001,0)+COUNTIF($G$2:G867,G867)-1</f>
        <v>152</v>
      </c>
      <c r="I867" t="str">
        <f>INDEX('Boundary table'!$B$3:$B$7,MATCH(G867,'Boundary table'!$A$3:$A$7,1))</f>
        <v>B</v>
      </c>
      <c r="J867" s="16">
        <v>82</v>
      </c>
      <c r="K867">
        <f>RANK(J867,$J$2:$J$1001,0)+COUNTIF($J$2:J867,J867)-1</f>
        <v>206</v>
      </c>
      <c r="L867" t="str">
        <f>INDEX('Boundary table'!$B$3:$B$7,MATCH(J867,'Boundary table'!$A$3:$A$7,1))</f>
        <v>B</v>
      </c>
      <c r="M867" s="16">
        <v>88</v>
      </c>
      <c r="N867">
        <f>RANK(M867,$M$2:$M$1001,0)+COUNTIF($M$2:M867,M867)-1</f>
        <v>98</v>
      </c>
      <c r="O867" t="str">
        <f>INDEX('Boundary table'!$B$3:$B$7,MATCH(M867,'Boundary table'!$A$3:$A$7))</f>
        <v>B</v>
      </c>
      <c r="P867">
        <f>Table1[[#This Row],[Math Score]]+Table1[[#This Row],[Reading Score]]+Table1[[#This Row],[Writing Score]]</f>
        <v>252</v>
      </c>
      <c r="Q867" s="16">
        <f>COUNTIF(Table1[[#This Row],[Math Score]],"&lt;60")+COUNTIF(Table1[[#This Row],[Reading Score]],"&lt;60")+COUNTIF(Table1[[#This Row],[Writing Score]],"&lt;60")</f>
        <v>0</v>
      </c>
      <c r="R867" t="str">
        <f>IF(Table1[[#This Row],[Fail Count]]&gt;=2,"At risk","OK")</f>
        <v>OK</v>
      </c>
    </row>
    <row r="868" spans="1:18">
      <c r="A868" t="str">
        <f t="shared" si="13"/>
        <v>Stu-867</v>
      </c>
      <c r="B868" t="s">
        <v>27</v>
      </c>
      <c r="C868" t="s">
        <v>19</v>
      </c>
      <c r="D868" t="s">
        <v>32</v>
      </c>
      <c r="E868" t="s">
        <v>30</v>
      </c>
      <c r="F868" t="s">
        <v>15</v>
      </c>
      <c r="G868" s="16">
        <v>59</v>
      </c>
      <c r="H868">
        <f>RANK(G868,$G$2:$G$1001,0)+COUNTIF($G$2:G868,G868)-1</f>
        <v>705</v>
      </c>
      <c r="I868" t="str">
        <f>INDEX('Boundary table'!$B$3:$B$7,MATCH(G868,'Boundary table'!$A$3:$A$7,1))</f>
        <v>F</v>
      </c>
      <c r="J868" s="16">
        <v>53</v>
      </c>
      <c r="K868">
        <f>RANK(J868,$J$2:$J$1001,0)+COUNTIF($J$2:J868,J868)-1</f>
        <v>870</v>
      </c>
      <c r="L868" t="str">
        <f>INDEX('Boundary table'!$B$3:$B$7,MATCH(J868,'Boundary table'!$A$3:$A$7,1))</f>
        <v>F</v>
      </c>
      <c r="M868" s="16">
        <v>52</v>
      </c>
      <c r="N868">
        <f>RANK(M868,$M$2:$M$1001,0)+COUNTIF($M$2:M868,M868)-1</f>
        <v>856</v>
      </c>
      <c r="O868" t="str">
        <f>INDEX('Boundary table'!$B$3:$B$7,MATCH(M868,'Boundary table'!$A$3:$A$7))</f>
        <v>F</v>
      </c>
      <c r="P868">
        <f>Table1[[#This Row],[Math Score]]+Table1[[#This Row],[Reading Score]]+Table1[[#This Row],[Writing Score]]</f>
        <v>164</v>
      </c>
      <c r="Q868" s="16">
        <f>COUNTIF(Table1[[#This Row],[Math Score]],"&lt;60")+COUNTIF(Table1[[#This Row],[Reading Score]],"&lt;60")+COUNTIF(Table1[[#This Row],[Writing Score]],"&lt;60")</f>
        <v>3</v>
      </c>
      <c r="R868" t="str">
        <f>IF(Table1[[#This Row],[Fail Count]]&gt;=2,"At risk","OK")</f>
        <v>At risk</v>
      </c>
    </row>
    <row r="869" spans="1:18">
      <c r="A869" t="str">
        <f t="shared" si="13"/>
        <v>Stu-868</v>
      </c>
      <c r="B869" t="s">
        <v>27</v>
      </c>
      <c r="C869" t="s">
        <v>12</v>
      </c>
      <c r="D869" t="s">
        <v>29</v>
      </c>
      <c r="E869" t="s">
        <v>14</v>
      </c>
      <c r="F869" t="s">
        <v>15</v>
      </c>
      <c r="G869" s="16">
        <v>61</v>
      </c>
      <c r="H869">
        <f>RANK(G869,$G$2:$G$1001,0)+COUNTIF($G$2:G869,G869)-1</f>
        <v>659</v>
      </c>
      <c r="I869" t="str">
        <f>INDEX('Boundary table'!$B$3:$B$7,MATCH(G869,'Boundary table'!$A$3:$A$7,1))</f>
        <v>D</v>
      </c>
      <c r="J869" s="16">
        <v>42</v>
      </c>
      <c r="K869">
        <f>RANK(J869,$J$2:$J$1001,0)+COUNTIF($J$2:J869,J869)-1</f>
        <v>966</v>
      </c>
      <c r="L869" t="str">
        <f>INDEX('Boundary table'!$B$3:$B$7,MATCH(J869,'Boundary table'!$A$3:$A$7,1))</f>
        <v>F</v>
      </c>
      <c r="M869" s="16">
        <v>41</v>
      </c>
      <c r="N869">
        <f>RANK(M869,$M$2:$M$1001,0)+COUNTIF($M$2:M869,M869)-1</f>
        <v>964</v>
      </c>
      <c r="O869" t="str">
        <f>INDEX('Boundary table'!$B$3:$B$7,MATCH(M869,'Boundary table'!$A$3:$A$7))</f>
        <v>F</v>
      </c>
      <c r="P869">
        <f>Table1[[#This Row],[Math Score]]+Table1[[#This Row],[Reading Score]]+Table1[[#This Row],[Writing Score]]</f>
        <v>144</v>
      </c>
      <c r="Q869" s="16">
        <f>COUNTIF(Table1[[#This Row],[Math Score]],"&lt;60")+COUNTIF(Table1[[#This Row],[Reading Score]],"&lt;60")+COUNTIF(Table1[[#This Row],[Writing Score]],"&lt;60")</f>
        <v>2</v>
      </c>
      <c r="R869" t="str">
        <f>IF(Table1[[#This Row],[Fail Count]]&gt;=2,"At risk","OK")</f>
        <v>At risk</v>
      </c>
    </row>
    <row r="870" spans="1:18">
      <c r="A870" t="str">
        <f t="shared" si="13"/>
        <v>Stu-869</v>
      </c>
      <c r="B870" t="s">
        <v>27</v>
      </c>
      <c r="C870" t="s">
        <v>34</v>
      </c>
      <c r="D870" t="s">
        <v>29</v>
      </c>
      <c r="E870" t="s">
        <v>30</v>
      </c>
      <c r="F870" t="s">
        <v>21</v>
      </c>
      <c r="G870" s="16">
        <v>78</v>
      </c>
      <c r="H870">
        <f>RANK(G870,$G$2:$G$1001,0)+COUNTIF($G$2:G870,G870)-1</f>
        <v>226</v>
      </c>
      <c r="I870" t="str">
        <f>INDEX('Boundary table'!$B$3:$B$7,MATCH(G870,'Boundary table'!$A$3:$A$7,1))</f>
        <v>C</v>
      </c>
      <c r="J870" s="16">
        <v>74</v>
      </c>
      <c r="K870">
        <f>RANK(J870,$J$2:$J$1001,0)+COUNTIF($J$2:J870,J870)-1</f>
        <v>400</v>
      </c>
      <c r="L870" t="str">
        <f>INDEX('Boundary table'!$B$3:$B$7,MATCH(J870,'Boundary table'!$A$3:$A$7,1))</f>
        <v>C</v>
      </c>
      <c r="M870" s="16">
        <v>72</v>
      </c>
      <c r="N870">
        <f>RANK(M870,$M$2:$M$1001,0)+COUNTIF($M$2:M870,M870)-1</f>
        <v>434</v>
      </c>
      <c r="O870" t="str">
        <f>INDEX('Boundary table'!$B$3:$B$7,MATCH(M870,'Boundary table'!$A$3:$A$7))</f>
        <v>C</v>
      </c>
      <c r="P870">
        <f>Table1[[#This Row],[Math Score]]+Table1[[#This Row],[Reading Score]]+Table1[[#This Row],[Writing Score]]</f>
        <v>224</v>
      </c>
      <c r="Q870" s="16">
        <f>COUNTIF(Table1[[#This Row],[Math Score]],"&lt;60")+COUNTIF(Table1[[#This Row],[Reading Score]],"&lt;60")+COUNTIF(Table1[[#This Row],[Writing Score]],"&lt;60")</f>
        <v>0</v>
      </c>
      <c r="R870" t="str">
        <f>IF(Table1[[#This Row],[Fail Count]]&gt;=2,"At risk","OK")</f>
        <v>OK</v>
      </c>
    </row>
    <row r="871" spans="1:18">
      <c r="A871" t="str">
        <f t="shared" si="13"/>
        <v>Stu-870</v>
      </c>
      <c r="B871" t="s">
        <v>27</v>
      </c>
      <c r="C871" t="s">
        <v>19</v>
      </c>
      <c r="D871" t="s">
        <v>29</v>
      </c>
      <c r="E871" t="s">
        <v>30</v>
      </c>
      <c r="F871" t="s">
        <v>15</v>
      </c>
      <c r="G871" s="16">
        <v>49</v>
      </c>
      <c r="H871">
        <f>RANK(G871,$G$2:$G$1001,0)+COUNTIF($G$2:G871,G871)-1</f>
        <v>879</v>
      </c>
      <c r="I871" t="str">
        <f>INDEX('Boundary table'!$B$3:$B$7,MATCH(G871,'Boundary table'!$A$3:$A$7,1))</f>
        <v>F</v>
      </c>
      <c r="J871" s="16">
        <v>51</v>
      </c>
      <c r="K871">
        <f>RANK(J871,$J$2:$J$1001,0)+COUNTIF($J$2:J871,J871)-1</f>
        <v>900</v>
      </c>
      <c r="L871" t="str">
        <f>INDEX('Boundary table'!$B$3:$B$7,MATCH(J871,'Boundary table'!$A$3:$A$7,1))</f>
        <v>F</v>
      </c>
      <c r="M871" s="16">
        <v>51</v>
      </c>
      <c r="N871">
        <f>RANK(M871,$M$2:$M$1001,0)+COUNTIF($M$2:M871,M871)-1</f>
        <v>873</v>
      </c>
      <c r="O871" t="str">
        <f>INDEX('Boundary table'!$B$3:$B$7,MATCH(M871,'Boundary table'!$A$3:$A$7))</f>
        <v>F</v>
      </c>
      <c r="P871">
        <f>Table1[[#This Row],[Math Score]]+Table1[[#This Row],[Reading Score]]+Table1[[#This Row],[Writing Score]]</f>
        <v>151</v>
      </c>
      <c r="Q871" s="16">
        <f>COUNTIF(Table1[[#This Row],[Math Score]],"&lt;60")+COUNTIF(Table1[[#This Row],[Reading Score]],"&lt;60")+COUNTIF(Table1[[#This Row],[Writing Score]],"&lt;60")</f>
        <v>3</v>
      </c>
      <c r="R871" t="str">
        <f>IF(Table1[[#This Row],[Fail Count]]&gt;=2,"At risk","OK")</f>
        <v>At risk</v>
      </c>
    </row>
    <row r="872" spans="1:18">
      <c r="A872" t="str">
        <f t="shared" si="13"/>
        <v>Stu-871</v>
      </c>
      <c r="B872" t="s">
        <v>27</v>
      </c>
      <c r="C872" t="s">
        <v>12</v>
      </c>
      <c r="D872" t="s">
        <v>32</v>
      </c>
      <c r="E872" t="s">
        <v>14</v>
      </c>
      <c r="F872" t="s">
        <v>15</v>
      </c>
      <c r="G872" s="16">
        <v>59</v>
      </c>
      <c r="H872">
        <f>RANK(G872,$G$2:$G$1001,0)+COUNTIF($G$2:G872,G872)-1</f>
        <v>706</v>
      </c>
      <c r="I872" t="str">
        <f>INDEX('Boundary table'!$B$3:$B$7,MATCH(G872,'Boundary table'!$A$3:$A$7,1))</f>
        <v>F</v>
      </c>
      <c r="J872" s="16">
        <v>58</v>
      </c>
      <c r="K872">
        <f>RANK(J872,$J$2:$J$1001,0)+COUNTIF($J$2:J872,J872)-1</f>
        <v>788</v>
      </c>
      <c r="L872" t="str">
        <f>INDEX('Boundary table'!$B$3:$B$7,MATCH(J872,'Boundary table'!$A$3:$A$7,1))</f>
        <v>F</v>
      </c>
      <c r="M872" s="16">
        <v>47</v>
      </c>
      <c r="N872">
        <f>RANK(M872,$M$2:$M$1001,0)+COUNTIF($M$2:M872,M872)-1</f>
        <v>913</v>
      </c>
      <c r="O872" t="str">
        <f>INDEX('Boundary table'!$B$3:$B$7,MATCH(M872,'Boundary table'!$A$3:$A$7))</f>
        <v>F</v>
      </c>
      <c r="P872">
        <f>Table1[[#This Row],[Math Score]]+Table1[[#This Row],[Reading Score]]+Table1[[#This Row],[Writing Score]]</f>
        <v>164</v>
      </c>
      <c r="Q872" s="16">
        <f>COUNTIF(Table1[[#This Row],[Math Score]],"&lt;60")+COUNTIF(Table1[[#This Row],[Reading Score]],"&lt;60")+COUNTIF(Table1[[#This Row],[Writing Score]],"&lt;60")</f>
        <v>3</v>
      </c>
      <c r="R872" t="str">
        <f>IF(Table1[[#This Row],[Fail Count]]&gt;=2,"At risk","OK")</f>
        <v>At risk</v>
      </c>
    </row>
    <row r="873" spans="1:18">
      <c r="A873" t="str">
        <f t="shared" si="13"/>
        <v>Stu-872</v>
      </c>
      <c r="B873" t="s">
        <v>11</v>
      </c>
      <c r="C873" t="s">
        <v>19</v>
      </c>
      <c r="D873" t="s">
        <v>20</v>
      </c>
      <c r="E873" t="s">
        <v>14</v>
      </c>
      <c r="F873" t="s">
        <v>21</v>
      </c>
      <c r="G873" s="16">
        <v>70</v>
      </c>
      <c r="H873">
        <f>RANK(G873,$G$2:$G$1001,0)+COUNTIF($G$2:G873,G873)-1</f>
        <v>406</v>
      </c>
      <c r="I873" t="str">
        <f>INDEX('Boundary table'!$B$3:$B$7,MATCH(G873,'Boundary table'!$A$3:$A$7,1))</f>
        <v>C</v>
      </c>
      <c r="J873" s="16">
        <v>72</v>
      </c>
      <c r="K873">
        <f>RANK(J873,$J$2:$J$1001,0)+COUNTIF($J$2:J873,J873)-1</f>
        <v>463</v>
      </c>
      <c r="L873" t="str">
        <f>INDEX('Boundary table'!$B$3:$B$7,MATCH(J873,'Boundary table'!$A$3:$A$7,1))</f>
        <v>C</v>
      </c>
      <c r="M873" s="16">
        <v>76</v>
      </c>
      <c r="N873">
        <f>RANK(M873,$M$2:$M$1001,0)+COUNTIF($M$2:M873,M873)-1</f>
        <v>326</v>
      </c>
      <c r="O873" t="str">
        <f>INDEX('Boundary table'!$B$3:$B$7,MATCH(M873,'Boundary table'!$A$3:$A$7))</f>
        <v>C</v>
      </c>
      <c r="P873">
        <f>Table1[[#This Row],[Math Score]]+Table1[[#This Row],[Reading Score]]+Table1[[#This Row],[Writing Score]]</f>
        <v>218</v>
      </c>
      <c r="Q873" s="16">
        <f>COUNTIF(Table1[[#This Row],[Math Score]],"&lt;60")+COUNTIF(Table1[[#This Row],[Reading Score]],"&lt;60")+COUNTIF(Table1[[#This Row],[Writing Score]],"&lt;60")</f>
        <v>0</v>
      </c>
      <c r="R873" t="str">
        <f>IF(Table1[[#This Row],[Fail Count]]&gt;=2,"At risk","OK")</f>
        <v>OK</v>
      </c>
    </row>
    <row r="874" spans="1:18">
      <c r="A874" t="str">
        <f t="shared" si="13"/>
        <v>Stu-873</v>
      </c>
      <c r="B874" t="s">
        <v>27</v>
      </c>
      <c r="C874" t="s">
        <v>12</v>
      </c>
      <c r="D874" t="s">
        <v>29</v>
      </c>
      <c r="E874" t="s">
        <v>14</v>
      </c>
      <c r="F874" t="s">
        <v>21</v>
      </c>
      <c r="G874" s="16">
        <v>82</v>
      </c>
      <c r="H874">
        <f>RANK(G874,$G$2:$G$1001,0)+COUNTIF($G$2:G874,G874)-1</f>
        <v>153</v>
      </c>
      <c r="I874" t="str">
        <f>INDEX('Boundary table'!$B$3:$B$7,MATCH(G874,'Boundary table'!$A$3:$A$7,1))</f>
        <v>B</v>
      </c>
      <c r="J874" s="16">
        <v>84</v>
      </c>
      <c r="K874">
        <f>RANK(J874,$J$2:$J$1001,0)+COUNTIF($J$2:J874,J874)-1</f>
        <v>171</v>
      </c>
      <c r="L874" t="str">
        <f>INDEX('Boundary table'!$B$3:$B$7,MATCH(J874,'Boundary table'!$A$3:$A$7,1))</f>
        <v>B</v>
      </c>
      <c r="M874" s="16">
        <v>78</v>
      </c>
      <c r="N874">
        <f>RANK(M874,$M$2:$M$1001,0)+COUNTIF($M$2:M874,M874)-1</f>
        <v>277</v>
      </c>
      <c r="O874" t="str">
        <f>INDEX('Boundary table'!$B$3:$B$7,MATCH(M874,'Boundary table'!$A$3:$A$7))</f>
        <v>C</v>
      </c>
      <c r="P874">
        <f>Table1[[#This Row],[Math Score]]+Table1[[#This Row],[Reading Score]]+Table1[[#This Row],[Writing Score]]</f>
        <v>244</v>
      </c>
      <c r="Q874" s="16">
        <f>COUNTIF(Table1[[#This Row],[Math Score]],"&lt;60")+COUNTIF(Table1[[#This Row],[Reading Score]],"&lt;60")+COUNTIF(Table1[[#This Row],[Writing Score]],"&lt;60")</f>
        <v>0</v>
      </c>
      <c r="R874" t="str">
        <f>IF(Table1[[#This Row],[Fail Count]]&gt;=2,"At risk","OK")</f>
        <v>OK</v>
      </c>
    </row>
    <row r="875" spans="1:18">
      <c r="A875" t="str">
        <f t="shared" si="13"/>
        <v>Stu-874</v>
      </c>
      <c r="B875" t="s">
        <v>27</v>
      </c>
      <c r="C875" t="s">
        <v>34</v>
      </c>
      <c r="D875" t="s">
        <v>29</v>
      </c>
      <c r="E875" t="s">
        <v>30</v>
      </c>
      <c r="F875" t="s">
        <v>15</v>
      </c>
      <c r="G875" s="16">
        <v>90</v>
      </c>
      <c r="H875">
        <f>RANK(G875,$G$2:$G$1001,0)+COUNTIF($G$2:G875,G875)-1</f>
        <v>58</v>
      </c>
      <c r="I875" t="str">
        <f>INDEX('Boundary table'!$B$3:$B$7,MATCH(G875,'Boundary table'!$A$3:$A$7,1))</f>
        <v>A</v>
      </c>
      <c r="J875" s="16">
        <v>90</v>
      </c>
      <c r="K875">
        <f>RANK(J875,$J$2:$J$1001,0)+COUNTIF($J$2:J875,J875)-1</f>
        <v>79</v>
      </c>
      <c r="L875" t="str">
        <f>INDEX('Boundary table'!$B$3:$B$7,MATCH(J875,'Boundary table'!$A$3:$A$7,1))</f>
        <v>A</v>
      </c>
      <c r="M875" s="16">
        <v>82</v>
      </c>
      <c r="N875">
        <f>RANK(M875,$M$2:$M$1001,0)+COUNTIF($M$2:M875,M875)-1</f>
        <v>185</v>
      </c>
      <c r="O875" t="str">
        <f>INDEX('Boundary table'!$B$3:$B$7,MATCH(M875,'Boundary table'!$A$3:$A$7))</f>
        <v>B</v>
      </c>
      <c r="P875">
        <f>Table1[[#This Row],[Math Score]]+Table1[[#This Row],[Reading Score]]+Table1[[#This Row],[Writing Score]]</f>
        <v>262</v>
      </c>
      <c r="Q875" s="16">
        <f>COUNTIF(Table1[[#This Row],[Math Score]],"&lt;60")+COUNTIF(Table1[[#This Row],[Reading Score]],"&lt;60")+COUNTIF(Table1[[#This Row],[Writing Score]],"&lt;60")</f>
        <v>0</v>
      </c>
      <c r="R875" t="str">
        <f>IF(Table1[[#This Row],[Fail Count]]&gt;=2,"At risk","OK")</f>
        <v>OK</v>
      </c>
    </row>
    <row r="876" spans="1:18">
      <c r="A876" t="str">
        <f t="shared" si="13"/>
        <v>Stu-875</v>
      </c>
      <c r="B876" t="s">
        <v>11</v>
      </c>
      <c r="C876" t="s">
        <v>19</v>
      </c>
      <c r="D876" t="s">
        <v>13</v>
      </c>
      <c r="E876" t="s">
        <v>30</v>
      </c>
      <c r="F876" t="s">
        <v>15</v>
      </c>
      <c r="G876" s="16">
        <v>43</v>
      </c>
      <c r="H876">
        <f>RANK(G876,$G$2:$G$1001,0)+COUNTIF($G$2:G876,G876)-1</f>
        <v>938</v>
      </c>
      <c r="I876" t="str">
        <f>INDEX('Boundary table'!$B$3:$B$7,MATCH(G876,'Boundary table'!$A$3:$A$7,1))</f>
        <v>F</v>
      </c>
      <c r="J876" s="16">
        <v>62</v>
      </c>
      <c r="K876">
        <f>RANK(J876,$J$2:$J$1001,0)+COUNTIF($J$2:J876,J876)-1</f>
        <v>697</v>
      </c>
      <c r="L876" t="str">
        <f>INDEX('Boundary table'!$B$3:$B$7,MATCH(J876,'Boundary table'!$A$3:$A$7,1))</f>
        <v>D</v>
      </c>
      <c r="M876" s="16">
        <v>61</v>
      </c>
      <c r="N876">
        <f>RANK(M876,$M$2:$M$1001,0)+COUNTIF($M$2:M876,M876)-1</f>
        <v>696</v>
      </c>
      <c r="O876" t="str">
        <f>INDEX('Boundary table'!$B$3:$B$7,MATCH(M876,'Boundary table'!$A$3:$A$7))</f>
        <v>D</v>
      </c>
      <c r="P876">
        <f>Table1[[#This Row],[Math Score]]+Table1[[#This Row],[Reading Score]]+Table1[[#This Row],[Writing Score]]</f>
        <v>166</v>
      </c>
      <c r="Q876" s="16">
        <f>COUNTIF(Table1[[#This Row],[Math Score]],"&lt;60")+COUNTIF(Table1[[#This Row],[Reading Score]],"&lt;60")+COUNTIF(Table1[[#This Row],[Writing Score]],"&lt;60")</f>
        <v>1</v>
      </c>
      <c r="R876" t="str">
        <f>IF(Table1[[#This Row],[Fail Count]]&gt;=2,"At risk","OK")</f>
        <v>OK</v>
      </c>
    </row>
    <row r="877" spans="1:18">
      <c r="A877" t="str">
        <f t="shared" si="13"/>
        <v>Stu-876</v>
      </c>
      <c r="B877" t="s">
        <v>27</v>
      </c>
      <c r="C877" t="s">
        <v>19</v>
      </c>
      <c r="D877" t="s">
        <v>20</v>
      </c>
      <c r="E877" t="s">
        <v>30</v>
      </c>
      <c r="F877" t="s">
        <v>15</v>
      </c>
      <c r="G877" s="16">
        <v>80</v>
      </c>
      <c r="H877">
        <f>RANK(G877,$G$2:$G$1001,0)+COUNTIF($G$2:G877,G877)-1</f>
        <v>193</v>
      </c>
      <c r="I877" t="str">
        <f>INDEX('Boundary table'!$B$3:$B$7,MATCH(G877,'Boundary table'!$A$3:$A$7,1))</f>
        <v>B</v>
      </c>
      <c r="J877" s="16">
        <v>64</v>
      </c>
      <c r="K877">
        <f>RANK(J877,$J$2:$J$1001,0)+COUNTIF($J$2:J877,J877)-1</f>
        <v>656</v>
      </c>
      <c r="L877" t="str">
        <f>INDEX('Boundary table'!$B$3:$B$7,MATCH(J877,'Boundary table'!$A$3:$A$7,1))</f>
        <v>D</v>
      </c>
      <c r="M877" s="16">
        <v>66</v>
      </c>
      <c r="N877">
        <f>RANK(M877,$M$2:$M$1001,0)+COUNTIF($M$2:M877,M877)-1</f>
        <v>587</v>
      </c>
      <c r="O877" t="str">
        <f>INDEX('Boundary table'!$B$3:$B$7,MATCH(M877,'Boundary table'!$A$3:$A$7))</f>
        <v>D</v>
      </c>
      <c r="P877">
        <f>Table1[[#This Row],[Math Score]]+Table1[[#This Row],[Reading Score]]+Table1[[#This Row],[Writing Score]]</f>
        <v>210</v>
      </c>
      <c r="Q877" s="16">
        <f>COUNTIF(Table1[[#This Row],[Math Score]],"&lt;60")+COUNTIF(Table1[[#This Row],[Reading Score]],"&lt;60")+COUNTIF(Table1[[#This Row],[Writing Score]],"&lt;60")</f>
        <v>0</v>
      </c>
      <c r="R877" t="str">
        <f>IF(Table1[[#This Row],[Fail Count]]&gt;=2,"At risk","OK")</f>
        <v>OK</v>
      </c>
    </row>
    <row r="878" spans="1:18">
      <c r="A878" t="str">
        <f t="shared" si="13"/>
        <v>Stu-877</v>
      </c>
      <c r="B878" t="s">
        <v>27</v>
      </c>
      <c r="C878" t="s">
        <v>31</v>
      </c>
      <c r="D878" t="s">
        <v>20</v>
      </c>
      <c r="E878" t="s">
        <v>14</v>
      </c>
      <c r="F878" t="s">
        <v>15</v>
      </c>
      <c r="G878" s="16">
        <v>81</v>
      </c>
      <c r="H878">
        <f>RANK(G878,$G$2:$G$1001,0)+COUNTIF($G$2:G878,G878)-1</f>
        <v>173</v>
      </c>
      <c r="I878" t="str">
        <f>INDEX('Boundary table'!$B$3:$B$7,MATCH(G878,'Boundary table'!$A$3:$A$7,1))</f>
        <v>B</v>
      </c>
      <c r="J878" s="16">
        <v>82</v>
      </c>
      <c r="K878">
        <f>RANK(J878,$J$2:$J$1001,0)+COUNTIF($J$2:J878,J878)-1</f>
        <v>207</v>
      </c>
      <c r="L878" t="str">
        <f>INDEX('Boundary table'!$B$3:$B$7,MATCH(J878,'Boundary table'!$A$3:$A$7,1))</f>
        <v>B</v>
      </c>
      <c r="M878" s="16">
        <v>84</v>
      </c>
      <c r="N878">
        <f>RANK(M878,$M$2:$M$1001,0)+COUNTIF($M$2:M878,M878)-1</f>
        <v>150</v>
      </c>
      <c r="O878" t="str">
        <f>INDEX('Boundary table'!$B$3:$B$7,MATCH(M878,'Boundary table'!$A$3:$A$7))</f>
        <v>B</v>
      </c>
      <c r="P878">
        <f>Table1[[#This Row],[Math Score]]+Table1[[#This Row],[Reading Score]]+Table1[[#This Row],[Writing Score]]</f>
        <v>247</v>
      </c>
      <c r="Q878" s="16">
        <f>COUNTIF(Table1[[#This Row],[Math Score]],"&lt;60")+COUNTIF(Table1[[#This Row],[Reading Score]],"&lt;60")+COUNTIF(Table1[[#This Row],[Writing Score]],"&lt;60")</f>
        <v>0</v>
      </c>
      <c r="R878" t="str">
        <f>IF(Table1[[#This Row],[Fail Count]]&gt;=2,"At risk","OK")</f>
        <v>OK</v>
      </c>
    </row>
    <row r="879" spans="1:18">
      <c r="A879" t="str">
        <f t="shared" si="13"/>
        <v>Stu-878</v>
      </c>
      <c r="B879" t="s">
        <v>27</v>
      </c>
      <c r="C879" t="s">
        <v>19</v>
      </c>
      <c r="D879" t="s">
        <v>33</v>
      </c>
      <c r="E879" t="s">
        <v>14</v>
      </c>
      <c r="F879" t="s">
        <v>15</v>
      </c>
      <c r="G879" s="16">
        <v>57</v>
      </c>
      <c r="H879">
        <f>RANK(G879,$G$2:$G$1001,0)+COUNTIF($G$2:G879,G879)-1</f>
        <v>747</v>
      </c>
      <c r="I879" t="str">
        <f>INDEX('Boundary table'!$B$3:$B$7,MATCH(G879,'Boundary table'!$A$3:$A$7,1))</f>
        <v>F</v>
      </c>
      <c r="J879" s="16">
        <v>61</v>
      </c>
      <c r="K879">
        <f>RANK(J879,$J$2:$J$1001,0)+COUNTIF($J$2:J879,J879)-1</f>
        <v>720</v>
      </c>
      <c r="L879" t="str">
        <f>INDEX('Boundary table'!$B$3:$B$7,MATCH(J879,'Boundary table'!$A$3:$A$7,1))</f>
        <v>D</v>
      </c>
      <c r="M879" s="16">
        <v>54</v>
      </c>
      <c r="N879">
        <f>RANK(M879,$M$2:$M$1001,0)+COUNTIF($M$2:M879,M879)-1</f>
        <v>819</v>
      </c>
      <c r="O879" t="str">
        <f>INDEX('Boundary table'!$B$3:$B$7,MATCH(M879,'Boundary table'!$A$3:$A$7))</f>
        <v>F</v>
      </c>
      <c r="P879">
        <f>Table1[[#This Row],[Math Score]]+Table1[[#This Row],[Reading Score]]+Table1[[#This Row],[Writing Score]]</f>
        <v>172</v>
      </c>
      <c r="Q879" s="16">
        <f>COUNTIF(Table1[[#This Row],[Math Score]],"&lt;60")+COUNTIF(Table1[[#This Row],[Reading Score]],"&lt;60")+COUNTIF(Table1[[#This Row],[Writing Score]],"&lt;60")</f>
        <v>2</v>
      </c>
      <c r="R879" t="str">
        <f>IF(Table1[[#This Row],[Fail Count]]&gt;=2,"At risk","OK")</f>
        <v>At risk</v>
      </c>
    </row>
    <row r="880" spans="1:18">
      <c r="A880" t="str">
        <f t="shared" si="13"/>
        <v>Stu-879</v>
      </c>
      <c r="B880" t="s">
        <v>11</v>
      </c>
      <c r="C880" t="s">
        <v>31</v>
      </c>
      <c r="D880" t="s">
        <v>33</v>
      </c>
      <c r="E880" t="s">
        <v>14</v>
      </c>
      <c r="F880" t="s">
        <v>15</v>
      </c>
      <c r="G880" s="16">
        <v>59</v>
      </c>
      <c r="H880">
        <f>RANK(G880,$G$2:$G$1001,0)+COUNTIF($G$2:G880,G880)-1</f>
        <v>707</v>
      </c>
      <c r="I880" t="str">
        <f>INDEX('Boundary table'!$B$3:$B$7,MATCH(G880,'Boundary table'!$A$3:$A$7,1))</f>
        <v>F</v>
      </c>
      <c r="J880" s="16">
        <v>72</v>
      </c>
      <c r="K880">
        <f>RANK(J880,$J$2:$J$1001,0)+COUNTIF($J$2:J880,J880)-1</f>
        <v>464</v>
      </c>
      <c r="L880" t="str">
        <f>INDEX('Boundary table'!$B$3:$B$7,MATCH(J880,'Boundary table'!$A$3:$A$7,1))</f>
        <v>C</v>
      </c>
      <c r="M880" s="16">
        <v>80</v>
      </c>
      <c r="N880">
        <f>RANK(M880,$M$2:$M$1001,0)+COUNTIF($M$2:M880,M880)-1</f>
        <v>231</v>
      </c>
      <c r="O880" t="str">
        <f>INDEX('Boundary table'!$B$3:$B$7,MATCH(M880,'Boundary table'!$A$3:$A$7))</f>
        <v>B</v>
      </c>
      <c r="P880">
        <f>Table1[[#This Row],[Math Score]]+Table1[[#This Row],[Reading Score]]+Table1[[#This Row],[Writing Score]]</f>
        <v>211</v>
      </c>
      <c r="Q880" s="16">
        <f>COUNTIF(Table1[[#This Row],[Math Score]],"&lt;60")+COUNTIF(Table1[[#This Row],[Reading Score]],"&lt;60")+COUNTIF(Table1[[#This Row],[Writing Score]],"&lt;60")</f>
        <v>1</v>
      </c>
      <c r="R880" t="str">
        <f>IF(Table1[[#This Row],[Fail Count]]&gt;=2,"At risk","OK")</f>
        <v>OK</v>
      </c>
    </row>
    <row r="881" spans="1:18">
      <c r="A881" t="str">
        <f t="shared" si="13"/>
        <v>Stu-880</v>
      </c>
      <c r="B881" t="s">
        <v>11</v>
      </c>
      <c r="C881" t="s">
        <v>31</v>
      </c>
      <c r="D881" t="s">
        <v>29</v>
      </c>
      <c r="E881" t="s">
        <v>14</v>
      </c>
      <c r="F881" t="s">
        <v>15</v>
      </c>
      <c r="G881" s="16">
        <v>64</v>
      </c>
      <c r="H881">
        <f>RANK(G881,$G$2:$G$1001,0)+COUNTIF($G$2:G881,G881)-1</f>
        <v>570</v>
      </c>
      <c r="I881" t="str">
        <f>INDEX('Boundary table'!$B$3:$B$7,MATCH(G881,'Boundary table'!$A$3:$A$7,1))</f>
        <v>D</v>
      </c>
      <c r="J881" s="16">
        <v>76</v>
      </c>
      <c r="K881">
        <f>RANK(J881,$J$2:$J$1001,0)+COUNTIF($J$2:J881,J881)-1</f>
        <v>340</v>
      </c>
      <c r="L881" t="str">
        <f>INDEX('Boundary table'!$B$3:$B$7,MATCH(J881,'Boundary table'!$A$3:$A$7,1))</f>
        <v>C</v>
      </c>
      <c r="M881" s="16">
        <v>74</v>
      </c>
      <c r="N881">
        <f>RANK(M881,$M$2:$M$1001,0)+COUNTIF($M$2:M881,M881)-1</f>
        <v>381</v>
      </c>
      <c r="O881" t="str">
        <f>INDEX('Boundary table'!$B$3:$B$7,MATCH(M881,'Boundary table'!$A$3:$A$7))</f>
        <v>C</v>
      </c>
      <c r="P881">
        <f>Table1[[#This Row],[Math Score]]+Table1[[#This Row],[Reading Score]]+Table1[[#This Row],[Writing Score]]</f>
        <v>214</v>
      </c>
      <c r="Q881" s="16">
        <f>COUNTIF(Table1[[#This Row],[Math Score]],"&lt;60")+COUNTIF(Table1[[#This Row],[Reading Score]],"&lt;60")+COUNTIF(Table1[[#This Row],[Writing Score]],"&lt;60")</f>
        <v>0</v>
      </c>
      <c r="R881" t="str">
        <f>IF(Table1[[#This Row],[Fail Count]]&gt;=2,"At risk","OK")</f>
        <v>OK</v>
      </c>
    </row>
    <row r="882" spans="1:18">
      <c r="A882" t="str">
        <f t="shared" si="13"/>
        <v>Stu-881</v>
      </c>
      <c r="B882" t="s">
        <v>27</v>
      </c>
      <c r="C882" t="s">
        <v>19</v>
      </c>
      <c r="D882" t="s">
        <v>13</v>
      </c>
      <c r="E882" t="s">
        <v>14</v>
      </c>
      <c r="F882" t="s">
        <v>21</v>
      </c>
      <c r="G882" s="16">
        <v>63</v>
      </c>
      <c r="H882">
        <f>RANK(G882,$G$2:$G$1001,0)+COUNTIF($G$2:G882,G882)-1</f>
        <v>596</v>
      </c>
      <c r="I882" t="str">
        <f>INDEX('Boundary table'!$B$3:$B$7,MATCH(G882,'Boundary table'!$A$3:$A$7,1))</f>
        <v>D</v>
      </c>
      <c r="J882" s="16">
        <v>64</v>
      </c>
      <c r="K882">
        <f>RANK(J882,$J$2:$J$1001,0)+COUNTIF($J$2:J882,J882)-1</f>
        <v>657</v>
      </c>
      <c r="L882" t="str">
        <f>INDEX('Boundary table'!$B$3:$B$7,MATCH(J882,'Boundary table'!$A$3:$A$7,1))</f>
        <v>D</v>
      </c>
      <c r="M882" s="16">
        <v>66</v>
      </c>
      <c r="N882">
        <f>RANK(M882,$M$2:$M$1001,0)+COUNTIF($M$2:M882,M882)-1</f>
        <v>588</v>
      </c>
      <c r="O882" t="str">
        <f>INDEX('Boundary table'!$B$3:$B$7,MATCH(M882,'Boundary table'!$A$3:$A$7))</f>
        <v>D</v>
      </c>
      <c r="P882">
        <f>Table1[[#This Row],[Math Score]]+Table1[[#This Row],[Reading Score]]+Table1[[#This Row],[Writing Score]]</f>
        <v>193</v>
      </c>
      <c r="Q882" s="16">
        <f>COUNTIF(Table1[[#This Row],[Math Score]],"&lt;60")+COUNTIF(Table1[[#This Row],[Reading Score]],"&lt;60")+COUNTIF(Table1[[#This Row],[Writing Score]],"&lt;60")</f>
        <v>0</v>
      </c>
      <c r="R882" t="str">
        <f>IF(Table1[[#This Row],[Fail Count]]&gt;=2,"At risk","OK")</f>
        <v>OK</v>
      </c>
    </row>
    <row r="883" spans="1:18">
      <c r="A883" t="str">
        <f t="shared" si="13"/>
        <v>Stu-882</v>
      </c>
      <c r="B883" t="s">
        <v>11</v>
      </c>
      <c r="C883" t="s">
        <v>34</v>
      </c>
      <c r="D883" t="s">
        <v>13</v>
      </c>
      <c r="E883" t="s">
        <v>14</v>
      </c>
      <c r="F883" t="s">
        <v>21</v>
      </c>
      <c r="G883" s="16">
        <v>71</v>
      </c>
      <c r="H883">
        <f>RANK(G883,$G$2:$G$1001,0)+COUNTIF($G$2:G883,G883)-1</f>
        <v>391</v>
      </c>
      <c r="I883" t="str">
        <f>INDEX('Boundary table'!$B$3:$B$7,MATCH(G883,'Boundary table'!$A$3:$A$7,1))</f>
        <v>C</v>
      </c>
      <c r="J883" s="16">
        <v>70</v>
      </c>
      <c r="K883">
        <f>RANK(J883,$J$2:$J$1001,0)+COUNTIF($J$2:J883,J883)-1</f>
        <v>509</v>
      </c>
      <c r="L883" t="str">
        <f>INDEX('Boundary table'!$B$3:$B$7,MATCH(J883,'Boundary table'!$A$3:$A$7,1))</f>
        <v>C</v>
      </c>
      <c r="M883" s="16">
        <v>70</v>
      </c>
      <c r="N883">
        <f>RANK(M883,$M$2:$M$1001,0)+COUNTIF($M$2:M883,M883)-1</f>
        <v>487</v>
      </c>
      <c r="O883" t="str">
        <f>INDEX('Boundary table'!$B$3:$B$7,MATCH(M883,'Boundary table'!$A$3:$A$7))</f>
        <v>C</v>
      </c>
      <c r="P883">
        <f>Table1[[#This Row],[Math Score]]+Table1[[#This Row],[Reading Score]]+Table1[[#This Row],[Writing Score]]</f>
        <v>211</v>
      </c>
      <c r="Q883" s="16">
        <f>COUNTIF(Table1[[#This Row],[Math Score]],"&lt;60")+COUNTIF(Table1[[#This Row],[Reading Score]],"&lt;60")+COUNTIF(Table1[[#This Row],[Writing Score]],"&lt;60")</f>
        <v>0</v>
      </c>
      <c r="R883" t="str">
        <f>IF(Table1[[#This Row],[Fail Count]]&gt;=2,"At risk","OK")</f>
        <v>OK</v>
      </c>
    </row>
    <row r="884" spans="1:18">
      <c r="A884" t="str">
        <f t="shared" si="13"/>
        <v>Stu-883</v>
      </c>
      <c r="B884" t="s">
        <v>11</v>
      </c>
      <c r="C884" t="s">
        <v>12</v>
      </c>
      <c r="D884" t="s">
        <v>32</v>
      </c>
      <c r="E884" t="s">
        <v>30</v>
      </c>
      <c r="F884" t="s">
        <v>15</v>
      </c>
      <c r="G884" s="16">
        <v>64</v>
      </c>
      <c r="H884">
        <f>RANK(G884,$G$2:$G$1001,0)+COUNTIF($G$2:G884,G884)-1</f>
        <v>571</v>
      </c>
      <c r="I884" t="str">
        <f>INDEX('Boundary table'!$B$3:$B$7,MATCH(G884,'Boundary table'!$A$3:$A$7,1))</f>
        <v>D</v>
      </c>
      <c r="J884" s="16">
        <v>73</v>
      </c>
      <c r="K884">
        <f>RANK(J884,$J$2:$J$1001,0)+COUNTIF($J$2:J884,J884)-1</f>
        <v>432</v>
      </c>
      <c r="L884" t="str">
        <f>INDEX('Boundary table'!$B$3:$B$7,MATCH(J884,'Boundary table'!$A$3:$A$7,1))</f>
        <v>C</v>
      </c>
      <c r="M884" s="16">
        <v>71</v>
      </c>
      <c r="N884">
        <f>RANK(M884,$M$2:$M$1001,0)+COUNTIF($M$2:M884,M884)-1</f>
        <v>453</v>
      </c>
      <c r="O884" t="str">
        <f>INDEX('Boundary table'!$B$3:$B$7,MATCH(M884,'Boundary table'!$A$3:$A$7))</f>
        <v>C</v>
      </c>
      <c r="P884">
        <f>Table1[[#This Row],[Math Score]]+Table1[[#This Row],[Reading Score]]+Table1[[#This Row],[Writing Score]]</f>
        <v>208</v>
      </c>
      <c r="Q884" s="16">
        <f>COUNTIF(Table1[[#This Row],[Math Score]],"&lt;60")+COUNTIF(Table1[[#This Row],[Reading Score]],"&lt;60")+COUNTIF(Table1[[#This Row],[Writing Score]],"&lt;60")</f>
        <v>0</v>
      </c>
      <c r="R884" t="str">
        <f>IF(Table1[[#This Row],[Fail Count]]&gt;=2,"At risk","OK")</f>
        <v>OK</v>
      </c>
    </row>
    <row r="885" spans="1:18">
      <c r="A885" t="str">
        <f t="shared" si="13"/>
        <v>Stu-884</v>
      </c>
      <c r="B885" t="s">
        <v>27</v>
      </c>
      <c r="C885" t="s">
        <v>31</v>
      </c>
      <c r="D885" t="s">
        <v>13</v>
      </c>
      <c r="E885" t="s">
        <v>30</v>
      </c>
      <c r="F885" t="s">
        <v>15</v>
      </c>
      <c r="G885" s="16">
        <v>55</v>
      </c>
      <c r="H885">
        <f>RANK(G885,$G$2:$G$1001,0)+COUNTIF($G$2:G885,G885)-1</f>
        <v>777</v>
      </c>
      <c r="I885" t="str">
        <f>INDEX('Boundary table'!$B$3:$B$7,MATCH(G885,'Boundary table'!$A$3:$A$7,1))</f>
        <v>F</v>
      </c>
      <c r="J885" s="16">
        <v>46</v>
      </c>
      <c r="K885">
        <f>RANK(J885,$J$2:$J$1001,0)+COUNTIF($J$2:J885,J885)-1</f>
        <v>940</v>
      </c>
      <c r="L885" t="str">
        <f>INDEX('Boundary table'!$B$3:$B$7,MATCH(J885,'Boundary table'!$A$3:$A$7,1))</f>
        <v>F</v>
      </c>
      <c r="M885" s="16">
        <v>44</v>
      </c>
      <c r="N885">
        <f>RANK(M885,$M$2:$M$1001,0)+COUNTIF($M$2:M885,M885)-1</f>
        <v>937</v>
      </c>
      <c r="O885" t="str">
        <f>INDEX('Boundary table'!$B$3:$B$7,MATCH(M885,'Boundary table'!$A$3:$A$7))</f>
        <v>F</v>
      </c>
      <c r="P885">
        <f>Table1[[#This Row],[Math Score]]+Table1[[#This Row],[Reading Score]]+Table1[[#This Row],[Writing Score]]</f>
        <v>145</v>
      </c>
      <c r="Q885" s="16">
        <f>COUNTIF(Table1[[#This Row],[Math Score]],"&lt;60")+COUNTIF(Table1[[#This Row],[Reading Score]],"&lt;60")+COUNTIF(Table1[[#This Row],[Writing Score]],"&lt;60")</f>
        <v>3</v>
      </c>
      <c r="R885" t="str">
        <f>IF(Table1[[#This Row],[Fail Count]]&gt;=2,"At risk","OK")</f>
        <v>At risk</v>
      </c>
    </row>
    <row r="886" spans="1:18">
      <c r="A886" t="str">
        <f t="shared" si="13"/>
        <v>Stu-885</v>
      </c>
      <c r="B886" t="s">
        <v>11</v>
      </c>
      <c r="C886" t="s">
        <v>34</v>
      </c>
      <c r="D886" t="s">
        <v>29</v>
      </c>
      <c r="E886" t="s">
        <v>14</v>
      </c>
      <c r="F886" t="s">
        <v>15</v>
      </c>
      <c r="G886" s="16">
        <v>51</v>
      </c>
      <c r="H886">
        <f>RANK(G886,$G$2:$G$1001,0)+COUNTIF($G$2:G886,G886)-1</f>
        <v>850</v>
      </c>
      <c r="I886" t="str">
        <f>INDEX('Boundary table'!$B$3:$B$7,MATCH(G886,'Boundary table'!$A$3:$A$7,1))</f>
        <v>F</v>
      </c>
      <c r="J886" s="16">
        <v>51</v>
      </c>
      <c r="K886">
        <f>RANK(J886,$J$2:$J$1001,0)+COUNTIF($J$2:J886,J886)-1</f>
        <v>901</v>
      </c>
      <c r="L886" t="str">
        <f>INDEX('Boundary table'!$B$3:$B$7,MATCH(J886,'Boundary table'!$A$3:$A$7,1))</f>
        <v>F</v>
      </c>
      <c r="M886" s="16">
        <v>54</v>
      </c>
      <c r="N886">
        <f>RANK(M886,$M$2:$M$1001,0)+COUNTIF($M$2:M886,M886)-1</f>
        <v>820</v>
      </c>
      <c r="O886" t="str">
        <f>INDEX('Boundary table'!$B$3:$B$7,MATCH(M886,'Boundary table'!$A$3:$A$7))</f>
        <v>F</v>
      </c>
      <c r="P886">
        <f>Table1[[#This Row],[Math Score]]+Table1[[#This Row],[Reading Score]]+Table1[[#This Row],[Writing Score]]</f>
        <v>156</v>
      </c>
      <c r="Q886" s="16">
        <f>COUNTIF(Table1[[#This Row],[Math Score]],"&lt;60")+COUNTIF(Table1[[#This Row],[Reading Score]],"&lt;60")+COUNTIF(Table1[[#This Row],[Writing Score]],"&lt;60")</f>
        <v>3</v>
      </c>
      <c r="R886" t="str">
        <f>IF(Table1[[#This Row],[Fail Count]]&gt;=2,"At risk","OK")</f>
        <v>At risk</v>
      </c>
    </row>
    <row r="887" spans="1:18">
      <c r="A887" t="str">
        <f t="shared" si="13"/>
        <v>Stu-886</v>
      </c>
      <c r="B887" t="s">
        <v>11</v>
      </c>
      <c r="C887" t="s">
        <v>19</v>
      </c>
      <c r="D887" t="s">
        <v>29</v>
      </c>
      <c r="E887" t="s">
        <v>14</v>
      </c>
      <c r="F887" t="s">
        <v>21</v>
      </c>
      <c r="G887" s="16">
        <v>62</v>
      </c>
      <c r="H887">
        <f>RANK(G887,$G$2:$G$1001,0)+COUNTIF($G$2:G887,G887)-1</f>
        <v>628</v>
      </c>
      <c r="I887" t="str">
        <f>INDEX('Boundary table'!$B$3:$B$7,MATCH(G887,'Boundary table'!$A$3:$A$7,1))</f>
        <v>D</v>
      </c>
      <c r="J887" s="16">
        <v>76</v>
      </c>
      <c r="K887">
        <f>RANK(J887,$J$2:$J$1001,0)+COUNTIF($J$2:J887,J887)-1</f>
        <v>341</v>
      </c>
      <c r="L887" t="str">
        <f>INDEX('Boundary table'!$B$3:$B$7,MATCH(J887,'Boundary table'!$A$3:$A$7,1))</f>
        <v>C</v>
      </c>
      <c r="M887" s="16">
        <v>80</v>
      </c>
      <c r="N887">
        <f>RANK(M887,$M$2:$M$1001,0)+COUNTIF($M$2:M887,M887)-1</f>
        <v>232</v>
      </c>
      <c r="O887" t="str">
        <f>INDEX('Boundary table'!$B$3:$B$7,MATCH(M887,'Boundary table'!$A$3:$A$7))</f>
        <v>B</v>
      </c>
      <c r="P887">
        <f>Table1[[#This Row],[Math Score]]+Table1[[#This Row],[Reading Score]]+Table1[[#This Row],[Writing Score]]</f>
        <v>218</v>
      </c>
      <c r="Q887" s="16">
        <f>COUNTIF(Table1[[#This Row],[Math Score]],"&lt;60")+COUNTIF(Table1[[#This Row],[Reading Score]],"&lt;60")+COUNTIF(Table1[[#This Row],[Writing Score]],"&lt;60")</f>
        <v>0</v>
      </c>
      <c r="R887" t="str">
        <f>IF(Table1[[#This Row],[Fail Count]]&gt;=2,"At risk","OK")</f>
        <v>OK</v>
      </c>
    </row>
    <row r="888" spans="1:18">
      <c r="A888" t="str">
        <f t="shared" si="13"/>
        <v>Stu-887</v>
      </c>
      <c r="B888" t="s">
        <v>11</v>
      </c>
      <c r="C888" t="s">
        <v>34</v>
      </c>
      <c r="D888" t="s">
        <v>29</v>
      </c>
      <c r="E888" t="s">
        <v>14</v>
      </c>
      <c r="F888" t="s">
        <v>21</v>
      </c>
      <c r="G888" s="16">
        <v>93</v>
      </c>
      <c r="H888">
        <f>RANK(G888,$G$2:$G$1001,0)+COUNTIF($G$2:G888,G888)-1</f>
        <v>34</v>
      </c>
      <c r="I888" t="str">
        <f>INDEX('Boundary table'!$B$3:$B$7,MATCH(G888,'Boundary table'!$A$3:$A$7,1))</f>
        <v>A</v>
      </c>
      <c r="J888" s="16">
        <v>100</v>
      </c>
      <c r="K888">
        <f>RANK(J888,$J$2:$J$1001,0)+COUNTIF($J$2:J888,J888)-1</f>
        <v>12</v>
      </c>
      <c r="L888" t="str">
        <f>INDEX('Boundary table'!$B$3:$B$7,MATCH(J888,'Boundary table'!$A$3:$A$7,1))</f>
        <v>A</v>
      </c>
      <c r="M888" s="16">
        <v>95</v>
      </c>
      <c r="N888">
        <f>RANK(M888,$M$2:$M$1001,0)+COUNTIF($M$2:M888,M888)-1</f>
        <v>33</v>
      </c>
      <c r="O888" t="str">
        <f>INDEX('Boundary table'!$B$3:$B$7,MATCH(M888,'Boundary table'!$A$3:$A$7))</f>
        <v>A</v>
      </c>
      <c r="P888">
        <f>Table1[[#This Row],[Math Score]]+Table1[[#This Row],[Reading Score]]+Table1[[#This Row],[Writing Score]]</f>
        <v>288</v>
      </c>
      <c r="Q888" s="16">
        <f>COUNTIF(Table1[[#This Row],[Math Score]],"&lt;60")+COUNTIF(Table1[[#This Row],[Reading Score]],"&lt;60")+COUNTIF(Table1[[#This Row],[Writing Score]],"&lt;60")</f>
        <v>0</v>
      </c>
      <c r="R888" t="str">
        <f>IF(Table1[[#This Row],[Fail Count]]&gt;=2,"At risk","OK")</f>
        <v>OK</v>
      </c>
    </row>
    <row r="889" spans="1:18">
      <c r="A889" t="str">
        <f t="shared" si="13"/>
        <v>Stu-888</v>
      </c>
      <c r="B889" t="s">
        <v>27</v>
      </c>
      <c r="C889" t="s">
        <v>19</v>
      </c>
      <c r="D889" t="s">
        <v>32</v>
      </c>
      <c r="E889" t="s">
        <v>30</v>
      </c>
      <c r="F889" t="s">
        <v>15</v>
      </c>
      <c r="G889" s="16">
        <v>54</v>
      </c>
      <c r="H889">
        <f>RANK(G889,$G$2:$G$1001,0)+COUNTIF($G$2:G889,G889)-1</f>
        <v>794</v>
      </c>
      <c r="I889" t="str">
        <f>INDEX('Boundary table'!$B$3:$B$7,MATCH(G889,'Boundary table'!$A$3:$A$7,1))</f>
        <v>F</v>
      </c>
      <c r="J889" s="16">
        <v>72</v>
      </c>
      <c r="K889">
        <f>RANK(J889,$J$2:$J$1001,0)+COUNTIF($J$2:J889,J889)-1</f>
        <v>465</v>
      </c>
      <c r="L889" t="str">
        <f>INDEX('Boundary table'!$B$3:$B$7,MATCH(J889,'Boundary table'!$A$3:$A$7,1))</f>
        <v>C</v>
      </c>
      <c r="M889" s="16">
        <v>59</v>
      </c>
      <c r="N889">
        <f>RANK(M889,$M$2:$M$1001,0)+COUNTIF($M$2:M889,M889)-1</f>
        <v>731</v>
      </c>
      <c r="O889" t="str">
        <f>INDEX('Boundary table'!$B$3:$B$7,MATCH(M889,'Boundary table'!$A$3:$A$7))</f>
        <v>F</v>
      </c>
      <c r="P889">
        <f>Table1[[#This Row],[Math Score]]+Table1[[#This Row],[Reading Score]]+Table1[[#This Row],[Writing Score]]</f>
        <v>185</v>
      </c>
      <c r="Q889" s="16">
        <f>COUNTIF(Table1[[#This Row],[Math Score]],"&lt;60")+COUNTIF(Table1[[#This Row],[Reading Score]],"&lt;60")+COUNTIF(Table1[[#This Row],[Writing Score]],"&lt;60")</f>
        <v>2</v>
      </c>
      <c r="R889" t="str">
        <f>IF(Table1[[#This Row],[Fail Count]]&gt;=2,"At risk","OK")</f>
        <v>At risk</v>
      </c>
    </row>
    <row r="890" spans="1:18">
      <c r="A890" t="str">
        <f t="shared" si="13"/>
        <v>Stu-889</v>
      </c>
      <c r="B890" t="s">
        <v>11</v>
      </c>
      <c r="C890" t="s">
        <v>31</v>
      </c>
      <c r="D890" t="s">
        <v>20</v>
      </c>
      <c r="E890" t="s">
        <v>30</v>
      </c>
      <c r="F890" t="s">
        <v>15</v>
      </c>
      <c r="G890" s="16">
        <v>69</v>
      </c>
      <c r="H890">
        <f>RANK(G890,$G$2:$G$1001,0)+COUNTIF($G$2:G890,G890)-1</f>
        <v>439</v>
      </c>
      <c r="I890" t="str">
        <f>INDEX('Boundary table'!$B$3:$B$7,MATCH(G890,'Boundary table'!$A$3:$A$7,1))</f>
        <v>D</v>
      </c>
      <c r="J890" s="16">
        <v>65</v>
      </c>
      <c r="K890">
        <f>RANK(J890,$J$2:$J$1001,0)+COUNTIF($J$2:J890,J890)-1</f>
        <v>624</v>
      </c>
      <c r="L890" t="str">
        <f>INDEX('Boundary table'!$B$3:$B$7,MATCH(J890,'Boundary table'!$A$3:$A$7,1))</f>
        <v>D</v>
      </c>
      <c r="M890" s="16">
        <v>74</v>
      </c>
      <c r="N890">
        <f>RANK(M890,$M$2:$M$1001,0)+COUNTIF($M$2:M890,M890)-1</f>
        <v>382</v>
      </c>
      <c r="O890" t="str">
        <f>INDEX('Boundary table'!$B$3:$B$7,MATCH(M890,'Boundary table'!$A$3:$A$7))</f>
        <v>C</v>
      </c>
      <c r="P890">
        <f>Table1[[#This Row],[Math Score]]+Table1[[#This Row],[Reading Score]]+Table1[[#This Row],[Writing Score]]</f>
        <v>208</v>
      </c>
      <c r="Q890" s="16">
        <f>COUNTIF(Table1[[#This Row],[Math Score]],"&lt;60")+COUNTIF(Table1[[#This Row],[Reading Score]],"&lt;60")+COUNTIF(Table1[[#This Row],[Writing Score]],"&lt;60")</f>
        <v>0</v>
      </c>
      <c r="R890" t="str">
        <f>IF(Table1[[#This Row],[Fail Count]]&gt;=2,"At risk","OK")</f>
        <v>OK</v>
      </c>
    </row>
    <row r="891" spans="1:18">
      <c r="A891" t="str">
        <f t="shared" si="13"/>
        <v>Stu-890</v>
      </c>
      <c r="B891" t="s">
        <v>27</v>
      </c>
      <c r="C891" t="s">
        <v>31</v>
      </c>
      <c r="D891" t="s">
        <v>32</v>
      </c>
      <c r="E891" t="s">
        <v>30</v>
      </c>
      <c r="F891" t="s">
        <v>15</v>
      </c>
      <c r="G891" s="16">
        <v>44</v>
      </c>
      <c r="H891">
        <f>RANK(G891,$G$2:$G$1001,0)+COUNTIF($G$2:G891,G891)-1</f>
        <v>931</v>
      </c>
      <c r="I891" t="str">
        <f>INDEX('Boundary table'!$B$3:$B$7,MATCH(G891,'Boundary table'!$A$3:$A$7,1))</f>
        <v>F</v>
      </c>
      <c r="J891" s="16">
        <v>51</v>
      </c>
      <c r="K891">
        <f>RANK(J891,$J$2:$J$1001,0)+COUNTIF($J$2:J891,J891)-1</f>
        <v>902</v>
      </c>
      <c r="L891" t="str">
        <f>INDEX('Boundary table'!$B$3:$B$7,MATCH(J891,'Boundary table'!$A$3:$A$7,1))</f>
        <v>F</v>
      </c>
      <c r="M891" s="16">
        <v>48</v>
      </c>
      <c r="N891">
        <f>RANK(M891,$M$2:$M$1001,0)+COUNTIF($M$2:M891,M891)-1</f>
        <v>901</v>
      </c>
      <c r="O891" t="str">
        <f>INDEX('Boundary table'!$B$3:$B$7,MATCH(M891,'Boundary table'!$A$3:$A$7))</f>
        <v>F</v>
      </c>
      <c r="P891">
        <f>Table1[[#This Row],[Math Score]]+Table1[[#This Row],[Reading Score]]+Table1[[#This Row],[Writing Score]]</f>
        <v>143</v>
      </c>
      <c r="Q891" s="16">
        <f>COUNTIF(Table1[[#This Row],[Math Score]],"&lt;60")+COUNTIF(Table1[[#This Row],[Reading Score]],"&lt;60")+COUNTIF(Table1[[#This Row],[Writing Score]],"&lt;60")</f>
        <v>3</v>
      </c>
      <c r="R891" t="str">
        <f>IF(Table1[[#This Row],[Fail Count]]&gt;=2,"At risk","OK")</f>
        <v>At risk</v>
      </c>
    </row>
    <row r="892" spans="1:18">
      <c r="A892" t="str">
        <f t="shared" si="13"/>
        <v>Stu-891</v>
      </c>
      <c r="B892" t="s">
        <v>11</v>
      </c>
      <c r="C892" t="s">
        <v>34</v>
      </c>
      <c r="D892" t="s">
        <v>20</v>
      </c>
      <c r="E892" t="s">
        <v>14</v>
      </c>
      <c r="F892" t="s">
        <v>21</v>
      </c>
      <c r="G892" s="16">
        <v>86</v>
      </c>
      <c r="H892">
        <f>RANK(G892,$G$2:$G$1001,0)+COUNTIF($G$2:G892,G892)-1</f>
        <v>102</v>
      </c>
      <c r="I892" t="str">
        <f>INDEX('Boundary table'!$B$3:$B$7,MATCH(G892,'Boundary table'!$A$3:$A$7,1))</f>
        <v>B</v>
      </c>
      <c r="J892" s="16">
        <v>85</v>
      </c>
      <c r="K892">
        <f>RANK(J892,$J$2:$J$1001,0)+COUNTIF($J$2:J892,J892)-1</f>
        <v>149</v>
      </c>
      <c r="L892" t="str">
        <f>INDEX('Boundary table'!$B$3:$B$7,MATCH(J892,'Boundary table'!$A$3:$A$7,1))</f>
        <v>B</v>
      </c>
      <c r="M892" s="16">
        <v>91</v>
      </c>
      <c r="N892">
        <f>RANK(M892,$M$2:$M$1001,0)+COUNTIF($M$2:M892,M892)-1</f>
        <v>65</v>
      </c>
      <c r="O892" t="str">
        <f>INDEX('Boundary table'!$B$3:$B$7,MATCH(M892,'Boundary table'!$A$3:$A$7))</f>
        <v>A</v>
      </c>
      <c r="P892">
        <f>Table1[[#This Row],[Math Score]]+Table1[[#This Row],[Reading Score]]+Table1[[#This Row],[Writing Score]]</f>
        <v>262</v>
      </c>
      <c r="Q892" s="16">
        <f>COUNTIF(Table1[[#This Row],[Math Score]],"&lt;60")+COUNTIF(Table1[[#This Row],[Reading Score]],"&lt;60")+COUNTIF(Table1[[#This Row],[Writing Score]],"&lt;60")</f>
        <v>0</v>
      </c>
      <c r="R892" t="str">
        <f>IF(Table1[[#This Row],[Fail Count]]&gt;=2,"At risk","OK")</f>
        <v>OK</v>
      </c>
    </row>
    <row r="893" spans="1:18">
      <c r="A893" t="str">
        <f t="shared" si="13"/>
        <v>Stu-892</v>
      </c>
      <c r="B893" t="s">
        <v>11</v>
      </c>
      <c r="C893" t="s">
        <v>34</v>
      </c>
      <c r="D893" t="s">
        <v>29</v>
      </c>
      <c r="E893" t="s">
        <v>14</v>
      </c>
      <c r="F893" t="s">
        <v>15</v>
      </c>
      <c r="G893" s="16">
        <v>85</v>
      </c>
      <c r="H893">
        <f>RANK(G893,$G$2:$G$1001,0)+COUNTIF($G$2:G893,G893)-1</f>
        <v>115</v>
      </c>
      <c r="I893" t="str">
        <f>INDEX('Boundary table'!$B$3:$B$7,MATCH(G893,'Boundary table'!$A$3:$A$7,1))</f>
        <v>B</v>
      </c>
      <c r="J893" s="16">
        <v>92</v>
      </c>
      <c r="K893">
        <f>RANK(J893,$J$2:$J$1001,0)+COUNTIF($J$2:J893,J893)-1</f>
        <v>56</v>
      </c>
      <c r="L893" t="str">
        <f>INDEX('Boundary table'!$B$3:$B$7,MATCH(J893,'Boundary table'!$A$3:$A$7,1))</f>
        <v>A</v>
      </c>
      <c r="M893" s="16">
        <v>85</v>
      </c>
      <c r="N893">
        <f>RANK(M893,$M$2:$M$1001,0)+COUNTIF($M$2:M893,M893)-1</f>
        <v>134</v>
      </c>
      <c r="O893" t="str">
        <f>INDEX('Boundary table'!$B$3:$B$7,MATCH(M893,'Boundary table'!$A$3:$A$7))</f>
        <v>B</v>
      </c>
      <c r="P893">
        <f>Table1[[#This Row],[Math Score]]+Table1[[#This Row],[Reading Score]]+Table1[[#This Row],[Writing Score]]</f>
        <v>262</v>
      </c>
      <c r="Q893" s="16">
        <f>COUNTIF(Table1[[#This Row],[Math Score]],"&lt;60")+COUNTIF(Table1[[#This Row],[Reading Score]],"&lt;60")+COUNTIF(Table1[[#This Row],[Writing Score]],"&lt;60")</f>
        <v>0</v>
      </c>
      <c r="R893" t="str">
        <f>IF(Table1[[#This Row],[Fail Count]]&gt;=2,"At risk","OK")</f>
        <v>OK</v>
      </c>
    </row>
    <row r="894" spans="1:18">
      <c r="A894" t="str">
        <f t="shared" si="13"/>
        <v>Stu-893</v>
      </c>
      <c r="B894" t="s">
        <v>11</v>
      </c>
      <c r="C894" t="s">
        <v>28</v>
      </c>
      <c r="D894" t="s">
        <v>26</v>
      </c>
      <c r="E894" t="s">
        <v>30</v>
      </c>
      <c r="F894" t="s">
        <v>15</v>
      </c>
      <c r="G894" s="16">
        <v>50</v>
      </c>
      <c r="H894">
        <f>RANK(G894,$G$2:$G$1001,0)+COUNTIF($G$2:G894,G894)-1</f>
        <v>864</v>
      </c>
      <c r="I894" t="str">
        <f>INDEX('Boundary table'!$B$3:$B$7,MATCH(G894,'Boundary table'!$A$3:$A$7,1))</f>
        <v>F</v>
      </c>
      <c r="J894" s="16">
        <v>67</v>
      </c>
      <c r="K894">
        <f>RANK(J894,$J$2:$J$1001,0)+COUNTIF($J$2:J894,J894)-1</f>
        <v>581</v>
      </c>
      <c r="L894" t="str">
        <f>INDEX('Boundary table'!$B$3:$B$7,MATCH(J894,'Boundary table'!$A$3:$A$7,1))</f>
        <v>D</v>
      </c>
      <c r="M894" s="16">
        <v>73</v>
      </c>
      <c r="N894">
        <f>RANK(M894,$M$2:$M$1001,0)+COUNTIF($M$2:M894,M894)-1</f>
        <v>411</v>
      </c>
      <c r="O894" t="str">
        <f>INDEX('Boundary table'!$B$3:$B$7,MATCH(M894,'Boundary table'!$A$3:$A$7))</f>
        <v>C</v>
      </c>
      <c r="P894">
        <f>Table1[[#This Row],[Math Score]]+Table1[[#This Row],[Reading Score]]+Table1[[#This Row],[Writing Score]]</f>
        <v>190</v>
      </c>
      <c r="Q894" s="16">
        <f>COUNTIF(Table1[[#This Row],[Math Score]],"&lt;60")+COUNTIF(Table1[[#This Row],[Reading Score]],"&lt;60")+COUNTIF(Table1[[#This Row],[Writing Score]],"&lt;60")</f>
        <v>1</v>
      </c>
      <c r="R894" t="str">
        <f>IF(Table1[[#This Row],[Fail Count]]&gt;=2,"At risk","OK")</f>
        <v>OK</v>
      </c>
    </row>
    <row r="895" spans="1:18">
      <c r="A895" t="str">
        <f t="shared" si="13"/>
        <v>Stu-894</v>
      </c>
      <c r="B895" t="s">
        <v>27</v>
      </c>
      <c r="C895" t="s">
        <v>31</v>
      </c>
      <c r="D895" t="s">
        <v>33</v>
      </c>
      <c r="E895" t="s">
        <v>14</v>
      </c>
      <c r="F895" t="s">
        <v>21</v>
      </c>
      <c r="G895" s="16">
        <v>88</v>
      </c>
      <c r="H895">
        <f>RANK(G895,$G$2:$G$1001,0)+COUNTIF($G$2:G895,G895)-1</f>
        <v>77</v>
      </c>
      <c r="I895" t="str">
        <f>INDEX('Boundary table'!$B$3:$B$7,MATCH(G895,'Boundary table'!$A$3:$A$7,1))</f>
        <v>B</v>
      </c>
      <c r="J895" s="16">
        <v>74</v>
      </c>
      <c r="K895">
        <f>RANK(J895,$J$2:$J$1001,0)+COUNTIF($J$2:J895,J895)-1</f>
        <v>401</v>
      </c>
      <c r="L895" t="str">
        <f>INDEX('Boundary table'!$B$3:$B$7,MATCH(J895,'Boundary table'!$A$3:$A$7,1))</f>
        <v>C</v>
      </c>
      <c r="M895" s="16">
        <v>75</v>
      </c>
      <c r="N895">
        <f>RANK(M895,$M$2:$M$1001,0)+COUNTIF($M$2:M895,M895)-1</f>
        <v>348</v>
      </c>
      <c r="O895" t="str">
        <f>INDEX('Boundary table'!$B$3:$B$7,MATCH(M895,'Boundary table'!$A$3:$A$7))</f>
        <v>C</v>
      </c>
      <c r="P895">
        <f>Table1[[#This Row],[Math Score]]+Table1[[#This Row],[Reading Score]]+Table1[[#This Row],[Writing Score]]</f>
        <v>237</v>
      </c>
      <c r="Q895" s="16">
        <f>COUNTIF(Table1[[#This Row],[Math Score]],"&lt;60")+COUNTIF(Table1[[#This Row],[Reading Score]],"&lt;60")+COUNTIF(Table1[[#This Row],[Writing Score]],"&lt;60")</f>
        <v>0</v>
      </c>
      <c r="R895" t="str">
        <f>IF(Table1[[#This Row],[Fail Count]]&gt;=2,"At risk","OK")</f>
        <v>OK</v>
      </c>
    </row>
    <row r="896" spans="1:18">
      <c r="A896" t="str">
        <f t="shared" si="13"/>
        <v>Stu-895</v>
      </c>
      <c r="B896" t="s">
        <v>11</v>
      </c>
      <c r="C896" t="s">
        <v>34</v>
      </c>
      <c r="D896" t="s">
        <v>29</v>
      </c>
      <c r="E896" t="s">
        <v>14</v>
      </c>
      <c r="F896" t="s">
        <v>15</v>
      </c>
      <c r="G896" s="16">
        <v>59</v>
      </c>
      <c r="H896">
        <f>RANK(G896,$G$2:$G$1001,0)+COUNTIF($G$2:G896,G896)-1</f>
        <v>708</v>
      </c>
      <c r="I896" t="str">
        <f>INDEX('Boundary table'!$B$3:$B$7,MATCH(G896,'Boundary table'!$A$3:$A$7,1))</f>
        <v>F</v>
      </c>
      <c r="J896" s="16">
        <v>62</v>
      </c>
      <c r="K896">
        <f>RANK(J896,$J$2:$J$1001,0)+COUNTIF($J$2:J896,J896)-1</f>
        <v>698</v>
      </c>
      <c r="L896" t="str">
        <f>INDEX('Boundary table'!$B$3:$B$7,MATCH(J896,'Boundary table'!$A$3:$A$7,1))</f>
        <v>D</v>
      </c>
      <c r="M896" s="16">
        <v>69</v>
      </c>
      <c r="N896">
        <f>RANK(M896,$M$2:$M$1001,0)+COUNTIF($M$2:M896,M896)-1</f>
        <v>508</v>
      </c>
      <c r="O896" t="str">
        <f>INDEX('Boundary table'!$B$3:$B$7,MATCH(M896,'Boundary table'!$A$3:$A$7))</f>
        <v>D</v>
      </c>
      <c r="P896">
        <f>Table1[[#This Row],[Math Score]]+Table1[[#This Row],[Reading Score]]+Table1[[#This Row],[Writing Score]]</f>
        <v>190</v>
      </c>
      <c r="Q896" s="16">
        <f>COUNTIF(Table1[[#This Row],[Math Score]],"&lt;60")+COUNTIF(Table1[[#This Row],[Reading Score]],"&lt;60")+COUNTIF(Table1[[#This Row],[Writing Score]],"&lt;60")</f>
        <v>1</v>
      </c>
      <c r="R896" t="str">
        <f>IF(Table1[[#This Row],[Fail Count]]&gt;=2,"At risk","OK")</f>
        <v>OK</v>
      </c>
    </row>
    <row r="897" spans="1:18">
      <c r="A897" t="str">
        <f t="shared" si="13"/>
        <v>Stu-896</v>
      </c>
      <c r="B897" t="s">
        <v>11</v>
      </c>
      <c r="C897" t="s">
        <v>34</v>
      </c>
      <c r="D897" t="s">
        <v>33</v>
      </c>
      <c r="E897" t="s">
        <v>30</v>
      </c>
      <c r="F897" t="s">
        <v>15</v>
      </c>
      <c r="G897" s="16">
        <v>32</v>
      </c>
      <c r="H897">
        <f>RANK(G897,$G$2:$G$1001,0)+COUNTIF($G$2:G897,G897)-1</f>
        <v>984</v>
      </c>
      <c r="I897" t="str">
        <f>INDEX('Boundary table'!$B$3:$B$7,MATCH(G897,'Boundary table'!$A$3:$A$7,1))</f>
        <v>F</v>
      </c>
      <c r="J897" s="16">
        <v>34</v>
      </c>
      <c r="K897">
        <f>RANK(J897,$J$2:$J$1001,0)+COUNTIF($J$2:J897,J897)-1</f>
        <v>989</v>
      </c>
      <c r="L897" t="str">
        <f>INDEX('Boundary table'!$B$3:$B$7,MATCH(J897,'Boundary table'!$A$3:$A$7,1))</f>
        <v>F</v>
      </c>
      <c r="M897" s="16">
        <v>38</v>
      </c>
      <c r="N897">
        <f>RANK(M897,$M$2:$M$1001,0)+COUNTIF($M$2:M897,M897)-1</f>
        <v>976</v>
      </c>
      <c r="O897" t="str">
        <f>INDEX('Boundary table'!$B$3:$B$7,MATCH(M897,'Boundary table'!$A$3:$A$7))</f>
        <v>F</v>
      </c>
      <c r="P897">
        <f>Table1[[#This Row],[Math Score]]+Table1[[#This Row],[Reading Score]]+Table1[[#This Row],[Writing Score]]</f>
        <v>104</v>
      </c>
      <c r="Q897" s="16">
        <f>COUNTIF(Table1[[#This Row],[Math Score]],"&lt;60")+COUNTIF(Table1[[#This Row],[Reading Score]],"&lt;60")+COUNTIF(Table1[[#This Row],[Writing Score]],"&lt;60")</f>
        <v>3</v>
      </c>
      <c r="R897" t="str">
        <f>IF(Table1[[#This Row],[Fail Count]]&gt;=2,"At risk","OK")</f>
        <v>At risk</v>
      </c>
    </row>
    <row r="898" spans="1:18">
      <c r="A898" t="str">
        <f t="shared" ref="A898:A961" si="14">"Stu-"&amp;TEXT(ROW()-1,"000")</f>
        <v>Stu-897</v>
      </c>
      <c r="B898" t="s">
        <v>27</v>
      </c>
      <c r="C898" t="s">
        <v>12</v>
      </c>
      <c r="D898" t="s">
        <v>32</v>
      </c>
      <c r="E898" t="s">
        <v>30</v>
      </c>
      <c r="F898" t="s">
        <v>15</v>
      </c>
      <c r="G898" s="16">
        <v>36</v>
      </c>
      <c r="H898">
        <f>RANK(G898,$G$2:$G$1001,0)+COUNTIF($G$2:G898,G898)-1</f>
        <v>973</v>
      </c>
      <c r="I898" t="str">
        <f>INDEX('Boundary table'!$B$3:$B$7,MATCH(G898,'Boundary table'!$A$3:$A$7,1))</f>
        <v>F</v>
      </c>
      <c r="J898" s="16">
        <v>29</v>
      </c>
      <c r="K898">
        <f>RANK(J898,$J$2:$J$1001,0)+COUNTIF($J$2:J898,J898)-1</f>
        <v>994</v>
      </c>
      <c r="L898" t="str">
        <f>INDEX('Boundary table'!$B$3:$B$7,MATCH(J898,'Boundary table'!$A$3:$A$7,1))</f>
        <v>F</v>
      </c>
      <c r="M898" s="16">
        <v>27</v>
      </c>
      <c r="N898">
        <f>RANK(M898,$M$2:$M$1001,0)+COUNTIF($M$2:M898,M898)-1</f>
        <v>995</v>
      </c>
      <c r="O898" t="str">
        <f>INDEX('Boundary table'!$B$3:$B$7,MATCH(M898,'Boundary table'!$A$3:$A$7))</f>
        <v>F</v>
      </c>
      <c r="P898">
        <f>Table1[[#This Row],[Math Score]]+Table1[[#This Row],[Reading Score]]+Table1[[#This Row],[Writing Score]]</f>
        <v>92</v>
      </c>
      <c r="Q898" s="16">
        <f>COUNTIF(Table1[[#This Row],[Math Score]],"&lt;60")+COUNTIF(Table1[[#This Row],[Reading Score]],"&lt;60")+COUNTIF(Table1[[#This Row],[Writing Score]],"&lt;60")</f>
        <v>3</v>
      </c>
      <c r="R898" t="str">
        <f>IF(Table1[[#This Row],[Fail Count]]&gt;=2,"At risk","OK")</f>
        <v>At risk</v>
      </c>
    </row>
    <row r="899" spans="1:18">
      <c r="A899" t="str">
        <f t="shared" si="14"/>
        <v>Stu-898</v>
      </c>
      <c r="B899" t="s">
        <v>11</v>
      </c>
      <c r="C899" t="s">
        <v>12</v>
      </c>
      <c r="D899" t="s">
        <v>33</v>
      </c>
      <c r="E899" t="s">
        <v>30</v>
      </c>
      <c r="F899" t="s">
        <v>21</v>
      </c>
      <c r="G899" s="16">
        <v>63</v>
      </c>
      <c r="H899">
        <f>RANK(G899,$G$2:$G$1001,0)+COUNTIF($G$2:G899,G899)-1</f>
        <v>597</v>
      </c>
      <c r="I899" t="str">
        <f>INDEX('Boundary table'!$B$3:$B$7,MATCH(G899,'Boundary table'!$A$3:$A$7,1))</f>
        <v>D</v>
      </c>
      <c r="J899" s="16">
        <v>78</v>
      </c>
      <c r="K899">
        <f>RANK(J899,$J$2:$J$1001,0)+COUNTIF($J$2:J899,J899)-1</f>
        <v>291</v>
      </c>
      <c r="L899" t="str">
        <f>INDEX('Boundary table'!$B$3:$B$7,MATCH(J899,'Boundary table'!$A$3:$A$7,1))</f>
        <v>C</v>
      </c>
      <c r="M899" s="16">
        <v>79</v>
      </c>
      <c r="N899">
        <f>RANK(M899,$M$2:$M$1001,0)+COUNTIF($M$2:M899,M899)-1</f>
        <v>254</v>
      </c>
      <c r="O899" t="str">
        <f>INDEX('Boundary table'!$B$3:$B$7,MATCH(M899,'Boundary table'!$A$3:$A$7))</f>
        <v>C</v>
      </c>
      <c r="P899">
        <f>Table1[[#This Row],[Math Score]]+Table1[[#This Row],[Reading Score]]+Table1[[#This Row],[Writing Score]]</f>
        <v>220</v>
      </c>
      <c r="Q899" s="16">
        <f>COUNTIF(Table1[[#This Row],[Math Score]],"&lt;60")+COUNTIF(Table1[[#This Row],[Reading Score]],"&lt;60")+COUNTIF(Table1[[#This Row],[Writing Score]],"&lt;60")</f>
        <v>0</v>
      </c>
      <c r="R899" t="str">
        <f>IF(Table1[[#This Row],[Fail Count]]&gt;=2,"At risk","OK")</f>
        <v>OK</v>
      </c>
    </row>
    <row r="900" spans="1:18">
      <c r="A900" t="str">
        <f t="shared" si="14"/>
        <v>Stu-899</v>
      </c>
      <c r="B900" t="s">
        <v>27</v>
      </c>
      <c r="C900" t="s">
        <v>31</v>
      </c>
      <c r="D900" t="s">
        <v>29</v>
      </c>
      <c r="E900" t="s">
        <v>14</v>
      </c>
      <c r="F900" t="s">
        <v>21</v>
      </c>
      <c r="G900" s="16">
        <v>67</v>
      </c>
      <c r="H900">
        <f>RANK(G900,$G$2:$G$1001,0)+COUNTIF($G$2:G900,G900)-1</f>
        <v>488</v>
      </c>
      <c r="I900" t="str">
        <f>INDEX('Boundary table'!$B$3:$B$7,MATCH(G900,'Boundary table'!$A$3:$A$7,1))</f>
        <v>D</v>
      </c>
      <c r="J900" s="16">
        <v>54</v>
      </c>
      <c r="K900">
        <f>RANK(J900,$J$2:$J$1001,0)+COUNTIF($J$2:J900,J900)-1</f>
        <v>857</v>
      </c>
      <c r="L900" t="str">
        <f>INDEX('Boundary table'!$B$3:$B$7,MATCH(J900,'Boundary table'!$A$3:$A$7,1))</f>
        <v>F</v>
      </c>
      <c r="M900" s="16">
        <v>63</v>
      </c>
      <c r="N900">
        <f>RANK(M900,$M$2:$M$1001,0)+COUNTIF($M$2:M900,M900)-1</f>
        <v>651</v>
      </c>
      <c r="O900" t="str">
        <f>INDEX('Boundary table'!$B$3:$B$7,MATCH(M900,'Boundary table'!$A$3:$A$7))</f>
        <v>D</v>
      </c>
      <c r="P900">
        <f>Table1[[#This Row],[Math Score]]+Table1[[#This Row],[Reading Score]]+Table1[[#This Row],[Writing Score]]</f>
        <v>184</v>
      </c>
      <c r="Q900" s="16">
        <f>COUNTIF(Table1[[#This Row],[Math Score]],"&lt;60")+COUNTIF(Table1[[#This Row],[Reading Score]],"&lt;60")+COUNTIF(Table1[[#This Row],[Writing Score]],"&lt;60")</f>
        <v>1</v>
      </c>
      <c r="R900" t="str">
        <f>IF(Table1[[#This Row],[Fail Count]]&gt;=2,"At risk","OK")</f>
        <v>OK</v>
      </c>
    </row>
    <row r="901" spans="1:18">
      <c r="A901" t="str">
        <f t="shared" si="14"/>
        <v>Stu-900</v>
      </c>
      <c r="B901" t="s">
        <v>11</v>
      </c>
      <c r="C901" t="s">
        <v>31</v>
      </c>
      <c r="D901" t="s">
        <v>33</v>
      </c>
      <c r="E901" t="s">
        <v>14</v>
      </c>
      <c r="F901" t="s">
        <v>21</v>
      </c>
      <c r="G901" s="16">
        <v>65</v>
      </c>
      <c r="H901">
        <f>RANK(G901,$G$2:$G$1001,0)+COUNTIF($G$2:G901,G901)-1</f>
        <v>550</v>
      </c>
      <c r="I901" t="str">
        <f>INDEX('Boundary table'!$B$3:$B$7,MATCH(G901,'Boundary table'!$A$3:$A$7,1))</f>
        <v>D</v>
      </c>
      <c r="J901" s="16">
        <v>78</v>
      </c>
      <c r="K901">
        <f>RANK(J901,$J$2:$J$1001,0)+COUNTIF($J$2:J901,J901)-1</f>
        <v>292</v>
      </c>
      <c r="L901" t="str">
        <f>INDEX('Boundary table'!$B$3:$B$7,MATCH(J901,'Boundary table'!$A$3:$A$7,1))</f>
        <v>C</v>
      </c>
      <c r="M901" s="16">
        <v>82</v>
      </c>
      <c r="N901">
        <f>RANK(M901,$M$2:$M$1001,0)+COUNTIF($M$2:M901,M901)-1</f>
        <v>186</v>
      </c>
      <c r="O901" t="str">
        <f>INDEX('Boundary table'!$B$3:$B$7,MATCH(M901,'Boundary table'!$A$3:$A$7))</f>
        <v>B</v>
      </c>
      <c r="P901">
        <f>Table1[[#This Row],[Math Score]]+Table1[[#This Row],[Reading Score]]+Table1[[#This Row],[Writing Score]]</f>
        <v>225</v>
      </c>
      <c r="Q901" s="16">
        <f>COUNTIF(Table1[[#This Row],[Math Score]],"&lt;60")+COUNTIF(Table1[[#This Row],[Reading Score]],"&lt;60")+COUNTIF(Table1[[#This Row],[Writing Score]],"&lt;60")</f>
        <v>0</v>
      </c>
      <c r="R901" t="str">
        <f>IF(Table1[[#This Row],[Fail Count]]&gt;=2,"At risk","OK")</f>
        <v>OK</v>
      </c>
    </row>
    <row r="902" spans="1:18">
      <c r="A902" t="str">
        <f t="shared" si="14"/>
        <v>Stu-901</v>
      </c>
      <c r="B902" t="s">
        <v>27</v>
      </c>
      <c r="C902" t="s">
        <v>31</v>
      </c>
      <c r="D902" t="s">
        <v>26</v>
      </c>
      <c r="E902" t="s">
        <v>14</v>
      </c>
      <c r="F902" t="s">
        <v>15</v>
      </c>
      <c r="G902" s="16">
        <v>85</v>
      </c>
      <c r="H902">
        <f>RANK(G902,$G$2:$G$1001,0)+COUNTIF($G$2:G902,G902)-1</f>
        <v>116</v>
      </c>
      <c r="I902" t="str">
        <f>INDEX('Boundary table'!$B$3:$B$7,MATCH(G902,'Boundary table'!$A$3:$A$7,1))</f>
        <v>B</v>
      </c>
      <c r="J902" s="16">
        <v>84</v>
      </c>
      <c r="K902">
        <f>RANK(J902,$J$2:$J$1001,0)+COUNTIF($J$2:J902,J902)-1</f>
        <v>172</v>
      </c>
      <c r="L902" t="str">
        <f>INDEX('Boundary table'!$B$3:$B$7,MATCH(J902,'Boundary table'!$A$3:$A$7,1))</f>
        <v>B</v>
      </c>
      <c r="M902" s="16">
        <v>89</v>
      </c>
      <c r="N902">
        <f>RANK(M902,$M$2:$M$1001,0)+COUNTIF($M$2:M902,M902)-1</f>
        <v>87</v>
      </c>
      <c r="O902" t="str">
        <f>INDEX('Boundary table'!$B$3:$B$7,MATCH(M902,'Boundary table'!$A$3:$A$7))</f>
        <v>B</v>
      </c>
      <c r="P902">
        <f>Table1[[#This Row],[Math Score]]+Table1[[#This Row],[Reading Score]]+Table1[[#This Row],[Writing Score]]</f>
        <v>258</v>
      </c>
      <c r="Q902" s="16">
        <f>COUNTIF(Table1[[#This Row],[Math Score]],"&lt;60")+COUNTIF(Table1[[#This Row],[Reading Score]],"&lt;60")+COUNTIF(Table1[[#This Row],[Writing Score]],"&lt;60")</f>
        <v>0</v>
      </c>
      <c r="R902" t="str">
        <f>IF(Table1[[#This Row],[Fail Count]]&gt;=2,"At risk","OK")</f>
        <v>OK</v>
      </c>
    </row>
    <row r="903" spans="1:18">
      <c r="A903" t="str">
        <f t="shared" si="14"/>
        <v>Stu-902</v>
      </c>
      <c r="B903" t="s">
        <v>11</v>
      </c>
      <c r="C903" t="s">
        <v>19</v>
      </c>
      <c r="D903" t="s">
        <v>26</v>
      </c>
      <c r="E903" t="s">
        <v>14</v>
      </c>
      <c r="F903" t="s">
        <v>15</v>
      </c>
      <c r="G903" s="16">
        <v>73</v>
      </c>
      <c r="H903">
        <f>RANK(G903,$G$2:$G$1001,0)+COUNTIF($G$2:G903,G903)-1</f>
        <v>347</v>
      </c>
      <c r="I903" t="str">
        <f>INDEX('Boundary table'!$B$3:$B$7,MATCH(G903,'Boundary table'!$A$3:$A$7,1))</f>
        <v>C</v>
      </c>
      <c r="J903" s="16">
        <v>78</v>
      </c>
      <c r="K903">
        <f>RANK(J903,$J$2:$J$1001,0)+COUNTIF($J$2:J903,J903)-1</f>
        <v>293</v>
      </c>
      <c r="L903" t="str">
        <f>INDEX('Boundary table'!$B$3:$B$7,MATCH(J903,'Boundary table'!$A$3:$A$7,1))</f>
        <v>C</v>
      </c>
      <c r="M903" s="16">
        <v>74</v>
      </c>
      <c r="N903">
        <f>RANK(M903,$M$2:$M$1001,0)+COUNTIF($M$2:M903,M903)-1</f>
        <v>383</v>
      </c>
      <c r="O903" t="str">
        <f>INDEX('Boundary table'!$B$3:$B$7,MATCH(M903,'Boundary table'!$A$3:$A$7))</f>
        <v>C</v>
      </c>
      <c r="P903">
        <f>Table1[[#This Row],[Math Score]]+Table1[[#This Row],[Reading Score]]+Table1[[#This Row],[Writing Score]]</f>
        <v>225</v>
      </c>
      <c r="Q903" s="16">
        <f>COUNTIF(Table1[[#This Row],[Math Score]],"&lt;60")+COUNTIF(Table1[[#This Row],[Reading Score]],"&lt;60")+COUNTIF(Table1[[#This Row],[Writing Score]],"&lt;60")</f>
        <v>0</v>
      </c>
      <c r="R903" t="str">
        <f>IF(Table1[[#This Row],[Fail Count]]&gt;=2,"At risk","OK")</f>
        <v>OK</v>
      </c>
    </row>
    <row r="904" spans="1:18">
      <c r="A904" t="str">
        <f t="shared" si="14"/>
        <v>Stu-903</v>
      </c>
      <c r="B904" t="s">
        <v>11</v>
      </c>
      <c r="C904" t="s">
        <v>28</v>
      </c>
      <c r="D904" t="s">
        <v>32</v>
      </c>
      <c r="E904" t="s">
        <v>30</v>
      </c>
      <c r="F904" t="s">
        <v>21</v>
      </c>
      <c r="G904" s="16">
        <v>34</v>
      </c>
      <c r="H904">
        <f>RANK(G904,$G$2:$G$1001,0)+COUNTIF($G$2:G904,G904)-1</f>
        <v>980</v>
      </c>
      <c r="I904" t="str">
        <f>INDEX('Boundary table'!$B$3:$B$7,MATCH(G904,'Boundary table'!$A$3:$A$7,1))</f>
        <v>F</v>
      </c>
      <c r="J904" s="16">
        <v>48</v>
      </c>
      <c r="K904">
        <f>RANK(J904,$J$2:$J$1001,0)+COUNTIF($J$2:J904,J904)-1</f>
        <v>929</v>
      </c>
      <c r="L904" t="str">
        <f>INDEX('Boundary table'!$B$3:$B$7,MATCH(J904,'Boundary table'!$A$3:$A$7,1))</f>
        <v>F</v>
      </c>
      <c r="M904" s="16">
        <v>41</v>
      </c>
      <c r="N904">
        <f>RANK(M904,$M$2:$M$1001,0)+COUNTIF($M$2:M904,M904)-1</f>
        <v>965</v>
      </c>
      <c r="O904" t="str">
        <f>INDEX('Boundary table'!$B$3:$B$7,MATCH(M904,'Boundary table'!$A$3:$A$7))</f>
        <v>F</v>
      </c>
      <c r="P904">
        <f>Table1[[#This Row],[Math Score]]+Table1[[#This Row],[Reading Score]]+Table1[[#This Row],[Writing Score]]</f>
        <v>123</v>
      </c>
      <c r="Q904" s="16">
        <f>COUNTIF(Table1[[#This Row],[Math Score]],"&lt;60")+COUNTIF(Table1[[#This Row],[Reading Score]],"&lt;60")+COUNTIF(Table1[[#This Row],[Writing Score]],"&lt;60")</f>
        <v>3</v>
      </c>
      <c r="R904" t="str">
        <f>IF(Table1[[#This Row],[Fail Count]]&gt;=2,"At risk","OK")</f>
        <v>At risk</v>
      </c>
    </row>
    <row r="905" spans="1:18">
      <c r="A905" t="str">
        <f t="shared" si="14"/>
        <v>Stu-904</v>
      </c>
      <c r="B905" t="s">
        <v>11</v>
      </c>
      <c r="C905" t="s">
        <v>31</v>
      </c>
      <c r="D905" t="s">
        <v>13</v>
      </c>
      <c r="E905" t="s">
        <v>30</v>
      </c>
      <c r="F905" t="s">
        <v>21</v>
      </c>
      <c r="G905" s="16">
        <v>93</v>
      </c>
      <c r="H905">
        <f>RANK(G905,$G$2:$G$1001,0)+COUNTIF($G$2:G905,G905)-1</f>
        <v>35</v>
      </c>
      <c r="I905" t="str">
        <f>INDEX('Boundary table'!$B$3:$B$7,MATCH(G905,'Boundary table'!$A$3:$A$7,1))</f>
        <v>A</v>
      </c>
      <c r="J905" s="16">
        <v>100</v>
      </c>
      <c r="K905">
        <f>RANK(J905,$J$2:$J$1001,0)+COUNTIF($J$2:J905,J905)-1</f>
        <v>13</v>
      </c>
      <c r="L905" t="str">
        <f>INDEX('Boundary table'!$B$3:$B$7,MATCH(J905,'Boundary table'!$A$3:$A$7,1))</f>
        <v>A</v>
      </c>
      <c r="M905" s="16">
        <v>100</v>
      </c>
      <c r="N905">
        <f>RANK(M905,$M$2:$M$1001,0)+COUNTIF($M$2:M905,M905)-1</f>
        <v>10</v>
      </c>
      <c r="O905" t="str">
        <f>INDEX('Boundary table'!$B$3:$B$7,MATCH(M905,'Boundary table'!$A$3:$A$7))</f>
        <v>A</v>
      </c>
      <c r="P905">
        <f>Table1[[#This Row],[Math Score]]+Table1[[#This Row],[Reading Score]]+Table1[[#This Row],[Writing Score]]</f>
        <v>293</v>
      </c>
      <c r="Q905" s="16">
        <f>COUNTIF(Table1[[#This Row],[Math Score]],"&lt;60")+COUNTIF(Table1[[#This Row],[Reading Score]],"&lt;60")+COUNTIF(Table1[[#This Row],[Writing Score]],"&lt;60")</f>
        <v>0</v>
      </c>
      <c r="R905" t="str">
        <f>IF(Table1[[#This Row],[Fail Count]]&gt;=2,"At risk","OK")</f>
        <v>OK</v>
      </c>
    </row>
    <row r="906" spans="1:18">
      <c r="A906" t="str">
        <f t="shared" si="14"/>
        <v>Stu-905</v>
      </c>
      <c r="B906" t="s">
        <v>11</v>
      </c>
      <c r="C906" t="s">
        <v>31</v>
      </c>
      <c r="D906" t="s">
        <v>33</v>
      </c>
      <c r="E906" t="s">
        <v>30</v>
      </c>
      <c r="F906" t="s">
        <v>15</v>
      </c>
      <c r="G906" s="16">
        <v>67</v>
      </c>
      <c r="H906">
        <f>RANK(G906,$G$2:$G$1001,0)+COUNTIF($G$2:G906,G906)-1</f>
        <v>489</v>
      </c>
      <c r="I906" t="str">
        <f>INDEX('Boundary table'!$B$3:$B$7,MATCH(G906,'Boundary table'!$A$3:$A$7,1))</f>
        <v>D</v>
      </c>
      <c r="J906" s="16">
        <v>84</v>
      </c>
      <c r="K906">
        <f>RANK(J906,$J$2:$J$1001,0)+COUNTIF($J$2:J906,J906)-1</f>
        <v>173</v>
      </c>
      <c r="L906" t="str">
        <f>INDEX('Boundary table'!$B$3:$B$7,MATCH(J906,'Boundary table'!$A$3:$A$7,1))</f>
        <v>B</v>
      </c>
      <c r="M906" s="16">
        <v>84</v>
      </c>
      <c r="N906">
        <f>RANK(M906,$M$2:$M$1001,0)+COUNTIF($M$2:M906,M906)-1</f>
        <v>151</v>
      </c>
      <c r="O906" t="str">
        <f>INDEX('Boundary table'!$B$3:$B$7,MATCH(M906,'Boundary table'!$A$3:$A$7))</f>
        <v>B</v>
      </c>
      <c r="P906">
        <f>Table1[[#This Row],[Math Score]]+Table1[[#This Row],[Reading Score]]+Table1[[#This Row],[Writing Score]]</f>
        <v>235</v>
      </c>
      <c r="Q906" s="16">
        <f>COUNTIF(Table1[[#This Row],[Math Score]],"&lt;60")+COUNTIF(Table1[[#This Row],[Reading Score]],"&lt;60")+COUNTIF(Table1[[#This Row],[Writing Score]],"&lt;60")</f>
        <v>0</v>
      </c>
      <c r="R906" t="str">
        <f>IF(Table1[[#This Row],[Fail Count]]&gt;=2,"At risk","OK")</f>
        <v>OK</v>
      </c>
    </row>
    <row r="907" spans="1:18">
      <c r="A907" t="str">
        <f t="shared" si="14"/>
        <v>Stu-906</v>
      </c>
      <c r="B907" t="s">
        <v>27</v>
      </c>
      <c r="C907" t="s">
        <v>31</v>
      </c>
      <c r="D907" t="s">
        <v>20</v>
      </c>
      <c r="E907" t="s">
        <v>14</v>
      </c>
      <c r="F907" t="s">
        <v>15</v>
      </c>
      <c r="G907" s="16">
        <v>88</v>
      </c>
      <c r="H907">
        <f>RANK(G907,$G$2:$G$1001,0)+COUNTIF($G$2:G907,G907)-1</f>
        <v>78</v>
      </c>
      <c r="I907" t="str">
        <f>INDEX('Boundary table'!$B$3:$B$7,MATCH(G907,'Boundary table'!$A$3:$A$7,1))</f>
        <v>B</v>
      </c>
      <c r="J907" s="16">
        <v>77</v>
      </c>
      <c r="K907">
        <f>RANK(J907,$J$2:$J$1001,0)+COUNTIF($J$2:J907,J907)-1</f>
        <v>317</v>
      </c>
      <c r="L907" t="str">
        <f>INDEX('Boundary table'!$B$3:$B$7,MATCH(J907,'Boundary table'!$A$3:$A$7,1))</f>
        <v>C</v>
      </c>
      <c r="M907" s="16">
        <v>77</v>
      </c>
      <c r="N907">
        <f>RANK(M907,$M$2:$M$1001,0)+COUNTIF($M$2:M907,M907)-1</f>
        <v>301</v>
      </c>
      <c r="O907" t="str">
        <f>INDEX('Boundary table'!$B$3:$B$7,MATCH(M907,'Boundary table'!$A$3:$A$7))</f>
        <v>C</v>
      </c>
      <c r="P907">
        <f>Table1[[#This Row],[Math Score]]+Table1[[#This Row],[Reading Score]]+Table1[[#This Row],[Writing Score]]</f>
        <v>242</v>
      </c>
      <c r="Q907" s="16">
        <f>COUNTIF(Table1[[#This Row],[Math Score]],"&lt;60")+COUNTIF(Table1[[#This Row],[Reading Score]],"&lt;60")+COUNTIF(Table1[[#This Row],[Writing Score]],"&lt;60")</f>
        <v>0</v>
      </c>
      <c r="R907" t="str">
        <f>IF(Table1[[#This Row],[Fail Count]]&gt;=2,"At risk","OK")</f>
        <v>OK</v>
      </c>
    </row>
    <row r="908" spans="1:18">
      <c r="A908" t="str">
        <f t="shared" si="14"/>
        <v>Stu-907</v>
      </c>
      <c r="B908" t="s">
        <v>27</v>
      </c>
      <c r="C908" t="s">
        <v>12</v>
      </c>
      <c r="D908" t="s">
        <v>32</v>
      </c>
      <c r="E908" t="s">
        <v>14</v>
      </c>
      <c r="F908" t="s">
        <v>15</v>
      </c>
      <c r="G908" s="16">
        <v>57</v>
      </c>
      <c r="H908">
        <f>RANK(G908,$G$2:$G$1001,0)+COUNTIF($G$2:G908,G908)-1</f>
        <v>748</v>
      </c>
      <c r="I908" t="str">
        <f>INDEX('Boundary table'!$B$3:$B$7,MATCH(G908,'Boundary table'!$A$3:$A$7,1))</f>
        <v>F</v>
      </c>
      <c r="J908" s="16">
        <v>48</v>
      </c>
      <c r="K908">
        <f>RANK(J908,$J$2:$J$1001,0)+COUNTIF($J$2:J908,J908)-1</f>
        <v>930</v>
      </c>
      <c r="L908" t="str">
        <f>INDEX('Boundary table'!$B$3:$B$7,MATCH(J908,'Boundary table'!$A$3:$A$7,1))</f>
        <v>F</v>
      </c>
      <c r="M908" s="16">
        <v>51</v>
      </c>
      <c r="N908">
        <f>RANK(M908,$M$2:$M$1001,0)+COUNTIF($M$2:M908,M908)-1</f>
        <v>874</v>
      </c>
      <c r="O908" t="str">
        <f>INDEX('Boundary table'!$B$3:$B$7,MATCH(M908,'Boundary table'!$A$3:$A$7))</f>
        <v>F</v>
      </c>
      <c r="P908">
        <f>Table1[[#This Row],[Math Score]]+Table1[[#This Row],[Reading Score]]+Table1[[#This Row],[Writing Score]]</f>
        <v>156</v>
      </c>
      <c r="Q908" s="16">
        <f>COUNTIF(Table1[[#This Row],[Math Score]],"&lt;60")+COUNTIF(Table1[[#This Row],[Reading Score]],"&lt;60")+COUNTIF(Table1[[#This Row],[Writing Score]],"&lt;60")</f>
        <v>3</v>
      </c>
      <c r="R908" t="str">
        <f>IF(Table1[[#This Row],[Fail Count]]&gt;=2,"At risk","OK")</f>
        <v>At risk</v>
      </c>
    </row>
    <row r="909" spans="1:18">
      <c r="A909" t="str">
        <f t="shared" si="14"/>
        <v>Stu-908</v>
      </c>
      <c r="B909" t="s">
        <v>11</v>
      </c>
      <c r="C909" t="s">
        <v>31</v>
      </c>
      <c r="D909" t="s">
        <v>20</v>
      </c>
      <c r="E909" t="s">
        <v>14</v>
      </c>
      <c r="F909" t="s">
        <v>21</v>
      </c>
      <c r="G909" s="16">
        <v>79</v>
      </c>
      <c r="H909">
        <f>RANK(G909,$G$2:$G$1001,0)+COUNTIF($G$2:G909,G909)-1</f>
        <v>214</v>
      </c>
      <c r="I909" t="str">
        <f>INDEX('Boundary table'!$B$3:$B$7,MATCH(G909,'Boundary table'!$A$3:$A$7,1))</f>
        <v>C</v>
      </c>
      <c r="J909" s="16">
        <v>84</v>
      </c>
      <c r="K909">
        <f>RANK(J909,$J$2:$J$1001,0)+COUNTIF($J$2:J909,J909)-1</f>
        <v>174</v>
      </c>
      <c r="L909" t="str">
        <f>INDEX('Boundary table'!$B$3:$B$7,MATCH(J909,'Boundary table'!$A$3:$A$7,1))</f>
        <v>B</v>
      </c>
      <c r="M909" s="16">
        <v>91</v>
      </c>
      <c r="N909">
        <f>RANK(M909,$M$2:$M$1001,0)+COUNTIF($M$2:M909,M909)-1</f>
        <v>66</v>
      </c>
      <c r="O909" t="str">
        <f>INDEX('Boundary table'!$B$3:$B$7,MATCH(M909,'Boundary table'!$A$3:$A$7))</f>
        <v>A</v>
      </c>
      <c r="P909">
        <f>Table1[[#This Row],[Math Score]]+Table1[[#This Row],[Reading Score]]+Table1[[#This Row],[Writing Score]]</f>
        <v>254</v>
      </c>
      <c r="Q909" s="16">
        <f>COUNTIF(Table1[[#This Row],[Math Score]],"&lt;60")+COUNTIF(Table1[[#This Row],[Reading Score]],"&lt;60")+COUNTIF(Table1[[#This Row],[Writing Score]],"&lt;60")</f>
        <v>0</v>
      </c>
      <c r="R909" t="str">
        <f>IF(Table1[[#This Row],[Fail Count]]&gt;=2,"At risk","OK")</f>
        <v>OK</v>
      </c>
    </row>
    <row r="910" spans="1:18">
      <c r="A910" t="str">
        <f t="shared" si="14"/>
        <v>Stu-909</v>
      </c>
      <c r="B910" t="s">
        <v>11</v>
      </c>
      <c r="C910" t="s">
        <v>19</v>
      </c>
      <c r="D910" t="s">
        <v>13</v>
      </c>
      <c r="E910" t="s">
        <v>30</v>
      </c>
      <c r="F910" t="s">
        <v>15</v>
      </c>
      <c r="G910" s="16">
        <v>67</v>
      </c>
      <c r="H910">
        <f>RANK(G910,$G$2:$G$1001,0)+COUNTIF($G$2:G910,G910)-1</f>
        <v>490</v>
      </c>
      <c r="I910" t="str">
        <f>INDEX('Boundary table'!$B$3:$B$7,MATCH(G910,'Boundary table'!$A$3:$A$7,1))</f>
        <v>D</v>
      </c>
      <c r="J910" s="16">
        <v>75</v>
      </c>
      <c r="K910">
        <f>RANK(J910,$J$2:$J$1001,0)+COUNTIF($J$2:J910,J910)-1</f>
        <v>366</v>
      </c>
      <c r="L910" t="str">
        <f>INDEX('Boundary table'!$B$3:$B$7,MATCH(J910,'Boundary table'!$A$3:$A$7,1))</f>
        <v>C</v>
      </c>
      <c r="M910" s="16">
        <v>72</v>
      </c>
      <c r="N910">
        <f>RANK(M910,$M$2:$M$1001,0)+COUNTIF($M$2:M910,M910)-1</f>
        <v>435</v>
      </c>
      <c r="O910" t="str">
        <f>INDEX('Boundary table'!$B$3:$B$7,MATCH(M910,'Boundary table'!$A$3:$A$7))</f>
        <v>C</v>
      </c>
      <c r="P910">
        <f>Table1[[#This Row],[Math Score]]+Table1[[#This Row],[Reading Score]]+Table1[[#This Row],[Writing Score]]</f>
        <v>214</v>
      </c>
      <c r="Q910" s="16">
        <f>COUNTIF(Table1[[#This Row],[Math Score]],"&lt;60")+COUNTIF(Table1[[#This Row],[Reading Score]],"&lt;60")+COUNTIF(Table1[[#This Row],[Writing Score]],"&lt;60")</f>
        <v>0</v>
      </c>
      <c r="R910" t="str">
        <f>IF(Table1[[#This Row],[Fail Count]]&gt;=2,"At risk","OK")</f>
        <v>OK</v>
      </c>
    </row>
    <row r="911" spans="1:18">
      <c r="A911" t="str">
        <f t="shared" si="14"/>
        <v>Stu-910</v>
      </c>
      <c r="B911" t="s">
        <v>27</v>
      </c>
      <c r="C911" t="s">
        <v>34</v>
      </c>
      <c r="D911" t="s">
        <v>13</v>
      </c>
      <c r="E911" t="s">
        <v>14</v>
      </c>
      <c r="F911" t="s">
        <v>21</v>
      </c>
      <c r="G911" s="16">
        <v>70</v>
      </c>
      <c r="H911">
        <f>RANK(G911,$G$2:$G$1001,0)+COUNTIF($G$2:G911,G911)-1</f>
        <v>407</v>
      </c>
      <c r="I911" t="str">
        <f>INDEX('Boundary table'!$B$3:$B$7,MATCH(G911,'Boundary table'!$A$3:$A$7,1))</f>
        <v>C</v>
      </c>
      <c r="J911" s="16">
        <v>64</v>
      </c>
      <c r="K911">
        <f>RANK(J911,$J$2:$J$1001,0)+COUNTIF($J$2:J911,J911)-1</f>
        <v>658</v>
      </c>
      <c r="L911" t="str">
        <f>INDEX('Boundary table'!$B$3:$B$7,MATCH(J911,'Boundary table'!$A$3:$A$7,1))</f>
        <v>D</v>
      </c>
      <c r="M911" s="16">
        <v>70</v>
      </c>
      <c r="N911">
        <f>RANK(M911,$M$2:$M$1001,0)+COUNTIF($M$2:M911,M911)-1</f>
        <v>488</v>
      </c>
      <c r="O911" t="str">
        <f>INDEX('Boundary table'!$B$3:$B$7,MATCH(M911,'Boundary table'!$A$3:$A$7))</f>
        <v>C</v>
      </c>
      <c r="P911">
        <f>Table1[[#This Row],[Math Score]]+Table1[[#This Row],[Reading Score]]+Table1[[#This Row],[Writing Score]]</f>
        <v>204</v>
      </c>
      <c r="Q911" s="16">
        <f>COUNTIF(Table1[[#This Row],[Math Score]],"&lt;60")+COUNTIF(Table1[[#This Row],[Reading Score]],"&lt;60")+COUNTIF(Table1[[#This Row],[Writing Score]],"&lt;60")</f>
        <v>0</v>
      </c>
      <c r="R911" t="str">
        <f>IF(Table1[[#This Row],[Fail Count]]&gt;=2,"At risk","OK")</f>
        <v>OK</v>
      </c>
    </row>
    <row r="912" spans="1:18">
      <c r="A912" t="str">
        <f t="shared" si="14"/>
        <v>Stu-911</v>
      </c>
      <c r="B912" t="s">
        <v>27</v>
      </c>
      <c r="C912" t="s">
        <v>31</v>
      </c>
      <c r="D912" t="s">
        <v>13</v>
      </c>
      <c r="E912" t="s">
        <v>30</v>
      </c>
      <c r="F912" t="s">
        <v>15</v>
      </c>
      <c r="G912" s="16">
        <v>50</v>
      </c>
      <c r="H912">
        <f>RANK(G912,$G$2:$G$1001,0)+COUNTIF($G$2:G912,G912)-1</f>
        <v>865</v>
      </c>
      <c r="I912" t="str">
        <f>INDEX('Boundary table'!$B$3:$B$7,MATCH(G912,'Boundary table'!$A$3:$A$7,1))</f>
        <v>F</v>
      </c>
      <c r="J912" s="16">
        <v>42</v>
      </c>
      <c r="K912">
        <f>RANK(J912,$J$2:$J$1001,0)+COUNTIF($J$2:J912,J912)-1</f>
        <v>967</v>
      </c>
      <c r="L912" t="str">
        <f>INDEX('Boundary table'!$B$3:$B$7,MATCH(J912,'Boundary table'!$A$3:$A$7,1))</f>
        <v>F</v>
      </c>
      <c r="M912" s="16">
        <v>48</v>
      </c>
      <c r="N912">
        <f>RANK(M912,$M$2:$M$1001,0)+COUNTIF($M$2:M912,M912)-1</f>
        <v>902</v>
      </c>
      <c r="O912" t="str">
        <f>INDEX('Boundary table'!$B$3:$B$7,MATCH(M912,'Boundary table'!$A$3:$A$7))</f>
        <v>F</v>
      </c>
      <c r="P912">
        <f>Table1[[#This Row],[Math Score]]+Table1[[#This Row],[Reading Score]]+Table1[[#This Row],[Writing Score]]</f>
        <v>140</v>
      </c>
      <c r="Q912" s="16">
        <f>COUNTIF(Table1[[#This Row],[Math Score]],"&lt;60")+COUNTIF(Table1[[#This Row],[Reading Score]],"&lt;60")+COUNTIF(Table1[[#This Row],[Writing Score]],"&lt;60")</f>
        <v>3</v>
      </c>
      <c r="R912" t="str">
        <f>IF(Table1[[#This Row],[Fail Count]]&gt;=2,"At risk","OK")</f>
        <v>At risk</v>
      </c>
    </row>
    <row r="913" spans="1:18">
      <c r="A913" t="str">
        <f t="shared" si="14"/>
        <v>Stu-912</v>
      </c>
      <c r="B913" t="s">
        <v>11</v>
      </c>
      <c r="C913" t="s">
        <v>28</v>
      </c>
      <c r="D913" t="s">
        <v>20</v>
      </c>
      <c r="E913" t="s">
        <v>14</v>
      </c>
      <c r="F913" t="s">
        <v>15</v>
      </c>
      <c r="G913" s="16">
        <v>69</v>
      </c>
      <c r="H913">
        <f>RANK(G913,$G$2:$G$1001,0)+COUNTIF($G$2:G913,G913)-1</f>
        <v>440</v>
      </c>
      <c r="I913" t="str">
        <f>INDEX('Boundary table'!$B$3:$B$7,MATCH(G913,'Boundary table'!$A$3:$A$7,1))</f>
        <v>D</v>
      </c>
      <c r="J913" s="16">
        <v>84</v>
      </c>
      <c r="K913">
        <f>RANK(J913,$J$2:$J$1001,0)+COUNTIF($J$2:J913,J913)-1</f>
        <v>175</v>
      </c>
      <c r="L913" t="str">
        <f>INDEX('Boundary table'!$B$3:$B$7,MATCH(J913,'Boundary table'!$A$3:$A$7,1))</f>
        <v>B</v>
      </c>
      <c r="M913" s="16">
        <v>82</v>
      </c>
      <c r="N913">
        <f>RANK(M913,$M$2:$M$1001,0)+COUNTIF($M$2:M913,M913)-1</f>
        <v>187</v>
      </c>
      <c r="O913" t="str">
        <f>INDEX('Boundary table'!$B$3:$B$7,MATCH(M913,'Boundary table'!$A$3:$A$7))</f>
        <v>B</v>
      </c>
      <c r="P913">
        <f>Table1[[#This Row],[Math Score]]+Table1[[#This Row],[Reading Score]]+Table1[[#This Row],[Writing Score]]</f>
        <v>235</v>
      </c>
      <c r="Q913" s="16">
        <f>COUNTIF(Table1[[#This Row],[Math Score]],"&lt;60")+COUNTIF(Table1[[#This Row],[Reading Score]],"&lt;60")+COUNTIF(Table1[[#This Row],[Writing Score]],"&lt;60")</f>
        <v>0</v>
      </c>
      <c r="R913" t="str">
        <f>IF(Table1[[#This Row],[Fail Count]]&gt;=2,"At risk","OK")</f>
        <v>OK</v>
      </c>
    </row>
    <row r="914" spans="1:18">
      <c r="A914" t="str">
        <f t="shared" si="14"/>
        <v>Stu-913</v>
      </c>
      <c r="B914" t="s">
        <v>11</v>
      </c>
      <c r="C914" t="s">
        <v>19</v>
      </c>
      <c r="D914" t="s">
        <v>13</v>
      </c>
      <c r="E914" t="s">
        <v>14</v>
      </c>
      <c r="F914" t="s">
        <v>21</v>
      </c>
      <c r="G914" s="16">
        <v>52</v>
      </c>
      <c r="H914">
        <f>RANK(G914,$G$2:$G$1001,0)+COUNTIF($G$2:G914,G914)-1</f>
        <v>839</v>
      </c>
      <c r="I914" t="str">
        <f>INDEX('Boundary table'!$B$3:$B$7,MATCH(G914,'Boundary table'!$A$3:$A$7,1))</f>
        <v>F</v>
      </c>
      <c r="J914" s="16">
        <v>61</v>
      </c>
      <c r="K914">
        <f>RANK(J914,$J$2:$J$1001,0)+COUNTIF($J$2:J914,J914)-1</f>
        <v>721</v>
      </c>
      <c r="L914" t="str">
        <f>INDEX('Boundary table'!$B$3:$B$7,MATCH(J914,'Boundary table'!$A$3:$A$7,1))</f>
        <v>D</v>
      </c>
      <c r="M914" s="16">
        <v>66</v>
      </c>
      <c r="N914">
        <f>RANK(M914,$M$2:$M$1001,0)+COUNTIF($M$2:M914,M914)-1</f>
        <v>589</v>
      </c>
      <c r="O914" t="str">
        <f>INDEX('Boundary table'!$B$3:$B$7,MATCH(M914,'Boundary table'!$A$3:$A$7))</f>
        <v>D</v>
      </c>
      <c r="P914">
        <f>Table1[[#This Row],[Math Score]]+Table1[[#This Row],[Reading Score]]+Table1[[#This Row],[Writing Score]]</f>
        <v>179</v>
      </c>
      <c r="Q914" s="16">
        <f>COUNTIF(Table1[[#This Row],[Math Score]],"&lt;60")+COUNTIF(Table1[[#This Row],[Reading Score]],"&lt;60")+COUNTIF(Table1[[#This Row],[Writing Score]],"&lt;60")</f>
        <v>1</v>
      </c>
      <c r="R914" t="str">
        <f>IF(Table1[[#This Row],[Fail Count]]&gt;=2,"At risk","OK")</f>
        <v>OK</v>
      </c>
    </row>
    <row r="915" spans="1:18">
      <c r="A915" t="str">
        <f t="shared" si="14"/>
        <v>Stu-914</v>
      </c>
      <c r="B915" t="s">
        <v>11</v>
      </c>
      <c r="C915" t="s">
        <v>19</v>
      </c>
      <c r="D915" t="s">
        <v>13</v>
      </c>
      <c r="E915" t="s">
        <v>30</v>
      </c>
      <c r="F915" t="s">
        <v>21</v>
      </c>
      <c r="G915" s="16">
        <v>47</v>
      </c>
      <c r="H915">
        <f>RANK(G915,$G$2:$G$1001,0)+COUNTIF($G$2:G915,G915)-1</f>
        <v>904</v>
      </c>
      <c r="I915" t="str">
        <f>INDEX('Boundary table'!$B$3:$B$7,MATCH(G915,'Boundary table'!$A$3:$A$7,1))</f>
        <v>F</v>
      </c>
      <c r="J915" s="16">
        <v>62</v>
      </c>
      <c r="K915">
        <f>RANK(J915,$J$2:$J$1001,0)+COUNTIF($J$2:J915,J915)-1</f>
        <v>699</v>
      </c>
      <c r="L915" t="str">
        <f>INDEX('Boundary table'!$B$3:$B$7,MATCH(J915,'Boundary table'!$A$3:$A$7,1))</f>
        <v>D</v>
      </c>
      <c r="M915" s="16">
        <v>66</v>
      </c>
      <c r="N915">
        <f>RANK(M915,$M$2:$M$1001,0)+COUNTIF($M$2:M915,M915)-1</f>
        <v>590</v>
      </c>
      <c r="O915" t="str">
        <f>INDEX('Boundary table'!$B$3:$B$7,MATCH(M915,'Boundary table'!$A$3:$A$7))</f>
        <v>D</v>
      </c>
      <c r="P915">
        <f>Table1[[#This Row],[Math Score]]+Table1[[#This Row],[Reading Score]]+Table1[[#This Row],[Writing Score]]</f>
        <v>175</v>
      </c>
      <c r="Q915" s="16">
        <f>COUNTIF(Table1[[#This Row],[Math Score]],"&lt;60")+COUNTIF(Table1[[#This Row],[Reading Score]],"&lt;60")+COUNTIF(Table1[[#This Row],[Writing Score]],"&lt;60")</f>
        <v>1</v>
      </c>
      <c r="R915" t="str">
        <f>IF(Table1[[#This Row],[Fail Count]]&gt;=2,"At risk","OK")</f>
        <v>OK</v>
      </c>
    </row>
    <row r="916" spans="1:18">
      <c r="A916" t="str">
        <f t="shared" si="14"/>
        <v>Stu-915</v>
      </c>
      <c r="B916" t="s">
        <v>11</v>
      </c>
      <c r="C916" t="s">
        <v>12</v>
      </c>
      <c r="D916" t="s">
        <v>29</v>
      </c>
      <c r="E916" t="s">
        <v>30</v>
      </c>
      <c r="F916" t="s">
        <v>15</v>
      </c>
      <c r="G916" s="16">
        <v>46</v>
      </c>
      <c r="H916">
        <f>RANK(G916,$G$2:$G$1001,0)+COUNTIF($G$2:G916,G916)-1</f>
        <v>914</v>
      </c>
      <c r="I916" t="str">
        <f>INDEX('Boundary table'!$B$3:$B$7,MATCH(G916,'Boundary table'!$A$3:$A$7,1))</f>
        <v>F</v>
      </c>
      <c r="J916" s="16">
        <v>61</v>
      </c>
      <c r="K916">
        <f>RANK(J916,$J$2:$J$1001,0)+COUNTIF($J$2:J916,J916)-1</f>
        <v>722</v>
      </c>
      <c r="L916" t="str">
        <f>INDEX('Boundary table'!$B$3:$B$7,MATCH(J916,'Boundary table'!$A$3:$A$7,1))</f>
        <v>D</v>
      </c>
      <c r="M916" s="16">
        <v>55</v>
      </c>
      <c r="N916">
        <f>RANK(M916,$M$2:$M$1001,0)+COUNTIF($M$2:M916,M916)-1</f>
        <v>796</v>
      </c>
      <c r="O916" t="str">
        <f>INDEX('Boundary table'!$B$3:$B$7,MATCH(M916,'Boundary table'!$A$3:$A$7))</f>
        <v>F</v>
      </c>
      <c r="P916">
        <f>Table1[[#This Row],[Math Score]]+Table1[[#This Row],[Reading Score]]+Table1[[#This Row],[Writing Score]]</f>
        <v>162</v>
      </c>
      <c r="Q916" s="16">
        <f>COUNTIF(Table1[[#This Row],[Math Score]],"&lt;60")+COUNTIF(Table1[[#This Row],[Reading Score]],"&lt;60")+COUNTIF(Table1[[#This Row],[Writing Score]],"&lt;60")</f>
        <v>2</v>
      </c>
      <c r="R916" t="str">
        <f>IF(Table1[[#This Row],[Fail Count]]&gt;=2,"At risk","OK")</f>
        <v>At risk</v>
      </c>
    </row>
    <row r="917" spans="1:18">
      <c r="A917" t="str">
        <f t="shared" si="14"/>
        <v>Stu-916</v>
      </c>
      <c r="B917" t="s">
        <v>11</v>
      </c>
      <c r="C917" t="s">
        <v>34</v>
      </c>
      <c r="D917" t="s">
        <v>20</v>
      </c>
      <c r="E917" t="s">
        <v>14</v>
      </c>
      <c r="F917" t="s">
        <v>15</v>
      </c>
      <c r="G917" s="16">
        <v>68</v>
      </c>
      <c r="H917">
        <f>RANK(G917,$G$2:$G$1001,0)+COUNTIF($G$2:G917,G917)-1</f>
        <v>465</v>
      </c>
      <c r="I917" t="str">
        <f>INDEX('Boundary table'!$B$3:$B$7,MATCH(G917,'Boundary table'!$A$3:$A$7,1))</f>
        <v>D</v>
      </c>
      <c r="J917" s="16">
        <v>70</v>
      </c>
      <c r="K917">
        <f>RANK(J917,$J$2:$J$1001,0)+COUNTIF($J$2:J917,J917)-1</f>
        <v>510</v>
      </c>
      <c r="L917" t="str">
        <f>INDEX('Boundary table'!$B$3:$B$7,MATCH(J917,'Boundary table'!$A$3:$A$7,1))</f>
        <v>C</v>
      </c>
      <c r="M917" s="16">
        <v>66</v>
      </c>
      <c r="N917">
        <f>RANK(M917,$M$2:$M$1001,0)+COUNTIF($M$2:M917,M917)-1</f>
        <v>591</v>
      </c>
      <c r="O917" t="str">
        <f>INDEX('Boundary table'!$B$3:$B$7,MATCH(M917,'Boundary table'!$A$3:$A$7))</f>
        <v>D</v>
      </c>
      <c r="P917">
        <f>Table1[[#This Row],[Math Score]]+Table1[[#This Row],[Reading Score]]+Table1[[#This Row],[Writing Score]]</f>
        <v>204</v>
      </c>
      <c r="Q917" s="16">
        <f>COUNTIF(Table1[[#This Row],[Math Score]],"&lt;60")+COUNTIF(Table1[[#This Row],[Reading Score]],"&lt;60")+COUNTIF(Table1[[#This Row],[Writing Score]],"&lt;60")</f>
        <v>0</v>
      </c>
      <c r="R917" t="str">
        <f>IF(Table1[[#This Row],[Fail Count]]&gt;=2,"At risk","OK")</f>
        <v>OK</v>
      </c>
    </row>
    <row r="918" spans="1:18">
      <c r="A918" t="str">
        <f t="shared" si="14"/>
        <v>Stu-917</v>
      </c>
      <c r="B918" t="s">
        <v>27</v>
      </c>
      <c r="C918" t="s">
        <v>34</v>
      </c>
      <c r="D918" t="s">
        <v>13</v>
      </c>
      <c r="E918" t="s">
        <v>14</v>
      </c>
      <c r="F918" t="s">
        <v>21</v>
      </c>
      <c r="G918" s="16">
        <v>100</v>
      </c>
      <c r="H918">
        <f>RANK(G918,$G$2:$G$1001,0)+COUNTIF($G$2:G918,G918)-1</f>
        <v>6</v>
      </c>
      <c r="I918" t="str">
        <f>INDEX('Boundary table'!$B$3:$B$7,MATCH(G918,'Boundary table'!$A$3:$A$7,1))</f>
        <v>A</v>
      </c>
      <c r="J918" s="16">
        <v>100</v>
      </c>
      <c r="K918">
        <f>RANK(J918,$J$2:$J$1001,0)+COUNTIF($J$2:J918,J918)-1</f>
        <v>14</v>
      </c>
      <c r="L918" t="str">
        <f>INDEX('Boundary table'!$B$3:$B$7,MATCH(J918,'Boundary table'!$A$3:$A$7,1))</f>
        <v>A</v>
      </c>
      <c r="M918" s="16">
        <v>100</v>
      </c>
      <c r="N918">
        <f>RANK(M918,$M$2:$M$1001,0)+COUNTIF($M$2:M918,M918)-1</f>
        <v>11</v>
      </c>
      <c r="O918" t="str">
        <f>INDEX('Boundary table'!$B$3:$B$7,MATCH(M918,'Boundary table'!$A$3:$A$7))</f>
        <v>A</v>
      </c>
      <c r="P918">
        <f>Table1[[#This Row],[Math Score]]+Table1[[#This Row],[Reading Score]]+Table1[[#This Row],[Writing Score]]</f>
        <v>300</v>
      </c>
      <c r="Q918" s="16">
        <f>COUNTIF(Table1[[#This Row],[Math Score]],"&lt;60")+COUNTIF(Table1[[#This Row],[Reading Score]],"&lt;60")+COUNTIF(Table1[[#This Row],[Writing Score]],"&lt;60")</f>
        <v>0</v>
      </c>
      <c r="R918" t="str">
        <f>IF(Table1[[#This Row],[Fail Count]]&gt;=2,"At risk","OK")</f>
        <v>OK</v>
      </c>
    </row>
    <row r="919" spans="1:18">
      <c r="A919" t="str">
        <f t="shared" si="14"/>
        <v>Stu-918</v>
      </c>
      <c r="B919" t="s">
        <v>11</v>
      </c>
      <c r="C919" t="s">
        <v>19</v>
      </c>
      <c r="D919" t="s">
        <v>32</v>
      </c>
      <c r="E919" t="s">
        <v>14</v>
      </c>
      <c r="F919" t="s">
        <v>15</v>
      </c>
      <c r="G919" s="16">
        <v>44</v>
      </c>
      <c r="H919">
        <f>RANK(G919,$G$2:$G$1001,0)+COUNTIF($G$2:G919,G919)-1</f>
        <v>932</v>
      </c>
      <c r="I919" t="str">
        <f>INDEX('Boundary table'!$B$3:$B$7,MATCH(G919,'Boundary table'!$A$3:$A$7,1))</f>
        <v>F</v>
      </c>
      <c r="J919" s="16">
        <v>61</v>
      </c>
      <c r="K919">
        <f>RANK(J919,$J$2:$J$1001,0)+COUNTIF($J$2:J919,J919)-1</f>
        <v>723</v>
      </c>
      <c r="L919" t="str">
        <f>INDEX('Boundary table'!$B$3:$B$7,MATCH(J919,'Boundary table'!$A$3:$A$7,1))</f>
        <v>D</v>
      </c>
      <c r="M919" s="16">
        <v>52</v>
      </c>
      <c r="N919">
        <f>RANK(M919,$M$2:$M$1001,0)+COUNTIF($M$2:M919,M919)-1</f>
        <v>857</v>
      </c>
      <c r="O919" t="str">
        <f>INDEX('Boundary table'!$B$3:$B$7,MATCH(M919,'Boundary table'!$A$3:$A$7))</f>
        <v>F</v>
      </c>
      <c r="P919">
        <f>Table1[[#This Row],[Math Score]]+Table1[[#This Row],[Reading Score]]+Table1[[#This Row],[Writing Score]]</f>
        <v>157</v>
      </c>
      <c r="Q919" s="16">
        <f>COUNTIF(Table1[[#This Row],[Math Score]],"&lt;60")+COUNTIF(Table1[[#This Row],[Reading Score]],"&lt;60")+COUNTIF(Table1[[#This Row],[Writing Score]],"&lt;60")</f>
        <v>2</v>
      </c>
      <c r="R919" t="str">
        <f>IF(Table1[[#This Row],[Fail Count]]&gt;=2,"At risk","OK")</f>
        <v>At risk</v>
      </c>
    </row>
    <row r="920" spans="1:18">
      <c r="A920" t="str">
        <f t="shared" si="14"/>
        <v>Stu-919</v>
      </c>
      <c r="B920" t="s">
        <v>11</v>
      </c>
      <c r="C920" t="s">
        <v>19</v>
      </c>
      <c r="D920" t="s">
        <v>29</v>
      </c>
      <c r="E920" t="s">
        <v>14</v>
      </c>
      <c r="F920" t="s">
        <v>21</v>
      </c>
      <c r="G920" s="16">
        <v>57</v>
      </c>
      <c r="H920">
        <f>RANK(G920,$G$2:$G$1001,0)+COUNTIF($G$2:G920,G920)-1</f>
        <v>749</v>
      </c>
      <c r="I920" t="str">
        <f>INDEX('Boundary table'!$B$3:$B$7,MATCH(G920,'Boundary table'!$A$3:$A$7,1))</f>
        <v>F</v>
      </c>
      <c r="J920" s="16">
        <v>77</v>
      </c>
      <c r="K920">
        <f>RANK(J920,$J$2:$J$1001,0)+COUNTIF($J$2:J920,J920)-1</f>
        <v>318</v>
      </c>
      <c r="L920" t="str">
        <f>INDEX('Boundary table'!$B$3:$B$7,MATCH(J920,'Boundary table'!$A$3:$A$7,1))</f>
        <v>C</v>
      </c>
      <c r="M920" s="16">
        <v>80</v>
      </c>
      <c r="N920">
        <f>RANK(M920,$M$2:$M$1001,0)+COUNTIF($M$2:M920,M920)-1</f>
        <v>233</v>
      </c>
      <c r="O920" t="str">
        <f>INDEX('Boundary table'!$B$3:$B$7,MATCH(M920,'Boundary table'!$A$3:$A$7))</f>
        <v>B</v>
      </c>
      <c r="P920">
        <f>Table1[[#This Row],[Math Score]]+Table1[[#This Row],[Reading Score]]+Table1[[#This Row],[Writing Score]]</f>
        <v>214</v>
      </c>
      <c r="Q920" s="16">
        <f>COUNTIF(Table1[[#This Row],[Math Score]],"&lt;60")+COUNTIF(Table1[[#This Row],[Reading Score]],"&lt;60")+COUNTIF(Table1[[#This Row],[Writing Score]],"&lt;60")</f>
        <v>1</v>
      </c>
      <c r="R920" t="str">
        <f>IF(Table1[[#This Row],[Fail Count]]&gt;=2,"At risk","OK")</f>
        <v>OK</v>
      </c>
    </row>
    <row r="921" spans="1:18">
      <c r="A921" t="str">
        <f t="shared" si="14"/>
        <v>Stu-920</v>
      </c>
      <c r="B921" t="s">
        <v>27</v>
      </c>
      <c r="C921" t="s">
        <v>12</v>
      </c>
      <c r="D921" t="s">
        <v>20</v>
      </c>
      <c r="E921" t="s">
        <v>14</v>
      </c>
      <c r="F921" t="s">
        <v>21</v>
      </c>
      <c r="G921" s="16">
        <v>91</v>
      </c>
      <c r="H921">
        <f>RANK(G921,$G$2:$G$1001,0)+COUNTIF($G$2:G921,G921)-1</f>
        <v>49</v>
      </c>
      <c r="I921" t="str">
        <f>INDEX('Boundary table'!$B$3:$B$7,MATCH(G921,'Boundary table'!$A$3:$A$7,1))</f>
        <v>A</v>
      </c>
      <c r="J921" s="16">
        <v>96</v>
      </c>
      <c r="K921">
        <f>RANK(J921,$J$2:$J$1001,0)+COUNTIF($J$2:J921,J921)-1</f>
        <v>29</v>
      </c>
      <c r="L921" t="str">
        <f>INDEX('Boundary table'!$B$3:$B$7,MATCH(J921,'Boundary table'!$A$3:$A$7,1))</f>
        <v>A</v>
      </c>
      <c r="M921" s="16">
        <v>91</v>
      </c>
      <c r="N921">
        <f>RANK(M921,$M$2:$M$1001,0)+COUNTIF($M$2:M921,M921)-1</f>
        <v>67</v>
      </c>
      <c r="O921" t="str">
        <f>INDEX('Boundary table'!$B$3:$B$7,MATCH(M921,'Boundary table'!$A$3:$A$7))</f>
        <v>A</v>
      </c>
      <c r="P921">
        <f>Table1[[#This Row],[Math Score]]+Table1[[#This Row],[Reading Score]]+Table1[[#This Row],[Writing Score]]</f>
        <v>278</v>
      </c>
      <c r="Q921" s="16">
        <f>COUNTIF(Table1[[#This Row],[Math Score]],"&lt;60")+COUNTIF(Table1[[#This Row],[Reading Score]],"&lt;60")+COUNTIF(Table1[[#This Row],[Writing Score]],"&lt;60")</f>
        <v>0</v>
      </c>
      <c r="R921" t="str">
        <f>IF(Table1[[#This Row],[Fail Count]]&gt;=2,"At risk","OK")</f>
        <v>OK</v>
      </c>
    </row>
    <row r="922" spans="1:18">
      <c r="A922" t="str">
        <f t="shared" si="14"/>
        <v>Stu-921</v>
      </c>
      <c r="B922" t="s">
        <v>27</v>
      </c>
      <c r="C922" t="s">
        <v>31</v>
      </c>
      <c r="D922" t="s">
        <v>32</v>
      </c>
      <c r="E922" t="s">
        <v>30</v>
      </c>
      <c r="F922" t="s">
        <v>15</v>
      </c>
      <c r="G922" s="16">
        <v>69</v>
      </c>
      <c r="H922">
        <f>RANK(G922,$G$2:$G$1001,0)+COUNTIF($G$2:G922,G922)-1</f>
        <v>441</v>
      </c>
      <c r="I922" t="str">
        <f>INDEX('Boundary table'!$B$3:$B$7,MATCH(G922,'Boundary table'!$A$3:$A$7,1))</f>
        <v>D</v>
      </c>
      <c r="J922" s="16">
        <v>70</v>
      </c>
      <c r="K922">
        <f>RANK(J922,$J$2:$J$1001,0)+COUNTIF($J$2:J922,J922)-1</f>
        <v>511</v>
      </c>
      <c r="L922" t="str">
        <f>INDEX('Boundary table'!$B$3:$B$7,MATCH(J922,'Boundary table'!$A$3:$A$7,1))</f>
        <v>C</v>
      </c>
      <c r="M922" s="16">
        <v>67</v>
      </c>
      <c r="N922">
        <f>RANK(M922,$M$2:$M$1001,0)+COUNTIF($M$2:M922,M922)-1</f>
        <v>566</v>
      </c>
      <c r="O922" t="str">
        <f>INDEX('Boundary table'!$B$3:$B$7,MATCH(M922,'Boundary table'!$A$3:$A$7))</f>
        <v>D</v>
      </c>
      <c r="P922">
        <f>Table1[[#This Row],[Math Score]]+Table1[[#This Row],[Reading Score]]+Table1[[#This Row],[Writing Score]]</f>
        <v>206</v>
      </c>
      <c r="Q922" s="16">
        <f>COUNTIF(Table1[[#This Row],[Math Score]],"&lt;60")+COUNTIF(Table1[[#This Row],[Reading Score]],"&lt;60")+COUNTIF(Table1[[#This Row],[Writing Score]],"&lt;60")</f>
        <v>0</v>
      </c>
      <c r="R922" t="str">
        <f>IF(Table1[[#This Row],[Fail Count]]&gt;=2,"At risk","OK")</f>
        <v>OK</v>
      </c>
    </row>
    <row r="923" spans="1:18">
      <c r="A923" t="str">
        <f t="shared" si="14"/>
        <v>Stu-922</v>
      </c>
      <c r="B923" t="s">
        <v>11</v>
      </c>
      <c r="C923" t="s">
        <v>19</v>
      </c>
      <c r="D923" t="s">
        <v>32</v>
      </c>
      <c r="E923" t="s">
        <v>30</v>
      </c>
      <c r="F923" t="s">
        <v>15</v>
      </c>
      <c r="G923" s="16">
        <v>35</v>
      </c>
      <c r="H923">
        <f>RANK(G923,$G$2:$G$1001,0)+COUNTIF($G$2:G923,G923)-1</f>
        <v>978</v>
      </c>
      <c r="I923" t="str">
        <f>INDEX('Boundary table'!$B$3:$B$7,MATCH(G923,'Boundary table'!$A$3:$A$7,1))</f>
        <v>F</v>
      </c>
      <c r="J923" s="16">
        <v>53</v>
      </c>
      <c r="K923">
        <f>RANK(J923,$J$2:$J$1001,0)+COUNTIF($J$2:J923,J923)-1</f>
        <v>871</v>
      </c>
      <c r="L923" t="str">
        <f>INDEX('Boundary table'!$B$3:$B$7,MATCH(J923,'Boundary table'!$A$3:$A$7,1))</f>
        <v>F</v>
      </c>
      <c r="M923" s="16">
        <v>46</v>
      </c>
      <c r="N923">
        <f>RANK(M923,$M$2:$M$1001,0)+COUNTIF($M$2:M923,M923)-1</f>
        <v>923</v>
      </c>
      <c r="O923" t="str">
        <f>INDEX('Boundary table'!$B$3:$B$7,MATCH(M923,'Boundary table'!$A$3:$A$7))</f>
        <v>F</v>
      </c>
      <c r="P923">
        <f>Table1[[#This Row],[Math Score]]+Table1[[#This Row],[Reading Score]]+Table1[[#This Row],[Writing Score]]</f>
        <v>134</v>
      </c>
      <c r="Q923" s="16">
        <f>COUNTIF(Table1[[#This Row],[Math Score]],"&lt;60")+COUNTIF(Table1[[#This Row],[Reading Score]],"&lt;60")+COUNTIF(Table1[[#This Row],[Writing Score]],"&lt;60")</f>
        <v>3</v>
      </c>
      <c r="R923" t="str">
        <f>IF(Table1[[#This Row],[Fail Count]]&gt;=2,"At risk","OK")</f>
        <v>At risk</v>
      </c>
    </row>
    <row r="924" spans="1:18">
      <c r="A924" t="str">
        <f t="shared" si="14"/>
        <v>Stu-923</v>
      </c>
      <c r="B924" t="s">
        <v>27</v>
      </c>
      <c r="C924" t="s">
        <v>31</v>
      </c>
      <c r="D924" t="s">
        <v>32</v>
      </c>
      <c r="E924" t="s">
        <v>14</v>
      </c>
      <c r="F924" t="s">
        <v>15</v>
      </c>
      <c r="G924" s="16">
        <v>72</v>
      </c>
      <c r="H924">
        <f>RANK(G924,$G$2:$G$1001,0)+COUNTIF($G$2:G924,G924)-1</f>
        <v>362</v>
      </c>
      <c r="I924" t="str">
        <f>INDEX('Boundary table'!$B$3:$B$7,MATCH(G924,'Boundary table'!$A$3:$A$7,1))</f>
        <v>C</v>
      </c>
      <c r="J924" s="16">
        <v>66</v>
      </c>
      <c r="K924">
        <f>RANK(J924,$J$2:$J$1001,0)+COUNTIF($J$2:J924,J924)-1</f>
        <v>606</v>
      </c>
      <c r="L924" t="str">
        <f>INDEX('Boundary table'!$B$3:$B$7,MATCH(J924,'Boundary table'!$A$3:$A$7,1))</f>
        <v>D</v>
      </c>
      <c r="M924" s="16">
        <v>66</v>
      </c>
      <c r="N924">
        <f>RANK(M924,$M$2:$M$1001,0)+COUNTIF($M$2:M924,M924)-1</f>
        <v>592</v>
      </c>
      <c r="O924" t="str">
        <f>INDEX('Boundary table'!$B$3:$B$7,MATCH(M924,'Boundary table'!$A$3:$A$7))</f>
        <v>D</v>
      </c>
      <c r="P924">
        <f>Table1[[#This Row],[Math Score]]+Table1[[#This Row],[Reading Score]]+Table1[[#This Row],[Writing Score]]</f>
        <v>204</v>
      </c>
      <c r="Q924" s="16">
        <f>COUNTIF(Table1[[#This Row],[Math Score]],"&lt;60")+COUNTIF(Table1[[#This Row],[Reading Score]],"&lt;60")+COUNTIF(Table1[[#This Row],[Writing Score]],"&lt;60")</f>
        <v>0</v>
      </c>
      <c r="R924" t="str">
        <f>IF(Table1[[#This Row],[Fail Count]]&gt;=2,"At risk","OK")</f>
        <v>OK</v>
      </c>
    </row>
    <row r="925" spans="1:18">
      <c r="A925" t="str">
        <f t="shared" si="14"/>
        <v>Stu-924</v>
      </c>
      <c r="B925" t="s">
        <v>11</v>
      </c>
      <c r="C925" t="s">
        <v>12</v>
      </c>
      <c r="D925" t="s">
        <v>29</v>
      </c>
      <c r="E925" t="s">
        <v>30</v>
      </c>
      <c r="F925" t="s">
        <v>15</v>
      </c>
      <c r="G925" s="16">
        <v>54</v>
      </c>
      <c r="H925">
        <f>RANK(G925,$G$2:$G$1001,0)+COUNTIF($G$2:G925,G925)-1</f>
        <v>795</v>
      </c>
      <c r="I925" t="str">
        <f>INDEX('Boundary table'!$B$3:$B$7,MATCH(G925,'Boundary table'!$A$3:$A$7,1))</f>
        <v>F</v>
      </c>
      <c r="J925" s="16">
        <v>65</v>
      </c>
      <c r="K925">
        <f>RANK(J925,$J$2:$J$1001,0)+COUNTIF($J$2:J925,J925)-1</f>
        <v>625</v>
      </c>
      <c r="L925" t="str">
        <f>INDEX('Boundary table'!$B$3:$B$7,MATCH(J925,'Boundary table'!$A$3:$A$7,1))</f>
        <v>D</v>
      </c>
      <c r="M925" s="16">
        <v>65</v>
      </c>
      <c r="N925">
        <f>RANK(M925,$M$2:$M$1001,0)+COUNTIF($M$2:M925,M925)-1</f>
        <v>613</v>
      </c>
      <c r="O925" t="str">
        <f>INDEX('Boundary table'!$B$3:$B$7,MATCH(M925,'Boundary table'!$A$3:$A$7))</f>
        <v>D</v>
      </c>
      <c r="P925">
        <f>Table1[[#This Row],[Math Score]]+Table1[[#This Row],[Reading Score]]+Table1[[#This Row],[Writing Score]]</f>
        <v>184</v>
      </c>
      <c r="Q925" s="16">
        <f>COUNTIF(Table1[[#This Row],[Math Score]],"&lt;60")+COUNTIF(Table1[[#This Row],[Reading Score]],"&lt;60")+COUNTIF(Table1[[#This Row],[Writing Score]],"&lt;60")</f>
        <v>1</v>
      </c>
      <c r="R925" t="str">
        <f>IF(Table1[[#This Row],[Fail Count]]&gt;=2,"At risk","OK")</f>
        <v>OK</v>
      </c>
    </row>
    <row r="926" spans="1:18">
      <c r="A926" t="str">
        <f t="shared" si="14"/>
        <v>Stu-925</v>
      </c>
      <c r="B926" t="s">
        <v>27</v>
      </c>
      <c r="C926" t="s">
        <v>31</v>
      </c>
      <c r="D926" t="s">
        <v>32</v>
      </c>
      <c r="E926" t="s">
        <v>30</v>
      </c>
      <c r="F926" t="s">
        <v>15</v>
      </c>
      <c r="G926" s="16">
        <v>74</v>
      </c>
      <c r="H926">
        <f>RANK(G926,$G$2:$G$1001,0)+COUNTIF($G$2:G926,G926)-1</f>
        <v>317</v>
      </c>
      <c r="I926" t="str">
        <f>INDEX('Boundary table'!$B$3:$B$7,MATCH(G926,'Boundary table'!$A$3:$A$7,1))</f>
        <v>C</v>
      </c>
      <c r="J926" s="16">
        <v>70</v>
      </c>
      <c r="K926">
        <f>RANK(J926,$J$2:$J$1001,0)+COUNTIF($J$2:J926,J926)-1</f>
        <v>512</v>
      </c>
      <c r="L926" t="str">
        <f>INDEX('Boundary table'!$B$3:$B$7,MATCH(J926,'Boundary table'!$A$3:$A$7,1))</f>
        <v>C</v>
      </c>
      <c r="M926" s="16">
        <v>69</v>
      </c>
      <c r="N926">
        <f>RANK(M926,$M$2:$M$1001,0)+COUNTIF($M$2:M926,M926)-1</f>
        <v>509</v>
      </c>
      <c r="O926" t="str">
        <f>INDEX('Boundary table'!$B$3:$B$7,MATCH(M926,'Boundary table'!$A$3:$A$7))</f>
        <v>D</v>
      </c>
      <c r="P926">
        <f>Table1[[#This Row],[Math Score]]+Table1[[#This Row],[Reading Score]]+Table1[[#This Row],[Writing Score]]</f>
        <v>213</v>
      </c>
      <c r="Q926" s="16">
        <f>COUNTIF(Table1[[#This Row],[Math Score]],"&lt;60")+COUNTIF(Table1[[#This Row],[Reading Score]],"&lt;60")+COUNTIF(Table1[[#This Row],[Writing Score]],"&lt;60")</f>
        <v>0</v>
      </c>
      <c r="R926" t="str">
        <f>IF(Table1[[#This Row],[Fail Count]]&gt;=2,"At risk","OK")</f>
        <v>OK</v>
      </c>
    </row>
    <row r="927" spans="1:18">
      <c r="A927" t="str">
        <f t="shared" si="14"/>
        <v>Stu-926</v>
      </c>
      <c r="B927" t="s">
        <v>27</v>
      </c>
      <c r="C927" t="s">
        <v>34</v>
      </c>
      <c r="D927" t="s">
        <v>33</v>
      </c>
      <c r="E927" t="s">
        <v>14</v>
      </c>
      <c r="F927" t="s">
        <v>21</v>
      </c>
      <c r="G927" s="16">
        <v>74</v>
      </c>
      <c r="H927">
        <f>RANK(G927,$G$2:$G$1001,0)+COUNTIF($G$2:G927,G927)-1</f>
        <v>318</v>
      </c>
      <c r="I927" t="str">
        <f>INDEX('Boundary table'!$B$3:$B$7,MATCH(G927,'Boundary table'!$A$3:$A$7,1))</f>
        <v>C</v>
      </c>
      <c r="J927" s="16">
        <v>64</v>
      </c>
      <c r="K927">
        <f>RANK(J927,$J$2:$J$1001,0)+COUNTIF($J$2:J927,J927)-1</f>
        <v>659</v>
      </c>
      <c r="L927" t="str">
        <f>INDEX('Boundary table'!$B$3:$B$7,MATCH(J927,'Boundary table'!$A$3:$A$7,1))</f>
        <v>D</v>
      </c>
      <c r="M927" s="16">
        <v>60</v>
      </c>
      <c r="N927">
        <f>RANK(M927,$M$2:$M$1001,0)+COUNTIF($M$2:M927,M927)-1</f>
        <v>715</v>
      </c>
      <c r="O927" t="str">
        <f>INDEX('Boundary table'!$B$3:$B$7,MATCH(M927,'Boundary table'!$A$3:$A$7))</f>
        <v>D</v>
      </c>
      <c r="P927">
        <f>Table1[[#This Row],[Math Score]]+Table1[[#This Row],[Reading Score]]+Table1[[#This Row],[Writing Score]]</f>
        <v>198</v>
      </c>
      <c r="Q927" s="16">
        <f>COUNTIF(Table1[[#This Row],[Math Score]],"&lt;60")+COUNTIF(Table1[[#This Row],[Reading Score]],"&lt;60")+COUNTIF(Table1[[#This Row],[Writing Score]],"&lt;60")</f>
        <v>0</v>
      </c>
      <c r="R927" t="str">
        <f>IF(Table1[[#This Row],[Fail Count]]&gt;=2,"At risk","OK")</f>
        <v>OK</v>
      </c>
    </row>
    <row r="928" spans="1:18">
      <c r="A928" t="str">
        <f t="shared" si="14"/>
        <v>Stu-927</v>
      </c>
      <c r="B928" t="s">
        <v>27</v>
      </c>
      <c r="C928" t="s">
        <v>34</v>
      </c>
      <c r="D928" t="s">
        <v>29</v>
      </c>
      <c r="E928" t="s">
        <v>30</v>
      </c>
      <c r="F928" t="s">
        <v>15</v>
      </c>
      <c r="G928" s="16">
        <v>64</v>
      </c>
      <c r="H928">
        <f>RANK(G928,$G$2:$G$1001,0)+COUNTIF($G$2:G928,G928)-1</f>
        <v>572</v>
      </c>
      <c r="I928" t="str">
        <f>INDEX('Boundary table'!$B$3:$B$7,MATCH(G928,'Boundary table'!$A$3:$A$7,1))</f>
        <v>D</v>
      </c>
      <c r="J928" s="16">
        <v>56</v>
      </c>
      <c r="K928">
        <f>RANK(J928,$J$2:$J$1001,0)+COUNTIF($J$2:J928,J928)-1</f>
        <v>823</v>
      </c>
      <c r="L928" t="str">
        <f>INDEX('Boundary table'!$B$3:$B$7,MATCH(J928,'Boundary table'!$A$3:$A$7,1))</f>
        <v>F</v>
      </c>
      <c r="M928" s="16">
        <v>52</v>
      </c>
      <c r="N928">
        <f>RANK(M928,$M$2:$M$1001,0)+COUNTIF($M$2:M928,M928)-1</f>
        <v>858</v>
      </c>
      <c r="O928" t="str">
        <f>INDEX('Boundary table'!$B$3:$B$7,MATCH(M928,'Boundary table'!$A$3:$A$7))</f>
        <v>F</v>
      </c>
      <c r="P928">
        <f>Table1[[#This Row],[Math Score]]+Table1[[#This Row],[Reading Score]]+Table1[[#This Row],[Writing Score]]</f>
        <v>172</v>
      </c>
      <c r="Q928" s="16">
        <f>COUNTIF(Table1[[#This Row],[Math Score]],"&lt;60")+COUNTIF(Table1[[#This Row],[Reading Score]],"&lt;60")+COUNTIF(Table1[[#This Row],[Writing Score]],"&lt;60")</f>
        <v>2</v>
      </c>
      <c r="R928" t="str">
        <f>IF(Table1[[#This Row],[Fail Count]]&gt;=2,"At risk","OK")</f>
        <v>At risk</v>
      </c>
    </row>
    <row r="929" spans="1:18">
      <c r="A929" t="str">
        <f t="shared" si="14"/>
        <v>Stu-928</v>
      </c>
      <c r="B929" t="s">
        <v>11</v>
      </c>
      <c r="C929" t="s">
        <v>31</v>
      </c>
      <c r="D929" t="s">
        <v>32</v>
      </c>
      <c r="E929" t="s">
        <v>30</v>
      </c>
      <c r="F929" t="s">
        <v>21</v>
      </c>
      <c r="G929" s="16">
        <v>65</v>
      </c>
      <c r="H929">
        <f>RANK(G929,$G$2:$G$1001,0)+COUNTIF($G$2:G929,G929)-1</f>
        <v>551</v>
      </c>
      <c r="I929" t="str">
        <f>INDEX('Boundary table'!$B$3:$B$7,MATCH(G929,'Boundary table'!$A$3:$A$7,1))</f>
        <v>D</v>
      </c>
      <c r="J929" s="16">
        <v>61</v>
      </c>
      <c r="K929">
        <f>RANK(J929,$J$2:$J$1001,0)+COUNTIF($J$2:J929,J929)-1</f>
        <v>724</v>
      </c>
      <c r="L929" t="str">
        <f>INDEX('Boundary table'!$B$3:$B$7,MATCH(J929,'Boundary table'!$A$3:$A$7,1))</f>
        <v>D</v>
      </c>
      <c r="M929" s="16">
        <v>71</v>
      </c>
      <c r="N929">
        <f>RANK(M929,$M$2:$M$1001,0)+COUNTIF($M$2:M929,M929)-1</f>
        <v>454</v>
      </c>
      <c r="O929" t="str">
        <f>INDEX('Boundary table'!$B$3:$B$7,MATCH(M929,'Boundary table'!$A$3:$A$7))</f>
        <v>C</v>
      </c>
      <c r="P929">
        <f>Table1[[#This Row],[Math Score]]+Table1[[#This Row],[Reading Score]]+Table1[[#This Row],[Writing Score]]</f>
        <v>197</v>
      </c>
      <c r="Q929" s="16">
        <f>COUNTIF(Table1[[#This Row],[Math Score]],"&lt;60")+COUNTIF(Table1[[#This Row],[Reading Score]],"&lt;60")+COUNTIF(Table1[[#This Row],[Writing Score]],"&lt;60")</f>
        <v>0</v>
      </c>
      <c r="R929" t="str">
        <f>IF(Table1[[#This Row],[Fail Count]]&gt;=2,"At risk","OK")</f>
        <v>OK</v>
      </c>
    </row>
    <row r="930" spans="1:18">
      <c r="A930" t="str">
        <f t="shared" si="14"/>
        <v>Stu-929</v>
      </c>
      <c r="B930" t="s">
        <v>27</v>
      </c>
      <c r="C930" t="s">
        <v>34</v>
      </c>
      <c r="D930" t="s">
        <v>29</v>
      </c>
      <c r="E930" t="s">
        <v>30</v>
      </c>
      <c r="F930" t="s">
        <v>21</v>
      </c>
      <c r="G930" s="16">
        <v>46</v>
      </c>
      <c r="H930">
        <f>RANK(G930,$G$2:$G$1001,0)+COUNTIF($G$2:G930,G930)-1</f>
        <v>915</v>
      </c>
      <c r="I930" t="str">
        <f>INDEX('Boundary table'!$B$3:$B$7,MATCH(G930,'Boundary table'!$A$3:$A$7,1))</f>
        <v>F</v>
      </c>
      <c r="J930" s="16">
        <v>43</v>
      </c>
      <c r="K930">
        <f>RANK(J930,$J$2:$J$1001,0)+COUNTIF($J$2:J930,J930)-1</f>
        <v>960</v>
      </c>
      <c r="L930" t="str">
        <f>INDEX('Boundary table'!$B$3:$B$7,MATCH(J930,'Boundary table'!$A$3:$A$7,1))</f>
        <v>F</v>
      </c>
      <c r="M930" s="16">
        <v>44</v>
      </c>
      <c r="N930">
        <f>RANK(M930,$M$2:$M$1001,0)+COUNTIF($M$2:M930,M930)-1</f>
        <v>938</v>
      </c>
      <c r="O930" t="str">
        <f>INDEX('Boundary table'!$B$3:$B$7,MATCH(M930,'Boundary table'!$A$3:$A$7))</f>
        <v>F</v>
      </c>
      <c r="P930">
        <f>Table1[[#This Row],[Math Score]]+Table1[[#This Row],[Reading Score]]+Table1[[#This Row],[Writing Score]]</f>
        <v>133</v>
      </c>
      <c r="Q930" s="16">
        <f>COUNTIF(Table1[[#This Row],[Math Score]],"&lt;60")+COUNTIF(Table1[[#This Row],[Reading Score]],"&lt;60")+COUNTIF(Table1[[#This Row],[Writing Score]],"&lt;60")</f>
        <v>3</v>
      </c>
      <c r="R930" t="str">
        <f>IF(Table1[[#This Row],[Fail Count]]&gt;=2,"At risk","OK")</f>
        <v>At risk</v>
      </c>
    </row>
    <row r="931" spans="1:18">
      <c r="A931" t="str">
        <f t="shared" si="14"/>
        <v>Stu-930</v>
      </c>
      <c r="B931" t="s">
        <v>11</v>
      </c>
      <c r="C931" t="s">
        <v>19</v>
      </c>
      <c r="D931" t="s">
        <v>33</v>
      </c>
      <c r="E931" t="s">
        <v>30</v>
      </c>
      <c r="F931" t="s">
        <v>15</v>
      </c>
      <c r="G931" s="16">
        <v>48</v>
      </c>
      <c r="H931">
        <f>RANK(G931,$G$2:$G$1001,0)+COUNTIF($G$2:G931,G931)-1</f>
        <v>892</v>
      </c>
      <c r="I931" t="str">
        <f>INDEX('Boundary table'!$B$3:$B$7,MATCH(G931,'Boundary table'!$A$3:$A$7,1))</f>
        <v>F</v>
      </c>
      <c r="J931" s="16">
        <v>56</v>
      </c>
      <c r="K931">
        <f>RANK(J931,$J$2:$J$1001,0)+COUNTIF($J$2:J931,J931)-1</f>
        <v>824</v>
      </c>
      <c r="L931" t="str">
        <f>INDEX('Boundary table'!$B$3:$B$7,MATCH(J931,'Boundary table'!$A$3:$A$7,1))</f>
        <v>F</v>
      </c>
      <c r="M931" s="16">
        <v>51</v>
      </c>
      <c r="N931">
        <f>RANK(M931,$M$2:$M$1001,0)+COUNTIF($M$2:M931,M931)-1</f>
        <v>875</v>
      </c>
      <c r="O931" t="str">
        <f>INDEX('Boundary table'!$B$3:$B$7,MATCH(M931,'Boundary table'!$A$3:$A$7))</f>
        <v>F</v>
      </c>
      <c r="P931">
        <f>Table1[[#This Row],[Math Score]]+Table1[[#This Row],[Reading Score]]+Table1[[#This Row],[Writing Score]]</f>
        <v>155</v>
      </c>
      <c r="Q931" s="16">
        <f>COUNTIF(Table1[[#This Row],[Math Score]],"&lt;60")+COUNTIF(Table1[[#This Row],[Reading Score]],"&lt;60")+COUNTIF(Table1[[#This Row],[Writing Score]],"&lt;60")</f>
        <v>3</v>
      </c>
      <c r="R931" t="str">
        <f>IF(Table1[[#This Row],[Fail Count]]&gt;=2,"At risk","OK")</f>
        <v>At risk</v>
      </c>
    </row>
    <row r="932" spans="1:18">
      <c r="A932" t="str">
        <f t="shared" si="14"/>
        <v>Stu-931</v>
      </c>
      <c r="B932" t="s">
        <v>27</v>
      </c>
      <c r="C932" t="s">
        <v>19</v>
      </c>
      <c r="D932" t="s">
        <v>20</v>
      </c>
      <c r="E932" t="s">
        <v>30</v>
      </c>
      <c r="F932" t="s">
        <v>21</v>
      </c>
      <c r="G932" s="16">
        <v>67</v>
      </c>
      <c r="H932">
        <f>RANK(G932,$G$2:$G$1001,0)+COUNTIF($G$2:G932,G932)-1</f>
        <v>491</v>
      </c>
      <c r="I932" t="str">
        <f>INDEX('Boundary table'!$B$3:$B$7,MATCH(G932,'Boundary table'!$A$3:$A$7,1))</f>
        <v>D</v>
      </c>
      <c r="J932" s="16">
        <v>74</v>
      </c>
      <c r="K932">
        <f>RANK(J932,$J$2:$J$1001,0)+COUNTIF($J$2:J932,J932)-1</f>
        <v>402</v>
      </c>
      <c r="L932" t="str">
        <f>INDEX('Boundary table'!$B$3:$B$7,MATCH(J932,'Boundary table'!$A$3:$A$7,1))</f>
        <v>C</v>
      </c>
      <c r="M932" s="16">
        <v>70</v>
      </c>
      <c r="N932">
        <f>RANK(M932,$M$2:$M$1001,0)+COUNTIF($M$2:M932,M932)-1</f>
        <v>489</v>
      </c>
      <c r="O932" t="str">
        <f>INDEX('Boundary table'!$B$3:$B$7,MATCH(M932,'Boundary table'!$A$3:$A$7))</f>
        <v>C</v>
      </c>
      <c r="P932">
        <f>Table1[[#This Row],[Math Score]]+Table1[[#This Row],[Reading Score]]+Table1[[#This Row],[Writing Score]]</f>
        <v>211</v>
      </c>
      <c r="Q932" s="16">
        <f>COUNTIF(Table1[[#This Row],[Math Score]],"&lt;60")+COUNTIF(Table1[[#This Row],[Reading Score]],"&lt;60")+COUNTIF(Table1[[#This Row],[Writing Score]],"&lt;60")</f>
        <v>0</v>
      </c>
      <c r="R932" t="str">
        <f>IF(Table1[[#This Row],[Fail Count]]&gt;=2,"At risk","OK")</f>
        <v>OK</v>
      </c>
    </row>
    <row r="933" spans="1:18">
      <c r="A933" t="str">
        <f t="shared" si="14"/>
        <v>Stu-932</v>
      </c>
      <c r="B933" t="s">
        <v>27</v>
      </c>
      <c r="C933" t="s">
        <v>31</v>
      </c>
      <c r="D933" t="s">
        <v>20</v>
      </c>
      <c r="E933" t="s">
        <v>30</v>
      </c>
      <c r="F933" t="s">
        <v>15</v>
      </c>
      <c r="G933" s="16">
        <v>62</v>
      </c>
      <c r="H933">
        <f>RANK(G933,$G$2:$G$1001,0)+COUNTIF($G$2:G933,G933)-1</f>
        <v>629</v>
      </c>
      <c r="I933" t="str">
        <f>INDEX('Boundary table'!$B$3:$B$7,MATCH(G933,'Boundary table'!$A$3:$A$7,1))</f>
        <v>D</v>
      </c>
      <c r="J933" s="16">
        <v>57</v>
      </c>
      <c r="K933">
        <f>RANK(J933,$J$2:$J$1001,0)+COUNTIF($J$2:J933,J933)-1</f>
        <v>805</v>
      </c>
      <c r="L933" t="str">
        <f>INDEX('Boundary table'!$B$3:$B$7,MATCH(J933,'Boundary table'!$A$3:$A$7,1))</f>
        <v>F</v>
      </c>
      <c r="M933" s="16">
        <v>62</v>
      </c>
      <c r="N933">
        <f>RANK(M933,$M$2:$M$1001,0)+COUNTIF($M$2:M933,M933)-1</f>
        <v>676</v>
      </c>
      <c r="O933" t="str">
        <f>INDEX('Boundary table'!$B$3:$B$7,MATCH(M933,'Boundary table'!$A$3:$A$7))</f>
        <v>D</v>
      </c>
      <c r="P933">
        <f>Table1[[#This Row],[Math Score]]+Table1[[#This Row],[Reading Score]]+Table1[[#This Row],[Writing Score]]</f>
        <v>181</v>
      </c>
      <c r="Q933" s="16">
        <f>COUNTIF(Table1[[#This Row],[Math Score]],"&lt;60")+COUNTIF(Table1[[#This Row],[Reading Score]],"&lt;60")+COUNTIF(Table1[[#This Row],[Writing Score]],"&lt;60")</f>
        <v>1</v>
      </c>
      <c r="R933" t="str">
        <f>IF(Table1[[#This Row],[Fail Count]]&gt;=2,"At risk","OK")</f>
        <v>OK</v>
      </c>
    </row>
    <row r="934" spans="1:18">
      <c r="A934" t="str">
        <f t="shared" si="14"/>
        <v>Stu-933</v>
      </c>
      <c r="B934" t="s">
        <v>27</v>
      </c>
      <c r="C934" t="s">
        <v>31</v>
      </c>
      <c r="D934" t="s">
        <v>29</v>
      </c>
      <c r="E934" t="s">
        <v>30</v>
      </c>
      <c r="F934" t="s">
        <v>21</v>
      </c>
      <c r="G934" s="16">
        <v>61</v>
      </c>
      <c r="H934">
        <f>RANK(G934,$G$2:$G$1001,0)+COUNTIF($G$2:G934,G934)-1</f>
        <v>660</v>
      </c>
      <c r="I934" t="str">
        <f>INDEX('Boundary table'!$B$3:$B$7,MATCH(G934,'Boundary table'!$A$3:$A$7,1))</f>
        <v>D</v>
      </c>
      <c r="J934" s="16">
        <v>71</v>
      </c>
      <c r="K934">
        <f>RANK(J934,$J$2:$J$1001,0)+COUNTIF($J$2:J934,J934)-1</f>
        <v>486</v>
      </c>
      <c r="L934" t="str">
        <f>INDEX('Boundary table'!$B$3:$B$7,MATCH(J934,'Boundary table'!$A$3:$A$7,1))</f>
        <v>C</v>
      </c>
      <c r="M934" s="16">
        <v>73</v>
      </c>
      <c r="N934">
        <f>RANK(M934,$M$2:$M$1001,0)+COUNTIF($M$2:M934,M934)-1</f>
        <v>412</v>
      </c>
      <c r="O934" t="str">
        <f>INDEX('Boundary table'!$B$3:$B$7,MATCH(M934,'Boundary table'!$A$3:$A$7))</f>
        <v>C</v>
      </c>
      <c r="P934">
        <f>Table1[[#This Row],[Math Score]]+Table1[[#This Row],[Reading Score]]+Table1[[#This Row],[Writing Score]]</f>
        <v>205</v>
      </c>
      <c r="Q934" s="16">
        <f>COUNTIF(Table1[[#This Row],[Math Score]],"&lt;60")+COUNTIF(Table1[[#This Row],[Reading Score]],"&lt;60")+COUNTIF(Table1[[#This Row],[Writing Score]],"&lt;60")</f>
        <v>0</v>
      </c>
      <c r="R934" t="str">
        <f>IF(Table1[[#This Row],[Fail Count]]&gt;=2,"At risk","OK")</f>
        <v>OK</v>
      </c>
    </row>
    <row r="935" spans="1:18">
      <c r="A935" t="str">
        <f t="shared" si="14"/>
        <v>Stu-934</v>
      </c>
      <c r="B935" t="s">
        <v>27</v>
      </c>
      <c r="C935" t="s">
        <v>19</v>
      </c>
      <c r="D935" t="s">
        <v>13</v>
      </c>
      <c r="E935" t="s">
        <v>30</v>
      </c>
      <c r="F935" t="s">
        <v>21</v>
      </c>
      <c r="G935" s="16">
        <v>70</v>
      </c>
      <c r="H935">
        <f>RANK(G935,$G$2:$G$1001,0)+COUNTIF($G$2:G935,G935)-1</f>
        <v>408</v>
      </c>
      <c r="I935" t="str">
        <f>INDEX('Boundary table'!$B$3:$B$7,MATCH(G935,'Boundary table'!$A$3:$A$7,1))</f>
        <v>C</v>
      </c>
      <c r="J935" s="16">
        <v>75</v>
      </c>
      <c r="K935">
        <f>RANK(J935,$J$2:$J$1001,0)+COUNTIF($J$2:J935,J935)-1</f>
        <v>367</v>
      </c>
      <c r="L935" t="str">
        <f>INDEX('Boundary table'!$B$3:$B$7,MATCH(J935,'Boundary table'!$A$3:$A$7,1))</f>
        <v>C</v>
      </c>
      <c r="M935" s="16">
        <v>74</v>
      </c>
      <c r="N935">
        <f>RANK(M935,$M$2:$M$1001,0)+COUNTIF($M$2:M935,M935)-1</f>
        <v>384</v>
      </c>
      <c r="O935" t="str">
        <f>INDEX('Boundary table'!$B$3:$B$7,MATCH(M935,'Boundary table'!$A$3:$A$7))</f>
        <v>C</v>
      </c>
      <c r="P935">
        <f>Table1[[#This Row],[Math Score]]+Table1[[#This Row],[Reading Score]]+Table1[[#This Row],[Writing Score]]</f>
        <v>219</v>
      </c>
      <c r="Q935" s="16">
        <f>COUNTIF(Table1[[#This Row],[Math Score]],"&lt;60")+COUNTIF(Table1[[#This Row],[Reading Score]],"&lt;60")+COUNTIF(Table1[[#This Row],[Writing Score]],"&lt;60")</f>
        <v>0</v>
      </c>
      <c r="R935" t="str">
        <f>IF(Table1[[#This Row],[Fail Count]]&gt;=2,"At risk","OK")</f>
        <v>OK</v>
      </c>
    </row>
    <row r="936" spans="1:18">
      <c r="A936" t="str">
        <f t="shared" si="14"/>
        <v>Stu-935</v>
      </c>
      <c r="B936" t="s">
        <v>27</v>
      </c>
      <c r="C936" t="s">
        <v>19</v>
      </c>
      <c r="D936" t="s">
        <v>29</v>
      </c>
      <c r="E936" t="s">
        <v>14</v>
      </c>
      <c r="F936" t="s">
        <v>21</v>
      </c>
      <c r="G936" s="16">
        <v>98</v>
      </c>
      <c r="H936">
        <f>RANK(G936,$G$2:$G$1001,0)+COUNTIF($G$2:G936,G936)-1</f>
        <v>13</v>
      </c>
      <c r="I936" t="str">
        <f>INDEX('Boundary table'!$B$3:$B$7,MATCH(G936,'Boundary table'!$A$3:$A$7,1))</f>
        <v>A</v>
      </c>
      <c r="J936" s="16">
        <v>87</v>
      </c>
      <c r="K936">
        <f>RANK(J936,$J$2:$J$1001,0)+COUNTIF($J$2:J936,J936)-1</f>
        <v>111</v>
      </c>
      <c r="L936" t="str">
        <f>INDEX('Boundary table'!$B$3:$B$7,MATCH(J936,'Boundary table'!$A$3:$A$7,1))</f>
        <v>B</v>
      </c>
      <c r="M936" s="16">
        <v>90</v>
      </c>
      <c r="N936">
        <f>RANK(M936,$M$2:$M$1001,0)+COUNTIF($M$2:M936,M936)-1</f>
        <v>78</v>
      </c>
      <c r="O936" t="str">
        <f>INDEX('Boundary table'!$B$3:$B$7,MATCH(M936,'Boundary table'!$A$3:$A$7))</f>
        <v>A</v>
      </c>
      <c r="P936">
        <f>Table1[[#This Row],[Math Score]]+Table1[[#This Row],[Reading Score]]+Table1[[#This Row],[Writing Score]]</f>
        <v>275</v>
      </c>
      <c r="Q936" s="16">
        <f>COUNTIF(Table1[[#This Row],[Math Score]],"&lt;60")+COUNTIF(Table1[[#This Row],[Reading Score]],"&lt;60")+COUNTIF(Table1[[#This Row],[Writing Score]],"&lt;60")</f>
        <v>0</v>
      </c>
      <c r="R936" t="str">
        <f>IF(Table1[[#This Row],[Fail Count]]&gt;=2,"At risk","OK")</f>
        <v>OK</v>
      </c>
    </row>
    <row r="937" spans="1:18">
      <c r="A937" t="str">
        <f t="shared" si="14"/>
        <v>Stu-936</v>
      </c>
      <c r="B937" t="s">
        <v>27</v>
      </c>
      <c r="C937" t="s">
        <v>31</v>
      </c>
      <c r="D937" t="s">
        <v>20</v>
      </c>
      <c r="E937" t="s">
        <v>30</v>
      </c>
      <c r="F937" t="s">
        <v>15</v>
      </c>
      <c r="G937" s="16">
        <v>70</v>
      </c>
      <c r="H937">
        <f>RANK(G937,$G$2:$G$1001,0)+COUNTIF($G$2:G937,G937)-1</f>
        <v>409</v>
      </c>
      <c r="I937" t="str">
        <f>INDEX('Boundary table'!$B$3:$B$7,MATCH(G937,'Boundary table'!$A$3:$A$7,1))</f>
        <v>C</v>
      </c>
      <c r="J937" s="16">
        <v>63</v>
      </c>
      <c r="K937">
        <f>RANK(J937,$J$2:$J$1001,0)+COUNTIF($J$2:J937,J937)-1</f>
        <v>675</v>
      </c>
      <c r="L937" t="str">
        <f>INDEX('Boundary table'!$B$3:$B$7,MATCH(J937,'Boundary table'!$A$3:$A$7,1))</f>
        <v>D</v>
      </c>
      <c r="M937" s="16">
        <v>58</v>
      </c>
      <c r="N937">
        <f>RANK(M937,$M$2:$M$1001,0)+COUNTIF($M$2:M937,M937)-1</f>
        <v>747</v>
      </c>
      <c r="O937" t="str">
        <f>INDEX('Boundary table'!$B$3:$B$7,MATCH(M937,'Boundary table'!$A$3:$A$7))</f>
        <v>F</v>
      </c>
      <c r="P937">
        <f>Table1[[#This Row],[Math Score]]+Table1[[#This Row],[Reading Score]]+Table1[[#This Row],[Writing Score]]</f>
        <v>191</v>
      </c>
      <c r="Q937" s="16">
        <f>COUNTIF(Table1[[#This Row],[Math Score]],"&lt;60")+COUNTIF(Table1[[#This Row],[Reading Score]],"&lt;60")+COUNTIF(Table1[[#This Row],[Writing Score]],"&lt;60")</f>
        <v>1</v>
      </c>
      <c r="R937" t="str">
        <f>IF(Table1[[#This Row],[Fail Count]]&gt;=2,"At risk","OK")</f>
        <v>OK</v>
      </c>
    </row>
    <row r="938" spans="1:18">
      <c r="A938" t="str">
        <f t="shared" si="14"/>
        <v>Stu-937</v>
      </c>
      <c r="B938" t="s">
        <v>27</v>
      </c>
      <c r="C938" t="s">
        <v>28</v>
      </c>
      <c r="D938" t="s">
        <v>29</v>
      </c>
      <c r="E938" t="s">
        <v>14</v>
      </c>
      <c r="F938" t="s">
        <v>15</v>
      </c>
      <c r="G938" s="16">
        <v>67</v>
      </c>
      <c r="H938">
        <f>RANK(G938,$G$2:$G$1001,0)+COUNTIF($G$2:G938,G938)-1</f>
        <v>492</v>
      </c>
      <c r="I938" t="str">
        <f>INDEX('Boundary table'!$B$3:$B$7,MATCH(G938,'Boundary table'!$A$3:$A$7,1))</f>
        <v>D</v>
      </c>
      <c r="J938" s="16">
        <v>57</v>
      </c>
      <c r="K938">
        <f>RANK(J938,$J$2:$J$1001,0)+COUNTIF($J$2:J938,J938)-1</f>
        <v>806</v>
      </c>
      <c r="L938" t="str">
        <f>INDEX('Boundary table'!$B$3:$B$7,MATCH(J938,'Boundary table'!$A$3:$A$7,1))</f>
        <v>F</v>
      </c>
      <c r="M938" s="16">
        <v>53</v>
      </c>
      <c r="N938">
        <f>RANK(M938,$M$2:$M$1001,0)+COUNTIF($M$2:M938,M938)-1</f>
        <v>838</v>
      </c>
      <c r="O938" t="str">
        <f>INDEX('Boundary table'!$B$3:$B$7,MATCH(M938,'Boundary table'!$A$3:$A$7))</f>
        <v>F</v>
      </c>
      <c r="P938">
        <f>Table1[[#This Row],[Math Score]]+Table1[[#This Row],[Reading Score]]+Table1[[#This Row],[Writing Score]]</f>
        <v>177</v>
      </c>
      <c r="Q938" s="16">
        <f>COUNTIF(Table1[[#This Row],[Math Score]],"&lt;60")+COUNTIF(Table1[[#This Row],[Reading Score]],"&lt;60")+COUNTIF(Table1[[#This Row],[Writing Score]],"&lt;60")</f>
        <v>2</v>
      </c>
      <c r="R938" t="str">
        <f>IF(Table1[[#This Row],[Fail Count]]&gt;=2,"At risk","OK")</f>
        <v>At risk</v>
      </c>
    </row>
    <row r="939" spans="1:18">
      <c r="A939" t="str">
        <f t="shared" si="14"/>
        <v>Stu-938</v>
      </c>
      <c r="B939" t="s">
        <v>11</v>
      </c>
      <c r="C939" t="s">
        <v>34</v>
      </c>
      <c r="D939" t="s">
        <v>32</v>
      </c>
      <c r="E939" t="s">
        <v>30</v>
      </c>
      <c r="F939" t="s">
        <v>15</v>
      </c>
      <c r="G939" s="16">
        <v>57</v>
      </c>
      <c r="H939">
        <f>RANK(G939,$G$2:$G$1001,0)+COUNTIF($G$2:G939,G939)-1</f>
        <v>750</v>
      </c>
      <c r="I939" t="str">
        <f>INDEX('Boundary table'!$B$3:$B$7,MATCH(G939,'Boundary table'!$A$3:$A$7,1))</f>
        <v>F</v>
      </c>
      <c r="J939" s="16">
        <v>58</v>
      </c>
      <c r="K939">
        <f>RANK(J939,$J$2:$J$1001,0)+COUNTIF($J$2:J939,J939)-1</f>
        <v>789</v>
      </c>
      <c r="L939" t="str">
        <f>INDEX('Boundary table'!$B$3:$B$7,MATCH(J939,'Boundary table'!$A$3:$A$7,1))</f>
        <v>F</v>
      </c>
      <c r="M939" s="16">
        <v>57</v>
      </c>
      <c r="N939">
        <f>RANK(M939,$M$2:$M$1001,0)+COUNTIF($M$2:M939,M939)-1</f>
        <v>769</v>
      </c>
      <c r="O939" t="str">
        <f>INDEX('Boundary table'!$B$3:$B$7,MATCH(M939,'Boundary table'!$A$3:$A$7))</f>
        <v>F</v>
      </c>
      <c r="P939">
        <f>Table1[[#This Row],[Math Score]]+Table1[[#This Row],[Reading Score]]+Table1[[#This Row],[Writing Score]]</f>
        <v>172</v>
      </c>
      <c r="Q939" s="16">
        <f>COUNTIF(Table1[[#This Row],[Math Score]],"&lt;60")+COUNTIF(Table1[[#This Row],[Reading Score]],"&lt;60")+COUNTIF(Table1[[#This Row],[Writing Score]],"&lt;60")</f>
        <v>3</v>
      </c>
      <c r="R939" t="str">
        <f>IF(Table1[[#This Row],[Fail Count]]&gt;=2,"At risk","OK")</f>
        <v>At risk</v>
      </c>
    </row>
    <row r="940" spans="1:18">
      <c r="A940" t="str">
        <f t="shared" si="14"/>
        <v>Stu-939</v>
      </c>
      <c r="B940" t="s">
        <v>27</v>
      </c>
      <c r="C940" t="s">
        <v>31</v>
      </c>
      <c r="D940" t="s">
        <v>20</v>
      </c>
      <c r="E940" t="s">
        <v>14</v>
      </c>
      <c r="F940" t="s">
        <v>21</v>
      </c>
      <c r="G940" s="16">
        <v>85</v>
      </c>
      <c r="H940">
        <f>RANK(G940,$G$2:$G$1001,0)+COUNTIF($G$2:G940,G940)-1</f>
        <v>117</v>
      </c>
      <c r="I940" t="str">
        <f>INDEX('Boundary table'!$B$3:$B$7,MATCH(G940,'Boundary table'!$A$3:$A$7,1))</f>
        <v>B</v>
      </c>
      <c r="J940" s="16">
        <v>81</v>
      </c>
      <c r="K940">
        <f>RANK(J940,$J$2:$J$1001,0)+COUNTIF($J$2:J940,J940)-1</f>
        <v>233</v>
      </c>
      <c r="L940" t="str">
        <f>INDEX('Boundary table'!$B$3:$B$7,MATCH(J940,'Boundary table'!$A$3:$A$7,1))</f>
        <v>B</v>
      </c>
      <c r="M940" s="16">
        <v>85</v>
      </c>
      <c r="N940">
        <f>RANK(M940,$M$2:$M$1001,0)+COUNTIF($M$2:M940,M940)-1</f>
        <v>135</v>
      </c>
      <c r="O940" t="str">
        <f>INDEX('Boundary table'!$B$3:$B$7,MATCH(M940,'Boundary table'!$A$3:$A$7))</f>
        <v>B</v>
      </c>
      <c r="P940">
        <f>Table1[[#This Row],[Math Score]]+Table1[[#This Row],[Reading Score]]+Table1[[#This Row],[Writing Score]]</f>
        <v>251</v>
      </c>
      <c r="Q940" s="16">
        <f>COUNTIF(Table1[[#This Row],[Math Score]],"&lt;60")+COUNTIF(Table1[[#This Row],[Reading Score]],"&lt;60")+COUNTIF(Table1[[#This Row],[Writing Score]],"&lt;60")</f>
        <v>0</v>
      </c>
      <c r="R940" t="str">
        <f>IF(Table1[[#This Row],[Fail Count]]&gt;=2,"At risk","OK")</f>
        <v>OK</v>
      </c>
    </row>
    <row r="941" spans="1:18">
      <c r="A941" t="str">
        <f t="shared" si="14"/>
        <v>Stu-940</v>
      </c>
      <c r="B941" t="s">
        <v>27</v>
      </c>
      <c r="C941" t="s">
        <v>31</v>
      </c>
      <c r="D941" t="s">
        <v>33</v>
      </c>
      <c r="E941" t="s">
        <v>14</v>
      </c>
      <c r="F941" t="s">
        <v>21</v>
      </c>
      <c r="G941" s="16">
        <v>77</v>
      </c>
      <c r="H941">
        <f>RANK(G941,$G$2:$G$1001,0)+COUNTIF($G$2:G941,G941)-1</f>
        <v>252</v>
      </c>
      <c r="I941" t="str">
        <f>INDEX('Boundary table'!$B$3:$B$7,MATCH(G941,'Boundary table'!$A$3:$A$7,1))</f>
        <v>C</v>
      </c>
      <c r="J941" s="16">
        <v>68</v>
      </c>
      <c r="K941">
        <f>RANK(J941,$J$2:$J$1001,0)+COUNTIF($J$2:J941,J941)-1</f>
        <v>549</v>
      </c>
      <c r="L941" t="str">
        <f>INDEX('Boundary table'!$B$3:$B$7,MATCH(J941,'Boundary table'!$A$3:$A$7,1))</f>
        <v>D</v>
      </c>
      <c r="M941" s="16">
        <v>69</v>
      </c>
      <c r="N941">
        <f>RANK(M941,$M$2:$M$1001,0)+COUNTIF($M$2:M941,M941)-1</f>
        <v>510</v>
      </c>
      <c r="O941" t="str">
        <f>INDEX('Boundary table'!$B$3:$B$7,MATCH(M941,'Boundary table'!$A$3:$A$7))</f>
        <v>D</v>
      </c>
      <c r="P941">
        <f>Table1[[#This Row],[Math Score]]+Table1[[#This Row],[Reading Score]]+Table1[[#This Row],[Writing Score]]</f>
        <v>214</v>
      </c>
      <c r="Q941" s="16">
        <f>COUNTIF(Table1[[#This Row],[Math Score]],"&lt;60")+COUNTIF(Table1[[#This Row],[Reading Score]],"&lt;60")+COUNTIF(Table1[[#This Row],[Writing Score]],"&lt;60")</f>
        <v>0</v>
      </c>
      <c r="R941" t="str">
        <f>IF(Table1[[#This Row],[Fail Count]]&gt;=2,"At risk","OK")</f>
        <v>OK</v>
      </c>
    </row>
    <row r="942" spans="1:18">
      <c r="A942" t="str">
        <f t="shared" si="14"/>
        <v>Stu-941</v>
      </c>
      <c r="B942" t="s">
        <v>27</v>
      </c>
      <c r="C942" t="s">
        <v>19</v>
      </c>
      <c r="D942" t="s">
        <v>26</v>
      </c>
      <c r="E942" t="s">
        <v>30</v>
      </c>
      <c r="F942" t="s">
        <v>21</v>
      </c>
      <c r="G942" s="16">
        <v>72</v>
      </c>
      <c r="H942">
        <f>RANK(G942,$G$2:$G$1001,0)+COUNTIF($G$2:G942,G942)-1</f>
        <v>363</v>
      </c>
      <c r="I942" t="str">
        <f>INDEX('Boundary table'!$B$3:$B$7,MATCH(G942,'Boundary table'!$A$3:$A$7,1))</f>
        <v>C</v>
      </c>
      <c r="J942" s="16">
        <v>66</v>
      </c>
      <c r="K942">
        <f>RANK(J942,$J$2:$J$1001,0)+COUNTIF($J$2:J942,J942)-1</f>
        <v>607</v>
      </c>
      <c r="L942" t="str">
        <f>INDEX('Boundary table'!$B$3:$B$7,MATCH(J942,'Boundary table'!$A$3:$A$7,1))</f>
        <v>D</v>
      </c>
      <c r="M942" s="16">
        <v>72</v>
      </c>
      <c r="N942">
        <f>RANK(M942,$M$2:$M$1001,0)+COUNTIF($M$2:M942,M942)-1</f>
        <v>436</v>
      </c>
      <c r="O942" t="str">
        <f>INDEX('Boundary table'!$B$3:$B$7,MATCH(M942,'Boundary table'!$A$3:$A$7))</f>
        <v>C</v>
      </c>
      <c r="P942">
        <f>Table1[[#This Row],[Math Score]]+Table1[[#This Row],[Reading Score]]+Table1[[#This Row],[Writing Score]]</f>
        <v>210</v>
      </c>
      <c r="Q942" s="16">
        <f>COUNTIF(Table1[[#This Row],[Math Score]],"&lt;60")+COUNTIF(Table1[[#This Row],[Reading Score]],"&lt;60")+COUNTIF(Table1[[#This Row],[Writing Score]],"&lt;60")</f>
        <v>0</v>
      </c>
      <c r="R942" t="str">
        <f>IF(Table1[[#This Row],[Fail Count]]&gt;=2,"At risk","OK")</f>
        <v>OK</v>
      </c>
    </row>
    <row r="943" spans="1:18">
      <c r="A943" t="str">
        <f t="shared" si="14"/>
        <v>Stu-942</v>
      </c>
      <c r="B943" t="s">
        <v>11</v>
      </c>
      <c r="C943" t="s">
        <v>31</v>
      </c>
      <c r="D943" t="s">
        <v>26</v>
      </c>
      <c r="E943" t="s">
        <v>14</v>
      </c>
      <c r="F943" t="s">
        <v>15</v>
      </c>
      <c r="G943" s="16">
        <v>78</v>
      </c>
      <c r="H943">
        <f>RANK(G943,$G$2:$G$1001,0)+COUNTIF($G$2:G943,G943)-1</f>
        <v>227</v>
      </c>
      <c r="I943" t="str">
        <f>INDEX('Boundary table'!$B$3:$B$7,MATCH(G943,'Boundary table'!$A$3:$A$7,1))</f>
        <v>C</v>
      </c>
      <c r="J943" s="16">
        <v>91</v>
      </c>
      <c r="K943">
        <f>RANK(J943,$J$2:$J$1001,0)+COUNTIF($J$2:J943,J943)-1</f>
        <v>62</v>
      </c>
      <c r="L943" t="str">
        <f>INDEX('Boundary table'!$B$3:$B$7,MATCH(J943,'Boundary table'!$A$3:$A$7,1))</f>
        <v>A</v>
      </c>
      <c r="M943" s="16">
        <v>96</v>
      </c>
      <c r="N943">
        <f>RANK(M943,$M$2:$M$1001,0)+COUNTIF($M$2:M943,M943)-1</f>
        <v>26</v>
      </c>
      <c r="O943" t="str">
        <f>INDEX('Boundary table'!$B$3:$B$7,MATCH(M943,'Boundary table'!$A$3:$A$7))</f>
        <v>A</v>
      </c>
      <c r="P943">
        <f>Table1[[#This Row],[Math Score]]+Table1[[#This Row],[Reading Score]]+Table1[[#This Row],[Writing Score]]</f>
        <v>265</v>
      </c>
      <c r="Q943" s="16">
        <f>COUNTIF(Table1[[#This Row],[Math Score]],"&lt;60")+COUNTIF(Table1[[#This Row],[Reading Score]],"&lt;60")+COUNTIF(Table1[[#This Row],[Writing Score]],"&lt;60")</f>
        <v>0</v>
      </c>
      <c r="R943" t="str">
        <f>IF(Table1[[#This Row],[Fail Count]]&gt;=2,"At risk","OK")</f>
        <v>OK</v>
      </c>
    </row>
    <row r="944" spans="1:18">
      <c r="A944" t="str">
        <f t="shared" si="14"/>
        <v>Stu-943</v>
      </c>
      <c r="B944" t="s">
        <v>27</v>
      </c>
      <c r="C944" t="s">
        <v>19</v>
      </c>
      <c r="D944" t="s">
        <v>32</v>
      </c>
      <c r="E944" t="s">
        <v>14</v>
      </c>
      <c r="F944" t="s">
        <v>15</v>
      </c>
      <c r="G944" s="16">
        <v>81</v>
      </c>
      <c r="H944">
        <f>RANK(G944,$G$2:$G$1001,0)+COUNTIF($G$2:G944,G944)-1</f>
        <v>174</v>
      </c>
      <c r="I944" t="str">
        <f>INDEX('Boundary table'!$B$3:$B$7,MATCH(G944,'Boundary table'!$A$3:$A$7,1))</f>
        <v>B</v>
      </c>
      <c r="J944" s="16">
        <v>66</v>
      </c>
      <c r="K944">
        <f>RANK(J944,$J$2:$J$1001,0)+COUNTIF($J$2:J944,J944)-1</f>
        <v>608</v>
      </c>
      <c r="L944" t="str">
        <f>INDEX('Boundary table'!$B$3:$B$7,MATCH(J944,'Boundary table'!$A$3:$A$7,1))</f>
        <v>D</v>
      </c>
      <c r="M944" s="16">
        <v>64</v>
      </c>
      <c r="N944">
        <f>RANK(M944,$M$2:$M$1001,0)+COUNTIF($M$2:M944,M944)-1</f>
        <v>634</v>
      </c>
      <c r="O944" t="str">
        <f>INDEX('Boundary table'!$B$3:$B$7,MATCH(M944,'Boundary table'!$A$3:$A$7))</f>
        <v>D</v>
      </c>
      <c r="P944">
        <f>Table1[[#This Row],[Math Score]]+Table1[[#This Row],[Reading Score]]+Table1[[#This Row],[Writing Score]]</f>
        <v>211</v>
      </c>
      <c r="Q944" s="16">
        <f>COUNTIF(Table1[[#This Row],[Math Score]],"&lt;60")+COUNTIF(Table1[[#This Row],[Reading Score]],"&lt;60")+COUNTIF(Table1[[#This Row],[Writing Score]],"&lt;60")</f>
        <v>0</v>
      </c>
      <c r="R944" t="str">
        <f>IF(Table1[[#This Row],[Fail Count]]&gt;=2,"At risk","OK")</f>
        <v>OK</v>
      </c>
    </row>
    <row r="945" spans="1:18">
      <c r="A945" t="str">
        <f t="shared" si="14"/>
        <v>Stu-944</v>
      </c>
      <c r="B945" t="s">
        <v>27</v>
      </c>
      <c r="C945" t="s">
        <v>28</v>
      </c>
      <c r="D945" t="s">
        <v>33</v>
      </c>
      <c r="E945" t="s">
        <v>30</v>
      </c>
      <c r="F945" t="s">
        <v>21</v>
      </c>
      <c r="G945" s="16">
        <v>61</v>
      </c>
      <c r="H945">
        <f>RANK(G945,$G$2:$G$1001,0)+COUNTIF($G$2:G945,G945)-1</f>
        <v>661</v>
      </c>
      <c r="I945" t="str">
        <f>INDEX('Boundary table'!$B$3:$B$7,MATCH(G945,'Boundary table'!$A$3:$A$7,1))</f>
        <v>D</v>
      </c>
      <c r="J945" s="16">
        <v>62</v>
      </c>
      <c r="K945">
        <f>RANK(J945,$J$2:$J$1001,0)+COUNTIF($J$2:J945,J945)-1</f>
        <v>700</v>
      </c>
      <c r="L945" t="str">
        <f>INDEX('Boundary table'!$B$3:$B$7,MATCH(J945,'Boundary table'!$A$3:$A$7,1))</f>
        <v>D</v>
      </c>
      <c r="M945" s="16">
        <v>61</v>
      </c>
      <c r="N945">
        <f>RANK(M945,$M$2:$M$1001,0)+COUNTIF($M$2:M945,M945)-1</f>
        <v>697</v>
      </c>
      <c r="O945" t="str">
        <f>INDEX('Boundary table'!$B$3:$B$7,MATCH(M945,'Boundary table'!$A$3:$A$7))</f>
        <v>D</v>
      </c>
      <c r="P945">
        <f>Table1[[#This Row],[Math Score]]+Table1[[#This Row],[Reading Score]]+Table1[[#This Row],[Writing Score]]</f>
        <v>184</v>
      </c>
      <c r="Q945" s="16">
        <f>COUNTIF(Table1[[#This Row],[Math Score]],"&lt;60")+COUNTIF(Table1[[#This Row],[Reading Score]],"&lt;60")+COUNTIF(Table1[[#This Row],[Writing Score]],"&lt;60")</f>
        <v>0</v>
      </c>
      <c r="R945" t="str">
        <f>IF(Table1[[#This Row],[Fail Count]]&gt;=2,"At risk","OK")</f>
        <v>OK</v>
      </c>
    </row>
    <row r="946" spans="1:18">
      <c r="A946" t="str">
        <f t="shared" si="14"/>
        <v>Stu-945</v>
      </c>
      <c r="B946" t="s">
        <v>11</v>
      </c>
      <c r="C946" t="s">
        <v>12</v>
      </c>
      <c r="D946" t="s">
        <v>32</v>
      </c>
      <c r="E946" t="s">
        <v>14</v>
      </c>
      <c r="F946" t="s">
        <v>15</v>
      </c>
      <c r="G946" s="16">
        <v>58</v>
      </c>
      <c r="H946">
        <f>RANK(G946,$G$2:$G$1001,0)+COUNTIF($G$2:G946,G946)-1</f>
        <v>733</v>
      </c>
      <c r="I946" t="str">
        <f>INDEX('Boundary table'!$B$3:$B$7,MATCH(G946,'Boundary table'!$A$3:$A$7,1))</f>
        <v>F</v>
      </c>
      <c r="J946" s="16">
        <v>68</v>
      </c>
      <c r="K946">
        <f>RANK(J946,$J$2:$J$1001,0)+COUNTIF($J$2:J946,J946)-1</f>
        <v>550</v>
      </c>
      <c r="L946" t="str">
        <f>INDEX('Boundary table'!$B$3:$B$7,MATCH(J946,'Boundary table'!$A$3:$A$7,1))</f>
        <v>D</v>
      </c>
      <c r="M946" s="16">
        <v>61</v>
      </c>
      <c r="N946">
        <f>RANK(M946,$M$2:$M$1001,0)+COUNTIF($M$2:M946,M946)-1</f>
        <v>698</v>
      </c>
      <c r="O946" t="str">
        <f>INDEX('Boundary table'!$B$3:$B$7,MATCH(M946,'Boundary table'!$A$3:$A$7))</f>
        <v>D</v>
      </c>
      <c r="P946">
        <f>Table1[[#This Row],[Math Score]]+Table1[[#This Row],[Reading Score]]+Table1[[#This Row],[Writing Score]]</f>
        <v>187</v>
      </c>
      <c r="Q946" s="16">
        <f>COUNTIF(Table1[[#This Row],[Math Score]],"&lt;60")+COUNTIF(Table1[[#This Row],[Reading Score]],"&lt;60")+COUNTIF(Table1[[#This Row],[Writing Score]],"&lt;60")</f>
        <v>1</v>
      </c>
      <c r="R946" t="str">
        <f>IF(Table1[[#This Row],[Fail Count]]&gt;=2,"At risk","OK")</f>
        <v>OK</v>
      </c>
    </row>
    <row r="947" spans="1:18">
      <c r="A947" t="str">
        <f t="shared" si="14"/>
        <v>Stu-946</v>
      </c>
      <c r="B947" t="s">
        <v>11</v>
      </c>
      <c r="C947" t="s">
        <v>19</v>
      </c>
      <c r="D947" t="s">
        <v>29</v>
      </c>
      <c r="E947" t="s">
        <v>14</v>
      </c>
      <c r="F947" t="s">
        <v>15</v>
      </c>
      <c r="G947" s="16">
        <v>54</v>
      </c>
      <c r="H947">
        <f>RANK(G947,$G$2:$G$1001,0)+COUNTIF($G$2:G947,G947)-1</f>
        <v>796</v>
      </c>
      <c r="I947" t="str">
        <f>INDEX('Boundary table'!$B$3:$B$7,MATCH(G947,'Boundary table'!$A$3:$A$7,1))</f>
        <v>F</v>
      </c>
      <c r="J947" s="16">
        <v>61</v>
      </c>
      <c r="K947">
        <f>RANK(J947,$J$2:$J$1001,0)+COUNTIF($J$2:J947,J947)-1</f>
        <v>725</v>
      </c>
      <c r="L947" t="str">
        <f>INDEX('Boundary table'!$B$3:$B$7,MATCH(J947,'Boundary table'!$A$3:$A$7,1))</f>
        <v>D</v>
      </c>
      <c r="M947" s="16">
        <v>58</v>
      </c>
      <c r="N947">
        <f>RANK(M947,$M$2:$M$1001,0)+COUNTIF($M$2:M947,M947)-1</f>
        <v>748</v>
      </c>
      <c r="O947" t="str">
        <f>INDEX('Boundary table'!$B$3:$B$7,MATCH(M947,'Boundary table'!$A$3:$A$7))</f>
        <v>F</v>
      </c>
      <c r="P947">
        <f>Table1[[#This Row],[Math Score]]+Table1[[#This Row],[Reading Score]]+Table1[[#This Row],[Writing Score]]</f>
        <v>173</v>
      </c>
      <c r="Q947" s="16">
        <f>COUNTIF(Table1[[#This Row],[Math Score]],"&lt;60")+COUNTIF(Table1[[#This Row],[Reading Score]],"&lt;60")+COUNTIF(Table1[[#This Row],[Writing Score]],"&lt;60")</f>
        <v>2</v>
      </c>
      <c r="R947" t="str">
        <f>IF(Table1[[#This Row],[Fail Count]]&gt;=2,"At risk","OK")</f>
        <v>At risk</v>
      </c>
    </row>
    <row r="948" spans="1:18">
      <c r="A948" t="str">
        <f t="shared" si="14"/>
        <v>Stu-947</v>
      </c>
      <c r="B948" t="s">
        <v>27</v>
      </c>
      <c r="C948" t="s">
        <v>12</v>
      </c>
      <c r="D948" t="s">
        <v>32</v>
      </c>
      <c r="E948" t="s">
        <v>14</v>
      </c>
      <c r="F948" t="s">
        <v>15</v>
      </c>
      <c r="G948" s="16">
        <v>82</v>
      </c>
      <c r="H948">
        <f>RANK(G948,$G$2:$G$1001,0)+COUNTIF($G$2:G948,G948)-1</f>
        <v>154</v>
      </c>
      <c r="I948" t="str">
        <f>INDEX('Boundary table'!$B$3:$B$7,MATCH(G948,'Boundary table'!$A$3:$A$7,1))</f>
        <v>B</v>
      </c>
      <c r="J948" s="16">
        <v>82</v>
      </c>
      <c r="K948">
        <f>RANK(J948,$J$2:$J$1001,0)+COUNTIF($J$2:J948,J948)-1</f>
        <v>208</v>
      </c>
      <c r="L948" t="str">
        <f>INDEX('Boundary table'!$B$3:$B$7,MATCH(J948,'Boundary table'!$A$3:$A$7,1))</f>
        <v>B</v>
      </c>
      <c r="M948" s="16">
        <v>80</v>
      </c>
      <c r="N948">
        <f>RANK(M948,$M$2:$M$1001,0)+COUNTIF($M$2:M948,M948)-1</f>
        <v>234</v>
      </c>
      <c r="O948" t="str">
        <f>INDEX('Boundary table'!$B$3:$B$7,MATCH(M948,'Boundary table'!$A$3:$A$7))</f>
        <v>B</v>
      </c>
      <c r="P948">
        <f>Table1[[#This Row],[Math Score]]+Table1[[#This Row],[Reading Score]]+Table1[[#This Row],[Writing Score]]</f>
        <v>244</v>
      </c>
      <c r="Q948" s="16">
        <f>COUNTIF(Table1[[#This Row],[Math Score]],"&lt;60")+COUNTIF(Table1[[#This Row],[Reading Score]],"&lt;60")+COUNTIF(Table1[[#This Row],[Writing Score]],"&lt;60")</f>
        <v>0</v>
      </c>
      <c r="R948" t="str">
        <f>IF(Table1[[#This Row],[Fail Count]]&gt;=2,"At risk","OK")</f>
        <v>OK</v>
      </c>
    </row>
    <row r="949" spans="1:18">
      <c r="A949" t="str">
        <f t="shared" si="14"/>
        <v>Stu-948</v>
      </c>
      <c r="B949" t="s">
        <v>11</v>
      </c>
      <c r="C949" t="s">
        <v>31</v>
      </c>
      <c r="D949" t="s">
        <v>20</v>
      </c>
      <c r="E949" t="s">
        <v>30</v>
      </c>
      <c r="F949" t="s">
        <v>15</v>
      </c>
      <c r="G949" s="16">
        <v>49</v>
      </c>
      <c r="H949">
        <f>RANK(G949,$G$2:$G$1001,0)+COUNTIF($G$2:G949,G949)-1</f>
        <v>880</v>
      </c>
      <c r="I949" t="str">
        <f>INDEX('Boundary table'!$B$3:$B$7,MATCH(G949,'Boundary table'!$A$3:$A$7,1))</f>
        <v>F</v>
      </c>
      <c r="J949" s="16">
        <v>58</v>
      </c>
      <c r="K949">
        <f>RANK(J949,$J$2:$J$1001,0)+COUNTIF($J$2:J949,J949)-1</f>
        <v>790</v>
      </c>
      <c r="L949" t="str">
        <f>INDEX('Boundary table'!$B$3:$B$7,MATCH(J949,'Boundary table'!$A$3:$A$7,1))</f>
        <v>F</v>
      </c>
      <c r="M949" s="16">
        <v>60</v>
      </c>
      <c r="N949">
        <f>RANK(M949,$M$2:$M$1001,0)+COUNTIF($M$2:M949,M949)-1</f>
        <v>716</v>
      </c>
      <c r="O949" t="str">
        <f>INDEX('Boundary table'!$B$3:$B$7,MATCH(M949,'Boundary table'!$A$3:$A$7))</f>
        <v>D</v>
      </c>
      <c r="P949">
        <f>Table1[[#This Row],[Math Score]]+Table1[[#This Row],[Reading Score]]+Table1[[#This Row],[Writing Score]]</f>
        <v>167</v>
      </c>
      <c r="Q949" s="16">
        <f>COUNTIF(Table1[[#This Row],[Math Score]],"&lt;60")+COUNTIF(Table1[[#This Row],[Reading Score]],"&lt;60")+COUNTIF(Table1[[#This Row],[Writing Score]],"&lt;60")</f>
        <v>2</v>
      </c>
      <c r="R949" t="str">
        <f>IF(Table1[[#This Row],[Fail Count]]&gt;=2,"At risk","OK")</f>
        <v>At risk</v>
      </c>
    </row>
    <row r="950" spans="1:18">
      <c r="A950" t="str">
        <f t="shared" si="14"/>
        <v>Stu-949</v>
      </c>
      <c r="B950" t="s">
        <v>27</v>
      </c>
      <c r="C950" t="s">
        <v>12</v>
      </c>
      <c r="D950" t="s">
        <v>33</v>
      </c>
      <c r="E950" t="s">
        <v>30</v>
      </c>
      <c r="F950" t="s">
        <v>21</v>
      </c>
      <c r="G950" s="16">
        <v>49</v>
      </c>
      <c r="H950">
        <f>RANK(G950,$G$2:$G$1001,0)+COUNTIF($G$2:G950,G950)-1</f>
        <v>881</v>
      </c>
      <c r="I950" t="str">
        <f>INDEX('Boundary table'!$B$3:$B$7,MATCH(G950,'Boundary table'!$A$3:$A$7,1))</f>
        <v>F</v>
      </c>
      <c r="J950" s="16">
        <v>50</v>
      </c>
      <c r="K950">
        <f>RANK(J950,$J$2:$J$1001,0)+COUNTIF($J$2:J950,J950)-1</f>
        <v>909</v>
      </c>
      <c r="L950" t="str">
        <f>INDEX('Boundary table'!$B$3:$B$7,MATCH(J950,'Boundary table'!$A$3:$A$7,1))</f>
        <v>F</v>
      </c>
      <c r="M950" s="16">
        <v>52</v>
      </c>
      <c r="N950">
        <f>RANK(M950,$M$2:$M$1001,0)+COUNTIF($M$2:M950,M950)-1</f>
        <v>859</v>
      </c>
      <c r="O950" t="str">
        <f>INDEX('Boundary table'!$B$3:$B$7,MATCH(M950,'Boundary table'!$A$3:$A$7))</f>
        <v>F</v>
      </c>
      <c r="P950">
        <f>Table1[[#This Row],[Math Score]]+Table1[[#This Row],[Reading Score]]+Table1[[#This Row],[Writing Score]]</f>
        <v>151</v>
      </c>
      <c r="Q950" s="16">
        <f>COUNTIF(Table1[[#This Row],[Math Score]],"&lt;60")+COUNTIF(Table1[[#This Row],[Reading Score]],"&lt;60")+COUNTIF(Table1[[#This Row],[Writing Score]],"&lt;60")</f>
        <v>3</v>
      </c>
      <c r="R950" t="str">
        <f>IF(Table1[[#This Row],[Fail Count]]&gt;=2,"At risk","OK")</f>
        <v>At risk</v>
      </c>
    </row>
    <row r="951" spans="1:18">
      <c r="A951" t="str">
        <f t="shared" si="14"/>
        <v>Stu-950</v>
      </c>
      <c r="B951" t="s">
        <v>11</v>
      </c>
      <c r="C951" t="s">
        <v>34</v>
      </c>
      <c r="D951" t="s">
        <v>32</v>
      </c>
      <c r="E951" t="s">
        <v>30</v>
      </c>
      <c r="F951" t="s">
        <v>21</v>
      </c>
      <c r="G951" s="16">
        <v>57</v>
      </c>
      <c r="H951">
        <f>RANK(G951,$G$2:$G$1001,0)+COUNTIF($G$2:G951,G951)-1</f>
        <v>751</v>
      </c>
      <c r="I951" t="str">
        <f>INDEX('Boundary table'!$B$3:$B$7,MATCH(G951,'Boundary table'!$A$3:$A$7,1))</f>
        <v>F</v>
      </c>
      <c r="J951" s="16">
        <v>75</v>
      </c>
      <c r="K951">
        <f>RANK(J951,$J$2:$J$1001,0)+COUNTIF($J$2:J951,J951)-1</f>
        <v>368</v>
      </c>
      <c r="L951" t="str">
        <f>INDEX('Boundary table'!$B$3:$B$7,MATCH(J951,'Boundary table'!$A$3:$A$7,1))</f>
        <v>C</v>
      </c>
      <c r="M951" s="16">
        <v>73</v>
      </c>
      <c r="N951">
        <f>RANK(M951,$M$2:$M$1001,0)+COUNTIF($M$2:M951,M951)-1</f>
        <v>413</v>
      </c>
      <c r="O951" t="str">
        <f>INDEX('Boundary table'!$B$3:$B$7,MATCH(M951,'Boundary table'!$A$3:$A$7))</f>
        <v>C</v>
      </c>
      <c r="P951">
        <f>Table1[[#This Row],[Math Score]]+Table1[[#This Row],[Reading Score]]+Table1[[#This Row],[Writing Score]]</f>
        <v>205</v>
      </c>
      <c r="Q951" s="16">
        <f>COUNTIF(Table1[[#This Row],[Math Score]],"&lt;60")+COUNTIF(Table1[[#This Row],[Reading Score]],"&lt;60")+COUNTIF(Table1[[#This Row],[Writing Score]],"&lt;60")</f>
        <v>1</v>
      </c>
      <c r="R951" t="str">
        <f>IF(Table1[[#This Row],[Fail Count]]&gt;=2,"At risk","OK")</f>
        <v>OK</v>
      </c>
    </row>
    <row r="952" spans="1:18">
      <c r="A952" t="str">
        <f t="shared" si="14"/>
        <v>Stu-951</v>
      </c>
      <c r="B952" t="s">
        <v>27</v>
      </c>
      <c r="C952" t="s">
        <v>34</v>
      </c>
      <c r="D952" t="s">
        <v>32</v>
      </c>
      <c r="E952" t="s">
        <v>14</v>
      </c>
      <c r="F952" t="s">
        <v>15</v>
      </c>
      <c r="G952" s="16">
        <v>94</v>
      </c>
      <c r="H952">
        <f>RANK(G952,$G$2:$G$1001,0)+COUNTIF($G$2:G952,G952)-1</f>
        <v>31</v>
      </c>
      <c r="I952" t="str">
        <f>INDEX('Boundary table'!$B$3:$B$7,MATCH(G952,'Boundary table'!$A$3:$A$7,1))</f>
        <v>A</v>
      </c>
      <c r="J952" s="16">
        <v>73</v>
      </c>
      <c r="K952">
        <f>RANK(J952,$J$2:$J$1001,0)+COUNTIF($J$2:J952,J952)-1</f>
        <v>433</v>
      </c>
      <c r="L952" t="str">
        <f>INDEX('Boundary table'!$B$3:$B$7,MATCH(J952,'Boundary table'!$A$3:$A$7,1))</f>
        <v>C</v>
      </c>
      <c r="M952" s="16">
        <v>71</v>
      </c>
      <c r="N952">
        <f>RANK(M952,$M$2:$M$1001,0)+COUNTIF($M$2:M952,M952)-1</f>
        <v>455</v>
      </c>
      <c r="O952" t="str">
        <f>INDEX('Boundary table'!$B$3:$B$7,MATCH(M952,'Boundary table'!$A$3:$A$7))</f>
        <v>C</v>
      </c>
      <c r="P952">
        <f>Table1[[#This Row],[Math Score]]+Table1[[#This Row],[Reading Score]]+Table1[[#This Row],[Writing Score]]</f>
        <v>238</v>
      </c>
      <c r="Q952" s="16">
        <f>COUNTIF(Table1[[#This Row],[Math Score]],"&lt;60")+COUNTIF(Table1[[#This Row],[Reading Score]],"&lt;60")+COUNTIF(Table1[[#This Row],[Writing Score]],"&lt;60")</f>
        <v>0</v>
      </c>
      <c r="R952" t="str">
        <f>IF(Table1[[#This Row],[Fail Count]]&gt;=2,"At risk","OK")</f>
        <v>OK</v>
      </c>
    </row>
    <row r="953" spans="1:18">
      <c r="A953" t="str">
        <f t="shared" si="14"/>
        <v>Stu-952</v>
      </c>
      <c r="B953" t="s">
        <v>11</v>
      </c>
      <c r="C953" t="s">
        <v>31</v>
      </c>
      <c r="D953" t="s">
        <v>20</v>
      </c>
      <c r="E953" t="s">
        <v>14</v>
      </c>
      <c r="F953" t="s">
        <v>21</v>
      </c>
      <c r="G953" s="16">
        <v>75</v>
      </c>
      <c r="H953">
        <f>RANK(G953,$G$2:$G$1001,0)+COUNTIF($G$2:G953,G953)-1</f>
        <v>293</v>
      </c>
      <c r="I953" t="str">
        <f>INDEX('Boundary table'!$B$3:$B$7,MATCH(G953,'Boundary table'!$A$3:$A$7,1))</f>
        <v>C</v>
      </c>
      <c r="J953" s="16">
        <v>77</v>
      </c>
      <c r="K953">
        <f>RANK(J953,$J$2:$J$1001,0)+COUNTIF($J$2:J953,J953)-1</f>
        <v>319</v>
      </c>
      <c r="L953" t="str">
        <f>INDEX('Boundary table'!$B$3:$B$7,MATCH(J953,'Boundary table'!$A$3:$A$7,1))</f>
        <v>C</v>
      </c>
      <c r="M953" s="16">
        <v>83</v>
      </c>
      <c r="N953">
        <f>RANK(M953,$M$2:$M$1001,0)+COUNTIF($M$2:M953,M953)-1</f>
        <v>163</v>
      </c>
      <c r="O953" t="str">
        <f>INDEX('Boundary table'!$B$3:$B$7,MATCH(M953,'Boundary table'!$A$3:$A$7))</f>
        <v>B</v>
      </c>
      <c r="P953">
        <f>Table1[[#This Row],[Math Score]]+Table1[[#This Row],[Reading Score]]+Table1[[#This Row],[Writing Score]]</f>
        <v>235</v>
      </c>
      <c r="Q953" s="16">
        <f>COUNTIF(Table1[[#This Row],[Math Score]],"&lt;60")+COUNTIF(Table1[[#This Row],[Reading Score]],"&lt;60")+COUNTIF(Table1[[#This Row],[Writing Score]],"&lt;60")</f>
        <v>0</v>
      </c>
      <c r="R953" t="str">
        <f>IF(Table1[[#This Row],[Fail Count]]&gt;=2,"At risk","OK")</f>
        <v>OK</v>
      </c>
    </row>
    <row r="954" spans="1:18">
      <c r="A954" t="str">
        <f t="shared" si="14"/>
        <v>Stu-953</v>
      </c>
      <c r="B954" t="s">
        <v>11</v>
      </c>
      <c r="C954" t="s">
        <v>34</v>
      </c>
      <c r="D954" t="s">
        <v>33</v>
      </c>
      <c r="E954" t="s">
        <v>30</v>
      </c>
      <c r="F954" t="s">
        <v>15</v>
      </c>
      <c r="G954" s="16">
        <v>74</v>
      </c>
      <c r="H954">
        <f>RANK(G954,$G$2:$G$1001,0)+COUNTIF($G$2:G954,G954)-1</f>
        <v>319</v>
      </c>
      <c r="I954" t="str">
        <f>INDEX('Boundary table'!$B$3:$B$7,MATCH(G954,'Boundary table'!$A$3:$A$7,1))</f>
        <v>C</v>
      </c>
      <c r="J954" s="16">
        <v>74</v>
      </c>
      <c r="K954">
        <f>RANK(J954,$J$2:$J$1001,0)+COUNTIF($J$2:J954,J954)-1</f>
        <v>403</v>
      </c>
      <c r="L954" t="str">
        <f>INDEX('Boundary table'!$B$3:$B$7,MATCH(J954,'Boundary table'!$A$3:$A$7,1))</f>
        <v>C</v>
      </c>
      <c r="M954" s="16">
        <v>72</v>
      </c>
      <c r="N954">
        <f>RANK(M954,$M$2:$M$1001,0)+COUNTIF($M$2:M954,M954)-1</f>
        <v>437</v>
      </c>
      <c r="O954" t="str">
        <f>INDEX('Boundary table'!$B$3:$B$7,MATCH(M954,'Boundary table'!$A$3:$A$7))</f>
        <v>C</v>
      </c>
      <c r="P954">
        <f>Table1[[#This Row],[Math Score]]+Table1[[#This Row],[Reading Score]]+Table1[[#This Row],[Writing Score]]</f>
        <v>220</v>
      </c>
      <c r="Q954" s="16">
        <f>COUNTIF(Table1[[#This Row],[Math Score]],"&lt;60")+COUNTIF(Table1[[#This Row],[Reading Score]],"&lt;60")+COUNTIF(Table1[[#This Row],[Writing Score]],"&lt;60")</f>
        <v>0</v>
      </c>
      <c r="R954" t="str">
        <f>IF(Table1[[#This Row],[Fail Count]]&gt;=2,"At risk","OK")</f>
        <v>OK</v>
      </c>
    </row>
    <row r="955" spans="1:18">
      <c r="A955" t="str">
        <f t="shared" si="14"/>
        <v>Stu-954</v>
      </c>
      <c r="B955" t="s">
        <v>27</v>
      </c>
      <c r="C955" t="s">
        <v>19</v>
      </c>
      <c r="D955" t="s">
        <v>32</v>
      </c>
      <c r="E955" t="s">
        <v>14</v>
      </c>
      <c r="F955" t="s">
        <v>21</v>
      </c>
      <c r="G955" s="16">
        <v>58</v>
      </c>
      <c r="H955">
        <f>RANK(G955,$G$2:$G$1001,0)+COUNTIF($G$2:G955,G955)-1</f>
        <v>734</v>
      </c>
      <c r="I955" t="str">
        <f>INDEX('Boundary table'!$B$3:$B$7,MATCH(G955,'Boundary table'!$A$3:$A$7,1))</f>
        <v>F</v>
      </c>
      <c r="J955" s="16">
        <v>52</v>
      </c>
      <c r="K955">
        <f>RANK(J955,$J$2:$J$1001,0)+COUNTIF($J$2:J955,J955)-1</f>
        <v>887</v>
      </c>
      <c r="L955" t="str">
        <f>INDEX('Boundary table'!$B$3:$B$7,MATCH(J955,'Boundary table'!$A$3:$A$7,1))</f>
        <v>F</v>
      </c>
      <c r="M955" s="16">
        <v>54</v>
      </c>
      <c r="N955">
        <f>RANK(M955,$M$2:$M$1001,0)+COUNTIF($M$2:M955,M955)-1</f>
        <v>821</v>
      </c>
      <c r="O955" t="str">
        <f>INDEX('Boundary table'!$B$3:$B$7,MATCH(M955,'Boundary table'!$A$3:$A$7))</f>
        <v>F</v>
      </c>
      <c r="P955">
        <f>Table1[[#This Row],[Math Score]]+Table1[[#This Row],[Reading Score]]+Table1[[#This Row],[Writing Score]]</f>
        <v>164</v>
      </c>
      <c r="Q955" s="16">
        <f>COUNTIF(Table1[[#This Row],[Math Score]],"&lt;60")+COUNTIF(Table1[[#This Row],[Reading Score]],"&lt;60")+COUNTIF(Table1[[#This Row],[Writing Score]],"&lt;60")</f>
        <v>3</v>
      </c>
      <c r="R955" t="str">
        <f>IF(Table1[[#This Row],[Fail Count]]&gt;=2,"At risk","OK")</f>
        <v>At risk</v>
      </c>
    </row>
    <row r="956" spans="1:18">
      <c r="A956" t="str">
        <f t="shared" si="14"/>
        <v>Stu-955</v>
      </c>
      <c r="B956" t="s">
        <v>11</v>
      </c>
      <c r="C956" t="s">
        <v>19</v>
      </c>
      <c r="D956" t="s">
        <v>20</v>
      </c>
      <c r="E956" t="s">
        <v>14</v>
      </c>
      <c r="F956" t="s">
        <v>15</v>
      </c>
      <c r="G956" s="16">
        <v>62</v>
      </c>
      <c r="H956">
        <f>RANK(G956,$G$2:$G$1001,0)+COUNTIF($G$2:G956,G956)-1</f>
        <v>630</v>
      </c>
      <c r="I956" t="str">
        <f>INDEX('Boundary table'!$B$3:$B$7,MATCH(G956,'Boundary table'!$A$3:$A$7,1))</f>
        <v>D</v>
      </c>
      <c r="J956" s="16">
        <v>69</v>
      </c>
      <c r="K956">
        <f>RANK(J956,$J$2:$J$1001,0)+COUNTIF($J$2:J956,J956)-1</f>
        <v>528</v>
      </c>
      <c r="L956" t="str">
        <f>INDEX('Boundary table'!$B$3:$B$7,MATCH(J956,'Boundary table'!$A$3:$A$7,1))</f>
        <v>D</v>
      </c>
      <c r="M956" s="16">
        <v>69</v>
      </c>
      <c r="N956">
        <f>RANK(M956,$M$2:$M$1001,0)+COUNTIF($M$2:M956,M956)-1</f>
        <v>511</v>
      </c>
      <c r="O956" t="str">
        <f>INDEX('Boundary table'!$B$3:$B$7,MATCH(M956,'Boundary table'!$A$3:$A$7))</f>
        <v>D</v>
      </c>
      <c r="P956">
        <f>Table1[[#This Row],[Math Score]]+Table1[[#This Row],[Reading Score]]+Table1[[#This Row],[Writing Score]]</f>
        <v>200</v>
      </c>
      <c r="Q956" s="16">
        <f>COUNTIF(Table1[[#This Row],[Math Score]],"&lt;60")+COUNTIF(Table1[[#This Row],[Reading Score]],"&lt;60")+COUNTIF(Table1[[#This Row],[Writing Score]],"&lt;60")</f>
        <v>0</v>
      </c>
      <c r="R956" t="str">
        <f>IF(Table1[[#This Row],[Fail Count]]&gt;=2,"At risk","OK")</f>
        <v>OK</v>
      </c>
    </row>
    <row r="957" spans="1:18">
      <c r="A957" t="str">
        <f t="shared" si="14"/>
        <v>Stu-956</v>
      </c>
      <c r="B957" t="s">
        <v>27</v>
      </c>
      <c r="C957" t="s">
        <v>34</v>
      </c>
      <c r="D957" t="s">
        <v>29</v>
      </c>
      <c r="E957" t="s">
        <v>14</v>
      </c>
      <c r="F957" t="s">
        <v>15</v>
      </c>
      <c r="G957" s="16">
        <v>72</v>
      </c>
      <c r="H957">
        <f>RANK(G957,$G$2:$G$1001,0)+COUNTIF($G$2:G957,G957)-1</f>
        <v>364</v>
      </c>
      <c r="I957" t="str">
        <f>INDEX('Boundary table'!$B$3:$B$7,MATCH(G957,'Boundary table'!$A$3:$A$7,1))</f>
        <v>C</v>
      </c>
      <c r="J957" s="16">
        <v>57</v>
      </c>
      <c r="K957">
        <f>RANK(J957,$J$2:$J$1001,0)+COUNTIF($J$2:J957,J957)-1</f>
        <v>807</v>
      </c>
      <c r="L957" t="str">
        <f>INDEX('Boundary table'!$B$3:$B$7,MATCH(J957,'Boundary table'!$A$3:$A$7,1))</f>
        <v>F</v>
      </c>
      <c r="M957" s="16">
        <v>62</v>
      </c>
      <c r="N957">
        <f>RANK(M957,$M$2:$M$1001,0)+COUNTIF($M$2:M957,M957)-1</f>
        <v>677</v>
      </c>
      <c r="O957" t="str">
        <f>INDEX('Boundary table'!$B$3:$B$7,MATCH(M957,'Boundary table'!$A$3:$A$7))</f>
        <v>D</v>
      </c>
      <c r="P957">
        <f>Table1[[#This Row],[Math Score]]+Table1[[#This Row],[Reading Score]]+Table1[[#This Row],[Writing Score]]</f>
        <v>191</v>
      </c>
      <c r="Q957" s="16">
        <f>COUNTIF(Table1[[#This Row],[Math Score]],"&lt;60")+COUNTIF(Table1[[#This Row],[Reading Score]],"&lt;60")+COUNTIF(Table1[[#This Row],[Writing Score]],"&lt;60")</f>
        <v>1</v>
      </c>
      <c r="R957" t="str">
        <f>IF(Table1[[#This Row],[Fail Count]]&gt;=2,"At risk","OK")</f>
        <v>OK</v>
      </c>
    </row>
    <row r="958" spans="1:18">
      <c r="A958" t="str">
        <f t="shared" si="14"/>
        <v>Stu-957</v>
      </c>
      <c r="B958" t="s">
        <v>27</v>
      </c>
      <c r="C958" t="s">
        <v>19</v>
      </c>
      <c r="D958" t="s">
        <v>20</v>
      </c>
      <c r="E958" t="s">
        <v>14</v>
      </c>
      <c r="F958" t="s">
        <v>15</v>
      </c>
      <c r="G958" s="16">
        <v>84</v>
      </c>
      <c r="H958">
        <f>RANK(G958,$G$2:$G$1001,0)+COUNTIF($G$2:G958,G958)-1</f>
        <v>128</v>
      </c>
      <c r="I958" t="str">
        <f>INDEX('Boundary table'!$B$3:$B$7,MATCH(G958,'Boundary table'!$A$3:$A$7,1))</f>
        <v>B</v>
      </c>
      <c r="J958" s="16">
        <v>87</v>
      </c>
      <c r="K958">
        <f>RANK(J958,$J$2:$J$1001,0)+COUNTIF($J$2:J958,J958)-1</f>
        <v>112</v>
      </c>
      <c r="L958" t="str">
        <f>INDEX('Boundary table'!$B$3:$B$7,MATCH(J958,'Boundary table'!$A$3:$A$7,1))</f>
        <v>B</v>
      </c>
      <c r="M958" s="16">
        <v>81</v>
      </c>
      <c r="N958">
        <f>RANK(M958,$M$2:$M$1001,0)+COUNTIF($M$2:M958,M958)-1</f>
        <v>208</v>
      </c>
      <c r="O958" t="str">
        <f>INDEX('Boundary table'!$B$3:$B$7,MATCH(M958,'Boundary table'!$A$3:$A$7))</f>
        <v>B</v>
      </c>
      <c r="P958">
        <f>Table1[[#This Row],[Math Score]]+Table1[[#This Row],[Reading Score]]+Table1[[#This Row],[Writing Score]]</f>
        <v>252</v>
      </c>
      <c r="Q958" s="16">
        <f>COUNTIF(Table1[[#This Row],[Math Score]],"&lt;60")+COUNTIF(Table1[[#This Row],[Reading Score]],"&lt;60")+COUNTIF(Table1[[#This Row],[Writing Score]],"&lt;60")</f>
        <v>0</v>
      </c>
      <c r="R958" t="str">
        <f>IF(Table1[[#This Row],[Fail Count]]&gt;=2,"At risk","OK")</f>
        <v>OK</v>
      </c>
    </row>
    <row r="959" spans="1:18">
      <c r="A959" t="str">
        <f t="shared" si="14"/>
        <v>Stu-958</v>
      </c>
      <c r="B959" t="s">
        <v>11</v>
      </c>
      <c r="C959" t="s">
        <v>31</v>
      </c>
      <c r="D959" t="s">
        <v>26</v>
      </c>
      <c r="E959" t="s">
        <v>14</v>
      </c>
      <c r="F959" t="s">
        <v>15</v>
      </c>
      <c r="G959" s="16">
        <v>92</v>
      </c>
      <c r="H959">
        <f>RANK(G959,$G$2:$G$1001,0)+COUNTIF($G$2:G959,G959)-1</f>
        <v>41</v>
      </c>
      <c r="I959" t="str">
        <f>INDEX('Boundary table'!$B$3:$B$7,MATCH(G959,'Boundary table'!$A$3:$A$7,1))</f>
        <v>A</v>
      </c>
      <c r="J959" s="16">
        <v>100</v>
      </c>
      <c r="K959">
        <f>RANK(J959,$J$2:$J$1001,0)+COUNTIF($J$2:J959,J959)-1</f>
        <v>15</v>
      </c>
      <c r="L959" t="str">
        <f>INDEX('Boundary table'!$B$3:$B$7,MATCH(J959,'Boundary table'!$A$3:$A$7,1))</f>
        <v>A</v>
      </c>
      <c r="M959" s="16">
        <v>100</v>
      </c>
      <c r="N959">
        <f>RANK(M959,$M$2:$M$1001,0)+COUNTIF($M$2:M959,M959)-1</f>
        <v>12</v>
      </c>
      <c r="O959" t="str">
        <f>INDEX('Boundary table'!$B$3:$B$7,MATCH(M959,'Boundary table'!$A$3:$A$7))</f>
        <v>A</v>
      </c>
      <c r="P959">
        <f>Table1[[#This Row],[Math Score]]+Table1[[#This Row],[Reading Score]]+Table1[[#This Row],[Writing Score]]</f>
        <v>292</v>
      </c>
      <c r="Q959" s="16">
        <f>COUNTIF(Table1[[#This Row],[Math Score]],"&lt;60")+COUNTIF(Table1[[#This Row],[Reading Score]],"&lt;60")+COUNTIF(Table1[[#This Row],[Writing Score]],"&lt;60")</f>
        <v>0</v>
      </c>
      <c r="R959" t="str">
        <f>IF(Table1[[#This Row],[Fail Count]]&gt;=2,"At risk","OK")</f>
        <v>OK</v>
      </c>
    </row>
    <row r="960" spans="1:18">
      <c r="A960" t="str">
        <f t="shared" si="14"/>
        <v>Stu-959</v>
      </c>
      <c r="B960" t="s">
        <v>11</v>
      </c>
      <c r="C960" t="s">
        <v>31</v>
      </c>
      <c r="D960" t="s">
        <v>32</v>
      </c>
      <c r="E960" t="s">
        <v>14</v>
      </c>
      <c r="F960" t="s">
        <v>15</v>
      </c>
      <c r="G960" s="16">
        <v>45</v>
      </c>
      <c r="H960">
        <f>RANK(G960,$G$2:$G$1001,0)+COUNTIF($G$2:G960,G960)-1</f>
        <v>924</v>
      </c>
      <c r="I960" t="str">
        <f>INDEX('Boundary table'!$B$3:$B$7,MATCH(G960,'Boundary table'!$A$3:$A$7,1))</f>
        <v>F</v>
      </c>
      <c r="J960" s="16">
        <v>63</v>
      </c>
      <c r="K960">
        <f>RANK(J960,$J$2:$J$1001,0)+COUNTIF($J$2:J960,J960)-1</f>
        <v>676</v>
      </c>
      <c r="L960" t="str">
        <f>INDEX('Boundary table'!$B$3:$B$7,MATCH(J960,'Boundary table'!$A$3:$A$7,1))</f>
        <v>D</v>
      </c>
      <c r="M960" s="16">
        <v>59</v>
      </c>
      <c r="N960">
        <f>RANK(M960,$M$2:$M$1001,0)+COUNTIF($M$2:M960,M960)-1</f>
        <v>732</v>
      </c>
      <c r="O960" t="str">
        <f>INDEX('Boundary table'!$B$3:$B$7,MATCH(M960,'Boundary table'!$A$3:$A$7))</f>
        <v>F</v>
      </c>
      <c r="P960">
        <f>Table1[[#This Row],[Math Score]]+Table1[[#This Row],[Reading Score]]+Table1[[#This Row],[Writing Score]]</f>
        <v>167</v>
      </c>
      <c r="Q960" s="16">
        <f>COUNTIF(Table1[[#This Row],[Math Score]],"&lt;60")+COUNTIF(Table1[[#This Row],[Reading Score]],"&lt;60")+COUNTIF(Table1[[#This Row],[Writing Score]],"&lt;60")</f>
        <v>2</v>
      </c>
      <c r="R960" t="str">
        <f>IF(Table1[[#This Row],[Fail Count]]&gt;=2,"At risk","OK")</f>
        <v>At risk</v>
      </c>
    </row>
    <row r="961" spans="1:18">
      <c r="A961" t="str">
        <f t="shared" si="14"/>
        <v>Stu-960</v>
      </c>
      <c r="B961" t="s">
        <v>27</v>
      </c>
      <c r="C961" t="s">
        <v>19</v>
      </c>
      <c r="D961" t="s">
        <v>32</v>
      </c>
      <c r="E961" t="s">
        <v>14</v>
      </c>
      <c r="F961" t="s">
        <v>15</v>
      </c>
      <c r="G961" s="16">
        <v>75</v>
      </c>
      <c r="H961">
        <f>RANK(G961,$G$2:$G$1001,0)+COUNTIF($G$2:G961,G961)-1</f>
        <v>294</v>
      </c>
      <c r="I961" t="str">
        <f>INDEX('Boundary table'!$B$3:$B$7,MATCH(G961,'Boundary table'!$A$3:$A$7,1))</f>
        <v>C</v>
      </c>
      <c r="J961" s="16">
        <v>81</v>
      </c>
      <c r="K961">
        <f>RANK(J961,$J$2:$J$1001,0)+COUNTIF($J$2:J961,J961)-1</f>
        <v>234</v>
      </c>
      <c r="L961" t="str">
        <f>INDEX('Boundary table'!$B$3:$B$7,MATCH(J961,'Boundary table'!$A$3:$A$7,1))</f>
        <v>B</v>
      </c>
      <c r="M961" s="16">
        <v>71</v>
      </c>
      <c r="N961">
        <f>RANK(M961,$M$2:$M$1001,0)+COUNTIF($M$2:M961,M961)-1</f>
        <v>456</v>
      </c>
      <c r="O961" t="str">
        <f>INDEX('Boundary table'!$B$3:$B$7,MATCH(M961,'Boundary table'!$A$3:$A$7))</f>
        <v>C</v>
      </c>
      <c r="P961">
        <f>Table1[[#This Row],[Math Score]]+Table1[[#This Row],[Reading Score]]+Table1[[#This Row],[Writing Score]]</f>
        <v>227</v>
      </c>
      <c r="Q961" s="16">
        <f>COUNTIF(Table1[[#This Row],[Math Score]],"&lt;60")+COUNTIF(Table1[[#This Row],[Reading Score]],"&lt;60")+COUNTIF(Table1[[#This Row],[Writing Score]],"&lt;60")</f>
        <v>0</v>
      </c>
      <c r="R961" t="str">
        <f>IF(Table1[[#This Row],[Fail Count]]&gt;=2,"At risk","OK")</f>
        <v>OK</v>
      </c>
    </row>
    <row r="962" spans="1:18">
      <c r="A962" t="str">
        <f t="shared" ref="A962:A1001" si="15">"Stu-"&amp;TEXT(ROW()-1,"000")</f>
        <v>Stu-961</v>
      </c>
      <c r="B962" t="s">
        <v>11</v>
      </c>
      <c r="C962" t="s">
        <v>28</v>
      </c>
      <c r="D962" t="s">
        <v>20</v>
      </c>
      <c r="E962" t="s">
        <v>14</v>
      </c>
      <c r="F962" t="s">
        <v>15</v>
      </c>
      <c r="G962" s="16">
        <v>56</v>
      </c>
      <c r="H962">
        <f>RANK(G962,$G$2:$G$1001,0)+COUNTIF($G$2:G962,G962)-1</f>
        <v>761</v>
      </c>
      <c r="I962" t="str">
        <f>INDEX('Boundary table'!$B$3:$B$7,MATCH(G962,'Boundary table'!$A$3:$A$7,1))</f>
        <v>F</v>
      </c>
      <c r="J962" s="16">
        <v>58</v>
      </c>
      <c r="K962">
        <f>RANK(J962,$J$2:$J$1001,0)+COUNTIF($J$2:J962,J962)-1</f>
        <v>791</v>
      </c>
      <c r="L962" t="str">
        <f>INDEX('Boundary table'!$B$3:$B$7,MATCH(J962,'Boundary table'!$A$3:$A$7,1))</f>
        <v>F</v>
      </c>
      <c r="M962" s="16">
        <v>64</v>
      </c>
      <c r="N962">
        <f>RANK(M962,$M$2:$M$1001,0)+COUNTIF($M$2:M962,M962)-1</f>
        <v>635</v>
      </c>
      <c r="O962" t="str">
        <f>INDEX('Boundary table'!$B$3:$B$7,MATCH(M962,'Boundary table'!$A$3:$A$7))</f>
        <v>D</v>
      </c>
      <c r="P962">
        <f>Table1[[#This Row],[Math Score]]+Table1[[#This Row],[Reading Score]]+Table1[[#This Row],[Writing Score]]</f>
        <v>178</v>
      </c>
      <c r="Q962" s="16">
        <f>COUNTIF(Table1[[#This Row],[Math Score]],"&lt;60")+COUNTIF(Table1[[#This Row],[Reading Score]],"&lt;60")+COUNTIF(Table1[[#This Row],[Writing Score]],"&lt;60")</f>
        <v>2</v>
      </c>
      <c r="R962" t="str">
        <f>IF(Table1[[#This Row],[Fail Count]]&gt;=2,"At risk","OK")</f>
        <v>At risk</v>
      </c>
    </row>
    <row r="963" spans="1:18">
      <c r="A963" t="str">
        <f t="shared" si="15"/>
        <v>Stu-962</v>
      </c>
      <c r="B963" t="s">
        <v>11</v>
      </c>
      <c r="C963" t="s">
        <v>31</v>
      </c>
      <c r="D963" t="s">
        <v>33</v>
      </c>
      <c r="E963" t="s">
        <v>30</v>
      </c>
      <c r="F963" t="s">
        <v>15</v>
      </c>
      <c r="G963" s="16">
        <v>48</v>
      </c>
      <c r="H963">
        <f>RANK(G963,$G$2:$G$1001,0)+COUNTIF($G$2:G963,G963)-1</f>
        <v>893</v>
      </c>
      <c r="I963" t="str">
        <f>INDEX('Boundary table'!$B$3:$B$7,MATCH(G963,'Boundary table'!$A$3:$A$7,1))</f>
        <v>F</v>
      </c>
      <c r="J963" s="16">
        <v>54</v>
      </c>
      <c r="K963">
        <f>RANK(J963,$J$2:$J$1001,0)+COUNTIF($J$2:J963,J963)-1</f>
        <v>858</v>
      </c>
      <c r="L963" t="str">
        <f>INDEX('Boundary table'!$B$3:$B$7,MATCH(J963,'Boundary table'!$A$3:$A$7,1))</f>
        <v>F</v>
      </c>
      <c r="M963" s="16">
        <v>53</v>
      </c>
      <c r="N963">
        <f>RANK(M963,$M$2:$M$1001,0)+COUNTIF($M$2:M963,M963)-1</f>
        <v>839</v>
      </c>
      <c r="O963" t="str">
        <f>INDEX('Boundary table'!$B$3:$B$7,MATCH(M963,'Boundary table'!$A$3:$A$7))</f>
        <v>F</v>
      </c>
      <c r="P963">
        <f>Table1[[#This Row],[Math Score]]+Table1[[#This Row],[Reading Score]]+Table1[[#This Row],[Writing Score]]</f>
        <v>155</v>
      </c>
      <c r="Q963" s="16">
        <f>COUNTIF(Table1[[#This Row],[Math Score]],"&lt;60")+COUNTIF(Table1[[#This Row],[Reading Score]],"&lt;60")+COUNTIF(Table1[[#This Row],[Writing Score]],"&lt;60")</f>
        <v>3</v>
      </c>
      <c r="R963" t="str">
        <f>IF(Table1[[#This Row],[Fail Count]]&gt;=2,"At risk","OK")</f>
        <v>At risk</v>
      </c>
    </row>
    <row r="964" spans="1:18">
      <c r="A964" t="str">
        <f t="shared" si="15"/>
        <v>Stu-963</v>
      </c>
      <c r="B964" t="s">
        <v>11</v>
      </c>
      <c r="C964" t="s">
        <v>34</v>
      </c>
      <c r="D964" t="s">
        <v>29</v>
      </c>
      <c r="E964" t="s">
        <v>14</v>
      </c>
      <c r="F964" t="s">
        <v>15</v>
      </c>
      <c r="G964" s="16">
        <v>100</v>
      </c>
      <c r="H964">
        <f>RANK(G964,$G$2:$G$1001,0)+COUNTIF($G$2:G964,G964)-1</f>
        <v>7</v>
      </c>
      <c r="I964" t="str">
        <f>INDEX('Boundary table'!$B$3:$B$7,MATCH(G964,'Boundary table'!$A$3:$A$7,1))</f>
        <v>A</v>
      </c>
      <c r="J964" s="16">
        <v>100</v>
      </c>
      <c r="K964">
        <f>RANK(J964,$J$2:$J$1001,0)+COUNTIF($J$2:J964,J964)-1</f>
        <v>16</v>
      </c>
      <c r="L964" t="str">
        <f>INDEX('Boundary table'!$B$3:$B$7,MATCH(J964,'Boundary table'!$A$3:$A$7,1))</f>
        <v>A</v>
      </c>
      <c r="M964" s="16">
        <v>100</v>
      </c>
      <c r="N964">
        <f>RANK(M964,$M$2:$M$1001,0)+COUNTIF($M$2:M964,M964)-1</f>
        <v>13</v>
      </c>
      <c r="O964" t="str">
        <f>INDEX('Boundary table'!$B$3:$B$7,MATCH(M964,'Boundary table'!$A$3:$A$7))</f>
        <v>A</v>
      </c>
      <c r="P964">
        <f>Table1[[#This Row],[Math Score]]+Table1[[#This Row],[Reading Score]]+Table1[[#This Row],[Writing Score]]</f>
        <v>300</v>
      </c>
      <c r="Q964" s="16">
        <f>COUNTIF(Table1[[#This Row],[Math Score]],"&lt;60")+COUNTIF(Table1[[#This Row],[Reading Score]],"&lt;60")+COUNTIF(Table1[[#This Row],[Writing Score]],"&lt;60")</f>
        <v>0</v>
      </c>
      <c r="R964" t="str">
        <f>IF(Table1[[#This Row],[Fail Count]]&gt;=2,"At risk","OK")</f>
        <v>OK</v>
      </c>
    </row>
    <row r="965" spans="1:18">
      <c r="A965" t="str">
        <f t="shared" si="15"/>
        <v>Stu-964</v>
      </c>
      <c r="B965" t="s">
        <v>11</v>
      </c>
      <c r="C965" t="s">
        <v>19</v>
      </c>
      <c r="D965" t="s">
        <v>33</v>
      </c>
      <c r="E965" t="s">
        <v>30</v>
      </c>
      <c r="F965" t="s">
        <v>21</v>
      </c>
      <c r="G965" s="16">
        <v>65</v>
      </c>
      <c r="H965">
        <f>RANK(G965,$G$2:$G$1001,0)+COUNTIF($G$2:G965,G965)-1</f>
        <v>552</v>
      </c>
      <c r="I965" t="str">
        <f>INDEX('Boundary table'!$B$3:$B$7,MATCH(G965,'Boundary table'!$A$3:$A$7,1))</f>
        <v>D</v>
      </c>
      <c r="J965" s="16">
        <v>76</v>
      </c>
      <c r="K965">
        <f>RANK(J965,$J$2:$J$1001,0)+COUNTIF($J$2:J965,J965)-1</f>
        <v>342</v>
      </c>
      <c r="L965" t="str">
        <f>INDEX('Boundary table'!$B$3:$B$7,MATCH(J965,'Boundary table'!$A$3:$A$7,1))</f>
        <v>C</v>
      </c>
      <c r="M965" s="16">
        <v>75</v>
      </c>
      <c r="N965">
        <f>RANK(M965,$M$2:$M$1001,0)+COUNTIF($M$2:M965,M965)-1</f>
        <v>349</v>
      </c>
      <c r="O965" t="str">
        <f>INDEX('Boundary table'!$B$3:$B$7,MATCH(M965,'Boundary table'!$A$3:$A$7))</f>
        <v>C</v>
      </c>
      <c r="P965">
        <f>Table1[[#This Row],[Math Score]]+Table1[[#This Row],[Reading Score]]+Table1[[#This Row],[Writing Score]]</f>
        <v>216</v>
      </c>
      <c r="Q965" s="16">
        <f>COUNTIF(Table1[[#This Row],[Math Score]],"&lt;60")+COUNTIF(Table1[[#This Row],[Reading Score]],"&lt;60")+COUNTIF(Table1[[#This Row],[Writing Score]],"&lt;60")</f>
        <v>0</v>
      </c>
      <c r="R965" t="str">
        <f>IF(Table1[[#This Row],[Fail Count]]&gt;=2,"At risk","OK")</f>
        <v>OK</v>
      </c>
    </row>
    <row r="966" spans="1:18">
      <c r="A966" t="str">
        <f t="shared" si="15"/>
        <v>Stu-965</v>
      </c>
      <c r="B966" t="s">
        <v>27</v>
      </c>
      <c r="C966" t="s">
        <v>31</v>
      </c>
      <c r="D966" t="s">
        <v>20</v>
      </c>
      <c r="E966" t="s">
        <v>14</v>
      </c>
      <c r="F966" t="s">
        <v>15</v>
      </c>
      <c r="G966" s="16">
        <v>72</v>
      </c>
      <c r="H966">
        <f>RANK(G966,$G$2:$G$1001,0)+COUNTIF($G$2:G966,G966)-1</f>
        <v>365</v>
      </c>
      <c r="I966" t="str">
        <f>INDEX('Boundary table'!$B$3:$B$7,MATCH(G966,'Boundary table'!$A$3:$A$7,1))</f>
        <v>C</v>
      </c>
      <c r="J966" s="16">
        <v>57</v>
      </c>
      <c r="K966">
        <f>RANK(J966,$J$2:$J$1001,0)+COUNTIF($J$2:J966,J966)-1</f>
        <v>808</v>
      </c>
      <c r="L966" t="str">
        <f>INDEX('Boundary table'!$B$3:$B$7,MATCH(J966,'Boundary table'!$A$3:$A$7,1))</f>
        <v>F</v>
      </c>
      <c r="M966" s="16">
        <v>58</v>
      </c>
      <c r="N966">
        <f>RANK(M966,$M$2:$M$1001,0)+COUNTIF($M$2:M966,M966)-1</f>
        <v>749</v>
      </c>
      <c r="O966" t="str">
        <f>INDEX('Boundary table'!$B$3:$B$7,MATCH(M966,'Boundary table'!$A$3:$A$7))</f>
        <v>F</v>
      </c>
      <c r="P966">
        <f>Table1[[#This Row],[Math Score]]+Table1[[#This Row],[Reading Score]]+Table1[[#This Row],[Writing Score]]</f>
        <v>187</v>
      </c>
      <c r="Q966" s="16">
        <f>COUNTIF(Table1[[#This Row],[Math Score]],"&lt;60")+COUNTIF(Table1[[#This Row],[Reading Score]],"&lt;60")+COUNTIF(Table1[[#This Row],[Writing Score]],"&lt;60")</f>
        <v>2</v>
      </c>
      <c r="R966" t="str">
        <f>IF(Table1[[#This Row],[Fail Count]]&gt;=2,"At risk","OK")</f>
        <v>At risk</v>
      </c>
    </row>
    <row r="967" spans="1:18">
      <c r="A967" t="str">
        <f t="shared" si="15"/>
        <v>Stu-966</v>
      </c>
      <c r="B967" t="s">
        <v>11</v>
      </c>
      <c r="C967" t="s">
        <v>31</v>
      </c>
      <c r="D967" t="s">
        <v>20</v>
      </c>
      <c r="E967" t="s">
        <v>14</v>
      </c>
      <c r="F967" t="s">
        <v>15</v>
      </c>
      <c r="G967" s="16">
        <v>62</v>
      </c>
      <c r="H967">
        <f>RANK(G967,$G$2:$G$1001,0)+COUNTIF($G$2:G967,G967)-1</f>
        <v>631</v>
      </c>
      <c r="I967" t="str">
        <f>INDEX('Boundary table'!$B$3:$B$7,MATCH(G967,'Boundary table'!$A$3:$A$7,1))</f>
        <v>D</v>
      </c>
      <c r="J967" s="16">
        <v>70</v>
      </c>
      <c r="K967">
        <f>RANK(J967,$J$2:$J$1001,0)+COUNTIF($J$2:J967,J967)-1</f>
        <v>513</v>
      </c>
      <c r="L967" t="str">
        <f>INDEX('Boundary table'!$B$3:$B$7,MATCH(J967,'Boundary table'!$A$3:$A$7,1))</f>
        <v>C</v>
      </c>
      <c r="M967" s="16">
        <v>72</v>
      </c>
      <c r="N967">
        <f>RANK(M967,$M$2:$M$1001,0)+COUNTIF($M$2:M967,M967)-1</f>
        <v>438</v>
      </c>
      <c r="O967" t="str">
        <f>INDEX('Boundary table'!$B$3:$B$7,MATCH(M967,'Boundary table'!$A$3:$A$7))</f>
        <v>C</v>
      </c>
      <c r="P967">
        <f>Table1[[#This Row],[Math Score]]+Table1[[#This Row],[Reading Score]]+Table1[[#This Row],[Writing Score]]</f>
        <v>204</v>
      </c>
      <c r="Q967" s="16">
        <f>COUNTIF(Table1[[#This Row],[Math Score]],"&lt;60")+COUNTIF(Table1[[#This Row],[Reading Score]],"&lt;60")+COUNTIF(Table1[[#This Row],[Writing Score]],"&lt;60")</f>
        <v>0</v>
      </c>
      <c r="R967" t="str">
        <f>IF(Table1[[#This Row],[Fail Count]]&gt;=2,"At risk","OK")</f>
        <v>OK</v>
      </c>
    </row>
    <row r="968" spans="1:18">
      <c r="A968" t="str">
        <f t="shared" si="15"/>
        <v>Stu-967</v>
      </c>
      <c r="B968" t="s">
        <v>27</v>
      </c>
      <c r="C968" t="s">
        <v>28</v>
      </c>
      <c r="D968" t="s">
        <v>33</v>
      </c>
      <c r="E968" t="s">
        <v>14</v>
      </c>
      <c r="F968" t="s">
        <v>21</v>
      </c>
      <c r="G968" s="16">
        <v>66</v>
      </c>
      <c r="H968">
        <f>RANK(G968,$G$2:$G$1001,0)+COUNTIF($G$2:G968,G968)-1</f>
        <v>517</v>
      </c>
      <c r="I968" t="str">
        <f>INDEX('Boundary table'!$B$3:$B$7,MATCH(G968,'Boundary table'!$A$3:$A$7,1))</f>
        <v>D</v>
      </c>
      <c r="J968" s="16">
        <v>68</v>
      </c>
      <c r="K968">
        <f>RANK(J968,$J$2:$J$1001,0)+COUNTIF($J$2:J968,J968)-1</f>
        <v>551</v>
      </c>
      <c r="L968" t="str">
        <f>INDEX('Boundary table'!$B$3:$B$7,MATCH(J968,'Boundary table'!$A$3:$A$7,1))</f>
        <v>D</v>
      </c>
      <c r="M968" s="16">
        <v>64</v>
      </c>
      <c r="N968">
        <f>RANK(M968,$M$2:$M$1001,0)+COUNTIF($M$2:M968,M968)-1</f>
        <v>636</v>
      </c>
      <c r="O968" t="str">
        <f>INDEX('Boundary table'!$B$3:$B$7,MATCH(M968,'Boundary table'!$A$3:$A$7))</f>
        <v>D</v>
      </c>
      <c r="P968">
        <f>Table1[[#This Row],[Math Score]]+Table1[[#This Row],[Reading Score]]+Table1[[#This Row],[Writing Score]]</f>
        <v>198</v>
      </c>
      <c r="Q968" s="16">
        <f>COUNTIF(Table1[[#This Row],[Math Score]],"&lt;60")+COUNTIF(Table1[[#This Row],[Reading Score]],"&lt;60")+COUNTIF(Table1[[#This Row],[Writing Score]],"&lt;60")</f>
        <v>0</v>
      </c>
      <c r="R968" t="str">
        <f>IF(Table1[[#This Row],[Fail Count]]&gt;=2,"At risk","OK")</f>
        <v>OK</v>
      </c>
    </row>
    <row r="969" spans="1:18">
      <c r="A969" t="str">
        <f t="shared" si="15"/>
        <v>Stu-968</v>
      </c>
      <c r="B969" t="s">
        <v>27</v>
      </c>
      <c r="C969" t="s">
        <v>19</v>
      </c>
      <c r="D969" t="s">
        <v>20</v>
      </c>
      <c r="E969" t="s">
        <v>14</v>
      </c>
      <c r="F969" t="s">
        <v>15</v>
      </c>
      <c r="G969" s="16">
        <v>63</v>
      </c>
      <c r="H969">
        <f>RANK(G969,$G$2:$G$1001,0)+COUNTIF($G$2:G969,G969)-1</f>
        <v>598</v>
      </c>
      <c r="I969" t="str">
        <f>INDEX('Boundary table'!$B$3:$B$7,MATCH(G969,'Boundary table'!$A$3:$A$7,1))</f>
        <v>D</v>
      </c>
      <c r="J969" s="16">
        <v>63</v>
      </c>
      <c r="K969">
        <f>RANK(J969,$J$2:$J$1001,0)+COUNTIF($J$2:J969,J969)-1</f>
        <v>677</v>
      </c>
      <c r="L969" t="str">
        <f>INDEX('Boundary table'!$B$3:$B$7,MATCH(J969,'Boundary table'!$A$3:$A$7,1))</f>
        <v>D</v>
      </c>
      <c r="M969" s="16">
        <v>60</v>
      </c>
      <c r="N969">
        <f>RANK(M969,$M$2:$M$1001,0)+COUNTIF($M$2:M969,M969)-1</f>
        <v>717</v>
      </c>
      <c r="O969" t="str">
        <f>INDEX('Boundary table'!$B$3:$B$7,MATCH(M969,'Boundary table'!$A$3:$A$7))</f>
        <v>D</v>
      </c>
      <c r="P969">
        <f>Table1[[#This Row],[Math Score]]+Table1[[#This Row],[Reading Score]]+Table1[[#This Row],[Writing Score]]</f>
        <v>186</v>
      </c>
      <c r="Q969" s="16">
        <f>COUNTIF(Table1[[#This Row],[Math Score]],"&lt;60")+COUNTIF(Table1[[#This Row],[Reading Score]],"&lt;60")+COUNTIF(Table1[[#This Row],[Writing Score]],"&lt;60")</f>
        <v>0</v>
      </c>
      <c r="R969" t="str">
        <f>IF(Table1[[#This Row],[Fail Count]]&gt;=2,"At risk","OK")</f>
        <v>OK</v>
      </c>
    </row>
    <row r="970" spans="1:18">
      <c r="A970" t="str">
        <f t="shared" si="15"/>
        <v>Stu-969</v>
      </c>
      <c r="B970" t="s">
        <v>11</v>
      </c>
      <c r="C970" t="s">
        <v>34</v>
      </c>
      <c r="D970" t="s">
        <v>29</v>
      </c>
      <c r="E970" t="s">
        <v>14</v>
      </c>
      <c r="F970" t="s">
        <v>15</v>
      </c>
      <c r="G970" s="16">
        <v>68</v>
      </c>
      <c r="H970">
        <f>RANK(G970,$G$2:$G$1001,0)+COUNTIF($G$2:G970,G970)-1</f>
        <v>466</v>
      </c>
      <c r="I970" t="str">
        <f>INDEX('Boundary table'!$B$3:$B$7,MATCH(G970,'Boundary table'!$A$3:$A$7,1))</f>
        <v>D</v>
      </c>
      <c r="J970" s="16">
        <v>76</v>
      </c>
      <c r="K970">
        <f>RANK(J970,$J$2:$J$1001,0)+COUNTIF($J$2:J970,J970)-1</f>
        <v>343</v>
      </c>
      <c r="L970" t="str">
        <f>INDEX('Boundary table'!$B$3:$B$7,MATCH(J970,'Boundary table'!$A$3:$A$7,1))</f>
        <v>C</v>
      </c>
      <c r="M970" s="16">
        <v>67</v>
      </c>
      <c r="N970">
        <f>RANK(M970,$M$2:$M$1001,0)+COUNTIF($M$2:M970,M970)-1</f>
        <v>567</v>
      </c>
      <c r="O970" t="str">
        <f>INDEX('Boundary table'!$B$3:$B$7,MATCH(M970,'Boundary table'!$A$3:$A$7))</f>
        <v>D</v>
      </c>
      <c r="P970">
        <f>Table1[[#This Row],[Math Score]]+Table1[[#This Row],[Reading Score]]+Table1[[#This Row],[Writing Score]]</f>
        <v>211</v>
      </c>
      <c r="Q970" s="16">
        <f>COUNTIF(Table1[[#This Row],[Math Score]],"&lt;60")+COUNTIF(Table1[[#This Row],[Reading Score]],"&lt;60")+COUNTIF(Table1[[#This Row],[Writing Score]],"&lt;60")</f>
        <v>0</v>
      </c>
      <c r="R970" t="str">
        <f>IF(Table1[[#This Row],[Fail Count]]&gt;=2,"At risk","OK")</f>
        <v>OK</v>
      </c>
    </row>
    <row r="971" spans="1:18">
      <c r="A971" t="str">
        <f t="shared" si="15"/>
        <v>Stu-970</v>
      </c>
      <c r="B971" t="s">
        <v>11</v>
      </c>
      <c r="C971" t="s">
        <v>12</v>
      </c>
      <c r="D971" t="s">
        <v>13</v>
      </c>
      <c r="E971" t="s">
        <v>14</v>
      </c>
      <c r="F971" t="s">
        <v>15</v>
      </c>
      <c r="G971" s="16">
        <v>75</v>
      </c>
      <c r="H971">
        <f>RANK(G971,$G$2:$G$1001,0)+COUNTIF($G$2:G971,G971)-1</f>
        <v>295</v>
      </c>
      <c r="I971" t="str">
        <f>INDEX('Boundary table'!$B$3:$B$7,MATCH(G971,'Boundary table'!$A$3:$A$7,1))</f>
        <v>C</v>
      </c>
      <c r="J971" s="16">
        <v>84</v>
      </c>
      <c r="K971">
        <f>RANK(J971,$J$2:$J$1001,0)+COUNTIF($J$2:J971,J971)-1</f>
        <v>176</v>
      </c>
      <c r="L971" t="str">
        <f>INDEX('Boundary table'!$B$3:$B$7,MATCH(J971,'Boundary table'!$A$3:$A$7,1))</f>
        <v>B</v>
      </c>
      <c r="M971" s="16">
        <v>80</v>
      </c>
      <c r="N971">
        <f>RANK(M971,$M$2:$M$1001,0)+COUNTIF($M$2:M971,M971)-1</f>
        <v>235</v>
      </c>
      <c r="O971" t="str">
        <f>INDEX('Boundary table'!$B$3:$B$7,MATCH(M971,'Boundary table'!$A$3:$A$7))</f>
        <v>B</v>
      </c>
      <c r="P971">
        <f>Table1[[#This Row],[Math Score]]+Table1[[#This Row],[Reading Score]]+Table1[[#This Row],[Writing Score]]</f>
        <v>239</v>
      </c>
      <c r="Q971" s="16">
        <f>COUNTIF(Table1[[#This Row],[Math Score]],"&lt;60")+COUNTIF(Table1[[#This Row],[Reading Score]],"&lt;60")+COUNTIF(Table1[[#This Row],[Writing Score]],"&lt;60")</f>
        <v>0</v>
      </c>
      <c r="R971" t="str">
        <f>IF(Table1[[#This Row],[Fail Count]]&gt;=2,"At risk","OK")</f>
        <v>OK</v>
      </c>
    </row>
    <row r="972" spans="1:18">
      <c r="A972" t="str">
        <f t="shared" si="15"/>
        <v>Stu-971</v>
      </c>
      <c r="B972" t="s">
        <v>11</v>
      </c>
      <c r="C972" t="s">
        <v>31</v>
      </c>
      <c r="D972" t="s">
        <v>13</v>
      </c>
      <c r="E972" t="s">
        <v>14</v>
      </c>
      <c r="F972" t="s">
        <v>15</v>
      </c>
      <c r="G972" s="16">
        <v>89</v>
      </c>
      <c r="H972">
        <f>RANK(G972,$G$2:$G$1001,0)+COUNTIF($G$2:G972,G972)-1</f>
        <v>64</v>
      </c>
      <c r="I972" t="str">
        <f>INDEX('Boundary table'!$B$3:$B$7,MATCH(G972,'Boundary table'!$A$3:$A$7,1))</f>
        <v>B</v>
      </c>
      <c r="J972" s="16">
        <v>100</v>
      </c>
      <c r="K972">
        <f>RANK(J972,$J$2:$J$1001,0)+COUNTIF($J$2:J972,J972)-1</f>
        <v>17</v>
      </c>
      <c r="L972" t="str">
        <f>INDEX('Boundary table'!$B$3:$B$7,MATCH(J972,'Boundary table'!$A$3:$A$7,1))</f>
        <v>A</v>
      </c>
      <c r="M972" s="16">
        <v>100</v>
      </c>
      <c r="N972">
        <f>RANK(M972,$M$2:$M$1001,0)+COUNTIF($M$2:M972,M972)-1</f>
        <v>14</v>
      </c>
      <c r="O972" t="str">
        <f>INDEX('Boundary table'!$B$3:$B$7,MATCH(M972,'Boundary table'!$A$3:$A$7))</f>
        <v>A</v>
      </c>
      <c r="P972">
        <f>Table1[[#This Row],[Math Score]]+Table1[[#This Row],[Reading Score]]+Table1[[#This Row],[Writing Score]]</f>
        <v>289</v>
      </c>
      <c r="Q972" s="16">
        <f>COUNTIF(Table1[[#This Row],[Math Score]],"&lt;60")+COUNTIF(Table1[[#This Row],[Reading Score]],"&lt;60")+COUNTIF(Table1[[#This Row],[Writing Score]],"&lt;60")</f>
        <v>0</v>
      </c>
      <c r="R972" t="str">
        <f>IF(Table1[[#This Row],[Fail Count]]&gt;=2,"At risk","OK")</f>
        <v>OK</v>
      </c>
    </row>
    <row r="973" spans="1:18">
      <c r="A973" t="str">
        <f t="shared" si="15"/>
        <v>Stu-972</v>
      </c>
      <c r="B973" t="s">
        <v>27</v>
      </c>
      <c r="C973" t="s">
        <v>19</v>
      </c>
      <c r="D973" t="s">
        <v>33</v>
      </c>
      <c r="E973" t="s">
        <v>14</v>
      </c>
      <c r="F973" t="s">
        <v>21</v>
      </c>
      <c r="G973" s="16">
        <v>78</v>
      </c>
      <c r="H973">
        <f>RANK(G973,$G$2:$G$1001,0)+COUNTIF($G$2:G973,G973)-1</f>
        <v>228</v>
      </c>
      <c r="I973" t="str">
        <f>INDEX('Boundary table'!$B$3:$B$7,MATCH(G973,'Boundary table'!$A$3:$A$7,1))</f>
        <v>C</v>
      </c>
      <c r="J973" s="16">
        <v>72</v>
      </c>
      <c r="K973">
        <f>RANK(J973,$J$2:$J$1001,0)+COUNTIF($J$2:J973,J973)-1</f>
        <v>466</v>
      </c>
      <c r="L973" t="str">
        <f>INDEX('Boundary table'!$B$3:$B$7,MATCH(J973,'Boundary table'!$A$3:$A$7,1))</f>
        <v>C</v>
      </c>
      <c r="M973" s="16">
        <v>69</v>
      </c>
      <c r="N973">
        <f>RANK(M973,$M$2:$M$1001,0)+COUNTIF($M$2:M973,M973)-1</f>
        <v>512</v>
      </c>
      <c r="O973" t="str">
        <f>INDEX('Boundary table'!$B$3:$B$7,MATCH(M973,'Boundary table'!$A$3:$A$7))</f>
        <v>D</v>
      </c>
      <c r="P973">
        <f>Table1[[#This Row],[Math Score]]+Table1[[#This Row],[Reading Score]]+Table1[[#This Row],[Writing Score]]</f>
        <v>219</v>
      </c>
      <c r="Q973" s="16">
        <f>COUNTIF(Table1[[#This Row],[Math Score]],"&lt;60")+COUNTIF(Table1[[#This Row],[Reading Score]],"&lt;60")+COUNTIF(Table1[[#This Row],[Writing Score]],"&lt;60")</f>
        <v>0</v>
      </c>
      <c r="R973" t="str">
        <f>IF(Table1[[#This Row],[Fail Count]]&gt;=2,"At risk","OK")</f>
        <v>OK</v>
      </c>
    </row>
    <row r="974" spans="1:18">
      <c r="A974" t="str">
        <f t="shared" si="15"/>
        <v>Stu-973</v>
      </c>
      <c r="B974" t="s">
        <v>11</v>
      </c>
      <c r="C974" t="s">
        <v>28</v>
      </c>
      <c r="D974" t="s">
        <v>32</v>
      </c>
      <c r="E974" t="s">
        <v>30</v>
      </c>
      <c r="F974" t="s">
        <v>21</v>
      </c>
      <c r="G974" s="16">
        <v>53</v>
      </c>
      <c r="H974">
        <f>RANK(G974,$G$2:$G$1001,0)+COUNTIF($G$2:G974,G974)-1</f>
        <v>821</v>
      </c>
      <c r="I974" t="str">
        <f>INDEX('Boundary table'!$B$3:$B$7,MATCH(G974,'Boundary table'!$A$3:$A$7,1))</f>
        <v>F</v>
      </c>
      <c r="J974" s="16">
        <v>50</v>
      </c>
      <c r="K974">
        <f>RANK(J974,$J$2:$J$1001,0)+COUNTIF($J$2:J974,J974)-1</f>
        <v>910</v>
      </c>
      <c r="L974" t="str">
        <f>INDEX('Boundary table'!$B$3:$B$7,MATCH(J974,'Boundary table'!$A$3:$A$7,1))</f>
        <v>F</v>
      </c>
      <c r="M974" s="16">
        <v>60</v>
      </c>
      <c r="N974">
        <f>RANK(M974,$M$2:$M$1001,0)+COUNTIF($M$2:M974,M974)-1</f>
        <v>718</v>
      </c>
      <c r="O974" t="str">
        <f>INDEX('Boundary table'!$B$3:$B$7,MATCH(M974,'Boundary table'!$A$3:$A$7))</f>
        <v>D</v>
      </c>
      <c r="P974">
        <f>Table1[[#This Row],[Math Score]]+Table1[[#This Row],[Reading Score]]+Table1[[#This Row],[Writing Score]]</f>
        <v>163</v>
      </c>
      <c r="Q974" s="16">
        <f>COUNTIF(Table1[[#This Row],[Math Score]],"&lt;60")+COUNTIF(Table1[[#This Row],[Reading Score]],"&lt;60")+COUNTIF(Table1[[#This Row],[Writing Score]],"&lt;60")</f>
        <v>2</v>
      </c>
      <c r="R974" t="str">
        <f>IF(Table1[[#This Row],[Fail Count]]&gt;=2,"At risk","OK")</f>
        <v>At risk</v>
      </c>
    </row>
    <row r="975" spans="1:18">
      <c r="A975" t="str">
        <f t="shared" si="15"/>
        <v>Stu-974</v>
      </c>
      <c r="B975" t="s">
        <v>11</v>
      </c>
      <c r="C975" t="s">
        <v>31</v>
      </c>
      <c r="D975" t="s">
        <v>20</v>
      </c>
      <c r="E975" t="s">
        <v>30</v>
      </c>
      <c r="F975" t="s">
        <v>15</v>
      </c>
      <c r="G975" s="16">
        <v>49</v>
      </c>
      <c r="H975">
        <f>RANK(G975,$G$2:$G$1001,0)+COUNTIF($G$2:G975,G975)-1</f>
        <v>882</v>
      </c>
      <c r="I975" t="str">
        <f>INDEX('Boundary table'!$B$3:$B$7,MATCH(G975,'Boundary table'!$A$3:$A$7,1))</f>
        <v>F</v>
      </c>
      <c r="J975" s="16">
        <v>65</v>
      </c>
      <c r="K975">
        <f>RANK(J975,$J$2:$J$1001,0)+COUNTIF($J$2:J975,J975)-1</f>
        <v>626</v>
      </c>
      <c r="L975" t="str">
        <f>INDEX('Boundary table'!$B$3:$B$7,MATCH(J975,'Boundary table'!$A$3:$A$7,1))</f>
        <v>D</v>
      </c>
      <c r="M975" s="16">
        <v>61</v>
      </c>
      <c r="N975">
        <f>RANK(M975,$M$2:$M$1001,0)+COUNTIF($M$2:M975,M975)-1</f>
        <v>699</v>
      </c>
      <c r="O975" t="str">
        <f>INDEX('Boundary table'!$B$3:$B$7,MATCH(M975,'Boundary table'!$A$3:$A$7))</f>
        <v>D</v>
      </c>
      <c r="P975">
        <f>Table1[[#This Row],[Math Score]]+Table1[[#This Row],[Reading Score]]+Table1[[#This Row],[Writing Score]]</f>
        <v>175</v>
      </c>
      <c r="Q975" s="16">
        <f>COUNTIF(Table1[[#This Row],[Math Score]],"&lt;60")+COUNTIF(Table1[[#This Row],[Reading Score]],"&lt;60")+COUNTIF(Table1[[#This Row],[Writing Score]],"&lt;60")</f>
        <v>1</v>
      </c>
      <c r="R975" t="str">
        <f>IF(Table1[[#This Row],[Fail Count]]&gt;=2,"At risk","OK")</f>
        <v>OK</v>
      </c>
    </row>
    <row r="976" spans="1:18">
      <c r="A976" t="str">
        <f t="shared" si="15"/>
        <v>Stu-975</v>
      </c>
      <c r="B976" t="s">
        <v>11</v>
      </c>
      <c r="C976" t="s">
        <v>28</v>
      </c>
      <c r="D976" t="s">
        <v>20</v>
      </c>
      <c r="E976" t="s">
        <v>14</v>
      </c>
      <c r="F976" t="s">
        <v>15</v>
      </c>
      <c r="G976" s="16">
        <v>54</v>
      </c>
      <c r="H976">
        <f>RANK(G976,$G$2:$G$1001,0)+COUNTIF($G$2:G976,G976)-1</f>
        <v>797</v>
      </c>
      <c r="I976" t="str">
        <f>INDEX('Boundary table'!$B$3:$B$7,MATCH(G976,'Boundary table'!$A$3:$A$7,1))</f>
        <v>F</v>
      </c>
      <c r="J976" s="16">
        <v>63</v>
      </c>
      <c r="K976">
        <f>RANK(J976,$J$2:$J$1001,0)+COUNTIF($J$2:J976,J976)-1</f>
        <v>678</v>
      </c>
      <c r="L976" t="str">
        <f>INDEX('Boundary table'!$B$3:$B$7,MATCH(J976,'Boundary table'!$A$3:$A$7,1))</f>
        <v>D</v>
      </c>
      <c r="M976" s="16">
        <v>67</v>
      </c>
      <c r="N976">
        <f>RANK(M976,$M$2:$M$1001,0)+COUNTIF($M$2:M976,M976)-1</f>
        <v>568</v>
      </c>
      <c r="O976" t="str">
        <f>INDEX('Boundary table'!$B$3:$B$7,MATCH(M976,'Boundary table'!$A$3:$A$7))</f>
        <v>D</v>
      </c>
      <c r="P976">
        <f>Table1[[#This Row],[Math Score]]+Table1[[#This Row],[Reading Score]]+Table1[[#This Row],[Writing Score]]</f>
        <v>184</v>
      </c>
      <c r="Q976" s="16">
        <f>COUNTIF(Table1[[#This Row],[Math Score]],"&lt;60")+COUNTIF(Table1[[#This Row],[Reading Score]],"&lt;60")+COUNTIF(Table1[[#This Row],[Writing Score]],"&lt;60")</f>
        <v>1</v>
      </c>
      <c r="R976" t="str">
        <f>IF(Table1[[#This Row],[Fail Count]]&gt;=2,"At risk","OK")</f>
        <v>OK</v>
      </c>
    </row>
    <row r="977" spans="1:18">
      <c r="A977" t="str">
        <f t="shared" si="15"/>
        <v>Stu-976</v>
      </c>
      <c r="B977" t="s">
        <v>11</v>
      </c>
      <c r="C977" t="s">
        <v>19</v>
      </c>
      <c r="D977" t="s">
        <v>20</v>
      </c>
      <c r="E977" t="s">
        <v>14</v>
      </c>
      <c r="F977" t="s">
        <v>21</v>
      </c>
      <c r="G977" s="16">
        <v>64</v>
      </c>
      <c r="H977">
        <f>RANK(G977,$G$2:$G$1001,0)+COUNTIF($G$2:G977,G977)-1</f>
        <v>573</v>
      </c>
      <c r="I977" t="str">
        <f>INDEX('Boundary table'!$B$3:$B$7,MATCH(G977,'Boundary table'!$A$3:$A$7,1))</f>
        <v>D</v>
      </c>
      <c r="J977" s="16">
        <v>82</v>
      </c>
      <c r="K977">
        <f>RANK(J977,$J$2:$J$1001,0)+COUNTIF($J$2:J977,J977)-1</f>
        <v>209</v>
      </c>
      <c r="L977" t="str">
        <f>INDEX('Boundary table'!$B$3:$B$7,MATCH(J977,'Boundary table'!$A$3:$A$7,1))</f>
        <v>B</v>
      </c>
      <c r="M977" s="16">
        <v>77</v>
      </c>
      <c r="N977">
        <f>RANK(M977,$M$2:$M$1001,0)+COUNTIF($M$2:M977,M977)-1</f>
        <v>302</v>
      </c>
      <c r="O977" t="str">
        <f>INDEX('Boundary table'!$B$3:$B$7,MATCH(M977,'Boundary table'!$A$3:$A$7))</f>
        <v>C</v>
      </c>
      <c r="P977">
        <f>Table1[[#This Row],[Math Score]]+Table1[[#This Row],[Reading Score]]+Table1[[#This Row],[Writing Score]]</f>
        <v>223</v>
      </c>
      <c r="Q977" s="16">
        <f>COUNTIF(Table1[[#This Row],[Math Score]],"&lt;60")+COUNTIF(Table1[[#This Row],[Reading Score]],"&lt;60")+COUNTIF(Table1[[#This Row],[Writing Score]],"&lt;60")</f>
        <v>0</v>
      </c>
      <c r="R977" t="str">
        <f>IF(Table1[[#This Row],[Fail Count]]&gt;=2,"At risk","OK")</f>
        <v>OK</v>
      </c>
    </row>
    <row r="978" spans="1:18">
      <c r="A978" t="str">
        <f t="shared" si="15"/>
        <v>Stu-977</v>
      </c>
      <c r="B978" t="s">
        <v>27</v>
      </c>
      <c r="C978" t="s">
        <v>12</v>
      </c>
      <c r="D978" t="s">
        <v>20</v>
      </c>
      <c r="E978" t="s">
        <v>30</v>
      </c>
      <c r="F978" t="s">
        <v>21</v>
      </c>
      <c r="G978" s="16">
        <v>60</v>
      </c>
      <c r="H978">
        <f>RANK(G978,$G$2:$G$1001,0)+COUNTIF($G$2:G978,G978)-1</f>
        <v>677</v>
      </c>
      <c r="I978" t="str">
        <f>INDEX('Boundary table'!$B$3:$B$7,MATCH(G978,'Boundary table'!$A$3:$A$7,1))</f>
        <v>D</v>
      </c>
      <c r="J978" s="16">
        <v>62</v>
      </c>
      <c r="K978">
        <f>RANK(J978,$J$2:$J$1001,0)+COUNTIF($J$2:J978,J978)-1</f>
        <v>701</v>
      </c>
      <c r="L978" t="str">
        <f>INDEX('Boundary table'!$B$3:$B$7,MATCH(J978,'Boundary table'!$A$3:$A$7,1))</f>
        <v>D</v>
      </c>
      <c r="M978" s="16">
        <v>60</v>
      </c>
      <c r="N978">
        <f>RANK(M978,$M$2:$M$1001,0)+COUNTIF($M$2:M978,M978)-1</f>
        <v>719</v>
      </c>
      <c r="O978" t="str">
        <f>INDEX('Boundary table'!$B$3:$B$7,MATCH(M978,'Boundary table'!$A$3:$A$7))</f>
        <v>D</v>
      </c>
      <c r="P978">
        <f>Table1[[#This Row],[Math Score]]+Table1[[#This Row],[Reading Score]]+Table1[[#This Row],[Writing Score]]</f>
        <v>182</v>
      </c>
      <c r="Q978" s="16">
        <f>COUNTIF(Table1[[#This Row],[Math Score]],"&lt;60")+COUNTIF(Table1[[#This Row],[Reading Score]],"&lt;60")+COUNTIF(Table1[[#This Row],[Writing Score]],"&lt;60")</f>
        <v>0</v>
      </c>
      <c r="R978" t="str">
        <f>IF(Table1[[#This Row],[Fail Count]]&gt;=2,"At risk","OK")</f>
        <v>OK</v>
      </c>
    </row>
    <row r="979" spans="1:18">
      <c r="A979" t="str">
        <f t="shared" si="15"/>
        <v>Stu-978</v>
      </c>
      <c r="B979" t="s">
        <v>27</v>
      </c>
      <c r="C979" t="s">
        <v>19</v>
      </c>
      <c r="D979" t="s">
        <v>29</v>
      </c>
      <c r="E979" t="s">
        <v>14</v>
      </c>
      <c r="F979" t="s">
        <v>15</v>
      </c>
      <c r="G979" s="16">
        <v>62</v>
      </c>
      <c r="H979">
        <f>RANK(G979,$G$2:$G$1001,0)+COUNTIF($G$2:G979,G979)-1</f>
        <v>632</v>
      </c>
      <c r="I979" t="str">
        <f>INDEX('Boundary table'!$B$3:$B$7,MATCH(G979,'Boundary table'!$A$3:$A$7,1))</f>
        <v>D</v>
      </c>
      <c r="J979" s="16">
        <v>65</v>
      </c>
      <c r="K979">
        <f>RANK(J979,$J$2:$J$1001,0)+COUNTIF($J$2:J979,J979)-1</f>
        <v>627</v>
      </c>
      <c r="L979" t="str">
        <f>INDEX('Boundary table'!$B$3:$B$7,MATCH(J979,'Boundary table'!$A$3:$A$7,1))</f>
        <v>D</v>
      </c>
      <c r="M979" s="16">
        <v>58</v>
      </c>
      <c r="N979">
        <f>RANK(M979,$M$2:$M$1001,0)+COUNTIF($M$2:M979,M979)-1</f>
        <v>750</v>
      </c>
      <c r="O979" t="str">
        <f>INDEX('Boundary table'!$B$3:$B$7,MATCH(M979,'Boundary table'!$A$3:$A$7))</f>
        <v>F</v>
      </c>
      <c r="P979">
        <f>Table1[[#This Row],[Math Score]]+Table1[[#This Row],[Reading Score]]+Table1[[#This Row],[Writing Score]]</f>
        <v>185</v>
      </c>
      <c r="Q979" s="16">
        <f>COUNTIF(Table1[[#This Row],[Math Score]],"&lt;60")+COUNTIF(Table1[[#This Row],[Reading Score]],"&lt;60")+COUNTIF(Table1[[#This Row],[Writing Score]],"&lt;60")</f>
        <v>1</v>
      </c>
      <c r="R979" t="str">
        <f>IF(Table1[[#This Row],[Fail Count]]&gt;=2,"At risk","OK")</f>
        <v>OK</v>
      </c>
    </row>
    <row r="980" spans="1:18">
      <c r="A980" t="str">
        <f t="shared" si="15"/>
        <v>Stu-979</v>
      </c>
      <c r="B980" t="s">
        <v>27</v>
      </c>
      <c r="C980" t="s">
        <v>31</v>
      </c>
      <c r="D980" t="s">
        <v>32</v>
      </c>
      <c r="E980" t="s">
        <v>14</v>
      </c>
      <c r="F980" t="s">
        <v>21</v>
      </c>
      <c r="G980" s="16">
        <v>55</v>
      </c>
      <c r="H980">
        <f>RANK(G980,$G$2:$G$1001,0)+COUNTIF($G$2:G980,G980)-1</f>
        <v>778</v>
      </c>
      <c r="I980" t="str">
        <f>INDEX('Boundary table'!$B$3:$B$7,MATCH(G980,'Boundary table'!$A$3:$A$7,1))</f>
        <v>F</v>
      </c>
      <c r="J980" s="16">
        <v>41</v>
      </c>
      <c r="K980">
        <f>RANK(J980,$J$2:$J$1001,0)+COUNTIF($J$2:J980,J980)-1</f>
        <v>973</v>
      </c>
      <c r="L980" t="str">
        <f>INDEX('Boundary table'!$B$3:$B$7,MATCH(J980,'Boundary table'!$A$3:$A$7,1))</f>
        <v>F</v>
      </c>
      <c r="M980" s="16">
        <v>48</v>
      </c>
      <c r="N980">
        <f>RANK(M980,$M$2:$M$1001,0)+COUNTIF($M$2:M980,M980)-1</f>
        <v>903</v>
      </c>
      <c r="O980" t="str">
        <f>INDEX('Boundary table'!$B$3:$B$7,MATCH(M980,'Boundary table'!$A$3:$A$7))</f>
        <v>F</v>
      </c>
      <c r="P980">
        <f>Table1[[#This Row],[Math Score]]+Table1[[#This Row],[Reading Score]]+Table1[[#This Row],[Writing Score]]</f>
        <v>144</v>
      </c>
      <c r="Q980" s="16">
        <f>COUNTIF(Table1[[#This Row],[Math Score]],"&lt;60")+COUNTIF(Table1[[#This Row],[Reading Score]],"&lt;60")+COUNTIF(Table1[[#This Row],[Writing Score]],"&lt;60")</f>
        <v>3</v>
      </c>
      <c r="R980" t="str">
        <f>IF(Table1[[#This Row],[Fail Count]]&gt;=2,"At risk","OK")</f>
        <v>At risk</v>
      </c>
    </row>
    <row r="981" spans="1:18">
      <c r="A981" t="str">
        <f t="shared" si="15"/>
        <v>Stu-980</v>
      </c>
      <c r="B981" t="s">
        <v>11</v>
      </c>
      <c r="C981" t="s">
        <v>19</v>
      </c>
      <c r="D981" t="s">
        <v>29</v>
      </c>
      <c r="E981" t="s">
        <v>14</v>
      </c>
      <c r="F981" t="s">
        <v>15</v>
      </c>
      <c r="G981" s="16">
        <v>91</v>
      </c>
      <c r="H981">
        <f>RANK(G981,$G$2:$G$1001,0)+COUNTIF($G$2:G981,G981)-1</f>
        <v>50</v>
      </c>
      <c r="I981" t="str">
        <f>INDEX('Boundary table'!$B$3:$B$7,MATCH(G981,'Boundary table'!$A$3:$A$7,1))</f>
        <v>A</v>
      </c>
      <c r="J981" s="16">
        <v>95</v>
      </c>
      <c r="K981">
        <f>RANK(J981,$J$2:$J$1001,0)+COUNTIF($J$2:J981,J981)-1</f>
        <v>37</v>
      </c>
      <c r="L981" t="str">
        <f>INDEX('Boundary table'!$B$3:$B$7,MATCH(J981,'Boundary table'!$A$3:$A$7,1))</f>
        <v>A</v>
      </c>
      <c r="M981" s="16">
        <v>94</v>
      </c>
      <c r="N981">
        <f>RANK(M981,$M$2:$M$1001,0)+COUNTIF($M$2:M981,M981)-1</f>
        <v>40</v>
      </c>
      <c r="O981" t="str">
        <f>INDEX('Boundary table'!$B$3:$B$7,MATCH(M981,'Boundary table'!$A$3:$A$7))</f>
        <v>A</v>
      </c>
      <c r="P981">
        <f>Table1[[#This Row],[Math Score]]+Table1[[#This Row],[Reading Score]]+Table1[[#This Row],[Writing Score]]</f>
        <v>280</v>
      </c>
      <c r="Q981" s="16">
        <f>COUNTIF(Table1[[#This Row],[Math Score]],"&lt;60")+COUNTIF(Table1[[#This Row],[Reading Score]],"&lt;60")+COUNTIF(Table1[[#This Row],[Writing Score]],"&lt;60")</f>
        <v>0</v>
      </c>
      <c r="R981" t="str">
        <f>IF(Table1[[#This Row],[Fail Count]]&gt;=2,"At risk","OK")</f>
        <v>OK</v>
      </c>
    </row>
    <row r="982" spans="1:18">
      <c r="A982" t="str">
        <f t="shared" si="15"/>
        <v>Stu-981</v>
      </c>
      <c r="B982" t="s">
        <v>11</v>
      </c>
      <c r="C982" t="s">
        <v>12</v>
      </c>
      <c r="D982" t="s">
        <v>32</v>
      </c>
      <c r="E982" t="s">
        <v>30</v>
      </c>
      <c r="F982" t="s">
        <v>15</v>
      </c>
      <c r="G982" s="16">
        <v>8</v>
      </c>
      <c r="H982">
        <f>RANK(G982,$G$2:$G$1001,0)+COUNTIF($G$2:G982,G982)-1</f>
        <v>999</v>
      </c>
      <c r="I982" t="str">
        <f>INDEX('Boundary table'!$B$3:$B$7,MATCH(G982,'Boundary table'!$A$3:$A$7,1))</f>
        <v>F</v>
      </c>
      <c r="J982" s="16">
        <v>24</v>
      </c>
      <c r="K982">
        <f>RANK(J982,$J$2:$J$1001,0)+COUNTIF($J$2:J982,J982)-1</f>
        <v>998</v>
      </c>
      <c r="L982" t="str">
        <f>INDEX('Boundary table'!$B$3:$B$7,MATCH(J982,'Boundary table'!$A$3:$A$7,1))</f>
        <v>F</v>
      </c>
      <c r="M982" s="16">
        <v>23</v>
      </c>
      <c r="N982">
        <f>RANK(M982,$M$2:$M$1001,0)+COUNTIF($M$2:M982,M982)-1</f>
        <v>996</v>
      </c>
      <c r="O982" t="str">
        <f>INDEX('Boundary table'!$B$3:$B$7,MATCH(M982,'Boundary table'!$A$3:$A$7))</f>
        <v>F</v>
      </c>
      <c r="P982">
        <f>Table1[[#This Row],[Math Score]]+Table1[[#This Row],[Reading Score]]+Table1[[#This Row],[Writing Score]]</f>
        <v>55</v>
      </c>
      <c r="Q982" s="16">
        <f>COUNTIF(Table1[[#This Row],[Math Score]],"&lt;60")+COUNTIF(Table1[[#This Row],[Reading Score]],"&lt;60")+COUNTIF(Table1[[#This Row],[Writing Score]],"&lt;60")</f>
        <v>3</v>
      </c>
      <c r="R982" t="str">
        <f>IF(Table1[[#This Row],[Fail Count]]&gt;=2,"At risk","OK")</f>
        <v>At risk</v>
      </c>
    </row>
    <row r="983" spans="1:18">
      <c r="A983" t="str">
        <f t="shared" si="15"/>
        <v>Stu-982</v>
      </c>
      <c r="B983" t="s">
        <v>27</v>
      </c>
      <c r="C983" t="s">
        <v>31</v>
      </c>
      <c r="D983" t="s">
        <v>33</v>
      </c>
      <c r="E983" t="s">
        <v>14</v>
      </c>
      <c r="F983" t="s">
        <v>15</v>
      </c>
      <c r="G983" s="16">
        <v>81</v>
      </c>
      <c r="H983">
        <f>RANK(G983,$G$2:$G$1001,0)+COUNTIF($G$2:G983,G983)-1</f>
        <v>175</v>
      </c>
      <c r="I983" t="str">
        <f>INDEX('Boundary table'!$B$3:$B$7,MATCH(G983,'Boundary table'!$A$3:$A$7,1))</f>
        <v>B</v>
      </c>
      <c r="J983" s="16">
        <v>78</v>
      </c>
      <c r="K983">
        <f>RANK(J983,$J$2:$J$1001,0)+COUNTIF($J$2:J983,J983)-1</f>
        <v>294</v>
      </c>
      <c r="L983" t="str">
        <f>INDEX('Boundary table'!$B$3:$B$7,MATCH(J983,'Boundary table'!$A$3:$A$7,1))</f>
        <v>C</v>
      </c>
      <c r="M983" s="16">
        <v>78</v>
      </c>
      <c r="N983">
        <f>RANK(M983,$M$2:$M$1001,0)+COUNTIF($M$2:M983,M983)-1</f>
        <v>278</v>
      </c>
      <c r="O983" t="str">
        <f>INDEX('Boundary table'!$B$3:$B$7,MATCH(M983,'Boundary table'!$A$3:$A$7))</f>
        <v>C</v>
      </c>
      <c r="P983">
        <f>Table1[[#This Row],[Math Score]]+Table1[[#This Row],[Reading Score]]+Table1[[#This Row],[Writing Score]]</f>
        <v>237</v>
      </c>
      <c r="Q983" s="16">
        <f>COUNTIF(Table1[[#This Row],[Math Score]],"&lt;60")+COUNTIF(Table1[[#This Row],[Reading Score]],"&lt;60")+COUNTIF(Table1[[#This Row],[Writing Score]],"&lt;60")</f>
        <v>0</v>
      </c>
      <c r="R983" t="str">
        <f>IF(Table1[[#This Row],[Fail Count]]&gt;=2,"At risk","OK")</f>
        <v>OK</v>
      </c>
    </row>
    <row r="984" spans="1:18">
      <c r="A984" t="str">
        <f t="shared" si="15"/>
        <v>Stu-983</v>
      </c>
      <c r="B984" t="s">
        <v>27</v>
      </c>
      <c r="C984" t="s">
        <v>12</v>
      </c>
      <c r="D984" t="s">
        <v>33</v>
      </c>
      <c r="E984" t="s">
        <v>14</v>
      </c>
      <c r="F984" t="s">
        <v>21</v>
      </c>
      <c r="G984" s="16">
        <v>79</v>
      </c>
      <c r="H984">
        <f>RANK(G984,$G$2:$G$1001,0)+COUNTIF($G$2:G984,G984)-1</f>
        <v>215</v>
      </c>
      <c r="I984" t="str">
        <f>INDEX('Boundary table'!$B$3:$B$7,MATCH(G984,'Boundary table'!$A$3:$A$7,1))</f>
        <v>C</v>
      </c>
      <c r="J984" s="16">
        <v>85</v>
      </c>
      <c r="K984">
        <f>RANK(J984,$J$2:$J$1001,0)+COUNTIF($J$2:J984,J984)-1</f>
        <v>150</v>
      </c>
      <c r="L984" t="str">
        <f>INDEX('Boundary table'!$B$3:$B$7,MATCH(J984,'Boundary table'!$A$3:$A$7,1))</f>
        <v>B</v>
      </c>
      <c r="M984" s="16">
        <v>86</v>
      </c>
      <c r="N984">
        <f>RANK(M984,$M$2:$M$1001,0)+COUNTIF($M$2:M984,M984)-1</f>
        <v>120</v>
      </c>
      <c r="O984" t="str">
        <f>INDEX('Boundary table'!$B$3:$B$7,MATCH(M984,'Boundary table'!$A$3:$A$7))</f>
        <v>B</v>
      </c>
      <c r="P984">
        <f>Table1[[#This Row],[Math Score]]+Table1[[#This Row],[Reading Score]]+Table1[[#This Row],[Writing Score]]</f>
        <v>250</v>
      </c>
      <c r="Q984" s="16">
        <f>COUNTIF(Table1[[#This Row],[Math Score]],"&lt;60")+COUNTIF(Table1[[#This Row],[Reading Score]],"&lt;60")+COUNTIF(Table1[[#This Row],[Writing Score]],"&lt;60")</f>
        <v>0</v>
      </c>
      <c r="R984" t="str">
        <f>IF(Table1[[#This Row],[Fail Count]]&gt;=2,"At risk","OK")</f>
        <v>OK</v>
      </c>
    </row>
    <row r="985" spans="1:18">
      <c r="A985" t="str">
        <f t="shared" si="15"/>
        <v>Stu-984</v>
      </c>
      <c r="B985" t="s">
        <v>11</v>
      </c>
      <c r="C985" t="s">
        <v>28</v>
      </c>
      <c r="D985" t="s">
        <v>20</v>
      </c>
      <c r="E985" t="s">
        <v>14</v>
      </c>
      <c r="F985" t="s">
        <v>21</v>
      </c>
      <c r="G985" s="16">
        <v>78</v>
      </c>
      <c r="H985">
        <f>RANK(G985,$G$2:$G$1001,0)+COUNTIF($G$2:G985,G985)-1</f>
        <v>229</v>
      </c>
      <c r="I985" t="str">
        <f>INDEX('Boundary table'!$B$3:$B$7,MATCH(G985,'Boundary table'!$A$3:$A$7,1))</f>
        <v>C</v>
      </c>
      <c r="J985" s="16">
        <v>87</v>
      </c>
      <c r="K985">
        <f>RANK(J985,$J$2:$J$1001,0)+COUNTIF($J$2:J985,J985)-1</f>
        <v>113</v>
      </c>
      <c r="L985" t="str">
        <f>INDEX('Boundary table'!$B$3:$B$7,MATCH(J985,'Boundary table'!$A$3:$A$7,1))</f>
        <v>B</v>
      </c>
      <c r="M985" s="16">
        <v>91</v>
      </c>
      <c r="N985">
        <f>RANK(M985,$M$2:$M$1001,0)+COUNTIF($M$2:M985,M985)-1</f>
        <v>68</v>
      </c>
      <c r="O985" t="str">
        <f>INDEX('Boundary table'!$B$3:$B$7,MATCH(M985,'Boundary table'!$A$3:$A$7))</f>
        <v>A</v>
      </c>
      <c r="P985">
        <f>Table1[[#This Row],[Math Score]]+Table1[[#This Row],[Reading Score]]+Table1[[#This Row],[Writing Score]]</f>
        <v>256</v>
      </c>
      <c r="Q985" s="16">
        <f>COUNTIF(Table1[[#This Row],[Math Score]],"&lt;60")+COUNTIF(Table1[[#This Row],[Reading Score]],"&lt;60")+COUNTIF(Table1[[#This Row],[Writing Score]],"&lt;60")</f>
        <v>0</v>
      </c>
      <c r="R985" t="str">
        <f>IF(Table1[[#This Row],[Fail Count]]&gt;=2,"At risk","OK")</f>
        <v>OK</v>
      </c>
    </row>
    <row r="986" spans="1:18">
      <c r="A986" t="str">
        <f t="shared" si="15"/>
        <v>Stu-985</v>
      </c>
      <c r="B986" t="s">
        <v>11</v>
      </c>
      <c r="C986" t="s">
        <v>19</v>
      </c>
      <c r="D986" t="s">
        <v>33</v>
      </c>
      <c r="E986" t="s">
        <v>14</v>
      </c>
      <c r="F986" t="s">
        <v>15</v>
      </c>
      <c r="G986" s="16">
        <v>74</v>
      </c>
      <c r="H986">
        <f>RANK(G986,$G$2:$G$1001,0)+COUNTIF($G$2:G986,G986)-1</f>
        <v>320</v>
      </c>
      <c r="I986" t="str">
        <f>INDEX('Boundary table'!$B$3:$B$7,MATCH(G986,'Boundary table'!$A$3:$A$7,1))</f>
        <v>C</v>
      </c>
      <c r="J986" s="16">
        <v>75</v>
      </c>
      <c r="K986">
        <f>RANK(J986,$J$2:$J$1001,0)+COUNTIF($J$2:J986,J986)-1</f>
        <v>369</v>
      </c>
      <c r="L986" t="str">
        <f>INDEX('Boundary table'!$B$3:$B$7,MATCH(J986,'Boundary table'!$A$3:$A$7,1))</f>
        <v>C</v>
      </c>
      <c r="M986" s="16">
        <v>82</v>
      </c>
      <c r="N986">
        <f>RANK(M986,$M$2:$M$1001,0)+COUNTIF($M$2:M986,M986)-1</f>
        <v>188</v>
      </c>
      <c r="O986" t="str">
        <f>INDEX('Boundary table'!$B$3:$B$7,MATCH(M986,'Boundary table'!$A$3:$A$7))</f>
        <v>B</v>
      </c>
      <c r="P986">
        <f>Table1[[#This Row],[Math Score]]+Table1[[#This Row],[Reading Score]]+Table1[[#This Row],[Writing Score]]</f>
        <v>231</v>
      </c>
      <c r="Q986" s="16">
        <f>COUNTIF(Table1[[#This Row],[Math Score]],"&lt;60")+COUNTIF(Table1[[#This Row],[Reading Score]],"&lt;60")+COUNTIF(Table1[[#This Row],[Writing Score]],"&lt;60")</f>
        <v>0</v>
      </c>
      <c r="R986" t="str">
        <f>IF(Table1[[#This Row],[Fail Count]]&gt;=2,"At risk","OK")</f>
        <v>OK</v>
      </c>
    </row>
    <row r="987" spans="1:18">
      <c r="A987" t="str">
        <f t="shared" si="15"/>
        <v>Stu-986</v>
      </c>
      <c r="B987" t="s">
        <v>27</v>
      </c>
      <c r="C987" t="s">
        <v>28</v>
      </c>
      <c r="D987" t="s">
        <v>32</v>
      </c>
      <c r="E987" t="s">
        <v>14</v>
      </c>
      <c r="F987" t="s">
        <v>15</v>
      </c>
      <c r="G987" s="16">
        <v>57</v>
      </c>
      <c r="H987">
        <f>RANK(G987,$G$2:$G$1001,0)+COUNTIF($G$2:G987,G987)-1</f>
        <v>752</v>
      </c>
      <c r="I987" t="str">
        <f>INDEX('Boundary table'!$B$3:$B$7,MATCH(G987,'Boundary table'!$A$3:$A$7,1))</f>
        <v>F</v>
      </c>
      <c r="J987" s="16">
        <v>51</v>
      </c>
      <c r="K987">
        <f>RANK(J987,$J$2:$J$1001,0)+COUNTIF($J$2:J987,J987)-1</f>
        <v>903</v>
      </c>
      <c r="L987" t="str">
        <f>INDEX('Boundary table'!$B$3:$B$7,MATCH(J987,'Boundary table'!$A$3:$A$7,1))</f>
        <v>F</v>
      </c>
      <c r="M987" s="16">
        <v>54</v>
      </c>
      <c r="N987">
        <f>RANK(M987,$M$2:$M$1001,0)+COUNTIF($M$2:M987,M987)-1</f>
        <v>822</v>
      </c>
      <c r="O987" t="str">
        <f>INDEX('Boundary table'!$B$3:$B$7,MATCH(M987,'Boundary table'!$A$3:$A$7))</f>
        <v>F</v>
      </c>
      <c r="P987">
        <f>Table1[[#This Row],[Math Score]]+Table1[[#This Row],[Reading Score]]+Table1[[#This Row],[Writing Score]]</f>
        <v>162</v>
      </c>
      <c r="Q987" s="16">
        <f>COUNTIF(Table1[[#This Row],[Math Score]],"&lt;60")+COUNTIF(Table1[[#This Row],[Reading Score]],"&lt;60")+COUNTIF(Table1[[#This Row],[Writing Score]],"&lt;60")</f>
        <v>3</v>
      </c>
      <c r="R987" t="str">
        <f>IF(Table1[[#This Row],[Fail Count]]&gt;=2,"At risk","OK")</f>
        <v>At risk</v>
      </c>
    </row>
    <row r="988" spans="1:18">
      <c r="A988" t="str">
        <f t="shared" si="15"/>
        <v>Stu-987</v>
      </c>
      <c r="B988" t="s">
        <v>11</v>
      </c>
      <c r="C988" t="s">
        <v>19</v>
      </c>
      <c r="D988" t="s">
        <v>29</v>
      </c>
      <c r="E988" t="s">
        <v>14</v>
      </c>
      <c r="F988" t="s">
        <v>15</v>
      </c>
      <c r="G988" s="16">
        <v>40</v>
      </c>
      <c r="H988">
        <f>RANK(G988,$G$2:$G$1001,0)+COUNTIF($G$2:G988,G988)-1</f>
        <v>960</v>
      </c>
      <c r="I988" t="str">
        <f>INDEX('Boundary table'!$B$3:$B$7,MATCH(G988,'Boundary table'!$A$3:$A$7,1))</f>
        <v>F</v>
      </c>
      <c r="J988" s="16">
        <v>59</v>
      </c>
      <c r="K988">
        <f>RANK(J988,$J$2:$J$1001,0)+COUNTIF($J$2:J988,J988)-1</f>
        <v>763</v>
      </c>
      <c r="L988" t="str">
        <f>INDEX('Boundary table'!$B$3:$B$7,MATCH(J988,'Boundary table'!$A$3:$A$7,1))</f>
        <v>F</v>
      </c>
      <c r="M988" s="16">
        <v>51</v>
      </c>
      <c r="N988">
        <f>RANK(M988,$M$2:$M$1001,0)+COUNTIF($M$2:M988,M988)-1</f>
        <v>876</v>
      </c>
      <c r="O988" t="str">
        <f>INDEX('Boundary table'!$B$3:$B$7,MATCH(M988,'Boundary table'!$A$3:$A$7))</f>
        <v>F</v>
      </c>
      <c r="P988">
        <f>Table1[[#This Row],[Math Score]]+Table1[[#This Row],[Reading Score]]+Table1[[#This Row],[Writing Score]]</f>
        <v>150</v>
      </c>
      <c r="Q988" s="16">
        <f>COUNTIF(Table1[[#This Row],[Math Score]],"&lt;60")+COUNTIF(Table1[[#This Row],[Reading Score]],"&lt;60")+COUNTIF(Table1[[#This Row],[Writing Score]],"&lt;60")</f>
        <v>3</v>
      </c>
      <c r="R988" t="str">
        <f>IF(Table1[[#This Row],[Fail Count]]&gt;=2,"At risk","OK")</f>
        <v>At risk</v>
      </c>
    </row>
    <row r="989" spans="1:18">
      <c r="A989" t="str">
        <f t="shared" si="15"/>
        <v>Stu-988</v>
      </c>
      <c r="B989" t="s">
        <v>27</v>
      </c>
      <c r="C989" t="s">
        <v>34</v>
      </c>
      <c r="D989" t="s">
        <v>33</v>
      </c>
      <c r="E989" t="s">
        <v>14</v>
      </c>
      <c r="F989" t="s">
        <v>21</v>
      </c>
      <c r="G989" s="16">
        <v>81</v>
      </c>
      <c r="H989">
        <f>RANK(G989,$G$2:$G$1001,0)+COUNTIF($G$2:G989,G989)-1</f>
        <v>176</v>
      </c>
      <c r="I989" t="str">
        <f>INDEX('Boundary table'!$B$3:$B$7,MATCH(G989,'Boundary table'!$A$3:$A$7,1))</f>
        <v>B</v>
      </c>
      <c r="J989" s="16">
        <v>75</v>
      </c>
      <c r="K989">
        <f>RANK(J989,$J$2:$J$1001,0)+COUNTIF($J$2:J989,J989)-1</f>
        <v>370</v>
      </c>
      <c r="L989" t="str">
        <f>INDEX('Boundary table'!$B$3:$B$7,MATCH(J989,'Boundary table'!$A$3:$A$7,1))</f>
        <v>C</v>
      </c>
      <c r="M989" s="16">
        <v>76</v>
      </c>
      <c r="N989">
        <f>RANK(M989,$M$2:$M$1001,0)+COUNTIF($M$2:M989,M989)-1</f>
        <v>327</v>
      </c>
      <c r="O989" t="str">
        <f>INDEX('Boundary table'!$B$3:$B$7,MATCH(M989,'Boundary table'!$A$3:$A$7))</f>
        <v>C</v>
      </c>
      <c r="P989">
        <f>Table1[[#This Row],[Math Score]]+Table1[[#This Row],[Reading Score]]+Table1[[#This Row],[Writing Score]]</f>
        <v>232</v>
      </c>
      <c r="Q989" s="16">
        <f>COUNTIF(Table1[[#This Row],[Math Score]],"&lt;60")+COUNTIF(Table1[[#This Row],[Reading Score]],"&lt;60")+COUNTIF(Table1[[#This Row],[Writing Score]],"&lt;60")</f>
        <v>0</v>
      </c>
      <c r="R989" t="str">
        <f>IF(Table1[[#This Row],[Fail Count]]&gt;=2,"At risk","OK")</f>
        <v>OK</v>
      </c>
    </row>
    <row r="990" spans="1:18">
      <c r="A990" t="str">
        <f t="shared" si="15"/>
        <v>Stu-989</v>
      </c>
      <c r="B990" t="s">
        <v>11</v>
      </c>
      <c r="C990" t="s">
        <v>28</v>
      </c>
      <c r="D990" t="s">
        <v>33</v>
      </c>
      <c r="E990" t="s">
        <v>30</v>
      </c>
      <c r="F990" t="s">
        <v>15</v>
      </c>
      <c r="G990" s="16">
        <v>44</v>
      </c>
      <c r="H990">
        <f>RANK(G990,$G$2:$G$1001,0)+COUNTIF($G$2:G990,G990)-1</f>
        <v>933</v>
      </c>
      <c r="I990" t="str">
        <f>INDEX('Boundary table'!$B$3:$B$7,MATCH(G990,'Boundary table'!$A$3:$A$7,1))</f>
        <v>F</v>
      </c>
      <c r="J990" s="16">
        <v>45</v>
      </c>
      <c r="K990">
        <f>RANK(J990,$J$2:$J$1001,0)+COUNTIF($J$2:J990,J990)-1</f>
        <v>947</v>
      </c>
      <c r="L990" t="str">
        <f>INDEX('Boundary table'!$B$3:$B$7,MATCH(J990,'Boundary table'!$A$3:$A$7,1))</f>
        <v>F</v>
      </c>
      <c r="M990" s="16">
        <v>45</v>
      </c>
      <c r="N990">
        <f>RANK(M990,$M$2:$M$1001,0)+COUNTIF($M$2:M990,M990)-1</f>
        <v>930</v>
      </c>
      <c r="O990" t="str">
        <f>INDEX('Boundary table'!$B$3:$B$7,MATCH(M990,'Boundary table'!$A$3:$A$7))</f>
        <v>F</v>
      </c>
      <c r="P990">
        <f>Table1[[#This Row],[Math Score]]+Table1[[#This Row],[Reading Score]]+Table1[[#This Row],[Writing Score]]</f>
        <v>134</v>
      </c>
      <c r="Q990" s="16">
        <f>COUNTIF(Table1[[#This Row],[Math Score]],"&lt;60")+COUNTIF(Table1[[#This Row],[Reading Score]],"&lt;60")+COUNTIF(Table1[[#This Row],[Writing Score]],"&lt;60")</f>
        <v>3</v>
      </c>
      <c r="R990" t="str">
        <f>IF(Table1[[#This Row],[Fail Count]]&gt;=2,"At risk","OK")</f>
        <v>At risk</v>
      </c>
    </row>
    <row r="991" spans="1:18">
      <c r="A991" t="str">
        <f t="shared" si="15"/>
        <v>Stu-990</v>
      </c>
      <c r="B991" t="s">
        <v>11</v>
      </c>
      <c r="C991" t="s">
        <v>31</v>
      </c>
      <c r="D991" t="s">
        <v>20</v>
      </c>
      <c r="E991" t="s">
        <v>30</v>
      </c>
      <c r="F991" t="s">
        <v>21</v>
      </c>
      <c r="G991" s="16">
        <v>67</v>
      </c>
      <c r="H991">
        <f>RANK(G991,$G$2:$G$1001,0)+COUNTIF($G$2:G991,G991)-1</f>
        <v>493</v>
      </c>
      <c r="I991" t="str">
        <f>INDEX('Boundary table'!$B$3:$B$7,MATCH(G991,'Boundary table'!$A$3:$A$7,1))</f>
        <v>D</v>
      </c>
      <c r="J991" s="16">
        <v>86</v>
      </c>
      <c r="K991">
        <f>RANK(J991,$J$2:$J$1001,0)+COUNTIF($J$2:J991,J991)-1</f>
        <v>131</v>
      </c>
      <c r="L991" t="str">
        <f>INDEX('Boundary table'!$B$3:$B$7,MATCH(J991,'Boundary table'!$A$3:$A$7,1))</f>
        <v>B</v>
      </c>
      <c r="M991" s="16">
        <v>83</v>
      </c>
      <c r="N991">
        <f>RANK(M991,$M$2:$M$1001,0)+COUNTIF($M$2:M991,M991)-1</f>
        <v>164</v>
      </c>
      <c r="O991" t="str">
        <f>INDEX('Boundary table'!$B$3:$B$7,MATCH(M991,'Boundary table'!$A$3:$A$7))</f>
        <v>B</v>
      </c>
      <c r="P991">
        <f>Table1[[#This Row],[Math Score]]+Table1[[#This Row],[Reading Score]]+Table1[[#This Row],[Writing Score]]</f>
        <v>236</v>
      </c>
      <c r="Q991" s="16">
        <f>COUNTIF(Table1[[#This Row],[Math Score]],"&lt;60")+COUNTIF(Table1[[#This Row],[Reading Score]],"&lt;60")+COUNTIF(Table1[[#This Row],[Writing Score]],"&lt;60")</f>
        <v>0</v>
      </c>
      <c r="R991" t="str">
        <f>IF(Table1[[#This Row],[Fail Count]]&gt;=2,"At risk","OK")</f>
        <v>OK</v>
      </c>
    </row>
    <row r="992" spans="1:18">
      <c r="A992" t="str">
        <f t="shared" si="15"/>
        <v>Stu-991</v>
      </c>
      <c r="B992" t="s">
        <v>27</v>
      </c>
      <c r="C992" t="s">
        <v>34</v>
      </c>
      <c r="D992" t="s">
        <v>32</v>
      </c>
      <c r="E992" t="s">
        <v>30</v>
      </c>
      <c r="F992" t="s">
        <v>21</v>
      </c>
      <c r="G992" s="16">
        <v>86</v>
      </c>
      <c r="H992">
        <f>RANK(G992,$G$2:$G$1001,0)+COUNTIF($G$2:G992,G992)-1</f>
        <v>103</v>
      </c>
      <c r="I992" t="str">
        <f>INDEX('Boundary table'!$B$3:$B$7,MATCH(G992,'Boundary table'!$A$3:$A$7,1))</f>
        <v>B</v>
      </c>
      <c r="J992" s="16">
        <v>81</v>
      </c>
      <c r="K992">
        <f>RANK(J992,$J$2:$J$1001,0)+COUNTIF($J$2:J992,J992)-1</f>
        <v>235</v>
      </c>
      <c r="L992" t="str">
        <f>INDEX('Boundary table'!$B$3:$B$7,MATCH(J992,'Boundary table'!$A$3:$A$7,1))</f>
        <v>B</v>
      </c>
      <c r="M992" s="16">
        <v>75</v>
      </c>
      <c r="N992">
        <f>RANK(M992,$M$2:$M$1001,0)+COUNTIF($M$2:M992,M992)-1</f>
        <v>350</v>
      </c>
      <c r="O992" t="str">
        <f>INDEX('Boundary table'!$B$3:$B$7,MATCH(M992,'Boundary table'!$A$3:$A$7))</f>
        <v>C</v>
      </c>
      <c r="P992">
        <f>Table1[[#This Row],[Math Score]]+Table1[[#This Row],[Reading Score]]+Table1[[#This Row],[Writing Score]]</f>
        <v>242</v>
      </c>
      <c r="Q992" s="16">
        <f>COUNTIF(Table1[[#This Row],[Math Score]],"&lt;60")+COUNTIF(Table1[[#This Row],[Reading Score]],"&lt;60")+COUNTIF(Table1[[#This Row],[Writing Score]],"&lt;60")</f>
        <v>0</v>
      </c>
      <c r="R992" t="str">
        <f>IF(Table1[[#This Row],[Fail Count]]&gt;=2,"At risk","OK")</f>
        <v>OK</v>
      </c>
    </row>
    <row r="993" spans="1:18">
      <c r="A993" t="str">
        <f t="shared" si="15"/>
        <v>Stu-992</v>
      </c>
      <c r="B993" t="s">
        <v>11</v>
      </c>
      <c r="C993" t="s">
        <v>12</v>
      </c>
      <c r="D993" t="s">
        <v>33</v>
      </c>
      <c r="E993" t="s">
        <v>14</v>
      </c>
      <c r="F993" t="s">
        <v>21</v>
      </c>
      <c r="G993" s="16">
        <v>65</v>
      </c>
      <c r="H993">
        <f>RANK(G993,$G$2:$G$1001,0)+COUNTIF($G$2:G993,G993)-1</f>
        <v>553</v>
      </c>
      <c r="I993" t="str">
        <f>INDEX('Boundary table'!$B$3:$B$7,MATCH(G993,'Boundary table'!$A$3:$A$7,1))</f>
        <v>D</v>
      </c>
      <c r="J993" s="16">
        <v>82</v>
      </c>
      <c r="K993">
        <f>RANK(J993,$J$2:$J$1001,0)+COUNTIF($J$2:J993,J993)-1</f>
        <v>210</v>
      </c>
      <c r="L993" t="str">
        <f>INDEX('Boundary table'!$B$3:$B$7,MATCH(J993,'Boundary table'!$A$3:$A$7,1))</f>
        <v>B</v>
      </c>
      <c r="M993" s="16">
        <v>78</v>
      </c>
      <c r="N993">
        <f>RANK(M993,$M$2:$M$1001,0)+COUNTIF($M$2:M993,M993)-1</f>
        <v>279</v>
      </c>
      <c r="O993" t="str">
        <f>INDEX('Boundary table'!$B$3:$B$7,MATCH(M993,'Boundary table'!$A$3:$A$7))</f>
        <v>C</v>
      </c>
      <c r="P993">
        <f>Table1[[#This Row],[Math Score]]+Table1[[#This Row],[Reading Score]]+Table1[[#This Row],[Writing Score]]</f>
        <v>225</v>
      </c>
      <c r="Q993" s="16">
        <f>COUNTIF(Table1[[#This Row],[Math Score]],"&lt;60")+COUNTIF(Table1[[#This Row],[Reading Score]],"&lt;60")+COUNTIF(Table1[[#This Row],[Writing Score]],"&lt;60")</f>
        <v>0</v>
      </c>
      <c r="R993" t="str">
        <f>IF(Table1[[#This Row],[Fail Count]]&gt;=2,"At risk","OK")</f>
        <v>OK</v>
      </c>
    </row>
    <row r="994" spans="1:18">
      <c r="A994" t="str">
        <f t="shared" si="15"/>
        <v>Stu-993</v>
      </c>
      <c r="B994" t="s">
        <v>11</v>
      </c>
      <c r="C994" t="s">
        <v>31</v>
      </c>
      <c r="D994" t="s">
        <v>29</v>
      </c>
      <c r="E994" t="s">
        <v>30</v>
      </c>
      <c r="F994" t="s">
        <v>15</v>
      </c>
      <c r="G994" s="16">
        <v>55</v>
      </c>
      <c r="H994">
        <f>RANK(G994,$G$2:$G$1001,0)+COUNTIF($G$2:G994,G994)-1</f>
        <v>779</v>
      </c>
      <c r="I994" t="str">
        <f>INDEX('Boundary table'!$B$3:$B$7,MATCH(G994,'Boundary table'!$A$3:$A$7,1))</f>
        <v>F</v>
      </c>
      <c r="J994" s="16">
        <v>76</v>
      </c>
      <c r="K994">
        <f>RANK(J994,$J$2:$J$1001,0)+COUNTIF($J$2:J994,J994)-1</f>
        <v>344</v>
      </c>
      <c r="L994" t="str">
        <f>INDEX('Boundary table'!$B$3:$B$7,MATCH(J994,'Boundary table'!$A$3:$A$7,1))</f>
        <v>C</v>
      </c>
      <c r="M994" s="16">
        <v>76</v>
      </c>
      <c r="N994">
        <f>RANK(M994,$M$2:$M$1001,0)+COUNTIF($M$2:M994,M994)-1</f>
        <v>328</v>
      </c>
      <c r="O994" t="str">
        <f>INDEX('Boundary table'!$B$3:$B$7,MATCH(M994,'Boundary table'!$A$3:$A$7))</f>
        <v>C</v>
      </c>
      <c r="P994">
        <f>Table1[[#This Row],[Math Score]]+Table1[[#This Row],[Reading Score]]+Table1[[#This Row],[Writing Score]]</f>
        <v>207</v>
      </c>
      <c r="Q994" s="16">
        <f>COUNTIF(Table1[[#This Row],[Math Score]],"&lt;60")+COUNTIF(Table1[[#This Row],[Reading Score]],"&lt;60")+COUNTIF(Table1[[#This Row],[Writing Score]],"&lt;60")</f>
        <v>1</v>
      </c>
      <c r="R994" t="str">
        <f>IF(Table1[[#This Row],[Fail Count]]&gt;=2,"At risk","OK")</f>
        <v>OK</v>
      </c>
    </row>
    <row r="995" spans="1:18">
      <c r="A995" t="str">
        <f t="shared" si="15"/>
        <v>Stu-994</v>
      </c>
      <c r="B995" t="s">
        <v>11</v>
      </c>
      <c r="C995" t="s">
        <v>31</v>
      </c>
      <c r="D995" t="s">
        <v>13</v>
      </c>
      <c r="E995" t="s">
        <v>30</v>
      </c>
      <c r="F995" t="s">
        <v>15</v>
      </c>
      <c r="G995" s="16">
        <v>62</v>
      </c>
      <c r="H995">
        <f>RANK(G995,$G$2:$G$1001,0)+COUNTIF($G$2:G995,G995)-1</f>
        <v>633</v>
      </c>
      <c r="I995" t="str">
        <f>INDEX('Boundary table'!$B$3:$B$7,MATCH(G995,'Boundary table'!$A$3:$A$7,1))</f>
        <v>D</v>
      </c>
      <c r="J995" s="16">
        <v>72</v>
      </c>
      <c r="K995">
        <f>RANK(J995,$J$2:$J$1001,0)+COUNTIF($J$2:J995,J995)-1</f>
        <v>467</v>
      </c>
      <c r="L995" t="str">
        <f>INDEX('Boundary table'!$B$3:$B$7,MATCH(J995,'Boundary table'!$A$3:$A$7,1))</f>
        <v>C</v>
      </c>
      <c r="M995" s="16">
        <v>74</v>
      </c>
      <c r="N995">
        <f>RANK(M995,$M$2:$M$1001,0)+COUNTIF($M$2:M995,M995)-1</f>
        <v>385</v>
      </c>
      <c r="O995" t="str">
        <f>INDEX('Boundary table'!$B$3:$B$7,MATCH(M995,'Boundary table'!$A$3:$A$7))</f>
        <v>C</v>
      </c>
      <c r="P995">
        <f>Table1[[#This Row],[Math Score]]+Table1[[#This Row],[Reading Score]]+Table1[[#This Row],[Writing Score]]</f>
        <v>208</v>
      </c>
      <c r="Q995" s="16">
        <f>COUNTIF(Table1[[#This Row],[Math Score]],"&lt;60")+COUNTIF(Table1[[#This Row],[Reading Score]],"&lt;60")+COUNTIF(Table1[[#This Row],[Writing Score]],"&lt;60")</f>
        <v>0</v>
      </c>
      <c r="R995" t="str">
        <f>IF(Table1[[#This Row],[Fail Count]]&gt;=2,"At risk","OK")</f>
        <v>OK</v>
      </c>
    </row>
    <row r="996" spans="1:18">
      <c r="A996" t="str">
        <f t="shared" si="15"/>
        <v>Stu-995</v>
      </c>
      <c r="B996" t="s">
        <v>27</v>
      </c>
      <c r="C996" t="s">
        <v>28</v>
      </c>
      <c r="D996" t="s">
        <v>32</v>
      </c>
      <c r="E996" t="s">
        <v>14</v>
      </c>
      <c r="F996" t="s">
        <v>15</v>
      </c>
      <c r="G996" s="16">
        <v>63</v>
      </c>
      <c r="H996">
        <f>RANK(G996,$G$2:$G$1001,0)+COUNTIF($G$2:G996,G996)-1</f>
        <v>599</v>
      </c>
      <c r="I996" t="str">
        <f>INDEX('Boundary table'!$B$3:$B$7,MATCH(G996,'Boundary table'!$A$3:$A$7,1))</f>
        <v>D</v>
      </c>
      <c r="J996" s="16">
        <v>63</v>
      </c>
      <c r="K996">
        <f>RANK(J996,$J$2:$J$1001,0)+COUNTIF($J$2:J996,J996)-1</f>
        <v>679</v>
      </c>
      <c r="L996" t="str">
        <f>INDEX('Boundary table'!$B$3:$B$7,MATCH(J996,'Boundary table'!$A$3:$A$7,1))</f>
        <v>D</v>
      </c>
      <c r="M996" s="16">
        <v>62</v>
      </c>
      <c r="N996">
        <f>RANK(M996,$M$2:$M$1001,0)+COUNTIF($M$2:M996,M996)-1</f>
        <v>678</v>
      </c>
      <c r="O996" t="str">
        <f>INDEX('Boundary table'!$B$3:$B$7,MATCH(M996,'Boundary table'!$A$3:$A$7))</f>
        <v>D</v>
      </c>
      <c r="P996">
        <f>Table1[[#This Row],[Math Score]]+Table1[[#This Row],[Reading Score]]+Table1[[#This Row],[Writing Score]]</f>
        <v>188</v>
      </c>
      <c r="Q996" s="16">
        <f>COUNTIF(Table1[[#This Row],[Math Score]],"&lt;60")+COUNTIF(Table1[[#This Row],[Reading Score]],"&lt;60")+COUNTIF(Table1[[#This Row],[Writing Score]],"&lt;60")</f>
        <v>0</v>
      </c>
      <c r="R996" t="str">
        <f>IF(Table1[[#This Row],[Fail Count]]&gt;=2,"At risk","OK")</f>
        <v>OK</v>
      </c>
    </row>
    <row r="997" spans="1:18">
      <c r="A997" t="str">
        <f t="shared" si="15"/>
        <v>Stu-996</v>
      </c>
      <c r="B997" t="s">
        <v>11</v>
      </c>
      <c r="C997" t="s">
        <v>34</v>
      </c>
      <c r="D997" t="s">
        <v>26</v>
      </c>
      <c r="E997" t="s">
        <v>14</v>
      </c>
      <c r="F997" t="s">
        <v>21</v>
      </c>
      <c r="G997" s="16">
        <v>88</v>
      </c>
      <c r="H997">
        <f>RANK(G997,$G$2:$G$1001,0)+COUNTIF($G$2:G997,G997)-1</f>
        <v>79</v>
      </c>
      <c r="I997" t="str">
        <f>INDEX('Boundary table'!$B$3:$B$7,MATCH(G997,'Boundary table'!$A$3:$A$7,1))</f>
        <v>B</v>
      </c>
      <c r="J997" s="16">
        <v>99</v>
      </c>
      <c r="K997">
        <f>RANK(J997,$J$2:$J$1001,0)+COUNTIF($J$2:J997,J997)-1</f>
        <v>20</v>
      </c>
      <c r="L997" t="str">
        <f>INDEX('Boundary table'!$B$3:$B$7,MATCH(J997,'Boundary table'!$A$3:$A$7,1))</f>
        <v>A</v>
      </c>
      <c r="M997" s="16">
        <v>95</v>
      </c>
      <c r="N997">
        <f>RANK(M997,$M$2:$M$1001,0)+COUNTIF($M$2:M997,M997)-1</f>
        <v>34</v>
      </c>
      <c r="O997" t="str">
        <f>INDEX('Boundary table'!$B$3:$B$7,MATCH(M997,'Boundary table'!$A$3:$A$7))</f>
        <v>A</v>
      </c>
      <c r="P997">
        <f>Table1[[#This Row],[Math Score]]+Table1[[#This Row],[Reading Score]]+Table1[[#This Row],[Writing Score]]</f>
        <v>282</v>
      </c>
      <c r="Q997" s="16">
        <f>COUNTIF(Table1[[#This Row],[Math Score]],"&lt;60")+COUNTIF(Table1[[#This Row],[Reading Score]],"&lt;60")+COUNTIF(Table1[[#This Row],[Writing Score]],"&lt;60")</f>
        <v>0</v>
      </c>
      <c r="R997" t="str">
        <f>IF(Table1[[#This Row],[Fail Count]]&gt;=2,"At risk","OK")</f>
        <v>OK</v>
      </c>
    </row>
    <row r="998" spans="1:18">
      <c r="A998" t="str">
        <f t="shared" si="15"/>
        <v>Stu-997</v>
      </c>
      <c r="B998" t="s">
        <v>27</v>
      </c>
      <c r="C998" t="s">
        <v>19</v>
      </c>
      <c r="D998" t="s">
        <v>32</v>
      </c>
      <c r="E998" t="s">
        <v>30</v>
      </c>
      <c r="F998" t="s">
        <v>15</v>
      </c>
      <c r="G998" s="16">
        <v>62</v>
      </c>
      <c r="H998">
        <f>RANK(G998,$G$2:$G$1001,0)+COUNTIF($G$2:G998,G998)-1</f>
        <v>634</v>
      </c>
      <c r="I998" t="str">
        <f>INDEX('Boundary table'!$B$3:$B$7,MATCH(G998,'Boundary table'!$A$3:$A$7,1))</f>
        <v>D</v>
      </c>
      <c r="J998" s="16">
        <v>55</v>
      </c>
      <c r="K998">
        <f>RANK(J998,$J$2:$J$1001,0)+COUNTIF($J$2:J998,J998)-1</f>
        <v>840</v>
      </c>
      <c r="L998" t="str">
        <f>INDEX('Boundary table'!$B$3:$B$7,MATCH(J998,'Boundary table'!$A$3:$A$7,1))</f>
        <v>F</v>
      </c>
      <c r="M998" s="16">
        <v>55</v>
      </c>
      <c r="N998">
        <f>RANK(M998,$M$2:$M$1001,0)+COUNTIF($M$2:M998,M998)-1</f>
        <v>797</v>
      </c>
      <c r="O998" t="str">
        <f>INDEX('Boundary table'!$B$3:$B$7,MATCH(M998,'Boundary table'!$A$3:$A$7))</f>
        <v>F</v>
      </c>
      <c r="P998">
        <f>Table1[[#This Row],[Math Score]]+Table1[[#This Row],[Reading Score]]+Table1[[#This Row],[Writing Score]]</f>
        <v>172</v>
      </c>
      <c r="Q998" s="16">
        <f>COUNTIF(Table1[[#This Row],[Math Score]],"&lt;60")+COUNTIF(Table1[[#This Row],[Reading Score]],"&lt;60")+COUNTIF(Table1[[#This Row],[Writing Score]],"&lt;60")</f>
        <v>2</v>
      </c>
      <c r="R998" t="str">
        <f>IF(Table1[[#This Row],[Fail Count]]&gt;=2,"At risk","OK")</f>
        <v>At risk</v>
      </c>
    </row>
    <row r="999" spans="1:18">
      <c r="A999" t="str">
        <f t="shared" si="15"/>
        <v>Stu-998</v>
      </c>
      <c r="B999" t="s">
        <v>11</v>
      </c>
      <c r="C999" t="s">
        <v>19</v>
      </c>
      <c r="D999" t="s">
        <v>32</v>
      </c>
      <c r="E999" t="s">
        <v>30</v>
      </c>
      <c r="F999" t="s">
        <v>21</v>
      </c>
      <c r="G999" s="16">
        <v>59</v>
      </c>
      <c r="H999">
        <f>RANK(G999,$G$2:$G$1001,0)+COUNTIF($G$2:G999,G999)-1</f>
        <v>709</v>
      </c>
      <c r="I999" t="str">
        <f>INDEX('Boundary table'!$B$3:$B$7,MATCH(G999,'Boundary table'!$A$3:$A$7,1))</f>
        <v>F</v>
      </c>
      <c r="J999" s="16">
        <v>71</v>
      </c>
      <c r="K999">
        <f>RANK(J999,$J$2:$J$1001,0)+COUNTIF($J$2:J999,J999)-1</f>
        <v>487</v>
      </c>
      <c r="L999" t="str">
        <f>INDEX('Boundary table'!$B$3:$B$7,MATCH(J999,'Boundary table'!$A$3:$A$7,1))</f>
        <v>C</v>
      </c>
      <c r="M999" s="16">
        <v>65</v>
      </c>
      <c r="N999">
        <f>RANK(M999,$M$2:$M$1001,0)+COUNTIF($M$2:M999,M999)-1</f>
        <v>614</v>
      </c>
      <c r="O999" t="str">
        <f>INDEX('Boundary table'!$B$3:$B$7,MATCH(M999,'Boundary table'!$A$3:$A$7))</f>
        <v>D</v>
      </c>
      <c r="P999">
        <f>Table1[[#This Row],[Math Score]]+Table1[[#This Row],[Reading Score]]+Table1[[#This Row],[Writing Score]]</f>
        <v>195</v>
      </c>
      <c r="Q999" s="16">
        <f>COUNTIF(Table1[[#This Row],[Math Score]],"&lt;60")+COUNTIF(Table1[[#This Row],[Reading Score]],"&lt;60")+COUNTIF(Table1[[#This Row],[Writing Score]],"&lt;60")</f>
        <v>1</v>
      </c>
      <c r="R999" t="str">
        <f>IF(Table1[[#This Row],[Fail Count]]&gt;=2,"At risk","OK")</f>
        <v>OK</v>
      </c>
    </row>
    <row r="1000" spans="1:18">
      <c r="A1000" t="str">
        <f t="shared" si="15"/>
        <v>Stu-999</v>
      </c>
      <c r="B1000" t="s">
        <v>11</v>
      </c>
      <c r="C1000" t="s">
        <v>31</v>
      </c>
      <c r="D1000" t="s">
        <v>20</v>
      </c>
      <c r="E1000" t="s">
        <v>14</v>
      </c>
      <c r="F1000" t="s">
        <v>21</v>
      </c>
      <c r="G1000" s="16">
        <v>68</v>
      </c>
      <c r="H1000">
        <f>RANK(G1000,$G$2:$G$1001,0)+COUNTIF($G$2:G1000,G1000)-1</f>
        <v>467</v>
      </c>
      <c r="I1000" t="str">
        <f>INDEX('Boundary table'!$B$3:$B$7,MATCH(G1000,'Boundary table'!$A$3:$A$7,1))</f>
        <v>D</v>
      </c>
      <c r="J1000" s="16">
        <v>78</v>
      </c>
      <c r="K1000">
        <f>RANK(J1000,$J$2:$J$1001,0)+COUNTIF($J$2:J1000,J1000)-1</f>
        <v>295</v>
      </c>
      <c r="L1000" t="str">
        <f>INDEX('Boundary table'!$B$3:$B$7,MATCH(J1000,'Boundary table'!$A$3:$A$7,1))</f>
        <v>C</v>
      </c>
      <c r="M1000" s="16">
        <v>77</v>
      </c>
      <c r="N1000">
        <f>RANK(M1000,$M$2:$M$1001,0)+COUNTIF($M$2:M1000,M1000)-1</f>
        <v>303</v>
      </c>
      <c r="O1000" t="str">
        <f>INDEX('Boundary table'!$B$3:$B$7,MATCH(M1000,'Boundary table'!$A$3:$A$7))</f>
        <v>C</v>
      </c>
      <c r="P1000">
        <f>Table1[[#This Row],[Math Score]]+Table1[[#This Row],[Reading Score]]+Table1[[#This Row],[Writing Score]]</f>
        <v>223</v>
      </c>
      <c r="Q1000" s="16">
        <f>COUNTIF(Table1[[#This Row],[Math Score]],"&lt;60")+COUNTIF(Table1[[#This Row],[Reading Score]],"&lt;60")+COUNTIF(Table1[[#This Row],[Writing Score]],"&lt;60")</f>
        <v>0</v>
      </c>
      <c r="R1000" t="str">
        <f>IF(Table1[[#This Row],[Fail Count]]&gt;=2,"At risk","OK")</f>
        <v>OK</v>
      </c>
    </row>
    <row r="1001" spans="1:18">
      <c r="A1001" t="str">
        <f t="shared" si="15"/>
        <v>Stu-1000</v>
      </c>
      <c r="B1001" t="s">
        <v>11</v>
      </c>
      <c r="C1001" t="s">
        <v>31</v>
      </c>
      <c r="D1001" t="s">
        <v>20</v>
      </c>
      <c r="E1001" t="s">
        <v>30</v>
      </c>
      <c r="F1001" t="s">
        <v>15</v>
      </c>
      <c r="G1001" s="16">
        <v>77</v>
      </c>
      <c r="H1001">
        <f>RANK(G1001,$G$2:$G$1001,0)+COUNTIF($G$2:G1001,G1001)-1</f>
        <v>253</v>
      </c>
      <c r="I1001" t="str">
        <f>INDEX('Boundary table'!$B$3:$B$7,MATCH(G1001,'Boundary table'!$A$3:$A$7,1))</f>
        <v>C</v>
      </c>
      <c r="J1001" s="16">
        <v>86</v>
      </c>
      <c r="K1001">
        <f>RANK(J1001,$J$2:$J$1001,0)+COUNTIF($J$2:J1001,J1001)-1</f>
        <v>132</v>
      </c>
      <c r="L1001" t="str">
        <f>INDEX('Boundary table'!$B$3:$B$7,MATCH(J1001,'Boundary table'!$A$3:$A$7,1))</f>
        <v>B</v>
      </c>
      <c r="M1001" s="16">
        <v>86</v>
      </c>
      <c r="N1001">
        <f>RANK(M1001,$M$2:$M$1001,0)+COUNTIF($M$2:M1001,M1001)-1</f>
        <v>121</v>
      </c>
      <c r="O1001" t="str">
        <f>INDEX('Boundary table'!$B$3:$B$7,MATCH(M1001,'Boundary table'!$A$3:$A$7))</f>
        <v>B</v>
      </c>
      <c r="P1001">
        <f>Table1[[#This Row],[Math Score]]+Table1[[#This Row],[Reading Score]]+Table1[[#This Row],[Writing Score]]</f>
        <v>249</v>
      </c>
      <c r="Q1001" s="16">
        <f>COUNTIF(Table1[[#This Row],[Math Score]],"&lt;60")+COUNTIF(Table1[[#This Row],[Reading Score]],"&lt;60")+COUNTIF(Table1[[#This Row],[Writing Score]],"&lt;60")</f>
        <v>0</v>
      </c>
      <c r="R1001" t="str">
        <f>IF(Table1[[#This Row],[Fail Count]]&gt;=2,"At risk","OK")</f>
        <v>OK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F6B2-20FA-426A-8D62-4E2379472AE0}">
  <dimension ref="A1:B7"/>
  <sheetViews>
    <sheetView tabSelected="1" workbookViewId="0">
      <selection activeCell="B5" sqref="B5"/>
    </sheetView>
  </sheetViews>
  <sheetFormatPr defaultRowHeight="13.8"/>
  <sheetData>
    <row r="1" spans="1:2">
      <c r="A1" s="2" t="s">
        <v>10</v>
      </c>
    </row>
    <row r="2" spans="1:2">
      <c r="A2" t="s">
        <v>17</v>
      </c>
      <c r="B2" t="s">
        <v>18</v>
      </c>
    </row>
    <row r="3" spans="1:2">
      <c r="A3">
        <v>0</v>
      </c>
      <c r="B3" t="s">
        <v>25</v>
      </c>
    </row>
    <row r="4" spans="1:2">
      <c r="A4">
        <v>60</v>
      </c>
      <c r="B4" t="s">
        <v>22</v>
      </c>
    </row>
    <row r="5" spans="1:2">
      <c r="A5">
        <v>70</v>
      </c>
      <c r="B5" t="s">
        <v>16</v>
      </c>
    </row>
    <row r="6" spans="1:2">
      <c r="A6">
        <v>80</v>
      </c>
      <c r="B6" t="s">
        <v>24</v>
      </c>
    </row>
    <row r="7" spans="1:2">
      <c r="A7">
        <v>90</v>
      </c>
      <c r="B7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5A98-A2DE-4B4C-BF77-BC19E1659251}">
  <dimension ref="A1:G12"/>
  <sheetViews>
    <sheetView workbookViewId="0">
      <selection activeCell="B3" sqref="B3"/>
    </sheetView>
  </sheetViews>
  <sheetFormatPr defaultRowHeight="13.8"/>
  <cols>
    <col min="2" max="2" width="9.3984375" bestFit="1" customWidth="1"/>
    <col min="3" max="3" width="10.09765625" bestFit="1" customWidth="1"/>
    <col min="4" max="4" width="9.796875" bestFit="1" customWidth="1"/>
    <col min="5" max="5" width="12.796875" bestFit="1" customWidth="1"/>
    <col min="6" max="6" width="8.69921875" bestFit="1" customWidth="1"/>
    <col min="7" max="7" width="11.69921875" bestFit="1" customWidth="1"/>
  </cols>
  <sheetData>
    <row r="1" spans="1:7" ht="15.6">
      <c r="A1" s="5" t="s">
        <v>44</v>
      </c>
      <c r="B1" s="1"/>
      <c r="C1" s="1"/>
      <c r="D1" s="1"/>
      <c r="E1" s="1"/>
      <c r="F1" s="1"/>
      <c r="G1" s="1"/>
    </row>
    <row r="2" spans="1:7">
      <c r="A2" s="3" t="s">
        <v>37</v>
      </c>
      <c r="B2" s="3" t="s">
        <v>38</v>
      </c>
      <c r="C2" s="3" t="s">
        <v>6</v>
      </c>
      <c r="D2" s="3" t="s">
        <v>39</v>
      </c>
      <c r="E2" s="3" t="s">
        <v>7</v>
      </c>
      <c r="F2" s="3" t="s">
        <v>40</v>
      </c>
      <c r="G2" s="3" t="s">
        <v>9</v>
      </c>
    </row>
    <row r="3" spans="1:7">
      <c r="A3" s="4" cm="1">
        <f t="array" ref="A3:A12">_xlfn.SEQUENCE(10)</f>
        <v>1</v>
      </c>
      <c r="B3" s="4" t="str">
        <f>INDEX(StudentsPerformance!$A$2:$A$1001,MATCH('Top 10 per subject'!A3,StudentsPerformance!$H$2:$H$1001,0))</f>
        <v>Stu-150</v>
      </c>
      <c r="C3" s="4">
        <f>LARGE(StudentsPerformance!$G$2:$G$1001,'Top 10 per subject'!A3)</f>
        <v>100</v>
      </c>
      <c r="D3" s="4" t="str">
        <f>INDEX(StudentsPerformance!$A$2:$A$1001,MATCH('Top 10 per subject'!A3,StudentsPerformance!$K$2:$K$1001,0))</f>
        <v>Stu-107</v>
      </c>
      <c r="E3" s="4">
        <f>LARGE(StudentsPerformance!$J$2:$J$1001,'Top 10 per subject'!$A3)</f>
        <v>100</v>
      </c>
      <c r="F3" s="4" t="str">
        <f>INDEX(StudentsPerformance!$A$2:$A$1001,MATCH('Top 10 per subject'!A3,StudentsPerformance!$N$2:$N$1001,0))</f>
        <v>Stu-107</v>
      </c>
      <c r="G3" s="4">
        <f>LARGE(StudentsPerformance!$M$2:$M$1001,'Top 10 per subject'!$A3)</f>
        <v>100</v>
      </c>
    </row>
    <row r="4" spans="1:7">
      <c r="A4" s="4">
        <v>2</v>
      </c>
      <c r="B4" s="4" t="str">
        <f>INDEX(StudentsPerformance!$A$2:$A$1001,MATCH('Top 10 per subject'!A4,StudentsPerformance!$H$2:$H$1001,0))</f>
        <v>Stu-452</v>
      </c>
      <c r="C4" s="4">
        <f>LARGE(StudentsPerformance!$G$2:$G$1001,'Top 10 per subject'!A4)</f>
        <v>100</v>
      </c>
      <c r="D4" s="4" t="str">
        <f>INDEX(StudentsPerformance!$A$2:$A$1001,MATCH('Top 10 per subject'!A4,StudentsPerformance!$K$2:$K$1001,0))</f>
        <v>Stu-115</v>
      </c>
      <c r="E4" s="4">
        <f>LARGE(StudentsPerformance!$J$2:$J$1001,'Top 10 per subject'!$A4)</f>
        <v>100</v>
      </c>
      <c r="F4" s="4" t="str">
        <f>INDEX(StudentsPerformance!$A$2:$A$1001,MATCH('Top 10 per subject'!A4,StudentsPerformance!$N$2:$N$1001,0))</f>
        <v>Stu-115</v>
      </c>
      <c r="G4" s="4">
        <f>LARGE(StudentsPerformance!$M$2:$M$1001,'Top 10 per subject'!$A4)</f>
        <v>100</v>
      </c>
    </row>
    <row r="5" spans="1:7">
      <c r="A5" s="4">
        <v>3</v>
      </c>
      <c r="B5" s="4" t="str">
        <f>INDEX(StudentsPerformance!$A$2:$A$1001,MATCH('Top 10 per subject'!A5,StudentsPerformance!$H$2:$H$1001,0))</f>
        <v>Stu-459</v>
      </c>
      <c r="C5" s="4">
        <f>LARGE(StudentsPerformance!$G$2:$G$1001,'Top 10 per subject'!A5)</f>
        <v>100</v>
      </c>
      <c r="D5" s="4" t="str">
        <f>INDEX(StudentsPerformance!$A$2:$A$1001,MATCH('Top 10 per subject'!A5,StudentsPerformance!$K$2:$K$1001,0))</f>
        <v>Stu-150</v>
      </c>
      <c r="E5" s="4">
        <f>LARGE(StudentsPerformance!$J$2:$J$1001,'Top 10 per subject'!$A5)</f>
        <v>100</v>
      </c>
      <c r="F5" s="4" t="str">
        <f>INDEX(StudentsPerformance!$A$2:$A$1001,MATCH('Top 10 per subject'!A5,StudentsPerformance!$N$2:$N$1001,0))</f>
        <v>Stu-166</v>
      </c>
      <c r="G5" s="4">
        <f>LARGE(StudentsPerformance!$M$2:$M$1001,'Top 10 per subject'!$A5)</f>
        <v>100</v>
      </c>
    </row>
    <row r="6" spans="1:7">
      <c r="A6" s="4">
        <v>4</v>
      </c>
      <c r="B6" s="4" t="str">
        <f>INDEX(StudentsPerformance!$A$2:$A$1001,MATCH('Top 10 per subject'!A6,StudentsPerformance!$H$2:$H$1001,0))</f>
        <v>Stu-624</v>
      </c>
      <c r="C6" s="4">
        <f>LARGE(StudentsPerformance!$G$2:$G$1001,'Top 10 per subject'!A6)</f>
        <v>100</v>
      </c>
      <c r="D6" s="4" t="str">
        <f>INDEX(StudentsPerformance!$A$2:$A$1001,MATCH('Top 10 per subject'!A6,StudentsPerformance!$K$2:$K$1001,0))</f>
        <v>Stu-166</v>
      </c>
      <c r="E6" s="4">
        <f>LARGE(StudentsPerformance!$J$2:$J$1001,'Top 10 per subject'!$A6)</f>
        <v>100</v>
      </c>
      <c r="F6" s="4" t="str">
        <f>INDEX(StudentsPerformance!$A$2:$A$1001,MATCH('Top 10 per subject'!A6,StudentsPerformance!$N$2:$N$1001,0))</f>
        <v>Stu-180</v>
      </c>
      <c r="G6" s="4">
        <f>LARGE(StudentsPerformance!$M$2:$M$1001,'Top 10 per subject'!$A6)</f>
        <v>100</v>
      </c>
    </row>
    <row r="7" spans="1:7">
      <c r="A7" s="4">
        <v>5</v>
      </c>
      <c r="B7" s="4" t="str">
        <f>INDEX(StudentsPerformance!$A$2:$A$1001,MATCH('Top 10 per subject'!A7,StudentsPerformance!$H$2:$H$1001,0))</f>
        <v>Stu-626</v>
      </c>
      <c r="C7" s="4">
        <f>LARGE(StudentsPerformance!$G$2:$G$1001,'Top 10 per subject'!A7)</f>
        <v>100</v>
      </c>
      <c r="D7" s="4" t="str">
        <f>INDEX(StudentsPerformance!$A$2:$A$1001,MATCH('Top 10 per subject'!A7,StudentsPerformance!$K$2:$K$1001,0))</f>
        <v>Stu-180</v>
      </c>
      <c r="E7" s="4">
        <f>LARGE(StudentsPerformance!$J$2:$J$1001,'Top 10 per subject'!$A7)</f>
        <v>100</v>
      </c>
      <c r="F7" s="4" t="str">
        <f>INDEX(StudentsPerformance!$A$2:$A$1001,MATCH('Top 10 per subject'!A7,StudentsPerformance!$N$2:$N$1001,0))</f>
        <v>Stu-378</v>
      </c>
      <c r="G7" s="4">
        <f>LARGE(StudentsPerformance!$M$2:$M$1001,'Top 10 per subject'!$A7)</f>
        <v>100</v>
      </c>
    </row>
    <row r="8" spans="1:7">
      <c r="A8" s="4">
        <v>6</v>
      </c>
      <c r="B8" s="4" t="str">
        <f>INDEX(StudentsPerformance!$A$2:$A$1001,MATCH('Top 10 per subject'!A8,StudentsPerformance!$H$2:$H$1001,0))</f>
        <v>Stu-917</v>
      </c>
      <c r="C8" s="4">
        <f>LARGE(StudentsPerformance!$G$2:$G$1001,'Top 10 per subject'!A8)</f>
        <v>100</v>
      </c>
      <c r="D8" s="4" t="str">
        <f>INDEX(StudentsPerformance!$A$2:$A$1001,MATCH('Top 10 per subject'!A8,StudentsPerformance!$K$2:$K$1001,0))</f>
        <v>Stu-382</v>
      </c>
      <c r="E8" s="4">
        <f>LARGE(StudentsPerformance!$J$2:$J$1001,'Top 10 per subject'!$A8)</f>
        <v>100</v>
      </c>
      <c r="F8" s="4" t="str">
        <f>INDEX(StudentsPerformance!$A$2:$A$1001,MATCH('Top 10 per subject'!A8,StudentsPerformance!$N$2:$N$1001,0))</f>
        <v>Stu-404</v>
      </c>
      <c r="G8" s="4">
        <f>LARGE(StudentsPerformance!$M$2:$M$1001,'Top 10 per subject'!$A8)</f>
        <v>100</v>
      </c>
    </row>
    <row r="9" spans="1:7">
      <c r="A9" s="4">
        <v>7</v>
      </c>
      <c r="B9" s="4" t="str">
        <f>INDEX(StudentsPerformance!$A$2:$A$1001,MATCH('Top 10 per subject'!A9,StudentsPerformance!$H$2:$H$1001,0))</f>
        <v>Stu-963</v>
      </c>
      <c r="C9" s="4">
        <f>LARGE(StudentsPerformance!$G$2:$G$1001,'Top 10 per subject'!A9)</f>
        <v>100</v>
      </c>
      <c r="D9" s="4" t="str">
        <f>INDEX(StudentsPerformance!$A$2:$A$1001,MATCH('Top 10 per subject'!A9,StudentsPerformance!$K$2:$K$1001,0))</f>
        <v>Stu-459</v>
      </c>
      <c r="E9" s="4">
        <f>LARGE(StudentsPerformance!$J$2:$J$1001,'Top 10 per subject'!$A9)</f>
        <v>100</v>
      </c>
      <c r="F9" s="4" t="str">
        <f>INDEX(StudentsPerformance!$A$2:$A$1001,MATCH('Top 10 per subject'!A9,StudentsPerformance!$N$2:$N$1001,0))</f>
        <v>Stu-459</v>
      </c>
      <c r="G9" s="4">
        <f>LARGE(StudentsPerformance!$M$2:$M$1001,'Top 10 per subject'!$A9)</f>
        <v>100</v>
      </c>
    </row>
    <row r="10" spans="1:7">
      <c r="A10" s="4">
        <v>8</v>
      </c>
      <c r="B10" s="4" t="str">
        <f>INDEX(StudentsPerformance!$A$2:$A$1001,MATCH('Top 10 per subject'!A10,StudentsPerformance!$H$2:$H$1001,0))</f>
        <v>Stu-115</v>
      </c>
      <c r="C10" s="4">
        <f>LARGE(StudentsPerformance!$G$2:$G$1001,'Top 10 per subject'!A10)</f>
        <v>99</v>
      </c>
      <c r="D10" s="4" t="str">
        <f>INDEX(StudentsPerformance!$A$2:$A$1001,MATCH('Top 10 per subject'!A10,StudentsPerformance!$K$2:$K$1001,0))</f>
        <v>Stu-547</v>
      </c>
      <c r="E10" s="4">
        <f>LARGE(StudentsPerformance!$J$2:$J$1001,'Top 10 per subject'!$A10)</f>
        <v>100</v>
      </c>
      <c r="F10" s="4" t="str">
        <f>INDEX(StudentsPerformance!$A$2:$A$1001,MATCH('Top 10 per subject'!A10,StudentsPerformance!$N$2:$N$1001,0))</f>
        <v>Stu-567</v>
      </c>
      <c r="G10" s="4">
        <f>LARGE(StudentsPerformance!$M$2:$M$1001,'Top 10 per subject'!$A10)</f>
        <v>100</v>
      </c>
    </row>
    <row r="11" spans="1:7">
      <c r="A11" s="4">
        <v>9</v>
      </c>
      <c r="B11" s="4" t="str">
        <f>INDEX(StudentsPerformance!$A$2:$A$1001,MATCH('Top 10 per subject'!A11,StudentsPerformance!$H$2:$H$1001,0))</f>
        <v>Stu-264</v>
      </c>
      <c r="C11" s="4">
        <f>LARGE(StudentsPerformance!$G$2:$G$1001,'Top 10 per subject'!A11)</f>
        <v>99</v>
      </c>
      <c r="D11" s="4" t="str">
        <f>INDEX(StudentsPerformance!$A$2:$A$1001,MATCH('Top 10 per subject'!A11,StudentsPerformance!$K$2:$K$1001,0))</f>
        <v>Stu-567</v>
      </c>
      <c r="E11" s="4">
        <f>LARGE(StudentsPerformance!$J$2:$J$1001,'Top 10 per subject'!$A11)</f>
        <v>100</v>
      </c>
      <c r="F11" s="4" t="str">
        <f>INDEX(StudentsPerformance!$A$2:$A$1001,MATCH('Top 10 per subject'!A11,StudentsPerformance!$N$2:$N$1001,0))</f>
        <v>Stu-686</v>
      </c>
      <c r="G11" s="4">
        <f>LARGE(StudentsPerformance!$M$2:$M$1001,'Top 10 per subject'!$A11)</f>
        <v>100</v>
      </c>
    </row>
    <row r="12" spans="1:7">
      <c r="A12" s="4">
        <v>10</v>
      </c>
      <c r="B12" s="4" t="str">
        <f>INDEX(StudentsPerformance!$A$2:$A$1001,MATCH('Top 10 per subject'!A12,StudentsPerformance!$H$2:$H$1001,0))</f>
        <v>Stu-307</v>
      </c>
      <c r="C12" s="4">
        <f>LARGE(StudentsPerformance!$G$2:$G$1001,'Top 10 per subject'!A12)</f>
        <v>99</v>
      </c>
      <c r="D12" s="4" t="str">
        <f>INDEX(StudentsPerformance!$A$2:$A$1001,MATCH('Top 10 per subject'!A12,StudentsPerformance!$K$2:$K$1001,0))</f>
        <v>Stu-595</v>
      </c>
      <c r="E12" s="4">
        <f>LARGE(StudentsPerformance!$J$2:$J$1001,'Top 10 per subject'!$A12)</f>
        <v>100</v>
      </c>
      <c r="F12" s="4" t="str">
        <f>INDEX(StudentsPerformance!$A$2:$A$1001,MATCH('Top 10 per subject'!A12,StudentsPerformance!$N$2:$N$1001,0))</f>
        <v>Stu-904</v>
      </c>
      <c r="G12" s="4">
        <f>LARGE(StudentsPerformance!$M$2:$M$1001,'Top 10 per subject'!$A12)</f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52CEB-B7CF-4BB1-B6DA-18FD90D6C14D}">
  <dimension ref="A1:D5"/>
  <sheetViews>
    <sheetView workbookViewId="0">
      <selection activeCell="G22" sqref="G22"/>
    </sheetView>
  </sheetViews>
  <sheetFormatPr defaultRowHeight="13.8"/>
  <cols>
    <col min="1" max="1" width="7.59765625" bestFit="1" customWidth="1"/>
    <col min="2" max="2" width="10.5" bestFit="1" customWidth="1"/>
    <col min="3" max="3" width="6.69921875" customWidth="1"/>
    <col min="4" max="4" width="6.19921875" customWidth="1"/>
  </cols>
  <sheetData>
    <row r="1" spans="1:4">
      <c r="A1" s="6" t="s">
        <v>45</v>
      </c>
      <c r="B1" s="1"/>
      <c r="C1" s="1"/>
      <c r="D1" s="1"/>
    </row>
    <row r="2" spans="1:4">
      <c r="A2" s="3" t="s">
        <v>46</v>
      </c>
      <c r="B2" s="3" t="s">
        <v>21</v>
      </c>
      <c r="C2" s="3" t="s">
        <v>15</v>
      </c>
      <c r="D2" s="3" t="s">
        <v>50</v>
      </c>
    </row>
    <row r="3" spans="1:4">
      <c r="A3" s="4" t="s">
        <v>47</v>
      </c>
      <c r="B3" s="7">
        <f>AVERAGEIF(StudentsPerformance!F2:F1001,"Completed",StudentsPerformance!G2:G1001)</f>
        <v>69.69553072625699</v>
      </c>
      <c r="C3" s="7">
        <f>AVERAGEIF(StudentsPerformance!F2:F1001,"None",StudentsPerformance!G2:G1001)</f>
        <v>64.077881619937699</v>
      </c>
      <c r="D3" s="8">
        <f>(B3-C3)/C3</f>
        <v>8.766908275212662E-2</v>
      </c>
    </row>
    <row r="4" spans="1:4">
      <c r="A4" s="4" t="s">
        <v>48</v>
      </c>
      <c r="B4" s="7">
        <f>AVERAGEIF(StudentsPerformance!F2:F1001,"Completed",StudentsPerformance!J2:J1001)</f>
        <v>73.893854748603346</v>
      </c>
      <c r="C4" s="7">
        <f>AVERAGEIF(StudentsPerformance!F2:F1001,"None",StudentsPerformance!J2:J1001)</f>
        <v>66.534267912772592</v>
      </c>
      <c r="D4" s="8">
        <f>(B4-C4)/C4</f>
        <v>0.11061347883889368</v>
      </c>
    </row>
    <row r="5" spans="1:4">
      <c r="A5" s="4" t="s">
        <v>49</v>
      </c>
      <c r="B5" s="7">
        <f>AVERAGEIF(StudentsPerformance!F2:F1001,"Completed",StudentsPerformance!M2:M1001)</f>
        <v>74.418994413407816</v>
      </c>
      <c r="C5" s="7">
        <f>AVERAGEIF(StudentsPerformance!F2:F1001,"None",StudentsPerformance!M2:M1001)</f>
        <v>64.504672897196258</v>
      </c>
      <c r="D5" s="8">
        <f>(B5-C5)/C5</f>
        <v>0.15369927589606444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98C6-392E-4332-92A4-CCAAF944EE47}">
  <dimension ref="A1:C20"/>
  <sheetViews>
    <sheetView zoomScale="220" zoomScaleNormal="220" workbookViewId="0">
      <selection activeCell="B3" sqref="B3"/>
    </sheetView>
  </sheetViews>
  <sheetFormatPr defaultRowHeight="13.8"/>
  <cols>
    <col min="1" max="1" width="18.8984375" customWidth="1"/>
    <col min="2" max="2" width="13.296875" bestFit="1" customWidth="1"/>
  </cols>
  <sheetData>
    <row r="1" spans="1:3" ht="18" customHeight="1">
      <c r="A1" s="12" t="s">
        <v>58</v>
      </c>
      <c r="B1" s="12"/>
      <c r="C1" s="12"/>
    </row>
    <row r="2" spans="1:3" ht="15.6">
      <c r="A2" s="13" t="s">
        <v>57</v>
      </c>
      <c r="B2" s="14" t="s">
        <v>52</v>
      </c>
      <c r="C2" s="14" t="s">
        <v>37</v>
      </c>
    </row>
    <row r="3" spans="1:3">
      <c r="A3" s="4" t="str" cm="1">
        <f t="array" ref="A3:A8">_xlfn._xlws.SORT(_xlfn.UNIQUE(StudentsPerformance!D2:D1001))</f>
        <v>Associate's Degree</v>
      </c>
      <c r="B3" s="15">
        <f>AVERAGEIF(Table1[Parental Level Of Education],'Parental education correlation'!A3,Table1[Total Score])</f>
        <v>208.7072072072072</v>
      </c>
      <c r="C3" s="4">
        <f t="shared" ref="C3:C8" si="0">RANK(B3,$B$3:$B$8,0)</f>
        <v>3</v>
      </c>
    </row>
    <row r="4" spans="1:3">
      <c r="A4" s="4" t="str">
        <v>Bachelor's Degree</v>
      </c>
      <c r="B4" s="15">
        <f>AVERAGEIF(Table1[Parental Level Of Education],'Parental education correlation'!A4,Table1[Total Score])</f>
        <v>215.77118644067798</v>
      </c>
      <c r="C4" s="4">
        <f t="shared" si="0"/>
        <v>2</v>
      </c>
    </row>
    <row r="5" spans="1:3">
      <c r="A5" s="4" t="str">
        <v>High School</v>
      </c>
      <c r="B5" s="15">
        <f>AVERAGEIF(Table1[Parental Level Of Education],'Parental education correlation'!A5,Table1[Total Score])</f>
        <v>189.2908163265306</v>
      </c>
      <c r="C5" s="4">
        <f t="shared" si="0"/>
        <v>6</v>
      </c>
    </row>
    <row r="6" spans="1:3">
      <c r="A6" s="4" t="str">
        <v>Master's Degree</v>
      </c>
      <c r="B6" s="15">
        <f>AVERAGEIF(Table1[Parental Level Of Education],'Parental education correlation'!A6,Table1[Total Score])</f>
        <v>220.79661016949152</v>
      </c>
      <c r="C6" s="4">
        <f t="shared" si="0"/>
        <v>1</v>
      </c>
    </row>
    <row r="7" spans="1:3">
      <c r="A7" s="4" t="str">
        <v>Some College</v>
      </c>
      <c r="B7" s="15">
        <f>AVERAGEIF(Table1[Parental Level Of Education],'Parental education correlation'!A7,Table1[Total Score])</f>
        <v>205.42920353982302</v>
      </c>
      <c r="C7" s="4">
        <f t="shared" si="0"/>
        <v>4</v>
      </c>
    </row>
    <row r="8" spans="1:3">
      <c r="A8" s="4" t="str">
        <v>Some High School</v>
      </c>
      <c r="B8" s="15">
        <f>AVERAGEIF(Table1[Parental Level Of Education],'Parental education correlation'!A8,Table1[Total Score])</f>
        <v>195.32402234636871</v>
      </c>
      <c r="C8" s="4">
        <f t="shared" si="0"/>
        <v>5</v>
      </c>
    </row>
    <row r="10" spans="1:3">
      <c r="A10" s="17" t="s">
        <v>53</v>
      </c>
      <c r="B10" s="17"/>
      <c r="C10" s="17"/>
    </row>
    <row r="11" spans="1:3">
      <c r="A11" s="17"/>
      <c r="B11" s="17"/>
      <c r="C11" s="17"/>
    </row>
    <row r="12" spans="1:3">
      <c r="A12" s="17"/>
      <c r="B12" s="17"/>
      <c r="C12" s="17"/>
    </row>
    <row r="15" spans="1:3">
      <c r="A15" s="17" t="s">
        <v>54</v>
      </c>
      <c r="B15" s="17"/>
      <c r="C15" s="17"/>
    </row>
    <row r="16" spans="1:3">
      <c r="A16" s="17"/>
      <c r="B16" s="17"/>
      <c r="C16" s="17"/>
    </row>
    <row r="17" spans="1:3">
      <c r="A17" s="17"/>
      <c r="B17" s="17"/>
      <c r="C17" s="17"/>
    </row>
    <row r="18" spans="1:3">
      <c r="A18" s="17"/>
      <c r="B18" s="17"/>
      <c r="C18" s="17"/>
    </row>
    <row r="19" spans="1:3">
      <c r="A19" s="17"/>
      <c r="B19" s="17"/>
      <c r="C19" s="17"/>
    </row>
    <row r="20" spans="1:3">
      <c r="A20" s="17"/>
      <c r="B20" s="17"/>
      <c r="C20" s="17"/>
    </row>
  </sheetData>
  <mergeCells count="2">
    <mergeCell ref="A10:C12"/>
    <mergeCell ref="A15:C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BA37-98F6-4310-8B5A-2A9F5935D200}">
  <dimension ref="A1:R273"/>
  <sheetViews>
    <sheetView workbookViewId="0">
      <selection activeCell="Q2" sqref="Q2:R2"/>
    </sheetView>
  </sheetViews>
  <sheetFormatPr defaultRowHeight="13.8"/>
  <cols>
    <col min="1" max="1" width="17.19921875" customWidth="1"/>
    <col min="2" max="2" width="12.296875" bestFit="1" customWidth="1"/>
    <col min="3" max="3" width="14.59765625" customWidth="1"/>
    <col min="4" max="4" width="10.09765625" bestFit="1" customWidth="1"/>
    <col min="5" max="5" width="0" hidden="1" customWidth="1"/>
    <col min="6" max="6" width="10.8984375" bestFit="1" customWidth="1"/>
    <col min="7" max="7" width="13.796875" bestFit="1" customWidth="1"/>
    <col min="8" max="8" width="13.09765625" hidden="1" customWidth="1"/>
    <col min="9" max="9" width="14" bestFit="1" customWidth="1"/>
    <col min="10" max="10" width="12.69921875" bestFit="1" customWidth="1"/>
    <col min="11" max="11" width="0" hidden="1" customWidth="1"/>
    <col min="12" max="12" width="13" bestFit="1" customWidth="1"/>
    <col min="13" max="13" width="10.796875" bestFit="1" customWidth="1"/>
  </cols>
  <sheetData>
    <row r="1" spans="1:18" ht="19.8" customHeight="1">
      <c r="A1" s="11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8" ht="41.4">
      <c r="A2" s="10" t="str">
        <f>Table1[[#Headers],[Student ID]]</f>
        <v>Student ID</v>
      </c>
      <c r="B2" s="10" t="str">
        <f>Table1[[#Headers],[Gender]]</f>
        <v>Gender</v>
      </c>
      <c r="C2" s="10" t="str">
        <f>Table1[[#Headers],[Race/Ethnicity]]</f>
        <v>Race/Ethnicity</v>
      </c>
      <c r="D2" s="10" t="str">
        <f>Table1[[#Headers],[Parental Level Of Education]]</f>
        <v>Parental Level Of Education</v>
      </c>
      <c r="E2" s="10" t="str">
        <f>Table1[[#Headers],[Lunch]]</f>
        <v>Lunch</v>
      </c>
      <c r="F2" s="10" t="str">
        <f>Table1[[#Headers],[Test Preparation Course]]</f>
        <v>Test Preparation Course</v>
      </c>
      <c r="G2" s="10" t="str">
        <f>Table1[[#Headers],[Math Score]]</f>
        <v>Math Score</v>
      </c>
      <c r="H2" s="10" t="str">
        <f>Table1[[#Headers],[Maths Rank]]</f>
        <v>Maths Rank</v>
      </c>
      <c r="I2" s="19" t="str">
        <f>Table1[[#Headers],[Math Grade]]</f>
        <v>Math Grade</v>
      </c>
      <c r="J2" s="19" t="str">
        <f>Table1[[#Headers],[Reading Score]]</f>
        <v>Reading Score</v>
      </c>
      <c r="K2" s="19" t="str">
        <f>Table1[[#Headers],[Reading Rank]]</f>
        <v>Reading Rank</v>
      </c>
      <c r="L2" s="19" t="str">
        <f>Table1[[#Headers],[Reading Grade]]</f>
        <v>Reading Grade</v>
      </c>
      <c r="M2" s="19" t="str">
        <f>Table1[[#Headers],[Writing Score]]</f>
        <v>Writing Score</v>
      </c>
      <c r="N2" s="19" t="str">
        <f>Table1[[#Headers],[Writing Rank]]</f>
        <v>Writing Rank</v>
      </c>
      <c r="O2" s="19" t="str">
        <f>Table1[[#Headers],[Writing Grade]]</f>
        <v>Writing Grade</v>
      </c>
      <c r="P2" s="19" t="str">
        <f>Table1[[#Headers],[Total Score]]</f>
        <v>Total Score</v>
      </c>
      <c r="Q2" s="19" t="str">
        <f>Table1[[#Headers],[Fail Count]]</f>
        <v>Fail Count</v>
      </c>
      <c r="R2" s="19" t="str">
        <f>Table1[[#Headers],[Flag]]</f>
        <v>Flag</v>
      </c>
    </row>
    <row r="3" spans="1:18">
      <c r="A3" s="4" t="str" cm="1">
        <f t="array" ref="A3:R273">_xlfn._xlws.FILTER(Table1[],Table1[Fail Count]&gt;=2,"No at Risk Student")</f>
        <v>Stu-004</v>
      </c>
      <c r="B3" s="4" t="str">
        <v>Male</v>
      </c>
      <c r="C3" s="4" t="str">
        <v>Group A</v>
      </c>
      <c r="D3" s="4" t="str">
        <v>Associate's Degree</v>
      </c>
      <c r="E3" s="4" t="str">
        <v>Free/Reduced</v>
      </c>
      <c r="F3" s="4" t="str">
        <v>None</v>
      </c>
      <c r="G3" s="4">
        <v>47</v>
      </c>
      <c r="H3" s="18">
        <v>894</v>
      </c>
      <c r="I3" s="20" t="str">
        <v>F</v>
      </c>
      <c r="J3" s="20">
        <v>57</v>
      </c>
      <c r="K3" s="20">
        <v>792</v>
      </c>
      <c r="L3" s="20" t="str">
        <v>F</v>
      </c>
      <c r="M3" s="20">
        <v>44</v>
      </c>
      <c r="N3" s="20">
        <v>931</v>
      </c>
      <c r="O3" s="20" t="str">
        <v>F</v>
      </c>
      <c r="P3" s="20">
        <v>148</v>
      </c>
      <c r="Q3" s="20">
        <v>3</v>
      </c>
      <c r="R3" s="20" t="str">
        <v>At risk</v>
      </c>
    </row>
    <row r="4" spans="1:18">
      <c r="A4" s="4" t="str">
        <v>Stu-008</v>
      </c>
      <c r="B4" s="4" t="str">
        <v>Male</v>
      </c>
      <c r="C4" s="4" t="str">
        <v>Group B</v>
      </c>
      <c r="D4" s="4" t="str">
        <v>Some College</v>
      </c>
      <c r="E4" s="4" t="str">
        <v>Free/Reduced</v>
      </c>
      <c r="F4" s="4" t="str">
        <v>None</v>
      </c>
      <c r="G4" s="4">
        <v>40</v>
      </c>
      <c r="H4" s="18">
        <v>951</v>
      </c>
      <c r="I4" s="20" t="str">
        <v>F</v>
      </c>
      <c r="J4" s="20">
        <v>43</v>
      </c>
      <c r="K4" s="20">
        <v>952</v>
      </c>
      <c r="L4" s="20" t="str">
        <v>F</v>
      </c>
      <c r="M4" s="20">
        <v>39</v>
      </c>
      <c r="N4" s="20">
        <v>969</v>
      </c>
      <c r="O4" s="20" t="str">
        <v>F</v>
      </c>
      <c r="P4" s="20">
        <v>122</v>
      </c>
      <c r="Q4" s="20">
        <v>3</v>
      </c>
      <c r="R4" s="20" t="str">
        <v>At risk</v>
      </c>
    </row>
    <row r="5" spans="1:18">
      <c r="A5" s="4" t="str">
        <v>Stu-010</v>
      </c>
      <c r="B5" s="4" t="str">
        <v>Female</v>
      </c>
      <c r="C5" s="4" t="str">
        <v>Group B</v>
      </c>
      <c r="D5" s="4" t="str">
        <v>High School</v>
      </c>
      <c r="E5" s="4" t="str">
        <v>Free/Reduced</v>
      </c>
      <c r="F5" s="4" t="str">
        <v>None</v>
      </c>
      <c r="G5" s="4">
        <v>38</v>
      </c>
      <c r="H5" s="18">
        <v>965</v>
      </c>
      <c r="I5" s="20" t="str">
        <v>F</v>
      </c>
      <c r="J5" s="20">
        <v>60</v>
      </c>
      <c r="K5" s="20">
        <v>726</v>
      </c>
      <c r="L5" s="20" t="str">
        <v>D</v>
      </c>
      <c r="M5" s="20">
        <v>50</v>
      </c>
      <c r="N5" s="20">
        <v>877</v>
      </c>
      <c r="O5" s="20" t="str">
        <v>F</v>
      </c>
      <c r="P5" s="20">
        <v>148</v>
      </c>
      <c r="Q5" s="20">
        <v>2</v>
      </c>
      <c r="R5" s="20" t="str">
        <v>At risk</v>
      </c>
    </row>
    <row r="6" spans="1:18">
      <c r="A6" s="4" t="str">
        <v>Stu-011</v>
      </c>
      <c r="B6" s="4" t="str">
        <v>Male</v>
      </c>
      <c r="C6" s="4" t="str">
        <v>Group C</v>
      </c>
      <c r="D6" s="4" t="str">
        <v>Associate's Degree</v>
      </c>
      <c r="E6" s="4" t="str">
        <v>Standard</v>
      </c>
      <c r="F6" s="4" t="str">
        <v>None</v>
      </c>
      <c r="G6" s="4">
        <v>58</v>
      </c>
      <c r="H6" s="18">
        <v>710</v>
      </c>
      <c r="I6" s="20" t="str">
        <v>F</v>
      </c>
      <c r="J6" s="20">
        <v>54</v>
      </c>
      <c r="K6" s="20">
        <v>841</v>
      </c>
      <c r="L6" s="20" t="str">
        <v>F</v>
      </c>
      <c r="M6" s="20">
        <v>52</v>
      </c>
      <c r="N6" s="20">
        <v>840</v>
      </c>
      <c r="O6" s="20" t="str">
        <v>F</v>
      </c>
      <c r="P6" s="20">
        <v>164</v>
      </c>
      <c r="Q6" s="20">
        <v>3</v>
      </c>
      <c r="R6" s="20" t="str">
        <v>At risk</v>
      </c>
    </row>
    <row r="7" spans="1:18">
      <c r="A7" s="4" t="str">
        <v>Stu-012</v>
      </c>
      <c r="B7" s="4" t="str">
        <v>Male</v>
      </c>
      <c r="C7" s="4" t="str">
        <v>Group D</v>
      </c>
      <c r="D7" s="4" t="str">
        <v>Associate's Degree</v>
      </c>
      <c r="E7" s="4" t="str">
        <v>Standard</v>
      </c>
      <c r="F7" s="4" t="str">
        <v>None</v>
      </c>
      <c r="G7" s="4">
        <v>40</v>
      </c>
      <c r="H7" s="18">
        <v>952</v>
      </c>
      <c r="I7" s="20" t="str">
        <v>F</v>
      </c>
      <c r="J7" s="20">
        <v>52</v>
      </c>
      <c r="K7" s="20">
        <v>872</v>
      </c>
      <c r="L7" s="20" t="str">
        <v>F</v>
      </c>
      <c r="M7" s="20">
        <v>43</v>
      </c>
      <c r="N7" s="20">
        <v>939</v>
      </c>
      <c r="O7" s="20" t="str">
        <v>F</v>
      </c>
      <c r="P7" s="20">
        <v>135</v>
      </c>
      <c r="Q7" s="20">
        <v>3</v>
      </c>
      <c r="R7" s="20" t="str">
        <v>At risk</v>
      </c>
    </row>
    <row r="8" spans="1:18">
      <c r="A8" s="4" t="str">
        <v>Stu-015</v>
      </c>
      <c r="B8" s="4" t="str">
        <v>Female</v>
      </c>
      <c r="C8" s="4" t="str">
        <v>Group A</v>
      </c>
      <c r="D8" s="4" t="str">
        <v>Master's Degree</v>
      </c>
      <c r="E8" s="4" t="str">
        <v>Standard</v>
      </c>
      <c r="F8" s="4" t="str">
        <v>None</v>
      </c>
      <c r="G8" s="4">
        <v>50</v>
      </c>
      <c r="H8" s="18">
        <v>851</v>
      </c>
      <c r="I8" s="20" t="str">
        <v>F</v>
      </c>
      <c r="J8" s="20">
        <v>53</v>
      </c>
      <c r="K8" s="20">
        <v>859</v>
      </c>
      <c r="L8" s="20" t="str">
        <v>F</v>
      </c>
      <c r="M8" s="20">
        <v>58</v>
      </c>
      <c r="N8" s="20">
        <v>733</v>
      </c>
      <c r="O8" s="20" t="str">
        <v>F</v>
      </c>
      <c r="P8" s="20">
        <v>161</v>
      </c>
      <c r="Q8" s="20">
        <v>3</v>
      </c>
      <c r="R8" s="20" t="str">
        <v>At risk</v>
      </c>
    </row>
    <row r="9" spans="1:18">
      <c r="A9" s="4" t="str">
        <v>Stu-018</v>
      </c>
      <c r="B9" s="4" t="str">
        <v>Female</v>
      </c>
      <c r="C9" s="4" t="str">
        <v>Group B</v>
      </c>
      <c r="D9" s="4" t="str">
        <v>Some High School</v>
      </c>
      <c r="E9" s="4" t="str">
        <v>Free/Reduced</v>
      </c>
      <c r="F9" s="4" t="str">
        <v>None</v>
      </c>
      <c r="G9" s="4">
        <v>18</v>
      </c>
      <c r="H9" s="18">
        <v>998</v>
      </c>
      <c r="I9" s="20" t="str">
        <v>F</v>
      </c>
      <c r="J9" s="20">
        <v>32</v>
      </c>
      <c r="K9" s="20">
        <v>990</v>
      </c>
      <c r="L9" s="20" t="str">
        <v>F</v>
      </c>
      <c r="M9" s="20">
        <v>28</v>
      </c>
      <c r="N9" s="20">
        <v>992</v>
      </c>
      <c r="O9" s="20" t="str">
        <v>F</v>
      </c>
      <c r="P9" s="20">
        <v>78</v>
      </c>
      <c r="Q9" s="20">
        <v>3</v>
      </c>
      <c r="R9" s="20" t="str">
        <v>At risk</v>
      </c>
    </row>
    <row r="10" spans="1:18">
      <c r="A10" s="4" t="str">
        <v>Stu-019</v>
      </c>
      <c r="B10" s="4" t="str">
        <v>Male</v>
      </c>
      <c r="C10" s="4" t="str">
        <v>Group C</v>
      </c>
      <c r="D10" s="4" t="str">
        <v>Master's Degree</v>
      </c>
      <c r="E10" s="4" t="str">
        <v>Free/Reduced</v>
      </c>
      <c r="F10" s="4" t="str">
        <v>Completed</v>
      </c>
      <c r="G10" s="4">
        <v>46</v>
      </c>
      <c r="H10" s="18">
        <v>905</v>
      </c>
      <c r="I10" s="20" t="str">
        <v>F</v>
      </c>
      <c r="J10" s="20">
        <v>42</v>
      </c>
      <c r="K10" s="20">
        <v>961</v>
      </c>
      <c r="L10" s="20" t="str">
        <v>F</v>
      </c>
      <c r="M10" s="20">
        <v>46</v>
      </c>
      <c r="N10" s="20">
        <v>914</v>
      </c>
      <c r="O10" s="20" t="str">
        <v>F</v>
      </c>
      <c r="P10" s="20">
        <v>134</v>
      </c>
      <c r="Q10" s="20">
        <v>3</v>
      </c>
      <c r="R10" s="20" t="str">
        <v>At risk</v>
      </c>
    </row>
    <row r="11" spans="1:18">
      <c r="A11" s="4" t="str">
        <v>Stu-020</v>
      </c>
      <c r="B11" s="4" t="str">
        <v>Female</v>
      </c>
      <c r="C11" s="4" t="str">
        <v>Group C</v>
      </c>
      <c r="D11" s="4" t="str">
        <v>Associate's Degree</v>
      </c>
      <c r="E11" s="4" t="str">
        <v>Free/Reduced</v>
      </c>
      <c r="F11" s="4" t="str">
        <v>None</v>
      </c>
      <c r="G11" s="4">
        <v>54</v>
      </c>
      <c r="H11" s="18">
        <v>780</v>
      </c>
      <c r="I11" s="20" t="str">
        <v>F</v>
      </c>
      <c r="J11" s="20">
        <v>58</v>
      </c>
      <c r="K11" s="20">
        <v>764</v>
      </c>
      <c r="L11" s="20" t="str">
        <v>F</v>
      </c>
      <c r="M11" s="20">
        <v>61</v>
      </c>
      <c r="N11" s="20">
        <v>679</v>
      </c>
      <c r="O11" s="20" t="str">
        <v>D</v>
      </c>
      <c r="P11" s="20">
        <v>173</v>
      </c>
      <c r="Q11" s="20">
        <v>2</v>
      </c>
      <c r="R11" s="20" t="str">
        <v>At risk</v>
      </c>
    </row>
    <row r="12" spans="1:18">
      <c r="A12" s="4" t="str">
        <v>Stu-023</v>
      </c>
      <c r="B12" s="4" t="str">
        <v>Male</v>
      </c>
      <c r="C12" s="4" t="str">
        <v>Group D</v>
      </c>
      <c r="D12" s="4" t="str">
        <v>Some College</v>
      </c>
      <c r="E12" s="4" t="str">
        <v>Standard</v>
      </c>
      <c r="F12" s="4" t="str">
        <v>None</v>
      </c>
      <c r="G12" s="4">
        <v>44</v>
      </c>
      <c r="H12" s="18">
        <v>925</v>
      </c>
      <c r="I12" s="20" t="str">
        <v>F</v>
      </c>
      <c r="J12" s="20">
        <v>54</v>
      </c>
      <c r="K12" s="20">
        <v>842</v>
      </c>
      <c r="L12" s="20" t="str">
        <v>F</v>
      </c>
      <c r="M12" s="20">
        <v>53</v>
      </c>
      <c r="N12" s="20">
        <v>823</v>
      </c>
      <c r="O12" s="20" t="str">
        <v>F</v>
      </c>
      <c r="P12" s="20">
        <v>151</v>
      </c>
      <c r="Q12" s="20">
        <v>3</v>
      </c>
      <c r="R12" s="20" t="str">
        <v>At risk</v>
      </c>
    </row>
    <row r="13" spans="1:18">
      <c r="A13" s="4" t="str">
        <v>Stu-027</v>
      </c>
      <c r="B13" s="4" t="str">
        <v>Male</v>
      </c>
      <c r="C13" s="4" t="str">
        <v>Group B</v>
      </c>
      <c r="D13" s="4" t="str">
        <v>Some College</v>
      </c>
      <c r="E13" s="4" t="str">
        <v>Standard</v>
      </c>
      <c r="F13" s="4" t="str">
        <v>None</v>
      </c>
      <c r="G13" s="4">
        <v>69</v>
      </c>
      <c r="H13" s="18">
        <v>413</v>
      </c>
      <c r="I13" s="20" t="str">
        <v>D</v>
      </c>
      <c r="J13" s="20">
        <v>54</v>
      </c>
      <c r="K13" s="20">
        <v>843</v>
      </c>
      <c r="L13" s="20" t="str">
        <v>F</v>
      </c>
      <c r="M13" s="20">
        <v>55</v>
      </c>
      <c r="N13" s="20">
        <v>784</v>
      </c>
      <c r="O13" s="20" t="str">
        <v>F</v>
      </c>
      <c r="P13" s="20">
        <v>178</v>
      </c>
      <c r="Q13" s="20">
        <v>2</v>
      </c>
      <c r="R13" s="20" t="str">
        <v>At risk</v>
      </c>
    </row>
    <row r="14" spans="1:18">
      <c r="A14" s="4" t="str">
        <v>Stu-034</v>
      </c>
      <c r="B14" s="4" t="str">
        <v>Male</v>
      </c>
      <c r="C14" s="4" t="str">
        <v>Group D</v>
      </c>
      <c r="D14" s="4" t="str">
        <v>Some College</v>
      </c>
      <c r="E14" s="4" t="str">
        <v>Standard</v>
      </c>
      <c r="F14" s="4" t="str">
        <v>None</v>
      </c>
      <c r="G14" s="4">
        <v>40</v>
      </c>
      <c r="H14" s="18">
        <v>953</v>
      </c>
      <c r="I14" s="20" t="str">
        <v>F</v>
      </c>
      <c r="J14" s="20">
        <v>42</v>
      </c>
      <c r="K14" s="20">
        <v>962</v>
      </c>
      <c r="L14" s="20" t="str">
        <v>F</v>
      </c>
      <c r="M14" s="20">
        <v>38</v>
      </c>
      <c r="N14" s="20">
        <v>971</v>
      </c>
      <c r="O14" s="20" t="str">
        <v>F</v>
      </c>
      <c r="P14" s="20">
        <v>120</v>
      </c>
      <c r="Q14" s="20">
        <v>3</v>
      </c>
      <c r="R14" s="20" t="str">
        <v>At risk</v>
      </c>
    </row>
    <row r="15" spans="1:18">
      <c r="A15" s="4" t="str">
        <v>Stu-038</v>
      </c>
      <c r="B15" s="4" t="str">
        <v>Female</v>
      </c>
      <c r="C15" s="4" t="str">
        <v>Group D</v>
      </c>
      <c r="D15" s="4" t="str">
        <v>Some High School</v>
      </c>
      <c r="E15" s="4" t="str">
        <v>Free/Reduced</v>
      </c>
      <c r="F15" s="4" t="str">
        <v>None</v>
      </c>
      <c r="G15" s="4">
        <v>50</v>
      </c>
      <c r="H15" s="18">
        <v>852</v>
      </c>
      <c r="I15" s="20" t="str">
        <v>F</v>
      </c>
      <c r="J15" s="20">
        <v>64</v>
      </c>
      <c r="K15" s="20">
        <v>629</v>
      </c>
      <c r="L15" s="20" t="str">
        <v>D</v>
      </c>
      <c r="M15" s="20">
        <v>59</v>
      </c>
      <c r="N15" s="20">
        <v>720</v>
      </c>
      <c r="O15" s="20" t="str">
        <v>F</v>
      </c>
      <c r="P15" s="20">
        <v>173</v>
      </c>
      <c r="Q15" s="20">
        <v>2</v>
      </c>
      <c r="R15" s="20" t="str">
        <v>At risk</v>
      </c>
    </row>
    <row r="16" spans="1:18">
      <c r="A16" s="4" t="str">
        <v>Stu-040</v>
      </c>
      <c r="B16" s="4" t="str">
        <v>Male</v>
      </c>
      <c r="C16" s="4" t="str">
        <v>Group B</v>
      </c>
      <c r="D16" s="4" t="str">
        <v>Associate's Degree</v>
      </c>
      <c r="E16" s="4" t="str">
        <v>Free/Reduced</v>
      </c>
      <c r="F16" s="4" t="str">
        <v>None</v>
      </c>
      <c r="G16" s="4">
        <v>57</v>
      </c>
      <c r="H16" s="18">
        <v>735</v>
      </c>
      <c r="I16" s="20" t="str">
        <v>F</v>
      </c>
      <c r="J16" s="20">
        <v>56</v>
      </c>
      <c r="K16" s="20">
        <v>809</v>
      </c>
      <c r="L16" s="20" t="str">
        <v>F</v>
      </c>
      <c r="M16" s="20">
        <v>57</v>
      </c>
      <c r="N16" s="20">
        <v>751</v>
      </c>
      <c r="O16" s="20" t="str">
        <v>F</v>
      </c>
      <c r="P16" s="20">
        <v>170</v>
      </c>
      <c r="Q16" s="20">
        <v>3</v>
      </c>
      <c r="R16" s="20" t="str">
        <v>At risk</v>
      </c>
    </row>
    <row r="17" spans="1:18">
      <c r="A17" s="4" t="str">
        <v>Stu-041</v>
      </c>
      <c r="B17" s="4" t="str">
        <v>Male</v>
      </c>
      <c r="C17" s="4" t="str">
        <v>Group C</v>
      </c>
      <c r="D17" s="4" t="str">
        <v>Associate's Degree</v>
      </c>
      <c r="E17" s="4" t="str">
        <v>Free/Reduced</v>
      </c>
      <c r="F17" s="4" t="str">
        <v>None</v>
      </c>
      <c r="G17" s="4">
        <v>55</v>
      </c>
      <c r="H17" s="18">
        <v>762</v>
      </c>
      <c r="I17" s="20" t="str">
        <v>F</v>
      </c>
      <c r="J17" s="20">
        <v>61</v>
      </c>
      <c r="K17" s="20">
        <v>702</v>
      </c>
      <c r="L17" s="20" t="str">
        <v>D</v>
      </c>
      <c r="M17" s="20">
        <v>54</v>
      </c>
      <c r="N17" s="20">
        <v>798</v>
      </c>
      <c r="O17" s="20" t="str">
        <v>F</v>
      </c>
      <c r="P17" s="20">
        <v>170</v>
      </c>
      <c r="Q17" s="20">
        <v>2</v>
      </c>
      <c r="R17" s="20" t="str">
        <v>At risk</v>
      </c>
    </row>
    <row r="18" spans="1:18">
      <c r="A18" s="4" t="str">
        <v>Stu-043</v>
      </c>
      <c r="B18" s="4" t="str">
        <v>Female</v>
      </c>
      <c r="C18" s="4" t="str">
        <v>Group B</v>
      </c>
      <c r="D18" s="4" t="str">
        <v>Associate's Degree</v>
      </c>
      <c r="E18" s="4" t="str">
        <v>Standard</v>
      </c>
      <c r="F18" s="4" t="str">
        <v>None</v>
      </c>
      <c r="G18" s="4">
        <v>53</v>
      </c>
      <c r="H18" s="18">
        <v>798</v>
      </c>
      <c r="I18" s="20" t="str">
        <v>F</v>
      </c>
      <c r="J18" s="20">
        <v>58</v>
      </c>
      <c r="K18" s="20">
        <v>765</v>
      </c>
      <c r="L18" s="20" t="str">
        <v>F</v>
      </c>
      <c r="M18" s="20">
        <v>65</v>
      </c>
      <c r="N18" s="20">
        <v>595</v>
      </c>
      <c r="O18" s="20" t="str">
        <v>D</v>
      </c>
      <c r="P18" s="20">
        <v>176</v>
      </c>
      <c r="Q18" s="20">
        <v>2</v>
      </c>
      <c r="R18" s="20" t="str">
        <v>At risk</v>
      </c>
    </row>
    <row r="19" spans="1:18">
      <c r="A19" s="4" t="str">
        <v>Stu-045</v>
      </c>
      <c r="B19" s="4" t="str">
        <v>Female</v>
      </c>
      <c r="C19" s="4" t="str">
        <v>Group E</v>
      </c>
      <c r="D19" s="4" t="str">
        <v>Associate's Degree</v>
      </c>
      <c r="E19" s="4" t="str">
        <v>Free/Reduced</v>
      </c>
      <c r="F19" s="4" t="str">
        <v>None</v>
      </c>
      <c r="G19" s="4">
        <v>50</v>
      </c>
      <c r="H19" s="18">
        <v>853</v>
      </c>
      <c r="I19" s="20" t="str">
        <v>F</v>
      </c>
      <c r="J19" s="20">
        <v>56</v>
      </c>
      <c r="K19" s="20">
        <v>810</v>
      </c>
      <c r="L19" s="20" t="str">
        <v>F</v>
      </c>
      <c r="M19" s="20">
        <v>54</v>
      </c>
      <c r="N19" s="20">
        <v>799</v>
      </c>
      <c r="O19" s="20" t="str">
        <v>F</v>
      </c>
      <c r="P19" s="20">
        <v>160</v>
      </c>
      <c r="Q19" s="20">
        <v>3</v>
      </c>
      <c r="R19" s="20" t="str">
        <v>At risk</v>
      </c>
    </row>
    <row r="20" spans="1:18">
      <c r="A20" s="4" t="str">
        <v>Stu-046</v>
      </c>
      <c r="B20" s="4" t="str">
        <v>Male</v>
      </c>
      <c r="C20" s="4" t="str">
        <v>Group B</v>
      </c>
      <c r="D20" s="4" t="str">
        <v>Associate's Degree</v>
      </c>
      <c r="E20" s="4" t="str">
        <v>Standard</v>
      </c>
      <c r="F20" s="4" t="str">
        <v>None</v>
      </c>
      <c r="G20" s="4">
        <v>65</v>
      </c>
      <c r="H20" s="18">
        <v>520</v>
      </c>
      <c r="I20" s="20" t="str">
        <v>D</v>
      </c>
      <c r="J20" s="20">
        <v>54</v>
      </c>
      <c r="K20" s="20">
        <v>844</v>
      </c>
      <c r="L20" s="20" t="str">
        <v>F</v>
      </c>
      <c r="M20" s="20">
        <v>57</v>
      </c>
      <c r="N20" s="20">
        <v>752</v>
      </c>
      <c r="O20" s="20" t="str">
        <v>F</v>
      </c>
      <c r="P20" s="20">
        <v>176</v>
      </c>
      <c r="Q20" s="20">
        <v>2</v>
      </c>
      <c r="R20" s="20" t="str">
        <v>At risk</v>
      </c>
    </row>
    <row r="21" spans="1:18">
      <c r="A21" s="4" t="str">
        <v>Stu-051</v>
      </c>
      <c r="B21" s="4" t="str">
        <v>Male</v>
      </c>
      <c r="C21" s="4" t="str">
        <v>Group E</v>
      </c>
      <c r="D21" s="4" t="str">
        <v>Some College</v>
      </c>
      <c r="E21" s="4" t="str">
        <v>Standard</v>
      </c>
      <c r="F21" s="4" t="str">
        <v>None</v>
      </c>
      <c r="G21" s="4">
        <v>53</v>
      </c>
      <c r="H21" s="18">
        <v>799</v>
      </c>
      <c r="I21" s="20" t="str">
        <v>F</v>
      </c>
      <c r="J21" s="20">
        <v>55</v>
      </c>
      <c r="K21" s="20">
        <v>825</v>
      </c>
      <c r="L21" s="20" t="str">
        <v>F</v>
      </c>
      <c r="M21" s="20">
        <v>48</v>
      </c>
      <c r="N21" s="20">
        <v>896</v>
      </c>
      <c r="O21" s="20" t="str">
        <v>F</v>
      </c>
      <c r="P21" s="20">
        <v>156</v>
      </c>
      <c r="Q21" s="20">
        <v>3</v>
      </c>
      <c r="R21" s="20" t="str">
        <v>At risk</v>
      </c>
    </row>
    <row r="22" spans="1:18">
      <c r="A22" s="4" t="str">
        <v>Stu-053</v>
      </c>
      <c r="B22" s="4" t="str">
        <v>Male</v>
      </c>
      <c r="C22" s="4" t="str">
        <v>Group C</v>
      </c>
      <c r="D22" s="4" t="str">
        <v>Some College</v>
      </c>
      <c r="E22" s="4" t="str">
        <v>Standard</v>
      </c>
      <c r="F22" s="4" t="str">
        <v>None</v>
      </c>
      <c r="G22" s="4">
        <v>53</v>
      </c>
      <c r="H22" s="18">
        <v>800</v>
      </c>
      <c r="I22" s="20" t="str">
        <v>F</v>
      </c>
      <c r="J22" s="20">
        <v>44</v>
      </c>
      <c r="K22" s="20">
        <v>948</v>
      </c>
      <c r="L22" s="20" t="str">
        <v>F</v>
      </c>
      <c r="M22" s="20">
        <v>42</v>
      </c>
      <c r="N22" s="20">
        <v>951</v>
      </c>
      <c r="O22" s="20" t="str">
        <v>F</v>
      </c>
      <c r="P22" s="20">
        <v>139</v>
      </c>
      <c r="Q22" s="20">
        <v>3</v>
      </c>
      <c r="R22" s="20" t="str">
        <v>At risk</v>
      </c>
    </row>
    <row r="23" spans="1:18">
      <c r="A23" s="4" t="str">
        <v>Stu-056</v>
      </c>
      <c r="B23" s="4" t="str">
        <v>Female</v>
      </c>
      <c r="C23" s="4" t="str">
        <v>Group C</v>
      </c>
      <c r="D23" s="4" t="str">
        <v>High School</v>
      </c>
      <c r="E23" s="4" t="str">
        <v>Free/Reduced</v>
      </c>
      <c r="F23" s="4" t="str">
        <v>None</v>
      </c>
      <c r="G23" s="4">
        <v>33</v>
      </c>
      <c r="H23" s="18">
        <v>981</v>
      </c>
      <c r="I23" s="20" t="str">
        <v>F</v>
      </c>
      <c r="J23" s="20">
        <v>41</v>
      </c>
      <c r="K23" s="20">
        <v>968</v>
      </c>
      <c r="L23" s="20" t="str">
        <v>F</v>
      </c>
      <c r="M23" s="20">
        <v>43</v>
      </c>
      <c r="N23" s="20">
        <v>940</v>
      </c>
      <c r="O23" s="20" t="str">
        <v>F</v>
      </c>
      <c r="P23" s="20">
        <v>117</v>
      </c>
      <c r="Q23" s="20">
        <v>3</v>
      </c>
      <c r="R23" s="20" t="str">
        <v>At risk</v>
      </c>
    </row>
    <row r="24" spans="1:18">
      <c r="A24" s="4" t="str">
        <v>Stu-058</v>
      </c>
      <c r="B24" s="4" t="str">
        <v>Male</v>
      </c>
      <c r="C24" s="4" t="str">
        <v>Group D</v>
      </c>
      <c r="D24" s="4" t="str">
        <v>Associate's Degree</v>
      </c>
      <c r="E24" s="4" t="str">
        <v>Standard</v>
      </c>
      <c r="F24" s="4" t="str">
        <v>None</v>
      </c>
      <c r="G24" s="4">
        <v>52</v>
      </c>
      <c r="H24" s="18">
        <v>822</v>
      </c>
      <c r="I24" s="20" t="str">
        <v>F</v>
      </c>
      <c r="J24" s="20">
        <v>55</v>
      </c>
      <c r="K24" s="20">
        <v>826</v>
      </c>
      <c r="L24" s="20" t="str">
        <v>F</v>
      </c>
      <c r="M24" s="20">
        <v>49</v>
      </c>
      <c r="N24" s="20">
        <v>887</v>
      </c>
      <c r="O24" s="20" t="str">
        <v>F</v>
      </c>
      <c r="P24" s="20">
        <v>156</v>
      </c>
      <c r="Q24" s="20">
        <v>3</v>
      </c>
      <c r="R24" s="20" t="str">
        <v>At risk</v>
      </c>
    </row>
    <row r="25" spans="1:18">
      <c r="A25" s="4" t="str">
        <v>Stu-059</v>
      </c>
      <c r="B25" s="4" t="str">
        <v>Male</v>
      </c>
      <c r="C25" s="4" t="str">
        <v>Group D</v>
      </c>
      <c r="D25" s="4" t="str">
        <v>Some College</v>
      </c>
      <c r="E25" s="4" t="str">
        <v>Standard</v>
      </c>
      <c r="F25" s="4" t="str">
        <v>Completed</v>
      </c>
      <c r="G25" s="4">
        <v>58</v>
      </c>
      <c r="H25" s="18">
        <v>712</v>
      </c>
      <c r="I25" s="20" t="str">
        <v>F</v>
      </c>
      <c r="J25" s="20">
        <v>59</v>
      </c>
      <c r="K25" s="20">
        <v>747</v>
      </c>
      <c r="L25" s="20" t="str">
        <v>F</v>
      </c>
      <c r="M25" s="20">
        <v>58</v>
      </c>
      <c r="N25" s="20">
        <v>734</v>
      </c>
      <c r="O25" s="20" t="str">
        <v>F</v>
      </c>
      <c r="P25" s="20">
        <v>175</v>
      </c>
      <c r="Q25" s="20">
        <v>3</v>
      </c>
      <c r="R25" s="20" t="str">
        <v>At risk</v>
      </c>
    </row>
    <row r="26" spans="1:18">
      <c r="A26" s="4" t="str">
        <v>Stu-060</v>
      </c>
      <c r="B26" s="4" t="str">
        <v>Female</v>
      </c>
      <c r="C26" s="4" t="str">
        <v>Group C</v>
      </c>
      <c r="D26" s="4" t="str">
        <v>Some High School</v>
      </c>
      <c r="E26" s="4" t="str">
        <v>Free/Reduced</v>
      </c>
      <c r="F26" s="4" t="str">
        <v>None</v>
      </c>
      <c r="G26" s="4">
        <v>0</v>
      </c>
      <c r="H26" s="18">
        <v>1000</v>
      </c>
      <c r="I26" s="20" t="str">
        <v>F</v>
      </c>
      <c r="J26" s="20">
        <v>17</v>
      </c>
      <c r="K26" s="20">
        <v>1000</v>
      </c>
      <c r="L26" s="20" t="str">
        <v>F</v>
      </c>
      <c r="M26" s="20">
        <v>10</v>
      </c>
      <c r="N26" s="20">
        <v>1000</v>
      </c>
      <c r="O26" s="20" t="str">
        <v>F</v>
      </c>
      <c r="P26" s="20">
        <v>27</v>
      </c>
      <c r="Q26" s="20">
        <v>3</v>
      </c>
      <c r="R26" s="20" t="str">
        <v>At risk</v>
      </c>
    </row>
    <row r="27" spans="1:18">
      <c r="A27" s="4" t="str">
        <v>Stu-062</v>
      </c>
      <c r="B27" s="4" t="str">
        <v>Male</v>
      </c>
      <c r="C27" s="4" t="str">
        <v>Group A</v>
      </c>
      <c r="D27" s="4" t="str">
        <v>Some High School</v>
      </c>
      <c r="E27" s="4" t="str">
        <v>Free/Reduced</v>
      </c>
      <c r="F27" s="4" t="str">
        <v>None</v>
      </c>
      <c r="G27" s="4">
        <v>39</v>
      </c>
      <c r="H27" s="18">
        <v>961</v>
      </c>
      <c r="I27" s="20" t="str">
        <v>F</v>
      </c>
      <c r="J27" s="20">
        <v>39</v>
      </c>
      <c r="K27" s="20">
        <v>975</v>
      </c>
      <c r="L27" s="20" t="str">
        <v>F</v>
      </c>
      <c r="M27" s="20">
        <v>34</v>
      </c>
      <c r="N27" s="20">
        <v>984</v>
      </c>
      <c r="O27" s="20" t="str">
        <v>F</v>
      </c>
      <c r="P27" s="20">
        <v>112</v>
      </c>
      <c r="Q27" s="20">
        <v>3</v>
      </c>
      <c r="R27" s="20" t="str">
        <v>At risk</v>
      </c>
    </row>
    <row r="28" spans="1:18">
      <c r="A28" s="4" t="str">
        <v>Stu-065</v>
      </c>
      <c r="B28" s="4" t="str">
        <v>Female</v>
      </c>
      <c r="C28" s="4" t="str">
        <v>Group D</v>
      </c>
      <c r="D28" s="4" t="str">
        <v>Some High School</v>
      </c>
      <c r="E28" s="4" t="str">
        <v>Standard</v>
      </c>
      <c r="F28" s="4" t="str">
        <v>None</v>
      </c>
      <c r="G28" s="4">
        <v>59</v>
      </c>
      <c r="H28" s="18">
        <v>679</v>
      </c>
      <c r="I28" s="20" t="str">
        <v>F</v>
      </c>
      <c r="J28" s="20">
        <v>58</v>
      </c>
      <c r="K28" s="20">
        <v>766</v>
      </c>
      <c r="L28" s="20" t="str">
        <v>F</v>
      </c>
      <c r="M28" s="20">
        <v>59</v>
      </c>
      <c r="N28" s="20">
        <v>721</v>
      </c>
      <c r="O28" s="20" t="str">
        <v>F</v>
      </c>
      <c r="P28" s="20">
        <v>176</v>
      </c>
      <c r="Q28" s="20">
        <v>3</v>
      </c>
      <c r="R28" s="20" t="str">
        <v>At risk</v>
      </c>
    </row>
    <row r="29" spans="1:18">
      <c r="A29" s="4" t="str">
        <v>Stu-067</v>
      </c>
      <c r="B29" s="4" t="str">
        <v>Male</v>
      </c>
      <c r="C29" s="4" t="str">
        <v>Group D</v>
      </c>
      <c r="D29" s="4" t="str">
        <v>Some High School</v>
      </c>
      <c r="E29" s="4" t="str">
        <v>Free/Reduced</v>
      </c>
      <c r="F29" s="4" t="str">
        <v>None</v>
      </c>
      <c r="G29" s="4">
        <v>45</v>
      </c>
      <c r="H29" s="18">
        <v>916</v>
      </c>
      <c r="I29" s="20" t="str">
        <v>F</v>
      </c>
      <c r="J29" s="20">
        <v>37</v>
      </c>
      <c r="K29" s="20">
        <v>983</v>
      </c>
      <c r="L29" s="20" t="str">
        <v>F</v>
      </c>
      <c r="M29" s="20">
        <v>37</v>
      </c>
      <c r="N29" s="20">
        <v>977</v>
      </c>
      <c r="O29" s="20" t="str">
        <v>F</v>
      </c>
      <c r="P29" s="20">
        <v>119</v>
      </c>
      <c r="Q29" s="20">
        <v>3</v>
      </c>
      <c r="R29" s="20" t="str">
        <v>At risk</v>
      </c>
    </row>
    <row r="30" spans="1:18">
      <c r="A30" s="4" t="str">
        <v>Stu-069</v>
      </c>
      <c r="B30" s="4" t="str">
        <v>Male</v>
      </c>
      <c r="C30" s="4" t="str">
        <v>Group B</v>
      </c>
      <c r="D30" s="4" t="str">
        <v>Associate's Degree</v>
      </c>
      <c r="E30" s="4" t="str">
        <v>Free/Reduced</v>
      </c>
      <c r="F30" s="4" t="str">
        <v>None</v>
      </c>
      <c r="G30" s="4">
        <v>61</v>
      </c>
      <c r="H30" s="18">
        <v>635</v>
      </c>
      <c r="I30" s="20" t="str">
        <v>D</v>
      </c>
      <c r="J30" s="20">
        <v>58</v>
      </c>
      <c r="K30" s="20">
        <v>767</v>
      </c>
      <c r="L30" s="20" t="str">
        <v>F</v>
      </c>
      <c r="M30" s="20">
        <v>56</v>
      </c>
      <c r="N30" s="20">
        <v>770</v>
      </c>
      <c r="O30" s="20" t="str">
        <v>F</v>
      </c>
      <c r="P30" s="20">
        <v>175</v>
      </c>
      <c r="Q30" s="20">
        <v>2</v>
      </c>
      <c r="R30" s="20" t="str">
        <v>At risk</v>
      </c>
    </row>
    <row r="31" spans="1:18">
      <c r="A31" s="4" t="str">
        <v>Stu-070</v>
      </c>
      <c r="B31" s="4" t="str">
        <v>Female</v>
      </c>
      <c r="C31" s="4" t="str">
        <v>Group C</v>
      </c>
      <c r="D31" s="4" t="str">
        <v>Associate's Degree</v>
      </c>
      <c r="E31" s="4" t="str">
        <v>Standard</v>
      </c>
      <c r="F31" s="4" t="str">
        <v>None</v>
      </c>
      <c r="G31" s="4">
        <v>39</v>
      </c>
      <c r="H31" s="18">
        <v>962</v>
      </c>
      <c r="I31" s="20" t="str">
        <v>F</v>
      </c>
      <c r="J31" s="20">
        <v>64</v>
      </c>
      <c r="K31" s="20">
        <v>631</v>
      </c>
      <c r="L31" s="20" t="str">
        <v>D</v>
      </c>
      <c r="M31" s="20">
        <v>57</v>
      </c>
      <c r="N31" s="20">
        <v>753</v>
      </c>
      <c r="O31" s="20" t="str">
        <v>F</v>
      </c>
      <c r="P31" s="20">
        <v>160</v>
      </c>
      <c r="Q31" s="20">
        <v>2</v>
      </c>
      <c r="R31" s="20" t="str">
        <v>At risk</v>
      </c>
    </row>
    <row r="32" spans="1:18">
      <c r="A32" s="4" t="str">
        <v>Stu-073</v>
      </c>
      <c r="B32" s="4" t="str">
        <v>Female</v>
      </c>
      <c r="C32" s="4" t="str">
        <v>Group A</v>
      </c>
      <c r="D32" s="4" t="str">
        <v>Associate's Degree</v>
      </c>
      <c r="E32" s="4" t="str">
        <v>Free/Reduced</v>
      </c>
      <c r="F32" s="4" t="str">
        <v>None</v>
      </c>
      <c r="G32" s="4">
        <v>41</v>
      </c>
      <c r="H32" s="18">
        <v>945</v>
      </c>
      <c r="I32" s="20" t="str">
        <v>F</v>
      </c>
      <c r="J32" s="20">
        <v>51</v>
      </c>
      <c r="K32" s="20">
        <v>888</v>
      </c>
      <c r="L32" s="20" t="str">
        <v>F</v>
      </c>
      <c r="M32" s="20">
        <v>48</v>
      </c>
      <c r="N32" s="20">
        <v>897</v>
      </c>
      <c r="O32" s="20" t="str">
        <v>F</v>
      </c>
      <c r="P32" s="20">
        <v>140</v>
      </c>
      <c r="Q32" s="20">
        <v>3</v>
      </c>
      <c r="R32" s="20" t="str">
        <v>At risk</v>
      </c>
    </row>
    <row r="33" spans="1:18">
      <c r="A33" s="4" t="str">
        <v>Stu-074</v>
      </c>
      <c r="B33" s="4" t="str">
        <v>Male</v>
      </c>
      <c r="C33" s="4" t="str">
        <v>Group C</v>
      </c>
      <c r="D33" s="4" t="str">
        <v>Some High School</v>
      </c>
      <c r="E33" s="4" t="str">
        <v>Free/Reduced</v>
      </c>
      <c r="F33" s="4" t="str">
        <v>None</v>
      </c>
      <c r="G33" s="4">
        <v>61</v>
      </c>
      <c r="H33" s="18">
        <v>636</v>
      </c>
      <c r="I33" s="20" t="str">
        <v>D</v>
      </c>
      <c r="J33" s="20">
        <v>57</v>
      </c>
      <c r="K33" s="20">
        <v>793</v>
      </c>
      <c r="L33" s="20" t="str">
        <v>F</v>
      </c>
      <c r="M33" s="20">
        <v>56</v>
      </c>
      <c r="N33" s="20">
        <v>771</v>
      </c>
      <c r="O33" s="20" t="str">
        <v>F</v>
      </c>
      <c r="P33" s="20">
        <v>174</v>
      </c>
      <c r="Q33" s="20">
        <v>2</v>
      </c>
      <c r="R33" s="20" t="str">
        <v>At risk</v>
      </c>
    </row>
    <row r="34" spans="1:18">
      <c r="A34" s="4" t="str">
        <v>Stu-075</v>
      </c>
      <c r="B34" s="4" t="str">
        <v>Male</v>
      </c>
      <c r="C34" s="4" t="str">
        <v>Group C</v>
      </c>
      <c r="D34" s="4" t="str">
        <v>Some High School</v>
      </c>
      <c r="E34" s="4" t="str">
        <v>Standard</v>
      </c>
      <c r="F34" s="4" t="str">
        <v>None</v>
      </c>
      <c r="G34" s="4">
        <v>49</v>
      </c>
      <c r="H34" s="18">
        <v>866</v>
      </c>
      <c r="I34" s="20" t="str">
        <v>F</v>
      </c>
      <c r="J34" s="20">
        <v>49</v>
      </c>
      <c r="K34" s="20">
        <v>911</v>
      </c>
      <c r="L34" s="20" t="str">
        <v>F</v>
      </c>
      <c r="M34" s="20">
        <v>41</v>
      </c>
      <c r="N34" s="20">
        <v>958</v>
      </c>
      <c r="O34" s="20" t="str">
        <v>F</v>
      </c>
      <c r="P34" s="20">
        <v>139</v>
      </c>
      <c r="Q34" s="20">
        <v>3</v>
      </c>
      <c r="R34" s="20" t="str">
        <v>At risk</v>
      </c>
    </row>
    <row r="35" spans="1:18">
      <c r="A35" s="4" t="str">
        <v>Stu-076</v>
      </c>
      <c r="B35" s="4" t="str">
        <v>Male</v>
      </c>
      <c r="C35" s="4" t="str">
        <v>Group B</v>
      </c>
      <c r="D35" s="4" t="str">
        <v>Associate's Degree</v>
      </c>
      <c r="E35" s="4" t="str">
        <v>Free/Reduced</v>
      </c>
      <c r="F35" s="4" t="str">
        <v>None</v>
      </c>
      <c r="G35" s="4">
        <v>44</v>
      </c>
      <c r="H35" s="18">
        <v>926</v>
      </c>
      <c r="I35" s="20" t="str">
        <v>F</v>
      </c>
      <c r="J35" s="20">
        <v>41</v>
      </c>
      <c r="K35" s="20">
        <v>969</v>
      </c>
      <c r="L35" s="20" t="str">
        <v>F</v>
      </c>
      <c r="M35" s="20">
        <v>38</v>
      </c>
      <c r="N35" s="20">
        <v>972</v>
      </c>
      <c r="O35" s="20" t="str">
        <v>F</v>
      </c>
      <c r="P35" s="20">
        <v>123</v>
      </c>
      <c r="Q35" s="20">
        <v>3</v>
      </c>
      <c r="R35" s="20" t="str">
        <v>At risk</v>
      </c>
    </row>
    <row r="36" spans="1:18">
      <c r="A36" s="4" t="str">
        <v>Stu-077</v>
      </c>
      <c r="B36" s="4" t="str">
        <v>Male</v>
      </c>
      <c r="C36" s="4" t="str">
        <v>Group E</v>
      </c>
      <c r="D36" s="4" t="str">
        <v>Some High School</v>
      </c>
      <c r="E36" s="4" t="str">
        <v>Standard</v>
      </c>
      <c r="F36" s="4" t="str">
        <v>None</v>
      </c>
      <c r="G36" s="4">
        <v>30</v>
      </c>
      <c r="H36" s="18">
        <v>985</v>
      </c>
      <c r="I36" s="20" t="str">
        <v>F</v>
      </c>
      <c r="J36" s="20">
        <v>26</v>
      </c>
      <c r="K36" s="20">
        <v>996</v>
      </c>
      <c r="L36" s="20" t="str">
        <v>F</v>
      </c>
      <c r="M36" s="20">
        <v>22</v>
      </c>
      <c r="N36" s="20">
        <v>997</v>
      </c>
      <c r="O36" s="20" t="str">
        <v>F</v>
      </c>
      <c r="P36" s="20">
        <v>78</v>
      </c>
      <c r="Q36" s="20">
        <v>3</v>
      </c>
      <c r="R36" s="20" t="str">
        <v>At risk</v>
      </c>
    </row>
    <row r="37" spans="1:18">
      <c r="A37" s="4" t="str">
        <v>Stu-081</v>
      </c>
      <c r="B37" s="4" t="str">
        <v>Female</v>
      </c>
      <c r="C37" s="4" t="str">
        <v>Group B</v>
      </c>
      <c r="D37" s="4" t="str">
        <v>Associate's Degree</v>
      </c>
      <c r="E37" s="4" t="str">
        <v>Standard</v>
      </c>
      <c r="F37" s="4" t="str">
        <v>None</v>
      </c>
      <c r="G37" s="4">
        <v>47</v>
      </c>
      <c r="H37" s="18">
        <v>895</v>
      </c>
      <c r="I37" s="20" t="str">
        <v>F</v>
      </c>
      <c r="J37" s="20">
        <v>49</v>
      </c>
      <c r="K37" s="20">
        <v>912</v>
      </c>
      <c r="L37" s="20" t="str">
        <v>F</v>
      </c>
      <c r="M37" s="20">
        <v>50</v>
      </c>
      <c r="N37" s="20">
        <v>878</v>
      </c>
      <c r="O37" s="20" t="str">
        <v>F</v>
      </c>
      <c r="P37" s="20">
        <v>146</v>
      </c>
      <c r="Q37" s="20">
        <v>3</v>
      </c>
      <c r="R37" s="20" t="str">
        <v>At risk</v>
      </c>
    </row>
    <row r="38" spans="1:18">
      <c r="A38" s="4" t="str">
        <v>Stu-082</v>
      </c>
      <c r="B38" s="4" t="str">
        <v>Male</v>
      </c>
      <c r="C38" s="4" t="str">
        <v>Group B</v>
      </c>
      <c r="D38" s="4" t="str">
        <v>High School</v>
      </c>
      <c r="E38" s="4" t="str">
        <v>Free/Reduced</v>
      </c>
      <c r="F38" s="4" t="str">
        <v>None</v>
      </c>
      <c r="G38" s="4">
        <v>49</v>
      </c>
      <c r="H38" s="18">
        <v>867</v>
      </c>
      <c r="I38" s="20" t="str">
        <v>F</v>
      </c>
      <c r="J38" s="20">
        <v>45</v>
      </c>
      <c r="K38" s="20">
        <v>941</v>
      </c>
      <c r="L38" s="20" t="str">
        <v>F</v>
      </c>
      <c r="M38" s="20">
        <v>45</v>
      </c>
      <c r="N38" s="20">
        <v>924</v>
      </c>
      <c r="O38" s="20" t="str">
        <v>F</v>
      </c>
      <c r="P38" s="20">
        <v>139</v>
      </c>
      <c r="Q38" s="20">
        <v>3</v>
      </c>
      <c r="R38" s="20" t="str">
        <v>At risk</v>
      </c>
    </row>
    <row r="39" spans="1:18">
      <c r="A39" s="4" t="str">
        <v>Stu-083</v>
      </c>
      <c r="B39" s="4" t="str">
        <v>Male</v>
      </c>
      <c r="C39" s="4" t="str">
        <v>Group A</v>
      </c>
      <c r="D39" s="4" t="str">
        <v>Some College</v>
      </c>
      <c r="E39" s="4" t="str">
        <v>Free/Reduced</v>
      </c>
      <c r="F39" s="4" t="str">
        <v>Completed</v>
      </c>
      <c r="G39" s="4">
        <v>50</v>
      </c>
      <c r="H39" s="18">
        <v>854</v>
      </c>
      <c r="I39" s="20" t="str">
        <v>F</v>
      </c>
      <c r="J39" s="20">
        <v>47</v>
      </c>
      <c r="K39" s="20">
        <v>931</v>
      </c>
      <c r="L39" s="20" t="str">
        <v>F</v>
      </c>
      <c r="M39" s="20">
        <v>54</v>
      </c>
      <c r="N39" s="20">
        <v>800</v>
      </c>
      <c r="O39" s="20" t="str">
        <v>F</v>
      </c>
      <c r="P39" s="20">
        <v>151</v>
      </c>
      <c r="Q39" s="20">
        <v>3</v>
      </c>
      <c r="R39" s="20" t="str">
        <v>At risk</v>
      </c>
    </row>
    <row r="40" spans="1:18">
      <c r="A40" s="4" t="str">
        <v>Stu-085</v>
      </c>
      <c r="B40" s="4" t="str">
        <v>Male</v>
      </c>
      <c r="C40" s="4" t="str">
        <v>Group D</v>
      </c>
      <c r="D40" s="4" t="str">
        <v>High School</v>
      </c>
      <c r="E40" s="4" t="str">
        <v>Free/Reduced</v>
      </c>
      <c r="F40" s="4" t="str">
        <v>None</v>
      </c>
      <c r="G40" s="4">
        <v>42</v>
      </c>
      <c r="H40" s="18">
        <v>939</v>
      </c>
      <c r="I40" s="20" t="str">
        <v>F</v>
      </c>
      <c r="J40" s="20">
        <v>39</v>
      </c>
      <c r="K40" s="20">
        <v>976</v>
      </c>
      <c r="L40" s="20" t="str">
        <v>F</v>
      </c>
      <c r="M40" s="20">
        <v>34</v>
      </c>
      <c r="N40" s="20">
        <v>985</v>
      </c>
      <c r="O40" s="20" t="str">
        <v>F</v>
      </c>
      <c r="P40" s="20">
        <v>115</v>
      </c>
      <c r="Q40" s="20">
        <v>3</v>
      </c>
      <c r="R40" s="20" t="str">
        <v>At risk</v>
      </c>
    </row>
    <row r="41" spans="1:18">
      <c r="A41" s="4" t="str">
        <v>Stu-092</v>
      </c>
      <c r="B41" s="4" t="str">
        <v>Male</v>
      </c>
      <c r="C41" s="4" t="str">
        <v>Group C</v>
      </c>
      <c r="D41" s="4" t="str">
        <v>High School</v>
      </c>
      <c r="E41" s="4" t="str">
        <v>Free/Reduced</v>
      </c>
      <c r="F41" s="4" t="str">
        <v>None</v>
      </c>
      <c r="G41" s="4">
        <v>27</v>
      </c>
      <c r="H41" s="18">
        <v>991</v>
      </c>
      <c r="I41" s="20" t="str">
        <v>F</v>
      </c>
      <c r="J41" s="20">
        <v>34</v>
      </c>
      <c r="K41" s="20">
        <v>986</v>
      </c>
      <c r="L41" s="20" t="str">
        <v>F</v>
      </c>
      <c r="M41" s="20">
        <v>36</v>
      </c>
      <c r="N41" s="20">
        <v>979</v>
      </c>
      <c r="O41" s="20" t="str">
        <v>F</v>
      </c>
      <c r="P41" s="20">
        <v>97</v>
      </c>
      <c r="Q41" s="20">
        <v>3</v>
      </c>
      <c r="R41" s="20" t="str">
        <v>At risk</v>
      </c>
    </row>
    <row r="42" spans="1:18">
      <c r="A42" s="4" t="str">
        <v>Stu-094</v>
      </c>
      <c r="B42" s="4" t="str">
        <v>Male</v>
      </c>
      <c r="C42" s="4" t="str">
        <v>Group C</v>
      </c>
      <c r="D42" s="4" t="str">
        <v>Associate's Degree</v>
      </c>
      <c r="E42" s="4" t="str">
        <v>Free/Reduced</v>
      </c>
      <c r="F42" s="4" t="str">
        <v>Completed</v>
      </c>
      <c r="G42" s="4">
        <v>43</v>
      </c>
      <c r="H42" s="18">
        <v>934</v>
      </c>
      <c r="I42" s="20" t="str">
        <v>F</v>
      </c>
      <c r="J42" s="20">
        <v>45</v>
      </c>
      <c r="K42" s="20">
        <v>942</v>
      </c>
      <c r="L42" s="20" t="str">
        <v>F</v>
      </c>
      <c r="M42" s="20">
        <v>50</v>
      </c>
      <c r="N42" s="20">
        <v>879</v>
      </c>
      <c r="O42" s="20" t="str">
        <v>F</v>
      </c>
      <c r="P42" s="20">
        <v>138</v>
      </c>
      <c r="Q42" s="20">
        <v>3</v>
      </c>
      <c r="R42" s="20" t="str">
        <v>At risk</v>
      </c>
    </row>
    <row r="43" spans="1:18">
      <c r="A43" s="4" t="str">
        <v>Stu-104</v>
      </c>
      <c r="B43" s="4" t="str">
        <v>Male</v>
      </c>
      <c r="C43" s="4" t="str">
        <v>Group B</v>
      </c>
      <c r="D43" s="4" t="str">
        <v>High School</v>
      </c>
      <c r="E43" s="4" t="str">
        <v>Standard</v>
      </c>
      <c r="F43" s="4" t="str">
        <v>Completed</v>
      </c>
      <c r="G43" s="4">
        <v>60</v>
      </c>
      <c r="H43" s="18">
        <v>663</v>
      </c>
      <c r="I43" s="20" t="str">
        <v>D</v>
      </c>
      <c r="J43" s="20">
        <v>44</v>
      </c>
      <c r="K43" s="20">
        <v>949</v>
      </c>
      <c r="L43" s="20" t="str">
        <v>F</v>
      </c>
      <c r="M43" s="20">
        <v>47</v>
      </c>
      <c r="N43" s="20">
        <v>904</v>
      </c>
      <c r="O43" s="20" t="str">
        <v>F</v>
      </c>
      <c r="P43" s="20">
        <v>151</v>
      </c>
      <c r="Q43" s="20">
        <v>2</v>
      </c>
      <c r="R43" s="20" t="str">
        <v>At risk</v>
      </c>
    </row>
    <row r="44" spans="1:18">
      <c r="A44" s="4" t="str">
        <v>Stu-112</v>
      </c>
      <c r="B44" s="4" t="str">
        <v>Male</v>
      </c>
      <c r="C44" s="4" t="str">
        <v>Group C</v>
      </c>
      <c r="D44" s="4" t="str">
        <v>High School</v>
      </c>
      <c r="E44" s="4" t="str">
        <v>Standard</v>
      </c>
      <c r="F44" s="4" t="str">
        <v>None</v>
      </c>
      <c r="G44" s="4">
        <v>62</v>
      </c>
      <c r="H44" s="18">
        <v>603</v>
      </c>
      <c r="I44" s="20" t="str">
        <v>D</v>
      </c>
      <c r="J44" s="20">
        <v>55</v>
      </c>
      <c r="K44" s="20">
        <v>828</v>
      </c>
      <c r="L44" s="20" t="str">
        <v>F</v>
      </c>
      <c r="M44" s="20">
        <v>49</v>
      </c>
      <c r="N44" s="20">
        <v>888</v>
      </c>
      <c r="O44" s="20" t="str">
        <v>F</v>
      </c>
      <c r="P44" s="20">
        <v>166</v>
      </c>
      <c r="Q44" s="20">
        <v>2</v>
      </c>
      <c r="R44" s="20" t="str">
        <v>At risk</v>
      </c>
    </row>
    <row r="45" spans="1:18">
      <c r="A45" s="4" t="str">
        <v>Stu-113</v>
      </c>
      <c r="B45" s="4" t="str">
        <v>Male</v>
      </c>
      <c r="C45" s="4" t="str">
        <v>Group A</v>
      </c>
      <c r="D45" s="4" t="str">
        <v>Associate's Degree</v>
      </c>
      <c r="E45" s="4" t="str">
        <v>Standard</v>
      </c>
      <c r="F45" s="4" t="str">
        <v>None</v>
      </c>
      <c r="G45" s="4">
        <v>54</v>
      </c>
      <c r="H45" s="18">
        <v>781</v>
      </c>
      <c r="I45" s="20" t="str">
        <v>F</v>
      </c>
      <c r="J45" s="20">
        <v>53</v>
      </c>
      <c r="K45" s="20">
        <v>860</v>
      </c>
      <c r="L45" s="20" t="str">
        <v>F</v>
      </c>
      <c r="M45" s="20">
        <v>47</v>
      </c>
      <c r="N45" s="20">
        <v>905</v>
      </c>
      <c r="O45" s="20" t="str">
        <v>F</v>
      </c>
      <c r="P45" s="20">
        <v>154</v>
      </c>
      <c r="Q45" s="20">
        <v>3</v>
      </c>
      <c r="R45" s="20" t="str">
        <v>At risk</v>
      </c>
    </row>
    <row r="46" spans="1:18">
      <c r="A46" s="4" t="str">
        <v>Stu-114</v>
      </c>
      <c r="B46" s="4" t="str">
        <v>Female</v>
      </c>
      <c r="C46" s="4" t="str">
        <v>Group D</v>
      </c>
      <c r="D46" s="4" t="str">
        <v>Some College</v>
      </c>
      <c r="E46" s="4" t="str">
        <v>Standard</v>
      </c>
      <c r="F46" s="4" t="str">
        <v>None</v>
      </c>
      <c r="G46" s="4">
        <v>51</v>
      </c>
      <c r="H46" s="18">
        <v>840</v>
      </c>
      <c r="I46" s="20" t="str">
        <v>F</v>
      </c>
      <c r="J46" s="20">
        <v>58</v>
      </c>
      <c r="K46" s="20">
        <v>768</v>
      </c>
      <c r="L46" s="20" t="str">
        <v>F</v>
      </c>
      <c r="M46" s="20">
        <v>54</v>
      </c>
      <c r="N46" s="20">
        <v>801</v>
      </c>
      <c r="O46" s="20" t="str">
        <v>F</v>
      </c>
      <c r="P46" s="20">
        <v>163</v>
      </c>
      <c r="Q46" s="20">
        <v>3</v>
      </c>
      <c r="R46" s="20" t="str">
        <v>At risk</v>
      </c>
    </row>
    <row r="47" spans="1:18">
      <c r="A47" s="4" t="str">
        <v>Stu-124</v>
      </c>
      <c r="B47" s="4" t="str">
        <v>Male</v>
      </c>
      <c r="C47" s="4" t="str">
        <v>Group D</v>
      </c>
      <c r="D47" s="4" t="str">
        <v>High School</v>
      </c>
      <c r="E47" s="4" t="str">
        <v>Free/Reduced</v>
      </c>
      <c r="F47" s="4" t="str">
        <v>None</v>
      </c>
      <c r="G47" s="4">
        <v>63</v>
      </c>
      <c r="H47" s="18">
        <v>577</v>
      </c>
      <c r="I47" s="20" t="str">
        <v>D</v>
      </c>
      <c r="J47" s="20">
        <v>57</v>
      </c>
      <c r="K47" s="20">
        <v>794</v>
      </c>
      <c r="L47" s="20" t="str">
        <v>F</v>
      </c>
      <c r="M47" s="20">
        <v>56</v>
      </c>
      <c r="N47" s="20">
        <v>772</v>
      </c>
      <c r="O47" s="20" t="str">
        <v>F</v>
      </c>
      <c r="P47" s="20">
        <v>176</v>
      </c>
      <c r="Q47" s="20">
        <v>2</v>
      </c>
      <c r="R47" s="20" t="str">
        <v>At risk</v>
      </c>
    </row>
    <row r="48" spans="1:18">
      <c r="A48" s="4" t="str">
        <v>Stu-130</v>
      </c>
      <c r="B48" s="4" t="str">
        <v>Female</v>
      </c>
      <c r="C48" s="4" t="str">
        <v>Group A</v>
      </c>
      <c r="D48" s="4" t="str">
        <v>Bachelor's Degree</v>
      </c>
      <c r="E48" s="4" t="str">
        <v>Standard</v>
      </c>
      <c r="F48" s="4" t="str">
        <v>None</v>
      </c>
      <c r="G48" s="4">
        <v>51</v>
      </c>
      <c r="H48" s="18">
        <v>842</v>
      </c>
      <c r="I48" s="20" t="str">
        <v>F</v>
      </c>
      <c r="J48" s="20">
        <v>49</v>
      </c>
      <c r="K48" s="20">
        <v>913</v>
      </c>
      <c r="L48" s="20" t="str">
        <v>F</v>
      </c>
      <c r="M48" s="20">
        <v>51</v>
      </c>
      <c r="N48" s="20">
        <v>860</v>
      </c>
      <c r="O48" s="20" t="str">
        <v>F</v>
      </c>
      <c r="P48" s="20">
        <v>151</v>
      </c>
      <c r="Q48" s="20">
        <v>3</v>
      </c>
      <c r="R48" s="20" t="str">
        <v>At risk</v>
      </c>
    </row>
    <row r="49" spans="1:18">
      <c r="A49" s="4" t="str">
        <v>Stu-132</v>
      </c>
      <c r="B49" s="4" t="str">
        <v>Male</v>
      </c>
      <c r="C49" s="4" t="str">
        <v>Group C</v>
      </c>
      <c r="D49" s="4" t="str">
        <v>Some High School</v>
      </c>
      <c r="E49" s="4" t="str">
        <v>Free/Reduced</v>
      </c>
      <c r="F49" s="4" t="str">
        <v>Completed</v>
      </c>
      <c r="G49" s="4">
        <v>53</v>
      </c>
      <c r="H49" s="18">
        <v>801</v>
      </c>
      <c r="I49" s="20" t="str">
        <v>F</v>
      </c>
      <c r="J49" s="20">
        <v>37</v>
      </c>
      <c r="K49" s="20">
        <v>984</v>
      </c>
      <c r="L49" s="20" t="str">
        <v>F</v>
      </c>
      <c r="M49" s="20">
        <v>40</v>
      </c>
      <c r="N49" s="20">
        <v>966</v>
      </c>
      <c r="O49" s="20" t="str">
        <v>F</v>
      </c>
      <c r="P49" s="20">
        <v>130</v>
      </c>
      <c r="Q49" s="20">
        <v>3</v>
      </c>
      <c r="R49" s="20" t="str">
        <v>At risk</v>
      </c>
    </row>
    <row r="50" spans="1:18">
      <c r="A50" s="4" t="str">
        <v>Stu-136</v>
      </c>
      <c r="B50" s="4" t="str">
        <v>Male</v>
      </c>
      <c r="C50" s="4" t="str">
        <v>Group C</v>
      </c>
      <c r="D50" s="4" t="str">
        <v>Bachelor's Degree</v>
      </c>
      <c r="E50" s="4" t="str">
        <v>Standard</v>
      </c>
      <c r="F50" s="4" t="str">
        <v>None</v>
      </c>
      <c r="G50" s="4">
        <v>58</v>
      </c>
      <c r="H50" s="18">
        <v>717</v>
      </c>
      <c r="I50" s="20" t="str">
        <v>F</v>
      </c>
      <c r="J50" s="20">
        <v>55</v>
      </c>
      <c r="K50" s="20">
        <v>829</v>
      </c>
      <c r="L50" s="20" t="str">
        <v>F</v>
      </c>
      <c r="M50" s="20">
        <v>48</v>
      </c>
      <c r="N50" s="20">
        <v>898</v>
      </c>
      <c r="O50" s="20" t="str">
        <v>F</v>
      </c>
      <c r="P50" s="20">
        <v>161</v>
      </c>
      <c r="Q50" s="20">
        <v>3</v>
      </c>
      <c r="R50" s="20" t="str">
        <v>At risk</v>
      </c>
    </row>
    <row r="51" spans="1:18">
      <c r="A51" s="4" t="str">
        <v>Stu-137</v>
      </c>
      <c r="B51" s="4" t="str">
        <v>Male</v>
      </c>
      <c r="C51" s="4" t="str">
        <v>Group B</v>
      </c>
      <c r="D51" s="4" t="str">
        <v>Some High School</v>
      </c>
      <c r="E51" s="4" t="str">
        <v>Standard</v>
      </c>
      <c r="F51" s="4" t="str">
        <v>Completed</v>
      </c>
      <c r="G51" s="4">
        <v>51</v>
      </c>
      <c r="H51" s="18">
        <v>843</v>
      </c>
      <c r="I51" s="20" t="str">
        <v>F</v>
      </c>
      <c r="J51" s="20">
        <v>54</v>
      </c>
      <c r="K51" s="20">
        <v>845</v>
      </c>
      <c r="L51" s="20" t="str">
        <v>F</v>
      </c>
      <c r="M51" s="20">
        <v>41</v>
      </c>
      <c r="N51" s="20">
        <v>959</v>
      </c>
      <c r="O51" s="20" t="str">
        <v>F</v>
      </c>
      <c r="P51" s="20">
        <v>146</v>
      </c>
      <c r="Q51" s="20">
        <v>3</v>
      </c>
      <c r="R51" s="20" t="str">
        <v>At risk</v>
      </c>
    </row>
    <row r="52" spans="1:18">
      <c r="A52" s="4" t="str">
        <v>Stu-138</v>
      </c>
      <c r="B52" s="4" t="str">
        <v>Male</v>
      </c>
      <c r="C52" s="4" t="str">
        <v>Group E</v>
      </c>
      <c r="D52" s="4" t="str">
        <v>High School</v>
      </c>
      <c r="E52" s="4" t="str">
        <v>Standard</v>
      </c>
      <c r="F52" s="4" t="str">
        <v>None</v>
      </c>
      <c r="G52" s="4">
        <v>70</v>
      </c>
      <c r="H52" s="18">
        <v>394</v>
      </c>
      <c r="I52" s="20" t="str">
        <v>C</v>
      </c>
      <c r="J52" s="20">
        <v>55</v>
      </c>
      <c r="K52" s="20">
        <v>830</v>
      </c>
      <c r="L52" s="20" t="str">
        <v>F</v>
      </c>
      <c r="M52" s="20">
        <v>56</v>
      </c>
      <c r="N52" s="20">
        <v>773</v>
      </c>
      <c r="O52" s="20" t="str">
        <v>F</v>
      </c>
      <c r="P52" s="20">
        <v>181</v>
      </c>
      <c r="Q52" s="20">
        <v>2</v>
      </c>
      <c r="R52" s="20" t="str">
        <v>At risk</v>
      </c>
    </row>
    <row r="53" spans="1:18">
      <c r="A53" s="4" t="str">
        <v>Stu-143</v>
      </c>
      <c r="B53" s="4" t="str">
        <v>Female</v>
      </c>
      <c r="C53" s="4" t="str">
        <v>Group E</v>
      </c>
      <c r="D53" s="4" t="str">
        <v>Some College</v>
      </c>
      <c r="E53" s="4" t="str">
        <v>Free/Reduced</v>
      </c>
      <c r="F53" s="4" t="str">
        <v>Completed</v>
      </c>
      <c r="G53" s="4">
        <v>42</v>
      </c>
      <c r="H53" s="18">
        <v>940</v>
      </c>
      <c r="I53" s="20" t="str">
        <v>F</v>
      </c>
      <c r="J53" s="20">
        <v>55</v>
      </c>
      <c r="K53" s="20">
        <v>831</v>
      </c>
      <c r="L53" s="20" t="str">
        <v>F</v>
      </c>
      <c r="M53" s="20">
        <v>54</v>
      </c>
      <c r="N53" s="20">
        <v>802</v>
      </c>
      <c r="O53" s="20" t="str">
        <v>F</v>
      </c>
      <c r="P53" s="20">
        <v>151</v>
      </c>
      <c r="Q53" s="20">
        <v>3</v>
      </c>
      <c r="R53" s="20" t="str">
        <v>At risk</v>
      </c>
    </row>
    <row r="54" spans="1:18">
      <c r="A54" s="4" t="str">
        <v>Stu-144</v>
      </c>
      <c r="B54" s="4" t="str">
        <v>Male</v>
      </c>
      <c r="C54" s="4" t="str">
        <v>Group A</v>
      </c>
      <c r="D54" s="4" t="str">
        <v>High School</v>
      </c>
      <c r="E54" s="4" t="str">
        <v>Standard</v>
      </c>
      <c r="F54" s="4" t="str">
        <v>None</v>
      </c>
      <c r="G54" s="4">
        <v>57</v>
      </c>
      <c r="H54" s="18">
        <v>737</v>
      </c>
      <c r="I54" s="20" t="str">
        <v>F</v>
      </c>
      <c r="J54" s="20">
        <v>43</v>
      </c>
      <c r="K54" s="20">
        <v>953</v>
      </c>
      <c r="L54" s="20" t="str">
        <v>F</v>
      </c>
      <c r="M54" s="20">
        <v>47</v>
      </c>
      <c r="N54" s="20">
        <v>906</v>
      </c>
      <c r="O54" s="20" t="str">
        <v>F</v>
      </c>
      <c r="P54" s="20">
        <v>147</v>
      </c>
      <c r="Q54" s="20">
        <v>3</v>
      </c>
      <c r="R54" s="20" t="str">
        <v>At risk</v>
      </c>
    </row>
    <row r="55" spans="1:18">
      <c r="A55" s="4" t="str">
        <v>Stu-146</v>
      </c>
      <c r="B55" s="4" t="str">
        <v>Female</v>
      </c>
      <c r="C55" s="4" t="str">
        <v>Group C</v>
      </c>
      <c r="D55" s="4" t="str">
        <v>Some College</v>
      </c>
      <c r="E55" s="4" t="str">
        <v>Free/Reduced</v>
      </c>
      <c r="F55" s="4" t="str">
        <v>None</v>
      </c>
      <c r="G55" s="4">
        <v>22</v>
      </c>
      <c r="H55" s="18">
        <v>996</v>
      </c>
      <c r="I55" s="20" t="str">
        <v>F</v>
      </c>
      <c r="J55" s="20">
        <v>39</v>
      </c>
      <c r="K55" s="20">
        <v>977</v>
      </c>
      <c r="L55" s="20" t="str">
        <v>F</v>
      </c>
      <c r="M55" s="20">
        <v>33</v>
      </c>
      <c r="N55" s="20">
        <v>987</v>
      </c>
      <c r="O55" s="20" t="str">
        <v>F</v>
      </c>
      <c r="P55" s="20">
        <v>94</v>
      </c>
      <c r="Q55" s="20">
        <v>3</v>
      </c>
      <c r="R55" s="20" t="str">
        <v>At risk</v>
      </c>
    </row>
    <row r="56" spans="1:18">
      <c r="A56" s="4" t="str">
        <v>Stu-154</v>
      </c>
      <c r="B56" s="4" t="str">
        <v>Male</v>
      </c>
      <c r="C56" s="4" t="str">
        <v>Group D</v>
      </c>
      <c r="D56" s="4" t="str">
        <v>Bachelor's Degree</v>
      </c>
      <c r="E56" s="4" t="str">
        <v>Standard</v>
      </c>
      <c r="F56" s="4" t="str">
        <v>None</v>
      </c>
      <c r="G56" s="4">
        <v>54</v>
      </c>
      <c r="H56" s="18">
        <v>782</v>
      </c>
      <c r="I56" s="20" t="str">
        <v>F</v>
      </c>
      <c r="J56" s="20">
        <v>49</v>
      </c>
      <c r="K56" s="20">
        <v>914</v>
      </c>
      <c r="L56" s="20" t="str">
        <v>F</v>
      </c>
      <c r="M56" s="20">
        <v>47</v>
      </c>
      <c r="N56" s="20">
        <v>907</v>
      </c>
      <c r="O56" s="20" t="str">
        <v>F</v>
      </c>
      <c r="P56" s="20">
        <v>150</v>
      </c>
      <c r="Q56" s="20">
        <v>3</v>
      </c>
      <c r="R56" s="20" t="str">
        <v>At risk</v>
      </c>
    </row>
    <row r="57" spans="1:18">
      <c r="A57" s="4" t="str">
        <v>Stu-163</v>
      </c>
      <c r="B57" s="4" t="str">
        <v>Male</v>
      </c>
      <c r="C57" s="4" t="str">
        <v>Group B</v>
      </c>
      <c r="D57" s="4" t="str">
        <v>Master's Degree</v>
      </c>
      <c r="E57" s="4" t="str">
        <v>Free/Reduced</v>
      </c>
      <c r="F57" s="4" t="str">
        <v>None</v>
      </c>
      <c r="G57" s="4">
        <v>49</v>
      </c>
      <c r="H57" s="18">
        <v>868</v>
      </c>
      <c r="I57" s="20" t="str">
        <v>F</v>
      </c>
      <c r="J57" s="20">
        <v>53</v>
      </c>
      <c r="K57" s="20">
        <v>861</v>
      </c>
      <c r="L57" s="20" t="str">
        <v>F</v>
      </c>
      <c r="M57" s="20">
        <v>52</v>
      </c>
      <c r="N57" s="20">
        <v>841</v>
      </c>
      <c r="O57" s="20" t="str">
        <v>F</v>
      </c>
      <c r="P57" s="20">
        <v>154</v>
      </c>
      <c r="Q57" s="20">
        <v>3</v>
      </c>
      <c r="R57" s="20" t="str">
        <v>At risk</v>
      </c>
    </row>
    <row r="58" spans="1:18">
      <c r="A58" s="4" t="str">
        <v>Stu-164</v>
      </c>
      <c r="B58" s="4" t="str">
        <v>Male</v>
      </c>
      <c r="C58" s="4" t="str">
        <v>Group C</v>
      </c>
      <c r="D58" s="4" t="str">
        <v>High School</v>
      </c>
      <c r="E58" s="4" t="str">
        <v>Standard</v>
      </c>
      <c r="F58" s="4" t="str">
        <v>None</v>
      </c>
      <c r="G58" s="4">
        <v>52</v>
      </c>
      <c r="H58" s="18">
        <v>824</v>
      </c>
      <c r="I58" s="20" t="str">
        <v>F</v>
      </c>
      <c r="J58" s="20">
        <v>53</v>
      </c>
      <c r="K58" s="20">
        <v>862</v>
      </c>
      <c r="L58" s="20" t="str">
        <v>F</v>
      </c>
      <c r="M58" s="20">
        <v>49</v>
      </c>
      <c r="N58" s="20">
        <v>889</v>
      </c>
      <c r="O58" s="20" t="str">
        <v>F</v>
      </c>
      <c r="P58" s="20">
        <v>154</v>
      </c>
      <c r="Q58" s="20">
        <v>3</v>
      </c>
      <c r="R58" s="20" t="str">
        <v>At risk</v>
      </c>
    </row>
    <row r="59" spans="1:18">
      <c r="A59" s="4" t="str">
        <v>Stu-167</v>
      </c>
      <c r="B59" s="4" t="str">
        <v>Male</v>
      </c>
      <c r="C59" s="4" t="str">
        <v>Group C</v>
      </c>
      <c r="D59" s="4" t="str">
        <v>High School</v>
      </c>
      <c r="E59" s="4" t="str">
        <v>Free/Reduced</v>
      </c>
      <c r="F59" s="4" t="str">
        <v>Completed</v>
      </c>
      <c r="G59" s="4">
        <v>53</v>
      </c>
      <c r="H59" s="18">
        <v>802</v>
      </c>
      <c r="I59" s="20" t="str">
        <v>F</v>
      </c>
      <c r="J59" s="20">
        <v>51</v>
      </c>
      <c r="K59" s="20">
        <v>889</v>
      </c>
      <c r="L59" s="20" t="str">
        <v>F</v>
      </c>
      <c r="M59" s="20">
        <v>51</v>
      </c>
      <c r="N59" s="20">
        <v>861</v>
      </c>
      <c r="O59" s="20" t="str">
        <v>F</v>
      </c>
      <c r="P59" s="20">
        <v>155</v>
      </c>
      <c r="Q59" s="20">
        <v>3</v>
      </c>
      <c r="R59" s="20" t="str">
        <v>At risk</v>
      </c>
    </row>
    <row r="60" spans="1:18">
      <c r="A60" s="4" t="str">
        <v>Stu-175</v>
      </c>
      <c r="B60" s="4" t="str">
        <v>Female</v>
      </c>
      <c r="C60" s="4" t="str">
        <v>Group C</v>
      </c>
      <c r="D60" s="4" t="str">
        <v>Bachelor's Degree</v>
      </c>
      <c r="E60" s="4" t="str">
        <v>Free/Reduced</v>
      </c>
      <c r="F60" s="4" t="str">
        <v>Completed</v>
      </c>
      <c r="G60" s="4">
        <v>43</v>
      </c>
      <c r="H60" s="18">
        <v>935</v>
      </c>
      <c r="I60" s="20" t="str">
        <v>F</v>
      </c>
      <c r="J60" s="20">
        <v>51</v>
      </c>
      <c r="K60" s="20">
        <v>890</v>
      </c>
      <c r="L60" s="20" t="str">
        <v>F</v>
      </c>
      <c r="M60" s="20">
        <v>54</v>
      </c>
      <c r="N60" s="20">
        <v>803</v>
      </c>
      <c r="O60" s="20" t="str">
        <v>F</v>
      </c>
      <c r="P60" s="20">
        <v>148</v>
      </c>
      <c r="Q60" s="20">
        <v>3</v>
      </c>
      <c r="R60" s="20" t="str">
        <v>At risk</v>
      </c>
    </row>
    <row r="61" spans="1:18">
      <c r="A61" s="4" t="str">
        <v>Stu-177</v>
      </c>
      <c r="B61" s="4" t="str">
        <v>Female</v>
      </c>
      <c r="C61" s="4" t="str">
        <v>Group B</v>
      </c>
      <c r="D61" s="4" t="str">
        <v>High School</v>
      </c>
      <c r="E61" s="4" t="str">
        <v>Free/Reduced</v>
      </c>
      <c r="F61" s="4" t="str">
        <v>Completed</v>
      </c>
      <c r="G61" s="4">
        <v>46</v>
      </c>
      <c r="H61" s="18">
        <v>906</v>
      </c>
      <c r="I61" s="20" t="str">
        <v>F</v>
      </c>
      <c r="J61" s="20">
        <v>54</v>
      </c>
      <c r="K61" s="20">
        <v>846</v>
      </c>
      <c r="L61" s="20" t="str">
        <v>F</v>
      </c>
      <c r="M61" s="20">
        <v>58</v>
      </c>
      <c r="N61" s="20">
        <v>735</v>
      </c>
      <c r="O61" s="20" t="str">
        <v>F</v>
      </c>
      <c r="P61" s="20">
        <v>158</v>
      </c>
      <c r="Q61" s="20">
        <v>3</v>
      </c>
      <c r="R61" s="20" t="str">
        <v>At risk</v>
      </c>
    </row>
    <row r="62" spans="1:18">
      <c r="A62" s="4" t="str">
        <v>Stu-183</v>
      </c>
      <c r="B62" s="4" t="str">
        <v>Female</v>
      </c>
      <c r="C62" s="4" t="str">
        <v>Group E</v>
      </c>
      <c r="D62" s="4" t="str">
        <v>High School</v>
      </c>
      <c r="E62" s="4" t="str">
        <v>Standard</v>
      </c>
      <c r="F62" s="4" t="str">
        <v>None</v>
      </c>
      <c r="G62" s="4">
        <v>50</v>
      </c>
      <c r="H62" s="18">
        <v>855</v>
      </c>
      <c r="I62" s="20" t="str">
        <v>F</v>
      </c>
      <c r="J62" s="20">
        <v>50</v>
      </c>
      <c r="K62" s="20">
        <v>904</v>
      </c>
      <c r="L62" s="20" t="str">
        <v>F</v>
      </c>
      <c r="M62" s="20">
        <v>47</v>
      </c>
      <c r="N62" s="20">
        <v>908</v>
      </c>
      <c r="O62" s="20" t="str">
        <v>F</v>
      </c>
      <c r="P62" s="20">
        <v>147</v>
      </c>
      <c r="Q62" s="20">
        <v>3</v>
      </c>
      <c r="R62" s="20" t="str">
        <v>At risk</v>
      </c>
    </row>
    <row r="63" spans="1:18">
      <c r="A63" s="4" t="str">
        <v>Stu-185</v>
      </c>
      <c r="B63" s="4" t="str">
        <v>Male</v>
      </c>
      <c r="C63" s="4" t="str">
        <v>Group C</v>
      </c>
      <c r="D63" s="4" t="str">
        <v>Some High School</v>
      </c>
      <c r="E63" s="4" t="str">
        <v>Free/Reduced</v>
      </c>
      <c r="F63" s="4" t="str">
        <v>Completed</v>
      </c>
      <c r="G63" s="4">
        <v>45</v>
      </c>
      <c r="H63" s="18">
        <v>917</v>
      </c>
      <c r="I63" s="20" t="str">
        <v>F</v>
      </c>
      <c r="J63" s="20">
        <v>52</v>
      </c>
      <c r="K63" s="20">
        <v>873</v>
      </c>
      <c r="L63" s="20" t="str">
        <v>F</v>
      </c>
      <c r="M63" s="20">
        <v>49</v>
      </c>
      <c r="N63" s="20">
        <v>890</v>
      </c>
      <c r="O63" s="20" t="str">
        <v>F</v>
      </c>
      <c r="P63" s="20">
        <v>146</v>
      </c>
      <c r="Q63" s="20">
        <v>3</v>
      </c>
      <c r="R63" s="20" t="str">
        <v>At risk</v>
      </c>
    </row>
    <row r="64" spans="1:18">
      <c r="A64" s="4" t="str">
        <v>Stu-189</v>
      </c>
      <c r="B64" s="4" t="str">
        <v>Male</v>
      </c>
      <c r="C64" s="4" t="str">
        <v>Group B</v>
      </c>
      <c r="D64" s="4" t="str">
        <v>Some High School</v>
      </c>
      <c r="E64" s="4" t="str">
        <v>Free/Reduced</v>
      </c>
      <c r="F64" s="4" t="str">
        <v>None</v>
      </c>
      <c r="G64" s="4">
        <v>48</v>
      </c>
      <c r="H64" s="18">
        <v>883</v>
      </c>
      <c r="I64" s="20" t="str">
        <v>F</v>
      </c>
      <c r="J64" s="20">
        <v>52</v>
      </c>
      <c r="K64" s="20">
        <v>874</v>
      </c>
      <c r="L64" s="20" t="str">
        <v>F</v>
      </c>
      <c r="M64" s="20">
        <v>45</v>
      </c>
      <c r="N64" s="20">
        <v>925</v>
      </c>
      <c r="O64" s="20" t="str">
        <v>F</v>
      </c>
      <c r="P64" s="20">
        <v>145</v>
      </c>
      <c r="Q64" s="20">
        <v>3</v>
      </c>
      <c r="R64" s="20" t="str">
        <v>At risk</v>
      </c>
    </row>
    <row r="65" spans="1:18">
      <c r="A65" s="4" t="str">
        <v>Stu-196</v>
      </c>
      <c r="B65" s="4" t="str">
        <v>Male</v>
      </c>
      <c r="C65" s="4" t="str">
        <v>Group D</v>
      </c>
      <c r="D65" s="4" t="str">
        <v>Associate's Degree</v>
      </c>
      <c r="E65" s="4" t="str">
        <v>Standard</v>
      </c>
      <c r="F65" s="4" t="str">
        <v>None</v>
      </c>
      <c r="G65" s="4">
        <v>61</v>
      </c>
      <c r="H65" s="18">
        <v>639</v>
      </c>
      <c r="I65" s="20" t="str">
        <v>D</v>
      </c>
      <c r="J65" s="20">
        <v>55</v>
      </c>
      <c r="K65" s="20">
        <v>832</v>
      </c>
      <c r="L65" s="20" t="str">
        <v>F</v>
      </c>
      <c r="M65" s="20">
        <v>52</v>
      </c>
      <c r="N65" s="20">
        <v>842</v>
      </c>
      <c r="O65" s="20" t="str">
        <v>F</v>
      </c>
      <c r="P65" s="20">
        <v>168</v>
      </c>
      <c r="Q65" s="20">
        <v>2</v>
      </c>
      <c r="R65" s="20" t="str">
        <v>At risk</v>
      </c>
    </row>
    <row r="66" spans="1:18">
      <c r="A66" s="4" t="str">
        <v>Stu-198</v>
      </c>
      <c r="B66" s="4" t="str">
        <v>Male</v>
      </c>
      <c r="C66" s="4" t="str">
        <v>Group E</v>
      </c>
      <c r="D66" s="4" t="str">
        <v>High School</v>
      </c>
      <c r="E66" s="4" t="str">
        <v>Free/Reduced</v>
      </c>
      <c r="F66" s="4" t="str">
        <v>None</v>
      </c>
      <c r="G66" s="4">
        <v>55</v>
      </c>
      <c r="H66" s="18">
        <v>765</v>
      </c>
      <c r="I66" s="20" t="str">
        <v>F</v>
      </c>
      <c r="J66" s="20">
        <v>56</v>
      </c>
      <c r="K66" s="20">
        <v>811</v>
      </c>
      <c r="L66" s="20" t="str">
        <v>F</v>
      </c>
      <c r="M66" s="20">
        <v>51</v>
      </c>
      <c r="N66" s="20">
        <v>862</v>
      </c>
      <c r="O66" s="20" t="str">
        <v>F</v>
      </c>
      <c r="P66" s="20">
        <v>162</v>
      </c>
      <c r="Q66" s="20">
        <v>3</v>
      </c>
      <c r="R66" s="20" t="str">
        <v>At risk</v>
      </c>
    </row>
    <row r="67" spans="1:18">
      <c r="A67" s="4" t="str">
        <v>Stu-199</v>
      </c>
      <c r="B67" s="4" t="str">
        <v>Female</v>
      </c>
      <c r="C67" s="4" t="str">
        <v>Group B</v>
      </c>
      <c r="D67" s="4" t="str">
        <v>Some College</v>
      </c>
      <c r="E67" s="4" t="str">
        <v>Free/Reduced</v>
      </c>
      <c r="F67" s="4" t="str">
        <v>None</v>
      </c>
      <c r="G67" s="4">
        <v>45</v>
      </c>
      <c r="H67" s="18">
        <v>918</v>
      </c>
      <c r="I67" s="20" t="str">
        <v>F</v>
      </c>
      <c r="J67" s="20">
        <v>53</v>
      </c>
      <c r="K67" s="20">
        <v>863</v>
      </c>
      <c r="L67" s="20" t="str">
        <v>F</v>
      </c>
      <c r="M67" s="20">
        <v>55</v>
      </c>
      <c r="N67" s="20">
        <v>786</v>
      </c>
      <c r="O67" s="20" t="str">
        <v>F</v>
      </c>
      <c r="P67" s="20">
        <v>153</v>
      </c>
      <c r="Q67" s="20">
        <v>3</v>
      </c>
      <c r="R67" s="20" t="str">
        <v>At risk</v>
      </c>
    </row>
    <row r="68" spans="1:18">
      <c r="A68" s="4" t="str">
        <v>Stu-205</v>
      </c>
      <c r="B68" s="4" t="str">
        <v>Male</v>
      </c>
      <c r="C68" s="4" t="str">
        <v>Group C</v>
      </c>
      <c r="D68" s="4" t="str">
        <v>Some College</v>
      </c>
      <c r="E68" s="4" t="str">
        <v>Standard</v>
      </c>
      <c r="F68" s="4" t="str">
        <v>None</v>
      </c>
      <c r="G68" s="4">
        <v>59</v>
      </c>
      <c r="H68" s="18">
        <v>684</v>
      </c>
      <c r="I68" s="20" t="str">
        <v>F</v>
      </c>
      <c r="J68" s="20">
        <v>41</v>
      </c>
      <c r="K68" s="20">
        <v>970</v>
      </c>
      <c r="L68" s="20" t="str">
        <v>F</v>
      </c>
      <c r="M68" s="20">
        <v>42</v>
      </c>
      <c r="N68" s="20">
        <v>952</v>
      </c>
      <c r="O68" s="20" t="str">
        <v>F</v>
      </c>
      <c r="P68" s="20">
        <v>142</v>
      </c>
      <c r="Q68" s="20">
        <v>3</v>
      </c>
      <c r="R68" s="20" t="str">
        <v>At risk</v>
      </c>
    </row>
    <row r="69" spans="1:18">
      <c r="A69" s="4" t="str">
        <v>Stu-212</v>
      </c>
      <c r="B69" s="4" t="str">
        <v>Male</v>
      </c>
      <c r="C69" s="4" t="str">
        <v>Group C</v>
      </c>
      <c r="D69" s="4" t="str">
        <v>Some College</v>
      </c>
      <c r="E69" s="4" t="str">
        <v>Free/Reduced</v>
      </c>
      <c r="F69" s="4" t="str">
        <v>None</v>
      </c>
      <c r="G69" s="4">
        <v>35</v>
      </c>
      <c r="H69" s="18">
        <v>974</v>
      </c>
      <c r="I69" s="20" t="str">
        <v>F</v>
      </c>
      <c r="J69" s="20">
        <v>28</v>
      </c>
      <c r="K69" s="20">
        <v>995</v>
      </c>
      <c r="L69" s="20" t="str">
        <v>F</v>
      </c>
      <c r="M69" s="20">
        <v>27</v>
      </c>
      <c r="N69" s="20">
        <v>993</v>
      </c>
      <c r="O69" s="20" t="str">
        <v>F</v>
      </c>
      <c r="P69" s="20">
        <v>90</v>
      </c>
      <c r="Q69" s="20">
        <v>3</v>
      </c>
      <c r="R69" s="20" t="str">
        <v>At risk</v>
      </c>
    </row>
    <row r="70" spans="1:18">
      <c r="A70" s="4" t="str">
        <v>Stu-214</v>
      </c>
      <c r="B70" s="4" t="str">
        <v>Male</v>
      </c>
      <c r="C70" s="4" t="str">
        <v>Group C</v>
      </c>
      <c r="D70" s="4" t="str">
        <v>Associate's Degree</v>
      </c>
      <c r="E70" s="4" t="str">
        <v>Free/Reduced</v>
      </c>
      <c r="F70" s="4" t="str">
        <v>Completed</v>
      </c>
      <c r="G70" s="4">
        <v>60</v>
      </c>
      <c r="H70" s="18">
        <v>665</v>
      </c>
      <c r="I70" s="20" t="str">
        <v>D</v>
      </c>
      <c r="J70" s="20">
        <v>51</v>
      </c>
      <c r="K70" s="20">
        <v>891</v>
      </c>
      <c r="L70" s="20" t="str">
        <v>F</v>
      </c>
      <c r="M70" s="20">
        <v>56</v>
      </c>
      <c r="N70" s="20">
        <v>774</v>
      </c>
      <c r="O70" s="20" t="str">
        <v>F</v>
      </c>
      <c r="P70" s="20">
        <v>167</v>
      </c>
      <c r="Q70" s="20">
        <v>2</v>
      </c>
      <c r="R70" s="20" t="str">
        <v>At risk</v>
      </c>
    </row>
    <row r="71" spans="1:18">
      <c r="A71" s="4" t="str">
        <v>Stu-218</v>
      </c>
      <c r="B71" s="4" t="str">
        <v>Female</v>
      </c>
      <c r="C71" s="4" t="str">
        <v>Group C</v>
      </c>
      <c r="D71" s="4" t="str">
        <v>High School</v>
      </c>
      <c r="E71" s="4" t="str">
        <v>Free/Reduced</v>
      </c>
      <c r="F71" s="4" t="str">
        <v>None</v>
      </c>
      <c r="G71" s="4">
        <v>34</v>
      </c>
      <c r="H71" s="18">
        <v>979</v>
      </c>
      <c r="I71" s="20" t="str">
        <v>F</v>
      </c>
      <c r="J71" s="20">
        <v>42</v>
      </c>
      <c r="K71" s="20">
        <v>963</v>
      </c>
      <c r="L71" s="20" t="str">
        <v>F</v>
      </c>
      <c r="M71" s="20">
        <v>39</v>
      </c>
      <c r="N71" s="20">
        <v>970</v>
      </c>
      <c r="O71" s="20" t="str">
        <v>F</v>
      </c>
      <c r="P71" s="20">
        <v>115</v>
      </c>
      <c r="Q71" s="20">
        <v>3</v>
      </c>
      <c r="R71" s="20" t="str">
        <v>At risk</v>
      </c>
    </row>
    <row r="72" spans="1:18">
      <c r="A72" s="4" t="str">
        <v>Stu-220</v>
      </c>
      <c r="B72" s="4" t="str">
        <v>Male</v>
      </c>
      <c r="C72" s="4" t="str">
        <v>Group B</v>
      </c>
      <c r="D72" s="4" t="str">
        <v>Some High School</v>
      </c>
      <c r="E72" s="4" t="str">
        <v>Standard</v>
      </c>
      <c r="F72" s="4" t="str">
        <v>Completed</v>
      </c>
      <c r="G72" s="4">
        <v>61</v>
      </c>
      <c r="H72" s="18">
        <v>640</v>
      </c>
      <c r="I72" s="20" t="str">
        <v>D</v>
      </c>
      <c r="J72" s="20">
        <v>56</v>
      </c>
      <c r="K72" s="20">
        <v>812</v>
      </c>
      <c r="L72" s="20" t="str">
        <v>F</v>
      </c>
      <c r="M72" s="20">
        <v>56</v>
      </c>
      <c r="N72" s="20">
        <v>775</v>
      </c>
      <c r="O72" s="20" t="str">
        <v>F</v>
      </c>
      <c r="P72" s="20">
        <v>173</v>
      </c>
      <c r="Q72" s="20">
        <v>2</v>
      </c>
      <c r="R72" s="20" t="str">
        <v>At risk</v>
      </c>
    </row>
    <row r="73" spans="1:18">
      <c r="A73" s="4" t="str">
        <v>Stu-226</v>
      </c>
      <c r="B73" s="4" t="str">
        <v>Female</v>
      </c>
      <c r="C73" s="4" t="str">
        <v>Group E</v>
      </c>
      <c r="D73" s="4" t="str">
        <v>Master's Degree</v>
      </c>
      <c r="E73" s="4" t="str">
        <v>Free/Reduced</v>
      </c>
      <c r="F73" s="4" t="str">
        <v>None</v>
      </c>
      <c r="G73" s="4">
        <v>45</v>
      </c>
      <c r="H73" s="18">
        <v>919</v>
      </c>
      <c r="I73" s="20" t="str">
        <v>F</v>
      </c>
      <c r="J73" s="20">
        <v>56</v>
      </c>
      <c r="K73" s="20">
        <v>813</v>
      </c>
      <c r="L73" s="20" t="str">
        <v>F</v>
      </c>
      <c r="M73" s="20">
        <v>54</v>
      </c>
      <c r="N73" s="20">
        <v>804</v>
      </c>
      <c r="O73" s="20" t="str">
        <v>F</v>
      </c>
      <c r="P73" s="20">
        <v>155</v>
      </c>
      <c r="Q73" s="20">
        <v>3</v>
      </c>
      <c r="R73" s="20" t="str">
        <v>At risk</v>
      </c>
    </row>
    <row r="74" spans="1:18">
      <c r="A74" s="4" t="str">
        <v>Stu-228</v>
      </c>
      <c r="B74" s="4" t="str">
        <v>Male</v>
      </c>
      <c r="C74" s="4" t="str">
        <v>Group D</v>
      </c>
      <c r="D74" s="4" t="str">
        <v>High School</v>
      </c>
      <c r="E74" s="4" t="str">
        <v>Standard</v>
      </c>
      <c r="F74" s="4" t="str">
        <v>None</v>
      </c>
      <c r="G74" s="4">
        <v>57</v>
      </c>
      <c r="H74" s="18">
        <v>739</v>
      </c>
      <c r="I74" s="20" t="str">
        <v>F</v>
      </c>
      <c r="J74" s="20">
        <v>50</v>
      </c>
      <c r="K74" s="20">
        <v>905</v>
      </c>
      <c r="L74" s="20" t="str">
        <v>F</v>
      </c>
      <c r="M74" s="20">
        <v>54</v>
      </c>
      <c r="N74" s="20">
        <v>805</v>
      </c>
      <c r="O74" s="20" t="str">
        <v>F</v>
      </c>
      <c r="P74" s="20">
        <v>161</v>
      </c>
      <c r="Q74" s="20">
        <v>3</v>
      </c>
      <c r="R74" s="20" t="str">
        <v>At risk</v>
      </c>
    </row>
    <row r="75" spans="1:18">
      <c r="A75" s="4" t="str">
        <v>Stu-232</v>
      </c>
      <c r="B75" s="4" t="str">
        <v>Male</v>
      </c>
      <c r="C75" s="4" t="str">
        <v>Group C</v>
      </c>
      <c r="D75" s="4" t="str">
        <v>Associate's Degree</v>
      </c>
      <c r="E75" s="4" t="str">
        <v>Standard</v>
      </c>
      <c r="F75" s="4" t="str">
        <v>None</v>
      </c>
      <c r="G75" s="4">
        <v>46</v>
      </c>
      <c r="H75" s="18">
        <v>908</v>
      </c>
      <c r="I75" s="20" t="str">
        <v>F</v>
      </c>
      <c r="J75" s="20">
        <v>43</v>
      </c>
      <c r="K75" s="20">
        <v>954</v>
      </c>
      <c r="L75" s="20" t="str">
        <v>F</v>
      </c>
      <c r="M75" s="20">
        <v>42</v>
      </c>
      <c r="N75" s="20">
        <v>953</v>
      </c>
      <c r="O75" s="20" t="str">
        <v>F</v>
      </c>
      <c r="P75" s="20">
        <v>131</v>
      </c>
      <c r="Q75" s="20">
        <v>3</v>
      </c>
      <c r="R75" s="20" t="str">
        <v>At risk</v>
      </c>
    </row>
    <row r="76" spans="1:18">
      <c r="A76" s="4" t="str">
        <v>Stu-239</v>
      </c>
      <c r="B76" s="4" t="str">
        <v>Male</v>
      </c>
      <c r="C76" s="4" t="str">
        <v>Group B</v>
      </c>
      <c r="D76" s="4" t="str">
        <v>Some College</v>
      </c>
      <c r="E76" s="4" t="str">
        <v>Standard</v>
      </c>
      <c r="F76" s="4" t="str">
        <v>None</v>
      </c>
      <c r="G76" s="4">
        <v>54</v>
      </c>
      <c r="H76" s="18">
        <v>783</v>
      </c>
      <c r="I76" s="20" t="str">
        <v>F</v>
      </c>
      <c r="J76" s="20">
        <v>52</v>
      </c>
      <c r="K76" s="20">
        <v>875</v>
      </c>
      <c r="L76" s="20" t="str">
        <v>F</v>
      </c>
      <c r="M76" s="20">
        <v>51</v>
      </c>
      <c r="N76" s="20">
        <v>863</v>
      </c>
      <c r="O76" s="20" t="str">
        <v>F</v>
      </c>
      <c r="P76" s="20">
        <v>157</v>
      </c>
      <c r="Q76" s="20">
        <v>3</v>
      </c>
      <c r="R76" s="20" t="str">
        <v>At risk</v>
      </c>
    </row>
    <row r="77" spans="1:18">
      <c r="A77" s="4" t="str">
        <v>Stu-243</v>
      </c>
      <c r="B77" s="4" t="str">
        <v>Female</v>
      </c>
      <c r="C77" s="4" t="str">
        <v>Group D</v>
      </c>
      <c r="D77" s="4" t="str">
        <v>High School</v>
      </c>
      <c r="E77" s="4" t="str">
        <v>Standard</v>
      </c>
      <c r="F77" s="4" t="str">
        <v>None</v>
      </c>
      <c r="G77" s="4">
        <v>56</v>
      </c>
      <c r="H77" s="18">
        <v>755</v>
      </c>
      <c r="I77" s="20" t="str">
        <v>F</v>
      </c>
      <c r="J77" s="20">
        <v>52</v>
      </c>
      <c r="K77" s="20">
        <v>876</v>
      </c>
      <c r="L77" s="20" t="str">
        <v>F</v>
      </c>
      <c r="M77" s="20">
        <v>55</v>
      </c>
      <c r="N77" s="20">
        <v>787</v>
      </c>
      <c r="O77" s="20" t="str">
        <v>F</v>
      </c>
      <c r="P77" s="20">
        <v>163</v>
      </c>
      <c r="Q77" s="20">
        <v>3</v>
      </c>
      <c r="R77" s="20" t="str">
        <v>At risk</v>
      </c>
    </row>
    <row r="78" spans="1:18">
      <c r="A78" s="4" t="str">
        <v>Stu-244</v>
      </c>
      <c r="B78" s="4" t="str">
        <v>Male</v>
      </c>
      <c r="C78" s="4" t="str">
        <v>Group E</v>
      </c>
      <c r="D78" s="4" t="str">
        <v>Some College</v>
      </c>
      <c r="E78" s="4" t="str">
        <v>Standard</v>
      </c>
      <c r="F78" s="4" t="str">
        <v>None</v>
      </c>
      <c r="G78" s="4">
        <v>59</v>
      </c>
      <c r="H78" s="18">
        <v>685</v>
      </c>
      <c r="I78" s="20" t="str">
        <v>F</v>
      </c>
      <c r="J78" s="20">
        <v>51</v>
      </c>
      <c r="K78" s="20">
        <v>892</v>
      </c>
      <c r="L78" s="20" t="str">
        <v>F</v>
      </c>
      <c r="M78" s="20">
        <v>43</v>
      </c>
      <c r="N78" s="20">
        <v>941</v>
      </c>
      <c r="O78" s="20" t="str">
        <v>F</v>
      </c>
      <c r="P78" s="20">
        <v>153</v>
      </c>
      <c r="Q78" s="20">
        <v>3</v>
      </c>
      <c r="R78" s="20" t="str">
        <v>At risk</v>
      </c>
    </row>
    <row r="79" spans="1:18">
      <c r="A79" s="4" t="str">
        <v>Stu-251</v>
      </c>
      <c r="B79" s="4" t="str">
        <v>Male</v>
      </c>
      <c r="C79" s="4" t="str">
        <v>Group A</v>
      </c>
      <c r="D79" s="4" t="str">
        <v>Some High School</v>
      </c>
      <c r="E79" s="4" t="str">
        <v>Standard</v>
      </c>
      <c r="F79" s="4" t="str">
        <v>Completed</v>
      </c>
      <c r="G79" s="4">
        <v>47</v>
      </c>
      <c r="H79" s="18">
        <v>896</v>
      </c>
      <c r="I79" s="20" t="str">
        <v>F</v>
      </c>
      <c r="J79" s="20">
        <v>49</v>
      </c>
      <c r="K79" s="20">
        <v>915</v>
      </c>
      <c r="L79" s="20" t="str">
        <v>F</v>
      </c>
      <c r="M79" s="20">
        <v>49</v>
      </c>
      <c r="N79" s="20">
        <v>891</v>
      </c>
      <c r="O79" s="20" t="str">
        <v>F</v>
      </c>
      <c r="P79" s="20">
        <v>145</v>
      </c>
      <c r="Q79" s="20">
        <v>3</v>
      </c>
      <c r="R79" s="20" t="str">
        <v>At risk</v>
      </c>
    </row>
    <row r="80" spans="1:18">
      <c r="A80" s="4" t="str">
        <v>Stu-255</v>
      </c>
      <c r="B80" s="4" t="str">
        <v>Male</v>
      </c>
      <c r="C80" s="4" t="str">
        <v>Group D</v>
      </c>
      <c r="D80" s="4" t="str">
        <v>High School</v>
      </c>
      <c r="E80" s="4" t="str">
        <v>Standard</v>
      </c>
      <c r="F80" s="4" t="str">
        <v>None</v>
      </c>
      <c r="G80" s="4">
        <v>54</v>
      </c>
      <c r="H80" s="18">
        <v>784</v>
      </c>
      <c r="I80" s="20" t="str">
        <v>F</v>
      </c>
      <c r="J80" s="20">
        <v>52</v>
      </c>
      <c r="K80" s="20">
        <v>877</v>
      </c>
      <c r="L80" s="20" t="str">
        <v>F</v>
      </c>
      <c r="M80" s="20">
        <v>52</v>
      </c>
      <c r="N80" s="20">
        <v>843</v>
      </c>
      <c r="O80" s="20" t="str">
        <v>F</v>
      </c>
      <c r="P80" s="20">
        <v>158</v>
      </c>
      <c r="Q80" s="20">
        <v>3</v>
      </c>
      <c r="R80" s="20" t="str">
        <v>At risk</v>
      </c>
    </row>
    <row r="81" spans="1:18">
      <c r="A81" s="4" t="str">
        <v>Stu-263</v>
      </c>
      <c r="B81" s="4" t="str">
        <v>Female</v>
      </c>
      <c r="C81" s="4" t="str">
        <v>Group C</v>
      </c>
      <c r="D81" s="4" t="str">
        <v>Some High School</v>
      </c>
      <c r="E81" s="4" t="str">
        <v>Free/Reduced</v>
      </c>
      <c r="F81" s="4" t="str">
        <v>None</v>
      </c>
      <c r="G81" s="4">
        <v>44</v>
      </c>
      <c r="H81" s="18">
        <v>927</v>
      </c>
      <c r="I81" s="20" t="str">
        <v>F</v>
      </c>
      <c r="J81" s="20">
        <v>50</v>
      </c>
      <c r="K81" s="20">
        <v>906</v>
      </c>
      <c r="L81" s="20" t="str">
        <v>F</v>
      </c>
      <c r="M81" s="20">
        <v>51</v>
      </c>
      <c r="N81" s="20">
        <v>864</v>
      </c>
      <c r="O81" s="20" t="str">
        <v>F</v>
      </c>
      <c r="P81" s="20">
        <v>145</v>
      </c>
      <c r="Q81" s="20">
        <v>3</v>
      </c>
      <c r="R81" s="20" t="str">
        <v>At risk</v>
      </c>
    </row>
    <row r="82" spans="1:18">
      <c r="A82" s="4" t="str">
        <v>Stu-266</v>
      </c>
      <c r="B82" s="4" t="str">
        <v>Male</v>
      </c>
      <c r="C82" s="4" t="str">
        <v>Group D</v>
      </c>
      <c r="D82" s="4" t="str">
        <v>Some High School</v>
      </c>
      <c r="E82" s="4" t="str">
        <v>Free/Reduced</v>
      </c>
      <c r="F82" s="4" t="str">
        <v>None</v>
      </c>
      <c r="G82" s="4">
        <v>59</v>
      </c>
      <c r="H82" s="18">
        <v>686</v>
      </c>
      <c r="I82" s="20" t="str">
        <v>F</v>
      </c>
      <c r="J82" s="20">
        <v>42</v>
      </c>
      <c r="K82" s="20">
        <v>964</v>
      </c>
      <c r="L82" s="20" t="str">
        <v>F</v>
      </c>
      <c r="M82" s="20">
        <v>41</v>
      </c>
      <c r="N82" s="20">
        <v>960</v>
      </c>
      <c r="O82" s="20" t="str">
        <v>F</v>
      </c>
      <c r="P82" s="20">
        <v>142</v>
      </c>
      <c r="Q82" s="20">
        <v>3</v>
      </c>
      <c r="R82" s="20" t="str">
        <v>At risk</v>
      </c>
    </row>
    <row r="83" spans="1:18">
      <c r="A83" s="4" t="str">
        <v>Stu-272</v>
      </c>
      <c r="B83" s="4" t="str">
        <v>Male</v>
      </c>
      <c r="C83" s="4" t="str">
        <v>Group C</v>
      </c>
      <c r="D83" s="4" t="str">
        <v>Some College</v>
      </c>
      <c r="E83" s="4" t="str">
        <v>Standard</v>
      </c>
      <c r="F83" s="4" t="str">
        <v>None</v>
      </c>
      <c r="G83" s="4">
        <v>58</v>
      </c>
      <c r="H83" s="18">
        <v>721</v>
      </c>
      <c r="I83" s="20" t="str">
        <v>F</v>
      </c>
      <c r="J83" s="20">
        <v>49</v>
      </c>
      <c r="K83" s="20">
        <v>916</v>
      </c>
      <c r="L83" s="20" t="str">
        <v>F</v>
      </c>
      <c r="M83" s="20">
        <v>42</v>
      </c>
      <c r="N83" s="20">
        <v>954</v>
      </c>
      <c r="O83" s="20" t="str">
        <v>F</v>
      </c>
      <c r="P83" s="20">
        <v>149</v>
      </c>
      <c r="Q83" s="20">
        <v>3</v>
      </c>
      <c r="R83" s="20" t="str">
        <v>At risk</v>
      </c>
    </row>
    <row r="84" spans="1:18">
      <c r="A84" s="4" t="str">
        <v>Stu-273</v>
      </c>
      <c r="B84" s="4" t="str">
        <v>Female</v>
      </c>
      <c r="C84" s="4" t="str">
        <v>Group D</v>
      </c>
      <c r="D84" s="4" t="str">
        <v>Associate's Degree</v>
      </c>
      <c r="E84" s="4" t="str">
        <v>Free/Reduced</v>
      </c>
      <c r="F84" s="4" t="str">
        <v>None</v>
      </c>
      <c r="G84" s="4">
        <v>47</v>
      </c>
      <c r="H84" s="18">
        <v>897</v>
      </c>
      <c r="I84" s="20" t="str">
        <v>F</v>
      </c>
      <c r="J84" s="20">
        <v>53</v>
      </c>
      <c r="K84" s="20">
        <v>864</v>
      </c>
      <c r="L84" s="20" t="str">
        <v>F</v>
      </c>
      <c r="M84" s="20">
        <v>58</v>
      </c>
      <c r="N84" s="20">
        <v>736</v>
      </c>
      <c r="O84" s="20" t="str">
        <v>F</v>
      </c>
      <c r="P84" s="20">
        <v>158</v>
      </c>
      <c r="Q84" s="20">
        <v>3</v>
      </c>
      <c r="R84" s="20" t="str">
        <v>At risk</v>
      </c>
    </row>
    <row r="85" spans="1:18">
      <c r="A85" s="4" t="str">
        <v>Stu-280</v>
      </c>
      <c r="B85" s="4" t="str">
        <v>Male</v>
      </c>
      <c r="C85" s="4" t="str">
        <v>Group B</v>
      </c>
      <c r="D85" s="4" t="str">
        <v>Bachelor's Degree</v>
      </c>
      <c r="E85" s="4" t="str">
        <v>Free/Reduced</v>
      </c>
      <c r="F85" s="4" t="str">
        <v>None</v>
      </c>
      <c r="G85" s="4">
        <v>73</v>
      </c>
      <c r="H85" s="18">
        <v>326</v>
      </c>
      <c r="I85" s="20" t="str">
        <v>C</v>
      </c>
      <c r="J85" s="20">
        <v>56</v>
      </c>
      <c r="K85" s="20">
        <v>814</v>
      </c>
      <c r="L85" s="20" t="str">
        <v>F</v>
      </c>
      <c r="M85" s="20">
        <v>57</v>
      </c>
      <c r="N85" s="20">
        <v>754</v>
      </c>
      <c r="O85" s="20" t="str">
        <v>F</v>
      </c>
      <c r="P85" s="20">
        <v>186</v>
      </c>
      <c r="Q85" s="20">
        <v>2</v>
      </c>
      <c r="R85" s="20" t="str">
        <v>At risk</v>
      </c>
    </row>
    <row r="86" spans="1:18">
      <c r="A86" s="4" t="str">
        <v>Stu-281</v>
      </c>
      <c r="B86" s="4" t="str">
        <v>Male</v>
      </c>
      <c r="C86" s="4" t="str">
        <v>Group D</v>
      </c>
      <c r="D86" s="4" t="str">
        <v>High School</v>
      </c>
      <c r="E86" s="4" t="str">
        <v>Standard</v>
      </c>
      <c r="F86" s="4" t="str">
        <v>None</v>
      </c>
      <c r="G86" s="4">
        <v>53</v>
      </c>
      <c r="H86" s="18">
        <v>803</v>
      </c>
      <c r="I86" s="20" t="str">
        <v>F</v>
      </c>
      <c r="J86" s="20">
        <v>52</v>
      </c>
      <c r="K86" s="20">
        <v>878</v>
      </c>
      <c r="L86" s="20" t="str">
        <v>F</v>
      </c>
      <c r="M86" s="20">
        <v>42</v>
      </c>
      <c r="N86" s="20">
        <v>955</v>
      </c>
      <c r="O86" s="20" t="str">
        <v>F</v>
      </c>
      <c r="P86" s="20">
        <v>147</v>
      </c>
      <c r="Q86" s="20">
        <v>3</v>
      </c>
      <c r="R86" s="20" t="str">
        <v>At risk</v>
      </c>
    </row>
    <row r="87" spans="1:18">
      <c r="A87" s="4" t="str">
        <v>Stu-282</v>
      </c>
      <c r="B87" s="4" t="str">
        <v>Male</v>
      </c>
      <c r="C87" s="4" t="str">
        <v>Group D</v>
      </c>
      <c r="D87" s="4" t="str">
        <v>High School</v>
      </c>
      <c r="E87" s="4" t="str">
        <v>Standard</v>
      </c>
      <c r="F87" s="4" t="str">
        <v>None</v>
      </c>
      <c r="G87" s="4">
        <v>45</v>
      </c>
      <c r="H87" s="18">
        <v>920</v>
      </c>
      <c r="I87" s="20" t="str">
        <v>F</v>
      </c>
      <c r="J87" s="20">
        <v>48</v>
      </c>
      <c r="K87" s="20">
        <v>921</v>
      </c>
      <c r="L87" s="20" t="str">
        <v>F</v>
      </c>
      <c r="M87" s="20">
        <v>46</v>
      </c>
      <c r="N87" s="20">
        <v>915</v>
      </c>
      <c r="O87" s="20" t="str">
        <v>F</v>
      </c>
      <c r="P87" s="20">
        <v>139</v>
      </c>
      <c r="Q87" s="20">
        <v>3</v>
      </c>
      <c r="R87" s="20" t="str">
        <v>At risk</v>
      </c>
    </row>
    <row r="88" spans="1:18">
      <c r="A88" s="4" t="str">
        <v>Stu-285</v>
      </c>
      <c r="B88" s="4" t="str">
        <v>Female</v>
      </c>
      <c r="C88" s="4" t="str">
        <v>Group B</v>
      </c>
      <c r="D88" s="4" t="str">
        <v>Some High School</v>
      </c>
      <c r="E88" s="4" t="str">
        <v>Standard</v>
      </c>
      <c r="F88" s="4" t="str">
        <v>None</v>
      </c>
      <c r="G88" s="4">
        <v>37</v>
      </c>
      <c r="H88" s="18">
        <v>968</v>
      </c>
      <c r="I88" s="20" t="str">
        <v>F</v>
      </c>
      <c r="J88" s="20">
        <v>46</v>
      </c>
      <c r="K88" s="20">
        <v>935</v>
      </c>
      <c r="L88" s="20" t="str">
        <v>F</v>
      </c>
      <c r="M88" s="20">
        <v>46</v>
      </c>
      <c r="N88" s="20">
        <v>916</v>
      </c>
      <c r="O88" s="20" t="str">
        <v>F</v>
      </c>
      <c r="P88" s="20">
        <v>129</v>
      </c>
      <c r="Q88" s="20">
        <v>3</v>
      </c>
      <c r="R88" s="20" t="str">
        <v>At risk</v>
      </c>
    </row>
    <row r="89" spans="1:18">
      <c r="A89" s="4" t="str">
        <v>Stu-297</v>
      </c>
      <c r="B89" s="4" t="str">
        <v>Male</v>
      </c>
      <c r="C89" s="4" t="str">
        <v>Group A</v>
      </c>
      <c r="D89" s="4" t="str">
        <v>Some High School</v>
      </c>
      <c r="E89" s="4" t="str">
        <v>Standard</v>
      </c>
      <c r="F89" s="4" t="str">
        <v>Completed</v>
      </c>
      <c r="G89" s="4">
        <v>46</v>
      </c>
      <c r="H89" s="18">
        <v>909</v>
      </c>
      <c r="I89" s="20" t="str">
        <v>F</v>
      </c>
      <c r="J89" s="20">
        <v>41</v>
      </c>
      <c r="K89" s="20">
        <v>971</v>
      </c>
      <c r="L89" s="20" t="str">
        <v>F</v>
      </c>
      <c r="M89" s="20">
        <v>43</v>
      </c>
      <c r="N89" s="20">
        <v>942</v>
      </c>
      <c r="O89" s="20" t="str">
        <v>F</v>
      </c>
      <c r="P89" s="20">
        <v>130</v>
      </c>
      <c r="Q89" s="20">
        <v>3</v>
      </c>
      <c r="R89" s="20" t="str">
        <v>At risk</v>
      </c>
    </row>
    <row r="90" spans="1:18">
      <c r="A90" s="4" t="str">
        <v>Stu-299</v>
      </c>
      <c r="B90" s="4" t="str">
        <v>Male</v>
      </c>
      <c r="C90" s="4" t="str">
        <v>Group C</v>
      </c>
      <c r="D90" s="4" t="str">
        <v>High School</v>
      </c>
      <c r="E90" s="4" t="str">
        <v>Free/Reduced</v>
      </c>
      <c r="F90" s="4" t="str">
        <v>Completed</v>
      </c>
      <c r="G90" s="4">
        <v>40</v>
      </c>
      <c r="H90" s="18">
        <v>954</v>
      </c>
      <c r="I90" s="20" t="str">
        <v>F</v>
      </c>
      <c r="J90" s="20">
        <v>46</v>
      </c>
      <c r="K90" s="20">
        <v>936</v>
      </c>
      <c r="L90" s="20" t="str">
        <v>F</v>
      </c>
      <c r="M90" s="20">
        <v>50</v>
      </c>
      <c r="N90" s="20">
        <v>880</v>
      </c>
      <c r="O90" s="20" t="str">
        <v>F</v>
      </c>
      <c r="P90" s="20">
        <v>136</v>
      </c>
      <c r="Q90" s="20">
        <v>3</v>
      </c>
      <c r="R90" s="20" t="str">
        <v>At risk</v>
      </c>
    </row>
    <row r="91" spans="1:18">
      <c r="A91" s="4" t="str">
        <v>Stu-302</v>
      </c>
      <c r="B91" s="4" t="str">
        <v>Male</v>
      </c>
      <c r="C91" s="4" t="str">
        <v>Group D</v>
      </c>
      <c r="D91" s="4" t="str">
        <v>Some High School</v>
      </c>
      <c r="E91" s="4" t="str">
        <v>Free/Reduced</v>
      </c>
      <c r="F91" s="4" t="str">
        <v>None</v>
      </c>
      <c r="G91" s="4">
        <v>56</v>
      </c>
      <c r="H91" s="18">
        <v>756</v>
      </c>
      <c r="I91" s="20" t="str">
        <v>F</v>
      </c>
      <c r="J91" s="20">
        <v>54</v>
      </c>
      <c r="K91" s="20">
        <v>847</v>
      </c>
      <c r="L91" s="20" t="str">
        <v>F</v>
      </c>
      <c r="M91" s="20">
        <v>52</v>
      </c>
      <c r="N91" s="20">
        <v>844</v>
      </c>
      <c r="O91" s="20" t="str">
        <v>F</v>
      </c>
      <c r="P91" s="20">
        <v>162</v>
      </c>
      <c r="Q91" s="20">
        <v>3</v>
      </c>
      <c r="R91" s="20" t="str">
        <v>At risk</v>
      </c>
    </row>
    <row r="92" spans="1:18">
      <c r="A92" s="4" t="str">
        <v>Stu-308</v>
      </c>
      <c r="B92" s="4" t="str">
        <v>Male</v>
      </c>
      <c r="C92" s="4" t="str">
        <v>Group C</v>
      </c>
      <c r="D92" s="4" t="str">
        <v>Some High School</v>
      </c>
      <c r="E92" s="4" t="str">
        <v>Standard</v>
      </c>
      <c r="F92" s="4" t="str">
        <v>None</v>
      </c>
      <c r="G92" s="4">
        <v>51</v>
      </c>
      <c r="H92" s="18">
        <v>844</v>
      </c>
      <c r="I92" s="20" t="str">
        <v>F</v>
      </c>
      <c r="J92" s="20">
        <v>52</v>
      </c>
      <c r="K92" s="20">
        <v>879</v>
      </c>
      <c r="L92" s="20" t="str">
        <v>F</v>
      </c>
      <c r="M92" s="20">
        <v>44</v>
      </c>
      <c r="N92" s="20">
        <v>932</v>
      </c>
      <c r="O92" s="20" t="str">
        <v>F</v>
      </c>
      <c r="P92" s="20">
        <v>147</v>
      </c>
      <c r="Q92" s="20">
        <v>3</v>
      </c>
      <c r="R92" s="20" t="str">
        <v>At risk</v>
      </c>
    </row>
    <row r="93" spans="1:18">
      <c r="A93" s="4" t="str">
        <v>Stu-310</v>
      </c>
      <c r="B93" s="4" t="str">
        <v>Female</v>
      </c>
      <c r="C93" s="4" t="str">
        <v>Group D</v>
      </c>
      <c r="D93" s="4" t="str">
        <v>High School</v>
      </c>
      <c r="E93" s="4" t="str">
        <v>Free/Reduced</v>
      </c>
      <c r="F93" s="4" t="str">
        <v>None</v>
      </c>
      <c r="G93" s="4">
        <v>49</v>
      </c>
      <c r="H93" s="18">
        <v>869</v>
      </c>
      <c r="I93" s="20" t="str">
        <v>F</v>
      </c>
      <c r="J93" s="20">
        <v>57</v>
      </c>
      <c r="K93" s="20">
        <v>795</v>
      </c>
      <c r="L93" s="20" t="str">
        <v>F</v>
      </c>
      <c r="M93" s="20">
        <v>52</v>
      </c>
      <c r="N93" s="20">
        <v>845</v>
      </c>
      <c r="O93" s="20" t="str">
        <v>F</v>
      </c>
      <c r="P93" s="20">
        <v>158</v>
      </c>
      <c r="Q93" s="20">
        <v>3</v>
      </c>
      <c r="R93" s="20" t="str">
        <v>At risk</v>
      </c>
    </row>
    <row r="94" spans="1:18">
      <c r="A94" s="4" t="str">
        <v>Stu-324</v>
      </c>
      <c r="B94" s="4" t="str">
        <v>Female</v>
      </c>
      <c r="C94" s="4" t="str">
        <v>Group C</v>
      </c>
      <c r="D94" s="4" t="str">
        <v>Some High School</v>
      </c>
      <c r="E94" s="4" t="str">
        <v>Free/Reduced</v>
      </c>
      <c r="F94" s="4" t="str">
        <v>None</v>
      </c>
      <c r="G94" s="4">
        <v>43</v>
      </c>
      <c r="H94" s="18">
        <v>936</v>
      </c>
      <c r="I94" s="20" t="str">
        <v>F</v>
      </c>
      <c r="J94" s="20">
        <v>53</v>
      </c>
      <c r="K94" s="20">
        <v>865</v>
      </c>
      <c r="L94" s="20" t="str">
        <v>F</v>
      </c>
      <c r="M94" s="20">
        <v>53</v>
      </c>
      <c r="N94" s="20">
        <v>825</v>
      </c>
      <c r="O94" s="20" t="str">
        <v>F</v>
      </c>
      <c r="P94" s="20">
        <v>149</v>
      </c>
      <c r="Q94" s="20">
        <v>3</v>
      </c>
      <c r="R94" s="20" t="str">
        <v>At risk</v>
      </c>
    </row>
    <row r="95" spans="1:18">
      <c r="A95" s="4" t="str">
        <v>Stu-325</v>
      </c>
      <c r="B95" s="4" t="str">
        <v>Female</v>
      </c>
      <c r="C95" s="4" t="str">
        <v>Group C</v>
      </c>
      <c r="D95" s="4" t="str">
        <v>High School</v>
      </c>
      <c r="E95" s="4" t="str">
        <v>Free/Reduced</v>
      </c>
      <c r="F95" s="4" t="str">
        <v>None</v>
      </c>
      <c r="G95" s="4">
        <v>41</v>
      </c>
      <c r="H95" s="18">
        <v>946</v>
      </c>
      <c r="I95" s="20" t="str">
        <v>F</v>
      </c>
      <c r="J95" s="20">
        <v>46</v>
      </c>
      <c r="K95" s="20">
        <v>937</v>
      </c>
      <c r="L95" s="20" t="str">
        <v>F</v>
      </c>
      <c r="M95" s="20">
        <v>43</v>
      </c>
      <c r="N95" s="20">
        <v>943</v>
      </c>
      <c r="O95" s="20" t="str">
        <v>F</v>
      </c>
      <c r="P95" s="20">
        <v>130</v>
      </c>
      <c r="Q95" s="20">
        <v>3</v>
      </c>
      <c r="R95" s="20" t="str">
        <v>At risk</v>
      </c>
    </row>
    <row r="96" spans="1:18">
      <c r="A96" s="4" t="str">
        <v>Stu-328</v>
      </c>
      <c r="B96" s="4" t="str">
        <v>Male</v>
      </c>
      <c r="C96" s="4" t="str">
        <v>Group A</v>
      </c>
      <c r="D96" s="4" t="str">
        <v>Some College</v>
      </c>
      <c r="E96" s="4" t="str">
        <v>Free/Reduced</v>
      </c>
      <c r="F96" s="4" t="str">
        <v>None</v>
      </c>
      <c r="G96" s="4">
        <v>28</v>
      </c>
      <c r="H96" s="18">
        <v>990</v>
      </c>
      <c r="I96" s="20" t="str">
        <v>F</v>
      </c>
      <c r="J96" s="20">
        <v>23</v>
      </c>
      <c r="K96" s="20">
        <v>999</v>
      </c>
      <c r="L96" s="20" t="str">
        <v>F</v>
      </c>
      <c r="M96" s="20">
        <v>19</v>
      </c>
      <c r="N96" s="20">
        <v>998</v>
      </c>
      <c r="O96" s="20" t="str">
        <v>F</v>
      </c>
      <c r="P96" s="20">
        <v>70</v>
      </c>
      <c r="Q96" s="20">
        <v>3</v>
      </c>
      <c r="R96" s="20" t="str">
        <v>At risk</v>
      </c>
    </row>
    <row r="97" spans="1:18">
      <c r="A97" s="4" t="str">
        <v>Stu-330</v>
      </c>
      <c r="B97" s="4" t="str">
        <v>Female</v>
      </c>
      <c r="C97" s="4" t="str">
        <v>Group B</v>
      </c>
      <c r="D97" s="4" t="str">
        <v>Some High School</v>
      </c>
      <c r="E97" s="4" t="str">
        <v>Standard</v>
      </c>
      <c r="F97" s="4" t="str">
        <v>None</v>
      </c>
      <c r="G97" s="4">
        <v>41</v>
      </c>
      <c r="H97" s="18">
        <v>947</v>
      </c>
      <c r="I97" s="20" t="str">
        <v>F</v>
      </c>
      <c r="J97" s="20">
        <v>55</v>
      </c>
      <c r="K97" s="20">
        <v>833</v>
      </c>
      <c r="L97" s="20" t="str">
        <v>F</v>
      </c>
      <c r="M97" s="20">
        <v>51</v>
      </c>
      <c r="N97" s="20">
        <v>865</v>
      </c>
      <c r="O97" s="20" t="str">
        <v>F</v>
      </c>
      <c r="P97" s="20">
        <v>147</v>
      </c>
      <c r="Q97" s="20">
        <v>3</v>
      </c>
      <c r="R97" s="20" t="str">
        <v>At risk</v>
      </c>
    </row>
    <row r="98" spans="1:18">
      <c r="A98" s="4" t="str">
        <v>Stu-332</v>
      </c>
      <c r="B98" s="4" t="str">
        <v>Male</v>
      </c>
      <c r="C98" s="4" t="str">
        <v>Group C</v>
      </c>
      <c r="D98" s="4" t="str">
        <v>Associate's Degree</v>
      </c>
      <c r="E98" s="4" t="str">
        <v>Standard</v>
      </c>
      <c r="F98" s="4" t="str">
        <v>None</v>
      </c>
      <c r="G98" s="4">
        <v>47</v>
      </c>
      <c r="H98" s="18">
        <v>898</v>
      </c>
      <c r="I98" s="20" t="str">
        <v>F</v>
      </c>
      <c r="J98" s="20">
        <v>37</v>
      </c>
      <c r="K98" s="20">
        <v>985</v>
      </c>
      <c r="L98" s="20" t="str">
        <v>F</v>
      </c>
      <c r="M98" s="20">
        <v>35</v>
      </c>
      <c r="N98" s="20">
        <v>983</v>
      </c>
      <c r="O98" s="20" t="str">
        <v>F</v>
      </c>
      <c r="P98" s="20">
        <v>119</v>
      </c>
      <c r="Q98" s="20">
        <v>3</v>
      </c>
      <c r="R98" s="20" t="str">
        <v>At risk</v>
      </c>
    </row>
    <row r="99" spans="1:18">
      <c r="A99" s="4" t="str">
        <v>Stu-333</v>
      </c>
      <c r="B99" s="4" t="str">
        <v>Male</v>
      </c>
      <c r="C99" s="4" t="str">
        <v>Group E</v>
      </c>
      <c r="D99" s="4" t="str">
        <v>Associate's Degree</v>
      </c>
      <c r="E99" s="4" t="str">
        <v>Standard</v>
      </c>
      <c r="F99" s="4" t="str">
        <v>Completed</v>
      </c>
      <c r="G99" s="4">
        <v>62</v>
      </c>
      <c r="H99" s="18">
        <v>610</v>
      </c>
      <c r="I99" s="20" t="str">
        <v>D</v>
      </c>
      <c r="J99" s="20">
        <v>56</v>
      </c>
      <c r="K99" s="20">
        <v>815</v>
      </c>
      <c r="L99" s="20" t="str">
        <v>F</v>
      </c>
      <c r="M99" s="20">
        <v>53</v>
      </c>
      <c r="N99" s="20">
        <v>826</v>
      </c>
      <c r="O99" s="20" t="str">
        <v>F</v>
      </c>
      <c r="P99" s="20">
        <v>171</v>
      </c>
      <c r="Q99" s="20">
        <v>2</v>
      </c>
      <c r="R99" s="20" t="str">
        <v>At risk</v>
      </c>
    </row>
    <row r="100" spans="1:18">
      <c r="A100" s="4" t="str">
        <v>Stu-338</v>
      </c>
      <c r="B100" s="4" t="str">
        <v>Male</v>
      </c>
      <c r="C100" s="4" t="str">
        <v>Group C</v>
      </c>
      <c r="D100" s="4" t="str">
        <v>Associate's Degree</v>
      </c>
      <c r="E100" s="4" t="str">
        <v>Standard</v>
      </c>
      <c r="F100" s="4" t="str">
        <v>None</v>
      </c>
      <c r="G100" s="4">
        <v>49</v>
      </c>
      <c r="H100" s="18">
        <v>870</v>
      </c>
      <c r="I100" s="20" t="str">
        <v>F</v>
      </c>
      <c r="J100" s="20">
        <v>51</v>
      </c>
      <c r="K100" s="20">
        <v>893</v>
      </c>
      <c r="L100" s="20" t="str">
        <v>F</v>
      </c>
      <c r="M100" s="20">
        <v>43</v>
      </c>
      <c r="N100" s="20">
        <v>944</v>
      </c>
      <c r="O100" s="20" t="str">
        <v>F</v>
      </c>
      <c r="P100" s="20">
        <v>143</v>
      </c>
      <c r="Q100" s="20">
        <v>3</v>
      </c>
      <c r="R100" s="20" t="str">
        <v>At risk</v>
      </c>
    </row>
    <row r="101" spans="1:18">
      <c r="A101" s="4" t="str">
        <v>Stu-339</v>
      </c>
      <c r="B101" s="4" t="str">
        <v>Female</v>
      </c>
      <c r="C101" s="4" t="str">
        <v>Group B</v>
      </c>
      <c r="D101" s="4" t="str">
        <v>Some High School</v>
      </c>
      <c r="E101" s="4" t="str">
        <v>Free/Reduced</v>
      </c>
      <c r="F101" s="4" t="str">
        <v>None</v>
      </c>
      <c r="G101" s="4">
        <v>24</v>
      </c>
      <c r="H101" s="18">
        <v>994</v>
      </c>
      <c r="I101" s="20" t="str">
        <v>F</v>
      </c>
      <c r="J101" s="20">
        <v>38</v>
      </c>
      <c r="K101" s="20">
        <v>981</v>
      </c>
      <c r="L101" s="20" t="str">
        <v>F</v>
      </c>
      <c r="M101" s="20">
        <v>27</v>
      </c>
      <c r="N101" s="20">
        <v>994</v>
      </c>
      <c r="O101" s="20" t="str">
        <v>F</v>
      </c>
      <c r="P101" s="20">
        <v>89</v>
      </c>
      <c r="Q101" s="20">
        <v>3</v>
      </c>
      <c r="R101" s="20" t="str">
        <v>At risk</v>
      </c>
    </row>
    <row r="102" spans="1:18">
      <c r="A102" s="4" t="str">
        <v>Stu-340</v>
      </c>
      <c r="B102" s="4" t="str">
        <v>Female</v>
      </c>
      <c r="C102" s="4" t="str">
        <v>Group D</v>
      </c>
      <c r="D102" s="4" t="str">
        <v>Some High School</v>
      </c>
      <c r="E102" s="4" t="str">
        <v>Free/Reduced</v>
      </c>
      <c r="F102" s="4" t="str">
        <v>Completed</v>
      </c>
      <c r="G102" s="4">
        <v>35</v>
      </c>
      <c r="H102" s="18">
        <v>975</v>
      </c>
      <c r="I102" s="20" t="str">
        <v>F</v>
      </c>
      <c r="J102" s="20">
        <v>55</v>
      </c>
      <c r="K102" s="20">
        <v>834</v>
      </c>
      <c r="L102" s="20" t="str">
        <v>F</v>
      </c>
      <c r="M102" s="20">
        <v>60</v>
      </c>
      <c r="N102" s="20">
        <v>703</v>
      </c>
      <c r="O102" s="20" t="str">
        <v>D</v>
      </c>
      <c r="P102" s="20">
        <v>150</v>
      </c>
      <c r="Q102" s="20">
        <v>2</v>
      </c>
      <c r="R102" s="20" t="str">
        <v>At risk</v>
      </c>
    </row>
    <row r="103" spans="1:18">
      <c r="A103" s="4" t="str">
        <v>Stu-341</v>
      </c>
      <c r="B103" s="4" t="str">
        <v>Male</v>
      </c>
      <c r="C103" s="4" t="str">
        <v>Group C</v>
      </c>
      <c r="D103" s="4" t="str">
        <v>High School</v>
      </c>
      <c r="E103" s="4" t="str">
        <v>Free/Reduced</v>
      </c>
      <c r="F103" s="4" t="str">
        <v>None</v>
      </c>
      <c r="G103" s="4">
        <v>58</v>
      </c>
      <c r="H103" s="18">
        <v>722</v>
      </c>
      <c r="I103" s="20" t="str">
        <v>F</v>
      </c>
      <c r="J103" s="20">
        <v>61</v>
      </c>
      <c r="K103" s="20">
        <v>708</v>
      </c>
      <c r="L103" s="20" t="str">
        <v>D</v>
      </c>
      <c r="M103" s="20">
        <v>52</v>
      </c>
      <c r="N103" s="20">
        <v>846</v>
      </c>
      <c r="O103" s="20" t="str">
        <v>F</v>
      </c>
      <c r="P103" s="20">
        <v>171</v>
      </c>
      <c r="Q103" s="20">
        <v>2</v>
      </c>
      <c r="R103" s="20" t="str">
        <v>At risk</v>
      </c>
    </row>
    <row r="104" spans="1:18">
      <c r="A104" s="4" t="str">
        <v>Stu-352</v>
      </c>
      <c r="B104" s="4" t="str">
        <v>Male</v>
      </c>
      <c r="C104" s="4" t="str">
        <v>Group E</v>
      </c>
      <c r="D104" s="4" t="str">
        <v>Some College</v>
      </c>
      <c r="E104" s="4" t="str">
        <v>Standard</v>
      </c>
      <c r="F104" s="4" t="str">
        <v>None</v>
      </c>
      <c r="G104" s="4">
        <v>66</v>
      </c>
      <c r="H104" s="18">
        <v>502</v>
      </c>
      <c r="I104" s="20" t="str">
        <v>D</v>
      </c>
      <c r="J104" s="20">
        <v>57</v>
      </c>
      <c r="K104" s="20">
        <v>796</v>
      </c>
      <c r="L104" s="20" t="str">
        <v>F</v>
      </c>
      <c r="M104" s="20">
        <v>52</v>
      </c>
      <c r="N104" s="20">
        <v>847</v>
      </c>
      <c r="O104" s="20" t="str">
        <v>F</v>
      </c>
      <c r="P104" s="20">
        <v>175</v>
      </c>
      <c r="Q104" s="20">
        <v>2</v>
      </c>
      <c r="R104" s="20" t="str">
        <v>At risk</v>
      </c>
    </row>
    <row r="105" spans="1:18">
      <c r="A105" s="4" t="str">
        <v>Stu-354</v>
      </c>
      <c r="B105" s="4" t="str">
        <v>Female</v>
      </c>
      <c r="C105" s="4" t="str">
        <v>Group C</v>
      </c>
      <c r="D105" s="4" t="str">
        <v>Associate's Degree</v>
      </c>
      <c r="E105" s="4" t="str">
        <v>Standard</v>
      </c>
      <c r="F105" s="4" t="str">
        <v>None</v>
      </c>
      <c r="G105" s="4">
        <v>46</v>
      </c>
      <c r="H105" s="18">
        <v>910</v>
      </c>
      <c r="I105" s="20" t="str">
        <v>F</v>
      </c>
      <c r="J105" s="20">
        <v>58</v>
      </c>
      <c r="K105" s="20">
        <v>769</v>
      </c>
      <c r="L105" s="20" t="str">
        <v>F</v>
      </c>
      <c r="M105" s="20">
        <v>57</v>
      </c>
      <c r="N105" s="20">
        <v>758</v>
      </c>
      <c r="O105" s="20" t="str">
        <v>F</v>
      </c>
      <c r="P105" s="20">
        <v>161</v>
      </c>
      <c r="Q105" s="20">
        <v>3</v>
      </c>
      <c r="R105" s="20" t="str">
        <v>At risk</v>
      </c>
    </row>
    <row r="106" spans="1:18">
      <c r="A106" s="4" t="str">
        <v>Stu-361</v>
      </c>
      <c r="B106" s="4" t="str">
        <v>Female</v>
      </c>
      <c r="C106" s="4" t="str">
        <v>Group B</v>
      </c>
      <c r="D106" s="4" t="str">
        <v>High School</v>
      </c>
      <c r="E106" s="4" t="str">
        <v>Standard</v>
      </c>
      <c r="F106" s="4" t="str">
        <v>None</v>
      </c>
      <c r="G106" s="4">
        <v>58</v>
      </c>
      <c r="H106" s="18">
        <v>723</v>
      </c>
      <c r="I106" s="20" t="str">
        <v>F</v>
      </c>
      <c r="J106" s="20">
        <v>62</v>
      </c>
      <c r="K106" s="20">
        <v>687</v>
      </c>
      <c r="L106" s="20" t="str">
        <v>D</v>
      </c>
      <c r="M106" s="20">
        <v>59</v>
      </c>
      <c r="N106" s="20">
        <v>722</v>
      </c>
      <c r="O106" s="20" t="str">
        <v>F</v>
      </c>
      <c r="P106" s="20">
        <v>179</v>
      </c>
      <c r="Q106" s="20">
        <v>2</v>
      </c>
      <c r="R106" s="20" t="str">
        <v>At risk</v>
      </c>
    </row>
    <row r="107" spans="1:18">
      <c r="A107" s="4" t="str">
        <v>Stu-363</v>
      </c>
      <c r="B107" s="4" t="str">
        <v>Female</v>
      </c>
      <c r="C107" s="4" t="str">
        <v>Group C</v>
      </c>
      <c r="D107" s="4" t="str">
        <v>Some College</v>
      </c>
      <c r="E107" s="4" t="str">
        <v>Standard</v>
      </c>
      <c r="F107" s="4" t="str">
        <v>None</v>
      </c>
      <c r="G107" s="4">
        <v>52</v>
      </c>
      <c r="H107" s="18">
        <v>828</v>
      </c>
      <c r="I107" s="20" t="str">
        <v>F</v>
      </c>
      <c r="J107" s="20">
        <v>58</v>
      </c>
      <c r="K107" s="20">
        <v>770</v>
      </c>
      <c r="L107" s="20" t="str">
        <v>F</v>
      </c>
      <c r="M107" s="20">
        <v>58</v>
      </c>
      <c r="N107" s="20">
        <v>737</v>
      </c>
      <c r="O107" s="20" t="str">
        <v>F</v>
      </c>
      <c r="P107" s="20">
        <v>168</v>
      </c>
      <c r="Q107" s="20">
        <v>3</v>
      </c>
      <c r="R107" s="20" t="str">
        <v>At risk</v>
      </c>
    </row>
    <row r="108" spans="1:18">
      <c r="A108" s="4" t="str">
        <v>Stu-364</v>
      </c>
      <c r="B108" s="4" t="str">
        <v>Female</v>
      </c>
      <c r="C108" s="4" t="str">
        <v>Group D</v>
      </c>
      <c r="D108" s="4" t="str">
        <v>Some High School</v>
      </c>
      <c r="E108" s="4" t="str">
        <v>Free/Reduced</v>
      </c>
      <c r="F108" s="4" t="str">
        <v>None</v>
      </c>
      <c r="G108" s="4">
        <v>27</v>
      </c>
      <c r="H108" s="18">
        <v>992</v>
      </c>
      <c r="I108" s="20" t="str">
        <v>F</v>
      </c>
      <c r="J108" s="20">
        <v>34</v>
      </c>
      <c r="K108" s="20">
        <v>987</v>
      </c>
      <c r="L108" s="20" t="str">
        <v>F</v>
      </c>
      <c r="M108" s="20">
        <v>32</v>
      </c>
      <c r="N108" s="20">
        <v>989</v>
      </c>
      <c r="O108" s="20" t="str">
        <v>F</v>
      </c>
      <c r="P108" s="20">
        <v>93</v>
      </c>
      <c r="Q108" s="20">
        <v>3</v>
      </c>
      <c r="R108" s="20" t="str">
        <v>At risk</v>
      </c>
    </row>
    <row r="109" spans="1:18">
      <c r="A109" s="4" t="str">
        <v>Stu-365</v>
      </c>
      <c r="B109" s="4" t="str">
        <v>Male</v>
      </c>
      <c r="C109" s="4" t="str">
        <v>Group C</v>
      </c>
      <c r="D109" s="4" t="str">
        <v>Some College</v>
      </c>
      <c r="E109" s="4" t="str">
        <v>Standard</v>
      </c>
      <c r="F109" s="4" t="str">
        <v>None</v>
      </c>
      <c r="G109" s="4">
        <v>59</v>
      </c>
      <c r="H109" s="18">
        <v>691</v>
      </c>
      <c r="I109" s="20" t="str">
        <v>F</v>
      </c>
      <c r="J109" s="20">
        <v>60</v>
      </c>
      <c r="K109" s="20">
        <v>733</v>
      </c>
      <c r="L109" s="20" t="str">
        <v>D</v>
      </c>
      <c r="M109" s="20">
        <v>58</v>
      </c>
      <c r="N109" s="20">
        <v>738</v>
      </c>
      <c r="O109" s="20" t="str">
        <v>F</v>
      </c>
      <c r="P109" s="20">
        <v>177</v>
      </c>
      <c r="Q109" s="20">
        <v>2</v>
      </c>
      <c r="R109" s="20" t="str">
        <v>At risk</v>
      </c>
    </row>
    <row r="110" spans="1:18">
      <c r="A110" s="4" t="str">
        <v>Stu-366</v>
      </c>
      <c r="B110" s="4" t="str">
        <v>Male</v>
      </c>
      <c r="C110" s="4" t="str">
        <v>Group A</v>
      </c>
      <c r="D110" s="4" t="str">
        <v>Bachelor's Degree</v>
      </c>
      <c r="E110" s="4" t="str">
        <v>Free/Reduced</v>
      </c>
      <c r="F110" s="4" t="str">
        <v>Completed</v>
      </c>
      <c r="G110" s="4">
        <v>49</v>
      </c>
      <c r="H110" s="18">
        <v>871</v>
      </c>
      <c r="I110" s="20" t="str">
        <v>F</v>
      </c>
      <c r="J110" s="20">
        <v>58</v>
      </c>
      <c r="K110" s="20">
        <v>771</v>
      </c>
      <c r="L110" s="20" t="str">
        <v>F</v>
      </c>
      <c r="M110" s="20">
        <v>60</v>
      </c>
      <c r="N110" s="20">
        <v>704</v>
      </c>
      <c r="O110" s="20" t="str">
        <v>D</v>
      </c>
      <c r="P110" s="20">
        <v>167</v>
      </c>
      <c r="Q110" s="20">
        <v>2</v>
      </c>
      <c r="R110" s="20" t="str">
        <v>At risk</v>
      </c>
    </row>
    <row r="111" spans="1:18">
      <c r="A111" s="4" t="str">
        <v>Stu-367</v>
      </c>
      <c r="B111" s="4" t="str">
        <v>Male</v>
      </c>
      <c r="C111" s="4" t="str">
        <v>Group C</v>
      </c>
      <c r="D111" s="4" t="str">
        <v>High School</v>
      </c>
      <c r="E111" s="4" t="str">
        <v>Standard</v>
      </c>
      <c r="F111" s="4" t="str">
        <v>Completed</v>
      </c>
      <c r="G111" s="4">
        <v>69</v>
      </c>
      <c r="H111" s="18">
        <v>422</v>
      </c>
      <c r="I111" s="20" t="str">
        <v>D</v>
      </c>
      <c r="J111" s="20">
        <v>58</v>
      </c>
      <c r="K111" s="20">
        <v>772</v>
      </c>
      <c r="L111" s="20" t="str">
        <v>F</v>
      </c>
      <c r="M111" s="20">
        <v>53</v>
      </c>
      <c r="N111" s="20">
        <v>827</v>
      </c>
      <c r="O111" s="20" t="str">
        <v>F</v>
      </c>
      <c r="P111" s="20">
        <v>180</v>
      </c>
      <c r="Q111" s="20">
        <v>2</v>
      </c>
      <c r="R111" s="20" t="str">
        <v>At risk</v>
      </c>
    </row>
    <row r="112" spans="1:18">
      <c r="A112" s="4" t="str">
        <v>Stu-369</v>
      </c>
      <c r="B112" s="4" t="str">
        <v>Female</v>
      </c>
      <c r="C112" s="4" t="str">
        <v>Group A</v>
      </c>
      <c r="D112" s="4" t="str">
        <v>Some High School</v>
      </c>
      <c r="E112" s="4" t="str">
        <v>Free/Reduced</v>
      </c>
      <c r="F112" s="4" t="str">
        <v>None</v>
      </c>
      <c r="G112" s="4">
        <v>44</v>
      </c>
      <c r="H112" s="18">
        <v>928</v>
      </c>
      <c r="I112" s="20" t="str">
        <v>F</v>
      </c>
      <c r="J112" s="20">
        <v>64</v>
      </c>
      <c r="K112" s="20">
        <v>639</v>
      </c>
      <c r="L112" s="20" t="str">
        <v>D</v>
      </c>
      <c r="M112" s="20">
        <v>58</v>
      </c>
      <c r="N112" s="20">
        <v>739</v>
      </c>
      <c r="O112" s="20" t="str">
        <v>F</v>
      </c>
      <c r="P112" s="20">
        <v>166</v>
      </c>
      <c r="Q112" s="20">
        <v>2</v>
      </c>
      <c r="R112" s="20" t="str">
        <v>At risk</v>
      </c>
    </row>
    <row r="113" spans="1:18">
      <c r="A113" s="4" t="str">
        <v>Stu-376</v>
      </c>
      <c r="B113" s="4" t="str">
        <v>Male</v>
      </c>
      <c r="C113" s="4" t="str">
        <v>Group E</v>
      </c>
      <c r="D113" s="4" t="str">
        <v>Associate's Degree</v>
      </c>
      <c r="E113" s="4" t="str">
        <v>Free/Reduced</v>
      </c>
      <c r="F113" s="4" t="str">
        <v>None</v>
      </c>
      <c r="G113" s="4">
        <v>46</v>
      </c>
      <c r="H113" s="18">
        <v>911</v>
      </c>
      <c r="I113" s="20" t="str">
        <v>F</v>
      </c>
      <c r="J113" s="20">
        <v>43</v>
      </c>
      <c r="K113" s="20">
        <v>955</v>
      </c>
      <c r="L113" s="20" t="str">
        <v>F</v>
      </c>
      <c r="M113" s="20">
        <v>41</v>
      </c>
      <c r="N113" s="20">
        <v>961</v>
      </c>
      <c r="O113" s="20" t="str">
        <v>F</v>
      </c>
      <c r="P113" s="20">
        <v>130</v>
      </c>
      <c r="Q113" s="20">
        <v>3</v>
      </c>
      <c r="R113" s="20" t="str">
        <v>At risk</v>
      </c>
    </row>
    <row r="114" spans="1:18">
      <c r="A114" s="4" t="str">
        <v>Stu-384</v>
      </c>
      <c r="B114" s="4" t="str">
        <v>Female</v>
      </c>
      <c r="C114" s="4" t="str">
        <v>Group E</v>
      </c>
      <c r="D114" s="4" t="str">
        <v>Some High School</v>
      </c>
      <c r="E114" s="4" t="str">
        <v>Free/Reduced</v>
      </c>
      <c r="F114" s="4" t="str">
        <v>None</v>
      </c>
      <c r="G114" s="4">
        <v>38</v>
      </c>
      <c r="H114" s="18">
        <v>966</v>
      </c>
      <c r="I114" s="20" t="str">
        <v>F</v>
      </c>
      <c r="J114" s="20">
        <v>49</v>
      </c>
      <c r="K114" s="20">
        <v>917</v>
      </c>
      <c r="L114" s="20" t="str">
        <v>F</v>
      </c>
      <c r="M114" s="20">
        <v>45</v>
      </c>
      <c r="N114" s="20">
        <v>926</v>
      </c>
      <c r="O114" s="20" t="str">
        <v>F</v>
      </c>
      <c r="P114" s="20">
        <v>132</v>
      </c>
      <c r="Q114" s="20">
        <v>3</v>
      </c>
      <c r="R114" s="20" t="str">
        <v>At risk</v>
      </c>
    </row>
    <row r="115" spans="1:18">
      <c r="A115" s="4" t="str">
        <v>Stu-385</v>
      </c>
      <c r="B115" s="4" t="str">
        <v>Female</v>
      </c>
      <c r="C115" s="4" t="str">
        <v>Group A</v>
      </c>
      <c r="D115" s="4" t="str">
        <v>Some High School</v>
      </c>
      <c r="E115" s="4" t="str">
        <v>Free/Reduced</v>
      </c>
      <c r="F115" s="4" t="str">
        <v>None</v>
      </c>
      <c r="G115" s="4">
        <v>38</v>
      </c>
      <c r="H115" s="18">
        <v>967</v>
      </c>
      <c r="I115" s="20" t="str">
        <v>F</v>
      </c>
      <c r="J115" s="20">
        <v>43</v>
      </c>
      <c r="K115" s="20">
        <v>956</v>
      </c>
      <c r="L115" s="20" t="str">
        <v>F</v>
      </c>
      <c r="M115" s="20">
        <v>43</v>
      </c>
      <c r="N115" s="20">
        <v>945</v>
      </c>
      <c r="O115" s="20" t="str">
        <v>F</v>
      </c>
      <c r="P115" s="20">
        <v>124</v>
      </c>
      <c r="Q115" s="20">
        <v>3</v>
      </c>
      <c r="R115" s="20" t="str">
        <v>At risk</v>
      </c>
    </row>
    <row r="116" spans="1:18">
      <c r="A116" s="4" t="str">
        <v>Stu-394</v>
      </c>
      <c r="B116" s="4" t="str">
        <v>Male</v>
      </c>
      <c r="C116" s="4" t="str">
        <v>Group C</v>
      </c>
      <c r="D116" s="4" t="str">
        <v>Associate's Degree</v>
      </c>
      <c r="E116" s="4" t="str">
        <v>Standard</v>
      </c>
      <c r="F116" s="4" t="str">
        <v>Completed</v>
      </c>
      <c r="G116" s="4">
        <v>57</v>
      </c>
      <c r="H116" s="18">
        <v>741</v>
      </c>
      <c r="I116" s="20" t="str">
        <v>F</v>
      </c>
      <c r="J116" s="20">
        <v>54</v>
      </c>
      <c r="K116" s="20">
        <v>848</v>
      </c>
      <c r="L116" s="20" t="str">
        <v>F</v>
      </c>
      <c r="M116" s="20">
        <v>56</v>
      </c>
      <c r="N116" s="20">
        <v>776</v>
      </c>
      <c r="O116" s="20" t="str">
        <v>F</v>
      </c>
      <c r="P116" s="20">
        <v>167</v>
      </c>
      <c r="Q116" s="20">
        <v>3</v>
      </c>
      <c r="R116" s="20" t="str">
        <v>At risk</v>
      </c>
    </row>
    <row r="117" spans="1:18">
      <c r="A117" s="4" t="str">
        <v>Stu-396</v>
      </c>
      <c r="B117" s="4" t="str">
        <v>Male</v>
      </c>
      <c r="C117" s="4" t="str">
        <v>Group A</v>
      </c>
      <c r="D117" s="4" t="str">
        <v>High School</v>
      </c>
      <c r="E117" s="4" t="str">
        <v>Free/Reduced</v>
      </c>
      <c r="F117" s="4" t="str">
        <v>None</v>
      </c>
      <c r="G117" s="4">
        <v>48</v>
      </c>
      <c r="H117" s="18">
        <v>884</v>
      </c>
      <c r="I117" s="20" t="str">
        <v>F</v>
      </c>
      <c r="J117" s="20">
        <v>45</v>
      </c>
      <c r="K117" s="20">
        <v>943</v>
      </c>
      <c r="L117" s="20" t="str">
        <v>F</v>
      </c>
      <c r="M117" s="20">
        <v>41</v>
      </c>
      <c r="N117" s="20">
        <v>962</v>
      </c>
      <c r="O117" s="20" t="str">
        <v>F</v>
      </c>
      <c r="P117" s="20">
        <v>134</v>
      </c>
      <c r="Q117" s="20">
        <v>3</v>
      </c>
      <c r="R117" s="20" t="str">
        <v>At risk</v>
      </c>
    </row>
    <row r="118" spans="1:18">
      <c r="A118" s="4" t="str">
        <v>Stu-400</v>
      </c>
      <c r="B118" s="4" t="str">
        <v>Male</v>
      </c>
      <c r="C118" s="4" t="str">
        <v>Group D</v>
      </c>
      <c r="D118" s="4" t="str">
        <v>Some High School</v>
      </c>
      <c r="E118" s="4" t="str">
        <v>Standard</v>
      </c>
      <c r="F118" s="4" t="str">
        <v>None</v>
      </c>
      <c r="G118" s="4">
        <v>60</v>
      </c>
      <c r="H118" s="18">
        <v>667</v>
      </c>
      <c r="I118" s="20" t="str">
        <v>D</v>
      </c>
      <c r="J118" s="20">
        <v>59</v>
      </c>
      <c r="K118" s="20">
        <v>748</v>
      </c>
      <c r="L118" s="20" t="str">
        <v>F</v>
      </c>
      <c r="M118" s="20">
        <v>54</v>
      </c>
      <c r="N118" s="20">
        <v>806</v>
      </c>
      <c r="O118" s="20" t="str">
        <v>F</v>
      </c>
      <c r="P118" s="20">
        <v>173</v>
      </c>
      <c r="Q118" s="20">
        <v>2</v>
      </c>
      <c r="R118" s="20" t="str">
        <v>At risk</v>
      </c>
    </row>
    <row r="119" spans="1:18">
      <c r="A119" s="4" t="str">
        <v>Stu-401</v>
      </c>
      <c r="B119" s="4" t="str">
        <v>Female</v>
      </c>
      <c r="C119" s="4" t="str">
        <v>Group C</v>
      </c>
      <c r="D119" s="4" t="str">
        <v>Some High School</v>
      </c>
      <c r="E119" s="4" t="str">
        <v>Standard</v>
      </c>
      <c r="F119" s="4" t="str">
        <v>Completed</v>
      </c>
      <c r="G119" s="4">
        <v>59</v>
      </c>
      <c r="H119" s="18">
        <v>693</v>
      </c>
      <c r="I119" s="20" t="str">
        <v>F</v>
      </c>
      <c r="J119" s="20">
        <v>54</v>
      </c>
      <c r="K119" s="20">
        <v>849</v>
      </c>
      <c r="L119" s="20" t="str">
        <v>F</v>
      </c>
      <c r="M119" s="20">
        <v>67</v>
      </c>
      <c r="N119" s="20">
        <v>555</v>
      </c>
      <c r="O119" s="20" t="str">
        <v>D</v>
      </c>
      <c r="P119" s="20">
        <v>180</v>
      </c>
      <c r="Q119" s="20">
        <v>2</v>
      </c>
      <c r="R119" s="20" t="str">
        <v>At risk</v>
      </c>
    </row>
    <row r="120" spans="1:18">
      <c r="A120" s="4" t="str">
        <v>Stu-402</v>
      </c>
      <c r="B120" s="4" t="str">
        <v>Male</v>
      </c>
      <c r="C120" s="4" t="str">
        <v>Group A</v>
      </c>
      <c r="D120" s="4" t="str">
        <v>Some College</v>
      </c>
      <c r="E120" s="4" t="str">
        <v>Standard</v>
      </c>
      <c r="F120" s="4" t="str">
        <v>None</v>
      </c>
      <c r="G120" s="4">
        <v>53</v>
      </c>
      <c r="H120" s="18">
        <v>805</v>
      </c>
      <c r="I120" s="20" t="str">
        <v>F</v>
      </c>
      <c r="J120" s="20">
        <v>43</v>
      </c>
      <c r="K120" s="20">
        <v>957</v>
      </c>
      <c r="L120" s="20" t="str">
        <v>F</v>
      </c>
      <c r="M120" s="20">
        <v>43</v>
      </c>
      <c r="N120" s="20">
        <v>946</v>
      </c>
      <c r="O120" s="20" t="str">
        <v>F</v>
      </c>
      <c r="P120" s="20">
        <v>139</v>
      </c>
      <c r="Q120" s="20">
        <v>3</v>
      </c>
      <c r="R120" s="20" t="str">
        <v>At risk</v>
      </c>
    </row>
    <row r="121" spans="1:18">
      <c r="A121" s="4" t="str">
        <v>Stu-403</v>
      </c>
      <c r="B121" s="4" t="str">
        <v>Female</v>
      </c>
      <c r="C121" s="4" t="str">
        <v>Group A</v>
      </c>
      <c r="D121" s="4" t="str">
        <v>Some College</v>
      </c>
      <c r="E121" s="4" t="str">
        <v>Free/Reduced</v>
      </c>
      <c r="F121" s="4" t="str">
        <v>None</v>
      </c>
      <c r="G121" s="4">
        <v>49</v>
      </c>
      <c r="H121" s="18">
        <v>872</v>
      </c>
      <c r="I121" s="20" t="str">
        <v>F</v>
      </c>
      <c r="J121" s="20">
        <v>65</v>
      </c>
      <c r="K121" s="20">
        <v>616</v>
      </c>
      <c r="L121" s="20" t="str">
        <v>D</v>
      </c>
      <c r="M121" s="20">
        <v>55</v>
      </c>
      <c r="N121" s="20">
        <v>788</v>
      </c>
      <c r="O121" s="20" t="str">
        <v>F</v>
      </c>
      <c r="P121" s="20">
        <v>169</v>
      </c>
      <c r="Q121" s="20">
        <v>2</v>
      </c>
      <c r="R121" s="20" t="str">
        <v>At risk</v>
      </c>
    </row>
    <row r="122" spans="1:18">
      <c r="A122" s="4" t="str">
        <v>Stu-405</v>
      </c>
      <c r="B122" s="4" t="str">
        <v>Female</v>
      </c>
      <c r="C122" s="4" t="str">
        <v>Group C</v>
      </c>
      <c r="D122" s="4" t="str">
        <v>High School</v>
      </c>
      <c r="E122" s="4" t="str">
        <v>Standard</v>
      </c>
      <c r="F122" s="4" t="str">
        <v>None</v>
      </c>
      <c r="G122" s="4">
        <v>54</v>
      </c>
      <c r="H122" s="18">
        <v>785</v>
      </c>
      <c r="I122" s="20" t="str">
        <v>F</v>
      </c>
      <c r="J122" s="20">
        <v>59</v>
      </c>
      <c r="K122" s="20">
        <v>749</v>
      </c>
      <c r="L122" s="20" t="str">
        <v>F</v>
      </c>
      <c r="M122" s="20">
        <v>62</v>
      </c>
      <c r="N122" s="20">
        <v>663</v>
      </c>
      <c r="O122" s="20" t="str">
        <v>D</v>
      </c>
      <c r="P122" s="20">
        <v>175</v>
      </c>
      <c r="Q122" s="20">
        <v>2</v>
      </c>
      <c r="R122" s="20" t="str">
        <v>At risk</v>
      </c>
    </row>
    <row r="123" spans="1:18">
      <c r="A123" s="4" t="str">
        <v>Stu-409</v>
      </c>
      <c r="B123" s="4" t="str">
        <v>Female</v>
      </c>
      <c r="C123" s="4" t="str">
        <v>Group D</v>
      </c>
      <c r="D123" s="4" t="str">
        <v>High School</v>
      </c>
      <c r="E123" s="4" t="str">
        <v>Free/Reduced</v>
      </c>
      <c r="F123" s="4" t="str">
        <v>Completed</v>
      </c>
      <c r="G123" s="4">
        <v>52</v>
      </c>
      <c r="H123" s="18">
        <v>829</v>
      </c>
      <c r="I123" s="20" t="str">
        <v>F</v>
      </c>
      <c r="J123" s="20">
        <v>57</v>
      </c>
      <c r="K123" s="20">
        <v>797</v>
      </c>
      <c r="L123" s="20" t="str">
        <v>F</v>
      </c>
      <c r="M123" s="20">
        <v>56</v>
      </c>
      <c r="N123" s="20">
        <v>777</v>
      </c>
      <c r="O123" s="20" t="str">
        <v>F</v>
      </c>
      <c r="P123" s="20">
        <v>165</v>
      </c>
      <c r="Q123" s="20">
        <v>3</v>
      </c>
      <c r="R123" s="20" t="str">
        <v>At risk</v>
      </c>
    </row>
    <row r="124" spans="1:18">
      <c r="A124" s="4" t="str">
        <v>Stu-420</v>
      </c>
      <c r="B124" s="4" t="str">
        <v>Male</v>
      </c>
      <c r="C124" s="4" t="str">
        <v>Group E</v>
      </c>
      <c r="D124" s="4" t="str">
        <v>High School</v>
      </c>
      <c r="E124" s="4" t="str">
        <v>Free/Reduced</v>
      </c>
      <c r="F124" s="4" t="str">
        <v>Completed</v>
      </c>
      <c r="G124" s="4">
        <v>57</v>
      </c>
      <c r="H124" s="18">
        <v>742</v>
      </c>
      <c r="I124" s="20" t="str">
        <v>F</v>
      </c>
      <c r="J124" s="20">
        <v>56</v>
      </c>
      <c r="K124" s="20">
        <v>816</v>
      </c>
      <c r="L124" s="20" t="str">
        <v>F</v>
      </c>
      <c r="M124" s="20">
        <v>54</v>
      </c>
      <c r="N124" s="20">
        <v>807</v>
      </c>
      <c r="O124" s="20" t="str">
        <v>F</v>
      </c>
      <c r="P124" s="20">
        <v>167</v>
      </c>
      <c r="Q124" s="20">
        <v>3</v>
      </c>
      <c r="R124" s="20" t="str">
        <v>At risk</v>
      </c>
    </row>
    <row r="125" spans="1:18">
      <c r="A125" s="4" t="str">
        <v>Stu-422</v>
      </c>
      <c r="B125" s="4" t="str">
        <v>Female</v>
      </c>
      <c r="C125" s="4" t="str">
        <v>Group D</v>
      </c>
      <c r="D125" s="4" t="str">
        <v>High School</v>
      </c>
      <c r="E125" s="4" t="str">
        <v>Standard</v>
      </c>
      <c r="F125" s="4" t="str">
        <v>Completed</v>
      </c>
      <c r="G125" s="4">
        <v>57</v>
      </c>
      <c r="H125" s="18">
        <v>743</v>
      </c>
      <c r="I125" s="20" t="str">
        <v>F</v>
      </c>
      <c r="J125" s="20">
        <v>58</v>
      </c>
      <c r="K125" s="20">
        <v>773</v>
      </c>
      <c r="L125" s="20" t="str">
        <v>F</v>
      </c>
      <c r="M125" s="20">
        <v>64</v>
      </c>
      <c r="N125" s="20">
        <v>621</v>
      </c>
      <c r="O125" s="20" t="str">
        <v>D</v>
      </c>
      <c r="P125" s="20">
        <v>179</v>
      </c>
      <c r="Q125" s="20">
        <v>2</v>
      </c>
      <c r="R125" s="20" t="str">
        <v>At risk</v>
      </c>
    </row>
    <row r="126" spans="1:18">
      <c r="A126" s="4" t="str">
        <v>Stu-423</v>
      </c>
      <c r="B126" s="4" t="str">
        <v>Female</v>
      </c>
      <c r="C126" s="4" t="str">
        <v>Group D</v>
      </c>
      <c r="D126" s="4" t="str">
        <v>Master's Degree</v>
      </c>
      <c r="E126" s="4" t="str">
        <v>Free/Reduced</v>
      </c>
      <c r="F126" s="4" t="str">
        <v>Completed</v>
      </c>
      <c r="G126" s="4">
        <v>47</v>
      </c>
      <c r="H126" s="18">
        <v>899</v>
      </c>
      <c r="I126" s="20" t="str">
        <v>F</v>
      </c>
      <c r="J126" s="20">
        <v>58</v>
      </c>
      <c r="K126" s="20">
        <v>774</v>
      </c>
      <c r="L126" s="20" t="str">
        <v>F</v>
      </c>
      <c r="M126" s="20">
        <v>67</v>
      </c>
      <c r="N126" s="20">
        <v>558</v>
      </c>
      <c r="O126" s="20" t="str">
        <v>D</v>
      </c>
      <c r="P126" s="20">
        <v>172</v>
      </c>
      <c r="Q126" s="20">
        <v>2</v>
      </c>
      <c r="R126" s="20" t="str">
        <v>At risk</v>
      </c>
    </row>
    <row r="127" spans="1:18">
      <c r="A127" s="4" t="str">
        <v>Stu-425</v>
      </c>
      <c r="B127" s="4" t="str">
        <v>Male</v>
      </c>
      <c r="C127" s="4" t="str">
        <v>Group B</v>
      </c>
      <c r="D127" s="4" t="str">
        <v>Some College</v>
      </c>
      <c r="E127" s="4" t="str">
        <v>Free/Reduced</v>
      </c>
      <c r="F127" s="4" t="str">
        <v>None</v>
      </c>
      <c r="G127" s="4">
        <v>41</v>
      </c>
      <c r="H127" s="18">
        <v>948</v>
      </c>
      <c r="I127" s="20" t="str">
        <v>F</v>
      </c>
      <c r="J127" s="20">
        <v>39</v>
      </c>
      <c r="K127" s="20">
        <v>978</v>
      </c>
      <c r="L127" s="20" t="str">
        <v>F</v>
      </c>
      <c r="M127" s="20">
        <v>34</v>
      </c>
      <c r="N127" s="20">
        <v>986</v>
      </c>
      <c r="O127" s="20" t="str">
        <v>F</v>
      </c>
      <c r="P127" s="20">
        <v>114</v>
      </c>
      <c r="Q127" s="20">
        <v>3</v>
      </c>
      <c r="R127" s="20" t="str">
        <v>At risk</v>
      </c>
    </row>
    <row r="128" spans="1:18">
      <c r="A128" s="4" t="str">
        <v>Stu-429</v>
      </c>
      <c r="B128" s="4" t="str">
        <v>Male</v>
      </c>
      <c r="C128" s="4" t="str">
        <v>Group A</v>
      </c>
      <c r="D128" s="4" t="str">
        <v>Some High School</v>
      </c>
      <c r="E128" s="4" t="str">
        <v>Free/Reduced</v>
      </c>
      <c r="F128" s="4" t="str">
        <v>None</v>
      </c>
      <c r="G128" s="4">
        <v>65</v>
      </c>
      <c r="H128" s="18">
        <v>535</v>
      </c>
      <c r="I128" s="20" t="str">
        <v>D</v>
      </c>
      <c r="J128" s="20">
        <v>59</v>
      </c>
      <c r="K128" s="20">
        <v>751</v>
      </c>
      <c r="L128" s="20" t="str">
        <v>F</v>
      </c>
      <c r="M128" s="20">
        <v>53</v>
      </c>
      <c r="N128" s="20">
        <v>828</v>
      </c>
      <c r="O128" s="20" t="str">
        <v>F</v>
      </c>
      <c r="P128" s="20">
        <v>177</v>
      </c>
      <c r="Q128" s="20">
        <v>2</v>
      </c>
      <c r="R128" s="20" t="str">
        <v>At risk</v>
      </c>
    </row>
    <row r="129" spans="1:18">
      <c r="A129" s="4" t="str">
        <v>Stu-433</v>
      </c>
      <c r="B129" s="4" t="str">
        <v>Male</v>
      </c>
      <c r="C129" s="4" t="str">
        <v>Group C</v>
      </c>
      <c r="D129" s="4" t="str">
        <v>High School</v>
      </c>
      <c r="E129" s="4" t="str">
        <v>Standard</v>
      </c>
      <c r="F129" s="4" t="str">
        <v>None</v>
      </c>
      <c r="G129" s="4">
        <v>61</v>
      </c>
      <c r="H129" s="18">
        <v>647</v>
      </c>
      <c r="I129" s="20" t="str">
        <v>D</v>
      </c>
      <c r="J129" s="20">
        <v>56</v>
      </c>
      <c r="K129" s="20">
        <v>817</v>
      </c>
      <c r="L129" s="20" t="str">
        <v>F</v>
      </c>
      <c r="M129" s="20">
        <v>55</v>
      </c>
      <c r="N129" s="20">
        <v>789</v>
      </c>
      <c r="O129" s="20" t="str">
        <v>F</v>
      </c>
      <c r="P129" s="20">
        <v>172</v>
      </c>
      <c r="Q129" s="20">
        <v>2</v>
      </c>
      <c r="R129" s="20" t="str">
        <v>At risk</v>
      </c>
    </row>
    <row r="130" spans="1:18">
      <c r="A130" s="4" t="str">
        <v>Stu-434</v>
      </c>
      <c r="B130" s="4" t="str">
        <v>Female</v>
      </c>
      <c r="C130" s="4" t="str">
        <v>Group A</v>
      </c>
      <c r="D130" s="4" t="str">
        <v>Some High School</v>
      </c>
      <c r="E130" s="4" t="str">
        <v>Free/Reduced</v>
      </c>
      <c r="F130" s="4" t="str">
        <v>None</v>
      </c>
      <c r="G130" s="4">
        <v>47</v>
      </c>
      <c r="H130" s="18">
        <v>900</v>
      </c>
      <c r="I130" s="20" t="str">
        <v>F</v>
      </c>
      <c r="J130" s="20">
        <v>59</v>
      </c>
      <c r="K130" s="20">
        <v>752</v>
      </c>
      <c r="L130" s="20" t="str">
        <v>F</v>
      </c>
      <c r="M130" s="20">
        <v>50</v>
      </c>
      <c r="N130" s="20">
        <v>881</v>
      </c>
      <c r="O130" s="20" t="str">
        <v>F</v>
      </c>
      <c r="P130" s="20">
        <v>156</v>
      </c>
      <c r="Q130" s="20">
        <v>3</v>
      </c>
      <c r="R130" s="20" t="str">
        <v>At risk</v>
      </c>
    </row>
    <row r="131" spans="1:18">
      <c r="A131" s="4" t="str">
        <v>Stu-436</v>
      </c>
      <c r="B131" s="4" t="str">
        <v>Male</v>
      </c>
      <c r="C131" s="4" t="str">
        <v>Group C</v>
      </c>
      <c r="D131" s="4" t="str">
        <v>Some College</v>
      </c>
      <c r="E131" s="4" t="str">
        <v>Free/Reduced</v>
      </c>
      <c r="F131" s="4" t="str">
        <v>Completed</v>
      </c>
      <c r="G131" s="4">
        <v>50</v>
      </c>
      <c r="H131" s="18">
        <v>857</v>
      </c>
      <c r="I131" s="20" t="str">
        <v>F</v>
      </c>
      <c r="J131" s="20">
        <v>48</v>
      </c>
      <c r="K131" s="20">
        <v>922</v>
      </c>
      <c r="L131" s="20" t="str">
        <v>F</v>
      </c>
      <c r="M131" s="20">
        <v>53</v>
      </c>
      <c r="N131" s="20">
        <v>829</v>
      </c>
      <c r="O131" s="20" t="str">
        <v>F</v>
      </c>
      <c r="P131" s="20">
        <v>151</v>
      </c>
      <c r="Q131" s="20">
        <v>3</v>
      </c>
      <c r="R131" s="20" t="str">
        <v>At risk</v>
      </c>
    </row>
    <row r="132" spans="1:18">
      <c r="A132" s="4" t="str">
        <v>Stu-439</v>
      </c>
      <c r="B132" s="4" t="str">
        <v>Male</v>
      </c>
      <c r="C132" s="4" t="str">
        <v>Group C</v>
      </c>
      <c r="D132" s="4" t="str">
        <v>High School</v>
      </c>
      <c r="E132" s="4" t="str">
        <v>Standard</v>
      </c>
      <c r="F132" s="4" t="str">
        <v>None</v>
      </c>
      <c r="G132" s="4">
        <v>70</v>
      </c>
      <c r="H132" s="18">
        <v>399</v>
      </c>
      <c r="I132" s="20" t="str">
        <v>C</v>
      </c>
      <c r="J132" s="20">
        <v>56</v>
      </c>
      <c r="K132" s="20">
        <v>818</v>
      </c>
      <c r="L132" s="20" t="str">
        <v>F</v>
      </c>
      <c r="M132" s="20">
        <v>51</v>
      </c>
      <c r="N132" s="20">
        <v>866</v>
      </c>
      <c r="O132" s="20" t="str">
        <v>F</v>
      </c>
      <c r="P132" s="20">
        <v>177</v>
      </c>
      <c r="Q132" s="20">
        <v>2</v>
      </c>
      <c r="R132" s="20" t="str">
        <v>At risk</v>
      </c>
    </row>
    <row r="133" spans="1:18">
      <c r="A133" s="4" t="str">
        <v>Stu-449</v>
      </c>
      <c r="B133" s="4" t="str">
        <v>Male</v>
      </c>
      <c r="C133" s="4" t="str">
        <v>Group B</v>
      </c>
      <c r="D133" s="4" t="str">
        <v>High School</v>
      </c>
      <c r="E133" s="4" t="str">
        <v>Standard</v>
      </c>
      <c r="F133" s="4" t="str">
        <v>None</v>
      </c>
      <c r="G133" s="4">
        <v>47</v>
      </c>
      <c r="H133" s="18">
        <v>901</v>
      </c>
      <c r="I133" s="20" t="str">
        <v>F</v>
      </c>
      <c r="J133" s="20">
        <v>46</v>
      </c>
      <c r="K133" s="20">
        <v>938</v>
      </c>
      <c r="L133" s="20" t="str">
        <v>F</v>
      </c>
      <c r="M133" s="20">
        <v>42</v>
      </c>
      <c r="N133" s="20">
        <v>956</v>
      </c>
      <c r="O133" s="20" t="str">
        <v>F</v>
      </c>
      <c r="P133" s="20">
        <v>135</v>
      </c>
      <c r="Q133" s="20">
        <v>3</v>
      </c>
      <c r="R133" s="20" t="str">
        <v>At risk</v>
      </c>
    </row>
    <row r="134" spans="1:18">
      <c r="A134" s="4" t="str">
        <v>Stu-454</v>
      </c>
      <c r="B134" s="4" t="str">
        <v>Male</v>
      </c>
      <c r="C134" s="4" t="str">
        <v>Group C</v>
      </c>
      <c r="D134" s="4" t="str">
        <v>Some College</v>
      </c>
      <c r="E134" s="4" t="str">
        <v>Free/Reduced</v>
      </c>
      <c r="F134" s="4" t="str">
        <v>None</v>
      </c>
      <c r="G134" s="4">
        <v>65</v>
      </c>
      <c r="H134" s="18">
        <v>537</v>
      </c>
      <c r="I134" s="20" t="str">
        <v>D</v>
      </c>
      <c r="J134" s="20">
        <v>58</v>
      </c>
      <c r="K134" s="20">
        <v>775</v>
      </c>
      <c r="L134" s="20" t="str">
        <v>F</v>
      </c>
      <c r="M134" s="20">
        <v>49</v>
      </c>
      <c r="N134" s="20">
        <v>892</v>
      </c>
      <c r="O134" s="20" t="str">
        <v>F</v>
      </c>
      <c r="P134" s="20">
        <v>172</v>
      </c>
      <c r="Q134" s="20">
        <v>2</v>
      </c>
      <c r="R134" s="20" t="str">
        <v>At risk</v>
      </c>
    </row>
    <row r="135" spans="1:18">
      <c r="A135" s="4" t="str">
        <v>Stu-456</v>
      </c>
      <c r="B135" s="4" t="str">
        <v>Male</v>
      </c>
      <c r="C135" s="4" t="str">
        <v>Group C</v>
      </c>
      <c r="D135" s="4" t="str">
        <v>Bachelor's Degree</v>
      </c>
      <c r="E135" s="4" t="str">
        <v>Free/Reduced</v>
      </c>
      <c r="F135" s="4" t="str">
        <v>None</v>
      </c>
      <c r="G135" s="4">
        <v>37</v>
      </c>
      <c r="H135" s="18">
        <v>969</v>
      </c>
      <c r="I135" s="20" t="str">
        <v>F</v>
      </c>
      <c r="J135" s="20">
        <v>56</v>
      </c>
      <c r="K135" s="20">
        <v>819</v>
      </c>
      <c r="L135" s="20" t="str">
        <v>F</v>
      </c>
      <c r="M135" s="20">
        <v>47</v>
      </c>
      <c r="N135" s="20">
        <v>909</v>
      </c>
      <c r="O135" s="20" t="str">
        <v>F</v>
      </c>
      <c r="P135" s="20">
        <v>140</v>
      </c>
      <c r="Q135" s="20">
        <v>3</v>
      </c>
      <c r="R135" s="20" t="str">
        <v>At risk</v>
      </c>
    </row>
    <row r="136" spans="1:18">
      <c r="A136" s="4" t="str">
        <v>Stu-458</v>
      </c>
      <c r="B136" s="4" t="str">
        <v>Male</v>
      </c>
      <c r="C136" s="4" t="str">
        <v>Group D</v>
      </c>
      <c r="D136" s="4" t="str">
        <v>Associate's Degree</v>
      </c>
      <c r="E136" s="4" t="str">
        <v>Free/Reduced</v>
      </c>
      <c r="F136" s="4" t="str">
        <v>None</v>
      </c>
      <c r="G136" s="4">
        <v>53</v>
      </c>
      <c r="H136" s="18">
        <v>807</v>
      </c>
      <c r="I136" s="20" t="str">
        <v>F</v>
      </c>
      <c r="J136" s="20">
        <v>54</v>
      </c>
      <c r="K136" s="20">
        <v>850</v>
      </c>
      <c r="L136" s="20" t="str">
        <v>F</v>
      </c>
      <c r="M136" s="20">
        <v>48</v>
      </c>
      <c r="N136" s="20">
        <v>899</v>
      </c>
      <c r="O136" s="20" t="str">
        <v>F</v>
      </c>
      <c r="P136" s="20">
        <v>155</v>
      </c>
      <c r="Q136" s="20">
        <v>3</v>
      </c>
      <c r="R136" s="20" t="str">
        <v>At risk</v>
      </c>
    </row>
    <row r="137" spans="1:18">
      <c r="A137" s="4" t="str">
        <v>Stu-461</v>
      </c>
      <c r="B137" s="4" t="str">
        <v>Male</v>
      </c>
      <c r="C137" s="4" t="str">
        <v>Group C</v>
      </c>
      <c r="D137" s="4" t="str">
        <v>Bachelor's Degree</v>
      </c>
      <c r="E137" s="4" t="str">
        <v>Free/Reduced</v>
      </c>
      <c r="F137" s="4" t="str">
        <v>None</v>
      </c>
      <c r="G137" s="4">
        <v>53</v>
      </c>
      <c r="H137" s="18">
        <v>808</v>
      </c>
      <c r="I137" s="20" t="str">
        <v>F</v>
      </c>
      <c r="J137" s="20">
        <v>58</v>
      </c>
      <c r="K137" s="20">
        <v>776</v>
      </c>
      <c r="L137" s="20" t="str">
        <v>F</v>
      </c>
      <c r="M137" s="20">
        <v>55</v>
      </c>
      <c r="N137" s="20">
        <v>790</v>
      </c>
      <c r="O137" s="20" t="str">
        <v>F</v>
      </c>
      <c r="P137" s="20">
        <v>166</v>
      </c>
      <c r="Q137" s="20">
        <v>3</v>
      </c>
      <c r="R137" s="20" t="str">
        <v>At risk</v>
      </c>
    </row>
    <row r="138" spans="1:18">
      <c r="A138" s="4" t="str">
        <v>Stu-462</v>
      </c>
      <c r="B138" s="4" t="str">
        <v>Male</v>
      </c>
      <c r="C138" s="4" t="str">
        <v>Group B</v>
      </c>
      <c r="D138" s="4" t="str">
        <v>Some College</v>
      </c>
      <c r="E138" s="4" t="str">
        <v>Free/Reduced</v>
      </c>
      <c r="F138" s="4" t="str">
        <v>None</v>
      </c>
      <c r="G138" s="4">
        <v>54</v>
      </c>
      <c r="H138" s="18">
        <v>786</v>
      </c>
      <c r="I138" s="20" t="str">
        <v>F</v>
      </c>
      <c r="J138" s="20">
        <v>54</v>
      </c>
      <c r="K138" s="20">
        <v>851</v>
      </c>
      <c r="L138" s="20" t="str">
        <v>F</v>
      </c>
      <c r="M138" s="20">
        <v>45</v>
      </c>
      <c r="N138" s="20">
        <v>927</v>
      </c>
      <c r="O138" s="20" t="str">
        <v>F</v>
      </c>
      <c r="P138" s="20">
        <v>153</v>
      </c>
      <c r="Q138" s="20">
        <v>3</v>
      </c>
      <c r="R138" s="20" t="str">
        <v>At risk</v>
      </c>
    </row>
    <row r="139" spans="1:18">
      <c r="A139" s="4" t="str">
        <v>Stu-467</v>
      </c>
      <c r="B139" s="4" t="str">
        <v>Female</v>
      </c>
      <c r="C139" s="4" t="str">
        <v>Group D</v>
      </c>
      <c r="D139" s="4" t="str">
        <v>Associate's Degree</v>
      </c>
      <c r="E139" s="4" t="str">
        <v>Free/Reduced</v>
      </c>
      <c r="F139" s="4" t="str">
        <v>None</v>
      </c>
      <c r="G139" s="4">
        <v>26</v>
      </c>
      <c r="H139" s="18">
        <v>993</v>
      </c>
      <c r="I139" s="20" t="str">
        <v>F</v>
      </c>
      <c r="J139" s="20">
        <v>31</v>
      </c>
      <c r="K139" s="20">
        <v>991</v>
      </c>
      <c r="L139" s="20" t="str">
        <v>F</v>
      </c>
      <c r="M139" s="20">
        <v>38</v>
      </c>
      <c r="N139" s="20">
        <v>973</v>
      </c>
      <c r="O139" s="20" t="str">
        <v>F</v>
      </c>
      <c r="P139" s="20">
        <v>95</v>
      </c>
      <c r="Q139" s="20">
        <v>3</v>
      </c>
      <c r="R139" s="20" t="str">
        <v>At risk</v>
      </c>
    </row>
    <row r="140" spans="1:18">
      <c r="A140" s="4" t="str">
        <v>Stu-482</v>
      </c>
      <c r="B140" s="4" t="str">
        <v>Female</v>
      </c>
      <c r="C140" s="4" t="str">
        <v>Group D</v>
      </c>
      <c r="D140" s="4" t="str">
        <v>Associate's Degree</v>
      </c>
      <c r="E140" s="4" t="str">
        <v>Free/Reduced</v>
      </c>
      <c r="F140" s="4" t="str">
        <v>None</v>
      </c>
      <c r="G140" s="4">
        <v>52</v>
      </c>
      <c r="H140" s="18">
        <v>830</v>
      </c>
      <c r="I140" s="20" t="str">
        <v>F</v>
      </c>
      <c r="J140" s="20">
        <v>59</v>
      </c>
      <c r="K140" s="20">
        <v>753</v>
      </c>
      <c r="L140" s="20" t="str">
        <v>F</v>
      </c>
      <c r="M140" s="20">
        <v>56</v>
      </c>
      <c r="N140" s="20">
        <v>778</v>
      </c>
      <c r="O140" s="20" t="str">
        <v>F</v>
      </c>
      <c r="P140" s="20">
        <v>167</v>
      </c>
      <c r="Q140" s="20">
        <v>3</v>
      </c>
      <c r="R140" s="20" t="str">
        <v>At risk</v>
      </c>
    </row>
    <row r="141" spans="1:18">
      <c r="A141" s="4" t="str">
        <v>Stu-484</v>
      </c>
      <c r="B141" s="4" t="str">
        <v>Male</v>
      </c>
      <c r="C141" s="4" t="str">
        <v>Group A</v>
      </c>
      <c r="D141" s="4" t="str">
        <v>High School</v>
      </c>
      <c r="E141" s="4" t="str">
        <v>Standard</v>
      </c>
      <c r="F141" s="4" t="str">
        <v>None</v>
      </c>
      <c r="G141" s="4">
        <v>59</v>
      </c>
      <c r="H141" s="18">
        <v>697</v>
      </c>
      <c r="I141" s="20" t="str">
        <v>F</v>
      </c>
      <c r="J141" s="20">
        <v>52</v>
      </c>
      <c r="K141" s="20">
        <v>880</v>
      </c>
      <c r="L141" s="20" t="str">
        <v>F</v>
      </c>
      <c r="M141" s="20">
        <v>46</v>
      </c>
      <c r="N141" s="20">
        <v>917</v>
      </c>
      <c r="O141" s="20" t="str">
        <v>F</v>
      </c>
      <c r="P141" s="20">
        <v>157</v>
      </c>
      <c r="Q141" s="20">
        <v>3</v>
      </c>
      <c r="R141" s="20" t="str">
        <v>At risk</v>
      </c>
    </row>
    <row r="142" spans="1:18">
      <c r="A142" s="4" t="str">
        <v>Stu-485</v>
      </c>
      <c r="B142" s="4" t="str">
        <v>Female</v>
      </c>
      <c r="C142" s="4" t="str">
        <v>Group B</v>
      </c>
      <c r="D142" s="4" t="str">
        <v>Associate's Degree</v>
      </c>
      <c r="E142" s="4" t="str">
        <v>Standard</v>
      </c>
      <c r="F142" s="4" t="str">
        <v>None</v>
      </c>
      <c r="G142" s="4">
        <v>49</v>
      </c>
      <c r="H142" s="18">
        <v>873</v>
      </c>
      <c r="I142" s="20" t="str">
        <v>F</v>
      </c>
      <c r="J142" s="20">
        <v>52</v>
      </c>
      <c r="K142" s="20">
        <v>881</v>
      </c>
      <c r="L142" s="20" t="str">
        <v>F</v>
      </c>
      <c r="M142" s="20">
        <v>54</v>
      </c>
      <c r="N142" s="20">
        <v>809</v>
      </c>
      <c r="O142" s="20" t="str">
        <v>F</v>
      </c>
      <c r="P142" s="20">
        <v>155</v>
      </c>
      <c r="Q142" s="20">
        <v>3</v>
      </c>
      <c r="R142" s="20" t="str">
        <v>At risk</v>
      </c>
    </row>
    <row r="143" spans="1:18">
      <c r="A143" s="4" t="str">
        <v>Stu-487</v>
      </c>
      <c r="B143" s="4" t="str">
        <v>Male</v>
      </c>
      <c r="C143" s="4" t="str">
        <v>Group D</v>
      </c>
      <c r="D143" s="4" t="str">
        <v>Some College</v>
      </c>
      <c r="E143" s="4" t="str">
        <v>Free/Reduced</v>
      </c>
      <c r="F143" s="4" t="str">
        <v>None</v>
      </c>
      <c r="G143" s="4">
        <v>61</v>
      </c>
      <c r="H143" s="18">
        <v>648</v>
      </c>
      <c r="I143" s="20" t="str">
        <v>D</v>
      </c>
      <c r="J143" s="20">
        <v>47</v>
      </c>
      <c r="K143" s="20">
        <v>932</v>
      </c>
      <c r="L143" s="20" t="str">
        <v>F</v>
      </c>
      <c r="M143" s="20">
        <v>56</v>
      </c>
      <c r="N143" s="20">
        <v>779</v>
      </c>
      <c r="O143" s="20" t="str">
        <v>F</v>
      </c>
      <c r="P143" s="20">
        <v>164</v>
      </c>
      <c r="Q143" s="20">
        <v>2</v>
      </c>
      <c r="R143" s="20" t="str">
        <v>At risk</v>
      </c>
    </row>
    <row r="144" spans="1:18">
      <c r="A144" s="4" t="str">
        <v>Stu-489</v>
      </c>
      <c r="B144" s="4" t="str">
        <v>Male</v>
      </c>
      <c r="C144" s="4" t="str">
        <v>Group B</v>
      </c>
      <c r="D144" s="4" t="str">
        <v>Some High School</v>
      </c>
      <c r="E144" s="4" t="str">
        <v>Standard</v>
      </c>
      <c r="F144" s="4" t="str">
        <v>Completed</v>
      </c>
      <c r="G144" s="4">
        <v>64</v>
      </c>
      <c r="H144" s="18">
        <v>561</v>
      </c>
      <c r="I144" s="20" t="str">
        <v>D</v>
      </c>
      <c r="J144" s="20">
        <v>53</v>
      </c>
      <c r="K144" s="20">
        <v>866</v>
      </c>
      <c r="L144" s="20" t="str">
        <v>F</v>
      </c>
      <c r="M144" s="20">
        <v>57</v>
      </c>
      <c r="N144" s="20">
        <v>760</v>
      </c>
      <c r="O144" s="20" t="str">
        <v>F</v>
      </c>
      <c r="P144" s="20">
        <v>174</v>
      </c>
      <c r="Q144" s="20">
        <v>2</v>
      </c>
      <c r="R144" s="20" t="str">
        <v>At risk</v>
      </c>
    </row>
    <row r="145" spans="1:18">
      <c r="A145" s="4" t="str">
        <v>Stu-497</v>
      </c>
      <c r="B145" s="4" t="str">
        <v>Female</v>
      </c>
      <c r="C145" s="4" t="str">
        <v>Group C</v>
      </c>
      <c r="D145" s="4" t="str">
        <v>Some College</v>
      </c>
      <c r="E145" s="4" t="str">
        <v>Standard</v>
      </c>
      <c r="F145" s="4" t="str">
        <v>None</v>
      </c>
      <c r="G145" s="4">
        <v>54</v>
      </c>
      <c r="H145" s="18">
        <v>788</v>
      </c>
      <c r="I145" s="20" t="str">
        <v>F</v>
      </c>
      <c r="J145" s="20">
        <v>48</v>
      </c>
      <c r="K145" s="20">
        <v>923</v>
      </c>
      <c r="L145" s="20" t="str">
        <v>F</v>
      </c>
      <c r="M145" s="20">
        <v>52</v>
      </c>
      <c r="N145" s="20">
        <v>848</v>
      </c>
      <c r="O145" s="20" t="str">
        <v>F</v>
      </c>
      <c r="P145" s="20">
        <v>154</v>
      </c>
      <c r="Q145" s="20">
        <v>3</v>
      </c>
      <c r="R145" s="20" t="str">
        <v>At risk</v>
      </c>
    </row>
    <row r="146" spans="1:18">
      <c r="A146" s="4" t="str">
        <v>Stu-505</v>
      </c>
      <c r="B146" s="4" t="str">
        <v>Female</v>
      </c>
      <c r="C146" s="4" t="str">
        <v>Group D</v>
      </c>
      <c r="D146" s="4" t="str">
        <v>Master's Degree</v>
      </c>
      <c r="E146" s="4" t="str">
        <v>Free/Reduced</v>
      </c>
      <c r="F146" s="4" t="str">
        <v>None</v>
      </c>
      <c r="G146" s="4">
        <v>40</v>
      </c>
      <c r="H146" s="18">
        <v>955</v>
      </c>
      <c r="I146" s="20" t="str">
        <v>F</v>
      </c>
      <c r="J146" s="20">
        <v>59</v>
      </c>
      <c r="K146" s="20">
        <v>754</v>
      </c>
      <c r="L146" s="20" t="str">
        <v>F</v>
      </c>
      <c r="M146" s="20">
        <v>54</v>
      </c>
      <c r="N146" s="20">
        <v>811</v>
      </c>
      <c r="O146" s="20" t="str">
        <v>F</v>
      </c>
      <c r="P146" s="20">
        <v>153</v>
      </c>
      <c r="Q146" s="20">
        <v>3</v>
      </c>
      <c r="R146" s="20" t="str">
        <v>At risk</v>
      </c>
    </row>
    <row r="147" spans="1:18">
      <c r="A147" s="4" t="str">
        <v>Stu-508</v>
      </c>
      <c r="B147" s="4" t="str">
        <v>Male</v>
      </c>
      <c r="C147" s="4" t="str">
        <v>Group B</v>
      </c>
      <c r="D147" s="4" t="str">
        <v>Bachelor's Degree</v>
      </c>
      <c r="E147" s="4" t="str">
        <v>Free/Reduced</v>
      </c>
      <c r="F147" s="4" t="str">
        <v>None</v>
      </c>
      <c r="G147" s="4">
        <v>55</v>
      </c>
      <c r="H147" s="18">
        <v>768</v>
      </c>
      <c r="I147" s="20" t="str">
        <v>F</v>
      </c>
      <c r="J147" s="20">
        <v>59</v>
      </c>
      <c r="K147" s="20">
        <v>755</v>
      </c>
      <c r="L147" s="20" t="str">
        <v>F</v>
      </c>
      <c r="M147" s="20">
        <v>54</v>
      </c>
      <c r="N147" s="20">
        <v>812</v>
      </c>
      <c r="O147" s="20" t="str">
        <v>F</v>
      </c>
      <c r="P147" s="20">
        <v>168</v>
      </c>
      <c r="Q147" s="20">
        <v>3</v>
      </c>
      <c r="R147" s="20" t="str">
        <v>At risk</v>
      </c>
    </row>
    <row r="148" spans="1:18">
      <c r="A148" s="4" t="str">
        <v>Stu-512</v>
      </c>
      <c r="B148" s="4" t="str">
        <v>Male</v>
      </c>
      <c r="C148" s="4" t="str">
        <v>Group A</v>
      </c>
      <c r="D148" s="4" t="str">
        <v>Some High School</v>
      </c>
      <c r="E148" s="4" t="str">
        <v>Standard</v>
      </c>
      <c r="F148" s="4" t="str">
        <v>None</v>
      </c>
      <c r="G148" s="4">
        <v>64</v>
      </c>
      <c r="H148" s="18">
        <v>563</v>
      </c>
      <c r="I148" s="20" t="str">
        <v>D</v>
      </c>
      <c r="J148" s="20">
        <v>50</v>
      </c>
      <c r="K148" s="20">
        <v>907</v>
      </c>
      <c r="L148" s="20" t="str">
        <v>F</v>
      </c>
      <c r="M148" s="20">
        <v>43</v>
      </c>
      <c r="N148" s="20">
        <v>947</v>
      </c>
      <c r="O148" s="20" t="str">
        <v>F</v>
      </c>
      <c r="P148" s="20">
        <v>157</v>
      </c>
      <c r="Q148" s="20">
        <v>2</v>
      </c>
      <c r="R148" s="20" t="str">
        <v>At risk</v>
      </c>
    </row>
    <row r="149" spans="1:18">
      <c r="A149" s="4" t="str">
        <v>Stu-513</v>
      </c>
      <c r="B149" s="4" t="str">
        <v>Male</v>
      </c>
      <c r="C149" s="4" t="str">
        <v>Group D</v>
      </c>
      <c r="D149" s="4" t="str">
        <v>Some High School</v>
      </c>
      <c r="E149" s="4" t="str">
        <v>Free/Reduced</v>
      </c>
      <c r="F149" s="4" t="str">
        <v>None</v>
      </c>
      <c r="G149" s="4">
        <v>62</v>
      </c>
      <c r="H149" s="18">
        <v>614</v>
      </c>
      <c r="I149" s="20" t="str">
        <v>D</v>
      </c>
      <c r="J149" s="20">
        <v>49</v>
      </c>
      <c r="K149" s="20">
        <v>918</v>
      </c>
      <c r="L149" s="20" t="str">
        <v>F</v>
      </c>
      <c r="M149" s="20">
        <v>52</v>
      </c>
      <c r="N149" s="20">
        <v>849</v>
      </c>
      <c r="O149" s="20" t="str">
        <v>F</v>
      </c>
      <c r="P149" s="20">
        <v>163</v>
      </c>
      <c r="Q149" s="20">
        <v>2</v>
      </c>
      <c r="R149" s="20" t="str">
        <v>At risk</v>
      </c>
    </row>
    <row r="150" spans="1:18">
      <c r="A150" s="4" t="str">
        <v>Stu-521</v>
      </c>
      <c r="B150" s="4" t="str">
        <v>Male</v>
      </c>
      <c r="C150" s="4" t="str">
        <v>Group D</v>
      </c>
      <c r="D150" s="4" t="str">
        <v>Some College</v>
      </c>
      <c r="E150" s="4" t="str">
        <v>Standard</v>
      </c>
      <c r="F150" s="4" t="str">
        <v>None</v>
      </c>
      <c r="G150" s="4">
        <v>71</v>
      </c>
      <c r="H150" s="18">
        <v>383</v>
      </c>
      <c r="I150" s="20" t="str">
        <v>C</v>
      </c>
      <c r="J150" s="20">
        <v>49</v>
      </c>
      <c r="K150" s="20">
        <v>919</v>
      </c>
      <c r="L150" s="20" t="str">
        <v>F</v>
      </c>
      <c r="M150" s="20">
        <v>52</v>
      </c>
      <c r="N150" s="20">
        <v>850</v>
      </c>
      <c r="O150" s="20" t="str">
        <v>F</v>
      </c>
      <c r="P150" s="20">
        <v>172</v>
      </c>
      <c r="Q150" s="20">
        <v>2</v>
      </c>
      <c r="R150" s="20" t="str">
        <v>At risk</v>
      </c>
    </row>
    <row r="151" spans="1:18">
      <c r="A151" s="4" t="str">
        <v>Stu-523</v>
      </c>
      <c r="B151" s="4" t="str">
        <v>Male</v>
      </c>
      <c r="C151" s="4" t="str">
        <v>Group D</v>
      </c>
      <c r="D151" s="4" t="str">
        <v>Bachelor's Degree</v>
      </c>
      <c r="E151" s="4" t="str">
        <v>Standard</v>
      </c>
      <c r="F151" s="4" t="str">
        <v>None</v>
      </c>
      <c r="G151" s="4">
        <v>69</v>
      </c>
      <c r="H151" s="18">
        <v>425</v>
      </c>
      <c r="I151" s="20" t="str">
        <v>D</v>
      </c>
      <c r="J151" s="20">
        <v>58</v>
      </c>
      <c r="K151" s="20">
        <v>778</v>
      </c>
      <c r="L151" s="20" t="str">
        <v>F</v>
      </c>
      <c r="M151" s="20">
        <v>57</v>
      </c>
      <c r="N151" s="20">
        <v>761</v>
      </c>
      <c r="O151" s="20" t="str">
        <v>F</v>
      </c>
      <c r="P151" s="20">
        <v>184</v>
      </c>
      <c r="Q151" s="20">
        <v>2</v>
      </c>
      <c r="R151" s="20" t="str">
        <v>At risk</v>
      </c>
    </row>
    <row r="152" spans="1:18">
      <c r="A152" s="4" t="str">
        <v>Stu-524</v>
      </c>
      <c r="B152" s="4" t="str">
        <v>Male</v>
      </c>
      <c r="C152" s="4" t="str">
        <v>Group C</v>
      </c>
      <c r="D152" s="4" t="str">
        <v>Master's Degree</v>
      </c>
      <c r="E152" s="4" t="str">
        <v>Free/Reduced</v>
      </c>
      <c r="F152" s="4" t="str">
        <v>None</v>
      </c>
      <c r="G152" s="4">
        <v>54</v>
      </c>
      <c r="H152" s="18">
        <v>790</v>
      </c>
      <c r="I152" s="20" t="str">
        <v>F</v>
      </c>
      <c r="J152" s="20">
        <v>59</v>
      </c>
      <c r="K152" s="20">
        <v>756</v>
      </c>
      <c r="L152" s="20" t="str">
        <v>F</v>
      </c>
      <c r="M152" s="20">
        <v>50</v>
      </c>
      <c r="N152" s="20">
        <v>882</v>
      </c>
      <c r="O152" s="20" t="str">
        <v>F</v>
      </c>
      <c r="P152" s="20">
        <v>163</v>
      </c>
      <c r="Q152" s="20">
        <v>3</v>
      </c>
      <c r="R152" s="20" t="str">
        <v>At risk</v>
      </c>
    </row>
    <row r="153" spans="1:18">
      <c r="A153" s="4" t="str">
        <v>Stu-525</v>
      </c>
      <c r="B153" s="4" t="str">
        <v>Male</v>
      </c>
      <c r="C153" s="4" t="str">
        <v>Group C</v>
      </c>
      <c r="D153" s="4" t="str">
        <v>High School</v>
      </c>
      <c r="E153" s="4" t="str">
        <v>Standard</v>
      </c>
      <c r="F153" s="4" t="str">
        <v>Completed</v>
      </c>
      <c r="G153" s="4">
        <v>53</v>
      </c>
      <c r="H153" s="18">
        <v>809</v>
      </c>
      <c r="I153" s="20" t="str">
        <v>F</v>
      </c>
      <c r="J153" s="20">
        <v>52</v>
      </c>
      <c r="K153" s="20">
        <v>882</v>
      </c>
      <c r="L153" s="20" t="str">
        <v>F</v>
      </c>
      <c r="M153" s="20">
        <v>49</v>
      </c>
      <c r="N153" s="20">
        <v>893</v>
      </c>
      <c r="O153" s="20" t="str">
        <v>F</v>
      </c>
      <c r="P153" s="20">
        <v>154</v>
      </c>
      <c r="Q153" s="20">
        <v>3</v>
      </c>
      <c r="R153" s="20" t="str">
        <v>At risk</v>
      </c>
    </row>
    <row r="154" spans="1:18">
      <c r="A154" s="4" t="str">
        <v>Stu-528</v>
      </c>
      <c r="B154" s="4" t="str">
        <v>Female</v>
      </c>
      <c r="C154" s="4" t="str">
        <v>Group C</v>
      </c>
      <c r="D154" s="4" t="str">
        <v>High School</v>
      </c>
      <c r="E154" s="4" t="str">
        <v>Free/Reduced</v>
      </c>
      <c r="F154" s="4" t="str">
        <v>None</v>
      </c>
      <c r="G154" s="4">
        <v>36</v>
      </c>
      <c r="H154" s="18">
        <v>972</v>
      </c>
      <c r="I154" s="20" t="str">
        <v>F</v>
      </c>
      <c r="J154" s="20">
        <v>53</v>
      </c>
      <c r="K154" s="20">
        <v>867</v>
      </c>
      <c r="L154" s="20" t="str">
        <v>F</v>
      </c>
      <c r="M154" s="20">
        <v>43</v>
      </c>
      <c r="N154" s="20">
        <v>948</v>
      </c>
      <c r="O154" s="20" t="str">
        <v>F</v>
      </c>
      <c r="P154" s="20">
        <v>132</v>
      </c>
      <c r="Q154" s="20">
        <v>3</v>
      </c>
      <c r="R154" s="20" t="str">
        <v>At risk</v>
      </c>
    </row>
    <row r="155" spans="1:18">
      <c r="A155" s="4" t="str">
        <v>Stu-529</v>
      </c>
      <c r="B155" s="4" t="str">
        <v>Female</v>
      </c>
      <c r="C155" s="4" t="str">
        <v>Group D</v>
      </c>
      <c r="D155" s="4" t="str">
        <v>Bachelor's Degree</v>
      </c>
      <c r="E155" s="4" t="str">
        <v>Free/Reduced</v>
      </c>
      <c r="F155" s="4" t="str">
        <v>None</v>
      </c>
      <c r="G155" s="4">
        <v>29</v>
      </c>
      <c r="H155" s="18">
        <v>987</v>
      </c>
      <c r="I155" s="20" t="str">
        <v>F</v>
      </c>
      <c r="J155" s="20">
        <v>41</v>
      </c>
      <c r="K155" s="20">
        <v>972</v>
      </c>
      <c r="L155" s="20" t="str">
        <v>F</v>
      </c>
      <c r="M155" s="20">
        <v>47</v>
      </c>
      <c r="N155" s="20">
        <v>910</v>
      </c>
      <c r="O155" s="20" t="str">
        <v>F</v>
      </c>
      <c r="P155" s="20">
        <v>117</v>
      </c>
      <c r="Q155" s="20">
        <v>3</v>
      </c>
      <c r="R155" s="20" t="str">
        <v>At risk</v>
      </c>
    </row>
    <row r="156" spans="1:18">
      <c r="A156" s="4" t="str">
        <v>Stu-532</v>
      </c>
      <c r="B156" s="4" t="str">
        <v>Female</v>
      </c>
      <c r="C156" s="4" t="str">
        <v>Group C</v>
      </c>
      <c r="D156" s="4" t="str">
        <v>Some High School</v>
      </c>
      <c r="E156" s="4" t="str">
        <v>Standard</v>
      </c>
      <c r="F156" s="4" t="str">
        <v>None</v>
      </c>
      <c r="G156" s="4">
        <v>47</v>
      </c>
      <c r="H156" s="18">
        <v>902</v>
      </c>
      <c r="I156" s="20" t="str">
        <v>F</v>
      </c>
      <c r="J156" s="20">
        <v>54</v>
      </c>
      <c r="K156" s="20">
        <v>852</v>
      </c>
      <c r="L156" s="20" t="str">
        <v>F</v>
      </c>
      <c r="M156" s="20">
        <v>53</v>
      </c>
      <c r="N156" s="20">
        <v>830</v>
      </c>
      <c r="O156" s="20" t="str">
        <v>F</v>
      </c>
      <c r="P156" s="20">
        <v>154</v>
      </c>
      <c r="Q156" s="20">
        <v>3</v>
      </c>
      <c r="R156" s="20" t="str">
        <v>At risk</v>
      </c>
    </row>
    <row r="157" spans="1:18">
      <c r="A157" s="4" t="str">
        <v>Stu-537</v>
      </c>
      <c r="B157" s="4" t="str">
        <v>Male</v>
      </c>
      <c r="C157" s="4" t="str">
        <v>Group C</v>
      </c>
      <c r="D157" s="4" t="str">
        <v>Associate's Degree</v>
      </c>
      <c r="E157" s="4" t="str">
        <v>Standard</v>
      </c>
      <c r="F157" s="4" t="str">
        <v>Completed</v>
      </c>
      <c r="G157" s="4">
        <v>51</v>
      </c>
      <c r="H157" s="18">
        <v>846</v>
      </c>
      <c r="I157" s="20" t="str">
        <v>F</v>
      </c>
      <c r="J157" s="20">
        <v>60</v>
      </c>
      <c r="K157" s="20">
        <v>735</v>
      </c>
      <c r="L157" s="20" t="str">
        <v>D</v>
      </c>
      <c r="M157" s="20">
        <v>58</v>
      </c>
      <c r="N157" s="20">
        <v>741</v>
      </c>
      <c r="O157" s="20" t="str">
        <v>F</v>
      </c>
      <c r="P157" s="20">
        <v>169</v>
      </c>
      <c r="Q157" s="20">
        <v>2</v>
      </c>
      <c r="R157" s="20" t="str">
        <v>At risk</v>
      </c>
    </row>
    <row r="158" spans="1:18">
      <c r="A158" s="4" t="str">
        <v>Stu-553</v>
      </c>
      <c r="B158" s="4" t="str">
        <v>Female</v>
      </c>
      <c r="C158" s="4" t="str">
        <v>Group B</v>
      </c>
      <c r="D158" s="4" t="str">
        <v>Associate's Degree</v>
      </c>
      <c r="E158" s="4" t="str">
        <v>Standard</v>
      </c>
      <c r="F158" s="4" t="str">
        <v>None</v>
      </c>
      <c r="G158" s="4">
        <v>40</v>
      </c>
      <c r="H158" s="18">
        <v>956</v>
      </c>
      <c r="I158" s="20" t="str">
        <v>F</v>
      </c>
      <c r="J158" s="20">
        <v>48</v>
      </c>
      <c r="K158" s="20">
        <v>924</v>
      </c>
      <c r="L158" s="20" t="str">
        <v>F</v>
      </c>
      <c r="M158" s="20">
        <v>50</v>
      </c>
      <c r="N158" s="20">
        <v>883</v>
      </c>
      <c r="O158" s="20" t="str">
        <v>F</v>
      </c>
      <c r="P158" s="20">
        <v>138</v>
      </c>
      <c r="Q158" s="20">
        <v>3</v>
      </c>
      <c r="R158" s="20" t="str">
        <v>At risk</v>
      </c>
    </row>
    <row r="159" spans="1:18">
      <c r="A159" s="4" t="str">
        <v>Stu-555</v>
      </c>
      <c r="B159" s="4" t="str">
        <v>Male</v>
      </c>
      <c r="C159" s="4" t="str">
        <v>Group E</v>
      </c>
      <c r="D159" s="4" t="str">
        <v>Associate's Degree</v>
      </c>
      <c r="E159" s="4" t="str">
        <v>Standard</v>
      </c>
      <c r="F159" s="4" t="str">
        <v>None</v>
      </c>
      <c r="G159" s="4">
        <v>53</v>
      </c>
      <c r="H159" s="18">
        <v>810</v>
      </c>
      <c r="I159" s="20" t="str">
        <v>F</v>
      </c>
      <c r="J159" s="20">
        <v>45</v>
      </c>
      <c r="K159" s="20">
        <v>944</v>
      </c>
      <c r="L159" s="20" t="str">
        <v>F</v>
      </c>
      <c r="M159" s="20">
        <v>40</v>
      </c>
      <c r="N159" s="20">
        <v>967</v>
      </c>
      <c r="O159" s="20" t="str">
        <v>F</v>
      </c>
      <c r="P159" s="20">
        <v>138</v>
      </c>
      <c r="Q159" s="20">
        <v>3</v>
      </c>
      <c r="R159" s="20" t="str">
        <v>At risk</v>
      </c>
    </row>
    <row r="160" spans="1:18">
      <c r="A160" s="4" t="str">
        <v>Stu-556</v>
      </c>
      <c r="B160" s="4" t="str">
        <v>Female</v>
      </c>
      <c r="C160" s="4" t="str">
        <v>Group C</v>
      </c>
      <c r="D160" s="4" t="str">
        <v>Some College</v>
      </c>
      <c r="E160" s="4" t="str">
        <v>Free/Reduced</v>
      </c>
      <c r="F160" s="4" t="str">
        <v>None</v>
      </c>
      <c r="G160" s="4">
        <v>32</v>
      </c>
      <c r="H160" s="18">
        <v>982</v>
      </c>
      <c r="I160" s="20" t="str">
        <v>F</v>
      </c>
      <c r="J160" s="20">
        <v>39</v>
      </c>
      <c r="K160" s="20">
        <v>979</v>
      </c>
      <c r="L160" s="20" t="str">
        <v>F</v>
      </c>
      <c r="M160" s="20">
        <v>33</v>
      </c>
      <c r="N160" s="20">
        <v>988</v>
      </c>
      <c r="O160" s="20" t="str">
        <v>F</v>
      </c>
      <c r="P160" s="20">
        <v>104</v>
      </c>
      <c r="Q160" s="20">
        <v>3</v>
      </c>
      <c r="R160" s="20" t="str">
        <v>At risk</v>
      </c>
    </row>
    <row r="161" spans="1:18">
      <c r="A161" s="4" t="str">
        <v>Stu-565</v>
      </c>
      <c r="B161" s="4" t="str">
        <v>Male</v>
      </c>
      <c r="C161" s="4" t="str">
        <v>Group B</v>
      </c>
      <c r="D161" s="4" t="str">
        <v>Bachelor's Degree</v>
      </c>
      <c r="E161" s="4" t="str">
        <v>Free/Reduced</v>
      </c>
      <c r="F161" s="4" t="str">
        <v>None</v>
      </c>
      <c r="G161" s="4">
        <v>48</v>
      </c>
      <c r="H161" s="18">
        <v>885</v>
      </c>
      <c r="I161" s="20" t="str">
        <v>F</v>
      </c>
      <c r="J161" s="20">
        <v>51</v>
      </c>
      <c r="K161" s="20">
        <v>894</v>
      </c>
      <c r="L161" s="20" t="str">
        <v>F</v>
      </c>
      <c r="M161" s="20">
        <v>46</v>
      </c>
      <c r="N161" s="20">
        <v>918</v>
      </c>
      <c r="O161" s="20" t="str">
        <v>F</v>
      </c>
      <c r="P161" s="20">
        <v>145</v>
      </c>
      <c r="Q161" s="20">
        <v>3</v>
      </c>
      <c r="R161" s="20" t="str">
        <v>At risk</v>
      </c>
    </row>
    <row r="162" spans="1:18">
      <c r="A162" s="4" t="str">
        <v>Stu-566</v>
      </c>
      <c r="B162" s="4" t="str">
        <v>Male</v>
      </c>
      <c r="C162" s="4" t="str">
        <v>Group B</v>
      </c>
      <c r="D162" s="4" t="str">
        <v>Associate's Degree</v>
      </c>
      <c r="E162" s="4" t="str">
        <v>Standard</v>
      </c>
      <c r="F162" s="4" t="str">
        <v>None</v>
      </c>
      <c r="G162" s="4">
        <v>48</v>
      </c>
      <c r="H162" s="18">
        <v>886</v>
      </c>
      <c r="I162" s="20" t="str">
        <v>F</v>
      </c>
      <c r="J162" s="20">
        <v>43</v>
      </c>
      <c r="K162" s="20">
        <v>958</v>
      </c>
      <c r="L162" s="20" t="str">
        <v>F</v>
      </c>
      <c r="M162" s="20">
        <v>45</v>
      </c>
      <c r="N162" s="20">
        <v>928</v>
      </c>
      <c r="O162" s="20" t="str">
        <v>F</v>
      </c>
      <c r="P162" s="20">
        <v>136</v>
      </c>
      <c r="Q162" s="20">
        <v>3</v>
      </c>
      <c r="R162" s="20" t="str">
        <v>At risk</v>
      </c>
    </row>
    <row r="163" spans="1:18">
      <c r="A163" s="4" t="str">
        <v>Stu-569</v>
      </c>
      <c r="B163" s="4" t="str">
        <v>Male</v>
      </c>
      <c r="C163" s="4" t="str">
        <v>Group B</v>
      </c>
      <c r="D163" s="4" t="str">
        <v>High School</v>
      </c>
      <c r="E163" s="4" t="str">
        <v>Free/Reduced</v>
      </c>
      <c r="F163" s="4" t="str">
        <v>None</v>
      </c>
      <c r="G163" s="4">
        <v>63</v>
      </c>
      <c r="H163" s="18">
        <v>591</v>
      </c>
      <c r="I163" s="20" t="str">
        <v>D</v>
      </c>
      <c r="J163" s="20">
        <v>48</v>
      </c>
      <c r="K163" s="20">
        <v>925</v>
      </c>
      <c r="L163" s="20" t="str">
        <v>F</v>
      </c>
      <c r="M163" s="20">
        <v>47</v>
      </c>
      <c r="N163" s="20">
        <v>911</v>
      </c>
      <c r="O163" s="20" t="str">
        <v>F</v>
      </c>
      <c r="P163" s="20">
        <v>158</v>
      </c>
      <c r="Q163" s="20">
        <v>2</v>
      </c>
      <c r="R163" s="20" t="str">
        <v>At risk</v>
      </c>
    </row>
    <row r="164" spans="1:18">
      <c r="A164" s="4" t="str">
        <v>Stu-573</v>
      </c>
      <c r="B164" s="4" t="str">
        <v>Female</v>
      </c>
      <c r="C164" s="4" t="str">
        <v>Group C</v>
      </c>
      <c r="D164" s="4" t="str">
        <v>Some College</v>
      </c>
      <c r="E164" s="4" t="str">
        <v>Standard</v>
      </c>
      <c r="F164" s="4" t="str">
        <v>None</v>
      </c>
      <c r="G164" s="4">
        <v>53</v>
      </c>
      <c r="H164" s="18">
        <v>812</v>
      </c>
      <c r="I164" s="20" t="str">
        <v>F</v>
      </c>
      <c r="J164" s="20">
        <v>62</v>
      </c>
      <c r="K164" s="20">
        <v>690</v>
      </c>
      <c r="L164" s="20" t="str">
        <v>D</v>
      </c>
      <c r="M164" s="20">
        <v>56</v>
      </c>
      <c r="N164" s="20">
        <v>780</v>
      </c>
      <c r="O164" s="20" t="str">
        <v>F</v>
      </c>
      <c r="P164" s="20">
        <v>171</v>
      </c>
      <c r="Q164" s="20">
        <v>2</v>
      </c>
      <c r="R164" s="20" t="str">
        <v>At risk</v>
      </c>
    </row>
    <row r="165" spans="1:18">
      <c r="A165" s="4" t="str">
        <v>Stu-576</v>
      </c>
      <c r="B165" s="4" t="str">
        <v>Male</v>
      </c>
      <c r="C165" s="4" t="str">
        <v>Group A</v>
      </c>
      <c r="D165" s="4" t="str">
        <v>Associate's Degree</v>
      </c>
      <c r="E165" s="4" t="str">
        <v>Free/Reduced</v>
      </c>
      <c r="F165" s="4" t="str">
        <v>Completed</v>
      </c>
      <c r="G165" s="4">
        <v>40</v>
      </c>
      <c r="H165" s="18">
        <v>957</v>
      </c>
      <c r="I165" s="20" t="str">
        <v>F</v>
      </c>
      <c r="J165" s="20">
        <v>55</v>
      </c>
      <c r="K165" s="20">
        <v>835</v>
      </c>
      <c r="L165" s="20" t="str">
        <v>F</v>
      </c>
      <c r="M165" s="20">
        <v>53</v>
      </c>
      <c r="N165" s="20">
        <v>831</v>
      </c>
      <c r="O165" s="20" t="str">
        <v>F</v>
      </c>
      <c r="P165" s="20">
        <v>148</v>
      </c>
      <c r="Q165" s="20">
        <v>3</v>
      </c>
      <c r="R165" s="20" t="str">
        <v>At risk</v>
      </c>
    </row>
    <row r="166" spans="1:18">
      <c r="A166" s="4" t="str">
        <v>Stu-577</v>
      </c>
      <c r="B166" s="4" t="str">
        <v>Male</v>
      </c>
      <c r="C166" s="4" t="str">
        <v>Group A</v>
      </c>
      <c r="D166" s="4" t="str">
        <v>Some College</v>
      </c>
      <c r="E166" s="4" t="str">
        <v>Standard</v>
      </c>
      <c r="F166" s="4" t="str">
        <v>Completed</v>
      </c>
      <c r="G166" s="4">
        <v>61</v>
      </c>
      <c r="H166" s="18">
        <v>651</v>
      </c>
      <c r="I166" s="20" t="str">
        <v>D</v>
      </c>
      <c r="J166" s="20">
        <v>51</v>
      </c>
      <c r="K166" s="20">
        <v>895</v>
      </c>
      <c r="L166" s="20" t="str">
        <v>F</v>
      </c>
      <c r="M166" s="20">
        <v>52</v>
      </c>
      <c r="N166" s="20">
        <v>851</v>
      </c>
      <c r="O166" s="20" t="str">
        <v>F</v>
      </c>
      <c r="P166" s="20">
        <v>164</v>
      </c>
      <c r="Q166" s="20">
        <v>2</v>
      </c>
      <c r="R166" s="20" t="str">
        <v>At risk</v>
      </c>
    </row>
    <row r="167" spans="1:18">
      <c r="A167" s="4" t="str">
        <v>Stu-579</v>
      </c>
      <c r="B167" s="4" t="str">
        <v>Female</v>
      </c>
      <c r="C167" s="4" t="str">
        <v>Group B</v>
      </c>
      <c r="D167" s="4" t="str">
        <v>Some College</v>
      </c>
      <c r="E167" s="4" t="str">
        <v>Free/Reduced</v>
      </c>
      <c r="F167" s="4" t="str">
        <v>Completed</v>
      </c>
      <c r="G167" s="4">
        <v>48</v>
      </c>
      <c r="H167" s="18">
        <v>887</v>
      </c>
      <c r="I167" s="20" t="str">
        <v>F</v>
      </c>
      <c r="J167" s="20">
        <v>56</v>
      </c>
      <c r="K167" s="20">
        <v>820</v>
      </c>
      <c r="L167" s="20" t="str">
        <v>F</v>
      </c>
      <c r="M167" s="20">
        <v>58</v>
      </c>
      <c r="N167" s="20">
        <v>742</v>
      </c>
      <c r="O167" s="20" t="str">
        <v>F</v>
      </c>
      <c r="P167" s="20">
        <v>162</v>
      </c>
      <c r="Q167" s="20">
        <v>3</v>
      </c>
      <c r="R167" s="20" t="str">
        <v>At risk</v>
      </c>
    </row>
    <row r="168" spans="1:18">
      <c r="A168" s="4" t="str">
        <v>Stu-591</v>
      </c>
      <c r="B168" s="4" t="str">
        <v>Male</v>
      </c>
      <c r="C168" s="4" t="str">
        <v>Group C</v>
      </c>
      <c r="D168" s="4" t="str">
        <v>Some College</v>
      </c>
      <c r="E168" s="4" t="str">
        <v>Free/Reduced</v>
      </c>
      <c r="F168" s="4" t="str">
        <v>None</v>
      </c>
      <c r="G168" s="4">
        <v>58</v>
      </c>
      <c r="H168" s="18">
        <v>724</v>
      </c>
      <c r="I168" s="20" t="str">
        <v>F</v>
      </c>
      <c r="J168" s="20">
        <v>57</v>
      </c>
      <c r="K168" s="20">
        <v>798</v>
      </c>
      <c r="L168" s="20" t="str">
        <v>F</v>
      </c>
      <c r="M168" s="20">
        <v>54</v>
      </c>
      <c r="N168" s="20">
        <v>813</v>
      </c>
      <c r="O168" s="20" t="str">
        <v>F</v>
      </c>
      <c r="P168" s="20">
        <v>169</v>
      </c>
      <c r="Q168" s="20">
        <v>3</v>
      </c>
      <c r="R168" s="20" t="str">
        <v>At risk</v>
      </c>
    </row>
    <row r="169" spans="1:18">
      <c r="A169" s="4" t="str">
        <v>Stu-597</v>
      </c>
      <c r="B169" s="4" t="str">
        <v>Male</v>
      </c>
      <c r="C169" s="4" t="str">
        <v>Group B</v>
      </c>
      <c r="D169" s="4" t="str">
        <v>High School</v>
      </c>
      <c r="E169" s="4" t="str">
        <v>Free/Reduced</v>
      </c>
      <c r="F169" s="4" t="str">
        <v>None</v>
      </c>
      <c r="G169" s="4">
        <v>30</v>
      </c>
      <c r="H169" s="18">
        <v>986</v>
      </c>
      <c r="I169" s="20" t="str">
        <v>F</v>
      </c>
      <c r="J169" s="20">
        <v>24</v>
      </c>
      <c r="K169" s="20">
        <v>997</v>
      </c>
      <c r="L169" s="20" t="str">
        <v>F</v>
      </c>
      <c r="M169" s="20">
        <v>15</v>
      </c>
      <c r="N169" s="20">
        <v>999</v>
      </c>
      <c r="O169" s="20" t="str">
        <v>F</v>
      </c>
      <c r="P169" s="20">
        <v>69</v>
      </c>
      <c r="Q169" s="20">
        <v>3</v>
      </c>
      <c r="R169" s="20" t="str">
        <v>At risk</v>
      </c>
    </row>
    <row r="170" spans="1:18">
      <c r="A170" s="4" t="str">
        <v>Stu-598</v>
      </c>
      <c r="B170" s="4" t="str">
        <v>Male</v>
      </c>
      <c r="C170" s="4" t="str">
        <v>Group A</v>
      </c>
      <c r="D170" s="4" t="str">
        <v>Some High School</v>
      </c>
      <c r="E170" s="4" t="str">
        <v>Standard</v>
      </c>
      <c r="F170" s="4" t="str">
        <v>None</v>
      </c>
      <c r="G170" s="4">
        <v>53</v>
      </c>
      <c r="H170" s="18">
        <v>814</v>
      </c>
      <c r="I170" s="20" t="str">
        <v>F</v>
      </c>
      <c r="J170" s="20">
        <v>54</v>
      </c>
      <c r="K170" s="20">
        <v>853</v>
      </c>
      <c r="L170" s="20" t="str">
        <v>F</v>
      </c>
      <c r="M170" s="20">
        <v>48</v>
      </c>
      <c r="N170" s="20">
        <v>900</v>
      </c>
      <c r="O170" s="20" t="str">
        <v>F</v>
      </c>
      <c r="P170" s="20">
        <v>155</v>
      </c>
      <c r="Q170" s="20">
        <v>3</v>
      </c>
      <c r="R170" s="20" t="str">
        <v>At risk</v>
      </c>
    </row>
    <row r="171" spans="1:18">
      <c r="A171" s="4" t="str">
        <v>Stu-602</v>
      </c>
      <c r="B171" s="4" t="str">
        <v>Female</v>
      </c>
      <c r="C171" s="4" t="str">
        <v>Group C</v>
      </c>
      <c r="D171" s="4" t="str">
        <v>High School</v>
      </c>
      <c r="E171" s="4" t="str">
        <v>Standard</v>
      </c>
      <c r="F171" s="4" t="str">
        <v>None</v>
      </c>
      <c r="G171" s="4">
        <v>29</v>
      </c>
      <c r="H171" s="18">
        <v>988</v>
      </c>
      <c r="I171" s="20" t="str">
        <v>F</v>
      </c>
      <c r="J171" s="20">
        <v>29</v>
      </c>
      <c r="K171" s="20">
        <v>993</v>
      </c>
      <c r="L171" s="20" t="str">
        <v>F</v>
      </c>
      <c r="M171" s="20">
        <v>30</v>
      </c>
      <c r="N171" s="20">
        <v>991</v>
      </c>
      <c r="O171" s="20" t="str">
        <v>F</v>
      </c>
      <c r="P171" s="20">
        <v>88</v>
      </c>
      <c r="Q171" s="20">
        <v>3</v>
      </c>
      <c r="R171" s="20" t="str">
        <v>At risk</v>
      </c>
    </row>
    <row r="172" spans="1:18">
      <c r="A172" s="4" t="str">
        <v>Stu-604</v>
      </c>
      <c r="B172" s="4" t="str">
        <v>Male</v>
      </c>
      <c r="C172" s="4" t="str">
        <v>Group D</v>
      </c>
      <c r="D172" s="4" t="str">
        <v>High School</v>
      </c>
      <c r="E172" s="4" t="str">
        <v>Free/Reduced</v>
      </c>
      <c r="F172" s="4" t="str">
        <v>None</v>
      </c>
      <c r="G172" s="4">
        <v>60</v>
      </c>
      <c r="H172" s="18">
        <v>669</v>
      </c>
      <c r="I172" s="20" t="str">
        <v>D</v>
      </c>
      <c r="J172" s="20">
        <v>57</v>
      </c>
      <c r="K172" s="20">
        <v>799</v>
      </c>
      <c r="L172" s="20" t="str">
        <v>F</v>
      </c>
      <c r="M172" s="20">
        <v>51</v>
      </c>
      <c r="N172" s="20">
        <v>867</v>
      </c>
      <c r="O172" s="20" t="str">
        <v>F</v>
      </c>
      <c r="P172" s="20">
        <v>168</v>
      </c>
      <c r="Q172" s="20">
        <v>2</v>
      </c>
      <c r="R172" s="20" t="str">
        <v>At risk</v>
      </c>
    </row>
    <row r="173" spans="1:18">
      <c r="A173" s="4" t="str">
        <v>Stu-608</v>
      </c>
      <c r="B173" s="4" t="str">
        <v>Female</v>
      </c>
      <c r="C173" s="4" t="str">
        <v>Group C</v>
      </c>
      <c r="D173" s="4" t="str">
        <v>Master's Degree</v>
      </c>
      <c r="E173" s="4" t="str">
        <v>Free/Reduced</v>
      </c>
      <c r="F173" s="4" t="str">
        <v>None</v>
      </c>
      <c r="G173" s="4">
        <v>40</v>
      </c>
      <c r="H173" s="18">
        <v>958</v>
      </c>
      <c r="I173" s="20" t="str">
        <v>F</v>
      </c>
      <c r="J173" s="20">
        <v>58</v>
      </c>
      <c r="K173" s="20">
        <v>779</v>
      </c>
      <c r="L173" s="20" t="str">
        <v>F</v>
      </c>
      <c r="M173" s="20">
        <v>54</v>
      </c>
      <c r="N173" s="20">
        <v>814</v>
      </c>
      <c r="O173" s="20" t="str">
        <v>F</v>
      </c>
      <c r="P173" s="20">
        <v>152</v>
      </c>
      <c r="Q173" s="20">
        <v>3</v>
      </c>
      <c r="R173" s="20" t="str">
        <v>At risk</v>
      </c>
    </row>
    <row r="174" spans="1:18">
      <c r="A174" s="4" t="str">
        <v>Stu-612</v>
      </c>
      <c r="B174" s="4" t="str">
        <v>Female</v>
      </c>
      <c r="C174" s="4" t="str">
        <v>Group C</v>
      </c>
      <c r="D174" s="4" t="str">
        <v>Some College</v>
      </c>
      <c r="E174" s="4" t="str">
        <v>Standard</v>
      </c>
      <c r="F174" s="4" t="str">
        <v>None</v>
      </c>
      <c r="G174" s="4">
        <v>58</v>
      </c>
      <c r="H174" s="18">
        <v>726</v>
      </c>
      <c r="I174" s="20" t="str">
        <v>F</v>
      </c>
      <c r="J174" s="20">
        <v>59</v>
      </c>
      <c r="K174" s="20">
        <v>757</v>
      </c>
      <c r="L174" s="20" t="str">
        <v>F</v>
      </c>
      <c r="M174" s="20">
        <v>66</v>
      </c>
      <c r="N174" s="20">
        <v>585</v>
      </c>
      <c r="O174" s="20" t="str">
        <v>D</v>
      </c>
      <c r="P174" s="20">
        <v>183</v>
      </c>
      <c r="Q174" s="20">
        <v>2</v>
      </c>
      <c r="R174" s="20" t="str">
        <v>At risk</v>
      </c>
    </row>
    <row r="175" spans="1:18">
      <c r="A175" s="4" t="str">
        <v>Stu-617</v>
      </c>
      <c r="B175" s="4" t="str">
        <v>Female</v>
      </c>
      <c r="C175" s="4" t="str">
        <v>Group E</v>
      </c>
      <c r="D175" s="4" t="str">
        <v>Bachelor's Degree</v>
      </c>
      <c r="E175" s="4" t="str">
        <v>Standard</v>
      </c>
      <c r="F175" s="4" t="str">
        <v>None</v>
      </c>
      <c r="G175" s="4">
        <v>37</v>
      </c>
      <c r="H175" s="18">
        <v>970</v>
      </c>
      <c r="I175" s="20" t="str">
        <v>F</v>
      </c>
      <c r="J175" s="20">
        <v>45</v>
      </c>
      <c r="K175" s="20">
        <v>945</v>
      </c>
      <c r="L175" s="20" t="str">
        <v>F</v>
      </c>
      <c r="M175" s="20">
        <v>38</v>
      </c>
      <c r="N175" s="20">
        <v>974</v>
      </c>
      <c r="O175" s="20" t="str">
        <v>F</v>
      </c>
      <c r="P175" s="20">
        <v>120</v>
      </c>
      <c r="Q175" s="20">
        <v>3</v>
      </c>
      <c r="R175" s="20" t="str">
        <v>At risk</v>
      </c>
    </row>
    <row r="176" spans="1:18">
      <c r="A176" s="4" t="str">
        <v>Stu-621</v>
      </c>
      <c r="B176" s="4" t="str">
        <v>Female</v>
      </c>
      <c r="C176" s="4" t="str">
        <v>Group C</v>
      </c>
      <c r="D176" s="4" t="str">
        <v>High School</v>
      </c>
      <c r="E176" s="4" t="str">
        <v>Free/Reduced</v>
      </c>
      <c r="F176" s="4" t="str">
        <v>None</v>
      </c>
      <c r="G176" s="4">
        <v>35</v>
      </c>
      <c r="H176" s="18">
        <v>976</v>
      </c>
      <c r="I176" s="20" t="str">
        <v>F</v>
      </c>
      <c r="J176" s="20">
        <v>61</v>
      </c>
      <c r="K176" s="20">
        <v>717</v>
      </c>
      <c r="L176" s="20" t="str">
        <v>D</v>
      </c>
      <c r="M176" s="20">
        <v>54</v>
      </c>
      <c r="N176" s="20">
        <v>815</v>
      </c>
      <c r="O176" s="20" t="str">
        <v>F</v>
      </c>
      <c r="P176" s="20">
        <v>150</v>
      </c>
      <c r="Q176" s="20">
        <v>2</v>
      </c>
      <c r="R176" s="20" t="str">
        <v>At risk</v>
      </c>
    </row>
    <row r="177" spans="1:18">
      <c r="A177" s="4" t="str">
        <v>Stu-623</v>
      </c>
      <c r="B177" s="4" t="str">
        <v>Male</v>
      </c>
      <c r="C177" s="4" t="str">
        <v>Group C</v>
      </c>
      <c r="D177" s="4" t="str">
        <v>High School</v>
      </c>
      <c r="E177" s="4" t="str">
        <v>Free/Reduced</v>
      </c>
      <c r="F177" s="4" t="str">
        <v>Completed</v>
      </c>
      <c r="G177" s="4">
        <v>58</v>
      </c>
      <c r="H177" s="18">
        <v>727</v>
      </c>
      <c r="I177" s="20" t="str">
        <v>F</v>
      </c>
      <c r="J177" s="20">
        <v>51</v>
      </c>
      <c r="K177" s="20">
        <v>896</v>
      </c>
      <c r="L177" s="20" t="str">
        <v>F</v>
      </c>
      <c r="M177" s="20">
        <v>52</v>
      </c>
      <c r="N177" s="20">
        <v>852</v>
      </c>
      <c r="O177" s="20" t="str">
        <v>F</v>
      </c>
      <c r="P177" s="20">
        <v>161</v>
      </c>
      <c r="Q177" s="20">
        <v>3</v>
      </c>
      <c r="R177" s="20" t="str">
        <v>At risk</v>
      </c>
    </row>
    <row r="178" spans="1:18">
      <c r="A178" s="4" t="str">
        <v>Stu-628</v>
      </c>
      <c r="B178" s="4" t="str">
        <v>Male</v>
      </c>
      <c r="C178" s="4" t="str">
        <v>Group D</v>
      </c>
      <c r="D178" s="4" t="str">
        <v>Associate's Degree</v>
      </c>
      <c r="E178" s="4" t="str">
        <v>Standard</v>
      </c>
      <c r="F178" s="4" t="str">
        <v>None</v>
      </c>
      <c r="G178" s="4">
        <v>61</v>
      </c>
      <c r="H178" s="18">
        <v>654</v>
      </c>
      <c r="I178" s="20" t="str">
        <v>D</v>
      </c>
      <c r="J178" s="20">
        <v>48</v>
      </c>
      <c r="K178" s="20">
        <v>926</v>
      </c>
      <c r="L178" s="20" t="str">
        <v>F</v>
      </c>
      <c r="M178" s="20">
        <v>46</v>
      </c>
      <c r="N178" s="20">
        <v>919</v>
      </c>
      <c r="O178" s="20" t="str">
        <v>F</v>
      </c>
      <c r="P178" s="20">
        <v>155</v>
      </c>
      <c r="Q178" s="20">
        <v>2</v>
      </c>
      <c r="R178" s="20" t="str">
        <v>At risk</v>
      </c>
    </row>
    <row r="179" spans="1:18">
      <c r="A179" s="4" t="str">
        <v>Stu-629</v>
      </c>
      <c r="B179" s="4" t="str">
        <v>Male</v>
      </c>
      <c r="C179" s="4" t="str">
        <v>Group D</v>
      </c>
      <c r="D179" s="4" t="str">
        <v>Some College</v>
      </c>
      <c r="E179" s="4" t="str">
        <v>Free/Reduced</v>
      </c>
      <c r="F179" s="4" t="str">
        <v>None</v>
      </c>
      <c r="G179" s="4">
        <v>49</v>
      </c>
      <c r="H179" s="18">
        <v>874</v>
      </c>
      <c r="I179" s="20" t="str">
        <v>F</v>
      </c>
      <c r="J179" s="20">
        <v>57</v>
      </c>
      <c r="K179" s="20">
        <v>800</v>
      </c>
      <c r="L179" s="20" t="str">
        <v>F</v>
      </c>
      <c r="M179" s="20">
        <v>46</v>
      </c>
      <c r="N179" s="20">
        <v>920</v>
      </c>
      <c r="O179" s="20" t="str">
        <v>F</v>
      </c>
      <c r="P179" s="20">
        <v>152</v>
      </c>
      <c r="Q179" s="20">
        <v>3</v>
      </c>
      <c r="R179" s="20" t="str">
        <v>At risk</v>
      </c>
    </row>
    <row r="180" spans="1:18">
      <c r="A180" s="4" t="str">
        <v>Stu-630</v>
      </c>
      <c r="B180" s="4" t="str">
        <v>Female</v>
      </c>
      <c r="C180" s="4" t="str">
        <v>Group C</v>
      </c>
      <c r="D180" s="4" t="str">
        <v>Some High School</v>
      </c>
      <c r="E180" s="4" t="str">
        <v>Standard</v>
      </c>
      <c r="F180" s="4" t="str">
        <v>Completed</v>
      </c>
      <c r="G180" s="4">
        <v>44</v>
      </c>
      <c r="H180" s="18">
        <v>930</v>
      </c>
      <c r="I180" s="20" t="str">
        <v>F</v>
      </c>
      <c r="J180" s="20">
        <v>51</v>
      </c>
      <c r="K180" s="20">
        <v>897</v>
      </c>
      <c r="L180" s="20" t="str">
        <v>F</v>
      </c>
      <c r="M180" s="20">
        <v>55</v>
      </c>
      <c r="N180" s="20">
        <v>791</v>
      </c>
      <c r="O180" s="20" t="str">
        <v>F</v>
      </c>
      <c r="P180" s="20">
        <v>150</v>
      </c>
      <c r="Q180" s="20">
        <v>3</v>
      </c>
      <c r="R180" s="20" t="str">
        <v>At risk</v>
      </c>
    </row>
    <row r="181" spans="1:18">
      <c r="A181" s="4" t="str">
        <v>Stu-641</v>
      </c>
      <c r="B181" s="4" t="str">
        <v>Male</v>
      </c>
      <c r="C181" s="4" t="str">
        <v>Group D</v>
      </c>
      <c r="D181" s="4" t="str">
        <v>High School</v>
      </c>
      <c r="E181" s="4" t="str">
        <v>Standard</v>
      </c>
      <c r="F181" s="4" t="str">
        <v>None</v>
      </c>
      <c r="G181" s="4">
        <v>41</v>
      </c>
      <c r="H181" s="18">
        <v>949</v>
      </c>
      <c r="I181" s="20" t="str">
        <v>F</v>
      </c>
      <c r="J181" s="20">
        <v>52</v>
      </c>
      <c r="K181" s="20">
        <v>883</v>
      </c>
      <c r="L181" s="20" t="str">
        <v>F</v>
      </c>
      <c r="M181" s="20">
        <v>51</v>
      </c>
      <c r="N181" s="20">
        <v>868</v>
      </c>
      <c r="O181" s="20" t="str">
        <v>F</v>
      </c>
      <c r="P181" s="20">
        <v>144</v>
      </c>
      <c r="Q181" s="20">
        <v>3</v>
      </c>
      <c r="R181" s="20" t="str">
        <v>At risk</v>
      </c>
    </row>
    <row r="182" spans="1:18">
      <c r="A182" s="4" t="str">
        <v>Stu-649</v>
      </c>
      <c r="B182" s="4" t="str">
        <v>Female</v>
      </c>
      <c r="C182" s="4" t="str">
        <v>Group B</v>
      </c>
      <c r="D182" s="4" t="str">
        <v>High School</v>
      </c>
      <c r="E182" s="4" t="str">
        <v>Standard</v>
      </c>
      <c r="F182" s="4" t="str">
        <v>None</v>
      </c>
      <c r="G182" s="4">
        <v>50</v>
      </c>
      <c r="H182" s="18">
        <v>859</v>
      </c>
      <c r="I182" s="20" t="str">
        <v>F</v>
      </c>
      <c r="J182" s="20">
        <v>53</v>
      </c>
      <c r="K182" s="20">
        <v>868</v>
      </c>
      <c r="L182" s="20" t="str">
        <v>F</v>
      </c>
      <c r="M182" s="20">
        <v>55</v>
      </c>
      <c r="N182" s="20">
        <v>792</v>
      </c>
      <c r="O182" s="20" t="str">
        <v>F</v>
      </c>
      <c r="P182" s="20">
        <v>158</v>
      </c>
      <c r="Q182" s="20">
        <v>3</v>
      </c>
      <c r="R182" s="20" t="str">
        <v>At risk</v>
      </c>
    </row>
    <row r="183" spans="1:18">
      <c r="A183" s="4" t="str">
        <v>Stu-651</v>
      </c>
      <c r="B183" s="4" t="str">
        <v>Male</v>
      </c>
      <c r="C183" s="4" t="str">
        <v>Group C</v>
      </c>
      <c r="D183" s="4" t="str">
        <v>Some High School</v>
      </c>
      <c r="E183" s="4" t="str">
        <v>Free/Reduced</v>
      </c>
      <c r="F183" s="4" t="str">
        <v>Completed</v>
      </c>
      <c r="G183" s="4">
        <v>51</v>
      </c>
      <c r="H183" s="18">
        <v>848</v>
      </c>
      <c r="I183" s="20" t="str">
        <v>F</v>
      </c>
      <c r="J183" s="20">
        <v>56</v>
      </c>
      <c r="K183" s="20">
        <v>821</v>
      </c>
      <c r="L183" s="20" t="str">
        <v>F</v>
      </c>
      <c r="M183" s="20">
        <v>53</v>
      </c>
      <c r="N183" s="20">
        <v>832</v>
      </c>
      <c r="O183" s="20" t="str">
        <v>F</v>
      </c>
      <c r="P183" s="20">
        <v>160</v>
      </c>
      <c r="Q183" s="20">
        <v>3</v>
      </c>
      <c r="R183" s="20" t="str">
        <v>At risk</v>
      </c>
    </row>
    <row r="184" spans="1:18">
      <c r="A184" s="4" t="str">
        <v>Stu-659</v>
      </c>
      <c r="B184" s="4" t="str">
        <v>Female</v>
      </c>
      <c r="C184" s="4" t="str">
        <v>Group D</v>
      </c>
      <c r="D184" s="4" t="str">
        <v>Associate's Degree</v>
      </c>
      <c r="E184" s="4" t="str">
        <v>Free/Reduced</v>
      </c>
      <c r="F184" s="4" t="str">
        <v>None</v>
      </c>
      <c r="G184" s="4">
        <v>43</v>
      </c>
      <c r="H184" s="18">
        <v>937</v>
      </c>
      <c r="I184" s="20" t="str">
        <v>F</v>
      </c>
      <c r="J184" s="20">
        <v>60</v>
      </c>
      <c r="K184" s="20">
        <v>739</v>
      </c>
      <c r="L184" s="20" t="str">
        <v>D</v>
      </c>
      <c r="M184" s="20">
        <v>58</v>
      </c>
      <c r="N184" s="20">
        <v>743</v>
      </c>
      <c r="O184" s="20" t="str">
        <v>F</v>
      </c>
      <c r="P184" s="20">
        <v>161</v>
      </c>
      <c r="Q184" s="20">
        <v>2</v>
      </c>
      <c r="R184" s="20" t="str">
        <v>At risk</v>
      </c>
    </row>
    <row r="185" spans="1:18">
      <c r="A185" s="4" t="str">
        <v>Stu-672</v>
      </c>
      <c r="B185" s="4" t="str">
        <v>Male</v>
      </c>
      <c r="C185" s="4" t="str">
        <v>Group D</v>
      </c>
      <c r="D185" s="4" t="str">
        <v>Associate's Degree</v>
      </c>
      <c r="E185" s="4" t="str">
        <v>Free/Reduced</v>
      </c>
      <c r="F185" s="4" t="str">
        <v>None</v>
      </c>
      <c r="G185" s="4">
        <v>52</v>
      </c>
      <c r="H185" s="18">
        <v>831</v>
      </c>
      <c r="I185" s="20" t="str">
        <v>F</v>
      </c>
      <c r="J185" s="20">
        <v>57</v>
      </c>
      <c r="K185" s="20">
        <v>801</v>
      </c>
      <c r="L185" s="20" t="str">
        <v>F</v>
      </c>
      <c r="M185" s="20">
        <v>50</v>
      </c>
      <c r="N185" s="20">
        <v>885</v>
      </c>
      <c r="O185" s="20" t="str">
        <v>F</v>
      </c>
      <c r="P185" s="20">
        <v>159</v>
      </c>
      <c r="Q185" s="20">
        <v>3</v>
      </c>
      <c r="R185" s="20" t="str">
        <v>At risk</v>
      </c>
    </row>
    <row r="186" spans="1:18">
      <c r="A186" s="4" t="str">
        <v>Stu-683</v>
      </c>
      <c r="B186" s="4" t="str">
        <v>Male</v>
      </c>
      <c r="C186" s="4" t="str">
        <v>Group B</v>
      </c>
      <c r="D186" s="4" t="str">
        <v>High School</v>
      </c>
      <c r="E186" s="4" t="str">
        <v>Standard</v>
      </c>
      <c r="F186" s="4" t="str">
        <v>None</v>
      </c>
      <c r="G186" s="4">
        <v>62</v>
      </c>
      <c r="H186" s="18">
        <v>620</v>
      </c>
      <c r="I186" s="20" t="str">
        <v>D</v>
      </c>
      <c r="J186" s="20">
        <v>55</v>
      </c>
      <c r="K186" s="20">
        <v>836</v>
      </c>
      <c r="L186" s="20" t="str">
        <v>F</v>
      </c>
      <c r="M186" s="20">
        <v>54</v>
      </c>
      <c r="N186" s="20">
        <v>816</v>
      </c>
      <c r="O186" s="20" t="str">
        <v>F</v>
      </c>
      <c r="P186" s="20">
        <v>171</v>
      </c>
      <c r="Q186" s="20">
        <v>2</v>
      </c>
      <c r="R186" s="20" t="str">
        <v>At risk</v>
      </c>
    </row>
    <row r="187" spans="1:18">
      <c r="A187" s="4" t="str">
        <v>Stu-684</v>
      </c>
      <c r="B187" s="4" t="str">
        <v>Female</v>
      </c>
      <c r="C187" s="4" t="str">
        <v>Group C</v>
      </c>
      <c r="D187" s="4" t="str">
        <v>Some High School</v>
      </c>
      <c r="E187" s="4" t="str">
        <v>Free/Reduced</v>
      </c>
      <c r="F187" s="4" t="str">
        <v>Completed</v>
      </c>
      <c r="G187" s="4">
        <v>29</v>
      </c>
      <c r="H187" s="18">
        <v>989</v>
      </c>
      <c r="I187" s="20" t="str">
        <v>F</v>
      </c>
      <c r="J187" s="20">
        <v>40</v>
      </c>
      <c r="K187" s="20">
        <v>974</v>
      </c>
      <c r="L187" s="20" t="str">
        <v>F</v>
      </c>
      <c r="M187" s="20">
        <v>44</v>
      </c>
      <c r="N187" s="20">
        <v>933</v>
      </c>
      <c r="O187" s="20" t="str">
        <v>F</v>
      </c>
      <c r="P187" s="20">
        <v>113</v>
      </c>
      <c r="Q187" s="20">
        <v>3</v>
      </c>
      <c r="R187" s="20" t="str">
        <v>At risk</v>
      </c>
    </row>
    <row r="188" spans="1:18">
      <c r="A188" s="4" t="str">
        <v>Stu-689</v>
      </c>
      <c r="B188" s="4" t="str">
        <v>Male</v>
      </c>
      <c r="C188" s="4" t="str">
        <v>Group A</v>
      </c>
      <c r="D188" s="4" t="str">
        <v>High School</v>
      </c>
      <c r="E188" s="4" t="str">
        <v>Free/Reduced</v>
      </c>
      <c r="F188" s="4" t="str">
        <v>None</v>
      </c>
      <c r="G188" s="4">
        <v>53</v>
      </c>
      <c r="H188" s="18">
        <v>815</v>
      </c>
      <c r="I188" s="20" t="str">
        <v>F</v>
      </c>
      <c r="J188" s="20">
        <v>58</v>
      </c>
      <c r="K188" s="20">
        <v>781</v>
      </c>
      <c r="L188" s="20" t="str">
        <v>F</v>
      </c>
      <c r="M188" s="20">
        <v>44</v>
      </c>
      <c r="N188" s="20">
        <v>934</v>
      </c>
      <c r="O188" s="20" t="str">
        <v>F</v>
      </c>
      <c r="P188" s="20">
        <v>155</v>
      </c>
      <c r="Q188" s="20">
        <v>3</v>
      </c>
      <c r="R188" s="20" t="str">
        <v>At risk</v>
      </c>
    </row>
    <row r="189" spans="1:18">
      <c r="A189" s="4" t="str">
        <v>Stu-691</v>
      </c>
      <c r="B189" s="4" t="str">
        <v>Female</v>
      </c>
      <c r="C189" s="4" t="str">
        <v>Group C</v>
      </c>
      <c r="D189" s="4" t="str">
        <v>Associate's Degree</v>
      </c>
      <c r="E189" s="4" t="str">
        <v>Standard</v>
      </c>
      <c r="F189" s="4" t="str">
        <v>None</v>
      </c>
      <c r="G189" s="4">
        <v>49</v>
      </c>
      <c r="H189" s="18">
        <v>875</v>
      </c>
      <c r="I189" s="20" t="str">
        <v>F</v>
      </c>
      <c r="J189" s="20">
        <v>53</v>
      </c>
      <c r="K189" s="20">
        <v>869</v>
      </c>
      <c r="L189" s="20" t="str">
        <v>F</v>
      </c>
      <c r="M189" s="20">
        <v>53</v>
      </c>
      <c r="N189" s="20">
        <v>833</v>
      </c>
      <c r="O189" s="20" t="str">
        <v>F</v>
      </c>
      <c r="P189" s="20">
        <v>155</v>
      </c>
      <c r="Q189" s="20">
        <v>3</v>
      </c>
      <c r="R189" s="20" t="str">
        <v>At risk</v>
      </c>
    </row>
    <row r="190" spans="1:18">
      <c r="A190" s="4" t="str">
        <v>Stu-695</v>
      </c>
      <c r="B190" s="4" t="str">
        <v>Female</v>
      </c>
      <c r="C190" s="4" t="str">
        <v>Group C</v>
      </c>
      <c r="D190" s="4" t="str">
        <v>Some High School</v>
      </c>
      <c r="E190" s="4" t="str">
        <v>Standard</v>
      </c>
      <c r="F190" s="4" t="str">
        <v>None</v>
      </c>
      <c r="G190" s="4">
        <v>49</v>
      </c>
      <c r="H190" s="18">
        <v>876</v>
      </c>
      <c r="I190" s="20" t="str">
        <v>F</v>
      </c>
      <c r="J190" s="20">
        <v>63</v>
      </c>
      <c r="K190" s="20">
        <v>672</v>
      </c>
      <c r="L190" s="20" t="str">
        <v>D</v>
      </c>
      <c r="M190" s="20">
        <v>56</v>
      </c>
      <c r="N190" s="20">
        <v>782</v>
      </c>
      <c r="O190" s="20" t="str">
        <v>F</v>
      </c>
      <c r="P190" s="20">
        <v>168</v>
      </c>
      <c r="Q190" s="20">
        <v>2</v>
      </c>
      <c r="R190" s="20" t="str">
        <v>At risk</v>
      </c>
    </row>
    <row r="191" spans="1:18">
      <c r="A191" s="4" t="str">
        <v>Stu-707</v>
      </c>
      <c r="B191" s="4" t="str">
        <v>Male</v>
      </c>
      <c r="C191" s="4" t="str">
        <v>Group D</v>
      </c>
      <c r="D191" s="4" t="str">
        <v>High School</v>
      </c>
      <c r="E191" s="4" t="str">
        <v>Standard</v>
      </c>
      <c r="F191" s="4" t="str">
        <v>None</v>
      </c>
      <c r="G191" s="4">
        <v>46</v>
      </c>
      <c r="H191" s="18">
        <v>912</v>
      </c>
      <c r="I191" s="20" t="str">
        <v>F</v>
      </c>
      <c r="J191" s="20">
        <v>34</v>
      </c>
      <c r="K191" s="20">
        <v>988</v>
      </c>
      <c r="L191" s="20" t="str">
        <v>F</v>
      </c>
      <c r="M191" s="20">
        <v>36</v>
      </c>
      <c r="N191" s="20">
        <v>980</v>
      </c>
      <c r="O191" s="20" t="str">
        <v>F</v>
      </c>
      <c r="P191" s="20">
        <v>116</v>
      </c>
      <c r="Q191" s="20">
        <v>3</v>
      </c>
      <c r="R191" s="20" t="str">
        <v>At risk</v>
      </c>
    </row>
    <row r="192" spans="1:18">
      <c r="A192" s="4" t="str">
        <v>Stu-708</v>
      </c>
      <c r="B192" s="4" t="str">
        <v>Male</v>
      </c>
      <c r="C192" s="4" t="str">
        <v>Group C</v>
      </c>
      <c r="D192" s="4" t="str">
        <v>Some College</v>
      </c>
      <c r="E192" s="4" t="str">
        <v>Standard</v>
      </c>
      <c r="F192" s="4" t="str">
        <v>None</v>
      </c>
      <c r="G192" s="4">
        <v>66</v>
      </c>
      <c r="H192" s="18">
        <v>512</v>
      </c>
      <c r="I192" s="20" t="str">
        <v>D</v>
      </c>
      <c r="J192" s="20">
        <v>59</v>
      </c>
      <c r="K192" s="20">
        <v>758</v>
      </c>
      <c r="L192" s="20" t="str">
        <v>F</v>
      </c>
      <c r="M192" s="20">
        <v>52</v>
      </c>
      <c r="N192" s="20">
        <v>853</v>
      </c>
      <c r="O192" s="20" t="str">
        <v>F</v>
      </c>
      <c r="P192" s="20">
        <v>177</v>
      </c>
      <c r="Q192" s="20">
        <v>2</v>
      </c>
      <c r="R192" s="20" t="str">
        <v>At risk</v>
      </c>
    </row>
    <row r="193" spans="1:18">
      <c r="A193" s="4" t="str">
        <v>Stu-710</v>
      </c>
      <c r="B193" s="4" t="str">
        <v>Female</v>
      </c>
      <c r="C193" s="4" t="str">
        <v>Group D</v>
      </c>
      <c r="D193" s="4" t="str">
        <v>Associate's Degree</v>
      </c>
      <c r="E193" s="4" t="str">
        <v>Free/Reduced</v>
      </c>
      <c r="F193" s="4" t="str">
        <v>Completed</v>
      </c>
      <c r="G193" s="4">
        <v>42</v>
      </c>
      <c r="H193" s="18">
        <v>943</v>
      </c>
      <c r="I193" s="20" t="str">
        <v>F</v>
      </c>
      <c r="J193" s="20">
        <v>61</v>
      </c>
      <c r="K193" s="20">
        <v>719</v>
      </c>
      <c r="L193" s="20" t="str">
        <v>D</v>
      </c>
      <c r="M193" s="20">
        <v>58</v>
      </c>
      <c r="N193" s="20">
        <v>744</v>
      </c>
      <c r="O193" s="20" t="str">
        <v>F</v>
      </c>
      <c r="P193" s="20">
        <v>161</v>
      </c>
      <c r="Q193" s="20">
        <v>2</v>
      </c>
      <c r="R193" s="20" t="str">
        <v>At risk</v>
      </c>
    </row>
    <row r="194" spans="1:18">
      <c r="A194" s="4" t="str">
        <v>Stu-722</v>
      </c>
      <c r="B194" s="4" t="str">
        <v>Male</v>
      </c>
      <c r="C194" s="4" t="str">
        <v>Group D</v>
      </c>
      <c r="D194" s="4" t="str">
        <v>Some High School</v>
      </c>
      <c r="E194" s="4" t="str">
        <v>Free/Reduced</v>
      </c>
      <c r="F194" s="4" t="str">
        <v>Completed</v>
      </c>
      <c r="G194" s="4">
        <v>55</v>
      </c>
      <c r="H194" s="18">
        <v>772</v>
      </c>
      <c r="I194" s="20" t="str">
        <v>F</v>
      </c>
      <c r="J194" s="20">
        <v>59</v>
      </c>
      <c r="K194" s="20">
        <v>759</v>
      </c>
      <c r="L194" s="20" t="str">
        <v>F</v>
      </c>
      <c r="M194" s="20">
        <v>59</v>
      </c>
      <c r="N194" s="20">
        <v>727</v>
      </c>
      <c r="O194" s="20" t="str">
        <v>F</v>
      </c>
      <c r="P194" s="20">
        <v>173</v>
      </c>
      <c r="Q194" s="20">
        <v>3</v>
      </c>
      <c r="R194" s="20" t="str">
        <v>At risk</v>
      </c>
    </row>
    <row r="195" spans="1:18">
      <c r="A195" s="4" t="str">
        <v>Stu-724</v>
      </c>
      <c r="B195" s="4" t="str">
        <v>Male</v>
      </c>
      <c r="C195" s="4" t="str">
        <v>Group C</v>
      </c>
      <c r="D195" s="4" t="str">
        <v>High School</v>
      </c>
      <c r="E195" s="4" t="str">
        <v>Standard</v>
      </c>
      <c r="F195" s="4" t="str">
        <v>None</v>
      </c>
      <c r="G195" s="4">
        <v>50</v>
      </c>
      <c r="H195" s="18">
        <v>862</v>
      </c>
      <c r="I195" s="20" t="str">
        <v>F</v>
      </c>
      <c r="J195" s="20">
        <v>48</v>
      </c>
      <c r="K195" s="20">
        <v>927</v>
      </c>
      <c r="L195" s="20" t="str">
        <v>F</v>
      </c>
      <c r="M195" s="20">
        <v>42</v>
      </c>
      <c r="N195" s="20">
        <v>957</v>
      </c>
      <c r="O195" s="20" t="str">
        <v>F</v>
      </c>
      <c r="P195" s="20">
        <v>140</v>
      </c>
      <c r="Q195" s="20">
        <v>3</v>
      </c>
      <c r="R195" s="20" t="str">
        <v>At risk</v>
      </c>
    </row>
    <row r="196" spans="1:18">
      <c r="A196" s="4" t="str">
        <v>Stu-725</v>
      </c>
      <c r="B196" s="4" t="str">
        <v>Male</v>
      </c>
      <c r="C196" s="4" t="str">
        <v>Group B</v>
      </c>
      <c r="D196" s="4" t="str">
        <v>Some College</v>
      </c>
      <c r="E196" s="4" t="str">
        <v>Standard</v>
      </c>
      <c r="F196" s="4" t="str">
        <v>None</v>
      </c>
      <c r="G196" s="4">
        <v>47</v>
      </c>
      <c r="H196" s="18">
        <v>903</v>
      </c>
      <c r="I196" s="20" t="str">
        <v>F</v>
      </c>
      <c r="J196" s="20">
        <v>43</v>
      </c>
      <c r="K196" s="20">
        <v>959</v>
      </c>
      <c r="L196" s="20" t="str">
        <v>F</v>
      </c>
      <c r="M196" s="20">
        <v>41</v>
      </c>
      <c r="N196" s="20">
        <v>963</v>
      </c>
      <c r="O196" s="20" t="str">
        <v>F</v>
      </c>
      <c r="P196" s="20">
        <v>131</v>
      </c>
      <c r="Q196" s="20">
        <v>3</v>
      </c>
      <c r="R196" s="20" t="str">
        <v>At risk</v>
      </c>
    </row>
    <row r="197" spans="1:18">
      <c r="A197" s="4" t="str">
        <v>Stu-728</v>
      </c>
      <c r="B197" s="4" t="str">
        <v>Male</v>
      </c>
      <c r="C197" s="4" t="str">
        <v>Group E</v>
      </c>
      <c r="D197" s="4" t="str">
        <v>Some High School</v>
      </c>
      <c r="E197" s="4" t="str">
        <v>Standard</v>
      </c>
      <c r="F197" s="4" t="str">
        <v>Completed</v>
      </c>
      <c r="G197" s="4">
        <v>68</v>
      </c>
      <c r="H197" s="18">
        <v>459</v>
      </c>
      <c r="I197" s="20" t="str">
        <v>D</v>
      </c>
      <c r="J197" s="20">
        <v>51</v>
      </c>
      <c r="K197" s="20">
        <v>898</v>
      </c>
      <c r="L197" s="20" t="str">
        <v>F</v>
      </c>
      <c r="M197" s="20">
        <v>57</v>
      </c>
      <c r="N197" s="20">
        <v>762</v>
      </c>
      <c r="O197" s="20" t="str">
        <v>F</v>
      </c>
      <c r="P197" s="20">
        <v>176</v>
      </c>
      <c r="Q197" s="20">
        <v>2</v>
      </c>
      <c r="R197" s="20" t="str">
        <v>At risk</v>
      </c>
    </row>
    <row r="198" spans="1:18">
      <c r="A198" s="4" t="str">
        <v>Stu-730</v>
      </c>
      <c r="B198" s="4" t="str">
        <v>Male</v>
      </c>
      <c r="C198" s="4" t="str">
        <v>Group C</v>
      </c>
      <c r="D198" s="4" t="str">
        <v>Some College</v>
      </c>
      <c r="E198" s="4" t="str">
        <v>Standard</v>
      </c>
      <c r="F198" s="4" t="str">
        <v>None</v>
      </c>
      <c r="G198" s="4">
        <v>53</v>
      </c>
      <c r="H198" s="18">
        <v>816</v>
      </c>
      <c r="I198" s="20" t="str">
        <v>F</v>
      </c>
      <c r="J198" s="20">
        <v>39</v>
      </c>
      <c r="K198" s="20">
        <v>980</v>
      </c>
      <c r="L198" s="20" t="str">
        <v>F</v>
      </c>
      <c r="M198" s="20">
        <v>37</v>
      </c>
      <c r="N198" s="20">
        <v>978</v>
      </c>
      <c r="O198" s="20" t="str">
        <v>F</v>
      </c>
      <c r="P198" s="20">
        <v>129</v>
      </c>
      <c r="Q198" s="20">
        <v>3</v>
      </c>
      <c r="R198" s="20" t="str">
        <v>At risk</v>
      </c>
    </row>
    <row r="199" spans="1:18">
      <c r="A199" s="4" t="str">
        <v>Stu-732</v>
      </c>
      <c r="B199" s="4" t="str">
        <v>Male</v>
      </c>
      <c r="C199" s="4" t="str">
        <v>Group A</v>
      </c>
      <c r="D199" s="4" t="str">
        <v>Some High School</v>
      </c>
      <c r="E199" s="4" t="str">
        <v>Free/Reduced</v>
      </c>
      <c r="F199" s="4" t="str">
        <v>None</v>
      </c>
      <c r="G199" s="4">
        <v>55</v>
      </c>
      <c r="H199" s="18">
        <v>773</v>
      </c>
      <c r="I199" s="20" t="str">
        <v>F</v>
      </c>
      <c r="J199" s="20">
        <v>46</v>
      </c>
      <c r="K199" s="20">
        <v>939</v>
      </c>
      <c r="L199" s="20" t="str">
        <v>F</v>
      </c>
      <c r="M199" s="20">
        <v>43</v>
      </c>
      <c r="N199" s="20">
        <v>949</v>
      </c>
      <c r="O199" s="20" t="str">
        <v>F</v>
      </c>
      <c r="P199" s="20">
        <v>144</v>
      </c>
      <c r="Q199" s="20">
        <v>3</v>
      </c>
      <c r="R199" s="20" t="str">
        <v>At risk</v>
      </c>
    </row>
    <row r="200" spans="1:18">
      <c r="A200" s="4" t="str">
        <v>Stu-734</v>
      </c>
      <c r="B200" s="4" t="str">
        <v>Male</v>
      </c>
      <c r="C200" s="4" t="str">
        <v>Group D</v>
      </c>
      <c r="D200" s="4" t="str">
        <v>Some High School</v>
      </c>
      <c r="E200" s="4" t="str">
        <v>Standard</v>
      </c>
      <c r="F200" s="4" t="str">
        <v>None</v>
      </c>
      <c r="G200" s="4">
        <v>55</v>
      </c>
      <c r="H200" s="18">
        <v>774</v>
      </c>
      <c r="I200" s="20" t="str">
        <v>F</v>
      </c>
      <c r="J200" s="20">
        <v>47</v>
      </c>
      <c r="K200" s="20">
        <v>933</v>
      </c>
      <c r="L200" s="20" t="str">
        <v>F</v>
      </c>
      <c r="M200" s="20">
        <v>44</v>
      </c>
      <c r="N200" s="20">
        <v>935</v>
      </c>
      <c r="O200" s="20" t="str">
        <v>F</v>
      </c>
      <c r="P200" s="20">
        <v>146</v>
      </c>
      <c r="Q200" s="20">
        <v>3</v>
      </c>
      <c r="R200" s="20" t="str">
        <v>At risk</v>
      </c>
    </row>
    <row r="201" spans="1:18">
      <c r="A201" s="4" t="str">
        <v>Stu-735</v>
      </c>
      <c r="B201" s="4" t="str">
        <v>Female</v>
      </c>
      <c r="C201" s="4" t="str">
        <v>Group E</v>
      </c>
      <c r="D201" s="4" t="str">
        <v>Some College</v>
      </c>
      <c r="E201" s="4" t="str">
        <v>Free/Reduced</v>
      </c>
      <c r="F201" s="4" t="str">
        <v>None</v>
      </c>
      <c r="G201" s="4">
        <v>53</v>
      </c>
      <c r="H201" s="18">
        <v>817</v>
      </c>
      <c r="I201" s="20" t="str">
        <v>F</v>
      </c>
      <c r="J201" s="20">
        <v>58</v>
      </c>
      <c r="K201" s="20">
        <v>782</v>
      </c>
      <c r="L201" s="20" t="str">
        <v>F</v>
      </c>
      <c r="M201" s="20">
        <v>57</v>
      </c>
      <c r="N201" s="20">
        <v>763</v>
      </c>
      <c r="O201" s="20" t="str">
        <v>F</v>
      </c>
      <c r="P201" s="20">
        <v>168</v>
      </c>
      <c r="Q201" s="20">
        <v>3</v>
      </c>
      <c r="R201" s="20" t="str">
        <v>At risk</v>
      </c>
    </row>
    <row r="202" spans="1:18">
      <c r="A202" s="4" t="str">
        <v>Stu-736</v>
      </c>
      <c r="B202" s="4" t="str">
        <v>Male</v>
      </c>
      <c r="C202" s="4" t="str">
        <v>Group C</v>
      </c>
      <c r="D202" s="4" t="str">
        <v>Master's Degree</v>
      </c>
      <c r="E202" s="4" t="str">
        <v>Standard</v>
      </c>
      <c r="F202" s="4" t="str">
        <v>None</v>
      </c>
      <c r="G202" s="4">
        <v>67</v>
      </c>
      <c r="H202" s="18">
        <v>486</v>
      </c>
      <c r="I202" s="20" t="str">
        <v>D</v>
      </c>
      <c r="J202" s="20">
        <v>57</v>
      </c>
      <c r="K202" s="20">
        <v>802</v>
      </c>
      <c r="L202" s="20" t="str">
        <v>F</v>
      </c>
      <c r="M202" s="20">
        <v>59</v>
      </c>
      <c r="N202" s="20">
        <v>728</v>
      </c>
      <c r="O202" s="20" t="str">
        <v>F</v>
      </c>
      <c r="P202" s="20">
        <v>183</v>
      </c>
      <c r="Q202" s="20">
        <v>2</v>
      </c>
      <c r="R202" s="20" t="str">
        <v>At risk</v>
      </c>
    </row>
    <row r="203" spans="1:18">
      <c r="A203" s="4" t="str">
        <v>Stu-742</v>
      </c>
      <c r="B203" s="4" t="str">
        <v>Female</v>
      </c>
      <c r="C203" s="4" t="str">
        <v>Group A</v>
      </c>
      <c r="D203" s="4" t="str">
        <v>Associate's Degree</v>
      </c>
      <c r="E203" s="4" t="str">
        <v>Free/Reduced</v>
      </c>
      <c r="F203" s="4" t="str">
        <v>None</v>
      </c>
      <c r="G203" s="4">
        <v>37</v>
      </c>
      <c r="H203" s="18">
        <v>971</v>
      </c>
      <c r="I203" s="20" t="str">
        <v>F</v>
      </c>
      <c r="J203" s="20">
        <v>57</v>
      </c>
      <c r="K203" s="20">
        <v>803</v>
      </c>
      <c r="L203" s="20" t="str">
        <v>F</v>
      </c>
      <c r="M203" s="20">
        <v>56</v>
      </c>
      <c r="N203" s="20">
        <v>783</v>
      </c>
      <c r="O203" s="20" t="str">
        <v>F</v>
      </c>
      <c r="P203" s="20">
        <v>150</v>
      </c>
      <c r="Q203" s="20">
        <v>3</v>
      </c>
      <c r="R203" s="20" t="str">
        <v>At risk</v>
      </c>
    </row>
    <row r="204" spans="1:18">
      <c r="A204" s="4" t="str">
        <v>Stu-745</v>
      </c>
      <c r="B204" s="4" t="str">
        <v>Male</v>
      </c>
      <c r="C204" s="4" t="str">
        <v>Group B</v>
      </c>
      <c r="D204" s="4" t="str">
        <v>Some College</v>
      </c>
      <c r="E204" s="4" t="str">
        <v>Free/Reduced</v>
      </c>
      <c r="F204" s="4" t="str">
        <v>None</v>
      </c>
      <c r="G204" s="4">
        <v>55</v>
      </c>
      <c r="H204" s="18">
        <v>775</v>
      </c>
      <c r="I204" s="20" t="str">
        <v>F</v>
      </c>
      <c r="J204" s="20">
        <v>55</v>
      </c>
      <c r="K204" s="20">
        <v>837</v>
      </c>
      <c r="L204" s="20" t="str">
        <v>F</v>
      </c>
      <c r="M204" s="20">
        <v>47</v>
      </c>
      <c r="N204" s="20">
        <v>912</v>
      </c>
      <c r="O204" s="20" t="str">
        <v>F</v>
      </c>
      <c r="P204" s="20">
        <v>157</v>
      </c>
      <c r="Q204" s="20">
        <v>3</v>
      </c>
      <c r="R204" s="20" t="str">
        <v>At risk</v>
      </c>
    </row>
    <row r="205" spans="1:18">
      <c r="A205" s="4" t="str">
        <v>Stu-749</v>
      </c>
      <c r="B205" s="4" t="str">
        <v>Female</v>
      </c>
      <c r="C205" s="4" t="str">
        <v>Group C</v>
      </c>
      <c r="D205" s="4" t="str">
        <v>Bachelor's Degree</v>
      </c>
      <c r="E205" s="4" t="str">
        <v>Free/Reduced</v>
      </c>
      <c r="F205" s="4" t="str">
        <v>None</v>
      </c>
      <c r="G205" s="4">
        <v>50</v>
      </c>
      <c r="H205" s="18">
        <v>863</v>
      </c>
      <c r="I205" s="20" t="str">
        <v>F</v>
      </c>
      <c r="J205" s="20">
        <v>60</v>
      </c>
      <c r="K205" s="20">
        <v>742</v>
      </c>
      <c r="L205" s="20" t="str">
        <v>D</v>
      </c>
      <c r="M205" s="20">
        <v>59</v>
      </c>
      <c r="N205" s="20">
        <v>729</v>
      </c>
      <c r="O205" s="20" t="str">
        <v>F</v>
      </c>
      <c r="P205" s="20">
        <v>169</v>
      </c>
      <c r="Q205" s="20">
        <v>2</v>
      </c>
      <c r="R205" s="20" t="str">
        <v>At risk</v>
      </c>
    </row>
    <row r="206" spans="1:18">
      <c r="A206" s="4" t="str">
        <v>Stu-755</v>
      </c>
      <c r="B206" s="4" t="str">
        <v>Male</v>
      </c>
      <c r="C206" s="4" t="str">
        <v>Group C</v>
      </c>
      <c r="D206" s="4" t="str">
        <v>Associate's Degree</v>
      </c>
      <c r="E206" s="4" t="str">
        <v>Free/Reduced</v>
      </c>
      <c r="F206" s="4" t="str">
        <v>None</v>
      </c>
      <c r="G206" s="4">
        <v>58</v>
      </c>
      <c r="H206" s="18">
        <v>728</v>
      </c>
      <c r="I206" s="20" t="str">
        <v>F</v>
      </c>
      <c r="J206" s="20">
        <v>55</v>
      </c>
      <c r="K206" s="20">
        <v>838</v>
      </c>
      <c r="L206" s="20" t="str">
        <v>F</v>
      </c>
      <c r="M206" s="20">
        <v>53</v>
      </c>
      <c r="N206" s="20">
        <v>834</v>
      </c>
      <c r="O206" s="20" t="str">
        <v>F</v>
      </c>
      <c r="P206" s="20">
        <v>166</v>
      </c>
      <c r="Q206" s="20">
        <v>3</v>
      </c>
      <c r="R206" s="20" t="str">
        <v>At risk</v>
      </c>
    </row>
    <row r="207" spans="1:18">
      <c r="A207" s="4" t="str">
        <v>Stu-757</v>
      </c>
      <c r="B207" s="4" t="str">
        <v>Male</v>
      </c>
      <c r="C207" s="4" t="str">
        <v>Group D</v>
      </c>
      <c r="D207" s="4" t="str">
        <v>Some College</v>
      </c>
      <c r="E207" s="4" t="str">
        <v>Standard</v>
      </c>
      <c r="F207" s="4" t="str">
        <v>None</v>
      </c>
      <c r="G207" s="4">
        <v>55</v>
      </c>
      <c r="H207" s="18">
        <v>776</v>
      </c>
      <c r="I207" s="20" t="str">
        <v>F</v>
      </c>
      <c r="J207" s="20">
        <v>58</v>
      </c>
      <c r="K207" s="20">
        <v>783</v>
      </c>
      <c r="L207" s="20" t="str">
        <v>F</v>
      </c>
      <c r="M207" s="20">
        <v>52</v>
      </c>
      <c r="N207" s="20">
        <v>854</v>
      </c>
      <c r="O207" s="20" t="str">
        <v>F</v>
      </c>
      <c r="P207" s="20">
        <v>165</v>
      </c>
      <c r="Q207" s="20">
        <v>3</v>
      </c>
      <c r="R207" s="20" t="str">
        <v>At risk</v>
      </c>
    </row>
    <row r="208" spans="1:18">
      <c r="A208" s="4" t="str">
        <v>Stu-759</v>
      </c>
      <c r="B208" s="4" t="str">
        <v>Female</v>
      </c>
      <c r="C208" s="4" t="str">
        <v>Group D</v>
      </c>
      <c r="D208" s="4" t="str">
        <v>Some College</v>
      </c>
      <c r="E208" s="4" t="str">
        <v>Free/Reduced</v>
      </c>
      <c r="F208" s="4" t="str">
        <v>Completed</v>
      </c>
      <c r="G208" s="4">
        <v>52</v>
      </c>
      <c r="H208" s="18">
        <v>832</v>
      </c>
      <c r="I208" s="20" t="str">
        <v>F</v>
      </c>
      <c r="J208" s="20">
        <v>59</v>
      </c>
      <c r="K208" s="20">
        <v>760</v>
      </c>
      <c r="L208" s="20" t="str">
        <v>F</v>
      </c>
      <c r="M208" s="20">
        <v>65</v>
      </c>
      <c r="N208" s="20">
        <v>611</v>
      </c>
      <c r="O208" s="20" t="str">
        <v>D</v>
      </c>
      <c r="P208" s="20">
        <v>176</v>
      </c>
      <c r="Q208" s="20">
        <v>2</v>
      </c>
      <c r="R208" s="20" t="str">
        <v>At risk</v>
      </c>
    </row>
    <row r="209" spans="1:18">
      <c r="A209" s="4" t="str">
        <v>Stu-762</v>
      </c>
      <c r="B209" s="4" t="str">
        <v>Female</v>
      </c>
      <c r="C209" s="4" t="str">
        <v>Group D</v>
      </c>
      <c r="D209" s="4" t="str">
        <v>Some High School</v>
      </c>
      <c r="E209" s="4" t="str">
        <v>Standard</v>
      </c>
      <c r="F209" s="4" t="str">
        <v>None</v>
      </c>
      <c r="G209" s="4">
        <v>48</v>
      </c>
      <c r="H209" s="18">
        <v>889</v>
      </c>
      <c r="I209" s="20" t="str">
        <v>F</v>
      </c>
      <c r="J209" s="20">
        <v>58</v>
      </c>
      <c r="K209" s="20">
        <v>784</v>
      </c>
      <c r="L209" s="20" t="str">
        <v>F</v>
      </c>
      <c r="M209" s="20">
        <v>54</v>
      </c>
      <c r="N209" s="20">
        <v>817</v>
      </c>
      <c r="O209" s="20" t="str">
        <v>F</v>
      </c>
      <c r="P209" s="20">
        <v>160</v>
      </c>
      <c r="Q209" s="20">
        <v>3</v>
      </c>
      <c r="R209" s="20" t="str">
        <v>At risk</v>
      </c>
    </row>
    <row r="210" spans="1:18">
      <c r="A210" s="4" t="str">
        <v>Stu-770</v>
      </c>
      <c r="B210" s="4" t="str">
        <v>Male</v>
      </c>
      <c r="C210" s="4" t="str">
        <v>Group A</v>
      </c>
      <c r="D210" s="4" t="str">
        <v>Some College</v>
      </c>
      <c r="E210" s="4" t="str">
        <v>Free/Reduced</v>
      </c>
      <c r="F210" s="4" t="str">
        <v>None</v>
      </c>
      <c r="G210" s="4">
        <v>58</v>
      </c>
      <c r="H210" s="18">
        <v>730</v>
      </c>
      <c r="I210" s="20" t="str">
        <v>F</v>
      </c>
      <c r="J210" s="20">
        <v>60</v>
      </c>
      <c r="K210" s="20">
        <v>743</v>
      </c>
      <c r="L210" s="20" t="str">
        <v>D</v>
      </c>
      <c r="M210" s="20">
        <v>57</v>
      </c>
      <c r="N210" s="20">
        <v>764</v>
      </c>
      <c r="O210" s="20" t="str">
        <v>F</v>
      </c>
      <c r="P210" s="20">
        <v>175</v>
      </c>
      <c r="Q210" s="20">
        <v>2</v>
      </c>
      <c r="R210" s="20" t="str">
        <v>At risk</v>
      </c>
    </row>
    <row r="211" spans="1:18">
      <c r="A211" s="4" t="str">
        <v>Stu-771</v>
      </c>
      <c r="B211" s="4" t="str">
        <v>Male</v>
      </c>
      <c r="C211" s="4" t="str">
        <v>Group B</v>
      </c>
      <c r="D211" s="4" t="str">
        <v>High School</v>
      </c>
      <c r="E211" s="4" t="str">
        <v>Standard</v>
      </c>
      <c r="F211" s="4" t="str">
        <v>None</v>
      </c>
      <c r="G211" s="4">
        <v>52</v>
      </c>
      <c r="H211" s="18">
        <v>833</v>
      </c>
      <c r="I211" s="20" t="str">
        <v>F</v>
      </c>
      <c r="J211" s="20">
        <v>48</v>
      </c>
      <c r="K211" s="20">
        <v>928</v>
      </c>
      <c r="L211" s="20" t="str">
        <v>F</v>
      </c>
      <c r="M211" s="20">
        <v>49</v>
      </c>
      <c r="N211" s="20">
        <v>894</v>
      </c>
      <c r="O211" s="20" t="str">
        <v>F</v>
      </c>
      <c r="P211" s="20">
        <v>149</v>
      </c>
      <c r="Q211" s="20">
        <v>3</v>
      </c>
      <c r="R211" s="20" t="str">
        <v>At risk</v>
      </c>
    </row>
    <row r="212" spans="1:18">
      <c r="A212" s="4" t="str">
        <v>Stu-776</v>
      </c>
      <c r="B212" s="4" t="str">
        <v>Female</v>
      </c>
      <c r="C212" s="4" t="str">
        <v>Group B</v>
      </c>
      <c r="D212" s="4" t="str">
        <v>Some High School</v>
      </c>
      <c r="E212" s="4" t="str">
        <v>Free/Reduced</v>
      </c>
      <c r="F212" s="4" t="str">
        <v>None</v>
      </c>
      <c r="G212" s="4">
        <v>49</v>
      </c>
      <c r="H212" s="18">
        <v>877</v>
      </c>
      <c r="I212" s="20" t="str">
        <v>F</v>
      </c>
      <c r="J212" s="20">
        <v>58</v>
      </c>
      <c r="K212" s="20">
        <v>785</v>
      </c>
      <c r="L212" s="20" t="str">
        <v>F</v>
      </c>
      <c r="M212" s="20">
        <v>55</v>
      </c>
      <c r="N212" s="20">
        <v>794</v>
      </c>
      <c r="O212" s="20" t="str">
        <v>F</v>
      </c>
      <c r="P212" s="20">
        <v>162</v>
      </c>
      <c r="Q212" s="20">
        <v>3</v>
      </c>
      <c r="R212" s="20" t="str">
        <v>At risk</v>
      </c>
    </row>
    <row r="213" spans="1:18">
      <c r="A213" s="4" t="str">
        <v>Stu-778</v>
      </c>
      <c r="B213" s="4" t="str">
        <v>Female</v>
      </c>
      <c r="C213" s="4" t="str">
        <v>Group C</v>
      </c>
      <c r="D213" s="4" t="str">
        <v>Some College</v>
      </c>
      <c r="E213" s="4" t="str">
        <v>Free/Reduced</v>
      </c>
      <c r="F213" s="4" t="str">
        <v>None</v>
      </c>
      <c r="G213" s="4">
        <v>35</v>
      </c>
      <c r="H213" s="18">
        <v>977</v>
      </c>
      <c r="I213" s="20" t="str">
        <v>F</v>
      </c>
      <c r="J213" s="20">
        <v>44</v>
      </c>
      <c r="K213" s="20">
        <v>950</v>
      </c>
      <c r="L213" s="20" t="str">
        <v>F</v>
      </c>
      <c r="M213" s="20">
        <v>43</v>
      </c>
      <c r="N213" s="20">
        <v>950</v>
      </c>
      <c r="O213" s="20" t="str">
        <v>F</v>
      </c>
      <c r="P213" s="20">
        <v>122</v>
      </c>
      <c r="Q213" s="20">
        <v>3</v>
      </c>
      <c r="R213" s="20" t="str">
        <v>At risk</v>
      </c>
    </row>
    <row r="214" spans="1:18">
      <c r="A214" s="4" t="str">
        <v>Stu-781</v>
      </c>
      <c r="B214" s="4" t="str">
        <v>Female</v>
      </c>
      <c r="C214" s="4" t="str">
        <v>Group D</v>
      </c>
      <c r="D214" s="4" t="str">
        <v>Associate's Degree</v>
      </c>
      <c r="E214" s="4" t="str">
        <v>Free/Reduced</v>
      </c>
      <c r="F214" s="4" t="str">
        <v>None</v>
      </c>
      <c r="G214" s="4">
        <v>46</v>
      </c>
      <c r="H214" s="18">
        <v>913</v>
      </c>
      <c r="I214" s="20" t="str">
        <v>F</v>
      </c>
      <c r="J214" s="20">
        <v>56</v>
      </c>
      <c r="K214" s="20">
        <v>822</v>
      </c>
      <c r="L214" s="20" t="str">
        <v>F</v>
      </c>
      <c r="M214" s="20">
        <v>57</v>
      </c>
      <c r="N214" s="20">
        <v>765</v>
      </c>
      <c r="O214" s="20" t="str">
        <v>F</v>
      </c>
      <c r="P214" s="20">
        <v>159</v>
      </c>
      <c r="Q214" s="20">
        <v>3</v>
      </c>
      <c r="R214" s="20" t="str">
        <v>At risk</v>
      </c>
    </row>
    <row r="215" spans="1:18">
      <c r="A215" s="4" t="str">
        <v>Stu-784</v>
      </c>
      <c r="B215" s="4" t="str">
        <v>Female</v>
      </c>
      <c r="C215" s="4" t="str">
        <v>Group C</v>
      </c>
      <c r="D215" s="4" t="str">
        <v>Associate's Degree</v>
      </c>
      <c r="E215" s="4" t="str">
        <v>Standard</v>
      </c>
      <c r="F215" s="4" t="str">
        <v>Completed</v>
      </c>
      <c r="G215" s="4">
        <v>52</v>
      </c>
      <c r="H215" s="18">
        <v>835</v>
      </c>
      <c r="I215" s="20" t="str">
        <v>F</v>
      </c>
      <c r="J215" s="20">
        <v>59</v>
      </c>
      <c r="K215" s="20">
        <v>761</v>
      </c>
      <c r="L215" s="20" t="str">
        <v>F</v>
      </c>
      <c r="M215" s="20">
        <v>62</v>
      </c>
      <c r="N215" s="20">
        <v>675</v>
      </c>
      <c r="O215" s="20" t="str">
        <v>D</v>
      </c>
      <c r="P215" s="20">
        <v>173</v>
      </c>
      <c r="Q215" s="20">
        <v>2</v>
      </c>
      <c r="R215" s="20" t="str">
        <v>At risk</v>
      </c>
    </row>
    <row r="216" spans="1:18">
      <c r="A216" s="4" t="str">
        <v>Stu-786</v>
      </c>
      <c r="B216" s="4" t="str">
        <v>Female</v>
      </c>
      <c r="C216" s="4" t="str">
        <v>Group B</v>
      </c>
      <c r="D216" s="4" t="str">
        <v>Some High School</v>
      </c>
      <c r="E216" s="4" t="str">
        <v>Standard</v>
      </c>
      <c r="F216" s="4" t="str">
        <v>Completed</v>
      </c>
      <c r="G216" s="4">
        <v>32</v>
      </c>
      <c r="H216" s="18">
        <v>983</v>
      </c>
      <c r="I216" s="20" t="str">
        <v>F</v>
      </c>
      <c r="J216" s="20">
        <v>51</v>
      </c>
      <c r="K216" s="20">
        <v>899</v>
      </c>
      <c r="L216" s="20" t="str">
        <v>F</v>
      </c>
      <c r="M216" s="20">
        <v>44</v>
      </c>
      <c r="N216" s="20">
        <v>936</v>
      </c>
      <c r="O216" s="20" t="str">
        <v>F</v>
      </c>
      <c r="P216" s="20">
        <v>127</v>
      </c>
      <c r="Q216" s="20">
        <v>3</v>
      </c>
      <c r="R216" s="20" t="str">
        <v>At risk</v>
      </c>
    </row>
    <row r="217" spans="1:18">
      <c r="A217" s="4" t="str">
        <v>Stu-788</v>
      </c>
      <c r="B217" s="4" t="str">
        <v>Female</v>
      </c>
      <c r="C217" s="4" t="str">
        <v>Group B</v>
      </c>
      <c r="D217" s="4" t="str">
        <v>Some College</v>
      </c>
      <c r="E217" s="4" t="str">
        <v>Standard</v>
      </c>
      <c r="F217" s="4" t="str">
        <v>None</v>
      </c>
      <c r="G217" s="4">
        <v>19</v>
      </c>
      <c r="H217" s="18">
        <v>997</v>
      </c>
      <c r="I217" s="20" t="str">
        <v>F</v>
      </c>
      <c r="J217" s="20">
        <v>38</v>
      </c>
      <c r="K217" s="20">
        <v>982</v>
      </c>
      <c r="L217" s="20" t="str">
        <v>F</v>
      </c>
      <c r="M217" s="20">
        <v>32</v>
      </c>
      <c r="N217" s="20">
        <v>990</v>
      </c>
      <c r="O217" s="20" t="str">
        <v>F</v>
      </c>
      <c r="P217" s="20">
        <v>89</v>
      </c>
      <c r="Q217" s="20">
        <v>3</v>
      </c>
      <c r="R217" s="20" t="str">
        <v>At risk</v>
      </c>
    </row>
    <row r="218" spans="1:18">
      <c r="A218" s="4" t="str">
        <v>Stu-795</v>
      </c>
      <c r="B218" s="4" t="str">
        <v>Female</v>
      </c>
      <c r="C218" s="4" t="str">
        <v>Group B</v>
      </c>
      <c r="D218" s="4" t="str">
        <v>High School</v>
      </c>
      <c r="E218" s="4" t="str">
        <v>Standard</v>
      </c>
      <c r="F218" s="4" t="str">
        <v>None</v>
      </c>
      <c r="G218" s="4">
        <v>42</v>
      </c>
      <c r="H218" s="18">
        <v>944</v>
      </c>
      <c r="I218" s="20" t="str">
        <v>F</v>
      </c>
      <c r="J218" s="20">
        <v>52</v>
      </c>
      <c r="K218" s="20">
        <v>884</v>
      </c>
      <c r="L218" s="20" t="str">
        <v>F</v>
      </c>
      <c r="M218" s="20">
        <v>51</v>
      </c>
      <c r="N218" s="20">
        <v>869</v>
      </c>
      <c r="O218" s="20" t="str">
        <v>F</v>
      </c>
      <c r="P218" s="20">
        <v>145</v>
      </c>
      <c r="Q218" s="20">
        <v>3</v>
      </c>
      <c r="R218" s="20" t="str">
        <v>At risk</v>
      </c>
    </row>
    <row r="219" spans="1:18">
      <c r="A219" s="4" t="str">
        <v>Stu-800</v>
      </c>
      <c r="B219" s="4" t="str">
        <v>Female</v>
      </c>
      <c r="C219" s="4" t="str">
        <v>Group C</v>
      </c>
      <c r="D219" s="4" t="str">
        <v>Associate's Degree</v>
      </c>
      <c r="E219" s="4" t="str">
        <v>Standard</v>
      </c>
      <c r="F219" s="4" t="str">
        <v>None</v>
      </c>
      <c r="G219" s="4">
        <v>52</v>
      </c>
      <c r="H219" s="18">
        <v>837</v>
      </c>
      <c r="I219" s="20" t="str">
        <v>F</v>
      </c>
      <c r="J219" s="20">
        <v>55</v>
      </c>
      <c r="K219" s="20">
        <v>839</v>
      </c>
      <c r="L219" s="20" t="str">
        <v>F</v>
      </c>
      <c r="M219" s="20">
        <v>57</v>
      </c>
      <c r="N219" s="20">
        <v>766</v>
      </c>
      <c r="O219" s="20" t="str">
        <v>F</v>
      </c>
      <c r="P219" s="20">
        <v>164</v>
      </c>
      <c r="Q219" s="20">
        <v>3</v>
      </c>
      <c r="R219" s="20" t="str">
        <v>At risk</v>
      </c>
    </row>
    <row r="220" spans="1:18">
      <c r="A220" s="4" t="str">
        <v>Stu-808</v>
      </c>
      <c r="B220" s="4" t="str">
        <v>Female</v>
      </c>
      <c r="C220" s="4" t="str">
        <v>Group E</v>
      </c>
      <c r="D220" s="4" t="str">
        <v>High School</v>
      </c>
      <c r="E220" s="4" t="str">
        <v>Free/Reduced</v>
      </c>
      <c r="F220" s="4" t="str">
        <v>None</v>
      </c>
      <c r="G220" s="4">
        <v>41</v>
      </c>
      <c r="H220" s="18">
        <v>950</v>
      </c>
      <c r="I220" s="20" t="str">
        <v>F</v>
      </c>
      <c r="J220" s="20">
        <v>45</v>
      </c>
      <c r="K220" s="20">
        <v>946</v>
      </c>
      <c r="L220" s="20" t="str">
        <v>F</v>
      </c>
      <c r="M220" s="20">
        <v>40</v>
      </c>
      <c r="N220" s="20">
        <v>968</v>
      </c>
      <c r="O220" s="20" t="str">
        <v>F</v>
      </c>
      <c r="P220" s="20">
        <v>126</v>
      </c>
      <c r="Q220" s="20">
        <v>3</v>
      </c>
      <c r="R220" s="20" t="str">
        <v>At risk</v>
      </c>
    </row>
    <row r="221" spans="1:18">
      <c r="A221" s="4" t="str">
        <v>Stu-810</v>
      </c>
      <c r="B221" s="4" t="str">
        <v>Male</v>
      </c>
      <c r="C221" s="4" t="str">
        <v>Group B</v>
      </c>
      <c r="D221" s="4" t="str">
        <v>Bachelor's Degree</v>
      </c>
      <c r="E221" s="4" t="str">
        <v>Standard</v>
      </c>
      <c r="F221" s="4" t="str">
        <v>None</v>
      </c>
      <c r="G221" s="4">
        <v>59</v>
      </c>
      <c r="H221" s="18">
        <v>703</v>
      </c>
      <c r="I221" s="20" t="str">
        <v>F</v>
      </c>
      <c r="J221" s="20">
        <v>54</v>
      </c>
      <c r="K221" s="20">
        <v>854</v>
      </c>
      <c r="L221" s="20" t="str">
        <v>F</v>
      </c>
      <c r="M221" s="20">
        <v>51</v>
      </c>
      <c r="N221" s="20">
        <v>870</v>
      </c>
      <c r="O221" s="20" t="str">
        <v>F</v>
      </c>
      <c r="P221" s="20">
        <v>164</v>
      </c>
      <c r="Q221" s="20">
        <v>3</v>
      </c>
      <c r="R221" s="20" t="str">
        <v>At risk</v>
      </c>
    </row>
    <row r="222" spans="1:18">
      <c r="A222" s="4" t="str">
        <v>Stu-811</v>
      </c>
      <c r="B222" s="4" t="str">
        <v>Male</v>
      </c>
      <c r="C222" s="4" t="str">
        <v>Group A</v>
      </c>
      <c r="D222" s="4" t="str">
        <v>Some High School</v>
      </c>
      <c r="E222" s="4" t="str">
        <v>Standard</v>
      </c>
      <c r="F222" s="4" t="str">
        <v>None</v>
      </c>
      <c r="G222" s="4">
        <v>51</v>
      </c>
      <c r="H222" s="18">
        <v>849</v>
      </c>
      <c r="I222" s="20" t="str">
        <v>F</v>
      </c>
      <c r="J222" s="20">
        <v>31</v>
      </c>
      <c r="K222" s="20">
        <v>992</v>
      </c>
      <c r="L222" s="20" t="str">
        <v>F</v>
      </c>
      <c r="M222" s="20">
        <v>36</v>
      </c>
      <c r="N222" s="20">
        <v>981</v>
      </c>
      <c r="O222" s="20" t="str">
        <v>F</v>
      </c>
      <c r="P222" s="20">
        <v>118</v>
      </c>
      <c r="Q222" s="20">
        <v>3</v>
      </c>
      <c r="R222" s="20" t="str">
        <v>At risk</v>
      </c>
    </row>
    <row r="223" spans="1:18">
      <c r="A223" s="4" t="str">
        <v>Stu-812</v>
      </c>
      <c r="B223" s="4" t="str">
        <v>Male</v>
      </c>
      <c r="C223" s="4" t="str">
        <v>Group A</v>
      </c>
      <c r="D223" s="4" t="str">
        <v>High School</v>
      </c>
      <c r="E223" s="4" t="str">
        <v>Free/Reduced</v>
      </c>
      <c r="F223" s="4" t="str">
        <v>None</v>
      </c>
      <c r="G223" s="4">
        <v>45</v>
      </c>
      <c r="H223" s="18">
        <v>922</v>
      </c>
      <c r="I223" s="20" t="str">
        <v>F</v>
      </c>
      <c r="J223" s="20">
        <v>47</v>
      </c>
      <c r="K223" s="20">
        <v>934</v>
      </c>
      <c r="L223" s="20" t="str">
        <v>F</v>
      </c>
      <c r="M223" s="20">
        <v>49</v>
      </c>
      <c r="N223" s="20">
        <v>895</v>
      </c>
      <c r="O223" s="20" t="str">
        <v>F</v>
      </c>
      <c r="P223" s="20">
        <v>141</v>
      </c>
      <c r="Q223" s="20">
        <v>3</v>
      </c>
      <c r="R223" s="20" t="str">
        <v>At risk</v>
      </c>
    </row>
    <row r="224" spans="1:18">
      <c r="A224" s="4" t="str">
        <v>Stu-817</v>
      </c>
      <c r="B224" s="4" t="str">
        <v>Female</v>
      </c>
      <c r="C224" s="4" t="str">
        <v>Group A</v>
      </c>
      <c r="D224" s="4" t="str">
        <v>Bachelor's Degree</v>
      </c>
      <c r="E224" s="4" t="str">
        <v>Standard</v>
      </c>
      <c r="F224" s="4" t="str">
        <v>None</v>
      </c>
      <c r="G224" s="4">
        <v>45</v>
      </c>
      <c r="H224" s="18">
        <v>923</v>
      </c>
      <c r="I224" s="20" t="str">
        <v>F</v>
      </c>
      <c r="J224" s="20">
        <v>59</v>
      </c>
      <c r="K224" s="20">
        <v>762</v>
      </c>
      <c r="L224" s="20" t="str">
        <v>F</v>
      </c>
      <c r="M224" s="20">
        <v>64</v>
      </c>
      <c r="N224" s="20">
        <v>632</v>
      </c>
      <c r="O224" s="20" t="str">
        <v>D</v>
      </c>
      <c r="P224" s="20">
        <v>168</v>
      </c>
      <c r="Q224" s="20">
        <v>2</v>
      </c>
      <c r="R224" s="20" t="str">
        <v>At risk</v>
      </c>
    </row>
    <row r="225" spans="1:18">
      <c r="A225" s="4" t="str">
        <v>Stu-823</v>
      </c>
      <c r="B225" s="4" t="str">
        <v>Male</v>
      </c>
      <c r="C225" s="4" t="str">
        <v>Group E</v>
      </c>
      <c r="D225" s="4" t="str">
        <v>Some College</v>
      </c>
      <c r="E225" s="4" t="str">
        <v>Free/Reduced</v>
      </c>
      <c r="F225" s="4" t="str">
        <v>Completed</v>
      </c>
      <c r="G225" s="4">
        <v>49</v>
      </c>
      <c r="H225" s="18">
        <v>878</v>
      </c>
      <c r="I225" s="20" t="str">
        <v>F</v>
      </c>
      <c r="J225" s="20">
        <v>52</v>
      </c>
      <c r="K225" s="20">
        <v>885</v>
      </c>
      <c r="L225" s="20" t="str">
        <v>F</v>
      </c>
      <c r="M225" s="20">
        <v>51</v>
      </c>
      <c r="N225" s="20">
        <v>871</v>
      </c>
      <c r="O225" s="20" t="str">
        <v>F</v>
      </c>
      <c r="P225" s="20">
        <v>152</v>
      </c>
      <c r="Q225" s="20">
        <v>3</v>
      </c>
      <c r="R225" s="20" t="str">
        <v>At risk</v>
      </c>
    </row>
    <row r="226" spans="1:18">
      <c r="A226" s="4" t="str">
        <v>Stu-825</v>
      </c>
      <c r="B226" s="4" t="str">
        <v>Female</v>
      </c>
      <c r="C226" s="4" t="str">
        <v>Group C</v>
      </c>
      <c r="D226" s="4" t="str">
        <v>Some High School</v>
      </c>
      <c r="E226" s="4" t="str">
        <v>Free/Reduced</v>
      </c>
      <c r="F226" s="4" t="str">
        <v>None</v>
      </c>
      <c r="G226" s="4">
        <v>48</v>
      </c>
      <c r="H226" s="18">
        <v>891</v>
      </c>
      <c r="I226" s="20" t="str">
        <v>F</v>
      </c>
      <c r="J226" s="20">
        <v>58</v>
      </c>
      <c r="K226" s="20">
        <v>786</v>
      </c>
      <c r="L226" s="20" t="str">
        <v>F</v>
      </c>
      <c r="M226" s="20">
        <v>52</v>
      </c>
      <c r="N226" s="20">
        <v>855</v>
      </c>
      <c r="O226" s="20" t="str">
        <v>F</v>
      </c>
      <c r="P226" s="20">
        <v>158</v>
      </c>
      <c r="Q226" s="20">
        <v>3</v>
      </c>
      <c r="R226" s="20" t="str">
        <v>At risk</v>
      </c>
    </row>
    <row r="227" spans="1:18">
      <c r="A227" s="4" t="str">
        <v>Stu-830</v>
      </c>
      <c r="B227" s="4" t="str">
        <v>Male</v>
      </c>
      <c r="C227" s="4" t="str">
        <v>Group B</v>
      </c>
      <c r="D227" s="4" t="str">
        <v>Some High School</v>
      </c>
      <c r="E227" s="4" t="str">
        <v>Standard</v>
      </c>
      <c r="F227" s="4" t="str">
        <v>None</v>
      </c>
      <c r="G227" s="4">
        <v>68</v>
      </c>
      <c r="H227" s="18">
        <v>464</v>
      </c>
      <c r="I227" s="20" t="str">
        <v>D</v>
      </c>
      <c r="J227" s="20">
        <v>54</v>
      </c>
      <c r="K227" s="20">
        <v>855</v>
      </c>
      <c r="L227" s="20" t="str">
        <v>F</v>
      </c>
      <c r="M227" s="20">
        <v>53</v>
      </c>
      <c r="N227" s="20">
        <v>835</v>
      </c>
      <c r="O227" s="20" t="str">
        <v>F</v>
      </c>
      <c r="P227" s="20">
        <v>175</v>
      </c>
      <c r="Q227" s="20">
        <v>2</v>
      </c>
      <c r="R227" s="20" t="str">
        <v>At risk</v>
      </c>
    </row>
    <row r="228" spans="1:18">
      <c r="A228" s="4" t="str">
        <v>Stu-835</v>
      </c>
      <c r="B228" s="4" t="str">
        <v>Male</v>
      </c>
      <c r="C228" s="4" t="str">
        <v>Group B</v>
      </c>
      <c r="D228" s="4" t="str">
        <v>Some College</v>
      </c>
      <c r="E228" s="4" t="str">
        <v>Standard</v>
      </c>
      <c r="F228" s="4" t="str">
        <v>None</v>
      </c>
      <c r="G228" s="4">
        <v>58</v>
      </c>
      <c r="H228" s="18">
        <v>731</v>
      </c>
      <c r="I228" s="20" t="str">
        <v>F</v>
      </c>
      <c r="J228" s="20">
        <v>50</v>
      </c>
      <c r="K228" s="20">
        <v>908</v>
      </c>
      <c r="L228" s="20" t="str">
        <v>F</v>
      </c>
      <c r="M228" s="20">
        <v>45</v>
      </c>
      <c r="N228" s="20">
        <v>929</v>
      </c>
      <c r="O228" s="20" t="str">
        <v>F</v>
      </c>
      <c r="P228" s="20">
        <v>153</v>
      </c>
      <c r="Q228" s="20">
        <v>3</v>
      </c>
      <c r="R228" s="20" t="str">
        <v>At risk</v>
      </c>
    </row>
    <row r="229" spans="1:18">
      <c r="A229" s="4" t="str">
        <v>Stu-839</v>
      </c>
      <c r="B229" s="4" t="str">
        <v>Male</v>
      </c>
      <c r="C229" s="4" t="str">
        <v>Group B</v>
      </c>
      <c r="D229" s="4" t="str">
        <v>Associate's Degree</v>
      </c>
      <c r="E229" s="4" t="str">
        <v>Free/Reduced</v>
      </c>
      <c r="F229" s="4" t="str">
        <v>Completed</v>
      </c>
      <c r="G229" s="4">
        <v>58</v>
      </c>
      <c r="H229" s="18">
        <v>732</v>
      </c>
      <c r="I229" s="20" t="str">
        <v>F</v>
      </c>
      <c r="J229" s="20">
        <v>57</v>
      </c>
      <c r="K229" s="20">
        <v>804</v>
      </c>
      <c r="L229" s="20" t="str">
        <v>F</v>
      </c>
      <c r="M229" s="20">
        <v>53</v>
      </c>
      <c r="N229" s="20">
        <v>836</v>
      </c>
      <c r="O229" s="20" t="str">
        <v>F</v>
      </c>
      <c r="P229" s="20">
        <v>168</v>
      </c>
      <c r="Q229" s="20">
        <v>3</v>
      </c>
      <c r="R229" s="20" t="str">
        <v>At risk</v>
      </c>
    </row>
    <row r="230" spans="1:18">
      <c r="A230" s="4" t="str">
        <v>Stu-841</v>
      </c>
      <c r="B230" s="4" t="str">
        <v>Female</v>
      </c>
      <c r="C230" s="4" t="str">
        <v>Group D</v>
      </c>
      <c r="D230" s="4" t="str">
        <v>High School</v>
      </c>
      <c r="E230" s="4" t="str">
        <v>Free/Reduced</v>
      </c>
      <c r="F230" s="4" t="str">
        <v>None</v>
      </c>
      <c r="G230" s="4">
        <v>39</v>
      </c>
      <c r="H230" s="18">
        <v>963</v>
      </c>
      <c r="I230" s="20" t="str">
        <v>F</v>
      </c>
      <c r="J230" s="20">
        <v>52</v>
      </c>
      <c r="K230" s="20">
        <v>886</v>
      </c>
      <c r="L230" s="20" t="str">
        <v>F</v>
      </c>
      <c r="M230" s="20">
        <v>46</v>
      </c>
      <c r="N230" s="20">
        <v>921</v>
      </c>
      <c r="O230" s="20" t="str">
        <v>F</v>
      </c>
      <c r="P230" s="20">
        <v>137</v>
      </c>
      <c r="Q230" s="20">
        <v>3</v>
      </c>
      <c r="R230" s="20" t="str">
        <v>At risk</v>
      </c>
    </row>
    <row r="231" spans="1:18">
      <c r="A231" s="4" t="str">
        <v>Stu-842</v>
      </c>
      <c r="B231" s="4" t="str">
        <v>Male</v>
      </c>
      <c r="C231" s="4" t="str">
        <v>Group C</v>
      </c>
      <c r="D231" s="4" t="str">
        <v>Some High School</v>
      </c>
      <c r="E231" s="4" t="str">
        <v>Standard</v>
      </c>
      <c r="F231" s="4" t="str">
        <v>None</v>
      </c>
      <c r="G231" s="4">
        <v>64</v>
      </c>
      <c r="H231" s="18">
        <v>568</v>
      </c>
      <c r="I231" s="20" t="str">
        <v>D</v>
      </c>
      <c r="J231" s="20">
        <v>58</v>
      </c>
      <c r="K231" s="20">
        <v>787</v>
      </c>
      <c r="L231" s="20" t="str">
        <v>F</v>
      </c>
      <c r="M231" s="20">
        <v>51</v>
      </c>
      <c r="N231" s="20">
        <v>872</v>
      </c>
      <c r="O231" s="20" t="str">
        <v>F</v>
      </c>
      <c r="P231" s="20">
        <v>173</v>
      </c>
      <c r="Q231" s="20">
        <v>2</v>
      </c>
      <c r="R231" s="20" t="str">
        <v>At risk</v>
      </c>
    </row>
    <row r="232" spans="1:18">
      <c r="A232" s="4" t="str">
        <v>Stu-843</v>
      </c>
      <c r="B232" s="4" t="str">
        <v>Female</v>
      </c>
      <c r="C232" s="4" t="str">
        <v>Group B</v>
      </c>
      <c r="D232" s="4" t="str">
        <v>High School</v>
      </c>
      <c r="E232" s="4" t="str">
        <v>Free/Reduced</v>
      </c>
      <c r="F232" s="4" t="str">
        <v>Completed</v>
      </c>
      <c r="G232" s="4">
        <v>23</v>
      </c>
      <c r="H232" s="18">
        <v>995</v>
      </c>
      <c r="I232" s="20" t="str">
        <v>F</v>
      </c>
      <c r="J232" s="20">
        <v>44</v>
      </c>
      <c r="K232" s="20">
        <v>951</v>
      </c>
      <c r="L232" s="20" t="str">
        <v>F</v>
      </c>
      <c r="M232" s="20">
        <v>36</v>
      </c>
      <c r="N232" s="20">
        <v>982</v>
      </c>
      <c r="O232" s="20" t="str">
        <v>F</v>
      </c>
      <c r="P232" s="20">
        <v>103</v>
      </c>
      <c r="Q232" s="20">
        <v>3</v>
      </c>
      <c r="R232" s="20" t="str">
        <v>At risk</v>
      </c>
    </row>
    <row r="233" spans="1:18">
      <c r="A233" s="4" t="str">
        <v>Stu-848</v>
      </c>
      <c r="B233" s="4" t="str">
        <v>Male</v>
      </c>
      <c r="C233" s="4" t="str">
        <v>Group D</v>
      </c>
      <c r="D233" s="4" t="str">
        <v>High School</v>
      </c>
      <c r="E233" s="4" t="str">
        <v>Standard</v>
      </c>
      <c r="F233" s="4" t="str">
        <v>None</v>
      </c>
      <c r="G233" s="4">
        <v>64</v>
      </c>
      <c r="H233" s="18">
        <v>569</v>
      </c>
      <c r="I233" s="20" t="str">
        <v>D</v>
      </c>
      <c r="J233" s="20">
        <v>54</v>
      </c>
      <c r="K233" s="20">
        <v>856</v>
      </c>
      <c r="L233" s="20" t="str">
        <v>F</v>
      </c>
      <c r="M233" s="20">
        <v>50</v>
      </c>
      <c r="N233" s="20">
        <v>886</v>
      </c>
      <c r="O233" s="20" t="str">
        <v>F</v>
      </c>
      <c r="P233" s="20">
        <v>168</v>
      </c>
      <c r="Q233" s="20">
        <v>2</v>
      </c>
      <c r="R233" s="20" t="str">
        <v>At risk</v>
      </c>
    </row>
    <row r="234" spans="1:18">
      <c r="A234" s="4" t="str">
        <v>Stu-859</v>
      </c>
      <c r="B234" s="4" t="str">
        <v>Male</v>
      </c>
      <c r="C234" s="4" t="str">
        <v>Group B</v>
      </c>
      <c r="D234" s="4" t="str">
        <v>High School</v>
      </c>
      <c r="E234" s="4" t="str">
        <v>Standard</v>
      </c>
      <c r="F234" s="4" t="str">
        <v>Completed</v>
      </c>
      <c r="G234" s="4">
        <v>52</v>
      </c>
      <c r="H234" s="18">
        <v>838</v>
      </c>
      <c r="I234" s="20" t="str">
        <v>F</v>
      </c>
      <c r="J234" s="20">
        <v>49</v>
      </c>
      <c r="K234" s="20">
        <v>920</v>
      </c>
      <c r="L234" s="20" t="str">
        <v>F</v>
      </c>
      <c r="M234" s="20">
        <v>46</v>
      </c>
      <c r="N234" s="20">
        <v>922</v>
      </c>
      <c r="O234" s="20" t="str">
        <v>F</v>
      </c>
      <c r="P234" s="20">
        <v>147</v>
      </c>
      <c r="Q234" s="20">
        <v>3</v>
      </c>
      <c r="R234" s="20" t="str">
        <v>At risk</v>
      </c>
    </row>
    <row r="235" spans="1:18">
      <c r="A235" s="4" t="str">
        <v>Stu-861</v>
      </c>
      <c r="B235" s="4" t="str">
        <v>Female</v>
      </c>
      <c r="C235" s="4" t="str">
        <v>Group C</v>
      </c>
      <c r="D235" s="4" t="str">
        <v>Associate's Degree</v>
      </c>
      <c r="E235" s="4" t="str">
        <v>Standard</v>
      </c>
      <c r="F235" s="4" t="str">
        <v>None</v>
      </c>
      <c r="G235" s="4">
        <v>53</v>
      </c>
      <c r="H235" s="18">
        <v>820</v>
      </c>
      <c r="I235" s="20" t="str">
        <v>F</v>
      </c>
      <c r="J235" s="20">
        <v>62</v>
      </c>
      <c r="K235" s="20">
        <v>696</v>
      </c>
      <c r="L235" s="20" t="str">
        <v>D</v>
      </c>
      <c r="M235" s="20">
        <v>53</v>
      </c>
      <c r="N235" s="20">
        <v>837</v>
      </c>
      <c r="O235" s="20" t="str">
        <v>F</v>
      </c>
      <c r="P235" s="20">
        <v>168</v>
      </c>
      <c r="Q235" s="20">
        <v>2</v>
      </c>
      <c r="R235" s="20" t="str">
        <v>At risk</v>
      </c>
    </row>
    <row r="236" spans="1:18">
      <c r="A236" s="4" t="str">
        <v>Stu-863</v>
      </c>
      <c r="B236" s="4" t="str">
        <v>Male</v>
      </c>
      <c r="C236" s="4" t="str">
        <v>Group D</v>
      </c>
      <c r="D236" s="4" t="str">
        <v>Bachelor's Degree</v>
      </c>
      <c r="E236" s="4" t="str">
        <v>Free/Reduced</v>
      </c>
      <c r="F236" s="4" t="str">
        <v>Completed</v>
      </c>
      <c r="G236" s="4">
        <v>39</v>
      </c>
      <c r="H236" s="18">
        <v>964</v>
      </c>
      <c r="I236" s="20" t="str">
        <v>F</v>
      </c>
      <c r="J236" s="20">
        <v>42</v>
      </c>
      <c r="K236" s="20">
        <v>965</v>
      </c>
      <c r="L236" s="20" t="str">
        <v>F</v>
      </c>
      <c r="M236" s="20">
        <v>38</v>
      </c>
      <c r="N236" s="20">
        <v>975</v>
      </c>
      <c r="O236" s="20" t="str">
        <v>F</v>
      </c>
      <c r="P236" s="20">
        <v>119</v>
      </c>
      <c r="Q236" s="20">
        <v>3</v>
      </c>
      <c r="R236" s="20" t="str">
        <v>At risk</v>
      </c>
    </row>
    <row r="237" spans="1:18">
      <c r="A237" s="4" t="str">
        <v>Stu-867</v>
      </c>
      <c r="B237" s="4" t="str">
        <v>Male</v>
      </c>
      <c r="C237" s="4" t="str">
        <v>Group C</v>
      </c>
      <c r="D237" s="4" t="str">
        <v>High School</v>
      </c>
      <c r="E237" s="4" t="str">
        <v>Free/Reduced</v>
      </c>
      <c r="F237" s="4" t="str">
        <v>None</v>
      </c>
      <c r="G237" s="4">
        <v>59</v>
      </c>
      <c r="H237" s="18">
        <v>705</v>
      </c>
      <c r="I237" s="20" t="str">
        <v>F</v>
      </c>
      <c r="J237" s="20">
        <v>53</v>
      </c>
      <c r="K237" s="20">
        <v>870</v>
      </c>
      <c r="L237" s="20" t="str">
        <v>F</v>
      </c>
      <c r="M237" s="20">
        <v>52</v>
      </c>
      <c r="N237" s="20">
        <v>856</v>
      </c>
      <c r="O237" s="20" t="str">
        <v>F</v>
      </c>
      <c r="P237" s="20">
        <v>164</v>
      </c>
      <c r="Q237" s="20">
        <v>3</v>
      </c>
      <c r="R237" s="20" t="str">
        <v>At risk</v>
      </c>
    </row>
    <row r="238" spans="1:18">
      <c r="A238" s="4" t="str">
        <v>Stu-868</v>
      </c>
      <c r="B238" s="4" t="str">
        <v>Male</v>
      </c>
      <c r="C238" s="4" t="str">
        <v>Group B</v>
      </c>
      <c r="D238" s="4" t="str">
        <v>Associate's Degree</v>
      </c>
      <c r="E238" s="4" t="str">
        <v>Standard</v>
      </c>
      <c r="F238" s="4" t="str">
        <v>None</v>
      </c>
      <c r="G238" s="4">
        <v>61</v>
      </c>
      <c r="H238" s="18">
        <v>659</v>
      </c>
      <c r="I238" s="20" t="str">
        <v>D</v>
      </c>
      <c r="J238" s="20">
        <v>42</v>
      </c>
      <c r="K238" s="20">
        <v>966</v>
      </c>
      <c r="L238" s="20" t="str">
        <v>F</v>
      </c>
      <c r="M238" s="20">
        <v>41</v>
      </c>
      <c r="N238" s="20">
        <v>964</v>
      </c>
      <c r="O238" s="20" t="str">
        <v>F</v>
      </c>
      <c r="P238" s="20">
        <v>144</v>
      </c>
      <c r="Q238" s="20">
        <v>2</v>
      </c>
      <c r="R238" s="20" t="str">
        <v>At risk</v>
      </c>
    </row>
    <row r="239" spans="1:18">
      <c r="A239" s="4" t="str">
        <v>Stu-870</v>
      </c>
      <c r="B239" s="4" t="str">
        <v>Male</v>
      </c>
      <c r="C239" s="4" t="str">
        <v>Group C</v>
      </c>
      <c r="D239" s="4" t="str">
        <v>Associate's Degree</v>
      </c>
      <c r="E239" s="4" t="str">
        <v>Free/Reduced</v>
      </c>
      <c r="F239" s="4" t="str">
        <v>None</v>
      </c>
      <c r="G239" s="4">
        <v>49</v>
      </c>
      <c r="H239" s="18">
        <v>879</v>
      </c>
      <c r="I239" s="20" t="str">
        <v>F</v>
      </c>
      <c r="J239" s="20">
        <v>51</v>
      </c>
      <c r="K239" s="20">
        <v>900</v>
      </c>
      <c r="L239" s="20" t="str">
        <v>F</v>
      </c>
      <c r="M239" s="20">
        <v>51</v>
      </c>
      <c r="N239" s="20">
        <v>873</v>
      </c>
      <c r="O239" s="20" t="str">
        <v>F</v>
      </c>
      <c r="P239" s="20">
        <v>151</v>
      </c>
      <c r="Q239" s="20">
        <v>3</v>
      </c>
      <c r="R239" s="20" t="str">
        <v>At risk</v>
      </c>
    </row>
    <row r="240" spans="1:18">
      <c r="A240" s="4" t="str">
        <v>Stu-871</v>
      </c>
      <c r="B240" s="4" t="str">
        <v>Male</v>
      </c>
      <c r="C240" s="4" t="str">
        <v>Group B</v>
      </c>
      <c r="D240" s="4" t="str">
        <v>High School</v>
      </c>
      <c r="E240" s="4" t="str">
        <v>Standard</v>
      </c>
      <c r="F240" s="4" t="str">
        <v>None</v>
      </c>
      <c r="G240" s="4">
        <v>59</v>
      </c>
      <c r="H240" s="18">
        <v>706</v>
      </c>
      <c r="I240" s="20" t="str">
        <v>F</v>
      </c>
      <c r="J240" s="20">
        <v>58</v>
      </c>
      <c r="K240" s="20">
        <v>788</v>
      </c>
      <c r="L240" s="20" t="str">
        <v>F</v>
      </c>
      <c r="M240" s="20">
        <v>47</v>
      </c>
      <c r="N240" s="20">
        <v>913</v>
      </c>
      <c r="O240" s="20" t="str">
        <v>F</v>
      </c>
      <c r="P240" s="20">
        <v>164</v>
      </c>
      <c r="Q240" s="20">
        <v>3</v>
      </c>
      <c r="R240" s="20" t="str">
        <v>At risk</v>
      </c>
    </row>
    <row r="241" spans="1:18">
      <c r="A241" s="4" t="str">
        <v>Stu-878</v>
      </c>
      <c r="B241" s="4" t="str">
        <v>Male</v>
      </c>
      <c r="C241" s="4" t="str">
        <v>Group C</v>
      </c>
      <c r="D241" s="4" t="str">
        <v>Some High School</v>
      </c>
      <c r="E241" s="4" t="str">
        <v>Standard</v>
      </c>
      <c r="F241" s="4" t="str">
        <v>None</v>
      </c>
      <c r="G241" s="4">
        <v>57</v>
      </c>
      <c r="H241" s="18">
        <v>747</v>
      </c>
      <c r="I241" s="20" t="str">
        <v>F</v>
      </c>
      <c r="J241" s="20">
        <v>61</v>
      </c>
      <c r="K241" s="20">
        <v>720</v>
      </c>
      <c r="L241" s="20" t="str">
        <v>D</v>
      </c>
      <c r="M241" s="20">
        <v>54</v>
      </c>
      <c r="N241" s="20">
        <v>819</v>
      </c>
      <c r="O241" s="20" t="str">
        <v>F</v>
      </c>
      <c r="P241" s="20">
        <v>172</v>
      </c>
      <c r="Q241" s="20">
        <v>2</v>
      </c>
      <c r="R241" s="20" t="str">
        <v>At risk</v>
      </c>
    </row>
    <row r="242" spans="1:18">
      <c r="A242" s="4" t="str">
        <v>Stu-884</v>
      </c>
      <c r="B242" s="4" t="str">
        <v>Male</v>
      </c>
      <c r="C242" s="4" t="str">
        <v>Group D</v>
      </c>
      <c r="D242" s="4" t="str">
        <v>Bachelor's Degree</v>
      </c>
      <c r="E242" s="4" t="str">
        <v>Free/Reduced</v>
      </c>
      <c r="F242" s="4" t="str">
        <v>None</v>
      </c>
      <c r="G242" s="4">
        <v>55</v>
      </c>
      <c r="H242" s="18">
        <v>777</v>
      </c>
      <c r="I242" s="20" t="str">
        <v>F</v>
      </c>
      <c r="J242" s="20">
        <v>46</v>
      </c>
      <c r="K242" s="20">
        <v>940</v>
      </c>
      <c r="L242" s="20" t="str">
        <v>F</v>
      </c>
      <c r="M242" s="20">
        <v>44</v>
      </c>
      <c r="N242" s="20">
        <v>937</v>
      </c>
      <c r="O242" s="20" t="str">
        <v>F</v>
      </c>
      <c r="P242" s="20">
        <v>145</v>
      </c>
      <c r="Q242" s="20">
        <v>3</v>
      </c>
      <c r="R242" s="20" t="str">
        <v>At risk</v>
      </c>
    </row>
    <row r="243" spans="1:18">
      <c r="A243" s="4" t="str">
        <v>Stu-885</v>
      </c>
      <c r="B243" s="4" t="str">
        <v>Female</v>
      </c>
      <c r="C243" s="4" t="str">
        <v>Group E</v>
      </c>
      <c r="D243" s="4" t="str">
        <v>Associate's Degree</v>
      </c>
      <c r="E243" s="4" t="str">
        <v>Standard</v>
      </c>
      <c r="F243" s="4" t="str">
        <v>None</v>
      </c>
      <c r="G243" s="4">
        <v>51</v>
      </c>
      <c r="H243" s="18">
        <v>850</v>
      </c>
      <c r="I243" s="20" t="str">
        <v>F</v>
      </c>
      <c r="J243" s="20">
        <v>51</v>
      </c>
      <c r="K243" s="20">
        <v>901</v>
      </c>
      <c r="L243" s="20" t="str">
        <v>F</v>
      </c>
      <c r="M243" s="20">
        <v>54</v>
      </c>
      <c r="N243" s="20">
        <v>820</v>
      </c>
      <c r="O243" s="20" t="str">
        <v>F</v>
      </c>
      <c r="P243" s="20">
        <v>156</v>
      </c>
      <c r="Q243" s="20">
        <v>3</v>
      </c>
      <c r="R243" s="20" t="str">
        <v>At risk</v>
      </c>
    </row>
    <row r="244" spans="1:18">
      <c r="A244" s="4" t="str">
        <v>Stu-888</v>
      </c>
      <c r="B244" s="4" t="str">
        <v>Male</v>
      </c>
      <c r="C244" s="4" t="str">
        <v>Group C</v>
      </c>
      <c r="D244" s="4" t="str">
        <v>High School</v>
      </c>
      <c r="E244" s="4" t="str">
        <v>Free/Reduced</v>
      </c>
      <c r="F244" s="4" t="str">
        <v>None</v>
      </c>
      <c r="G244" s="4">
        <v>54</v>
      </c>
      <c r="H244" s="18">
        <v>794</v>
      </c>
      <c r="I244" s="20" t="str">
        <v>F</v>
      </c>
      <c r="J244" s="20">
        <v>72</v>
      </c>
      <c r="K244" s="20">
        <v>465</v>
      </c>
      <c r="L244" s="20" t="str">
        <v>C</v>
      </c>
      <c r="M244" s="20">
        <v>59</v>
      </c>
      <c r="N244" s="20">
        <v>731</v>
      </c>
      <c r="O244" s="20" t="str">
        <v>F</v>
      </c>
      <c r="P244" s="20">
        <v>185</v>
      </c>
      <c r="Q244" s="20">
        <v>2</v>
      </c>
      <c r="R244" s="20" t="str">
        <v>At risk</v>
      </c>
    </row>
    <row r="245" spans="1:18">
      <c r="A245" s="4" t="str">
        <v>Stu-890</v>
      </c>
      <c r="B245" s="4" t="str">
        <v>Male</v>
      </c>
      <c r="C245" s="4" t="str">
        <v>Group D</v>
      </c>
      <c r="D245" s="4" t="str">
        <v>High School</v>
      </c>
      <c r="E245" s="4" t="str">
        <v>Free/Reduced</v>
      </c>
      <c r="F245" s="4" t="str">
        <v>None</v>
      </c>
      <c r="G245" s="4">
        <v>44</v>
      </c>
      <c r="H245" s="18">
        <v>931</v>
      </c>
      <c r="I245" s="20" t="str">
        <v>F</v>
      </c>
      <c r="J245" s="20">
        <v>51</v>
      </c>
      <c r="K245" s="20">
        <v>902</v>
      </c>
      <c r="L245" s="20" t="str">
        <v>F</v>
      </c>
      <c r="M245" s="20">
        <v>48</v>
      </c>
      <c r="N245" s="20">
        <v>901</v>
      </c>
      <c r="O245" s="20" t="str">
        <v>F</v>
      </c>
      <c r="P245" s="20">
        <v>143</v>
      </c>
      <c r="Q245" s="20">
        <v>3</v>
      </c>
      <c r="R245" s="20" t="str">
        <v>At risk</v>
      </c>
    </row>
    <row r="246" spans="1:18">
      <c r="A246" s="4" t="str">
        <v>Stu-896</v>
      </c>
      <c r="B246" s="4" t="str">
        <v>Female</v>
      </c>
      <c r="C246" s="4" t="str">
        <v>Group E</v>
      </c>
      <c r="D246" s="4" t="str">
        <v>Some High School</v>
      </c>
      <c r="E246" s="4" t="str">
        <v>Free/Reduced</v>
      </c>
      <c r="F246" s="4" t="str">
        <v>None</v>
      </c>
      <c r="G246" s="4">
        <v>32</v>
      </c>
      <c r="H246" s="18">
        <v>984</v>
      </c>
      <c r="I246" s="20" t="str">
        <v>F</v>
      </c>
      <c r="J246" s="20">
        <v>34</v>
      </c>
      <c r="K246" s="20">
        <v>989</v>
      </c>
      <c r="L246" s="20" t="str">
        <v>F</v>
      </c>
      <c r="M246" s="20">
        <v>38</v>
      </c>
      <c r="N246" s="20">
        <v>976</v>
      </c>
      <c r="O246" s="20" t="str">
        <v>F</v>
      </c>
      <c r="P246" s="20">
        <v>104</v>
      </c>
      <c r="Q246" s="20">
        <v>3</v>
      </c>
      <c r="R246" s="20" t="str">
        <v>At risk</v>
      </c>
    </row>
    <row r="247" spans="1:18">
      <c r="A247" s="4" t="str">
        <v>Stu-897</v>
      </c>
      <c r="B247" s="4" t="str">
        <v>Male</v>
      </c>
      <c r="C247" s="4" t="str">
        <v>Group B</v>
      </c>
      <c r="D247" s="4" t="str">
        <v>High School</v>
      </c>
      <c r="E247" s="4" t="str">
        <v>Free/Reduced</v>
      </c>
      <c r="F247" s="4" t="str">
        <v>None</v>
      </c>
      <c r="G247" s="4">
        <v>36</v>
      </c>
      <c r="H247" s="18">
        <v>973</v>
      </c>
      <c r="I247" s="20" t="str">
        <v>F</v>
      </c>
      <c r="J247" s="20">
        <v>29</v>
      </c>
      <c r="K247" s="20">
        <v>994</v>
      </c>
      <c r="L247" s="20" t="str">
        <v>F</v>
      </c>
      <c r="M247" s="20">
        <v>27</v>
      </c>
      <c r="N247" s="20">
        <v>995</v>
      </c>
      <c r="O247" s="20" t="str">
        <v>F</v>
      </c>
      <c r="P247" s="20">
        <v>92</v>
      </c>
      <c r="Q247" s="20">
        <v>3</v>
      </c>
      <c r="R247" s="20" t="str">
        <v>At risk</v>
      </c>
    </row>
    <row r="248" spans="1:18">
      <c r="A248" s="4" t="str">
        <v>Stu-903</v>
      </c>
      <c r="B248" s="4" t="str">
        <v>Female</v>
      </c>
      <c r="C248" s="4" t="str">
        <v>Group A</v>
      </c>
      <c r="D248" s="4" t="str">
        <v>High School</v>
      </c>
      <c r="E248" s="4" t="str">
        <v>Free/Reduced</v>
      </c>
      <c r="F248" s="4" t="str">
        <v>Completed</v>
      </c>
      <c r="G248" s="4">
        <v>34</v>
      </c>
      <c r="H248" s="18">
        <v>980</v>
      </c>
      <c r="I248" s="20" t="str">
        <v>F</v>
      </c>
      <c r="J248" s="20">
        <v>48</v>
      </c>
      <c r="K248" s="20">
        <v>929</v>
      </c>
      <c r="L248" s="20" t="str">
        <v>F</v>
      </c>
      <c r="M248" s="20">
        <v>41</v>
      </c>
      <c r="N248" s="20">
        <v>965</v>
      </c>
      <c r="O248" s="20" t="str">
        <v>F</v>
      </c>
      <c r="P248" s="20">
        <v>123</v>
      </c>
      <c r="Q248" s="20">
        <v>3</v>
      </c>
      <c r="R248" s="20" t="str">
        <v>At risk</v>
      </c>
    </row>
    <row r="249" spans="1:18">
      <c r="A249" s="4" t="str">
        <v>Stu-907</v>
      </c>
      <c r="B249" s="4" t="str">
        <v>Male</v>
      </c>
      <c r="C249" s="4" t="str">
        <v>Group B</v>
      </c>
      <c r="D249" s="4" t="str">
        <v>High School</v>
      </c>
      <c r="E249" s="4" t="str">
        <v>Standard</v>
      </c>
      <c r="F249" s="4" t="str">
        <v>None</v>
      </c>
      <c r="G249" s="4">
        <v>57</v>
      </c>
      <c r="H249" s="18">
        <v>748</v>
      </c>
      <c r="I249" s="20" t="str">
        <v>F</v>
      </c>
      <c r="J249" s="20">
        <v>48</v>
      </c>
      <c r="K249" s="20">
        <v>930</v>
      </c>
      <c r="L249" s="20" t="str">
        <v>F</v>
      </c>
      <c r="M249" s="20">
        <v>51</v>
      </c>
      <c r="N249" s="20">
        <v>874</v>
      </c>
      <c r="O249" s="20" t="str">
        <v>F</v>
      </c>
      <c r="P249" s="20">
        <v>156</v>
      </c>
      <c r="Q249" s="20">
        <v>3</v>
      </c>
      <c r="R249" s="20" t="str">
        <v>At risk</v>
      </c>
    </row>
    <row r="250" spans="1:18">
      <c r="A250" s="4" t="str">
        <v>Stu-911</v>
      </c>
      <c r="B250" s="4" t="str">
        <v>Male</v>
      </c>
      <c r="C250" s="4" t="str">
        <v>Group D</v>
      </c>
      <c r="D250" s="4" t="str">
        <v>Bachelor's Degree</v>
      </c>
      <c r="E250" s="4" t="str">
        <v>Free/Reduced</v>
      </c>
      <c r="F250" s="4" t="str">
        <v>None</v>
      </c>
      <c r="G250" s="4">
        <v>50</v>
      </c>
      <c r="H250" s="18">
        <v>865</v>
      </c>
      <c r="I250" s="20" t="str">
        <v>F</v>
      </c>
      <c r="J250" s="20">
        <v>42</v>
      </c>
      <c r="K250" s="20">
        <v>967</v>
      </c>
      <c r="L250" s="20" t="str">
        <v>F</v>
      </c>
      <c r="M250" s="20">
        <v>48</v>
      </c>
      <c r="N250" s="20">
        <v>902</v>
      </c>
      <c r="O250" s="20" t="str">
        <v>F</v>
      </c>
      <c r="P250" s="20">
        <v>140</v>
      </c>
      <c r="Q250" s="20">
        <v>3</v>
      </c>
      <c r="R250" s="20" t="str">
        <v>At risk</v>
      </c>
    </row>
    <row r="251" spans="1:18">
      <c r="A251" s="4" t="str">
        <v>Stu-915</v>
      </c>
      <c r="B251" s="4" t="str">
        <v>Female</v>
      </c>
      <c r="C251" s="4" t="str">
        <v>Group B</v>
      </c>
      <c r="D251" s="4" t="str">
        <v>Associate's Degree</v>
      </c>
      <c r="E251" s="4" t="str">
        <v>Free/Reduced</v>
      </c>
      <c r="F251" s="4" t="str">
        <v>None</v>
      </c>
      <c r="G251" s="4">
        <v>46</v>
      </c>
      <c r="H251" s="18">
        <v>914</v>
      </c>
      <c r="I251" s="20" t="str">
        <v>F</v>
      </c>
      <c r="J251" s="20">
        <v>61</v>
      </c>
      <c r="K251" s="20">
        <v>722</v>
      </c>
      <c r="L251" s="20" t="str">
        <v>D</v>
      </c>
      <c r="M251" s="20">
        <v>55</v>
      </c>
      <c r="N251" s="20">
        <v>796</v>
      </c>
      <c r="O251" s="20" t="str">
        <v>F</v>
      </c>
      <c r="P251" s="20">
        <v>162</v>
      </c>
      <c r="Q251" s="20">
        <v>2</v>
      </c>
      <c r="R251" s="20" t="str">
        <v>At risk</v>
      </c>
    </row>
    <row r="252" spans="1:18">
      <c r="A252" s="4" t="str">
        <v>Stu-918</v>
      </c>
      <c r="B252" s="4" t="str">
        <v>Female</v>
      </c>
      <c r="C252" s="4" t="str">
        <v>Group C</v>
      </c>
      <c r="D252" s="4" t="str">
        <v>High School</v>
      </c>
      <c r="E252" s="4" t="str">
        <v>Standard</v>
      </c>
      <c r="F252" s="4" t="str">
        <v>None</v>
      </c>
      <c r="G252" s="4">
        <v>44</v>
      </c>
      <c r="H252" s="18">
        <v>932</v>
      </c>
      <c r="I252" s="20" t="str">
        <v>F</v>
      </c>
      <c r="J252" s="20">
        <v>61</v>
      </c>
      <c r="K252" s="20">
        <v>723</v>
      </c>
      <c r="L252" s="20" t="str">
        <v>D</v>
      </c>
      <c r="M252" s="20">
        <v>52</v>
      </c>
      <c r="N252" s="20">
        <v>857</v>
      </c>
      <c r="O252" s="20" t="str">
        <v>F</v>
      </c>
      <c r="P252" s="20">
        <v>157</v>
      </c>
      <c r="Q252" s="20">
        <v>2</v>
      </c>
      <c r="R252" s="20" t="str">
        <v>At risk</v>
      </c>
    </row>
    <row r="253" spans="1:18">
      <c r="A253" s="4" t="str">
        <v>Stu-922</v>
      </c>
      <c r="B253" s="4" t="str">
        <v>Female</v>
      </c>
      <c r="C253" s="4" t="str">
        <v>Group C</v>
      </c>
      <c r="D253" s="4" t="str">
        <v>High School</v>
      </c>
      <c r="E253" s="4" t="str">
        <v>Free/Reduced</v>
      </c>
      <c r="F253" s="4" t="str">
        <v>None</v>
      </c>
      <c r="G253" s="4">
        <v>35</v>
      </c>
      <c r="H253" s="18">
        <v>978</v>
      </c>
      <c r="I253" s="20" t="str">
        <v>F</v>
      </c>
      <c r="J253" s="20">
        <v>53</v>
      </c>
      <c r="K253" s="20">
        <v>871</v>
      </c>
      <c r="L253" s="20" t="str">
        <v>F</v>
      </c>
      <c r="M253" s="20">
        <v>46</v>
      </c>
      <c r="N253" s="20">
        <v>923</v>
      </c>
      <c r="O253" s="20" t="str">
        <v>F</v>
      </c>
      <c r="P253" s="20">
        <v>134</v>
      </c>
      <c r="Q253" s="20">
        <v>3</v>
      </c>
      <c r="R253" s="20" t="str">
        <v>At risk</v>
      </c>
    </row>
    <row r="254" spans="1:18">
      <c r="A254" s="4" t="str">
        <v>Stu-927</v>
      </c>
      <c r="B254" s="4" t="str">
        <v>Male</v>
      </c>
      <c r="C254" s="4" t="str">
        <v>Group E</v>
      </c>
      <c r="D254" s="4" t="str">
        <v>Associate's Degree</v>
      </c>
      <c r="E254" s="4" t="str">
        <v>Free/Reduced</v>
      </c>
      <c r="F254" s="4" t="str">
        <v>None</v>
      </c>
      <c r="G254" s="4">
        <v>64</v>
      </c>
      <c r="H254" s="18">
        <v>572</v>
      </c>
      <c r="I254" s="20" t="str">
        <v>D</v>
      </c>
      <c r="J254" s="20">
        <v>56</v>
      </c>
      <c r="K254" s="20">
        <v>823</v>
      </c>
      <c r="L254" s="20" t="str">
        <v>F</v>
      </c>
      <c r="M254" s="20">
        <v>52</v>
      </c>
      <c r="N254" s="20">
        <v>858</v>
      </c>
      <c r="O254" s="20" t="str">
        <v>F</v>
      </c>
      <c r="P254" s="20">
        <v>172</v>
      </c>
      <c r="Q254" s="20">
        <v>2</v>
      </c>
      <c r="R254" s="20" t="str">
        <v>At risk</v>
      </c>
    </row>
    <row r="255" spans="1:18">
      <c r="A255" s="4" t="str">
        <v>Stu-929</v>
      </c>
      <c r="B255" s="4" t="str">
        <v>Male</v>
      </c>
      <c r="C255" s="4" t="str">
        <v>Group E</v>
      </c>
      <c r="D255" s="4" t="str">
        <v>Associate's Degree</v>
      </c>
      <c r="E255" s="4" t="str">
        <v>Free/Reduced</v>
      </c>
      <c r="F255" s="4" t="str">
        <v>Completed</v>
      </c>
      <c r="G255" s="4">
        <v>46</v>
      </c>
      <c r="H255" s="18">
        <v>915</v>
      </c>
      <c r="I255" s="20" t="str">
        <v>F</v>
      </c>
      <c r="J255" s="20">
        <v>43</v>
      </c>
      <c r="K255" s="20">
        <v>960</v>
      </c>
      <c r="L255" s="20" t="str">
        <v>F</v>
      </c>
      <c r="M255" s="20">
        <v>44</v>
      </c>
      <c r="N255" s="20">
        <v>938</v>
      </c>
      <c r="O255" s="20" t="str">
        <v>F</v>
      </c>
      <c r="P255" s="20">
        <v>133</v>
      </c>
      <c r="Q255" s="20">
        <v>3</v>
      </c>
      <c r="R255" s="20" t="str">
        <v>At risk</v>
      </c>
    </row>
    <row r="256" spans="1:18">
      <c r="A256" s="4" t="str">
        <v>Stu-930</v>
      </c>
      <c r="B256" s="4" t="str">
        <v>Female</v>
      </c>
      <c r="C256" s="4" t="str">
        <v>Group C</v>
      </c>
      <c r="D256" s="4" t="str">
        <v>Some High School</v>
      </c>
      <c r="E256" s="4" t="str">
        <v>Free/Reduced</v>
      </c>
      <c r="F256" s="4" t="str">
        <v>None</v>
      </c>
      <c r="G256" s="4">
        <v>48</v>
      </c>
      <c r="H256" s="18">
        <v>892</v>
      </c>
      <c r="I256" s="20" t="str">
        <v>F</v>
      </c>
      <c r="J256" s="20">
        <v>56</v>
      </c>
      <c r="K256" s="20">
        <v>824</v>
      </c>
      <c r="L256" s="20" t="str">
        <v>F</v>
      </c>
      <c r="M256" s="20">
        <v>51</v>
      </c>
      <c r="N256" s="20">
        <v>875</v>
      </c>
      <c r="O256" s="20" t="str">
        <v>F</v>
      </c>
      <c r="P256" s="20">
        <v>155</v>
      </c>
      <c r="Q256" s="20">
        <v>3</v>
      </c>
      <c r="R256" s="20" t="str">
        <v>At risk</v>
      </c>
    </row>
    <row r="257" spans="1:18">
      <c r="A257" s="4" t="str">
        <v>Stu-937</v>
      </c>
      <c r="B257" s="4" t="str">
        <v>Male</v>
      </c>
      <c r="C257" s="4" t="str">
        <v>Group A</v>
      </c>
      <c r="D257" s="4" t="str">
        <v>Associate's Degree</v>
      </c>
      <c r="E257" s="4" t="str">
        <v>Standard</v>
      </c>
      <c r="F257" s="4" t="str">
        <v>None</v>
      </c>
      <c r="G257" s="4">
        <v>67</v>
      </c>
      <c r="H257" s="18">
        <v>492</v>
      </c>
      <c r="I257" s="20" t="str">
        <v>D</v>
      </c>
      <c r="J257" s="20">
        <v>57</v>
      </c>
      <c r="K257" s="20">
        <v>806</v>
      </c>
      <c r="L257" s="20" t="str">
        <v>F</v>
      </c>
      <c r="M257" s="20">
        <v>53</v>
      </c>
      <c r="N257" s="20">
        <v>838</v>
      </c>
      <c r="O257" s="20" t="str">
        <v>F</v>
      </c>
      <c r="P257" s="20">
        <v>177</v>
      </c>
      <c r="Q257" s="20">
        <v>2</v>
      </c>
      <c r="R257" s="20" t="str">
        <v>At risk</v>
      </c>
    </row>
    <row r="258" spans="1:18">
      <c r="A258" s="4" t="str">
        <v>Stu-938</v>
      </c>
      <c r="B258" s="4" t="str">
        <v>Female</v>
      </c>
      <c r="C258" s="4" t="str">
        <v>Group E</v>
      </c>
      <c r="D258" s="4" t="str">
        <v>High School</v>
      </c>
      <c r="E258" s="4" t="str">
        <v>Free/Reduced</v>
      </c>
      <c r="F258" s="4" t="str">
        <v>None</v>
      </c>
      <c r="G258" s="4">
        <v>57</v>
      </c>
      <c r="H258" s="18">
        <v>750</v>
      </c>
      <c r="I258" s="20" t="str">
        <v>F</v>
      </c>
      <c r="J258" s="20">
        <v>58</v>
      </c>
      <c r="K258" s="20">
        <v>789</v>
      </c>
      <c r="L258" s="20" t="str">
        <v>F</v>
      </c>
      <c r="M258" s="20">
        <v>57</v>
      </c>
      <c r="N258" s="20">
        <v>769</v>
      </c>
      <c r="O258" s="20" t="str">
        <v>F</v>
      </c>
      <c r="P258" s="20">
        <v>172</v>
      </c>
      <c r="Q258" s="20">
        <v>3</v>
      </c>
      <c r="R258" s="20" t="str">
        <v>At risk</v>
      </c>
    </row>
    <row r="259" spans="1:18">
      <c r="A259" s="4" t="str">
        <v>Stu-946</v>
      </c>
      <c r="B259" s="4" t="str">
        <v>Female</v>
      </c>
      <c r="C259" s="4" t="str">
        <v>Group C</v>
      </c>
      <c r="D259" s="4" t="str">
        <v>Associate's Degree</v>
      </c>
      <c r="E259" s="4" t="str">
        <v>Standard</v>
      </c>
      <c r="F259" s="4" t="str">
        <v>None</v>
      </c>
      <c r="G259" s="4">
        <v>54</v>
      </c>
      <c r="H259" s="18">
        <v>796</v>
      </c>
      <c r="I259" s="20" t="str">
        <v>F</v>
      </c>
      <c r="J259" s="20">
        <v>61</v>
      </c>
      <c r="K259" s="20">
        <v>725</v>
      </c>
      <c r="L259" s="20" t="str">
        <v>D</v>
      </c>
      <c r="M259" s="20">
        <v>58</v>
      </c>
      <c r="N259" s="20">
        <v>748</v>
      </c>
      <c r="O259" s="20" t="str">
        <v>F</v>
      </c>
      <c r="P259" s="20">
        <v>173</v>
      </c>
      <c r="Q259" s="20">
        <v>2</v>
      </c>
      <c r="R259" s="20" t="str">
        <v>At risk</v>
      </c>
    </row>
    <row r="260" spans="1:18">
      <c r="A260" s="4" t="str">
        <v>Stu-948</v>
      </c>
      <c r="B260" s="4" t="str">
        <v>Female</v>
      </c>
      <c r="C260" s="4" t="str">
        <v>Group D</v>
      </c>
      <c r="D260" s="4" t="str">
        <v>Some College</v>
      </c>
      <c r="E260" s="4" t="str">
        <v>Free/Reduced</v>
      </c>
      <c r="F260" s="4" t="str">
        <v>None</v>
      </c>
      <c r="G260" s="4">
        <v>49</v>
      </c>
      <c r="H260" s="18">
        <v>880</v>
      </c>
      <c r="I260" s="20" t="str">
        <v>F</v>
      </c>
      <c r="J260" s="20">
        <v>58</v>
      </c>
      <c r="K260" s="20">
        <v>790</v>
      </c>
      <c r="L260" s="20" t="str">
        <v>F</v>
      </c>
      <c r="M260" s="20">
        <v>60</v>
      </c>
      <c r="N260" s="20">
        <v>716</v>
      </c>
      <c r="O260" s="20" t="str">
        <v>D</v>
      </c>
      <c r="P260" s="20">
        <v>167</v>
      </c>
      <c r="Q260" s="20">
        <v>2</v>
      </c>
      <c r="R260" s="20" t="str">
        <v>At risk</v>
      </c>
    </row>
    <row r="261" spans="1:18">
      <c r="A261" s="4" t="str">
        <v>Stu-949</v>
      </c>
      <c r="B261" s="4" t="str">
        <v>Male</v>
      </c>
      <c r="C261" s="4" t="str">
        <v>Group B</v>
      </c>
      <c r="D261" s="4" t="str">
        <v>Some High School</v>
      </c>
      <c r="E261" s="4" t="str">
        <v>Free/Reduced</v>
      </c>
      <c r="F261" s="4" t="str">
        <v>Completed</v>
      </c>
      <c r="G261" s="4">
        <v>49</v>
      </c>
      <c r="H261" s="18">
        <v>881</v>
      </c>
      <c r="I261" s="20" t="str">
        <v>F</v>
      </c>
      <c r="J261" s="20">
        <v>50</v>
      </c>
      <c r="K261" s="20">
        <v>909</v>
      </c>
      <c r="L261" s="20" t="str">
        <v>F</v>
      </c>
      <c r="M261" s="20">
        <v>52</v>
      </c>
      <c r="N261" s="20">
        <v>859</v>
      </c>
      <c r="O261" s="20" t="str">
        <v>F</v>
      </c>
      <c r="P261" s="20">
        <v>151</v>
      </c>
      <c r="Q261" s="20">
        <v>3</v>
      </c>
      <c r="R261" s="20" t="str">
        <v>At risk</v>
      </c>
    </row>
    <row r="262" spans="1:18">
      <c r="A262" s="4" t="str">
        <v>Stu-954</v>
      </c>
      <c r="B262" s="4" t="str">
        <v>Male</v>
      </c>
      <c r="C262" s="4" t="str">
        <v>Group C</v>
      </c>
      <c r="D262" s="4" t="str">
        <v>High School</v>
      </c>
      <c r="E262" s="4" t="str">
        <v>Standard</v>
      </c>
      <c r="F262" s="4" t="str">
        <v>Completed</v>
      </c>
      <c r="G262" s="4">
        <v>58</v>
      </c>
      <c r="H262" s="18">
        <v>734</v>
      </c>
      <c r="I262" s="20" t="str">
        <v>F</v>
      </c>
      <c r="J262" s="20">
        <v>52</v>
      </c>
      <c r="K262" s="20">
        <v>887</v>
      </c>
      <c r="L262" s="20" t="str">
        <v>F</v>
      </c>
      <c r="M262" s="20">
        <v>54</v>
      </c>
      <c r="N262" s="20">
        <v>821</v>
      </c>
      <c r="O262" s="20" t="str">
        <v>F</v>
      </c>
      <c r="P262" s="20">
        <v>164</v>
      </c>
      <c r="Q262" s="20">
        <v>3</v>
      </c>
      <c r="R262" s="20" t="str">
        <v>At risk</v>
      </c>
    </row>
    <row r="263" spans="1:18">
      <c r="A263" s="4" t="str">
        <v>Stu-959</v>
      </c>
      <c r="B263" s="4" t="str">
        <v>Female</v>
      </c>
      <c r="C263" s="4" t="str">
        <v>Group D</v>
      </c>
      <c r="D263" s="4" t="str">
        <v>High School</v>
      </c>
      <c r="E263" s="4" t="str">
        <v>Standard</v>
      </c>
      <c r="F263" s="4" t="str">
        <v>None</v>
      </c>
      <c r="G263" s="4">
        <v>45</v>
      </c>
      <c r="H263" s="18">
        <v>924</v>
      </c>
      <c r="I263" s="20" t="str">
        <v>F</v>
      </c>
      <c r="J263" s="20">
        <v>63</v>
      </c>
      <c r="K263" s="20">
        <v>676</v>
      </c>
      <c r="L263" s="20" t="str">
        <v>D</v>
      </c>
      <c r="M263" s="20">
        <v>59</v>
      </c>
      <c r="N263" s="20">
        <v>732</v>
      </c>
      <c r="O263" s="20" t="str">
        <v>F</v>
      </c>
      <c r="P263" s="20">
        <v>167</v>
      </c>
      <c r="Q263" s="20">
        <v>2</v>
      </c>
      <c r="R263" s="20" t="str">
        <v>At risk</v>
      </c>
    </row>
    <row r="264" spans="1:18">
      <c r="A264" s="4" t="str">
        <v>Stu-961</v>
      </c>
      <c r="B264" s="4" t="str">
        <v>Female</v>
      </c>
      <c r="C264" s="4" t="str">
        <v>Group A</v>
      </c>
      <c r="D264" s="4" t="str">
        <v>Some College</v>
      </c>
      <c r="E264" s="4" t="str">
        <v>Standard</v>
      </c>
      <c r="F264" s="4" t="str">
        <v>None</v>
      </c>
      <c r="G264" s="4">
        <v>56</v>
      </c>
      <c r="H264" s="18">
        <v>761</v>
      </c>
      <c r="I264" s="20" t="str">
        <v>F</v>
      </c>
      <c r="J264" s="20">
        <v>58</v>
      </c>
      <c r="K264" s="20">
        <v>791</v>
      </c>
      <c r="L264" s="20" t="str">
        <v>F</v>
      </c>
      <c r="M264" s="20">
        <v>64</v>
      </c>
      <c r="N264" s="20">
        <v>635</v>
      </c>
      <c r="O264" s="20" t="str">
        <v>D</v>
      </c>
      <c r="P264" s="20">
        <v>178</v>
      </c>
      <c r="Q264" s="20">
        <v>2</v>
      </c>
      <c r="R264" s="20" t="str">
        <v>At risk</v>
      </c>
    </row>
    <row r="265" spans="1:18">
      <c r="A265" s="4" t="str">
        <v>Stu-962</v>
      </c>
      <c r="B265" s="4" t="str">
        <v>Female</v>
      </c>
      <c r="C265" s="4" t="str">
        <v>Group D</v>
      </c>
      <c r="D265" s="4" t="str">
        <v>Some High School</v>
      </c>
      <c r="E265" s="4" t="str">
        <v>Free/Reduced</v>
      </c>
      <c r="F265" s="4" t="str">
        <v>None</v>
      </c>
      <c r="G265" s="4">
        <v>48</v>
      </c>
      <c r="H265" s="18">
        <v>893</v>
      </c>
      <c r="I265" s="20" t="str">
        <v>F</v>
      </c>
      <c r="J265" s="20">
        <v>54</v>
      </c>
      <c r="K265" s="20">
        <v>858</v>
      </c>
      <c r="L265" s="20" t="str">
        <v>F</v>
      </c>
      <c r="M265" s="20">
        <v>53</v>
      </c>
      <c r="N265" s="20">
        <v>839</v>
      </c>
      <c r="O265" s="20" t="str">
        <v>F</v>
      </c>
      <c r="P265" s="20">
        <v>155</v>
      </c>
      <c r="Q265" s="20">
        <v>3</v>
      </c>
      <c r="R265" s="20" t="str">
        <v>At risk</v>
      </c>
    </row>
    <row r="266" spans="1:18">
      <c r="A266" s="4" t="str">
        <v>Stu-965</v>
      </c>
      <c r="B266" s="4" t="str">
        <v>Male</v>
      </c>
      <c r="C266" s="4" t="str">
        <v>Group D</v>
      </c>
      <c r="D266" s="4" t="str">
        <v>Some College</v>
      </c>
      <c r="E266" s="4" t="str">
        <v>Standard</v>
      </c>
      <c r="F266" s="4" t="str">
        <v>None</v>
      </c>
      <c r="G266" s="4">
        <v>72</v>
      </c>
      <c r="H266" s="18">
        <v>365</v>
      </c>
      <c r="I266" s="20" t="str">
        <v>C</v>
      </c>
      <c r="J266" s="20">
        <v>57</v>
      </c>
      <c r="K266" s="20">
        <v>808</v>
      </c>
      <c r="L266" s="20" t="str">
        <v>F</v>
      </c>
      <c r="M266" s="20">
        <v>58</v>
      </c>
      <c r="N266" s="20">
        <v>749</v>
      </c>
      <c r="O266" s="20" t="str">
        <v>F</v>
      </c>
      <c r="P266" s="20">
        <v>187</v>
      </c>
      <c r="Q266" s="20">
        <v>2</v>
      </c>
      <c r="R266" s="20" t="str">
        <v>At risk</v>
      </c>
    </row>
    <row r="267" spans="1:18">
      <c r="A267" s="4" t="str">
        <v>Stu-973</v>
      </c>
      <c r="B267" s="4" t="str">
        <v>Female</v>
      </c>
      <c r="C267" s="4" t="str">
        <v>Group A</v>
      </c>
      <c r="D267" s="4" t="str">
        <v>High School</v>
      </c>
      <c r="E267" s="4" t="str">
        <v>Free/Reduced</v>
      </c>
      <c r="F267" s="4" t="str">
        <v>Completed</v>
      </c>
      <c r="G267" s="4">
        <v>53</v>
      </c>
      <c r="H267" s="18">
        <v>821</v>
      </c>
      <c r="I267" s="20" t="str">
        <v>F</v>
      </c>
      <c r="J267" s="20">
        <v>50</v>
      </c>
      <c r="K267" s="20">
        <v>910</v>
      </c>
      <c r="L267" s="20" t="str">
        <v>F</v>
      </c>
      <c r="M267" s="20">
        <v>60</v>
      </c>
      <c r="N267" s="20">
        <v>718</v>
      </c>
      <c r="O267" s="20" t="str">
        <v>D</v>
      </c>
      <c r="P267" s="20">
        <v>163</v>
      </c>
      <c r="Q267" s="20">
        <v>2</v>
      </c>
      <c r="R267" s="20" t="str">
        <v>At risk</v>
      </c>
    </row>
    <row r="268" spans="1:18">
      <c r="A268" s="4" t="str">
        <v>Stu-979</v>
      </c>
      <c r="B268" s="4" t="str">
        <v>Male</v>
      </c>
      <c r="C268" s="4" t="str">
        <v>Group D</v>
      </c>
      <c r="D268" s="4" t="str">
        <v>High School</v>
      </c>
      <c r="E268" s="4" t="str">
        <v>Standard</v>
      </c>
      <c r="F268" s="4" t="str">
        <v>Completed</v>
      </c>
      <c r="G268" s="4">
        <v>55</v>
      </c>
      <c r="H268" s="18">
        <v>778</v>
      </c>
      <c r="I268" s="20" t="str">
        <v>F</v>
      </c>
      <c r="J268" s="20">
        <v>41</v>
      </c>
      <c r="K268" s="20">
        <v>973</v>
      </c>
      <c r="L268" s="20" t="str">
        <v>F</v>
      </c>
      <c r="M268" s="20">
        <v>48</v>
      </c>
      <c r="N268" s="20">
        <v>903</v>
      </c>
      <c r="O268" s="20" t="str">
        <v>F</v>
      </c>
      <c r="P268" s="20">
        <v>144</v>
      </c>
      <c r="Q268" s="20">
        <v>3</v>
      </c>
      <c r="R268" s="20" t="str">
        <v>At risk</v>
      </c>
    </row>
    <row r="269" spans="1:18">
      <c r="A269" s="4" t="str">
        <v>Stu-981</v>
      </c>
      <c r="B269" s="4" t="str">
        <v>Female</v>
      </c>
      <c r="C269" s="4" t="str">
        <v>Group B</v>
      </c>
      <c r="D269" s="4" t="str">
        <v>High School</v>
      </c>
      <c r="E269" s="4" t="str">
        <v>Free/Reduced</v>
      </c>
      <c r="F269" s="4" t="str">
        <v>None</v>
      </c>
      <c r="G269" s="4">
        <v>8</v>
      </c>
      <c r="H269" s="18">
        <v>999</v>
      </c>
      <c r="I269" s="20" t="str">
        <v>F</v>
      </c>
      <c r="J269" s="20">
        <v>24</v>
      </c>
      <c r="K269" s="20">
        <v>998</v>
      </c>
      <c r="L269" s="20" t="str">
        <v>F</v>
      </c>
      <c r="M269" s="20">
        <v>23</v>
      </c>
      <c r="N269" s="20">
        <v>996</v>
      </c>
      <c r="O269" s="20" t="str">
        <v>F</v>
      </c>
      <c r="P269" s="20">
        <v>55</v>
      </c>
      <c r="Q269" s="20">
        <v>3</v>
      </c>
      <c r="R269" s="20" t="str">
        <v>At risk</v>
      </c>
    </row>
    <row r="270" spans="1:18">
      <c r="A270" s="4" t="str">
        <v>Stu-986</v>
      </c>
      <c r="B270" s="4" t="str">
        <v>Male</v>
      </c>
      <c r="C270" s="4" t="str">
        <v>Group A</v>
      </c>
      <c r="D270" s="4" t="str">
        <v>High School</v>
      </c>
      <c r="E270" s="4" t="str">
        <v>Standard</v>
      </c>
      <c r="F270" s="4" t="str">
        <v>None</v>
      </c>
      <c r="G270" s="4">
        <v>57</v>
      </c>
      <c r="H270" s="18">
        <v>752</v>
      </c>
      <c r="I270" s="20" t="str">
        <v>F</v>
      </c>
      <c r="J270" s="20">
        <v>51</v>
      </c>
      <c r="K270" s="20">
        <v>903</v>
      </c>
      <c r="L270" s="20" t="str">
        <v>F</v>
      </c>
      <c r="M270" s="20">
        <v>54</v>
      </c>
      <c r="N270" s="20">
        <v>822</v>
      </c>
      <c r="O270" s="20" t="str">
        <v>F</v>
      </c>
      <c r="P270" s="20">
        <v>162</v>
      </c>
      <c r="Q270" s="20">
        <v>3</v>
      </c>
      <c r="R270" s="20" t="str">
        <v>At risk</v>
      </c>
    </row>
    <row r="271" spans="1:18">
      <c r="A271" s="4" t="str">
        <v>Stu-987</v>
      </c>
      <c r="B271" s="4" t="str">
        <v>Female</v>
      </c>
      <c r="C271" s="4" t="str">
        <v>Group C</v>
      </c>
      <c r="D271" s="4" t="str">
        <v>Associate's Degree</v>
      </c>
      <c r="E271" s="4" t="str">
        <v>Standard</v>
      </c>
      <c r="F271" s="4" t="str">
        <v>None</v>
      </c>
      <c r="G271" s="4">
        <v>40</v>
      </c>
      <c r="H271" s="18">
        <v>960</v>
      </c>
      <c r="I271" s="20" t="str">
        <v>F</v>
      </c>
      <c r="J271" s="20">
        <v>59</v>
      </c>
      <c r="K271" s="20">
        <v>763</v>
      </c>
      <c r="L271" s="20" t="str">
        <v>F</v>
      </c>
      <c r="M271" s="20">
        <v>51</v>
      </c>
      <c r="N271" s="20">
        <v>876</v>
      </c>
      <c r="O271" s="20" t="str">
        <v>F</v>
      </c>
      <c r="P271" s="20">
        <v>150</v>
      </c>
      <c r="Q271" s="20">
        <v>3</v>
      </c>
      <c r="R271" s="20" t="str">
        <v>At risk</v>
      </c>
    </row>
    <row r="272" spans="1:18">
      <c r="A272" s="4" t="str">
        <v>Stu-989</v>
      </c>
      <c r="B272" s="4" t="str">
        <v>Female</v>
      </c>
      <c r="C272" s="4" t="str">
        <v>Group A</v>
      </c>
      <c r="D272" s="4" t="str">
        <v>Some High School</v>
      </c>
      <c r="E272" s="4" t="str">
        <v>Free/Reduced</v>
      </c>
      <c r="F272" s="4" t="str">
        <v>None</v>
      </c>
      <c r="G272" s="4">
        <v>44</v>
      </c>
      <c r="H272" s="18">
        <v>933</v>
      </c>
      <c r="I272" s="20" t="str">
        <v>F</v>
      </c>
      <c r="J272" s="20">
        <v>45</v>
      </c>
      <c r="K272" s="20">
        <v>947</v>
      </c>
      <c r="L272" s="20" t="str">
        <v>F</v>
      </c>
      <c r="M272" s="20">
        <v>45</v>
      </c>
      <c r="N272" s="20">
        <v>930</v>
      </c>
      <c r="O272" s="20" t="str">
        <v>F</v>
      </c>
      <c r="P272" s="20">
        <v>134</v>
      </c>
      <c r="Q272" s="20">
        <v>3</v>
      </c>
      <c r="R272" s="20" t="str">
        <v>At risk</v>
      </c>
    </row>
    <row r="273" spans="1:18">
      <c r="A273" s="4" t="str">
        <v>Stu-997</v>
      </c>
      <c r="B273" s="4" t="str">
        <v>Male</v>
      </c>
      <c r="C273" s="4" t="str">
        <v>Group C</v>
      </c>
      <c r="D273" s="4" t="str">
        <v>High School</v>
      </c>
      <c r="E273" s="4" t="str">
        <v>Free/Reduced</v>
      </c>
      <c r="F273" s="4" t="str">
        <v>None</v>
      </c>
      <c r="G273" s="4">
        <v>62</v>
      </c>
      <c r="H273" s="18">
        <v>634</v>
      </c>
      <c r="I273" s="20" t="str">
        <v>D</v>
      </c>
      <c r="J273" s="20">
        <v>55</v>
      </c>
      <c r="K273" s="20">
        <v>840</v>
      </c>
      <c r="L273" s="20" t="str">
        <v>F</v>
      </c>
      <c r="M273" s="20">
        <v>55</v>
      </c>
      <c r="N273" s="20">
        <v>797</v>
      </c>
      <c r="O273" s="20" t="str">
        <v>F</v>
      </c>
      <c r="P273" s="20">
        <v>172</v>
      </c>
      <c r="Q273" s="20">
        <v>2</v>
      </c>
      <c r="R273" s="20" t="str">
        <v>At risk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StudentsPerformance</vt:lpstr>
      <vt:lpstr>Boundary table</vt:lpstr>
      <vt:lpstr>Top 10 per subject</vt:lpstr>
      <vt:lpstr>Test Prep Impact</vt:lpstr>
      <vt:lpstr>Parental education correlation</vt:lpstr>
      <vt:lpstr>Failing student alert system</vt:lpstr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ONYEMAZUWA OSONYE</dc:creator>
  <cp:lastModifiedBy>ONYEMAZUWA OSONYE</cp:lastModifiedBy>
  <dcterms:modified xsi:type="dcterms:W3CDTF">2026-04-19T09:20:51Z</dcterms:modified>
</cp:coreProperties>
</file>