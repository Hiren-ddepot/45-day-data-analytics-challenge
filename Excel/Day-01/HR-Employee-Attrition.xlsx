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yer\Desktop\45Days challenge\Day1\"/>
    </mc:Choice>
  </mc:AlternateContent>
  <xr:revisionPtr revIDLastSave="0" documentId="13_ncr:1_{008A61BF-9BAD-429A-8127-7B9445AACF32}" xr6:coauthVersionLast="47" xr6:coauthVersionMax="47" xr10:uidLastSave="{00000000-0000-0000-0000-000000000000}"/>
  <bookViews>
    <workbookView xWindow="-108" yWindow="-108" windowWidth="23256" windowHeight="12816" firstSheet="1" activeTab="3" xr2:uid="{CBF80244-E414-4914-B4A1-6BA5921B4029}"/>
  </bookViews>
  <sheets>
    <sheet name="HR-Employee-Attrition" sheetId="1" state="hidden" r:id="rId1"/>
    <sheet name="Clean Table" sheetId="2" r:id="rId2"/>
    <sheet name="Clean Summary Table" sheetId="3" r:id="rId3"/>
    <sheet name="Overview" sheetId="4" r:id="rId4"/>
  </sheets>
  <definedNames>
    <definedName name="Raw_Data">'HR-Employee-Attrition'!$A$1:$AI$1471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15" i="3"/>
  <c r="C20" i="4" s="1"/>
  <c r="E20" i="4" s="1"/>
  <c r="B15" i="3"/>
  <c r="H12" i="4" s="1"/>
  <c r="J18" i="4"/>
  <c r="I18" i="4"/>
  <c r="I19" i="4"/>
  <c r="I20" i="4"/>
  <c r="I17" i="4"/>
  <c r="H18" i="4"/>
  <c r="H19" i="4"/>
  <c r="J19" i="4" s="1"/>
  <c r="H20" i="4"/>
  <c r="J20" i="4" s="1"/>
  <c r="H17" i="4"/>
  <c r="G20" i="4"/>
  <c r="G18" i="4"/>
  <c r="G19" i="4"/>
  <c r="G17" i="4"/>
  <c r="J13" i="4"/>
  <c r="J14" i="4"/>
  <c r="J11" i="4"/>
  <c r="I12" i="4"/>
  <c r="I13" i="4"/>
  <c r="I14" i="4"/>
  <c r="I11" i="4"/>
  <c r="H13" i="4"/>
  <c r="H14" i="4"/>
  <c r="H11" i="4"/>
  <c r="G12" i="4"/>
  <c r="G13" i="4"/>
  <c r="G14" i="4"/>
  <c r="G11" i="4"/>
  <c r="D20" i="4"/>
  <c r="D21" i="4"/>
  <c r="E21" i="4" s="1"/>
  <c r="D22" i="4"/>
  <c r="E22" i="4" s="1"/>
  <c r="C21" i="4"/>
  <c r="C22" i="4"/>
  <c r="B21" i="4"/>
  <c r="B20" i="4"/>
  <c r="B22" i="4"/>
  <c r="B19" i="4"/>
  <c r="B11" i="4"/>
  <c r="B9" i="3"/>
  <c r="B8" i="3"/>
  <c r="B5" i="3"/>
  <c r="B4" i="3"/>
  <c r="B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2" i="2"/>
  <c r="A23" i="3" s="1" a="1"/>
  <c r="A23" i="3" s="1"/>
  <c r="B6" i="3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2" i="2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/>
  <c r="M349" i="2" a="1"/>
  <c r="M349" i="2" s="1"/>
  <c r="M350" i="2" a="1"/>
  <c r="M350" i="2" s="1"/>
  <c r="M351" i="2" a="1"/>
  <c r="M351" i="2" s="1"/>
  <c r="M352" i="2" a="1"/>
  <c r="M352" i="2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/>
  <c r="M381" i="2" a="1"/>
  <c r="M381" i="2" s="1"/>
  <c r="M382" i="2" a="1"/>
  <c r="M382" i="2" s="1"/>
  <c r="M383" i="2" a="1"/>
  <c r="M383" i="2" s="1"/>
  <c r="M384" i="2" a="1"/>
  <c r="M384" i="2"/>
  <c r="M385" i="2" a="1"/>
  <c r="M385" i="2" s="1"/>
  <c r="M386" i="2" a="1"/>
  <c r="M386" i="2" s="1"/>
  <c r="M387" i="2" a="1"/>
  <c r="M387" i="2" s="1"/>
  <c r="M388" i="2" a="1"/>
  <c r="M388" i="2" s="1"/>
  <c r="M389" i="2" a="1"/>
  <c r="M389" i="2"/>
  <c r="M390" i="2" a="1"/>
  <c r="M390" i="2" s="1"/>
  <c r="M391" i="2" a="1"/>
  <c r="M391" i="2" s="1"/>
  <c r="M392" i="2" a="1"/>
  <c r="M392" i="2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/>
  <c r="M496" i="2" a="1"/>
  <c r="M496" i="2" s="1"/>
  <c r="M497" i="2" a="1"/>
  <c r="M497" i="2" s="1"/>
  <c r="M498" i="2" a="1"/>
  <c r="M498" i="2" s="1"/>
  <c r="M499" i="2" a="1"/>
  <c r="M499" i="2" s="1"/>
  <c r="M500" i="2" a="1"/>
  <c r="M500" i="2" s="1"/>
  <c r="M501" i="2" a="1"/>
  <c r="M501" i="2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19" i="2" a="1"/>
  <c r="M519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8" i="2" a="1"/>
  <c r="M548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1" i="2" a="1"/>
  <c r="M581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3" i="2" a="1"/>
  <c r="M613" i="2" s="1"/>
  <c r="M614" i="2" a="1"/>
  <c r="M614" i="2" s="1"/>
  <c r="M615" i="2" a="1"/>
  <c r="M615" i="2" s="1"/>
  <c r="M616" i="2" a="1"/>
  <c r="M616" i="2" s="1"/>
  <c r="M617" i="2" a="1"/>
  <c r="M617" i="2" s="1"/>
  <c r="M618" i="2" a="1"/>
  <c r="M618" i="2" s="1"/>
  <c r="M619" i="2" a="1"/>
  <c r="M619" i="2" s="1"/>
  <c r="M620" i="2" a="1"/>
  <c r="M620" i="2" s="1"/>
  <c r="M621" i="2" a="1"/>
  <c r="M621" i="2" s="1"/>
  <c r="M622" i="2" a="1"/>
  <c r="M622" i="2" s="1"/>
  <c r="M623" i="2" a="1"/>
  <c r="M623" i="2" s="1"/>
  <c r="M624" i="2" a="1"/>
  <c r="M624" i="2" s="1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2" i="2" a="1"/>
  <c r="M632" i="2" s="1"/>
  <c r="M633" i="2" a="1"/>
  <c r="M633" i="2" s="1"/>
  <c r="M634" i="2" a="1"/>
  <c r="M634" i="2" s="1"/>
  <c r="M635" i="2" a="1"/>
  <c r="M635" i="2" s="1"/>
  <c r="M636" i="2" a="1"/>
  <c r="M636" i="2" s="1"/>
  <c r="M637" i="2" a="1"/>
  <c r="M637" i="2" s="1"/>
  <c r="M638" i="2" a="1"/>
  <c r="M638" i="2" s="1"/>
  <c r="M639" i="2" a="1"/>
  <c r="M639" i="2" s="1"/>
  <c r="M640" i="2" a="1"/>
  <c r="M640" i="2" s="1"/>
  <c r="M641" i="2" a="1"/>
  <c r="M641" i="2" s="1"/>
  <c r="M642" i="2" a="1"/>
  <c r="M642" i="2" s="1"/>
  <c r="M643" i="2" a="1"/>
  <c r="M643" i="2" s="1"/>
  <c r="M644" i="2" a="1"/>
  <c r="M644" i="2" s="1"/>
  <c r="M645" i="2" a="1"/>
  <c r="M645" i="2" s="1"/>
  <c r="M646" i="2" a="1"/>
  <c r="M646" i="2" s="1"/>
  <c r="M647" i="2" a="1"/>
  <c r="M647" i="2" s="1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 s="1"/>
  <c r="M655" i="2" a="1"/>
  <c r="M655" i="2" s="1"/>
  <c r="M656" i="2" a="1"/>
  <c r="M656" i="2" s="1"/>
  <c r="M657" i="2" a="1"/>
  <c r="M657" i="2" s="1"/>
  <c r="M658" i="2" a="1"/>
  <c r="M658" i="2" s="1"/>
  <c r="M659" i="2" a="1"/>
  <c r="M659" i="2" s="1"/>
  <c r="M660" i="2" a="1"/>
  <c r="M660" i="2" s="1"/>
  <c r="M661" i="2" a="1"/>
  <c r="M661" i="2" s="1"/>
  <c r="M662" i="2" a="1"/>
  <c r="M662" i="2" s="1"/>
  <c r="M663" i="2" a="1"/>
  <c r="M663" i="2" s="1"/>
  <c r="M664" i="2" a="1"/>
  <c r="M664" i="2" s="1"/>
  <c r="M665" i="2" a="1"/>
  <c r="M665" i="2" s="1"/>
  <c r="M666" i="2" a="1"/>
  <c r="M666" i="2" s="1"/>
  <c r="M667" i="2" a="1"/>
  <c r="M667" i="2" s="1"/>
  <c r="M668" i="2" a="1"/>
  <c r="M668" i="2" s="1"/>
  <c r="M669" i="2" a="1"/>
  <c r="M669" i="2" s="1"/>
  <c r="M670" i="2" a="1"/>
  <c r="M670" i="2" s="1"/>
  <c r="M671" i="2" a="1"/>
  <c r="M671" i="2" s="1"/>
  <c r="M672" i="2" a="1"/>
  <c r="M672" i="2" s="1"/>
  <c r="M673" i="2" a="1"/>
  <c r="M673" i="2" s="1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 s="1"/>
  <c r="M681" i="2" a="1"/>
  <c r="M681" i="2" s="1"/>
  <c r="M682" i="2" a="1"/>
  <c r="M682" i="2" s="1"/>
  <c r="M683" i="2" a="1"/>
  <c r="M683" i="2" s="1"/>
  <c r="M684" i="2" a="1"/>
  <c r="M684" i="2" s="1"/>
  <c r="M685" i="2" a="1"/>
  <c r="M685" i="2" s="1"/>
  <c r="M686" i="2" a="1"/>
  <c r="M686" i="2" s="1"/>
  <c r="M687" i="2" a="1"/>
  <c r="M687" i="2" s="1"/>
  <c r="M688" i="2" a="1"/>
  <c r="M688" i="2" s="1"/>
  <c r="M689" i="2" a="1"/>
  <c r="M689" i="2" s="1"/>
  <c r="M690" i="2" a="1"/>
  <c r="M690" i="2" s="1"/>
  <c r="M691" i="2" a="1"/>
  <c r="M691" i="2" s="1"/>
  <c r="M692" i="2" a="1"/>
  <c r="M692" i="2" s="1"/>
  <c r="M693" i="2" a="1"/>
  <c r="M693" i="2" s="1"/>
  <c r="M694" i="2" a="1"/>
  <c r="M694" i="2" s="1"/>
  <c r="M695" i="2" a="1"/>
  <c r="M695" i="2" s="1"/>
  <c r="M696" i="2" a="1"/>
  <c r="M696" i="2" s="1"/>
  <c r="M697" i="2" a="1"/>
  <c r="M697" i="2" s="1"/>
  <c r="M698" i="2" a="1"/>
  <c r="M698" i="2" s="1"/>
  <c r="M699" i="2" a="1"/>
  <c r="M699" i="2" s="1"/>
  <c r="M700" i="2" a="1"/>
  <c r="M700" i="2" s="1"/>
  <c r="M701" i="2" a="1"/>
  <c r="M701" i="2" s="1"/>
  <c r="M702" i="2" a="1"/>
  <c r="M702" i="2" s="1"/>
  <c r="M703" i="2" a="1"/>
  <c r="M703" i="2"/>
  <c r="M704" i="2" a="1"/>
  <c r="M704" i="2" s="1"/>
  <c r="M705" i="2" a="1"/>
  <c r="M705" i="2" s="1"/>
  <c r="M706" i="2" a="1"/>
  <c r="M706" i="2" s="1"/>
  <c r="M707" i="2" a="1"/>
  <c r="M707" i="2"/>
  <c r="M708" i="2" a="1"/>
  <c r="M708" i="2" s="1"/>
  <c r="M709" i="2" a="1"/>
  <c r="M709" i="2" s="1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 s="1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 s="1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 s="1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4" i="2" a="1"/>
  <c r="M874" i="2" s="1"/>
  <c r="M875" i="2" a="1"/>
  <c r="M875" i="2" s="1"/>
  <c r="M876" i="2" a="1"/>
  <c r="M876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8" i="2" a="1"/>
  <c r="M938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7" i="2" a="1"/>
  <c r="M957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1002" i="2" a="1"/>
  <c r="M1002" i="2" s="1"/>
  <c r="M1003" i="2" a="1"/>
  <c r="M1003" i="2" s="1"/>
  <c r="M1004" i="2" a="1"/>
  <c r="M1004" i="2" s="1"/>
  <c r="M1005" i="2" a="1"/>
  <c r="M1005" i="2" s="1"/>
  <c r="M1006" i="2" a="1"/>
  <c r="M1006" i="2" s="1"/>
  <c r="M1007" i="2" a="1"/>
  <c r="M1007" i="2" s="1"/>
  <c r="M1008" i="2" a="1"/>
  <c r="M1008" i="2" s="1"/>
  <c r="M1009" i="2" a="1"/>
  <c r="M1009" i="2" s="1"/>
  <c r="M1010" i="2" a="1"/>
  <c r="M1010" i="2" s="1"/>
  <c r="M1011" i="2" a="1"/>
  <c r="M1011" i="2" s="1"/>
  <c r="M1012" i="2" a="1"/>
  <c r="M1012" i="2" s="1"/>
  <c r="M1013" i="2" a="1"/>
  <c r="M1013" i="2" s="1"/>
  <c r="M1014" i="2" a="1"/>
  <c r="M1014" i="2" s="1"/>
  <c r="M1015" i="2" a="1"/>
  <c r="M1015" i="2" s="1"/>
  <c r="M1016" i="2" a="1"/>
  <c r="M1016" i="2" s="1"/>
  <c r="M1017" i="2" a="1"/>
  <c r="M1017" i="2" s="1"/>
  <c r="M1018" i="2" a="1"/>
  <c r="M1018" i="2" s="1"/>
  <c r="M1019" i="2" a="1"/>
  <c r="M1019" i="2" s="1"/>
  <c r="M1020" i="2" a="1"/>
  <c r="M1020" i="2" s="1"/>
  <c r="M1021" i="2" a="1"/>
  <c r="M1021" i="2" s="1"/>
  <c r="M1022" i="2" a="1"/>
  <c r="M1022" i="2" s="1"/>
  <c r="M1023" i="2" a="1"/>
  <c r="M1023" i="2" s="1"/>
  <c r="M1024" i="2" a="1"/>
  <c r="M1024" i="2" s="1"/>
  <c r="M1025" i="2" a="1"/>
  <c r="M1025" i="2" s="1"/>
  <c r="M1026" i="2" a="1"/>
  <c r="M1026" i="2" s="1"/>
  <c r="M1027" i="2" a="1"/>
  <c r="M1027" i="2" s="1"/>
  <c r="M1028" i="2" a="1"/>
  <c r="M1028" i="2" s="1"/>
  <c r="M1029" i="2" a="1"/>
  <c r="M1029" i="2" s="1"/>
  <c r="M1030" i="2" a="1"/>
  <c r="M1030" i="2" s="1"/>
  <c r="M1031" i="2" a="1"/>
  <c r="M1031" i="2" s="1"/>
  <c r="M1032" i="2" a="1"/>
  <c r="M1032" i="2" s="1"/>
  <c r="M1033" i="2" a="1"/>
  <c r="M1033" i="2" s="1"/>
  <c r="M1034" i="2" a="1"/>
  <c r="M1034" i="2" s="1"/>
  <c r="M1035" i="2" a="1"/>
  <c r="M1035" i="2" s="1"/>
  <c r="M1036" i="2" a="1"/>
  <c r="M1036" i="2" s="1"/>
  <c r="M1037" i="2" a="1"/>
  <c r="M1037" i="2" s="1"/>
  <c r="M1038" i="2" a="1"/>
  <c r="M1038" i="2" s="1"/>
  <c r="M1039" i="2" a="1"/>
  <c r="M1039" i="2" s="1"/>
  <c r="M1040" i="2" a="1"/>
  <c r="M1040" i="2" s="1"/>
  <c r="M1041" i="2" a="1"/>
  <c r="M1041" i="2" s="1"/>
  <c r="M1042" i="2" a="1"/>
  <c r="M1042" i="2" s="1"/>
  <c r="M1043" i="2" a="1"/>
  <c r="M1043" i="2" s="1"/>
  <c r="M1044" i="2" a="1"/>
  <c r="M1044" i="2" s="1"/>
  <c r="M1045" i="2" a="1"/>
  <c r="M1045" i="2"/>
  <c r="M1046" i="2" a="1"/>
  <c r="M1046" i="2" s="1"/>
  <c r="M1047" i="2" a="1"/>
  <c r="M1047" i="2" s="1"/>
  <c r="M1048" i="2" a="1"/>
  <c r="M1048" i="2" s="1"/>
  <c r="M1049" i="2" a="1"/>
  <c r="M1049" i="2" s="1"/>
  <c r="M1050" i="2" a="1"/>
  <c r="M1050" i="2" s="1"/>
  <c r="M1051" i="2" a="1"/>
  <c r="M1051" i="2" s="1"/>
  <c r="M1052" i="2" a="1"/>
  <c r="M1052" i="2" s="1"/>
  <c r="M1053" i="2" a="1"/>
  <c r="M1053" i="2" s="1"/>
  <c r="M1054" i="2" a="1"/>
  <c r="M1054" i="2" s="1"/>
  <c r="M1055" i="2" a="1"/>
  <c r="M1055" i="2" s="1"/>
  <c r="M1056" i="2" a="1"/>
  <c r="M1056" i="2" s="1"/>
  <c r="M1057" i="2" a="1"/>
  <c r="M1057" i="2" s="1"/>
  <c r="M1058" i="2" a="1"/>
  <c r="M1058" i="2" s="1"/>
  <c r="M1059" i="2" a="1"/>
  <c r="M1059" i="2" s="1"/>
  <c r="M1060" i="2" a="1"/>
  <c r="M1060" i="2" s="1"/>
  <c r="M1061" i="2" a="1"/>
  <c r="M1061" i="2" s="1"/>
  <c r="M1062" i="2" a="1"/>
  <c r="M1062" i="2" s="1"/>
  <c r="M1063" i="2" a="1"/>
  <c r="M1063" i="2" s="1"/>
  <c r="M1064" i="2" a="1"/>
  <c r="M1064" i="2" s="1"/>
  <c r="M1065" i="2" a="1"/>
  <c r="M1065" i="2" s="1"/>
  <c r="M1066" i="2" a="1"/>
  <c r="M1066" i="2" s="1"/>
  <c r="M1067" i="2" a="1"/>
  <c r="M1067" i="2" s="1"/>
  <c r="M1068" i="2" a="1"/>
  <c r="M1068" i="2" s="1"/>
  <c r="M1069" i="2" a="1"/>
  <c r="M1069" i="2" s="1"/>
  <c r="M1070" i="2" a="1"/>
  <c r="M1070" i="2" s="1"/>
  <c r="M1071" i="2" a="1"/>
  <c r="M1071" i="2" s="1"/>
  <c r="M1072" i="2" a="1"/>
  <c r="M1072" i="2" s="1"/>
  <c r="M1073" i="2" a="1"/>
  <c r="M1073" i="2" s="1"/>
  <c r="M1074" i="2" a="1"/>
  <c r="M1074" i="2" s="1"/>
  <c r="M1075" i="2" a="1"/>
  <c r="M1075" i="2"/>
  <c r="M1076" i="2" a="1"/>
  <c r="M1076" i="2" s="1"/>
  <c r="M1077" i="2" a="1"/>
  <c r="M1077" i="2" s="1"/>
  <c r="M1078" i="2" a="1"/>
  <c r="M1078" i="2" s="1"/>
  <c r="M1079" i="2" a="1"/>
  <c r="M1079" i="2" s="1"/>
  <c r="M1080" i="2" a="1"/>
  <c r="M1080" i="2" s="1"/>
  <c r="M1081" i="2" a="1"/>
  <c r="M1081" i="2" s="1"/>
  <c r="M1082" i="2" a="1"/>
  <c r="M1082" i="2" s="1"/>
  <c r="M1083" i="2" a="1"/>
  <c r="M1083" i="2" s="1"/>
  <c r="M1084" i="2" a="1"/>
  <c r="M1084" i="2" s="1"/>
  <c r="M1085" i="2" a="1"/>
  <c r="M1085" i="2" s="1"/>
  <c r="M1086" i="2" a="1"/>
  <c r="M1086" i="2" s="1"/>
  <c r="M1087" i="2" a="1"/>
  <c r="M1087" i="2" s="1"/>
  <c r="M1088" i="2" a="1"/>
  <c r="M1088" i="2" s="1"/>
  <c r="M1089" i="2" a="1"/>
  <c r="M1089" i="2" s="1"/>
  <c r="M1090" i="2" a="1"/>
  <c r="M1090" i="2" s="1"/>
  <c r="M1091" i="2" a="1"/>
  <c r="M1091" i="2" s="1"/>
  <c r="M1092" i="2" a="1"/>
  <c r="M1092" i="2" s="1"/>
  <c r="M1093" i="2" a="1"/>
  <c r="M1093" i="2" s="1"/>
  <c r="M1094" i="2" a="1"/>
  <c r="M1094" i="2" s="1"/>
  <c r="M1095" i="2" a="1"/>
  <c r="M1095" i="2" s="1"/>
  <c r="M1096" i="2" a="1"/>
  <c r="M1096" i="2" s="1"/>
  <c r="M1097" i="2" a="1"/>
  <c r="M1097" i="2" s="1"/>
  <c r="M1098" i="2" a="1"/>
  <c r="M1098" i="2" s="1"/>
  <c r="M1099" i="2" a="1"/>
  <c r="M1099" i="2" s="1"/>
  <c r="M1100" i="2" a="1"/>
  <c r="M1100" i="2" s="1"/>
  <c r="M1101" i="2" a="1"/>
  <c r="M1101" i="2" s="1"/>
  <c r="M1102" i="2" a="1"/>
  <c r="M1102" i="2" s="1"/>
  <c r="M1103" i="2" a="1"/>
  <c r="M1103" i="2" s="1"/>
  <c r="M1104" i="2" a="1"/>
  <c r="M1104" i="2" s="1"/>
  <c r="M1105" i="2" a="1"/>
  <c r="M1105" i="2" s="1"/>
  <c r="M1106" i="2" a="1"/>
  <c r="M1106" i="2" s="1"/>
  <c r="M1107" i="2" a="1"/>
  <c r="M1107" i="2" s="1"/>
  <c r="M1108" i="2" a="1"/>
  <c r="M1108" i="2" s="1"/>
  <c r="M1109" i="2" a="1"/>
  <c r="M1109" i="2" s="1"/>
  <c r="M1110" i="2" a="1"/>
  <c r="M1110" i="2" s="1"/>
  <c r="M1111" i="2" a="1"/>
  <c r="M1111" i="2" s="1"/>
  <c r="M1112" i="2" a="1"/>
  <c r="M1112" i="2" s="1"/>
  <c r="M1113" i="2" a="1"/>
  <c r="M1113" i="2" s="1"/>
  <c r="M1114" i="2" a="1"/>
  <c r="M1114" i="2" s="1"/>
  <c r="M1115" i="2" a="1"/>
  <c r="M1115" i="2" s="1"/>
  <c r="M1116" i="2" a="1"/>
  <c r="M1116" i="2" s="1"/>
  <c r="M1117" i="2" a="1"/>
  <c r="M1117" i="2" s="1"/>
  <c r="M1118" i="2" a="1"/>
  <c r="M1118" i="2" s="1"/>
  <c r="M1119" i="2" a="1"/>
  <c r="M1119" i="2" s="1"/>
  <c r="M1120" i="2" a="1"/>
  <c r="M1120" i="2" s="1"/>
  <c r="M1121" i="2" a="1"/>
  <c r="M1121" i="2" s="1"/>
  <c r="M1122" i="2" a="1"/>
  <c r="M1122" i="2" s="1"/>
  <c r="M1123" i="2" a="1"/>
  <c r="M1123" i="2" s="1"/>
  <c r="M1124" i="2" a="1"/>
  <c r="M1124" i="2" s="1"/>
  <c r="M1125" i="2" a="1"/>
  <c r="M1125" i="2" s="1"/>
  <c r="M1126" i="2" a="1"/>
  <c r="M1126" i="2" s="1"/>
  <c r="M1127" i="2" a="1"/>
  <c r="M1127" i="2" s="1"/>
  <c r="M1128" i="2" a="1"/>
  <c r="M1128" i="2" s="1"/>
  <c r="M1129" i="2" a="1"/>
  <c r="M1129" i="2" s="1"/>
  <c r="M1130" i="2" a="1"/>
  <c r="M1130" i="2" s="1"/>
  <c r="M1131" i="2" a="1"/>
  <c r="M1131" i="2" s="1"/>
  <c r="M1132" i="2" a="1"/>
  <c r="M1132" i="2" s="1"/>
  <c r="M1133" i="2" a="1"/>
  <c r="M1133" i="2" s="1"/>
  <c r="M1134" i="2" a="1"/>
  <c r="M1134" i="2" s="1"/>
  <c r="M1135" i="2" a="1"/>
  <c r="M1135" i="2" s="1"/>
  <c r="M1136" i="2" a="1"/>
  <c r="M1136" i="2" s="1"/>
  <c r="M1137" i="2" a="1"/>
  <c r="M1137" i="2" s="1"/>
  <c r="M1138" i="2" a="1"/>
  <c r="M1138" i="2" s="1"/>
  <c r="M1139" i="2" a="1"/>
  <c r="M1139" i="2" s="1"/>
  <c r="M1140" i="2" a="1"/>
  <c r="M1140" i="2" s="1"/>
  <c r="M1141" i="2" a="1"/>
  <c r="M1141" i="2" s="1"/>
  <c r="M1142" i="2" a="1"/>
  <c r="M1142" i="2" s="1"/>
  <c r="M1143" i="2" a="1"/>
  <c r="M1143" i="2" s="1"/>
  <c r="M1144" i="2" a="1"/>
  <c r="M1144" i="2" s="1"/>
  <c r="M1145" i="2" a="1"/>
  <c r="M1145" i="2" s="1"/>
  <c r="M1146" i="2" a="1"/>
  <c r="M1146" i="2" s="1"/>
  <c r="M1147" i="2" a="1"/>
  <c r="M1147" i="2" s="1"/>
  <c r="M1148" i="2" a="1"/>
  <c r="M1148" i="2" s="1"/>
  <c r="M1149" i="2" a="1"/>
  <c r="M1149" i="2" s="1"/>
  <c r="M1150" i="2" a="1"/>
  <c r="M1150" i="2" s="1"/>
  <c r="M1151" i="2" a="1"/>
  <c r="M1151" i="2" s="1"/>
  <c r="M1152" i="2" a="1"/>
  <c r="M1152" i="2" s="1"/>
  <c r="M1153" i="2" a="1"/>
  <c r="M1153" i="2" s="1"/>
  <c r="M1154" i="2" a="1"/>
  <c r="M1154" i="2" s="1"/>
  <c r="M1155" i="2" a="1"/>
  <c r="M1155" i="2" s="1"/>
  <c r="M1156" i="2" a="1"/>
  <c r="M1156" i="2" s="1"/>
  <c r="M1157" i="2" a="1"/>
  <c r="M1157" i="2" s="1"/>
  <c r="M1158" i="2" a="1"/>
  <c r="M1158" i="2" s="1"/>
  <c r="M1159" i="2" a="1"/>
  <c r="M1159" i="2" s="1"/>
  <c r="M1160" i="2" a="1"/>
  <c r="M1160" i="2" s="1"/>
  <c r="M1161" i="2" a="1"/>
  <c r="M1161" i="2" s="1"/>
  <c r="M1162" i="2" a="1"/>
  <c r="M1162" i="2" s="1"/>
  <c r="M1163" i="2" a="1"/>
  <c r="M1163" i="2" s="1"/>
  <c r="M1164" i="2" a="1"/>
  <c r="M1164" i="2" s="1"/>
  <c r="M1165" i="2" a="1"/>
  <c r="M1165" i="2" s="1"/>
  <c r="M1166" i="2" a="1"/>
  <c r="M1166" i="2" s="1"/>
  <c r="M1167" i="2" a="1"/>
  <c r="M1167" i="2" s="1"/>
  <c r="M1168" i="2" a="1"/>
  <c r="M1168" i="2" s="1"/>
  <c r="M1169" i="2" a="1"/>
  <c r="M1169" i="2" s="1"/>
  <c r="M1170" i="2" a="1"/>
  <c r="M1170" i="2" s="1"/>
  <c r="M1171" i="2" a="1"/>
  <c r="M1171" i="2" s="1"/>
  <c r="M1172" i="2" a="1"/>
  <c r="M1172" i="2" s="1"/>
  <c r="M1173" i="2" a="1"/>
  <c r="M1173" i="2" s="1"/>
  <c r="M1174" i="2" a="1"/>
  <c r="M1174" i="2" s="1"/>
  <c r="M1175" i="2" a="1"/>
  <c r="M1175" i="2" s="1"/>
  <c r="M1176" i="2" a="1"/>
  <c r="M1176" i="2" s="1"/>
  <c r="M1177" i="2" a="1"/>
  <c r="M1177" i="2" s="1"/>
  <c r="M1178" i="2" a="1"/>
  <c r="M1178" i="2" s="1"/>
  <c r="M1179" i="2" a="1"/>
  <c r="M1179" i="2" s="1"/>
  <c r="M1180" i="2" a="1"/>
  <c r="M1180" i="2" s="1"/>
  <c r="M1181" i="2" a="1"/>
  <c r="M1181" i="2" s="1"/>
  <c r="M1182" i="2" a="1"/>
  <c r="M1182" i="2" s="1"/>
  <c r="M1183" i="2" a="1"/>
  <c r="M1183" i="2" s="1"/>
  <c r="M1184" i="2" a="1"/>
  <c r="M1184" i="2" s="1"/>
  <c r="M1185" i="2" a="1"/>
  <c r="M1185" i="2" s="1"/>
  <c r="M1186" i="2" a="1"/>
  <c r="M1186" i="2" s="1"/>
  <c r="M1187" i="2" a="1"/>
  <c r="M1187" i="2" s="1"/>
  <c r="M1188" i="2" a="1"/>
  <c r="M1188" i="2" s="1"/>
  <c r="M1189" i="2" a="1"/>
  <c r="M1189" i="2" s="1"/>
  <c r="M1190" i="2" a="1"/>
  <c r="M1190" i="2" s="1"/>
  <c r="M1191" i="2" a="1"/>
  <c r="M1191" i="2" s="1"/>
  <c r="M1192" i="2" a="1"/>
  <c r="M1192" i="2" s="1"/>
  <c r="M1193" i="2" a="1"/>
  <c r="M1193" i="2" s="1"/>
  <c r="M1194" i="2" a="1"/>
  <c r="M1194" i="2" s="1"/>
  <c r="M1195" i="2" a="1"/>
  <c r="M1195" i="2" s="1"/>
  <c r="M1196" i="2" a="1"/>
  <c r="M1196" i="2" s="1"/>
  <c r="M1197" i="2" a="1"/>
  <c r="M1197" i="2" s="1"/>
  <c r="M1198" i="2" a="1"/>
  <c r="M1198" i="2" s="1"/>
  <c r="M1199" i="2" a="1"/>
  <c r="M1199" i="2" s="1"/>
  <c r="M1200" i="2" a="1"/>
  <c r="M1200" i="2" s="1"/>
  <c r="M1201" i="2" a="1"/>
  <c r="M1201" i="2" s="1"/>
  <c r="M1202" i="2" a="1"/>
  <c r="M1202" i="2" s="1"/>
  <c r="M1203" i="2" a="1"/>
  <c r="M1203" i="2" s="1"/>
  <c r="M1204" i="2" a="1"/>
  <c r="M1204" i="2" s="1"/>
  <c r="M1205" i="2" a="1"/>
  <c r="M1205" i="2" s="1"/>
  <c r="M1206" i="2" a="1"/>
  <c r="M1206" i="2" s="1"/>
  <c r="M1207" i="2" a="1"/>
  <c r="M1207" i="2" s="1"/>
  <c r="M1208" i="2" a="1"/>
  <c r="M1208" i="2" s="1"/>
  <c r="M1209" i="2" a="1"/>
  <c r="M1209" i="2" s="1"/>
  <c r="M1210" i="2" a="1"/>
  <c r="M1210" i="2" s="1"/>
  <c r="M1211" i="2" a="1"/>
  <c r="M1211" i="2" s="1"/>
  <c r="M1212" i="2" a="1"/>
  <c r="M1212" i="2" s="1"/>
  <c r="M1213" i="2" a="1"/>
  <c r="M1213" i="2" s="1"/>
  <c r="M1214" i="2" a="1"/>
  <c r="M1214" i="2" s="1"/>
  <c r="M1215" i="2" a="1"/>
  <c r="M1215" i="2" s="1"/>
  <c r="M1216" i="2" a="1"/>
  <c r="M1216" i="2" s="1"/>
  <c r="M1217" i="2" a="1"/>
  <c r="M1217" i="2" s="1"/>
  <c r="M1218" i="2" a="1"/>
  <c r="M1218" i="2" s="1"/>
  <c r="M1219" i="2" a="1"/>
  <c r="M1219" i="2" s="1"/>
  <c r="M1220" i="2" a="1"/>
  <c r="M1220" i="2" s="1"/>
  <c r="M1221" i="2" a="1"/>
  <c r="M1221" i="2" s="1"/>
  <c r="M1222" i="2" a="1"/>
  <c r="M1222" i="2" s="1"/>
  <c r="M1223" i="2" a="1"/>
  <c r="M1223" i="2" s="1"/>
  <c r="M1224" i="2" a="1"/>
  <c r="M1224" i="2" s="1"/>
  <c r="M1225" i="2" a="1"/>
  <c r="M1225" i="2" s="1"/>
  <c r="M1226" i="2" a="1"/>
  <c r="M1226" i="2" s="1"/>
  <c r="M1227" i="2" a="1"/>
  <c r="M1227" i="2" s="1"/>
  <c r="M1228" i="2" a="1"/>
  <c r="M1228" i="2" s="1"/>
  <c r="M1229" i="2" a="1"/>
  <c r="M1229" i="2" s="1"/>
  <c r="M1230" i="2" a="1"/>
  <c r="M1230" i="2" s="1"/>
  <c r="M1231" i="2" a="1"/>
  <c r="M1231" i="2" s="1"/>
  <c r="M1232" i="2" a="1"/>
  <c r="M1232" i="2" s="1"/>
  <c r="M1233" i="2" a="1"/>
  <c r="M1233" i="2" s="1"/>
  <c r="M1234" i="2" a="1"/>
  <c r="M1234" i="2" s="1"/>
  <c r="M1235" i="2" a="1"/>
  <c r="M1235" i="2" s="1"/>
  <c r="M1236" i="2" a="1"/>
  <c r="M1236" i="2" s="1"/>
  <c r="M1237" i="2" a="1"/>
  <c r="M1237" i="2" s="1"/>
  <c r="M1238" i="2" a="1"/>
  <c r="M1238" i="2" s="1"/>
  <c r="M1239" i="2" a="1"/>
  <c r="M1239" i="2" s="1"/>
  <c r="M1240" i="2" a="1"/>
  <c r="M1240" i="2" s="1"/>
  <c r="M1241" i="2" a="1"/>
  <c r="M1241" i="2" s="1"/>
  <c r="M1242" i="2" a="1"/>
  <c r="M1242" i="2" s="1"/>
  <c r="M1243" i="2" a="1"/>
  <c r="M1243" i="2" s="1"/>
  <c r="M1244" i="2" a="1"/>
  <c r="M1244" i="2" s="1"/>
  <c r="M1245" i="2" a="1"/>
  <c r="M1245" i="2" s="1"/>
  <c r="M1246" i="2" a="1"/>
  <c r="M1246" i="2" s="1"/>
  <c r="M1247" i="2" a="1"/>
  <c r="M1247" i="2" s="1"/>
  <c r="M1248" i="2" a="1"/>
  <c r="M1248" i="2" s="1"/>
  <c r="M1249" i="2" a="1"/>
  <c r="M1249" i="2" s="1"/>
  <c r="M1250" i="2" a="1"/>
  <c r="M1250" i="2" s="1"/>
  <c r="M1251" i="2" a="1"/>
  <c r="M1251" i="2" s="1"/>
  <c r="M1252" i="2" a="1"/>
  <c r="M1252" i="2" s="1"/>
  <c r="M1253" i="2" a="1"/>
  <c r="M1253" i="2" s="1"/>
  <c r="M1254" i="2" a="1"/>
  <c r="M1254" i="2" s="1"/>
  <c r="M1255" i="2" a="1"/>
  <c r="M1255" i="2" s="1"/>
  <c r="M1256" i="2" a="1"/>
  <c r="M1256" i="2" s="1"/>
  <c r="M1257" i="2" a="1"/>
  <c r="M1257" i="2" s="1"/>
  <c r="M1258" i="2" a="1"/>
  <c r="M1258" i="2" s="1"/>
  <c r="M1259" i="2" a="1"/>
  <c r="M1259" i="2" s="1"/>
  <c r="M1260" i="2" a="1"/>
  <c r="M1260" i="2" s="1"/>
  <c r="M1261" i="2" a="1"/>
  <c r="M1261" i="2" s="1"/>
  <c r="M1262" i="2" a="1"/>
  <c r="M1262" i="2" s="1"/>
  <c r="M1263" i="2" a="1"/>
  <c r="M1263" i="2" s="1"/>
  <c r="M1264" i="2" a="1"/>
  <c r="M1264" i="2" s="1"/>
  <c r="M1265" i="2" a="1"/>
  <c r="M1265" i="2" s="1"/>
  <c r="M1266" i="2" a="1"/>
  <c r="M1266" i="2" s="1"/>
  <c r="M1267" i="2" a="1"/>
  <c r="M1267" i="2" s="1"/>
  <c r="M1268" i="2" a="1"/>
  <c r="M1268" i="2" s="1"/>
  <c r="M1269" i="2" a="1"/>
  <c r="M1269" i="2" s="1"/>
  <c r="M1270" i="2" a="1"/>
  <c r="M1270" i="2" s="1"/>
  <c r="M1271" i="2" a="1"/>
  <c r="M1271" i="2" s="1"/>
  <c r="M1272" i="2" a="1"/>
  <c r="M1272" i="2" s="1"/>
  <c r="M1273" i="2" a="1"/>
  <c r="M1273" i="2" s="1"/>
  <c r="M1274" i="2" a="1"/>
  <c r="M1274" i="2" s="1"/>
  <c r="M1275" i="2" a="1"/>
  <c r="M1275" i="2" s="1"/>
  <c r="M1276" i="2" a="1"/>
  <c r="M1276" i="2" s="1"/>
  <c r="M1277" i="2" a="1"/>
  <c r="M1277" i="2" s="1"/>
  <c r="M1278" i="2" a="1"/>
  <c r="M1278" i="2" s="1"/>
  <c r="M1279" i="2" a="1"/>
  <c r="M1279" i="2" s="1"/>
  <c r="M1280" i="2" a="1"/>
  <c r="M1280" i="2" s="1"/>
  <c r="M1281" i="2" a="1"/>
  <c r="M1281" i="2" s="1"/>
  <c r="M1282" i="2" a="1"/>
  <c r="M1282" i="2" s="1"/>
  <c r="M1283" i="2" a="1"/>
  <c r="M1283" i="2" s="1"/>
  <c r="M1284" i="2" a="1"/>
  <c r="M1284" i="2" s="1"/>
  <c r="M1285" i="2" a="1"/>
  <c r="M1285" i="2" s="1"/>
  <c r="M1286" i="2" a="1"/>
  <c r="M1286" i="2" s="1"/>
  <c r="M1287" i="2" a="1"/>
  <c r="M1287" i="2" s="1"/>
  <c r="M1288" i="2" a="1"/>
  <c r="M1288" i="2" s="1"/>
  <c r="M1289" i="2" a="1"/>
  <c r="M1289" i="2" s="1"/>
  <c r="M1290" i="2" a="1"/>
  <c r="M1290" i="2" s="1"/>
  <c r="M1291" i="2" a="1"/>
  <c r="M1291" i="2" s="1"/>
  <c r="M1292" i="2" a="1"/>
  <c r="M1292" i="2" s="1"/>
  <c r="M1293" i="2" a="1"/>
  <c r="M1293" i="2" s="1"/>
  <c r="M1294" i="2" a="1"/>
  <c r="M1294" i="2" s="1"/>
  <c r="M1295" i="2" a="1"/>
  <c r="M1295" i="2" s="1"/>
  <c r="M1296" i="2" a="1"/>
  <c r="M1296" i="2" s="1"/>
  <c r="M1297" i="2" a="1"/>
  <c r="M1297" i="2" s="1"/>
  <c r="M1298" i="2" a="1"/>
  <c r="M1298" i="2" s="1"/>
  <c r="M1299" i="2" a="1"/>
  <c r="M1299" i="2" s="1"/>
  <c r="M1300" i="2" a="1"/>
  <c r="M1300" i="2" s="1"/>
  <c r="M1301" i="2" a="1"/>
  <c r="M1301" i="2" s="1"/>
  <c r="M1302" i="2" a="1"/>
  <c r="M1302" i="2" s="1"/>
  <c r="M1303" i="2" a="1"/>
  <c r="M1303" i="2" s="1"/>
  <c r="M1304" i="2" a="1"/>
  <c r="M1304" i="2" s="1"/>
  <c r="M1305" i="2" a="1"/>
  <c r="M1305" i="2" s="1"/>
  <c r="M1306" i="2" a="1"/>
  <c r="M1306" i="2" s="1"/>
  <c r="M1307" i="2" a="1"/>
  <c r="M1307" i="2" s="1"/>
  <c r="M1308" i="2" a="1"/>
  <c r="M1308" i="2" s="1"/>
  <c r="M1309" i="2" a="1"/>
  <c r="M1309" i="2" s="1"/>
  <c r="M1310" i="2" a="1"/>
  <c r="M1310" i="2" s="1"/>
  <c r="M1311" i="2" a="1"/>
  <c r="M1311" i="2" s="1"/>
  <c r="M1312" i="2" a="1"/>
  <c r="M1312" i="2" s="1"/>
  <c r="M1313" i="2" a="1"/>
  <c r="M1313" i="2" s="1"/>
  <c r="M1314" i="2" a="1"/>
  <c r="M1314" i="2" s="1"/>
  <c r="M1315" i="2" a="1"/>
  <c r="M1315" i="2" s="1"/>
  <c r="M1316" i="2" a="1"/>
  <c r="M1316" i="2" s="1"/>
  <c r="M1317" i="2" a="1"/>
  <c r="M1317" i="2" s="1"/>
  <c r="M1318" i="2" a="1"/>
  <c r="M1318" i="2" s="1"/>
  <c r="M1319" i="2" a="1"/>
  <c r="M1319" i="2" s="1"/>
  <c r="M1320" i="2" a="1"/>
  <c r="M1320" i="2" s="1"/>
  <c r="M1321" i="2" a="1"/>
  <c r="M1321" i="2" s="1"/>
  <c r="M1322" i="2" a="1"/>
  <c r="M1322" i="2" s="1"/>
  <c r="M1323" i="2" a="1"/>
  <c r="M1323" i="2" s="1"/>
  <c r="M1324" i="2" a="1"/>
  <c r="M1324" i="2" s="1"/>
  <c r="M1325" i="2" a="1"/>
  <c r="M1325" i="2" s="1"/>
  <c r="M1326" i="2" a="1"/>
  <c r="M1326" i="2" s="1"/>
  <c r="M1327" i="2" a="1"/>
  <c r="M1327" i="2" s="1"/>
  <c r="M1328" i="2" a="1"/>
  <c r="M1328" i="2" s="1"/>
  <c r="M1329" i="2" a="1"/>
  <c r="M1329" i="2" s="1"/>
  <c r="M1330" i="2" a="1"/>
  <c r="M1330" i="2" s="1"/>
  <c r="M1331" i="2" a="1"/>
  <c r="M1331" i="2" s="1"/>
  <c r="M1332" i="2" a="1"/>
  <c r="M1332" i="2" s="1"/>
  <c r="M1333" i="2" a="1"/>
  <c r="M1333" i="2" s="1"/>
  <c r="M1334" i="2" a="1"/>
  <c r="M1334" i="2" s="1"/>
  <c r="M1335" i="2" a="1"/>
  <c r="M1335" i="2" s="1"/>
  <c r="M1336" i="2" a="1"/>
  <c r="M1336" i="2" s="1"/>
  <c r="M1337" i="2" a="1"/>
  <c r="M1337" i="2" s="1"/>
  <c r="M1338" i="2" a="1"/>
  <c r="M1338" i="2" s="1"/>
  <c r="M1339" i="2" a="1"/>
  <c r="M1339" i="2" s="1"/>
  <c r="M1340" i="2" a="1"/>
  <c r="M1340" i="2" s="1"/>
  <c r="M1341" i="2" a="1"/>
  <c r="M1341" i="2" s="1"/>
  <c r="M1342" i="2" a="1"/>
  <c r="M1342" i="2" s="1"/>
  <c r="M1343" i="2" a="1"/>
  <c r="M1343" i="2" s="1"/>
  <c r="M1344" i="2" a="1"/>
  <c r="M1344" i="2" s="1"/>
  <c r="M1345" i="2" a="1"/>
  <c r="M1345" i="2" s="1"/>
  <c r="M1346" i="2" a="1"/>
  <c r="M1346" i="2" s="1"/>
  <c r="M1347" i="2" a="1"/>
  <c r="M1347" i="2" s="1"/>
  <c r="M1348" i="2" a="1"/>
  <c r="M1348" i="2" s="1"/>
  <c r="M1349" i="2" a="1"/>
  <c r="M1349" i="2" s="1"/>
  <c r="M1350" i="2" a="1"/>
  <c r="M1350" i="2" s="1"/>
  <c r="M1351" i="2" a="1"/>
  <c r="M1351" i="2" s="1"/>
  <c r="M1352" i="2" a="1"/>
  <c r="M1352" i="2" s="1"/>
  <c r="M1353" i="2" a="1"/>
  <c r="M1353" i="2" s="1"/>
  <c r="M1354" i="2" a="1"/>
  <c r="M1354" i="2" s="1"/>
  <c r="M1355" i="2" a="1"/>
  <c r="M1355" i="2" s="1"/>
  <c r="M1356" i="2" a="1"/>
  <c r="M1356" i="2" s="1"/>
  <c r="M1357" i="2" a="1"/>
  <c r="M1357" i="2" s="1"/>
  <c r="M1358" i="2" a="1"/>
  <c r="M1358" i="2" s="1"/>
  <c r="M1359" i="2" a="1"/>
  <c r="M1359" i="2" s="1"/>
  <c r="M1360" i="2" a="1"/>
  <c r="M1360" i="2" s="1"/>
  <c r="M1361" i="2" a="1"/>
  <c r="M1361" i="2" s="1"/>
  <c r="M1362" i="2" a="1"/>
  <c r="M1362" i="2" s="1"/>
  <c r="M1363" i="2" a="1"/>
  <c r="M1363" i="2" s="1"/>
  <c r="M1364" i="2" a="1"/>
  <c r="M1364" i="2" s="1"/>
  <c r="M1365" i="2" a="1"/>
  <c r="M1365" i="2" s="1"/>
  <c r="M1366" i="2" a="1"/>
  <c r="M1366" i="2" s="1"/>
  <c r="M1367" i="2" a="1"/>
  <c r="M1367" i="2" s="1"/>
  <c r="M1368" i="2" a="1"/>
  <c r="M1368" i="2" s="1"/>
  <c r="M1369" i="2" a="1"/>
  <c r="M1369" i="2" s="1"/>
  <c r="M1370" i="2" a="1"/>
  <c r="M1370" i="2" s="1"/>
  <c r="M1371" i="2" a="1"/>
  <c r="M1371" i="2" s="1"/>
  <c r="M1372" i="2" a="1"/>
  <c r="M1372" i="2" s="1"/>
  <c r="M1373" i="2" a="1"/>
  <c r="M1373" i="2" s="1"/>
  <c r="M1374" i="2" a="1"/>
  <c r="M1374" i="2" s="1"/>
  <c r="M1375" i="2" a="1"/>
  <c r="M1375" i="2" s="1"/>
  <c r="M1376" i="2" a="1"/>
  <c r="M1376" i="2" s="1"/>
  <c r="M1377" i="2" a="1"/>
  <c r="M1377" i="2" s="1"/>
  <c r="M1378" i="2" a="1"/>
  <c r="M1378" i="2" s="1"/>
  <c r="M1379" i="2" a="1"/>
  <c r="M1379" i="2" s="1"/>
  <c r="M1380" i="2" a="1"/>
  <c r="M1380" i="2" s="1"/>
  <c r="M1381" i="2" a="1"/>
  <c r="M1381" i="2" s="1"/>
  <c r="M1382" i="2" a="1"/>
  <c r="M1382" i="2" s="1"/>
  <c r="M1383" i="2" a="1"/>
  <c r="M1383" i="2" s="1"/>
  <c r="M1384" i="2" a="1"/>
  <c r="M1384" i="2" s="1"/>
  <c r="M1385" i="2" a="1"/>
  <c r="M1385" i="2" s="1"/>
  <c r="M1386" i="2" a="1"/>
  <c r="M1386" i="2" s="1"/>
  <c r="M1387" i="2" a="1"/>
  <c r="M1387" i="2" s="1"/>
  <c r="M1388" i="2" a="1"/>
  <c r="M1388" i="2" s="1"/>
  <c r="M1389" i="2" a="1"/>
  <c r="M1389" i="2" s="1"/>
  <c r="M1390" i="2" a="1"/>
  <c r="M1390" i="2" s="1"/>
  <c r="M1391" i="2" a="1"/>
  <c r="M1391" i="2" s="1"/>
  <c r="M1392" i="2" a="1"/>
  <c r="M1392" i="2" s="1"/>
  <c r="M1393" i="2" a="1"/>
  <c r="M1393" i="2" s="1"/>
  <c r="M1394" i="2" a="1"/>
  <c r="M1394" i="2" s="1"/>
  <c r="M1395" i="2" a="1"/>
  <c r="M1395" i="2" s="1"/>
  <c r="M1396" i="2" a="1"/>
  <c r="M1396" i="2" s="1"/>
  <c r="M1397" i="2" a="1"/>
  <c r="M1397" i="2"/>
  <c r="M1398" i="2" a="1"/>
  <c r="M1398" i="2" s="1"/>
  <c r="M1399" i="2" a="1"/>
  <c r="M1399" i="2" s="1"/>
  <c r="M1400" i="2" a="1"/>
  <c r="M1400" i="2" s="1"/>
  <c r="M1401" i="2" a="1"/>
  <c r="M1401" i="2" s="1"/>
  <c r="M1402" i="2" a="1"/>
  <c r="M1402" i="2" s="1"/>
  <c r="M1403" i="2" a="1"/>
  <c r="M1403" i="2" s="1"/>
  <c r="M1404" i="2" a="1"/>
  <c r="M1404" i="2" s="1"/>
  <c r="M1405" i="2" a="1"/>
  <c r="M1405" i="2" s="1"/>
  <c r="M1406" i="2" a="1"/>
  <c r="M1406" i="2" s="1"/>
  <c r="M1407" i="2" a="1"/>
  <c r="M1407" i="2" s="1"/>
  <c r="M1408" i="2" a="1"/>
  <c r="M1408" i="2" s="1"/>
  <c r="M1409" i="2" a="1"/>
  <c r="M1409" i="2" s="1"/>
  <c r="M1410" i="2" a="1"/>
  <c r="M1410" i="2" s="1"/>
  <c r="M1411" i="2" a="1"/>
  <c r="M1411" i="2" s="1"/>
  <c r="M1412" i="2" a="1"/>
  <c r="M1412" i="2" s="1"/>
  <c r="M1413" i="2" a="1"/>
  <c r="M1413" i="2" s="1"/>
  <c r="M1414" i="2" a="1"/>
  <c r="M1414" i="2" s="1"/>
  <c r="M1415" i="2" a="1"/>
  <c r="M1415" i="2" s="1"/>
  <c r="M1416" i="2" a="1"/>
  <c r="M1416" i="2" s="1"/>
  <c r="M1417" i="2" a="1"/>
  <c r="M1417" i="2" s="1"/>
  <c r="M1418" i="2" a="1"/>
  <c r="M1418" i="2" s="1"/>
  <c r="M1419" i="2" a="1"/>
  <c r="M1419" i="2" s="1"/>
  <c r="M1420" i="2" a="1"/>
  <c r="M1420" i="2" s="1"/>
  <c r="M1421" i="2" a="1"/>
  <c r="M1421" i="2" s="1"/>
  <c r="M1422" i="2" a="1"/>
  <c r="M1422" i="2" s="1"/>
  <c r="M1423" i="2" a="1"/>
  <c r="M1423" i="2" s="1"/>
  <c r="M1424" i="2" a="1"/>
  <c r="M1424" i="2" s="1"/>
  <c r="M1425" i="2" a="1"/>
  <c r="M1425" i="2" s="1"/>
  <c r="M1426" i="2" a="1"/>
  <c r="M1426" i="2" s="1"/>
  <c r="M1427" i="2" a="1"/>
  <c r="M1427" i="2" s="1"/>
  <c r="M1428" i="2" a="1"/>
  <c r="M1428" i="2" s="1"/>
  <c r="M1429" i="2" a="1"/>
  <c r="M1429" i="2"/>
  <c r="M1430" i="2" a="1"/>
  <c r="M1430" i="2" s="1"/>
  <c r="M1431" i="2" a="1"/>
  <c r="M1431" i="2" s="1"/>
  <c r="M1432" i="2" a="1"/>
  <c r="M1432" i="2" s="1"/>
  <c r="M1433" i="2" a="1"/>
  <c r="M1433" i="2" s="1"/>
  <c r="M1434" i="2" a="1"/>
  <c r="M1434" i="2" s="1"/>
  <c r="M1435" i="2" a="1"/>
  <c r="M1435" i="2" s="1"/>
  <c r="M1436" i="2" a="1"/>
  <c r="M1436" i="2" s="1"/>
  <c r="M1437" i="2" a="1"/>
  <c r="M1437" i="2" s="1"/>
  <c r="M1438" i="2" a="1"/>
  <c r="M1438" i="2" s="1"/>
  <c r="M1439" i="2" a="1"/>
  <c r="M1439" i="2" s="1"/>
  <c r="M1440" i="2" a="1"/>
  <c r="M1440" i="2" s="1"/>
  <c r="M1441" i="2" a="1"/>
  <c r="M1441" i="2" s="1"/>
  <c r="M1442" i="2" a="1"/>
  <c r="M1442" i="2" s="1"/>
  <c r="M1443" i="2" a="1"/>
  <c r="M1443" i="2"/>
  <c r="M1444" i="2" a="1"/>
  <c r="M1444" i="2" s="1"/>
  <c r="M1445" i="2" a="1"/>
  <c r="M1445" i="2" s="1"/>
  <c r="M1446" i="2" a="1"/>
  <c r="M1446" i="2" s="1"/>
  <c r="M1447" i="2" a="1"/>
  <c r="M1447" i="2" s="1"/>
  <c r="M1448" i="2" a="1"/>
  <c r="M1448" i="2" s="1"/>
  <c r="M1449" i="2" a="1"/>
  <c r="M1449" i="2" s="1"/>
  <c r="M1450" i="2" a="1"/>
  <c r="M1450" i="2" s="1"/>
  <c r="M1451" i="2" a="1"/>
  <c r="M1451" i="2" s="1"/>
  <c r="M1452" i="2" a="1"/>
  <c r="M1452" i="2" s="1"/>
  <c r="M1453" i="2" a="1"/>
  <c r="M1453" i="2" s="1"/>
  <c r="M1454" i="2" a="1"/>
  <c r="M1454" i="2" s="1"/>
  <c r="M1455" i="2" a="1"/>
  <c r="M1455" i="2" s="1"/>
  <c r="M1456" i="2" a="1"/>
  <c r="M1456" i="2" s="1"/>
  <c r="M1457" i="2" a="1"/>
  <c r="M1457" i="2" s="1"/>
  <c r="M1458" i="2" a="1"/>
  <c r="M1458" i="2" s="1"/>
  <c r="M1459" i="2" a="1"/>
  <c r="M1459" i="2" s="1"/>
  <c r="M1460" i="2" a="1"/>
  <c r="M1460" i="2" s="1"/>
  <c r="M1461" i="2" a="1"/>
  <c r="M1461" i="2" s="1"/>
  <c r="M1462" i="2" a="1"/>
  <c r="M1462" i="2" s="1"/>
  <c r="M1463" i="2" a="1"/>
  <c r="M1463" i="2" s="1"/>
  <c r="M1464" i="2" a="1"/>
  <c r="M1464" i="2" s="1"/>
  <c r="M1465" i="2" a="1"/>
  <c r="M1465" i="2" s="1"/>
  <c r="M1466" i="2" a="1"/>
  <c r="M1466" i="2" s="1"/>
  <c r="M1467" i="2" a="1"/>
  <c r="M1467" i="2" s="1"/>
  <c r="M1468" i="2" a="1"/>
  <c r="M1468" i="2" s="1"/>
  <c r="M1469" i="2" a="1"/>
  <c r="M1469" i="2" s="1"/>
  <c r="M1470" i="2" a="1"/>
  <c r="M1470" i="2" s="1"/>
  <c r="M1471" i="2" a="1"/>
  <c r="M1471" i="2" s="1"/>
  <c r="M2" i="2" a="1"/>
  <c r="M2" i="2" s="1"/>
  <c r="A15" i="3" a="1"/>
  <c r="A15" i="3" s="1"/>
  <c r="E15" i="3" s="1"/>
  <c r="J761" i="2"/>
  <c r="J921" i="2"/>
  <c r="J1045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J605" i="2" s="1"/>
  <c r="I606" i="2"/>
  <c r="J60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6" i="2"/>
  <c r="J966" i="2" s="1"/>
  <c r="I967" i="2"/>
  <c r="J967" i="2" s="1"/>
  <c r="I968" i="2"/>
  <c r="J968" i="2" s="1"/>
  <c r="I969" i="2"/>
  <c r="J969" i="2" s="1"/>
  <c r="I970" i="2"/>
  <c r="J970" i="2" s="1"/>
  <c r="I971" i="2"/>
  <c r="J971" i="2" s="1"/>
  <c r="I972" i="2"/>
  <c r="J972" i="2" s="1"/>
  <c r="I973" i="2"/>
  <c r="J973" i="2" s="1"/>
  <c r="I974" i="2"/>
  <c r="J974" i="2" s="1"/>
  <c r="I975" i="2"/>
  <c r="J975" i="2" s="1"/>
  <c r="I976" i="2"/>
  <c r="J976" i="2" s="1"/>
  <c r="I977" i="2"/>
  <c r="J977" i="2" s="1"/>
  <c r="I978" i="2"/>
  <c r="J978" i="2" s="1"/>
  <c r="I979" i="2"/>
  <c r="J979" i="2" s="1"/>
  <c r="I980" i="2"/>
  <c r="J980" i="2" s="1"/>
  <c r="I981" i="2"/>
  <c r="J981" i="2" s="1"/>
  <c r="I982" i="2"/>
  <c r="J982" i="2" s="1"/>
  <c r="I983" i="2"/>
  <c r="J983" i="2" s="1"/>
  <c r="I984" i="2"/>
  <c r="J984" i="2" s="1"/>
  <c r="I985" i="2"/>
  <c r="J985" i="2" s="1"/>
  <c r="I986" i="2"/>
  <c r="J986" i="2" s="1"/>
  <c r="I987" i="2"/>
  <c r="J987" i="2" s="1"/>
  <c r="I988" i="2"/>
  <c r="J988" i="2" s="1"/>
  <c r="I989" i="2"/>
  <c r="J989" i="2" s="1"/>
  <c r="I990" i="2"/>
  <c r="J990" i="2" s="1"/>
  <c r="I991" i="2"/>
  <c r="J991" i="2" s="1"/>
  <c r="I992" i="2"/>
  <c r="J992" i="2" s="1"/>
  <c r="I993" i="2"/>
  <c r="J993" i="2" s="1"/>
  <c r="I994" i="2"/>
  <c r="J994" i="2" s="1"/>
  <c r="I995" i="2"/>
  <c r="J995" i="2" s="1"/>
  <c r="I996" i="2"/>
  <c r="J996" i="2" s="1"/>
  <c r="I997" i="2"/>
  <c r="J997" i="2" s="1"/>
  <c r="I998" i="2"/>
  <c r="J998" i="2" s="1"/>
  <c r="I999" i="2"/>
  <c r="J999" i="2" s="1"/>
  <c r="I1000" i="2"/>
  <c r="J1000" i="2" s="1"/>
  <c r="I1001" i="2"/>
  <c r="J1001" i="2" s="1"/>
  <c r="I1002" i="2"/>
  <c r="J1002" i="2" s="1"/>
  <c r="I1003" i="2"/>
  <c r="J1003" i="2" s="1"/>
  <c r="I1004" i="2"/>
  <c r="J1004" i="2" s="1"/>
  <c r="I1005" i="2"/>
  <c r="J1005" i="2" s="1"/>
  <c r="I1006" i="2"/>
  <c r="J1006" i="2" s="1"/>
  <c r="I1007" i="2"/>
  <c r="J1007" i="2" s="1"/>
  <c r="I1008" i="2"/>
  <c r="J1008" i="2" s="1"/>
  <c r="I1009" i="2"/>
  <c r="J1009" i="2" s="1"/>
  <c r="I1010" i="2"/>
  <c r="J1010" i="2" s="1"/>
  <c r="I1011" i="2"/>
  <c r="J1011" i="2" s="1"/>
  <c r="I1012" i="2"/>
  <c r="J1012" i="2" s="1"/>
  <c r="I1013" i="2"/>
  <c r="J1013" i="2" s="1"/>
  <c r="I1014" i="2"/>
  <c r="J1014" i="2" s="1"/>
  <c r="I1015" i="2"/>
  <c r="J1015" i="2" s="1"/>
  <c r="I1016" i="2"/>
  <c r="J1016" i="2" s="1"/>
  <c r="I1017" i="2"/>
  <c r="J1017" i="2" s="1"/>
  <c r="I1018" i="2"/>
  <c r="J1018" i="2" s="1"/>
  <c r="I1019" i="2"/>
  <c r="J1019" i="2" s="1"/>
  <c r="I1020" i="2"/>
  <c r="J1020" i="2" s="1"/>
  <c r="I1021" i="2"/>
  <c r="J1021" i="2" s="1"/>
  <c r="I1022" i="2"/>
  <c r="J1022" i="2" s="1"/>
  <c r="I1023" i="2"/>
  <c r="J1023" i="2" s="1"/>
  <c r="I1024" i="2"/>
  <c r="J1024" i="2" s="1"/>
  <c r="I1025" i="2"/>
  <c r="J1025" i="2" s="1"/>
  <c r="I1026" i="2"/>
  <c r="J1026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1206" i="2"/>
  <c r="J1206" i="2" s="1"/>
  <c r="I1207" i="2"/>
  <c r="J1207" i="2" s="1"/>
  <c r="I1208" i="2"/>
  <c r="J1208" i="2" s="1"/>
  <c r="I1209" i="2"/>
  <c r="J1209" i="2" s="1"/>
  <c r="I1210" i="2"/>
  <c r="J1210" i="2" s="1"/>
  <c r="I1211" i="2"/>
  <c r="J1211" i="2" s="1"/>
  <c r="I1212" i="2"/>
  <c r="J1212" i="2" s="1"/>
  <c r="I1213" i="2"/>
  <c r="J1213" i="2" s="1"/>
  <c r="I1214" i="2"/>
  <c r="J1214" i="2" s="1"/>
  <c r="I1215" i="2"/>
  <c r="J1215" i="2" s="1"/>
  <c r="I1216" i="2"/>
  <c r="J1216" i="2" s="1"/>
  <c r="I1217" i="2"/>
  <c r="J1217" i="2" s="1"/>
  <c r="I1218" i="2"/>
  <c r="J1218" i="2" s="1"/>
  <c r="I1219" i="2"/>
  <c r="J1219" i="2" s="1"/>
  <c r="I1220" i="2"/>
  <c r="J1220" i="2" s="1"/>
  <c r="I1221" i="2"/>
  <c r="J1221" i="2" s="1"/>
  <c r="I1222" i="2"/>
  <c r="J1222" i="2" s="1"/>
  <c r="I1223" i="2"/>
  <c r="J1223" i="2" s="1"/>
  <c r="I1224" i="2"/>
  <c r="J1224" i="2" s="1"/>
  <c r="I1225" i="2"/>
  <c r="J1225" i="2" s="1"/>
  <c r="I1226" i="2"/>
  <c r="J1226" i="2" s="1"/>
  <c r="I1227" i="2"/>
  <c r="J1227" i="2" s="1"/>
  <c r="I1228" i="2"/>
  <c r="J1228" i="2" s="1"/>
  <c r="I1229" i="2"/>
  <c r="J1229" i="2" s="1"/>
  <c r="I1230" i="2"/>
  <c r="J1230" i="2" s="1"/>
  <c r="I1231" i="2"/>
  <c r="J1231" i="2" s="1"/>
  <c r="I1232" i="2"/>
  <c r="J1232" i="2" s="1"/>
  <c r="I1233" i="2"/>
  <c r="J1233" i="2" s="1"/>
  <c r="I1234" i="2"/>
  <c r="J1234" i="2" s="1"/>
  <c r="I1235" i="2"/>
  <c r="J1235" i="2" s="1"/>
  <c r="I1236" i="2"/>
  <c r="J1236" i="2" s="1"/>
  <c r="I1237" i="2"/>
  <c r="J1237" i="2" s="1"/>
  <c r="I1238" i="2"/>
  <c r="J1238" i="2" s="1"/>
  <c r="I1239" i="2"/>
  <c r="J1239" i="2" s="1"/>
  <c r="I1240" i="2"/>
  <c r="J1240" i="2" s="1"/>
  <c r="I1241" i="2"/>
  <c r="J1241" i="2" s="1"/>
  <c r="I1242" i="2"/>
  <c r="J1242" i="2" s="1"/>
  <c r="I1243" i="2"/>
  <c r="J1243" i="2" s="1"/>
  <c r="I1244" i="2"/>
  <c r="J1244" i="2" s="1"/>
  <c r="I1245" i="2"/>
  <c r="J1245" i="2" s="1"/>
  <c r="I1246" i="2"/>
  <c r="J1246" i="2" s="1"/>
  <c r="I1247" i="2"/>
  <c r="J1247" i="2" s="1"/>
  <c r="I1248" i="2"/>
  <c r="J1248" i="2" s="1"/>
  <c r="I1249" i="2"/>
  <c r="J1249" i="2" s="1"/>
  <c r="I1250" i="2"/>
  <c r="J1250" i="2" s="1"/>
  <c r="I1251" i="2"/>
  <c r="J1251" i="2" s="1"/>
  <c r="I1252" i="2"/>
  <c r="J1252" i="2" s="1"/>
  <c r="I1253" i="2"/>
  <c r="J1253" i="2" s="1"/>
  <c r="I1254" i="2"/>
  <c r="J1254" i="2" s="1"/>
  <c r="I1255" i="2"/>
  <c r="J1255" i="2" s="1"/>
  <c r="I1256" i="2"/>
  <c r="J1256" i="2" s="1"/>
  <c r="I1257" i="2"/>
  <c r="J1257" i="2" s="1"/>
  <c r="I1258" i="2"/>
  <c r="J1258" i="2" s="1"/>
  <c r="I1259" i="2"/>
  <c r="J1259" i="2" s="1"/>
  <c r="I1260" i="2"/>
  <c r="J1260" i="2" s="1"/>
  <c r="I1261" i="2"/>
  <c r="J1261" i="2" s="1"/>
  <c r="I1262" i="2"/>
  <c r="J1262" i="2" s="1"/>
  <c r="I1263" i="2"/>
  <c r="J1263" i="2" s="1"/>
  <c r="I1264" i="2"/>
  <c r="J1264" i="2" s="1"/>
  <c r="I1265" i="2"/>
  <c r="J1265" i="2" s="1"/>
  <c r="I1266" i="2"/>
  <c r="J1266" i="2" s="1"/>
  <c r="I1267" i="2"/>
  <c r="J1267" i="2" s="1"/>
  <c r="I1268" i="2"/>
  <c r="J1268" i="2" s="1"/>
  <c r="I1269" i="2"/>
  <c r="J1269" i="2" s="1"/>
  <c r="I1270" i="2"/>
  <c r="J1270" i="2" s="1"/>
  <c r="I1271" i="2"/>
  <c r="J1271" i="2" s="1"/>
  <c r="I1272" i="2"/>
  <c r="J1272" i="2" s="1"/>
  <c r="I1273" i="2"/>
  <c r="J1273" i="2" s="1"/>
  <c r="I1274" i="2"/>
  <c r="J1274" i="2" s="1"/>
  <c r="I1275" i="2"/>
  <c r="J1275" i="2" s="1"/>
  <c r="I1276" i="2"/>
  <c r="J1276" i="2" s="1"/>
  <c r="I1277" i="2"/>
  <c r="J1277" i="2" s="1"/>
  <c r="I1278" i="2"/>
  <c r="J1278" i="2" s="1"/>
  <c r="I1279" i="2"/>
  <c r="J1279" i="2" s="1"/>
  <c r="I1280" i="2"/>
  <c r="J1280" i="2" s="1"/>
  <c r="I1281" i="2"/>
  <c r="J1281" i="2" s="1"/>
  <c r="I1282" i="2"/>
  <c r="J1282" i="2" s="1"/>
  <c r="I1283" i="2"/>
  <c r="J1283" i="2" s="1"/>
  <c r="I1284" i="2"/>
  <c r="J1284" i="2" s="1"/>
  <c r="I1285" i="2"/>
  <c r="J1285" i="2" s="1"/>
  <c r="I1286" i="2"/>
  <c r="J1286" i="2" s="1"/>
  <c r="I1287" i="2"/>
  <c r="J1287" i="2" s="1"/>
  <c r="I1288" i="2"/>
  <c r="J1288" i="2" s="1"/>
  <c r="I1289" i="2"/>
  <c r="J1289" i="2" s="1"/>
  <c r="I1290" i="2"/>
  <c r="J1290" i="2" s="1"/>
  <c r="I1291" i="2"/>
  <c r="J1291" i="2" s="1"/>
  <c r="I1292" i="2"/>
  <c r="J1292" i="2" s="1"/>
  <c r="I1293" i="2"/>
  <c r="J1293" i="2" s="1"/>
  <c r="I1294" i="2"/>
  <c r="J1294" i="2" s="1"/>
  <c r="I1295" i="2"/>
  <c r="J1295" i="2" s="1"/>
  <c r="I1296" i="2"/>
  <c r="J1296" i="2" s="1"/>
  <c r="I1297" i="2"/>
  <c r="J1297" i="2" s="1"/>
  <c r="I1298" i="2"/>
  <c r="J1298" i="2" s="1"/>
  <c r="I1299" i="2"/>
  <c r="J1299" i="2" s="1"/>
  <c r="I1300" i="2"/>
  <c r="J1300" i="2" s="1"/>
  <c r="I1301" i="2"/>
  <c r="J1301" i="2" s="1"/>
  <c r="I1302" i="2"/>
  <c r="J1302" i="2" s="1"/>
  <c r="I1303" i="2"/>
  <c r="J1303" i="2" s="1"/>
  <c r="I1304" i="2"/>
  <c r="J1304" i="2" s="1"/>
  <c r="I1305" i="2"/>
  <c r="J1305" i="2" s="1"/>
  <c r="I1306" i="2"/>
  <c r="J1306" i="2" s="1"/>
  <c r="I1307" i="2"/>
  <c r="J1307" i="2" s="1"/>
  <c r="I1308" i="2"/>
  <c r="J1308" i="2" s="1"/>
  <c r="I1309" i="2"/>
  <c r="J1309" i="2" s="1"/>
  <c r="I1310" i="2"/>
  <c r="J1310" i="2" s="1"/>
  <c r="I1311" i="2"/>
  <c r="J1311" i="2" s="1"/>
  <c r="I1312" i="2"/>
  <c r="J1312" i="2" s="1"/>
  <c r="I1313" i="2"/>
  <c r="J1313" i="2" s="1"/>
  <c r="I1314" i="2"/>
  <c r="J1314" i="2" s="1"/>
  <c r="I1315" i="2"/>
  <c r="J1315" i="2" s="1"/>
  <c r="I1316" i="2"/>
  <c r="J1316" i="2" s="1"/>
  <c r="I1317" i="2"/>
  <c r="J1317" i="2" s="1"/>
  <c r="I1318" i="2"/>
  <c r="J1318" i="2" s="1"/>
  <c r="I1319" i="2"/>
  <c r="J1319" i="2" s="1"/>
  <c r="I1320" i="2"/>
  <c r="J1320" i="2" s="1"/>
  <c r="I1321" i="2"/>
  <c r="J1321" i="2" s="1"/>
  <c r="I1322" i="2"/>
  <c r="J1322" i="2" s="1"/>
  <c r="I1323" i="2"/>
  <c r="J1323" i="2" s="1"/>
  <c r="I1324" i="2"/>
  <c r="J1324" i="2" s="1"/>
  <c r="I1325" i="2"/>
  <c r="J1325" i="2" s="1"/>
  <c r="I1326" i="2"/>
  <c r="J1326" i="2" s="1"/>
  <c r="I1327" i="2"/>
  <c r="J1327" i="2" s="1"/>
  <c r="I1328" i="2"/>
  <c r="J1328" i="2" s="1"/>
  <c r="I1329" i="2"/>
  <c r="J1329" i="2" s="1"/>
  <c r="I1330" i="2"/>
  <c r="J1330" i="2" s="1"/>
  <c r="I1331" i="2"/>
  <c r="J1331" i="2" s="1"/>
  <c r="I1332" i="2"/>
  <c r="J1332" i="2" s="1"/>
  <c r="I1333" i="2"/>
  <c r="J1333" i="2" s="1"/>
  <c r="I1334" i="2"/>
  <c r="J1334" i="2" s="1"/>
  <c r="I1335" i="2"/>
  <c r="J1335" i="2" s="1"/>
  <c r="I1336" i="2"/>
  <c r="J1336" i="2" s="1"/>
  <c r="I1337" i="2"/>
  <c r="J1337" i="2" s="1"/>
  <c r="I1338" i="2"/>
  <c r="J1338" i="2" s="1"/>
  <c r="I1339" i="2"/>
  <c r="J1339" i="2" s="1"/>
  <c r="I1340" i="2"/>
  <c r="J1340" i="2" s="1"/>
  <c r="I1341" i="2"/>
  <c r="J1341" i="2" s="1"/>
  <c r="I1342" i="2"/>
  <c r="J1342" i="2" s="1"/>
  <c r="I1343" i="2"/>
  <c r="J1343" i="2" s="1"/>
  <c r="I1344" i="2"/>
  <c r="J1344" i="2" s="1"/>
  <c r="I1345" i="2"/>
  <c r="J1345" i="2" s="1"/>
  <c r="I1346" i="2"/>
  <c r="J1346" i="2" s="1"/>
  <c r="I1347" i="2"/>
  <c r="J1347" i="2" s="1"/>
  <c r="I1348" i="2"/>
  <c r="J1348" i="2" s="1"/>
  <c r="I1349" i="2"/>
  <c r="J1349" i="2" s="1"/>
  <c r="I1350" i="2"/>
  <c r="J1350" i="2" s="1"/>
  <c r="I1351" i="2"/>
  <c r="J1351" i="2" s="1"/>
  <c r="I1352" i="2"/>
  <c r="J1352" i="2" s="1"/>
  <c r="I1353" i="2"/>
  <c r="J1353" i="2" s="1"/>
  <c r="I1354" i="2"/>
  <c r="J1354" i="2" s="1"/>
  <c r="I1355" i="2"/>
  <c r="J1355" i="2" s="1"/>
  <c r="I1356" i="2"/>
  <c r="J1356" i="2" s="1"/>
  <c r="I1357" i="2"/>
  <c r="J1357" i="2" s="1"/>
  <c r="I1358" i="2"/>
  <c r="J1358" i="2" s="1"/>
  <c r="I1359" i="2"/>
  <c r="J1359" i="2" s="1"/>
  <c r="I1360" i="2"/>
  <c r="J1360" i="2" s="1"/>
  <c r="I1361" i="2"/>
  <c r="J1361" i="2" s="1"/>
  <c r="I1362" i="2"/>
  <c r="J1362" i="2" s="1"/>
  <c r="I1363" i="2"/>
  <c r="J1363" i="2" s="1"/>
  <c r="I1364" i="2"/>
  <c r="J1364" i="2" s="1"/>
  <c r="I1365" i="2"/>
  <c r="J1365" i="2" s="1"/>
  <c r="I1366" i="2"/>
  <c r="J1366" i="2" s="1"/>
  <c r="I1367" i="2"/>
  <c r="J1367" i="2" s="1"/>
  <c r="I1368" i="2"/>
  <c r="J1368" i="2" s="1"/>
  <c r="I1369" i="2"/>
  <c r="J1369" i="2" s="1"/>
  <c r="I1370" i="2"/>
  <c r="J1370" i="2" s="1"/>
  <c r="I1371" i="2"/>
  <c r="J1371" i="2" s="1"/>
  <c r="I1372" i="2"/>
  <c r="J1372" i="2" s="1"/>
  <c r="I1373" i="2"/>
  <c r="J1373" i="2" s="1"/>
  <c r="I1374" i="2"/>
  <c r="J1374" i="2" s="1"/>
  <c r="I1375" i="2"/>
  <c r="J1375" i="2" s="1"/>
  <c r="I1376" i="2"/>
  <c r="J1376" i="2" s="1"/>
  <c r="I1377" i="2"/>
  <c r="J1377" i="2" s="1"/>
  <c r="I1378" i="2"/>
  <c r="J1378" i="2" s="1"/>
  <c r="I1379" i="2"/>
  <c r="J1379" i="2" s="1"/>
  <c r="I1380" i="2"/>
  <c r="J1380" i="2" s="1"/>
  <c r="I1381" i="2"/>
  <c r="J1381" i="2" s="1"/>
  <c r="I1382" i="2"/>
  <c r="J1382" i="2" s="1"/>
  <c r="I1383" i="2"/>
  <c r="J1383" i="2" s="1"/>
  <c r="I1384" i="2"/>
  <c r="J1384" i="2" s="1"/>
  <c r="I1385" i="2"/>
  <c r="J1385" i="2" s="1"/>
  <c r="I1386" i="2"/>
  <c r="J1386" i="2" s="1"/>
  <c r="I1387" i="2"/>
  <c r="J1387" i="2" s="1"/>
  <c r="I1388" i="2"/>
  <c r="J1388" i="2" s="1"/>
  <c r="I1389" i="2"/>
  <c r="J1389" i="2" s="1"/>
  <c r="I1390" i="2"/>
  <c r="J1390" i="2" s="1"/>
  <c r="I1391" i="2"/>
  <c r="J1391" i="2" s="1"/>
  <c r="I1392" i="2"/>
  <c r="J1392" i="2" s="1"/>
  <c r="I1393" i="2"/>
  <c r="J1393" i="2" s="1"/>
  <c r="I1394" i="2"/>
  <c r="J1394" i="2" s="1"/>
  <c r="I1395" i="2"/>
  <c r="J1395" i="2" s="1"/>
  <c r="I1396" i="2"/>
  <c r="J1396" i="2" s="1"/>
  <c r="I1397" i="2"/>
  <c r="J1397" i="2" s="1"/>
  <c r="I1398" i="2"/>
  <c r="J1398" i="2" s="1"/>
  <c r="I1399" i="2"/>
  <c r="J1399" i="2" s="1"/>
  <c r="I1400" i="2"/>
  <c r="J1400" i="2" s="1"/>
  <c r="I1401" i="2"/>
  <c r="J1401" i="2" s="1"/>
  <c r="I1402" i="2"/>
  <c r="J1402" i="2" s="1"/>
  <c r="I1403" i="2"/>
  <c r="J1403" i="2" s="1"/>
  <c r="I1404" i="2"/>
  <c r="J1404" i="2" s="1"/>
  <c r="I1405" i="2"/>
  <c r="J1405" i="2" s="1"/>
  <c r="I1406" i="2"/>
  <c r="J1406" i="2" s="1"/>
  <c r="I1407" i="2"/>
  <c r="J1407" i="2" s="1"/>
  <c r="I1408" i="2"/>
  <c r="J1408" i="2" s="1"/>
  <c r="I1409" i="2"/>
  <c r="J1409" i="2" s="1"/>
  <c r="I1410" i="2"/>
  <c r="J1410" i="2" s="1"/>
  <c r="I1411" i="2"/>
  <c r="J1411" i="2" s="1"/>
  <c r="I1412" i="2"/>
  <c r="J1412" i="2" s="1"/>
  <c r="I1413" i="2"/>
  <c r="J1413" i="2" s="1"/>
  <c r="I1414" i="2"/>
  <c r="J1414" i="2" s="1"/>
  <c r="I1415" i="2"/>
  <c r="J1415" i="2" s="1"/>
  <c r="I1416" i="2"/>
  <c r="J1416" i="2" s="1"/>
  <c r="I1417" i="2"/>
  <c r="J1417" i="2" s="1"/>
  <c r="I1418" i="2"/>
  <c r="J1418" i="2" s="1"/>
  <c r="I1419" i="2"/>
  <c r="J1419" i="2" s="1"/>
  <c r="I1420" i="2"/>
  <c r="J1420" i="2" s="1"/>
  <c r="I1421" i="2"/>
  <c r="J1421" i="2" s="1"/>
  <c r="I1422" i="2"/>
  <c r="J1422" i="2" s="1"/>
  <c r="I1423" i="2"/>
  <c r="J1423" i="2" s="1"/>
  <c r="I1424" i="2"/>
  <c r="J1424" i="2" s="1"/>
  <c r="I1425" i="2"/>
  <c r="J1425" i="2" s="1"/>
  <c r="I1426" i="2"/>
  <c r="J1426" i="2" s="1"/>
  <c r="I1427" i="2"/>
  <c r="J1427" i="2" s="1"/>
  <c r="I1428" i="2"/>
  <c r="J1428" i="2" s="1"/>
  <c r="I1429" i="2"/>
  <c r="J1429" i="2" s="1"/>
  <c r="I1430" i="2"/>
  <c r="J1430" i="2" s="1"/>
  <c r="I1431" i="2"/>
  <c r="J1431" i="2" s="1"/>
  <c r="I1432" i="2"/>
  <c r="J1432" i="2" s="1"/>
  <c r="I1433" i="2"/>
  <c r="J1433" i="2" s="1"/>
  <c r="I1434" i="2"/>
  <c r="J1434" i="2" s="1"/>
  <c r="I1435" i="2"/>
  <c r="J1435" i="2" s="1"/>
  <c r="I1436" i="2"/>
  <c r="J1436" i="2" s="1"/>
  <c r="I1437" i="2"/>
  <c r="J1437" i="2" s="1"/>
  <c r="I1438" i="2"/>
  <c r="J1438" i="2" s="1"/>
  <c r="I1439" i="2"/>
  <c r="J1439" i="2" s="1"/>
  <c r="I1440" i="2"/>
  <c r="J1440" i="2" s="1"/>
  <c r="I1441" i="2"/>
  <c r="J1441" i="2" s="1"/>
  <c r="I1442" i="2"/>
  <c r="J1442" i="2" s="1"/>
  <c r="I1443" i="2"/>
  <c r="J1443" i="2" s="1"/>
  <c r="I1444" i="2"/>
  <c r="J1444" i="2" s="1"/>
  <c r="I1445" i="2"/>
  <c r="J1445" i="2" s="1"/>
  <c r="I1446" i="2"/>
  <c r="J1446" i="2" s="1"/>
  <c r="I1447" i="2"/>
  <c r="J1447" i="2" s="1"/>
  <c r="I1448" i="2"/>
  <c r="J1448" i="2" s="1"/>
  <c r="I1449" i="2"/>
  <c r="J1449" i="2" s="1"/>
  <c r="I1450" i="2"/>
  <c r="J1450" i="2" s="1"/>
  <c r="I1451" i="2"/>
  <c r="J1451" i="2" s="1"/>
  <c r="I1452" i="2"/>
  <c r="J1452" i="2" s="1"/>
  <c r="I1453" i="2"/>
  <c r="J1453" i="2" s="1"/>
  <c r="I1454" i="2"/>
  <c r="J1454" i="2" s="1"/>
  <c r="I1455" i="2"/>
  <c r="J1455" i="2" s="1"/>
  <c r="I1456" i="2"/>
  <c r="J1456" i="2" s="1"/>
  <c r="I1457" i="2"/>
  <c r="J1457" i="2" s="1"/>
  <c r="I1458" i="2"/>
  <c r="J1458" i="2" s="1"/>
  <c r="I1459" i="2"/>
  <c r="J1459" i="2" s="1"/>
  <c r="I1460" i="2"/>
  <c r="J1460" i="2" s="1"/>
  <c r="I1461" i="2"/>
  <c r="J1461" i="2" s="1"/>
  <c r="I1462" i="2"/>
  <c r="J1462" i="2" s="1"/>
  <c r="I1463" i="2"/>
  <c r="J1463" i="2" s="1"/>
  <c r="I1464" i="2"/>
  <c r="J1464" i="2" s="1"/>
  <c r="I1465" i="2"/>
  <c r="J1465" i="2" s="1"/>
  <c r="I1466" i="2"/>
  <c r="J1466" i="2" s="1"/>
  <c r="I1467" i="2"/>
  <c r="J1467" i="2" s="1"/>
  <c r="I1468" i="2"/>
  <c r="J1468" i="2" s="1"/>
  <c r="I1469" i="2"/>
  <c r="J1469" i="2" s="1"/>
  <c r="I1470" i="2"/>
  <c r="J1470" i="2" s="1"/>
  <c r="I1471" i="2"/>
  <c r="J1471" i="2" s="1"/>
  <c r="I2" i="2"/>
  <c r="J2" i="2" s="1"/>
  <c r="B12" i="4" l="1"/>
  <c r="B15" i="4"/>
  <c r="B14" i="4"/>
  <c r="B13" i="4"/>
  <c r="B7" i="3"/>
  <c r="B2" i="3"/>
  <c r="B23" i="3"/>
  <c r="C12" i="4" s="1"/>
  <c r="C23" i="3"/>
  <c r="C26" i="3"/>
  <c r="D15" i="4" s="1"/>
  <c r="C25" i="3"/>
  <c r="D14" i="4" s="1"/>
  <c r="C24" i="3"/>
  <c r="D13" i="4" s="1"/>
  <c r="B26" i="3"/>
  <c r="C15" i="4" s="1"/>
  <c r="B25" i="3"/>
  <c r="C14" i="4" s="1"/>
  <c r="B24" i="3"/>
  <c r="C13" i="4" s="1"/>
  <c r="B17" i="3"/>
  <c r="G16" i="3"/>
  <c r="H15" i="3"/>
  <c r="G15" i="3"/>
  <c r="D15" i="3"/>
  <c r="J15" i="3"/>
  <c r="J12" i="4" s="1"/>
  <c r="F15" i="3"/>
  <c r="E16" i="3"/>
  <c r="H17" i="3"/>
  <c r="C17" i="3"/>
  <c r="H16" i="3"/>
  <c r="C16" i="3"/>
  <c r="F17" i="3"/>
  <c r="F16" i="3"/>
  <c r="I17" i="3"/>
  <c r="D17" i="3"/>
  <c r="I16" i="3"/>
  <c r="D16" i="3"/>
  <c r="G17" i="3"/>
  <c r="B16" i="3"/>
  <c r="E17" i="3"/>
  <c r="D23" i="3" l="1"/>
  <c r="D12" i="4"/>
  <c r="D24" i="3"/>
  <c r="D25" i="3"/>
  <c r="D26" i="3"/>
  <c r="J17" i="3"/>
  <c r="J1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<sst xmlns="http://schemas.openxmlformats.org/spreadsheetml/2006/main" count="19197" uniqueCount="104">
  <si>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</si>
  <si>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</si>
  <si>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</si>
  <si>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</si>
  <si>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</si>
  <si>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</si>
  <si>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</si>
  <si>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</si>
  <si>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</si>
  <si>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</si>
  <si>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</si>
  <si>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</si>
  <si>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</si>
  <si>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</si>
  <si>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</si>
  <si>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</si>
  <si>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</si>
  <si>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</si>
  <si>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</si>
  <si>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</si>
  <si>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</si>
  <si>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</si>
  <si>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</si>
  <si>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</si>
  <si>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</si>
  <si>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</si>
  <si>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</si>
  <si>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</si>
  <si>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</si>
  <si>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</si>
  <si>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</si>
  <si>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</si>
  <si>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</si>
  <si>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</si>
  <si>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</si>
  <si>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</si>
  <si>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</si>
  <si>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</si>
  <si>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</si>
  <si>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</si>
  <si>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</si>
  <si>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</si>
  <si>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</si>
  <si>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</si>
  <si>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</si>
  <si>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</si>
  <si>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</si>
  <si>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</si>
  <si>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</si>
  <si>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</si>
  <si>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</si>
  <si>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</si>
  <si>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</si>
  <si>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</si>
  <si>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</si>
  <si>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</si>
  <si>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</si>
  <si>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</si>
  <si>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</si>
  <si>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</si>
  <si>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</si>
  <si>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</si>
  <si>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Tax</t>
  </si>
  <si>
    <t>Take Home</t>
  </si>
  <si>
    <t>Maximum Salary</t>
  </si>
  <si>
    <t>Gross Salary</t>
  </si>
  <si>
    <t>Take Home Pay</t>
  </si>
  <si>
    <t>Average Salary</t>
  </si>
  <si>
    <t>Average Take Home</t>
  </si>
  <si>
    <t>Maximum Take Home</t>
  </si>
  <si>
    <t>Total Salary</t>
  </si>
  <si>
    <t>Total Take Home</t>
  </si>
  <si>
    <t>Tax Burden %</t>
  </si>
  <si>
    <t>Minimum Salary</t>
  </si>
  <si>
    <t>Minimum Take Home</t>
  </si>
  <si>
    <t>EmployeeID</t>
  </si>
  <si>
    <t>AgeBand</t>
  </si>
  <si>
    <t>Attrition Risk by Age Band</t>
  </si>
  <si>
    <t>Age Band</t>
  </si>
  <si>
    <t>Total Employee</t>
  </si>
  <si>
    <t>Left (Yes)</t>
  </si>
  <si>
    <t>Attrition Rate</t>
  </si>
  <si>
    <t>Department salary audit</t>
  </si>
  <si>
    <t>TenureBucket</t>
  </si>
  <si>
    <t>Total Employees</t>
  </si>
  <si>
    <t>Departments</t>
  </si>
  <si>
    <t>Avg Monthly Income</t>
  </si>
  <si>
    <t>Avg Take Home Pay</t>
  </si>
  <si>
    <t>Highest Attrition Band</t>
  </si>
  <si>
    <t>Most Stable Band</t>
  </si>
  <si>
    <t>Highest Paid Dept</t>
  </si>
  <si>
    <t>Lowest Paid Dept</t>
  </si>
  <si>
    <t>IBM HR EMPLOYMENT  OVERVIEW</t>
  </si>
  <si>
    <t>Employee</t>
  </si>
  <si>
    <t>Left</t>
  </si>
  <si>
    <t>Attrition %</t>
  </si>
  <si>
    <t>Salary Range Audit</t>
  </si>
  <si>
    <t>Min Salary</t>
  </si>
  <si>
    <t>Max Salary</t>
  </si>
  <si>
    <t>Spread</t>
  </si>
  <si>
    <t>Department Average Salary</t>
  </si>
  <si>
    <t>Department Salary Analysis</t>
  </si>
  <si>
    <t>Difference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</si>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</sst>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3" tint="0.499984740745262"/>
      <name val="Aptos Narrow"/>
      <scheme val="minor"/>
    </font>
    <font>
      <b/>
      <sz val="11"/>
      <name val="Aptos Narrow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64" fontId="0" fillId="0" borderId="0" xfId="0" applyNumberFormat="1"/>
    <xf numFmtId="9" fontId="0" fillId="0" borderId="0" xfId="43" applyFont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18" fillId="0" borderId="10" xfId="0" applyFont="1" applyBorder="1"/>
    <xf numFmtId="164" fontId="0" fillId="0" borderId="10" xfId="0" applyNumberFormat="1" applyBorder="1"/>
    <xf numFmtId="9" fontId="0" fillId="0" borderId="10" xfId="43" applyFont="1" applyBorder="1"/>
    <xf numFmtId="0" fontId="18" fillId="0" borderId="0" xfId="0" applyFont="1" applyAlignment="1">
      <alignment horizontal="centerContinuous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42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0" fillId="33" borderId="10" xfId="0" applyFill="1" applyBorder="1"/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Continuous"/>
    </xf>
    <xf numFmtId="0" fontId="0" fillId="0" borderId="16" xfId="0" applyBorder="1"/>
    <xf numFmtId="0" fontId="0" fillId="0" borderId="17" xfId="0" applyBorder="1"/>
    <xf numFmtId="0" fontId="20" fillId="33" borderId="15" xfId="0" applyFont="1" applyFill="1" applyBorder="1"/>
    <xf numFmtId="0" fontId="20" fillId="33" borderId="18" xfId="0" applyFont="1" applyFill="1" applyBorder="1"/>
    <xf numFmtId="164" fontId="20" fillId="33" borderId="18" xfId="0" applyNumberFormat="1" applyFont="1" applyFill="1" applyBorder="1"/>
    <xf numFmtId="164" fontId="20" fillId="33" borderId="13" xfId="0" applyNumberFormat="1" applyFont="1" applyFill="1" applyBorder="1"/>
    <xf numFmtId="0" fontId="0" fillId="0" borderId="19" xfId="0" applyBorder="1"/>
    <xf numFmtId="164" fontId="0" fillId="0" borderId="19" xfId="0" applyNumberFormat="1" applyBorder="1"/>
    <xf numFmtId="0" fontId="18" fillId="33" borderId="17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164" fontId="0" fillId="0" borderId="16" xfId="0" applyNumberFormat="1" applyBorder="1"/>
    <xf numFmtId="164" fontId="0" fillId="0" borderId="21" xfId="0" applyNumberFormat="1" applyBorder="1"/>
    <xf numFmtId="164" fontId="0" fillId="0" borderId="17" xfId="0" applyNumberFormat="1" applyBorder="1"/>
    <xf numFmtId="164" fontId="0" fillId="0" borderId="20" xfId="0" applyNumberFormat="1" applyBorder="1"/>
    <xf numFmtId="9" fontId="18" fillId="0" borderId="0" xfId="43" applyFont="1"/>
    <xf numFmtId="0" fontId="21" fillId="0" borderId="0" xfId="0" applyFont="1"/>
    <xf numFmtId="0" fontId="18" fillId="34" borderId="23" xfId="0" applyFont="1" applyFill="1" applyBorder="1" applyAlignment="1">
      <alignment horizontal="center" vertical="center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/>
    </xf>
    <xf numFmtId="0" fontId="18" fillId="35" borderId="0" xfId="0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164" fontId="0" fillId="0" borderId="24" xfId="0" applyNumberFormat="1" applyBorder="1" applyAlignment="1">
      <alignment horizontal="right" vertical="center"/>
    </xf>
    <xf numFmtId="164" fontId="0" fillId="0" borderId="25" xfId="0" applyNumberFormat="1" applyBorder="1" applyAlignment="1">
      <alignment horizontal="right" vertical="center"/>
    </xf>
    <xf numFmtId="0" fontId="18" fillId="34" borderId="22" xfId="0" applyFont="1" applyFill="1" applyBorder="1" applyAlignment="1">
      <alignment horizontal="center" vertical="center"/>
    </xf>
    <xf numFmtId="164" fontId="0" fillId="0" borderId="22" xfId="0" applyNumberFormat="1" applyBorder="1"/>
    <xf numFmtId="0" fontId="20" fillId="34" borderId="22" xfId="0" applyFont="1" applyFill="1" applyBorder="1" applyAlignment="1">
      <alignment horizontal="center" vertical="center"/>
    </xf>
    <xf numFmtId="164" fontId="20" fillId="34" borderId="22" xfId="0" applyNumberFormat="1" applyFont="1" applyFill="1" applyBorder="1" applyAlignment="1">
      <alignment horizontal="center" vertical="center"/>
    </xf>
    <xf numFmtId="9" fontId="20" fillId="34" borderId="22" xfId="43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164" fontId="0" fillId="0" borderId="22" xfId="0" applyNumberFormat="1" applyBorder="1" applyAlignment="1">
      <alignment horizontal="right" vertical="center"/>
    </xf>
    <xf numFmtId="9" fontId="0" fillId="0" borderId="22" xfId="43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35" borderId="26" xfId="0" applyFill="1" applyBorder="1"/>
    <xf numFmtId="0" fontId="18" fillId="33" borderId="10" xfId="0" applyFont="1" applyFill="1" applyBorder="1" applyAlignment="1">
      <alignment horizontal="center"/>
    </xf>
    <xf numFmtId="0" fontId="18" fillId="33" borderId="17" xfId="0" applyFont="1" applyFill="1" applyBorder="1" applyAlignment="1">
      <alignment horizontal="center"/>
    </xf>
    <xf numFmtId="0" fontId="18" fillId="33" borderId="20" xfId="0" applyFont="1" applyFill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8" fillId="33" borderId="14" xfId="0" applyFon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auto="1"/>
      </font>
      <fill>
        <patternFill>
          <bgColor theme="0" tint="-0.14996795556505021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minor"/>
      </font>
      <numFmt numFmtId="164" formatCode="&quot;$&quot;#,##0.00"/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C7F6B52-38B3-46F3-A532-4D7E2ABC78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8</xdr:row>
      <xdr:rowOff>129540</xdr:rowOff>
    </xdr:from>
    <xdr:to>
      <xdr:col>5</xdr:col>
      <xdr:colOff>76200</xdr:colOff>
      <xdr:row>15</xdr:row>
      <xdr:rowOff>137160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AE1FD25-94BD-B55A-E0EA-8D1D4C9F6A61}"/>
            </a:ext>
          </a:extLst>
        </xdr:cNvPr>
        <xdr:cNvSpPr txBox="1"/>
      </xdr:nvSpPr>
      <xdr:spPr>
        <a:xfrm>
          <a:off x="464820" y="1531620"/>
          <a:ext cx="6309360" cy="17830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1</xdr:col>
      <xdr:colOff>0</xdr:colOff>
      <xdr:row>0</xdr:row>
      <xdr:rowOff>114300</xdr:rowOff>
    </xdr:from>
    <xdr:to>
      <xdr:col>9</xdr:col>
      <xdr:colOff>1546860</xdr:colOff>
      <xdr:row>7</xdr:row>
      <xdr:rowOff>99060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06BB9FAE-9C2B-43D5-8C8E-BE8D7B493D55}"/>
            </a:ext>
          </a:extLst>
        </xdr:cNvPr>
        <xdr:cNvGrpSpPr/>
      </xdr:nvGrpSpPr>
      <xdr:grpSpPr>
        <a:xfrm>
          <a:off x="480060" y="114300"/>
          <a:ext cx="13152120" cy="1211580"/>
          <a:chOff x="746760" y="251460"/>
          <a:chExt cx="12793980" cy="1211580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E00858EB-806C-82A3-8113-E2358FE67F0B}"/>
              </a:ext>
            </a:extLst>
          </xdr:cNvPr>
          <xdr:cNvSpPr txBox="1"/>
        </xdr:nvSpPr>
        <xdr:spPr>
          <a:xfrm>
            <a:off x="746760" y="251460"/>
            <a:ext cx="12793980" cy="12115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IBM</a:t>
            </a:r>
            <a:r>
              <a:rPr lang="en-US" sz="1400" b="1" baseline="0"/>
              <a:t> HR EMPLOYEE   </a:t>
            </a:r>
            <a:r>
              <a:rPr lang="en-US" sz="1400" baseline="0"/>
              <a:t>OVERVIEW</a:t>
            </a:r>
            <a:endParaRPr lang="en-US" sz="1400"/>
          </a:p>
        </xdr:txBody>
      </xdr:sp>
      <xdr:sp macro="" textlink="'Clean Summary Table'!B2">
        <xdr:nvSpPr>
          <xdr:cNvPr id="33" name="TextBox 32">
            <a:extLst>
              <a:ext uri="{FF2B5EF4-FFF2-40B4-BE49-F238E27FC236}">
                <a16:creationId xmlns:a16="http://schemas.microsoft.com/office/drawing/2014/main" id="{0A055A6E-06AE-15BF-50C9-077EE274C1BD}"/>
              </a:ext>
            </a:extLst>
          </xdr:cNvPr>
          <xdr:cNvSpPr txBox="1"/>
        </xdr:nvSpPr>
        <xdr:spPr>
          <a:xfrm>
            <a:off x="1074420" y="624840"/>
            <a:ext cx="1584960" cy="685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95E5C55-B12B-4042-937E-093D0EFC2811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 1,470 </a:t>
            </a:fld>
            <a:endParaRPr lang="en-US" sz="2000" b="1"/>
          </a:p>
        </xdr:txBody>
      </xdr:sp>
      <xdr:sp macro="" textlink="'Clean Summary Table'!B4">
        <xdr:nvSpPr>
          <xdr:cNvPr id="34" name="TextBox 33">
            <a:extLst>
              <a:ext uri="{FF2B5EF4-FFF2-40B4-BE49-F238E27FC236}">
                <a16:creationId xmlns:a16="http://schemas.microsoft.com/office/drawing/2014/main" id="{FB7CD43F-4176-E1C4-A238-A8E877613A14}"/>
              </a:ext>
            </a:extLst>
          </xdr:cNvPr>
          <xdr:cNvSpPr txBox="1"/>
        </xdr:nvSpPr>
        <xdr:spPr>
          <a:xfrm>
            <a:off x="3215640" y="624840"/>
            <a:ext cx="1584960" cy="685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90952AE-0BCD-4CBA-8294-7CE62D7C5F84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$6,502.93</a:t>
            </a:fld>
            <a:endParaRPr lang="en-US" sz="2000" b="1"/>
          </a:p>
        </xdr:txBody>
      </xdr:sp>
      <xdr:sp macro="" textlink="'Clean Summary Table'!B5">
        <xdr:nvSpPr>
          <xdr:cNvPr id="35" name="TextBox 34">
            <a:extLst>
              <a:ext uri="{FF2B5EF4-FFF2-40B4-BE49-F238E27FC236}">
                <a16:creationId xmlns:a16="http://schemas.microsoft.com/office/drawing/2014/main" id="{72F8C343-0843-A25C-0539-C928FFD2696E}"/>
              </a:ext>
            </a:extLst>
          </xdr:cNvPr>
          <xdr:cNvSpPr txBox="1"/>
        </xdr:nvSpPr>
        <xdr:spPr>
          <a:xfrm>
            <a:off x="5349240" y="624840"/>
            <a:ext cx="1584960" cy="685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D8E082F-9226-4ECF-8C55-B3B481A61EEF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$5,148.34</a:t>
            </a:fld>
            <a:endParaRPr lang="en-US" sz="2000" b="1"/>
          </a:p>
        </xdr:txBody>
      </xdr:sp>
      <xdr:sp macro="" textlink="'Clean Summary Table'!B3">
        <xdr:nvSpPr>
          <xdr:cNvPr id="36" name="TextBox 35">
            <a:extLst>
              <a:ext uri="{FF2B5EF4-FFF2-40B4-BE49-F238E27FC236}">
                <a16:creationId xmlns:a16="http://schemas.microsoft.com/office/drawing/2014/main" id="{EDF5D867-0236-9962-C602-48B53D9AB8DA}"/>
              </a:ext>
            </a:extLst>
          </xdr:cNvPr>
          <xdr:cNvSpPr txBox="1"/>
        </xdr:nvSpPr>
        <xdr:spPr>
          <a:xfrm>
            <a:off x="7467600" y="624840"/>
            <a:ext cx="1584960" cy="685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2CAD124-E1A6-4666-A4B0-FCC3999F4BF5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3</a:t>
            </a:fld>
            <a:endParaRPr lang="en-US" sz="2000" b="1"/>
          </a:p>
        </xdr:txBody>
      </xdr:sp>
      <xdr:sp macro="" textlink="'Clean Summary Table'!B7">
        <xdr:nvSpPr>
          <xdr:cNvPr id="37" name="TextBox 36">
            <a:extLst>
              <a:ext uri="{FF2B5EF4-FFF2-40B4-BE49-F238E27FC236}">
                <a16:creationId xmlns:a16="http://schemas.microsoft.com/office/drawing/2014/main" id="{6A0277EB-E879-5259-AE3E-B0D603633CBE}"/>
              </a:ext>
            </a:extLst>
          </xdr:cNvPr>
          <xdr:cNvSpPr txBox="1"/>
        </xdr:nvSpPr>
        <xdr:spPr>
          <a:xfrm>
            <a:off x="9479280" y="624840"/>
            <a:ext cx="1584960" cy="685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6350E7A8-8E77-48D1-A05F-42877BC7E5FE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40-49</a:t>
            </a:fld>
            <a:endParaRPr lang="en-US" sz="2000" b="1"/>
          </a:p>
        </xdr:txBody>
      </xdr:sp>
      <xdr:sp macro="" textlink="'Clean Summary Table'!B6">
        <xdr:nvSpPr>
          <xdr:cNvPr id="38" name="TextBox 37">
            <a:extLst>
              <a:ext uri="{FF2B5EF4-FFF2-40B4-BE49-F238E27FC236}">
                <a16:creationId xmlns:a16="http://schemas.microsoft.com/office/drawing/2014/main" id="{6A5AD717-017F-AF64-80F8-89D10AD26B6C}"/>
              </a:ext>
            </a:extLst>
          </xdr:cNvPr>
          <xdr:cNvSpPr txBox="1"/>
        </xdr:nvSpPr>
        <xdr:spPr>
          <a:xfrm>
            <a:off x="11567160" y="624840"/>
            <a:ext cx="1584960" cy="6858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233D3907-5B75-4432-8B82-B9E58C839C87}" type="TxLink">
              <a:rPr lang="en-US" sz="2000" b="1" i="0" u="none" strike="noStrike">
                <a:solidFill>
                  <a:srgbClr val="000000"/>
                </a:solidFill>
                <a:latin typeface="Aptos Narrow"/>
              </a:rPr>
              <a:pPr algn="ctr"/>
              <a:t>20-29</a:t>
            </a:fld>
            <a:endParaRPr lang="en-US" sz="2000" b="1"/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205CF3FA-1230-8664-807F-2A95C5E5C02A}"/>
              </a:ext>
            </a:extLst>
          </xdr:cNvPr>
          <xdr:cNvSpPr txBox="1"/>
        </xdr:nvSpPr>
        <xdr:spPr>
          <a:xfrm>
            <a:off x="1219200" y="967740"/>
            <a:ext cx="127254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Total</a:t>
            </a:r>
            <a:r>
              <a:rPr lang="en-US" sz="1200" baseline="0">
                <a:solidFill>
                  <a:schemeClr val="bg1">
                    <a:lumMod val="50000"/>
                  </a:schemeClr>
                </a:solidFill>
              </a:rPr>
              <a:t> Employees</a:t>
            </a:r>
            <a:endParaRPr lang="en-US" sz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5711AA4-A783-3B23-49F6-5DFE913A9D82}"/>
              </a:ext>
            </a:extLst>
          </xdr:cNvPr>
          <xdr:cNvSpPr txBox="1"/>
        </xdr:nvSpPr>
        <xdr:spPr>
          <a:xfrm>
            <a:off x="3352800" y="990600"/>
            <a:ext cx="127254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Avg</a:t>
            </a:r>
            <a:r>
              <a:rPr lang="en-US" sz="1200" baseline="0">
                <a:solidFill>
                  <a:schemeClr val="bg1">
                    <a:lumMod val="50000"/>
                  </a:schemeClr>
                </a:solidFill>
              </a:rPr>
              <a:t> Salaray</a:t>
            </a:r>
            <a:endParaRPr lang="en-US" sz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4B6FA0FF-FE18-495F-5C26-DBCEAF195A60}"/>
              </a:ext>
            </a:extLst>
          </xdr:cNvPr>
          <xdr:cNvSpPr txBox="1"/>
        </xdr:nvSpPr>
        <xdr:spPr>
          <a:xfrm>
            <a:off x="5509260" y="967740"/>
            <a:ext cx="127254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Avg Take Home</a:t>
            </a:r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86A229ED-4494-BD96-22DE-754C1FB1A6F3}"/>
              </a:ext>
            </a:extLst>
          </xdr:cNvPr>
          <xdr:cNvSpPr txBox="1"/>
        </xdr:nvSpPr>
        <xdr:spPr>
          <a:xfrm>
            <a:off x="7635240" y="967740"/>
            <a:ext cx="127254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Departments</a:t>
            </a: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91E59D0E-33F5-8B9C-EBBB-30442CC8BB00}"/>
              </a:ext>
            </a:extLst>
          </xdr:cNvPr>
          <xdr:cNvSpPr txBox="1"/>
        </xdr:nvSpPr>
        <xdr:spPr>
          <a:xfrm>
            <a:off x="9646920" y="967740"/>
            <a:ext cx="1272540" cy="236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Most Stable</a:t>
            </a: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FB36C884-5816-6711-76F1-39532DD1144E}"/>
              </a:ext>
            </a:extLst>
          </xdr:cNvPr>
          <xdr:cNvSpPr txBox="1"/>
        </xdr:nvSpPr>
        <xdr:spPr>
          <a:xfrm>
            <a:off x="11605260" y="960120"/>
            <a:ext cx="1539240" cy="3276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solidFill>
                  <a:schemeClr val="bg1">
                    <a:lumMod val="50000"/>
                  </a:schemeClr>
                </a:solidFill>
              </a:rPr>
              <a:t>Highest Attrition Rate</a:t>
            </a:r>
          </a:p>
        </xdr:txBody>
      </xdr:sp>
    </xdr:grpSp>
    <xdr:clientData/>
  </xdr:twoCellAnchor>
  <xdr:twoCellAnchor>
    <xdr:from>
      <xdr:col>5</xdr:col>
      <xdr:colOff>579748</xdr:colOff>
      <xdr:row>20</xdr:row>
      <xdr:rowOff>175260</xdr:rowOff>
    </xdr:from>
    <xdr:to>
      <xdr:col>7</xdr:col>
      <xdr:colOff>1241170</xdr:colOff>
      <xdr:row>29</xdr:row>
      <xdr:rowOff>22860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3D87FCC-E7C4-A998-4E28-95703EEAE1A6}"/>
            </a:ext>
          </a:extLst>
        </xdr:cNvPr>
        <xdr:cNvSpPr txBox="1"/>
      </xdr:nvSpPr>
      <xdr:spPr>
        <a:xfrm>
          <a:off x="7277728" y="4808220"/>
          <a:ext cx="2924562" cy="1836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Key</a:t>
          </a:r>
          <a:r>
            <a:rPr lang="en-US" sz="1100" b="1" baseline="0"/>
            <a:t> Insights</a:t>
          </a:r>
        </a:p>
        <a:p>
          <a:r>
            <a:rPr lang="en-US" sz="1100" b="1" baseline="0"/>
            <a:t>- </a:t>
          </a:r>
          <a:r>
            <a:rPr lang="en-US" sz="1100" b="0" baseline="0"/>
            <a:t>Employees aged 20-29 has the highest Attrition   </a:t>
          </a:r>
        </a:p>
        <a:p>
          <a:r>
            <a:rPr lang="en-US" sz="1100" b="0" baseline="0"/>
            <a:t>  Rate (28%)</a:t>
          </a:r>
        </a:p>
        <a:p>
          <a:r>
            <a:rPr lang="en-US" sz="1100" b="1" baseline="0"/>
            <a:t>- </a:t>
          </a:r>
          <a:r>
            <a:rPr lang="en-US" sz="1100" b="0" baseline="0"/>
            <a:t>Research &amp; Development is the highest payng </a:t>
          </a:r>
        </a:p>
        <a:p>
          <a:r>
            <a:rPr lang="en-US" sz="1100" b="0" baseline="0"/>
            <a:t>  Department (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$6,036,284.00</a:t>
          </a:r>
          <a:r>
            <a:rPr lang="en-US"/>
            <a:t>)</a:t>
          </a:r>
        </a:p>
        <a:p>
          <a:r>
            <a:rPr lang="en-US" sz="1100" b="1" baseline="0"/>
            <a:t>- </a:t>
          </a:r>
          <a:r>
            <a:rPr lang="en-US" sz="1100" b="0" baseline="0"/>
            <a:t>Middle Career Employees (40-49) are more </a:t>
          </a:r>
        </a:p>
        <a:p>
          <a:r>
            <a:rPr lang="en-US" sz="1100" b="0" baseline="0"/>
            <a:t>   stable (10% Attrition)</a:t>
          </a:r>
        </a:p>
        <a:p>
          <a:r>
            <a:rPr lang="en-US" sz="1100" b="1" baseline="0"/>
            <a:t>- </a:t>
          </a:r>
          <a:r>
            <a:rPr lang="en-US" sz="1100" b="0" baseline="0"/>
            <a:t>Human Resources has the highest Tax Burden </a:t>
          </a:r>
        </a:p>
        <a:p>
          <a:r>
            <a:rPr lang="en-US" sz="1100" b="0" baseline="0"/>
            <a:t>  (22%)</a:t>
          </a:r>
        </a:p>
        <a:p>
          <a:endParaRPr lang="en-US" sz="1100" b="1"/>
        </a:p>
      </xdr:txBody>
    </xdr:sp>
    <xdr:clientData/>
  </xdr:twoCellAnchor>
  <xdr:twoCellAnchor>
    <xdr:from>
      <xdr:col>7</xdr:col>
      <xdr:colOff>1325880</xdr:colOff>
      <xdr:row>20</xdr:row>
      <xdr:rowOff>175260</xdr:rowOff>
    </xdr:from>
    <xdr:to>
      <xdr:col>10</xdr:col>
      <xdr:colOff>68580</xdr:colOff>
      <xdr:row>29</xdr:row>
      <xdr:rowOff>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4966A94-1DE5-362B-7484-26E35D1D85CB}"/>
            </a:ext>
          </a:extLst>
        </xdr:cNvPr>
        <xdr:cNvSpPr txBox="1"/>
      </xdr:nvSpPr>
      <xdr:spPr>
        <a:xfrm>
          <a:off x="10287000" y="4808220"/>
          <a:ext cx="3429000" cy="181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Business insight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IBM should invest more in retention strategies for younger employees — better career growth opportunities, mentorship programs, or compensation reviews for entry-level roles could reduce early attrition.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 should investigate exit interview data for the 20-29 group to understand the root cause of departure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441960</xdr:colOff>
      <xdr:row>17</xdr:row>
      <xdr:rowOff>106680</xdr:rowOff>
    </xdr:from>
    <xdr:to>
      <xdr:col>5</xdr:col>
      <xdr:colOff>53340</xdr:colOff>
      <xdr:row>22</xdr:row>
      <xdr:rowOff>160020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5898521-9727-C985-7A62-3D9109604134}"/>
            </a:ext>
          </a:extLst>
        </xdr:cNvPr>
        <xdr:cNvSpPr txBox="1"/>
      </xdr:nvSpPr>
      <xdr:spPr>
        <a:xfrm>
          <a:off x="441960" y="3771900"/>
          <a:ext cx="6309360" cy="178308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5</xdr:col>
      <xdr:colOff>624840</xdr:colOff>
      <xdr:row>8</xdr:row>
      <xdr:rowOff>129540</xdr:rowOff>
    </xdr:from>
    <xdr:to>
      <xdr:col>10</xdr:col>
      <xdr:colOff>60960</xdr:colOff>
      <xdr:row>14</xdr:row>
      <xdr:rowOff>106680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C8C2675-4DF9-2A41-CA26-8DF4A2B1E107}"/>
            </a:ext>
          </a:extLst>
        </xdr:cNvPr>
        <xdr:cNvSpPr txBox="1"/>
      </xdr:nvSpPr>
      <xdr:spPr>
        <a:xfrm>
          <a:off x="7322820" y="1531620"/>
          <a:ext cx="6385560" cy="14859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5</xdr:col>
      <xdr:colOff>624840</xdr:colOff>
      <xdr:row>15</xdr:row>
      <xdr:rowOff>7620</xdr:rowOff>
    </xdr:from>
    <xdr:to>
      <xdr:col>10</xdr:col>
      <xdr:colOff>60960</xdr:colOff>
      <xdr:row>20</xdr:row>
      <xdr:rowOff>121920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27BB0B1-2859-D29D-BDA0-92771125BD05}"/>
            </a:ext>
          </a:extLst>
        </xdr:cNvPr>
        <xdr:cNvSpPr txBox="1"/>
      </xdr:nvSpPr>
      <xdr:spPr>
        <a:xfrm>
          <a:off x="7322820" y="3185160"/>
          <a:ext cx="6385560" cy="15697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051B6-52EF-4058-A5C4-6ADDBC060671}" name="Table2" displayName="Table2" ref="A1:M1471" totalsRowShown="0" headerRowDxfId="17" headerRowBorderDxfId="16" tableBorderDxfId="15" totalsRowBorderDxfId="14">
  <autoFilter ref="A1:M1471" xr:uid="{424051B6-52EF-4058-A5C4-6ADDBC060671}"/>
  <tableColumns count="13">
    <tableColumn id="1" xr3:uid="{09467034-EC33-457C-8E0A-393124560CA4}" name="EmployeeID" dataDxfId="13">
      <calculatedColumnFormula>LEFT(G2,2)&amp;"-"&amp;LEFT(E2,3)&amp;"-"&amp;YEAR(TODAY())-L2&amp;"-"&amp;TEXT(ROW()-1,"000")</calculatedColumnFormula>
    </tableColumn>
    <tableColumn id="2" xr3:uid="{F7542405-427E-482A-BB60-F4242131BCD7}" name="Age" dataDxfId="12"/>
    <tableColumn id="3" xr3:uid="{6F1C2451-98F0-4E9A-A8FA-C6559B8D27AA}" name="AgeBand" dataDxfId="11">
      <calculatedColumnFormula>IF(B2&lt;=29,"20-29",IF(B2&lt;=39,"30-39",IF(B2&lt;=49,"40-49","50+")))</calculatedColumnFormula>
    </tableColumn>
    <tableColumn id="4" xr3:uid="{A5B2C2E0-7D85-42CA-B373-BF9007B2618C}" name="Attrition" dataDxfId="10"/>
    <tableColumn id="5" xr3:uid="{CDF67C05-7A9C-472A-B495-AF5B6BD295AD}" name="Department" dataDxfId="9"/>
    <tableColumn id="6" xr3:uid="{0D03AAF0-F40C-42E7-8EC9-3C8F66A609C5}" name="Gender" dataDxfId="8"/>
    <tableColumn id="7" xr3:uid="{9EF56243-76E6-4DD5-BF20-E6C944C06173}" name="JobRole" dataDxfId="7"/>
    <tableColumn id="8" xr3:uid="{CEE1052A-8A55-4D01-BD9F-ACF4255EF6B8}" name="MonthlyIncome" dataDxfId="6"/>
    <tableColumn id="9" xr3:uid="{E15EB98D-B5BF-4BEE-9488-50A5423269D9}" name="Tax" dataDxfId="5">
      <calculatedColumnFormula>IF(H2&gt;13000,H2*30%,IF(H2&gt;7000,H2*22%,IF(H2&gt;3000,H2*15%,H2*7%)))</calculatedColumnFormula>
    </tableColumn>
    <tableColumn id="10" xr3:uid="{51E889A1-BA9D-4E65-AA21-2BF35CE9FDF5}" name="Take Home" dataDxfId="4">
      <calculatedColumnFormula>H2-I2</calculatedColumnFormula>
    </tableColumn>
    <tableColumn id="11" xr3:uid="{AB13FE79-C2C5-4444-BA1D-9B3672DFDE41}" name="MonthlyRate" dataDxfId="3"/>
    <tableColumn id="12" xr3:uid="{F415D627-DB75-4F71-9E0D-0C21FE47FFE0}" name="YearsAtCompany" dataDxfId="2"/>
    <tableColumn id="13" xr3:uid="{71499607-6367-4F0D-A062-0EED001F57D1}" name="TenureBucket" dataDxfId="1">
      <calculatedColumnFormula array="1">_xlfn.IFS(L2&gt;10,"Veteran",L2&gt;=6,"Experienced",L2&gt;=2,"Developing",L2&gt;=0,"New")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148F-A1BD-4702-98E9-8CF98AE9473D}">
  <dimension ref="A1:AI1471"/>
  <sheetViews>
    <sheetView topLeftCell="K1" zoomScale="91" zoomScaleNormal="91" workbookViewId="0">
      <selection activeCell="R12" sqref="R12"/>
    </sheetView>
  </sheetViews>
  <sheetFormatPr defaultRowHeight="13.8"/>
  <cols>
    <col min="5" max="5" width="21.59765625" bestFit="1" customWidth="1"/>
    <col min="24" max="24" width="15.8984375" bestFit="1" customWidth="1"/>
    <col min="29" max="29" width="16.3984375" bestFit="1" customWidth="1"/>
    <col min="32" max="32" width="14.8984375" bestFit="1" customWidth="1"/>
    <col min="33" max="33" width="16.796875" bestFit="1" customWidth="1"/>
    <col min="34" max="34" width="21.8984375" bestFit="1" customWidth="1"/>
    <col min="35" max="35" width="20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32B6-DEE2-446E-A347-0077F9ED25C5}">
  <dimension ref="A1:M1471"/>
  <sheetViews>
    <sheetView showGridLines="0" view="pageBreakPreview" zoomScale="95" zoomScaleNormal="100" zoomScaleSheetLayoutView="95" workbookViewId="0">
      <selection activeCell="F16" sqref="F16"/>
    </sheetView>
  </sheetViews>
  <sheetFormatPr defaultRowHeight="13.8"/>
  <cols>
    <col min="1" max="1" width="17.09765625" bestFit="1" customWidth="1"/>
    <col min="2" max="2" width="6.09765625" customWidth="1"/>
    <col min="3" max="3" width="10.59765625" customWidth="1"/>
    <col min="4" max="4" width="9.59765625" customWidth="1"/>
    <col min="5" max="5" width="21.59765625" bestFit="1" customWidth="1"/>
    <col min="6" max="6" width="9.09765625" customWidth="1"/>
    <col min="7" max="7" width="22.5" bestFit="1" customWidth="1"/>
    <col min="8" max="8" width="16.09765625" style="1" customWidth="1"/>
    <col min="9" max="9" width="8.8984375" style="1" bestFit="1" customWidth="1"/>
    <col min="10" max="10" width="12.5" style="1" customWidth="1"/>
    <col min="11" max="11" width="13.59765625" style="1" customWidth="1"/>
    <col min="12" max="12" width="18" customWidth="1"/>
    <col min="13" max="13" width="14.8984375" customWidth="1"/>
  </cols>
  <sheetData>
    <row r="1" spans="1:13" s="3" customFormat="1">
      <c r="A1" s="23" t="s">
        <v>75</v>
      </c>
      <c r="B1" s="24" t="s">
        <v>0</v>
      </c>
      <c r="C1" s="24" t="s">
        <v>76</v>
      </c>
      <c r="D1" s="24" t="s">
        <v>1</v>
      </c>
      <c r="E1" s="24" t="s">
        <v>4</v>
      </c>
      <c r="F1" s="24" t="s">
        <v>11</v>
      </c>
      <c r="G1" s="24" t="s">
        <v>15</v>
      </c>
      <c r="H1" s="25" t="s">
        <v>18</v>
      </c>
      <c r="I1" s="25" t="s">
        <v>62</v>
      </c>
      <c r="J1" s="25" t="s">
        <v>63</v>
      </c>
      <c r="K1" s="25" t="s">
        <v>19</v>
      </c>
      <c r="L1" s="24" t="s">
        <v>31</v>
      </c>
      <c r="M1" s="26" t="s">
        <v>83</v>
      </c>
    </row>
    <row r="2" spans="1:13">
      <c r="A2" s="21" t="str">
        <f ca="1">LEFT(G2,2)&amp;"-"&amp;LEFT(E2,3)&amp;"-"&amp;YEAR(TODAY())-L2&amp;"-"&amp;TEXT(ROW()-1,"000")</f>
        <v>Sa-Sal-2020-001</v>
      </c>
      <c r="B2" s="6">
        <v>41</v>
      </c>
      <c r="C2" s="6" t="str">
        <f>IF(B2&lt;=29,"20-29",IF(B2&lt;=39,"30-39",IF(B2&lt;=49,"40-49","50+")))</f>
        <v>40-49</v>
      </c>
      <c r="D2" s="6" t="s">
        <v>35</v>
      </c>
      <c r="E2" s="6" t="s">
        <v>37</v>
      </c>
      <c r="F2" s="6" t="s">
        <v>39</v>
      </c>
      <c r="G2" s="6" t="s">
        <v>40</v>
      </c>
      <c r="H2" s="8">
        <v>5993</v>
      </c>
      <c r="I2" s="8">
        <f>IF(H2&gt;13000,H2*30%,IF(H2&gt;7000,H2*22%,IF(H2&gt;3000,H2*15%,H2*7%)))</f>
        <v>898.94999999999993</v>
      </c>
      <c r="J2" s="8">
        <f>H2-I2</f>
        <v>5094.05</v>
      </c>
      <c r="K2" s="8">
        <v>19479</v>
      </c>
      <c r="L2" s="6">
        <v>6</v>
      </c>
      <c r="M2" s="22" t="str" cm="1">
        <f t="array" ref="M2">_xlfn.IFS(L2&gt;10,"Veteran",L2&gt;=6,"Experienced",L2&gt;=2,"Developing",L2&gt;=0,"New")</f>
        <v>Experienced</v>
      </c>
    </row>
    <row r="3" spans="1:13">
      <c r="A3" s="21" t="str">
        <f t="shared" ref="A3:A66" ca="1" si="0">LEFT(G3,2)&amp;"-"&amp;LEFT(E3,3)&amp;"-"&amp;YEAR(TODAY())-L3&amp;"-"&amp;TEXT(ROW()-1,"000")</f>
        <v>Re-Res-2016-002</v>
      </c>
      <c r="B3" s="6">
        <v>49</v>
      </c>
      <c r="C3" s="6" t="str">
        <f>IF(B3&lt;=29,"20-29",IF(B3&lt;=39,"30-39",IF(B3&lt;=49,"40-49","50+")))</f>
        <v>40-49</v>
      </c>
      <c r="D3" s="6" t="s">
        <v>43</v>
      </c>
      <c r="E3" s="6" t="s">
        <v>45</v>
      </c>
      <c r="F3" s="6" t="s">
        <v>46</v>
      </c>
      <c r="G3" s="6" t="s">
        <v>47</v>
      </c>
      <c r="H3" s="8">
        <v>5130</v>
      </c>
      <c r="I3" s="8">
        <f t="shared" ref="I3:I66" si="1">IF(H3&gt;13000,H3*30%,IF(H3&gt;7000,H3*22%,IF(H3&gt;3000,H3*15%,H3*7%)))</f>
        <v>769.5</v>
      </c>
      <c r="J3" s="8">
        <f t="shared" ref="J3:J66" si="2">H3-I3</f>
        <v>4360.5</v>
      </c>
      <c r="K3" s="8">
        <v>24907</v>
      </c>
      <c r="L3" s="6">
        <v>10</v>
      </c>
      <c r="M3" s="22" t="str" cm="1">
        <f t="array" ref="M3">_xlfn.IFS(L3&gt;10,"Veteran",L3&gt;=6,"Experienced",L3&gt;=2,"Developing",L3&gt;=0,"New")</f>
        <v>Experienced</v>
      </c>
    </row>
    <row r="4" spans="1:13">
      <c r="A4" s="21" t="str">
        <f t="shared" ca="1" si="0"/>
        <v>La-Res-2026-003</v>
      </c>
      <c r="B4" s="6">
        <v>37</v>
      </c>
      <c r="C4" s="6" t="str">
        <f t="shared" ref="C3:C66" si="3">IF(B4&lt;=29,"20-29",IF(B4&lt;=39,"30-39",IF(B4&lt;=49,"40-49","50+")))</f>
        <v>30-39</v>
      </c>
      <c r="D4" s="6" t="s">
        <v>35</v>
      </c>
      <c r="E4" s="6" t="s">
        <v>45</v>
      </c>
      <c r="F4" s="6" t="s">
        <v>46</v>
      </c>
      <c r="G4" s="6" t="s">
        <v>50</v>
      </c>
      <c r="H4" s="8">
        <v>2090</v>
      </c>
      <c r="I4" s="8">
        <f t="shared" si="1"/>
        <v>146.30000000000001</v>
      </c>
      <c r="J4" s="8">
        <f t="shared" si="2"/>
        <v>1943.7</v>
      </c>
      <c r="K4" s="8">
        <v>2396</v>
      </c>
      <c r="L4" s="6">
        <v>0</v>
      </c>
      <c r="M4" s="22" t="str" cm="1">
        <f t="array" ref="M4">_xlfn.IFS(L4&gt;10,"Veteran",L4&gt;=6,"Experienced",L4&gt;=2,"Developing",L4&gt;=0,"New")</f>
        <v>New</v>
      </c>
    </row>
    <row r="5" spans="1:13">
      <c r="A5" s="21" t="str">
        <f t="shared" ca="1" si="0"/>
        <v>Re-Res-2018-004</v>
      </c>
      <c r="B5" s="6">
        <v>33</v>
      </c>
      <c r="C5" s="6" t="str">
        <f t="shared" si="3"/>
        <v>30-39</v>
      </c>
      <c r="D5" s="6" t="s">
        <v>43</v>
      </c>
      <c r="E5" s="6" t="s">
        <v>45</v>
      </c>
      <c r="F5" s="6" t="s">
        <v>39</v>
      </c>
      <c r="G5" s="6" t="s">
        <v>47</v>
      </c>
      <c r="H5" s="8">
        <v>2909</v>
      </c>
      <c r="I5" s="8">
        <f t="shared" si="1"/>
        <v>203.63000000000002</v>
      </c>
      <c r="J5" s="8">
        <f t="shared" si="2"/>
        <v>2705.37</v>
      </c>
      <c r="K5" s="8">
        <v>23159</v>
      </c>
      <c r="L5" s="6">
        <v>8</v>
      </c>
      <c r="M5" s="22" t="str" cm="1">
        <f t="array" ref="M5">_xlfn.IFS(L5&gt;10,"Veteran",L5&gt;=6,"Experienced",L5&gt;=2,"Developing",L5&gt;=0,"New")</f>
        <v>Experienced</v>
      </c>
    </row>
    <row r="6" spans="1:13">
      <c r="A6" s="21" t="str">
        <f t="shared" ca="1" si="0"/>
        <v>La-Res-2024-005</v>
      </c>
      <c r="B6" s="6">
        <v>27</v>
      </c>
      <c r="C6" s="6" t="str">
        <f t="shared" si="3"/>
        <v>20-29</v>
      </c>
      <c r="D6" s="6" t="s">
        <v>43</v>
      </c>
      <c r="E6" s="6" t="s">
        <v>45</v>
      </c>
      <c r="F6" s="6" t="s">
        <v>46</v>
      </c>
      <c r="G6" s="6" t="s">
        <v>50</v>
      </c>
      <c r="H6" s="8">
        <v>3468</v>
      </c>
      <c r="I6" s="8">
        <f t="shared" si="1"/>
        <v>520.19999999999993</v>
      </c>
      <c r="J6" s="8">
        <f t="shared" si="2"/>
        <v>2947.8</v>
      </c>
      <c r="K6" s="8">
        <v>16632</v>
      </c>
      <c r="L6" s="6">
        <v>2</v>
      </c>
      <c r="M6" s="22" t="str" cm="1">
        <f t="array" ref="M6">_xlfn.IFS(L6&gt;10,"Veteran",L6&gt;=6,"Experienced",L6&gt;=2,"Developing",L6&gt;=0,"New")</f>
        <v>Developing</v>
      </c>
    </row>
    <row r="7" spans="1:13">
      <c r="A7" s="21" t="str">
        <f t="shared" ca="1" si="0"/>
        <v>La-Res-2019-006</v>
      </c>
      <c r="B7" s="6">
        <v>32</v>
      </c>
      <c r="C7" s="6" t="str">
        <f t="shared" si="3"/>
        <v>30-39</v>
      </c>
      <c r="D7" s="6" t="s">
        <v>43</v>
      </c>
      <c r="E7" s="6" t="s">
        <v>45</v>
      </c>
      <c r="F7" s="6" t="s">
        <v>46</v>
      </c>
      <c r="G7" s="6" t="s">
        <v>50</v>
      </c>
      <c r="H7" s="8">
        <v>3068</v>
      </c>
      <c r="I7" s="8">
        <f t="shared" si="1"/>
        <v>460.2</v>
      </c>
      <c r="J7" s="8">
        <f t="shared" si="2"/>
        <v>2607.8000000000002</v>
      </c>
      <c r="K7" s="8">
        <v>11864</v>
      </c>
      <c r="L7" s="6">
        <v>7</v>
      </c>
      <c r="M7" s="22" t="str" cm="1">
        <f t="array" ref="M7">_xlfn.IFS(L7&gt;10,"Veteran",L7&gt;=6,"Experienced",L7&gt;=2,"Developing",L7&gt;=0,"New")</f>
        <v>Experienced</v>
      </c>
    </row>
    <row r="8" spans="1:13">
      <c r="A8" s="21" t="str">
        <f t="shared" ca="1" si="0"/>
        <v>La-Res-2025-007</v>
      </c>
      <c r="B8" s="6">
        <v>59</v>
      </c>
      <c r="C8" s="6" t="str">
        <f t="shared" si="3"/>
        <v>50+</v>
      </c>
      <c r="D8" s="6" t="s">
        <v>43</v>
      </c>
      <c r="E8" s="6" t="s">
        <v>45</v>
      </c>
      <c r="F8" s="6" t="s">
        <v>39</v>
      </c>
      <c r="G8" s="6" t="s">
        <v>50</v>
      </c>
      <c r="H8" s="8">
        <v>2670</v>
      </c>
      <c r="I8" s="8">
        <f t="shared" si="1"/>
        <v>186.9</v>
      </c>
      <c r="J8" s="8">
        <f t="shared" si="2"/>
        <v>2483.1</v>
      </c>
      <c r="K8" s="8">
        <v>9964</v>
      </c>
      <c r="L8" s="6">
        <v>1</v>
      </c>
      <c r="M8" s="22" t="str" cm="1">
        <f t="array" ref="M8">_xlfn.IFS(L8&gt;10,"Veteran",L8&gt;=6,"Experienced",L8&gt;=2,"Developing",L8&gt;=0,"New")</f>
        <v>New</v>
      </c>
    </row>
    <row r="9" spans="1:13">
      <c r="A9" s="21" t="str">
        <f t="shared" ca="1" si="0"/>
        <v>La-Res-2025-008</v>
      </c>
      <c r="B9" s="6">
        <v>30</v>
      </c>
      <c r="C9" s="6" t="str">
        <f t="shared" si="3"/>
        <v>30-39</v>
      </c>
      <c r="D9" s="6" t="s">
        <v>43</v>
      </c>
      <c r="E9" s="6" t="s">
        <v>45</v>
      </c>
      <c r="F9" s="6" t="s">
        <v>46</v>
      </c>
      <c r="G9" s="6" t="s">
        <v>50</v>
      </c>
      <c r="H9" s="8">
        <v>2693</v>
      </c>
      <c r="I9" s="8">
        <f t="shared" si="1"/>
        <v>188.51000000000002</v>
      </c>
      <c r="J9" s="8">
        <f t="shared" si="2"/>
        <v>2504.4899999999998</v>
      </c>
      <c r="K9" s="8">
        <v>13335</v>
      </c>
      <c r="L9" s="6">
        <v>1</v>
      </c>
      <c r="M9" s="22" t="str" cm="1">
        <f t="array" ref="M9">_xlfn.IFS(L9&gt;10,"Veteran",L9&gt;=6,"Experienced",L9&gt;=2,"Developing",L9&gt;=0,"New")</f>
        <v>New</v>
      </c>
    </row>
    <row r="10" spans="1:13">
      <c r="A10" s="21" t="str">
        <f t="shared" ca="1" si="0"/>
        <v>Ma-Res-2017-009</v>
      </c>
      <c r="B10" s="6">
        <v>38</v>
      </c>
      <c r="C10" s="6" t="str">
        <f t="shared" si="3"/>
        <v>30-39</v>
      </c>
      <c r="D10" s="6" t="s">
        <v>43</v>
      </c>
      <c r="E10" s="6" t="s">
        <v>45</v>
      </c>
      <c r="F10" s="6" t="s">
        <v>46</v>
      </c>
      <c r="G10" s="6" t="s">
        <v>53</v>
      </c>
      <c r="H10" s="8">
        <v>9526</v>
      </c>
      <c r="I10" s="8">
        <f t="shared" si="1"/>
        <v>2095.7199999999998</v>
      </c>
      <c r="J10" s="8">
        <f t="shared" si="2"/>
        <v>7430.2800000000007</v>
      </c>
      <c r="K10" s="8">
        <v>8787</v>
      </c>
      <c r="L10" s="6">
        <v>9</v>
      </c>
      <c r="M10" s="22" t="str" cm="1">
        <f t="array" ref="M10">_xlfn.IFS(L10&gt;10,"Veteran",L10&gt;=6,"Experienced",L10&gt;=2,"Developing",L10&gt;=0,"New")</f>
        <v>Experienced</v>
      </c>
    </row>
    <row r="11" spans="1:13">
      <c r="A11" s="21" t="str">
        <f t="shared" ca="1" si="0"/>
        <v>He-Res-2019-010</v>
      </c>
      <c r="B11" s="6">
        <v>36</v>
      </c>
      <c r="C11" s="6" t="str">
        <f t="shared" si="3"/>
        <v>30-39</v>
      </c>
      <c r="D11" s="6" t="s">
        <v>43</v>
      </c>
      <c r="E11" s="6" t="s">
        <v>45</v>
      </c>
      <c r="F11" s="6" t="s">
        <v>46</v>
      </c>
      <c r="G11" s="6" t="s">
        <v>54</v>
      </c>
      <c r="H11" s="8">
        <v>5237</v>
      </c>
      <c r="I11" s="8">
        <f t="shared" si="1"/>
        <v>785.55</v>
      </c>
      <c r="J11" s="8">
        <f t="shared" si="2"/>
        <v>4451.45</v>
      </c>
      <c r="K11" s="8">
        <v>16577</v>
      </c>
      <c r="L11" s="6">
        <v>7</v>
      </c>
      <c r="M11" s="22" t="str" cm="1">
        <f t="array" ref="M11">_xlfn.IFS(L11&gt;10,"Veteran",L11&gt;=6,"Experienced",L11&gt;=2,"Developing",L11&gt;=0,"New")</f>
        <v>Experienced</v>
      </c>
    </row>
    <row r="12" spans="1:13">
      <c r="A12" s="21" t="str">
        <f t="shared" ca="1" si="0"/>
        <v>La-Res-2021-011</v>
      </c>
      <c r="B12" s="6">
        <v>35</v>
      </c>
      <c r="C12" s="6" t="str">
        <f t="shared" si="3"/>
        <v>30-39</v>
      </c>
      <c r="D12" s="6" t="s">
        <v>43</v>
      </c>
      <c r="E12" s="6" t="s">
        <v>45</v>
      </c>
      <c r="F12" s="6" t="s">
        <v>46</v>
      </c>
      <c r="G12" s="6" t="s">
        <v>50</v>
      </c>
      <c r="H12" s="8">
        <v>2426</v>
      </c>
      <c r="I12" s="8">
        <f t="shared" si="1"/>
        <v>169.82000000000002</v>
      </c>
      <c r="J12" s="8">
        <f t="shared" si="2"/>
        <v>2256.1799999999998</v>
      </c>
      <c r="K12" s="8">
        <v>16479</v>
      </c>
      <c r="L12" s="6">
        <v>5</v>
      </c>
      <c r="M12" s="22" t="str" cm="1">
        <f t="array" ref="M12">_xlfn.IFS(L12&gt;10,"Veteran",L12&gt;=6,"Experienced",L12&gt;=2,"Developing",L12&gt;=0,"New")</f>
        <v>Developing</v>
      </c>
    </row>
    <row r="13" spans="1:13">
      <c r="A13" s="21" t="str">
        <f t="shared" ca="1" si="0"/>
        <v>La-Res-2017-012</v>
      </c>
      <c r="B13" s="6">
        <v>29</v>
      </c>
      <c r="C13" s="6" t="str">
        <f t="shared" si="3"/>
        <v>20-29</v>
      </c>
      <c r="D13" s="6" t="s">
        <v>43</v>
      </c>
      <c r="E13" s="6" t="s">
        <v>45</v>
      </c>
      <c r="F13" s="6" t="s">
        <v>39</v>
      </c>
      <c r="G13" s="6" t="s">
        <v>50</v>
      </c>
      <c r="H13" s="8">
        <v>4193</v>
      </c>
      <c r="I13" s="8">
        <f t="shared" si="1"/>
        <v>628.94999999999993</v>
      </c>
      <c r="J13" s="8">
        <f t="shared" si="2"/>
        <v>3564.05</v>
      </c>
      <c r="K13" s="8">
        <v>12682</v>
      </c>
      <c r="L13" s="6">
        <v>9</v>
      </c>
      <c r="M13" s="22" t="str" cm="1">
        <f t="array" ref="M13">_xlfn.IFS(L13&gt;10,"Veteran",L13&gt;=6,"Experienced",L13&gt;=2,"Developing",L13&gt;=0,"New")</f>
        <v>Experienced</v>
      </c>
    </row>
    <row r="14" spans="1:13">
      <c r="A14" s="21" t="str">
        <f t="shared" ca="1" si="0"/>
        <v>Re-Res-2021-013</v>
      </c>
      <c r="B14" s="6">
        <v>31</v>
      </c>
      <c r="C14" s="6" t="str">
        <f t="shared" si="3"/>
        <v>30-39</v>
      </c>
      <c r="D14" s="6" t="s">
        <v>43</v>
      </c>
      <c r="E14" s="6" t="s">
        <v>45</v>
      </c>
      <c r="F14" s="6" t="s">
        <v>46</v>
      </c>
      <c r="G14" s="6" t="s">
        <v>47</v>
      </c>
      <c r="H14" s="8">
        <v>2911</v>
      </c>
      <c r="I14" s="8">
        <f t="shared" si="1"/>
        <v>203.77</v>
      </c>
      <c r="J14" s="8">
        <f t="shared" si="2"/>
        <v>2707.23</v>
      </c>
      <c r="K14" s="8">
        <v>15170</v>
      </c>
      <c r="L14" s="6">
        <v>5</v>
      </c>
      <c r="M14" s="22" t="str" cm="1">
        <f t="array" ref="M14">_xlfn.IFS(L14&gt;10,"Veteran",L14&gt;=6,"Experienced",L14&gt;=2,"Developing",L14&gt;=0,"New")</f>
        <v>Developing</v>
      </c>
    </row>
    <row r="15" spans="1:13">
      <c r="A15" s="21" t="str">
        <f t="shared" ca="1" si="0"/>
        <v>La-Res-2024-014</v>
      </c>
      <c r="B15" s="6">
        <v>34</v>
      </c>
      <c r="C15" s="6" t="str">
        <f t="shared" si="3"/>
        <v>30-39</v>
      </c>
      <c r="D15" s="6" t="s">
        <v>43</v>
      </c>
      <c r="E15" s="6" t="s">
        <v>45</v>
      </c>
      <c r="F15" s="6" t="s">
        <v>46</v>
      </c>
      <c r="G15" s="6" t="s">
        <v>50</v>
      </c>
      <c r="H15" s="8">
        <v>2661</v>
      </c>
      <c r="I15" s="8">
        <f t="shared" si="1"/>
        <v>186.27</v>
      </c>
      <c r="J15" s="8">
        <f t="shared" si="2"/>
        <v>2474.73</v>
      </c>
      <c r="K15" s="8">
        <v>8758</v>
      </c>
      <c r="L15" s="6">
        <v>2</v>
      </c>
      <c r="M15" s="22" t="str" cm="1">
        <f t="array" ref="M15">_xlfn.IFS(L15&gt;10,"Veteran",L15&gt;=6,"Experienced",L15&gt;=2,"Developing",L15&gt;=0,"New")</f>
        <v>Developing</v>
      </c>
    </row>
    <row r="16" spans="1:13">
      <c r="A16" s="21" t="str">
        <f t="shared" ca="1" si="0"/>
        <v>La-Res-2022-015</v>
      </c>
      <c r="B16" s="6">
        <v>28</v>
      </c>
      <c r="C16" s="6" t="str">
        <f t="shared" si="3"/>
        <v>20-29</v>
      </c>
      <c r="D16" s="6" t="s">
        <v>35</v>
      </c>
      <c r="E16" s="6" t="s">
        <v>45</v>
      </c>
      <c r="F16" s="6" t="s">
        <v>46</v>
      </c>
      <c r="G16" s="6" t="s">
        <v>50</v>
      </c>
      <c r="H16" s="8">
        <v>2028</v>
      </c>
      <c r="I16" s="8">
        <f t="shared" si="1"/>
        <v>141.96</v>
      </c>
      <c r="J16" s="8">
        <f t="shared" si="2"/>
        <v>1886.04</v>
      </c>
      <c r="K16" s="8">
        <v>12947</v>
      </c>
      <c r="L16" s="6">
        <v>4</v>
      </c>
      <c r="M16" s="22" t="str" cm="1">
        <f t="array" ref="M16">_xlfn.IFS(L16&gt;10,"Veteran",L16&gt;=6,"Experienced",L16&gt;=2,"Developing",L16&gt;=0,"New")</f>
        <v>Developing</v>
      </c>
    </row>
    <row r="17" spans="1:13">
      <c r="A17" s="21" t="str">
        <f t="shared" ca="1" si="0"/>
        <v>Ma-Res-2016-016</v>
      </c>
      <c r="B17" s="6">
        <v>29</v>
      </c>
      <c r="C17" s="6" t="str">
        <f t="shared" si="3"/>
        <v>20-29</v>
      </c>
      <c r="D17" s="6" t="s">
        <v>43</v>
      </c>
      <c r="E17" s="6" t="s">
        <v>45</v>
      </c>
      <c r="F17" s="6" t="s">
        <v>39</v>
      </c>
      <c r="G17" s="6" t="s">
        <v>53</v>
      </c>
      <c r="H17" s="8">
        <v>9980</v>
      </c>
      <c r="I17" s="8">
        <f t="shared" si="1"/>
        <v>2195.6</v>
      </c>
      <c r="J17" s="8">
        <f t="shared" si="2"/>
        <v>7784.4</v>
      </c>
      <c r="K17" s="8">
        <v>10195</v>
      </c>
      <c r="L17" s="6">
        <v>10</v>
      </c>
      <c r="M17" s="22" t="str" cm="1">
        <f t="array" ref="M17">_xlfn.IFS(L17&gt;10,"Veteran",L17&gt;=6,"Experienced",L17&gt;=2,"Developing",L17&gt;=0,"New")</f>
        <v>Experienced</v>
      </c>
    </row>
    <row r="18" spans="1:13">
      <c r="A18" s="21" t="str">
        <f t="shared" ca="1" si="0"/>
        <v>Re-Res-2020-017</v>
      </c>
      <c r="B18" s="6">
        <v>32</v>
      </c>
      <c r="C18" s="6" t="str">
        <f t="shared" si="3"/>
        <v>30-39</v>
      </c>
      <c r="D18" s="6" t="s">
        <v>43</v>
      </c>
      <c r="E18" s="6" t="s">
        <v>45</v>
      </c>
      <c r="F18" s="6" t="s">
        <v>46</v>
      </c>
      <c r="G18" s="6" t="s">
        <v>47</v>
      </c>
      <c r="H18" s="8">
        <v>3298</v>
      </c>
      <c r="I18" s="8">
        <f t="shared" si="1"/>
        <v>494.7</v>
      </c>
      <c r="J18" s="8">
        <f t="shared" si="2"/>
        <v>2803.3</v>
      </c>
      <c r="K18" s="8">
        <v>15053</v>
      </c>
      <c r="L18" s="6">
        <v>6</v>
      </c>
      <c r="M18" s="22" t="str" cm="1">
        <f t="array" ref="M18">_xlfn.IFS(L18&gt;10,"Veteran",L18&gt;=6,"Experienced",L18&gt;=2,"Developing",L18&gt;=0,"New")</f>
        <v>Experienced</v>
      </c>
    </row>
    <row r="19" spans="1:13">
      <c r="A19" s="21" t="str">
        <f t="shared" ca="1" si="0"/>
        <v>La-Res-2025-018</v>
      </c>
      <c r="B19" s="6">
        <v>22</v>
      </c>
      <c r="C19" s="6" t="str">
        <f t="shared" si="3"/>
        <v>20-29</v>
      </c>
      <c r="D19" s="6" t="s">
        <v>43</v>
      </c>
      <c r="E19" s="6" t="s">
        <v>45</v>
      </c>
      <c r="F19" s="6" t="s">
        <v>46</v>
      </c>
      <c r="G19" s="6" t="s">
        <v>50</v>
      </c>
      <c r="H19" s="8">
        <v>2935</v>
      </c>
      <c r="I19" s="8">
        <f t="shared" si="1"/>
        <v>205.45000000000002</v>
      </c>
      <c r="J19" s="8">
        <f t="shared" si="2"/>
        <v>2729.55</v>
      </c>
      <c r="K19" s="8">
        <v>7324</v>
      </c>
      <c r="L19" s="6">
        <v>1</v>
      </c>
      <c r="M19" s="22" t="str" cm="1">
        <f t="array" ref="M19">_xlfn.IFS(L19&gt;10,"Veteran",L19&gt;=6,"Experienced",L19&gt;=2,"Developing",L19&gt;=0,"New")</f>
        <v>New</v>
      </c>
    </row>
    <row r="20" spans="1:13">
      <c r="A20" s="21" t="str">
        <f t="shared" ca="1" si="0"/>
        <v>Ma-Sal-2001-019</v>
      </c>
      <c r="B20" s="6">
        <v>53</v>
      </c>
      <c r="C20" s="6" t="str">
        <f t="shared" si="3"/>
        <v>50+</v>
      </c>
      <c r="D20" s="6" t="s">
        <v>43</v>
      </c>
      <c r="E20" s="6" t="s">
        <v>37</v>
      </c>
      <c r="F20" s="6" t="s">
        <v>39</v>
      </c>
      <c r="G20" s="6" t="s">
        <v>56</v>
      </c>
      <c r="H20" s="8">
        <v>15427</v>
      </c>
      <c r="I20" s="8">
        <f t="shared" si="1"/>
        <v>4628.0999999999995</v>
      </c>
      <c r="J20" s="8">
        <f t="shared" si="2"/>
        <v>10798.900000000001</v>
      </c>
      <c r="K20" s="8">
        <v>22021</v>
      </c>
      <c r="L20" s="6">
        <v>25</v>
      </c>
      <c r="M20" s="22" t="str" cm="1">
        <f t="array" ref="M20">_xlfn.IFS(L20&gt;10,"Veteran",L20&gt;=6,"Experienced",L20&gt;=2,"Developing",L20&gt;=0,"New")</f>
        <v>Veteran</v>
      </c>
    </row>
    <row r="21" spans="1:13">
      <c r="A21" s="21" t="str">
        <f t="shared" ca="1" si="0"/>
        <v>Re-Res-2023-020</v>
      </c>
      <c r="B21" s="6">
        <v>38</v>
      </c>
      <c r="C21" s="6" t="str">
        <f t="shared" si="3"/>
        <v>30-39</v>
      </c>
      <c r="D21" s="6" t="s">
        <v>43</v>
      </c>
      <c r="E21" s="6" t="s">
        <v>45</v>
      </c>
      <c r="F21" s="6" t="s">
        <v>46</v>
      </c>
      <c r="G21" s="6" t="s">
        <v>47</v>
      </c>
      <c r="H21" s="8">
        <v>3944</v>
      </c>
      <c r="I21" s="8">
        <f t="shared" si="1"/>
        <v>591.6</v>
      </c>
      <c r="J21" s="8">
        <f t="shared" si="2"/>
        <v>3352.4</v>
      </c>
      <c r="K21" s="8">
        <v>4306</v>
      </c>
      <c r="L21" s="6">
        <v>3</v>
      </c>
      <c r="M21" s="22" t="str" cm="1">
        <f t="array" ref="M21">_xlfn.IFS(L21&gt;10,"Veteran",L21&gt;=6,"Experienced",L21&gt;=2,"Developing",L21&gt;=0,"New")</f>
        <v>Developing</v>
      </c>
    </row>
    <row r="22" spans="1:13">
      <c r="A22" s="21" t="str">
        <f t="shared" ca="1" si="0"/>
        <v>Ma-Res-2022-021</v>
      </c>
      <c r="B22" s="6">
        <v>24</v>
      </c>
      <c r="C22" s="6" t="str">
        <f t="shared" si="3"/>
        <v>20-29</v>
      </c>
      <c r="D22" s="6" t="s">
        <v>43</v>
      </c>
      <c r="E22" s="6" t="s">
        <v>45</v>
      </c>
      <c r="F22" s="6" t="s">
        <v>39</v>
      </c>
      <c r="G22" s="6" t="s">
        <v>53</v>
      </c>
      <c r="H22" s="8">
        <v>4011</v>
      </c>
      <c r="I22" s="8">
        <f t="shared" si="1"/>
        <v>601.65</v>
      </c>
      <c r="J22" s="8">
        <f t="shared" si="2"/>
        <v>3409.35</v>
      </c>
      <c r="K22" s="8">
        <v>8232</v>
      </c>
      <c r="L22" s="6">
        <v>4</v>
      </c>
      <c r="M22" s="22" t="str" cm="1">
        <f t="array" ref="M22">_xlfn.IFS(L22&gt;10,"Veteran",L22&gt;=6,"Experienced",L22&gt;=2,"Developing",L22&gt;=0,"New")</f>
        <v>Developing</v>
      </c>
    </row>
    <row r="23" spans="1:13">
      <c r="A23" s="21" t="str">
        <f t="shared" ca="1" si="0"/>
        <v>Sa-Sal-2021-022</v>
      </c>
      <c r="B23" s="6">
        <v>36</v>
      </c>
      <c r="C23" s="6" t="str">
        <f t="shared" si="3"/>
        <v>30-39</v>
      </c>
      <c r="D23" s="6" t="s">
        <v>35</v>
      </c>
      <c r="E23" s="6" t="s">
        <v>37</v>
      </c>
      <c r="F23" s="6" t="s">
        <v>46</v>
      </c>
      <c r="G23" s="6" t="s">
        <v>57</v>
      </c>
      <c r="H23" s="8">
        <v>3407</v>
      </c>
      <c r="I23" s="8">
        <f t="shared" si="1"/>
        <v>511.04999999999995</v>
      </c>
      <c r="J23" s="8">
        <f t="shared" si="2"/>
        <v>2895.95</v>
      </c>
      <c r="K23" s="8">
        <v>6986</v>
      </c>
      <c r="L23" s="6">
        <v>5</v>
      </c>
      <c r="M23" s="22" t="str" cm="1">
        <f t="array" ref="M23">_xlfn.IFS(L23&gt;10,"Veteran",L23&gt;=6,"Experienced",L23&gt;=2,"Developing",L23&gt;=0,"New")</f>
        <v>Developing</v>
      </c>
    </row>
    <row r="24" spans="1:13">
      <c r="A24" s="21" t="str">
        <f t="shared" ca="1" si="0"/>
        <v>Re-Res-2014-023</v>
      </c>
      <c r="B24" s="6">
        <v>34</v>
      </c>
      <c r="C24" s="6" t="str">
        <f t="shared" si="3"/>
        <v>30-39</v>
      </c>
      <c r="D24" s="6" t="s">
        <v>43</v>
      </c>
      <c r="E24" s="6" t="s">
        <v>45</v>
      </c>
      <c r="F24" s="6" t="s">
        <v>39</v>
      </c>
      <c r="G24" s="6" t="s">
        <v>58</v>
      </c>
      <c r="H24" s="8">
        <v>11994</v>
      </c>
      <c r="I24" s="8">
        <f t="shared" si="1"/>
        <v>2638.68</v>
      </c>
      <c r="J24" s="8">
        <f t="shared" si="2"/>
        <v>9355.32</v>
      </c>
      <c r="K24" s="8">
        <v>21293</v>
      </c>
      <c r="L24" s="6">
        <v>12</v>
      </c>
      <c r="M24" s="22" t="str" cm="1">
        <f t="array" ref="M24">_xlfn.IFS(L24&gt;10,"Veteran",L24&gt;=6,"Experienced",L24&gt;=2,"Developing",L24&gt;=0,"New")</f>
        <v>Veteran</v>
      </c>
    </row>
    <row r="25" spans="1:13">
      <c r="A25" s="21" t="str">
        <f t="shared" ca="1" si="0"/>
        <v>Re-Res-2026-024</v>
      </c>
      <c r="B25" s="6">
        <v>21</v>
      </c>
      <c r="C25" s="6" t="str">
        <f t="shared" si="3"/>
        <v>20-29</v>
      </c>
      <c r="D25" s="6" t="s">
        <v>43</v>
      </c>
      <c r="E25" s="6" t="s">
        <v>45</v>
      </c>
      <c r="F25" s="6" t="s">
        <v>46</v>
      </c>
      <c r="G25" s="6" t="s">
        <v>47</v>
      </c>
      <c r="H25" s="8">
        <v>1232</v>
      </c>
      <c r="I25" s="8">
        <f t="shared" si="1"/>
        <v>86.240000000000009</v>
      </c>
      <c r="J25" s="8">
        <f t="shared" si="2"/>
        <v>1145.76</v>
      </c>
      <c r="K25" s="8">
        <v>19281</v>
      </c>
      <c r="L25" s="6">
        <v>0</v>
      </c>
      <c r="M25" s="22" t="str" cm="1">
        <f t="array" ref="M25">_xlfn.IFS(L25&gt;10,"Veteran",L25&gt;=6,"Experienced",L25&gt;=2,"Developing",L25&gt;=0,"New")</f>
        <v>New</v>
      </c>
    </row>
    <row r="26" spans="1:13">
      <c r="A26" s="21" t="str">
        <f t="shared" ca="1" si="0"/>
        <v>Re-Res-2022-025</v>
      </c>
      <c r="B26" s="6">
        <v>34</v>
      </c>
      <c r="C26" s="6" t="str">
        <f t="shared" si="3"/>
        <v>30-39</v>
      </c>
      <c r="D26" s="6" t="s">
        <v>35</v>
      </c>
      <c r="E26" s="6" t="s">
        <v>45</v>
      </c>
      <c r="F26" s="6" t="s">
        <v>46</v>
      </c>
      <c r="G26" s="6" t="s">
        <v>47</v>
      </c>
      <c r="H26" s="8">
        <v>2960</v>
      </c>
      <c r="I26" s="8">
        <f t="shared" si="1"/>
        <v>207.20000000000002</v>
      </c>
      <c r="J26" s="8">
        <f t="shared" si="2"/>
        <v>2752.8</v>
      </c>
      <c r="K26" s="8">
        <v>17102</v>
      </c>
      <c r="L26" s="6">
        <v>4</v>
      </c>
      <c r="M26" s="22" t="str" cm="1">
        <f t="array" ref="M26">_xlfn.IFS(L26&gt;10,"Veteran",L26&gt;=6,"Experienced",L26&gt;=2,"Developing",L26&gt;=0,"New")</f>
        <v>Developing</v>
      </c>
    </row>
    <row r="27" spans="1:13">
      <c r="A27" s="21" t="str">
        <f t="shared" ca="1" si="0"/>
        <v>Ma-Res-2012-026</v>
      </c>
      <c r="B27" s="6">
        <v>53</v>
      </c>
      <c r="C27" s="6" t="str">
        <f t="shared" si="3"/>
        <v>50+</v>
      </c>
      <c r="D27" s="6" t="s">
        <v>43</v>
      </c>
      <c r="E27" s="6" t="s">
        <v>45</v>
      </c>
      <c r="F27" s="6" t="s">
        <v>39</v>
      </c>
      <c r="G27" s="6" t="s">
        <v>56</v>
      </c>
      <c r="H27" s="8">
        <v>19094</v>
      </c>
      <c r="I27" s="8">
        <f t="shared" si="1"/>
        <v>5728.2</v>
      </c>
      <c r="J27" s="8">
        <f t="shared" si="2"/>
        <v>13365.8</v>
      </c>
      <c r="K27" s="8">
        <v>10735</v>
      </c>
      <c r="L27" s="6">
        <v>14</v>
      </c>
      <c r="M27" s="22" t="str" cm="1">
        <f t="array" ref="M27">_xlfn.IFS(L27&gt;10,"Veteran",L27&gt;=6,"Experienced",L27&gt;=2,"Developing",L27&gt;=0,"New")</f>
        <v>Veteran</v>
      </c>
    </row>
    <row r="28" spans="1:13">
      <c r="A28" s="21" t="str">
        <f t="shared" ca="1" si="0"/>
        <v>Re-Res-2016-027</v>
      </c>
      <c r="B28" s="6">
        <v>32</v>
      </c>
      <c r="C28" s="6" t="str">
        <f t="shared" si="3"/>
        <v>30-39</v>
      </c>
      <c r="D28" s="6" t="s">
        <v>35</v>
      </c>
      <c r="E28" s="6" t="s">
        <v>45</v>
      </c>
      <c r="F28" s="6" t="s">
        <v>39</v>
      </c>
      <c r="G28" s="6" t="s">
        <v>47</v>
      </c>
      <c r="H28" s="8">
        <v>3919</v>
      </c>
      <c r="I28" s="8">
        <f t="shared" si="1"/>
        <v>587.85</v>
      </c>
      <c r="J28" s="8">
        <f t="shared" si="2"/>
        <v>3331.15</v>
      </c>
      <c r="K28" s="8">
        <v>4681</v>
      </c>
      <c r="L28" s="6">
        <v>10</v>
      </c>
      <c r="M28" s="22" t="str" cm="1">
        <f t="array" ref="M28">_xlfn.IFS(L28&gt;10,"Veteran",L28&gt;=6,"Experienced",L28&gt;=2,"Developing",L28&gt;=0,"New")</f>
        <v>Experienced</v>
      </c>
    </row>
    <row r="29" spans="1:13">
      <c r="A29" s="21" t="str">
        <f t="shared" ca="1" si="0"/>
        <v>Sa-Sal-2017-028</v>
      </c>
      <c r="B29" s="6">
        <v>42</v>
      </c>
      <c r="C29" s="6" t="str">
        <f t="shared" si="3"/>
        <v>40-49</v>
      </c>
      <c r="D29" s="6" t="s">
        <v>43</v>
      </c>
      <c r="E29" s="6" t="s">
        <v>37</v>
      </c>
      <c r="F29" s="6" t="s">
        <v>46</v>
      </c>
      <c r="G29" s="6" t="s">
        <v>40</v>
      </c>
      <c r="H29" s="8">
        <v>6825</v>
      </c>
      <c r="I29" s="8">
        <f t="shared" si="1"/>
        <v>1023.75</v>
      </c>
      <c r="J29" s="8">
        <f t="shared" si="2"/>
        <v>5801.25</v>
      </c>
      <c r="K29" s="8">
        <v>21173</v>
      </c>
      <c r="L29" s="6">
        <v>9</v>
      </c>
      <c r="M29" s="22" t="str" cm="1">
        <f t="array" ref="M29">_xlfn.IFS(L29&gt;10,"Veteran",L29&gt;=6,"Experienced",L29&gt;=2,"Developing",L29&gt;=0,"New")</f>
        <v>Experienced</v>
      </c>
    </row>
    <row r="30" spans="1:13">
      <c r="A30" s="21" t="str">
        <f t="shared" ca="1" si="0"/>
        <v>He-Res-2004-029</v>
      </c>
      <c r="B30" s="6">
        <v>44</v>
      </c>
      <c r="C30" s="6" t="str">
        <f t="shared" si="3"/>
        <v>40-49</v>
      </c>
      <c r="D30" s="6" t="s">
        <v>43</v>
      </c>
      <c r="E30" s="6" t="s">
        <v>45</v>
      </c>
      <c r="F30" s="6" t="s">
        <v>39</v>
      </c>
      <c r="G30" s="6" t="s">
        <v>54</v>
      </c>
      <c r="H30" s="8">
        <v>10248</v>
      </c>
      <c r="I30" s="8">
        <f t="shared" si="1"/>
        <v>2254.56</v>
      </c>
      <c r="J30" s="8">
        <f t="shared" si="2"/>
        <v>7993.4400000000005</v>
      </c>
      <c r="K30" s="8">
        <v>2094</v>
      </c>
      <c r="L30" s="6">
        <v>22</v>
      </c>
      <c r="M30" s="22" t="str" cm="1">
        <f t="array" ref="M30">_xlfn.IFS(L30&gt;10,"Veteran",L30&gt;=6,"Experienced",L30&gt;=2,"Developing",L30&gt;=0,"New")</f>
        <v>Veteran</v>
      </c>
    </row>
    <row r="31" spans="1:13">
      <c r="A31" s="21" t="str">
        <f t="shared" ca="1" si="0"/>
        <v>Ma-Sal-2024-030</v>
      </c>
      <c r="B31" s="6">
        <v>46</v>
      </c>
      <c r="C31" s="6" t="str">
        <f t="shared" si="3"/>
        <v>40-49</v>
      </c>
      <c r="D31" s="6" t="s">
        <v>43</v>
      </c>
      <c r="E31" s="6" t="s">
        <v>37</v>
      </c>
      <c r="F31" s="6" t="s">
        <v>39</v>
      </c>
      <c r="G31" s="6" t="s">
        <v>56</v>
      </c>
      <c r="H31" s="8">
        <v>18947</v>
      </c>
      <c r="I31" s="8">
        <f t="shared" si="1"/>
        <v>5684.0999999999995</v>
      </c>
      <c r="J31" s="8">
        <f t="shared" si="2"/>
        <v>13262.900000000001</v>
      </c>
      <c r="K31" s="8">
        <v>22822</v>
      </c>
      <c r="L31" s="6">
        <v>2</v>
      </c>
      <c r="M31" s="22" t="str" cm="1">
        <f t="array" ref="M31">_xlfn.IFS(L31&gt;10,"Veteran",L31&gt;=6,"Experienced",L31&gt;=2,"Developing",L31&gt;=0,"New")</f>
        <v>Developing</v>
      </c>
    </row>
    <row r="32" spans="1:13">
      <c r="A32" s="21" t="str">
        <f t="shared" ca="1" si="0"/>
        <v>La-Res-2025-031</v>
      </c>
      <c r="B32" s="6">
        <v>33</v>
      </c>
      <c r="C32" s="6" t="str">
        <f t="shared" si="3"/>
        <v>30-39</v>
      </c>
      <c r="D32" s="6" t="s">
        <v>43</v>
      </c>
      <c r="E32" s="6" t="s">
        <v>45</v>
      </c>
      <c r="F32" s="6" t="s">
        <v>46</v>
      </c>
      <c r="G32" s="6" t="s">
        <v>50</v>
      </c>
      <c r="H32" s="8">
        <v>2496</v>
      </c>
      <c r="I32" s="8">
        <f t="shared" si="1"/>
        <v>174.72000000000003</v>
      </c>
      <c r="J32" s="8">
        <f t="shared" si="2"/>
        <v>2321.2799999999997</v>
      </c>
      <c r="K32" s="8">
        <v>6670</v>
      </c>
      <c r="L32" s="6">
        <v>1</v>
      </c>
      <c r="M32" s="22" t="str" cm="1">
        <f t="array" ref="M32">_xlfn.IFS(L32&gt;10,"Veteran",L32&gt;=6,"Experienced",L32&gt;=2,"Developing",L32&gt;=0,"New")</f>
        <v>New</v>
      </c>
    </row>
    <row r="33" spans="1:13">
      <c r="A33" s="21" t="str">
        <f t="shared" ca="1" si="0"/>
        <v>He-Res-2022-032</v>
      </c>
      <c r="B33" s="6">
        <v>44</v>
      </c>
      <c r="C33" s="6" t="str">
        <f t="shared" si="3"/>
        <v>40-49</v>
      </c>
      <c r="D33" s="6" t="s">
        <v>43</v>
      </c>
      <c r="E33" s="6" t="s">
        <v>45</v>
      </c>
      <c r="F33" s="6" t="s">
        <v>46</v>
      </c>
      <c r="G33" s="6" t="s">
        <v>54</v>
      </c>
      <c r="H33" s="8">
        <v>6465</v>
      </c>
      <c r="I33" s="8">
        <f t="shared" si="1"/>
        <v>969.75</v>
      </c>
      <c r="J33" s="8">
        <f t="shared" si="2"/>
        <v>5495.25</v>
      </c>
      <c r="K33" s="8">
        <v>19121</v>
      </c>
      <c r="L33" s="6">
        <v>4</v>
      </c>
      <c r="M33" s="22" t="str" cm="1">
        <f t="array" ref="M33">_xlfn.IFS(L33&gt;10,"Veteran",L33&gt;=6,"Experienced",L33&gt;=2,"Developing",L33&gt;=0,"New")</f>
        <v>Developing</v>
      </c>
    </row>
    <row r="34" spans="1:13">
      <c r="A34" s="21" t="str">
        <f t="shared" ca="1" si="0"/>
        <v>La-Res-2016-033</v>
      </c>
      <c r="B34" s="6">
        <v>30</v>
      </c>
      <c r="C34" s="6" t="str">
        <f t="shared" si="3"/>
        <v>30-39</v>
      </c>
      <c r="D34" s="6" t="s">
        <v>43</v>
      </c>
      <c r="E34" s="6" t="s">
        <v>45</v>
      </c>
      <c r="F34" s="6" t="s">
        <v>46</v>
      </c>
      <c r="G34" s="6" t="s">
        <v>50</v>
      </c>
      <c r="H34" s="8">
        <v>2206</v>
      </c>
      <c r="I34" s="8">
        <f t="shared" si="1"/>
        <v>154.42000000000002</v>
      </c>
      <c r="J34" s="8">
        <f t="shared" si="2"/>
        <v>2051.58</v>
      </c>
      <c r="K34" s="8">
        <v>16117</v>
      </c>
      <c r="L34" s="6">
        <v>10</v>
      </c>
      <c r="M34" s="22" t="str" cm="1">
        <f t="array" ref="M34">_xlfn.IFS(L34&gt;10,"Veteran",L34&gt;=6,"Experienced",L34&gt;=2,"Developing",L34&gt;=0,"New")</f>
        <v>Experienced</v>
      </c>
    </row>
    <row r="35" spans="1:13">
      <c r="A35" s="21" t="str">
        <f t="shared" ca="1" si="0"/>
        <v>Sa-Sal-2025-034</v>
      </c>
      <c r="B35" s="6">
        <v>39</v>
      </c>
      <c r="C35" s="6" t="str">
        <f t="shared" si="3"/>
        <v>30-39</v>
      </c>
      <c r="D35" s="6" t="s">
        <v>35</v>
      </c>
      <c r="E35" s="6" t="s">
        <v>37</v>
      </c>
      <c r="F35" s="6" t="s">
        <v>46</v>
      </c>
      <c r="G35" s="6" t="s">
        <v>57</v>
      </c>
      <c r="H35" s="8">
        <v>2086</v>
      </c>
      <c r="I35" s="8">
        <f t="shared" si="1"/>
        <v>146.02000000000001</v>
      </c>
      <c r="J35" s="8">
        <f t="shared" si="2"/>
        <v>1939.98</v>
      </c>
      <c r="K35" s="8">
        <v>3335</v>
      </c>
      <c r="L35" s="6">
        <v>1</v>
      </c>
      <c r="M35" s="22" t="str" cm="1">
        <f t="array" ref="M35">_xlfn.IFS(L35&gt;10,"Veteran",L35&gt;=6,"Experienced",L35&gt;=2,"Developing",L35&gt;=0,"New")</f>
        <v>New</v>
      </c>
    </row>
    <row r="36" spans="1:13">
      <c r="A36" s="21" t="str">
        <f t="shared" ca="1" si="0"/>
        <v>Re-Res-2024-035</v>
      </c>
      <c r="B36" s="6">
        <v>24</v>
      </c>
      <c r="C36" s="6" t="str">
        <f t="shared" si="3"/>
        <v>20-29</v>
      </c>
      <c r="D36" s="6" t="s">
        <v>35</v>
      </c>
      <c r="E36" s="6" t="s">
        <v>45</v>
      </c>
      <c r="F36" s="6" t="s">
        <v>46</v>
      </c>
      <c r="G36" s="6" t="s">
        <v>47</v>
      </c>
      <c r="H36" s="8">
        <v>2293</v>
      </c>
      <c r="I36" s="8">
        <f t="shared" si="1"/>
        <v>160.51000000000002</v>
      </c>
      <c r="J36" s="8">
        <f t="shared" si="2"/>
        <v>2132.4899999999998</v>
      </c>
      <c r="K36" s="8">
        <v>3020</v>
      </c>
      <c r="L36" s="6">
        <v>2</v>
      </c>
      <c r="M36" s="22" t="str" cm="1">
        <f t="array" ref="M36">_xlfn.IFS(L36&gt;10,"Veteran",L36&gt;=6,"Experienced",L36&gt;=2,"Developing",L36&gt;=0,"New")</f>
        <v>Developing</v>
      </c>
    </row>
    <row r="37" spans="1:13">
      <c r="A37" s="21" t="str">
        <f t="shared" ca="1" si="0"/>
        <v>Re-Res-2021-036</v>
      </c>
      <c r="B37" s="6">
        <v>43</v>
      </c>
      <c r="C37" s="6" t="str">
        <f t="shared" si="3"/>
        <v>40-49</v>
      </c>
      <c r="D37" s="6" t="s">
        <v>43</v>
      </c>
      <c r="E37" s="6" t="s">
        <v>45</v>
      </c>
      <c r="F37" s="6" t="s">
        <v>39</v>
      </c>
      <c r="G37" s="6" t="s">
        <v>47</v>
      </c>
      <c r="H37" s="8">
        <v>2645</v>
      </c>
      <c r="I37" s="8">
        <f t="shared" si="1"/>
        <v>185.15</v>
      </c>
      <c r="J37" s="8">
        <f t="shared" si="2"/>
        <v>2459.85</v>
      </c>
      <c r="K37" s="8">
        <v>21923</v>
      </c>
      <c r="L37" s="6">
        <v>5</v>
      </c>
      <c r="M37" s="22" t="str" cm="1">
        <f t="array" ref="M37">_xlfn.IFS(L37&gt;10,"Veteran",L37&gt;=6,"Experienced",L37&gt;=2,"Developing",L37&gt;=0,"New")</f>
        <v>Developing</v>
      </c>
    </row>
    <row r="38" spans="1:13">
      <c r="A38" s="21" t="str">
        <f t="shared" ca="1" si="0"/>
        <v>Sa-Sal-2023-037</v>
      </c>
      <c r="B38" s="6">
        <v>50</v>
      </c>
      <c r="C38" s="6" t="str">
        <f t="shared" si="3"/>
        <v>50+</v>
      </c>
      <c r="D38" s="6" t="s">
        <v>35</v>
      </c>
      <c r="E38" s="6" t="s">
        <v>37</v>
      </c>
      <c r="F38" s="6" t="s">
        <v>46</v>
      </c>
      <c r="G38" s="6" t="s">
        <v>57</v>
      </c>
      <c r="H38" s="8">
        <v>2683</v>
      </c>
      <c r="I38" s="8">
        <f t="shared" si="1"/>
        <v>187.81000000000003</v>
      </c>
      <c r="J38" s="8">
        <f t="shared" si="2"/>
        <v>2495.19</v>
      </c>
      <c r="K38" s="8">
        <v>3810</v>
      </c>
      <c r="L38" s="6">
        <v>3</v>
      </c>
      <c r="M38" s="22" t="str" cm="1">
        <f t="array" ref="M38">_xlfn.IFS(L38&gt;10,"Veteran",L38&gt;=6,"Experienced",L38&gt;=2,"Developing",L38&gt;=0,"New")</f>
        <v>Developing</v>
      </c>
    </row>
    <row r="39" spans="1:13">
      <c r="A39" s="21" t="str">
        <f t="shared" ca="1" si="0"/>
        <v>Sa-Sal-2024-038</v>
      </c>
      <c r="B39" s="6">
        <v>35</v>
      </c>
      <c r="C39" s="6" t="str">
        <f t="shared" si="3"/>
        <v>30-39</v>
      </c>
      <c r="D39" s="6" t="s">
        <v>43</v>
      </c>
      <c r="E39" s="6" t="s">
        <v>37</v>
      </c>
      <c r="F39" s="6" t="s">
        <v>39</v>
      </c>
      <c r="G39" s="6" t="s">
        <v>57</v>
      </c>
      <c r="H39" s="8">
        <v>2014</v>
      </c>
      <c r="I39" s="8">
        <f t="shared" si="1"/>
        <v>140.98000000000002</v>
      </c>
      <c r="J39" s="8">
        <f t="shared" si="2"/>
        <v>1873.02</v>
      </c>
      <c r="K39" s="8">
        <v>9687</v>
      </c>
      <c r="L39" s="6">
        <v>2</v>
      </c>
      <c r="M39" s="22" t="str" cm="1">
        <f t="array" ref="M39">_xlfn.IFS(L39&gt;10,"Veteran",L39&gt;=6,"Experienced",L39&gt;=2,"Developing",L39&gt;=0,"New")</f>
        <v>Developing</v>
      </c>
    </row>
    <row r="40" spans="1:13">
      <c r="A40" s="21" t="str">
        <f t="shared" ca="1" si="0"/>
        <v>Re-Res-2025-039</v>
      </c>
      <c r="B40" s="6">
        <v>36</v>
      </c>
      <c r="C40" s="6" t="str">
        <f t="shared" si="3"/>
        <v>30-39</v>
      </c>
      <c r="D40" s="6" t="s">
        <v>43</v>
      </c>
      <c r="E40" s="6" t="s">
        <v>45</v>
      </c>
      <c r="F40" s="6" t="s">
        <v>39</v>
      </c>
      <c r="G40" s="6" t="s">
        <v>47</v>
      </c>
      <c r="H40" s="8">
        <v>3419</v>
      </c>
      <c r="I40" s="8">
        <f t="shared" si="1"/>
        <v>512.85</v>
      </c>
      <c r="J40" s="8">
        <f t="shared" si="2"/>
        <v>2906.15</v>
      </c>
      <c r="K40" s="8">
        <v>13072</v>
      </c>
      <c r="L40" s="6">
        <v>1</v>
      </c>
      <c r="M40" s="22" t="str" cm="1">
        <f t="array" ref="M40">_xlfn.IFS(L40&gt;10,"Veteran",L40&gt;=6,"Experienced",L40&gt;=2,"Developing",L40&gt;=0,"New")</f>
        <v>New</v>
      </c>
    </row>
    <row r="41" spans="1:13">
      <c r="A41" s="21" t="str">
        <f t="shared" ca="1" si="0"/>
        <v>Sa-Sal-2021-040</v>
      </c>
      <c r="B41" s="6">
        <v>33</v>
      </c>
      <c r="C41" s="6" t="str">
        <f t="shared" si="3"/>
        <v>30-39</v>
      </c>
      <c r="D41" s="6" t="s">
        <v>43</v>
      </c>
      <c r="E41" s="6" t="s">
        <v>37</v>
      </c>
      <c r="F41" s="6" t="s">
        <v>39</v>
      </c>
      <c r="G41" s="6" t="s">
        <v>40</v>
      </c>
      <c r="H41" s="8">
        <v>5376</v>
      </c>
      <c r="I41" s="8">
        <f t="shared" si="1"/>
        <v>806.4</v>
      </c>
      <c r="J41" s="8">
        <f t="shared" si="2"/>
        <v>4569.6000000000004</v>
      </c>
      <c r="K41" s="8">
        <v>3193</v>
      </c>
      <c r="L41" s="6">
        <v>5</v>
      </c>
      <c r="M41" s="22" t="str" cm="1">
        <f t="array" ref="M41">_xlfn.IFS(L41&gt;10,"Veteran",L41&gt;=6,"Experienced",L41&gt;=2,"Developing",L41&gt;=0,"New")</f>
        <v>Developing</v>
      </c>
    </row>
    <row r="42" spans="1:13">
      <c r="A42" s="21" t="str">
        <f t="shared" ca="1" si="0"/>
        <v>La-Res-2025-041</v>
      </c>
      <c r="B42" s="6">
        <v>35</v>
      </c>
      <c r="C42" s="6" t="str">
        <f t="shared" si="3"/>
        <v>30-39</v>
      </c>
      <c r="D42" s="6" t="s">
        <v>43</v>
      </c>
      <c r="E42" s="6" t="s">
        <v>45</v>
      </c>
      <c r="F42" s="6" t="s">
        <v>46</v>
      </c>
      <c r="G42" s="6" t="s">
        <v>50</v>
      </c>
      <c r="H42" s="8">
        <v>1951</v>
      </c>
      <c r="I42" s="8">
        <f t="shared" si="1"/>
        <v>136.57000000000002</v>
      </c>
      <c r="J42" s="8">
        <f t="shared" si="2"/>
        <v>1814.43</v>
      </c>
      <c r="K42" s="8">
        <v>10910</v>
      </c>
      <c r="L42" s="6">
        <v>1</v>
      </c>
      <c r="M42" s="22" t="str" cm="1">
        <f t="array" ref="M42">_xlfn.IFS(L42&gt;10,"Veteran",L42&gt;=6,"Experienced",L42&gt;=2,"Developing",L42&gt;=0,"New")</f>
        <v>New</v>
      </c>
    </row>
    <row r="43" spans="1:13">
      <c r="A43" s="21" t="str">
        <f t="shared" ca="1" si="0"/>
        <v>La-Res-2025-042</v>
      </c>
      <c r="B43" s="6">
        <v>27</v>
      </c>
      <c r="C43" s="6" t="str">
        <f t="shared" si="3"/>
        <v>20-29</v>
      </c>
      <c r="D43" s="6" t="s">
        <v>43</v>
      </c>
      <c r="E43" s="6" t="s">
        <v>45</v>
      </c>
      <c r="F43" s="6" t="s">
        <v>39</v>
      </c>
      <c r="G43" s="6" t="s">
        <v>50</v>
      </c>
      <c r="H43" s="8">
        <v>2341</v>
      </c>
      <c r="I43" s="8">
        <f t="shared" si="1"/>
        <v>163.87</v>
      </c>
      <c r="J43" s="8">
        <f t="shared" si="2"/>
        <v>2177.13</v>
      </c>
      <c r="K43" s="8">
        <v>19715</v>
      </c>
      <c r="L43" s="6">
        <v>1</v>
      </c>
      <c r="M43" s="22" t="str" cm="1">
        <f t="array" ref="M43">_xlfn.IFS(L43&gt;10,"Veteran",L43&gt;=6,"Experienced",L43&gt;=2,"Developing",L43&gt;=0,"New")</f>
        <v>New</v>
      </c>
    </row>
    <row r="44" spans="1:13">
      <c r="A44" s="21" t="str">
        <f t="shared" ca="1" si="0"/>
        <v>La-Res-2025-043</v>
      </c>
      <c r="B44" s="6">
        <v>26</v>
      </c>
      <c r="C44" s="6" t="str">
        <f t="shared" si="3"/>
        <v>20-29</v>
      </c>
      <c r="D44" s="6" t="s">
        <v>35</v>
      </c>
      <c r="E44" s="6" t="s">
        <v>45</v>
      </c>
      <c r="F44" s="6" t="s">
        <v>46</v>
      </c>
      <c r="G44" s="6" t="s">
        <v>50</v>
      </c>
      <c r="H44" s="8">
        <v>2293</v>
      </c>
      <c r="I44" s="8">
        <f t="shared" si="1"/>
        <v>160.51000000000002</v>
      </c>
      <c r="J44" s="8">
        <f t="shared" si="2"/>
        <v>2132.4899999999998</v>
      </c>
      <c r="K44" s="8">
        <v>10558</v>
      </c>
      <c r="L44" s="6">
        <v>1</v>
      </c>
      <c r="M44" s="22" t="str" cm="1">
        <f t="array" ref="M44">_xlfn.IFS(L44&gt;10,"Veteran",L44&gt;=6,"Experienced",L44&gt;=2,"Developing",L44&gt;=0,"New")</f>
        <v>New</v>
      </c>
    </row>
    <row r="45" spans="1:13">
      <c r="A45" s="21" t="str">
        <f t="shared" ca="1" si="0"/>
        <v>Sa-Sal-2017-044</v>
      </c>
      <c r="B45" s="6">
        <v>27</v>
      </c>
      <c r="C45" s="6" t="str">
        <f t="shared" si="3"/>
        <v>20-29</v>
      </c>
      <c r="D45" s="6" t="s">
        <v>43</v>
      </c>
      <c r="E45" s="6" t="s">
        <v>37</v>
      </c>
      <c r="F45" s="6" t="s">
        <v>46</v>
      </c>
      <c r="G45" s="6" t="s">
        <v>40</v>
      </c>
      <c r="H45" s="8">
        <v>8726</v>
      </c>
      <c r="I45" s="8">
        <f t="shared" si="1"/>
        <v>1919.72</v>
      </c>
      <c r="J45" s="8">
        <f t="shared" si="2"/>
        <v>6806.28</v>
      </c>
      <c r="K45" s="8">
        <v>2975</v>
      </c>
      <c r="L45" s="6">
        <v>9</v>
      </c>
      <c r="M45" s="22" t="str" cm="1">
        <f t="array" ref="M45">_xlfn.IFS(L45&gt;10,"Veteran",L45&gt;=6,"Experienced",L45&gt;=2,"Developing",L45&gt;=0,"New")</f>
        <v>Experienced</v>
      </c>
    </row>
    <row r="46" spans="1:13">
      <c r="A46" s="21" t="str">
        <f t="shared" ca="1" si="0"/>
        <v>La-Res-2014-045</v>
      </c>
      <c r="B46" s="6">
        <v>30</v>
      </c>
      <c r="C46" s="6" t="str">
        <f t="shared" si="3"/>
        <v>30-39</v>
      </c>
      <c r="D46" s="6" t="s">
        <v>43</v>
      </c>
      <c r="E46" s="6" t="s">
        <v>45</v>
      </c>
      <c r="F46" s="6" t="s">
        <v>39</v>
      </c>
      <c r="G46" s="6" t="s">
        <v>50</v>
      </c>
      <c r="H46" s="8">
        <v>4011</v>
      </c>
      <c r="I46" s="8">
        <f t="shared" si="1"/>
        <v>601.65</v>
      </c>
      <c r="J46" s="8">
        <f t="shared" si="2"/>
        <v>3409.35</v>
      </c>
      <c r="K46" s="8">
        <v>10781</v>
      </c>
      <c r="L46" s="6">
        <v>12</v>
      </c>
      <c r="M46" s="22" t="str" cm="1">
        <f t="array" ref="M46">_xlfn.IFS(L46&gt;10,"Veteran",L46&gt;=6,"Experienced",L46&gt;=2,"Developing",L46&gt;=0,"New")</f>
        <v>Veteran</v>
      </c>
    </row>
    <row r="47" spans="1:13">
      <c r="A47" s="21" t="str">
        <f t="shared" ca="1" si="0"/>
        <v>Re-Res-2004-046</v>
      </c>
      <c r="B47" s="6">
        <v>41</v>
      </c>
      <c r="C47" s="6" t="str">
        <f t="shared" si="3"/>
        <v>40-49</v>
      </c>
      <c r="D47" s="6" t="s">
        <v>35</v>
      </c>
      <c r="E47" s="6" t="s">
        <v>45</v>
      </c>
      <c r="F47" s="6" t="s">
        <v>39</v>
      </c>
      <c r="G47" s="6" t="s">
        <v>58</v>
      </c>
      <c r="H47" s="8">
        <v>19545</v>
      </c>
      <c r="I47" s="8">
        <f t="shared" si="1"/>
        <v>5863.5</v>
      </c>
      <c r="J47" s="8">
        <f t="shared" si="2"/>
        <v>13681.5</v>
      </c>
      <c r="K47" s="8">
        <v>16280</v>
      </c>
      <c r="L47" s="6">
        <v>22</v>
      </c>
      <c r="M47" s="22" t="str" cm="1">
        <f t="array" ref="M47">_xlfn.IFS(L47&gt;10,"Veteran",L47&gt;=6,"Experienced",L47&gt;=2,"Developing",L47&gt;=0,"New")</f>
        <v>Veteran</v>
      </c>
    </row>
    <row r="48" spans="1:13">
      <c r="A48" s="21" t="str">
        <f t="shared" ca="1" si="0"/>
        <v>Sa-Sal-2017-047</v>
      </c>
      <c r="B48" s="6">
        <v>34</v>
      </c>
      <c r="C48" s="6" t="str">
        <f t="shared" si="3"/>
        <v>30-39</v>
      </c>
      <c r="D48" s="6" t="s">
        <v>43</v>
      </c>
      <c r="E48" s="6" t="s">
        <v>37</v>
      </c>
      <c r="F48" s="6" t="s">
        <v>46</v>
      </c>
      <c r="G48" s="6" t="s">
        <v>40</v>
      </c>
      <c r="H48" s="8">
        <v>4568</v>
      </c>
      <c r="I48" s="8">
        <f t="shared" si="1"/>
        <v>685.19999999999993</v>
      </c>
      <c r="J48" s="8">
        <f t="shared" si="2"/>
        <v>3882.8</v>
      </c>
      <c r="K48" s="8">
        <v>10034</v>
      </c>
      <c r="L48" s="6">
        <v>9</v>
      </c>
      <c r="M48" s="22" t="str" cm="1">
        <f t="array" ref="M48">_xlfn.IFS(L48&gt;10,"Veteran",L48&gt;=6,"Experienced",L48&gt;=2,"Developing",L48&gt;=0,"New")</f>
        <v>Experienced</v>
      </c>
    </row>
    <row r="49" spans="1:13">
      <c r="A49" s="21" t="str">
        <f t="shared" ca="1" si="0"/>
        <v>Re-Res-2025-048</v>
      </c>
      <c r="B49" s="6">
        <v>37</v>
      </c>
      <c r="C49" s="6" t="str">
        <f t="shared" si="3"/>
        <v>30-39</v>
      </c>
      <c r="D49" s="6" t="s">
        <v>43</v>
      </c>
      <c r="E49" s="6" t="s">
        <v>45</v>
      </c>
      <c r="F49" s="6" t="s">
        <v>46</v>
      </c>
      <c r="G49" s="6" t="s">
        <v>47</v>
      </c>
      <c r="H49" s="8">
        <v>3022</v>
      </c>
      <c r="I49" s="8">
        <f t="shared" si="1"/>
        <v>453.3</v>
      </c>
      <c r="J49" s="8">
        <f t="shared" si="2"/>
        <v>2568.6999999999998</v>
      </c>
      <c r="K49" s="8">
        <v>10227</v>
      </c>
      <c r="L49" s="6">
        <v>1</v>
      </c>
      <c r="M49" s="22" t="str" cm="1">
        <f t="array" ref="M49">_xlfn.IFS(L49&gt;10,"Veteran",L49&gt;=6,"Experienced",L49&gt;=2,"Developing",L49&gt;=0,"New")</f>
        <v>New</v>
      </c>
    </row>
    <row r="50" spans="1:13">
      <c r="A50" s="21" t="str">
        <f t="shared" ca="1" si="0"/>
        <v>Sa-Sal-2017-049</v>
      </c>
      <c r="B50" s="6">
        <v>46</v>
      </c>
      <c r="C50" s="6" t="str">
        <f t="shared" si="3"/>
        <v>40-49</v>
      </c>
      <c r="D50" s="6" t="s">
        <v>43</v>
      </c>
      <c r="E50" s="6" t="s">
        <v>37</v>
      </c>
      <c r="F50" s="6" t="s">
        <v>46</v>
      </c>
      <c r="G50" s="6" t="s">
        <v>40</v>
      </c>
      <c r="H50" s="8">
        <v>5772</v>
      </c>
      <c r="I50" s="8">
        <f t="shared" si="1"/>
        <v>865.8</v>
      </c>
      <c r="J50" s="8">
        <f t="shared" si="2"/>
        <v>4906.2</v>
      </c>
      <c r="K50" s="8">
        <v>20445</v>
      </c>
      <c r="L50" s="6">
        <v>9</v>
      </c>
      <c r="M50" s="22" t="str" cm="1">
        <f t="array" ref="M50">_xlfn.IFS(L50&gt;10,"Veteran",L50&gt;=6,"Experienced",L50&gt;=2,"Developing",L50&gt;=0,"New")</f>
        <v>Experienced</v>
      </c>
    </row>
    <row r="51" spans="1:13">
      <c r="A51" s="21" t="str">
        <f t="shared" ca="1" si="0"/>
        <v>La-Res-2025-050</v>
      </c>
      <c r="B51" s="6">
        <v>35</v>
      </c>
      <c r="C51" s="6" t="str">
        <f t="shared" si="3"/>
        <v>30-39</v>
      </c>
      <c r="D51" s="6" t="s">
        <v>43</v>
      </c>
      <c r="E51" s="6" t="s">
        <v>45</v>
      </c>
      <c r="F51" s="6" t="s">
        <v>46</v>
      </c>
      <c r="G51" s="6" t="s">
        <v>50</v>
      </c>
      <c r="H51" s="8">
        <v>2269</v>
      </c>
      <c r="I51" s="8">
        <f t="shared" si="1"/>
        <v>158.83000000000001</v>
      </c>
      <c r="J51" s="8">
        <f t="shared" si="2"/>
        <v>2110.17</v>
      </c>
      <c r="K51" s="8">
        <v>4892</v>
      </c>
      <c r="L51" s="6">
        <v>1</v>
      </c>
      <c r="M51" s="22" t="str" cm="1">
        <f t="array" ref="M51">_xlfn.IFS(L51&gt;10,"Veteran",L51&gt;=6,"Experienced",L51&gt;=2,"Developing",L51&gt;=0,"New")</f>
        <v>New</v>
      </c>
    </row>
    <row r="52" spans="1:13">
      <c r="A52" s="21" t="str">
        <f t="shared" ca="1" si="0"/>
        <v>La-Res-2025-051</v>
      </c>
      <c r="B52" s="6">
        <v>48</v>
      </c>
      <c r="C52" s="6" t="str">
        <f t="shared" si="3"/>
        <v>40-49</v>
      </c>
      <c r="D52" s="6" t="s">
        <v>35</v>
      </c>
      <c r="E52" s="6" t="s">
        <v>45</v>
      </c>
      <c r="F52" s="6" t="s">
        <v>46</v>
      </c>
      <c r="G52" s="6" t="s">
        <v>50</v>
      </c>
      <c r="H52" s="8">
        <v>5381</v>
      </c>
      <c r="I52" s="8">
        <f t="shared" si="1"/>
        <v>807.15</v>
      </c>
      <c r="J52" s="8">
        <f t="shared" si="2"/>
        <v>4573.8500000000004</v>
      </c>
      <c r="K52" s="8">
        <v>19294</v>
      </c>
      <c r="L52" s="6">
        <v>1</v>
      </c>
      <c r="M52" s="22" t="str" cm="1">
        <f t="array" ref="M52">_xlfn.IFS(L52&gt;10,"Veteran",L52&gt;=6,"Experienced",L52&gt;=2,"Developing",L52&gt;=0,"New")</f>
        <v>New</v>
      </c>
    </row>
    <row r="53" spans="1:13">
      <c r="A53" s="21" t="str">
        <f t="shared" ca="1" si="0"/>
        <v>La-Res-2024-052</v>
      </c>
      <c r="B53" s="6">
        <v>28</v>
      </c>
      <c r="C53" s="6" t="str">
        <f t="shared" si="3"/>
        <v>20-29</v>
      </c>
      <c r="D53" s="6" t="s">
        <v>35</v>
      </c>
      <c r="E53" s="6" t="s">
        <v>45</v>
      </c>
      <c r="F53" s="6" t="s">
        <v>46</v>
      </c>
      <c r="G53" s="6" t="s">
        <v>50</v>
      </c>
      <c r="H53" s="8">
        <v>3441</v>
      </c>
      <c r="I53" s="8">
        <f t="shared" si="1"/>
        <v>516.15</v>
      </c>
      <c r="J53" s="8">
        <f t="shared" si="2"/>
        <v>2924.85</v>
      </c>
      <c r="K53" s="8">
        <v>11179</v>
      </c>
      <c r="L53" s="6">
        <v>2</v>
      </c>
      <c r="M53" s="22" t="str" cm="1">
        <f t="array" ref="M53">_xlfn.IFS(L53&gt;10,"Veteran",L53&gt;=6,"Experienced",L53&gt;=2,"Developing",L53&gt;=0,"New")</f>
        <v>Developing</v>
      </c>
    </row>
    <row r="54" spans="1:13">
      <c r="A54" s="21" t="str">
        <f t="shared" ca="1" si="0"/>
        <v>Sa-Sal-2022-053</v>
      </c>
      <c r="B54" s="6">
        <v>44</v>
      </c>
      <c r="C54" s="6" t="str">
        <f t="shared" si="3"/>
        <v>40-49</v>
      </c>
      <c r="D54" s="6" t="s">
        <v>43</v>
      </c>
      <c r="E54" s="6" t="s">
        <v>37</v>
      </c>
      <c r="F54" s="6" t="s">
        <v>39</v>
      </c>
      <c r="G54" s="6" t="s">
        <v>40</v>
      </c>
      <c r="H54" s="8">
        <v>5454</v>
      </c>
      <c r="I54" s="8">
        <f t="shared" si="1"/>
        <v>818.1</v>
      </c>
      <c r="J54" s="8">
        <f t="shared" si="2"/>
        <v>4635.8999999999996</v>
      </c>
      <c r="K54" s="8">
        <v>4009</v>
      </c>
      <c r="L54" s="6">
        <v>4</v>
      </c>
      <c r="M54" s="22" t="str" cm="1">
        <f t="array" ref="M54">_xlfn.IFS(L54&gt;10,"Veteran",L54&gt;=6,"Experienced",L54&gt;=2,"Developing",L54&gt;=0,"New")</f>
        <v>Developing</v>
      </c>
    </row>
    <row r="55" spans="1:13">
      <c r="A55" s="21" t="str">
        <f t="shared" ca="1" si="0"/>
        <v>He-Res-2022-054</v>
      </c>
      <c r="B55" s="6">
        <v>35</v>
      </c>
      <c r="C55" s="6" t="str">
        <f t="shared" si="3"/>
        <v>30-39</v>
      </c>
      <c r="D55" s="6" t="s">
        <v>43</v>
      </c>
      <c r="E55" s="6" t="s">
        <v>45</v>
      </c>
      <c r="F55" s="6" t="s">
        <v>46</v>
      </c>
      <c r="G55" s="6" t="s">
        <v>54</v>
      </c>
      <c r="H55" s="8">
        <v>9884</v>
      </c>
      <c r="I55" s="8">
        <f t="shared" si="1"/>
        <v>2174.48</v>
      </c>
      <c r="J55" s="8">
        <f t="shared" si="2"/>
        <v>7709.52</v>
      </c>
      <c r="K55" s="8">
        <v>8302</v>
      </c>
      <c r="L55" s="6">
        <v>4</v>
      </c>
      <c r="M55" s="22" t="str" cm="1">
        <f t="array" ref="M55">_xlfn.IFS(L55&gt;10,"Veteran",L55&gt;=6,"Experienced",L55&gt;=2,"Developing",L55&gt;=0,"New")</f>
        <v>Developing</v>
      </c>
    </row>
    <row r="56" spans="1:13">
      <c r="A56" s="21" t="str">
        <f t="shared" ca="1" si="0"/>
        <v>Sa-Sal-2024-055</v>
      </c>
      <c r="B56" s="6">
        <v>26</v>
      </c>
      <c r="C56" s="6" t="str">
        <f t="shared" si="3"/>
        <v>20-29</v>
      </c>
      <c r="D56" s="6" t="s">
        <v>43</v>
      </c>
      <c r="E56" s="6" t="s">
        <v>37</v>
      </c>
      <c r="F56" s="6" t="s">
        <v>39</v>
      </c>
      <c r="G56" s="6" t="s">
        <v>40</v>
      </c>
      <c r="H56" s="8">
        <v>4157</v>
      </c>
      <c r="I56" s="8">
        <f t="shared" si="1"/>
        <v>623.54999999999995</v>
      </c>
      <c r="J56" s="8">
        <f t="shared" si="2"/>
        <v>3533.45</v>
      </c>
      <c r="K56" s="8">
        <v>21436</v>
      </c>
      <c r="L56" s="6">
        <v>2</v>
      </c>
      <c r="M56" s="22" t="str" cm="1">
        <f t="array" ref="M56">_xlfn.IFS(L56&gt;10,"Veteran",L56&gt;=6,"Experienced",L56&gt;=2,"Developing",L56&gt;=0,"New")</f>
        <v>Developing</v>
      </c>
    </row>
    <row r="57" spans="1:13">
      <c r="A57" s="21" t="str">
        <f t="shared" ca="1" si="0"/>
        <v>Re-Res-2011-056</v>
      </c>
      <c r="B57" s="6">
        <v>33</v>
      </c>
      <c r="C57" s="6" t="str">
        <f t="shared" si="3"/>
        <v>30-39</v>
      </c>
      <c r="D57" s="6" t="s">
        <v>43</v>
      </c>
      <c r="E57" s="6" t="s">
        <v>45</v>
      </c>
      <c r="F57" s="6" t="s">
        <v>39</v>
      </c>
      <c r="G57" s="6" t="s">
        <v>58</v>
      </c>
      <c r="H57" s="8">
        <v>13458</v>
      </c>
      <c r="I57" s="8">
        <f t="shared" si="1"/>
        <v>4037.3999999999996</v>
      </c>
      <c r="J57" s="8">
        <f t="shared" si="2"/>
        <v>9420.6</v>
      </c>
      <c r="K57" s="8">
        <v>15146</v>
      </c>
      <c r="L57" s="6">
        <v>15</v>
      </c>
      <c r="M57" s="22" t="str" cm="1">
        <f t="array" ref="M57">_xlfn.IFS(L57&gt;10,"Veteran",L57&gt;=6,"Experienced",L57&gt;=2,"Developing",L57&gt;=0,"New")</f>
        <v>Veteran</v>
      </c>
    </row>
    <row r="58" spans="1:13">
      <c r="A58" s="21" t="str">
        <f t="shared" ca="1" si="0"/>
        <v>Sa-Sal-2017-057</v>
      </c>
      <c r="B58" s="6">
        <v>35</v>
      </c>
      <c r="C58" s="6" t="str">
        <f t="shared" si="3"/>
        <v>30-39</v>
      </c>
      <c r="D58" s="6" t="s">
        <v>43</v>
      </c>
      <c r="E58" s="6" t="s">
        <v>37</v>
      </c>
      <c r="F58" s="6" t="s">
        <v>46</v>
      </c>
      <c r="G58" s="6" t="s">
        <v>40</v>
      </c>
      <c r="H58" s="8">
        <v>9069</v>
      </c>
      <c r="I58" s="8">
        <f t="shared" si="1"/>
        <v>1995.18</v>
      </c>
      <c r="J58" s="8">
        <f t="shared" si="2"/>
        <v>7073.82</v>
      </c>
      <c r="K58" s="8">
        <v>11031</v>
      </c>
      <c r="L58" s="6">
        <v>9</v>
      </c>
      <c r="M58" s="22" t="str" cm="1">
        <f t="array" ref="M58">_xlfn.IFS(L58&gt;10,"Veteran",L58&gt;=6,"Experienced",L58&gt;=2,"Developing",L58&gt;=0,"New")</f>
        <v>Experienced</v>
      </c>
    </row>
    <row r="59" spans="1:13">
      <c r="A59" s="21" t="str">
        <f t="shared" ca="1" si="0"/>
        <v>La-Res-2024-058</v>
      </c>
      <c r="B59" s="6">
        <v>35</v>
      </c>
      <c r="C59" s="6" t="str">
        <f t="shared" si="3"/>
        <v>30-39</v>
      </c>
      <c r="D59" s="6" t="s">
        <v>43</v>
      </c>
      <c r="E59" s="6" t="s">
        <v>45</v>
      </c>
      <c r="F59" s="6" t="s">
        <v>39</v>
      </c>
      <c r="G59" s="6" t="s">
        <v>50</v>
      </c>
      <c r="H59" s="8">
        <v>4014</v>
      </c>
      <c r="I59" s="8">
        <f t="shared" si="1"/>
        <v>602.1</v>
      </c>
      <c r="J59" s="8">
        <f t="shared" si="2"/>
        <v>3411.9</v>
      </c>
      <c r="K59" s="8">
        <v>16002</v>
      </c>
      <c r="L59" s="6">
        <v>2</v>
      </c>
      <c r="M59" s="22" t="str" cm="1">
        <f t="array" ref="M59">_xlfn.IFS(L59&gt;10,"Veteran",L59&gt;=6,"Experienced",L59&gt;=2,"Developing",L59&gt;=0,"New")</f>
        <v>Developing</v>
      </c>
    </row>
    <row r="60" spans="1:13">
      <c r="A60" s="21" t="str">
        <f t="shared" ca="1" si="0"/>
        <v>La-Res-2019-059</v>
      </c>
      <c r="B60" s="6">
        <v>31</v>
      </c>
      <c r="C60" s="6" t="str">
        <f t="shared" si="3"/>
        <v>30-39</v>
      </c>
      <c r="D60" s="6" t="s">
        <v>43</v>
      </c>
      <c r="E60" s="6" t="s">
        <v>45</v>
      </c>
      <c r="F60" s="6" t="s">
        <v>46</v>
      </c>
      <c r="G60" s="6" t="s">
        <v>50</v>
      </c>
      <c r="H60" s="8">
        <v>5915</v>
      </c>
      <c r="I60" s="8">
        <f t="shared" si="1"/>
        <v>887.25</v>
      </c>
      <c r="J60" s="8">
        <f t="shared" si="2"/>
        <v>5027.75</v>
      </c>
      <c r="K60" s="8">
        <v>9528</v>
      </c>
      <c r="L60" s="6">
        <v>7</v>
      </c>
      <c r="M60" s="22" t="str" cm="1">
        <f t="array" ref="M60">_xlfn.IFS(L60&gt;10,"Veteran",L60&gt;=6,"Experienced",L60&gt;=2,"Developing",L60&gt;=0,"New")</f>
        <v>Experienced</v>
      </c>
    </row>
    <row r="61" spans="1:13">
      <c r="A61" s="21" t="str">
        <f t="shared" ca="1" si="0"/>
        <v>Ma-Res-2019-060</v>
      </c>
      <c r="B61" s="6">
        <v>37</v>
      </c>
      <c r="C61" s="6" t="str">
        <f t="shared" si="3"/>
        <v>30-39</v>
      </c>
      <c r="D61" s="6" t="s">
        <v>43</v>
      </c>
      <c r="E61" s="6" t="s">
        <v>45</v>
      </c>
      <c r="F61" s="6" t="s">
        <v>46</v>
      </c>
      <c r="G61" s="6" t="s">
        <v>53</v>
      </c>
      <c r="H61" s="8">
        <v>5993</v>
      </c>
      <c r="I61" s="8">
        <f t="shared" si="1"/>
        <v>898.94999999999993</v>
      </c>
      <c r="J61" s="8">
        <f t="shared" si="2"/>
        <v>5094.05</v>
      </c>
      <c r="K61" s="8">
        <v>2689</v>
      </c>
      <c r="L61" s="6">
        <v>7</v>
      </c>
      <c r="M61" s="22" t="str" cm="1">
        <f t="array" ref="M61">_xlfn.IFS(L61&gt;10,"Veteran",L61&gt;=6,"Experienced",L61&gt;=2,"Developing",L61&gt;=0,"New")</f>
        <v>Experienced</v>
      </c>
    </row>
    <row r="62" spans="1:13">
      <c r="A62" s="21" t="str">
        <f t="shared" ca="1" si="0"/>
        <v>Ma-Res-2017-061</v>
      </c>
      <c r="B62" s="6">
        <v>32</v>
      </c>
      <c r="C62" s="6" t="str">
        <f t="shared" si="3"/>
        <v>30-39</v>
      </c>
      <c r="D62" s="6" t="s">
        <v>43</v>
      </c>
      <c r="E62" s="6" t="s">
        <v>45</v>
      </c>
      <c r="F62" s="6" t="s">
        <v>46</v>
      </c>
      <c r="G62" s="6" t="s">
        <v>53</v>
      </c>
      <c r="H62" s="8">
        <v>6162</v>
      </c>
      <c r="I62" s="8">
        <f t="shared" si="1"/>
        <v>924.3</v>
      </c>
      <c r="J62" s="8">
        <f t="shared" si="2"/>
        <v>5237.7</v>
      </c>
      <c r="K62" s="8">
        <v>10877</v>
      </c>
      <c r="L62" s="6">
        <v>9</v>
      </c>
      <c r="M62" s="22" t="str" cm="1">
        <f t="array" ref="M62">_xlfn.IFS(L62&gt;10,"Veteran",L62&gt;=6,"Experienced",L62&gt;=2,"Developing",L62&gt;=0,"New")</f>
        <v>Experienced</v>
      </c>
    </row>
    <row r="63" spans="1:13">
      <c r="A63" s="21" t="str">
        <f t="shared" ca="1" si="0"/>
        <v>La-Res-2016-062</v>
      </c>
      <c r="B63" s="6">
        <v>38</v>
      </c>
      <c r="C63" s="6" t="str">
        <f t="shared" si="3"/>
        <v>30-39</v>
      </c>
      <c r="D63" s="6" t="s">
        <v>43</v>
      </c>
      <c r="E63" s="6" t="s">
        <v>45</v>
      </c>
      <c r="F63" s="6" t="s">
        <v>39</v>
      </c>
      <c r="G63" s="6" t="s">
        <v>50</v>
      </c>
      <c r="H63" s="8">
        <v>2406</v>
      </c>
      <c r="I63" s="8">
        <f t="shared" si="1"/>
        <v>168.42000000000002</v>
      </c>
      <c r="J63" s="8">
        <f t="shared" si="2"/>
        <v>2237.58</v>
      </c>
      <c r="K63" s="8">
        <v>5456</v>
      </c>
      <c r="L63" s="6">
        <v>10</v>
      </c>
      <c r="M63" s="22" t="str" cm="1">
        <f t="array" ref="M63">_xlfn.IFS(L63&gt;10,"Veteran",L63&gt;=6,"Experienced",L63&gt;=2,"Developing",L63&gt;=0,"New")</f>
        <v>Experienced</v>
      </c>
    </row>
    <row r="64" spans="1:13">
      <c r="A64" s="21" t="str">
        <f t="shared" ca="1" si="0"/>
        <v>Re-Res-1999-063</v>
      </c>
      <c r="B64" s="6">
        <v>50</v>
      </c>
      <c r="C64" s="6" t="str">
        <f t="shared" si="3"/>
        <v>50+</v>
      </c>
      <c r="D64" s="6" t="s">
        <v>43</v>
      </c>
      <c r="E64" s="6" t="s">
        <v>45</v>
      </c>
      <c r="F64" s="6" t="s">
        <v>39</v>
      </c>
      <c r="G64" s="6" t="s">
        <v>58</v>
      </c>
      <c r="H64" s="8">
        <v>18740</v>
      </c>
      <c r="I64" s="8">
        <f t="shared" si="1"/>
        <v>5622</v>
      </c>
      <c r="J64" s="8">
        <f t="shared" si="2"/>
        <v>13118</v>
      </c>
      <c r="K64" s="8">
        <v>16701</v>
      </c>
      <c r="L64" s="6">
        <v>27</v>
      </c>
      <c r="M64" s="22" t="str" cm="1">
        <f t="array" ref="M64">_xlfn.IFS(L64&gt;10,"Veteran",L64&gt;=6,"Experienced",L64&gt;=2,"Developing",L64&gt;=0,"New")</f>
        <v>Veteran</v>
      </c>
    </row>
    <row r="65" spans="1:13">
      <c r="A65" s="21" t="str">
        <f t="shared" ca="1" si="0"/>
        <v>Sa-Sal-2005-064</v>
      </c>
      <c r="B65" s="6">
        <v>59</v>
      </c>
      <c r="C65" s="6" t="str">
        <f t="shared" si="3"/>
        <v>50+</v>
      </c>
      <c r="D65" s="6" t="s">
        <v>43</v>
      </c>
      <c r="E65" s="6" t="s">
        <v>37</v>
      </c>
      <c r="F65" s="6" t="s">
        <v>39</v>
      </c>
      <c r="G65" s="6" t="s">
        <v>40</v>
      </c>
      <c r="H65" s="8">
        <v>7637</v>
      </c>
      <c r="I65" s="8">
        <f t="shared" si="1"/>
        <v>1680.14</v>
      </c>
      <c r="J65" s="8">
        <f t="shared" si="2"/>
        <v>5956.86</v>
      </c>
      <c r="K65" s="8">
        <v>2354</v>
      </c>
      <c r="L65" s="6">
        <v>21</v>
      </c>
      <c r="M65" s="22" t="str" cm="1">
        <f t="array" ref="M65">_xlfn.IFS(L65&gt;10,"Veteran",L65&gt;=6,"Experienced",L65&gt;=2,"Developing",L65&gt;=0,"New")</f>
        <v>Veteran</v>
      </c>
    </row>
    <row r="66" spans="1:13">
      <c r="A66" s="21" t="str">
        <f t="shared" ca="1" si="0"/>
        <v>He-Res-2009-065</v>
      </c>
      <c r="B66" s="6">
        <v>36</v>
      </c>
      <c r="C66" s="6" t="str">
        <f t="shared" si="3"/>
        <v>30-39</v>
      </c>
      <c r="D66" s="6" t="s">
        <v>43</v>
      </c>
      <c r="E66" s="6" t="s">
        <v>45</v>
      </c>
      <c r="F66" s="6" t="s">
        <v>39</v>
      </c>
      <c r="G66" s="6" t="s">
        <v>54</v>
      </c>
      <c r="H66" s="8">
        <v>10096</v>
      </c>
      <c r="I66" s="8">
        <f t="shared" si="1"/>
        <v>2221.12</v>
      </c>
      <c r="J66" s="8">
        <f t="shared" si="2"/>
        <v>7874.88</v>
      </c>
      <c r="K66" s="8">
        <v>8202</v>
      </c>
      <c r="L66" s="6">
        <v>17</v>
      </c>
      <c r="M66" s="22" t="str" cm="1">
        <f t="array" ref="M66">_xlfn.IFS(L66&gt;10,"Veteran",L66&gt;=6,"Experienced",L66&gt;=2,"Developing",L66&gt;=0,"New")</f>
        <v>Veteran</v>
      </c>
    </row>
    <row r="67" spans="1:13">
      <c r="A67" s="21" t="str">
        <f t="shared" ref="A67:A130" ca="1" si="4">LEFT(G67,2)&amp;"-"&amp;LEFT(E67,3)&amp;"-"&amp;YEAR(TODAY())-L67&amp;"-"&amp;TEXT(ROW()-1,"000")</f>
        <v>Ma-Res-2021-066</v>
      </c>
      <c r="B67" s="6">
        <v>55</v>
      </c>
      <c r="C67" s="6" t="str">
        <f t="shared" ref="C67:C130" si="5">IF(B67&lt;=29,"20-29",IF(B67&lt;=39,"30-39",IF(B67&lt;=49,"40-49","50+")))</f>
        <v>50+</v>
      </c>
      <c r="D67" s="6" t="s">
        <v>43</v>
      </c>
      <c r="E67" s="6" t="s">
        <v>45</v>
      </c>
      <c r="F67" s="6" t="s">
        <v>39</v>
      </c>
      <c r="G67" s="6" t="s">
        <v>56</v>
      </c>
      <c r="H67" s="8">
        <v>14756</v>
      </c>
      <c r="I67" s="8">
        <f t="shared" ref="I67:I130" si="6">IF(H67&gt;13000,H67*30%,IF(H67&gt;7000,H67*22%,IF(H67&gt;3000,H67*15%,H67*7%)))</f>
        <v>4426.8</v>
      </c>
      <c r="J67" s="8">
        <f t="shared" ref="J67:J130" si="7">H67-I67</f>
        <v>10329.200000000001</v>
      </c>
      <c r="K67" s="8">
        <v>19730</v>
      </c>
      <c r="L67" s="6">
        <v>5</v>
      </c>
      <c r="M67" s="22" t="str" cm="1">
        <f t="array" ref="M67">_xlfn.IFS(L67&gt;10,"Veteran",L67&gt;=6,"Experienced",L67&gt;=2,"Developing",L67&gt;=0,"New")</f>
        <v>Developing</v>
      </c>
    </row>
    <row r="68" spans="1:13">
      <c r="A68" s="21" t="str">
        <f t="shared" ca="1" si="4"/>
        <v>Ma-Res-2020-067</v>
      </c>
      <c r="B68" s="6">
        <v>36</v>
      </c>
      <c r="C68" s="6" t="str">
        <f t="shared" si="5"/>
        <v>30-39</v>
      </c>
      <c r="D68" s="6" t="s">
        <v>43</v>
      </c>
      <c r="E68" s="6" t="s">
        <v>45</v>
      </c>
      <c r="F68" s="6" t="s">
        <v>46</v>
      </c>
      <c r="G68" s="6" t="s">
        <v>53</v>
      </c>
      <c r="H68" s="8">
        <v>6499</v>
      </c>
      <c r="I68" s="8">
        <f t="shared" si="6"/>
        <v>974.84999999999991</v>
      </c>
      <c r="J68" s="8">
        <f t="shared" si="7"/>
        <v>5524.15</v>
      </c>
      <c r="K68" s="8">
        <v>22656</v>
      </c>
      <c r="L68" s="6">
        <v>6</v>
      </c>
      <c r="M68" s="22" t="str" cm="1">
        <f t="array" ref="M68">_xlfn.IFS(L68&gt;10,"Veteran",L68&gt;=6,"Experienced",L68&gt;=2,"Developing",L68&gt;=0,"New")</f>
        <v>Experienced</v>
      </c>
    </row>
    <row r="69" spans="1:13">
      <c r="A69" s="21" t="str">
        <f t="shared" ca="1" si="4"/>
        <v>Re-Res-2025-068</v>
      </c>
      <c r="B69" s="6">
        <v>45</v>
      </c>
      <c r="C69" s="6" t="str">
        <f t="shared" si="5"/>
        <v>40-49</v>
      </c>
      <c r="D69" s="6" t="s">
        <v>43</v>
      </c>
      <c r="E69" s="6" t="s">
        <v>45</v>
      </c>
      <c r="F69" s="6" t="s">
        <v>46</v>
      </c>
      <c r="G69" s="6" t="s">
        <v>47</v>
      </c>
      <c r="H69" s="8">
        <v>9724</v>
      </c>
      <c r="I69" s="8">
        <f t="shared" si="6"/>
        <v>2139.2800000000002</v>
      </c>
      <c r="J69" s="8">
        <f t="shared" si="7"/>
        <v>7584.7199999999993</v>
      </c>
      <c r="K69" s="8">
        <v>18787</v>
      </c>
      <c r="L69" s="6">
        <v>1</v>
      </c>
      <c r="M69" s="22" t="str" cm="1">
        <f t="array" ref="M69">_xlfn.IFS(L69&gt;10,"Veteran",L69&gt;=6,"Experienced",L69&gt;=2,"Developing",L69&gt;=0,"New")</f>
        <v>New</v>
      </c>
    </row>
    <row r="70" spans="1:13">
      <c r="A70" s="21" t="str">
        <f t="shared" ca="1" si="4"/>
        <v>Re-Res-2023-069</v>
      </c>
      <c r="B70" s="6">
        <v>35</v>
      </c>
      <c r="C70" s="6" t="str">
        <f t="shared" si="5"/>
        <v>30-39</v>
      </c>
      <c r="D70" s="6" t="s">
        <v>43</v>
      </c>
      <c r="E70" s="6" t="s">
        <v>45</v>
      </c>
      <c r="F70" s="6" t="s">
        <v>46</v>
      </c>
      <c r="G70" s="6" t="s">
        <v>47</v>
      </c>
      <c r="H70" s="8">
        <v>2194</v>
      </c>
      <c r="I70" s="8">
        <f t="shared" si="6"/>
        <v>153.58000000000001</v>
      </c>
      <c r="J70" s="8">
        <f t="shared" si="7"/>
        <v>2040.42</v>
      </c>
      <c r="K70" s="8">
        <v>5868</v>
      </c>
      <c r="L70" s="6">
        <v>3</v>
      </c>
      <c r="M70" s="22" t="str" cm="1">
        <f t="array" ref="M70">_xlfn.IFS(L70&gt;10,"Veteran",L70&gt;=6,"Experienced",L70&gt;=2,"Developing",L70&gt;=0,"New")</f>
        <v>Developing</v>
      </c>
    </row>
    <row r="71" spans="1:13">
      <c r="A71" s="21" t="str">
        <f t="shared" ca="1" si="4"/>
        <v>Re-Res-2025-070</v>
      </c>
      <c r="B71" s="6">
        <v>36</v>
      </c>
      <c r="C71" s="6" t="str">
        <f t="shared" si="5"/>
        <v>30-39</v>
      </c>
      <c r="D71" s="6" t="s">
        <v>35</v>
      </c>
      <c r="E71" s="6" t="s">
        <v>45</v>
      </c>
      <c r="F71" s="6" t="s">
        <v>46</v>
      </c>
      <c r="G71" s="6" t="s">
        <v>47</v>
      </c>
      <c r="H71" s="8">
        <v>3388</v>
      </c>
      <c r="I71" s="8">
        <f t="shared" si="6"/>
        <v>508.2</v>
      </c>
      <c r="J71" s="8">
        <f t="shared" si="7"/>
        <v>2879.8</v>
      </c>
      <c r="K71" s="8">
        <v>21777</v>
      </c>
      <c r="L71" s="6">
        <v>1</v>
      </c>
      <c r="M71" s="22" t="str" cm="1">
        <f t="array" ref="M71">_xlfn.IFS(L71&gt;10,"Veteran",L71&gt;=6,"Experienced",L71&gt;=2,"Developing",L71&gt;=0,"New")</f>
        <v>New</v>
      </c>
    </row>
    <row r="72" spans="1:13">
      <c r="A72" s="21" t="str">
        <f t="shared" ca="1" si="4"/>
        <v>Sa-Sal-2022-071</v>
      </c>
      <c r="B72" s="6">
        <v>59</v>
      </c>
      <c r="C72" s="6" t="str">
        <f t="shared" si="5"/>
        <v>50+</v>
      </c>
      <c r="D72" s="6" t="s">
        <v>43</v>
      </c>
      <c r="E72" s="6" t="s">
        <v>37</v>
      </c>
      <c r="F72" s="6" t="s">
        <v>39</v>
      </c>
      <c r="G72" s="6" t="s">
        <v>40</v>
      </c>
      <c r="H72" s="8">
        <v>5473</v>
      </c>
      <c r="I72" s="8">
        <f t="shared" si="6"/>
        <v>820.94999999999993</v>
      </c>
      <c r="J72" s="8">
        <f t="shared" si="7"/>
        <v>4652.05</v>
      </c>
      <c r="K72" s="8">
        <v>24668</v>
      </c>
      <c r="L72" s="6">
        <v>4</v>
      </c>
      <c r="M72" s="22" t="str" cm="1">
        <f t="array" ref="M72">_xlfn.IFS(L72&gt;10,"Veteran",L72&gt;=6,"Experienced",L72&gt;=2,"Developing",L72&gt;=0,"New")</f>
        <v>Developing</v>
      </c>
    </row>
    <row r="73" spans="1:13">
      <c r="A73" s="21" t="str">
        <f t="shared" ca="1" si="4"/>
        <v>Re-Res-2021-072</v>
      </c>
      <c r="B73" s="6">
        <v>29</v>
      </c>
      <c r="C73" s="6" t="str">
        <f t="shared" si="5"/>
        <v>20-29</v>
      </c>
      <c r="D73" s="6" t="s">
        <v>43</v>
      </c>
      <c r="E73" s="6" t="s">
        <v>45</v>
      </c>
      <c r="F73" s="6" t="s">
        <v>46</v>
      </c>
      <c r="G73" s="6" t="s">
        <v>47</v>
      </c>
      <c r="H73" s="8">
        <v>2703</v>
      </c>
      <c r="I73" s="8">
        <f t="shared" si="6"/>
        <v>189.21</v>
      </c>
      <c r="J73" s="8">
        <f t="shared" si="7"/>
        <v>2513.79</v>
      </c>
      <c r="K73" s="8">
        <v>4956</v>
      </c>
      <c r="L73" s="6">
        <v>5</v>
      </c>
      <c r="M73" s="22" t="str" cm="1">
        <f t="array" ref="M73">_xlfn.IFS(L73&gt;10,"Veteran",L73&gt;=6,"Experienced",L73&gt;=2,"Developing",L73&gt;=0,"New")</f>
        <v>Developing</v>
      </c>
    </row>
    <row r="74" spans="1:13">
      <c r="A74" s="21" t="str">
        <f t="shared" ca="1" si="4"/>
        <v>Re-Res-2025-073</v>
      </c>
      <c r="B74" s="6">
        <v>31</v>
      </c>
      <c r="C74" s="6" t="str">
        <f t="shared" si="5"/>
        <v>30-39</v>
      </c>
      <c r="D74" s="6" t="s">
        <v>43</v>
      </c>
      <c r="E74" s="6" t="s">
        <v>45</v>
      </c>
      <c r="F74" s="6" t="s">
        <v>46</v>
      </c>
      <c r="G74" s="6" t="s">
        <v>47</v>
      </c>
      <c r="H74" s="8">
        <v>2501</v>
      </c>
      <c r="I74" s="8">
        <f t="shared" si="6"/>
        <v>175.07000000000002</v>
      </c>
      <c r="J74" s="8">
        <f t="shared" si="7"/>
        <v>2325.9299999999998</v>
      </c>
      <c r="K74" s="8">
        <v>18775</v>
      </c>
      <c r="L74" s="6">
        <v>1</v>
      </c>
      <c r="M74" s="22" t="str" cm="1">
        <f t="array" ref="M74">_xlfn.IFS(L74&gt;10,"Veteran",L74&gt;=6,"Experienced",L74&gt;=2,"Developing",L74&gt;=0,"New")</f>
        <v>New</v>
      </c>
    </row>
    <row r="75" spans="1:13">
      <c r="A75" s="21" t="str">
        <f t="shared" ca="1" si="4"/>
        <v>Re-Res-2016-074</v>
      </c>
      <c r="B75" s="6">
        <v>32</v>
      </c>
      <c r="C75" s="6" t="str">
        <f t="shared" si="5"/>
        <v>30-39</v>
      </c>
      <c r="D75" s="6" t="s">
        <v>43</v>
      </c>
      <c r="E75" s="6" t="s">
        <v>45</v>
      </c>
      <c r="F75" s="6" t="s">
        <v>46</v>
      </c>
      <c r="G75" s="6" t="s">
        <v>47</v>
      </c>
      <c r="H75" s="8">
        <v>6220</v>
      </c>
      <c r="I75" s="8">
        <f t="shared" si="6"/>
        <v>933</v>
      </c>
      <c r="J75" s="8">
        <f t="shared" si="7"/>
        <v>5287</v>
      </c>
      <c r="K75" s="8">
        <v>7346</v>
      </c>
      <c r="L75" s="6">
        <v>10</v>
      </c>
      <c r="M75" s="22" t="str" cm="1">
        <f t="array" ref="M75">_xlfn.IFS(L75&gt;10,"Veteran",L75&gt;=6,"Experienced",L75&gt;=2,"Developing",L75&gt;=0,"New")</f>
        <v>Experienced</v>
      </c>
    </row>
    <row r="76" spans="1:13">
      <c r="A76" s="21" t="str">
        <f t="shared" ca="1" si="4"/>
        <v>La-Res-2025-075</v>
      </c>
      <c r="B76" s="6">
        <v>36</v>
      </c>
      <c r="C76" s="6" t="str">
        <f t="shared" si="5"/>
        <v>30-39</v>
      </c>
      <c r="D76" s="6" t="s">
        <v>43</v>
      </c>
      <c r="E76" s="6" t="s">
        <v>45</v>
      </c>
      <c r="F76" s="6" t="s">
        <v>39</v>
      </c>
      <c r="G76" s="6" t="s">
        <v>50</v>
      </c>
      <c r="H76" s="8">
        <v>3038</v>
      </c>
      <c r="I76" s="8">
        <f t="shared" si="6"/>
        <v>455.7</v>
      </c>
      <c r="J76" s="8">
        <f t="shared" si="7"/>
        <v>2582.3000000000002</v>
      </c>
      <c r="K76" s="8">
        <v>22002</v>
      </c>
      <c r="L76" s="6">
        <v>1</v>
      </c>
      <c r="M76" s="22" t="str" cm="1">
        <f t="array" ref="M76">_xlfn.IFS(L76&gt;10,"Veteran",L76&gt;=6,"Experienced",L76&gt;=2,"Developing",L76&gt;=0,"New")</f>
        <v>New</v>
      </c>
    </row>
    <row r="77" spans="1:13">
      <c r="A77" s="21" t="str">
        <f t="shared" ca="1" si="4"/>
        <v>Ma-Res-2015-076</v>
      </c>
      <c r="B77" s="6">
        <v>31</v>
      </c>
      <c r="C77" s="6" t="str">
        <f t="shared" si="5"/>
        <v>30-39</v>
      </c>
      <c r="D77" s="6" t="s">
        <v>43</v>
      </c>
      <c r="E77" s="6" t="s">
        <v>45</v>
      </c>
      <c r="F77" s="6" t="s">
        <v>39</v>
      </c>
      <c r="G77" s="6" t="s">
        <v>53</v>
      </c>
      <c r="H77" s="8">
        <v>4424</v>
      </c>
      <c r="I77" s="8">
        <f t="shared" si="6"/>
        <v>663.6</v>
      </c>
      <c r="J77" s="8">
        <f t="shared" si="7"/>
        <v>3760.4</v>
      </c>
      <c r="K77" s="8">
        <v>20682</v>
      </c>
      <c r="L77" s="6">
        <v>11</v>
      </c>
      <c r="M77" s="22" t="str" cm="1">
        <f t="array" ref="M77">_xlfn.IFS(L77&gt;10,"Veteran",L77&gt;=6,"Experienced",L77&gt;=2,"Developing",L77&gt;=0,"New")</f>
        <v>Veteran</v>
      </c>
    </row>
    <row r="78" spans="1:13">
      <c r="A78" s="21" t="str">
        <f t="shared" ca="1" si="4"/>
        <v>Sa-Sal-2011-077</v>
      </c>
      <c r="B78" s="6">
        <v>35</v>
      </c>
      <c r="C78" s="6" t="str">
        <f t="shared" si="5"/>
        <v>30-39</v>
      </c>
      <c r="D78" s="6" t="s">
        <v>43</v>
      </c>
      <c r="E78" s="6" t="s">
        <v>37</v>
      </c>
      <c r="F78" s="6" t="s">
        <v>46</v>
      </c>
      <c r="G78" s="6" t="s">
        <v>40</v>
      </c>
      <c r="H78" s="8">
        <v>4312</v>
      </c>
      <c r="I78" s="8">
        <f t="shared" si="6"/>
        <v>646.79999999999995</v>
      </c>
      <c r="J78" s="8">
        <f t="shared" si="7"/>
        <v>3665.2</v>
      </c>
      <c r="K78" s="8">
        <v>23016</v>
      </c>
      <c r="L78" s="6">
        <v>15</v>
      </c>
      <c r="M78" s="22" t="str" cm="1">
        <f t="array" ref="M78">_xlfn.IFS(L78&gt;10,"Veteran",L78&gt;=6,"Experienced",L78&gt;=2,"Developing",L78&gt;=0,"New")</f>
        <v>Veteran</v>
      </c>
    </row>
    <row r="79" spans="1:13">
      <c r="A79" s="21" t="str">
        <f t="shared" ca="1" si="4"/>
        <v>Re-Res-2026-078</v>
      </c>
      <c r="B79" s="6">
        <v>45</v>
      </c>
      <c r="C79" s="6" t="str">
        <f t="shared" si="5"/>
        <v>40-49</v>
      </c>
      <c r="D79" s="6" t="s">
        <v>43</v>
      </c>
      <c r="E79" s="6" t="s">
        <v>45</v>
      </c>
      <c r="F79" s="6" t="s">
        <v>46</v>
      </c>
      <c r="G79" s="6" t="s">
        <v>58</v>
      </c>
      <c r="H79" s="8">
        <v>13245</v>
      </c>
      <c r="I79" s="8">
        <f t="shared" si="6"/>
        <v>3973.5</v>
      </c>
      <c r="J79" s="8">
        <f t="shared" si="7"/>
        <v>9271.5</v>
      </c>
      <c r="K79" s="8">
        <v>15067</v>
      </c>
      <c r="L79" s="6">
        <v>0</v>
      </c>
      <c r="M79" s="22" t="str" cm="1">
        <f t="array" ref="M79">_xlfn.IFS(L79&gt;10,"Veteran",L79&gt;=6,"Experienced",L79&gt;=2,"Developing",L79&gt;=0,"New")</f>
        <v>New</v>
      </c>
    </row>
    <row r="80" spans="1:13">
      <c r="A80" s="21" t="str">
        <f t="shared" ca="1" si="4"/>
        <v>Re-Res-2021-079</v>
      </c>
      <c r="B80" s="6">
        <v>37</v>
      </c>
      <c r="C80" s="6" t="str">
        <f t="shared" si="5"/>
        <v>30-39</v>
      </c>
      <c r="D80" s="6" t="s">
        <v>43</v>
      </c>
      <c r="E80" s="6" t="s">
        <v>45</v>
      </c>
      <c r="F80" s="6" t="s">
        <v>46</v>
      </c>
      <c r="G80" s="6" t="s">
        <v>58</v>
      </c>
      <c r="H80" s="8">
        <v>13664</v>
      </c>
      <c r="I80" s="8">
        <f t="shared" si="6"/>
        <v>4099.2</v>
      </c>
      <c r="J80" s="8">
        <f t="shared" si="7"/>
        <v>9564.7999999999993</v>
      </c>
      <c r="K80" s="8">
        <v>25258</v>
      </c>
      <c r="L80" s="6">
        <v>5</v>
      </c>
      <c r="M80" s="22" t="str" cm="1">
        <f t="array" ref="M80">_xlfn.IFS(L80&gt;10,"Veteran",L80&gt;=6,"Experienced",L80&gt;=2,"Developing",L80&gt;=0,"New")</f>
        <v>Developing</v>
      </c>
    </row>
    <row r="81" spans="1:13">
      <c r="A81" s="21" t="str">
        <f t="shared" ca="1" si="4"/>
        <v>Hu-Hum-2022-080</v>
      </c>
      <c r="B81" s="6">
        <v>46</v>
      </c>
      <c r="C81" s="6" t="str">
        <f t="shared" si="5"/>
        <v>40-49</v>
      </c>
      <c r="D81" s="6" t="s">
        <v>43</v>
      </c>
      <c r="E81" s="6" t="s">
        <v>61</v>
      </c>
      <c r="F81" s="6" t="s">
        <v>46</v>
      </c>
      <c r="G81" s="6" t="s">
        <v>61</v>
      </c>
      <c r="H81" s="8">
        <v>5021</v>
      </c>
      <c r="I81" s="8">
        <f t="shared" si="6"/>
        <v>753.15</v>
      </c>
      <c r="J81" s="8">
        <f t="shared" si="7"/>
        <v>4267.8500000000004</v>
      </c>
      <c r="K81" s="8">
        <v>10425</v>
      </c>
      <c r="L81" s="6">
        <v>4</v>
      </c>
      <c r="M81" s="22" t="str" cm="1">
        <f t="array" ref="M81">_xlfn.IFS(L81&gt;10,"Veteran",L81&gt;=6,"Experienced",L81&gt;=2,"Developing",L81&gt;=0,"New")</f>
        <v>Developing</v>
      </c>
    </row>
    <row r="82" spans="1:13">
      <c r="A82" s="21" t="str">
        <f t="shared" ca="1" si="4"/>
        <v>La-Res-2016-081</v>
      </c>
      <c r="B82" s="6">
        <v>30</v>
      </c>
      <c r="C82" s="6" t="str">
        <f t="shared" si="5"/>
        <v>30-39</v>
      </c>
      <c r="D82" s="6" t="s">
        <v>43</v>
      </c>
      <c r="E82" s="6" t="s">
        <v>45</v>
      </c>
      <c r="F82" s="6" t="s">
        <v>46</v>
      </c>
      <c r="G82" s="6" t="s">
        <v>50</v>
      </c>
      <c r="H82" s="8">
        <v>5126</v>
      </c>
      <c r="I82" s="8">
        <f t="shared" si="6"/>
        <v>768.9</v>
      </c>
      <c r="J82" s="8">
        <f t="shared" si="7"/>
        <v>4357.1000000000004</v>
      </c>
      <c r="K82" s="8">
        <v>15998</v>
      </c>
      <c r="L82" s="6">
        <v>10</v>
      </c>
      <c r="M82" s="22" t="str" cm="1">
        <f t="array" ref="M82">_xlfn.IFS(L82&gt;10,"Veteran",L82&gt;=6,"Experienced",L82&gt;=2,"Developing",L82&gt;=0,"New")</f>
        <v>Experienced</v>
      </c>
    </row>
    <row r="83" spans="1:13">
      <c r="A83" s="21" t="str">
        <f t="shared" ca="1" si="4"/>
        <v>Re-Res-2020-082</v>
      </c>
      <c r="B83" s="6">
        <v>35</v>
      </c>
      <c r="C83" s="6" t="str">
        <f t="shared" si="5"/>
        <v>30-39</v>
      </c>
      <c r="D83" s="6" t="s">
        <v>43</v>
      </c>
      <c r="E83" s="6" t="s">
        <v>45</v>
      </c>
      <c r="F83" s="6" t="s">
        <v>46</v>
      </c>
      <c r="G83" s="6" t="s">
        <v>47</v>
      </c>
      <c r="H83" s="8">
        <v>2859</v>
      </c>
      <c r="I83" s="8">
        <f t="shared" si="6"/>
        <v>200.13000000000002</v>
      </c>
      <c r="J83" s="8">
        <f t="shared" si="7"/>
        <v>2658.87</v>
      </c>
      <c r="K83" s="8">
        <v>26278</v>
      </c>
      <c r="L83" s="6">
        <v>6</v>
      </c>
      <c r="M83" s="22" t="str" cm="1">
        <f t="array" ref="M83">_xlfn.IFS(L83&gt;10,"Veteran",L83&gt;=6,"Experienced",L83&gt;=2,"Developing",L83&gt;=0,"New")</f>
        <v>Experienced</v>
      </c>
    </row>
    <row r="84" spans="1:13">
      <c r="A84" s="21" t="str">
        <f t="shared" ca="1" si="4"/>
        <v>Sa-Sal-2025-083</v>
      </c>
      <c r="B84" s="6">
        <v>55</v>
      </c>
      <c r="C84" s="6" t="str">
        <f t="shared" si="5"/>
        <v>50+</v>
      </c>
      <c r="D84" s="6" t="s">
        <v>43</v>
      </c>
      <c r="E84" s="6" t="s">
        <v>37</v>
      </c>
      <c r="F84" s="6" t="s">
        <v>46</v>
      </c>
      <c r="G84" s="6" t="s">
        <v>40</v>
      </c>
      <c r="H84" s="8">
        <v>10239</v>
      </c>
      <c r="I84" s="8">
        <f t="shared" si="6"/>
        <v>2252.58</v>
      </c>
      <c r="J84" s="8">
        <f t="shared" si="7"/>
        <v>7986.42</v>
      </c>
      <c r="K84" s="8">
        <v>18092</v>
      </c>
      <c r="L84" s="6">
        <v>1</v>
      </c>
      <c r="M84" s="22" t="str" cm="1">
        <f t="array" ref="M84">_xlfn.IFS(L84&gt;10,"Veteran",L84&gt;=6,"Experienced",L84&gt;=2,"Developing",L84&gt;=0,"New")</f>
        <v>New</v>
      </c>
    </row>
    <row r="85" spans="1:13">
      <c r="A85" s="21" t="str">
        <f t="shared" ca="1" si="4"/>
        <v>Re-Res-2013-084</v>
      </c>
      <c r="B85" s="6">
        <v>38</v>
      </c>
      <c r="C85" s="6" t="str">
        <f t="shared" si="5"/>
        <v>30-39</v>
      </c>
      <c r="D85" s="6" t="s">
        <v>43</v>
      </c>
      <c r="E85" s="6" t="s">
        <v>45</v>
      </c>
      <c r="F85" s="6" t="s">
        <v>39</v>
      </c>
      <c r="G85" s="6" t="s">
        <v>47</v>
      </c>
      <c r="H85" s="8">
        <v>5329</v>
      </c>
      <c r="I85" s="8">
        <f t="shared" si="6"/>
        <v>799.35</v>
      </c>
      <c r="J85" s="8">
        <f t="shared" si="7"/>
        <v>4529.6499999999996</v>
      </c>
      <c r="K85" s="8">
        <v>15717</v>
      </c>
      <c r="L85" s="6">
        <v>13</v>
      </c>
      <c r="M85" s="22" t="str" cm="1">
        <f t="array" ref="M85">_xlfn.IFS(L85&gt;10,"Veteran",L85&gt;=6,"Experienced",L85&gt;=2,"Developing",L85&gt;=0,"New")</f>
        <v>Veteran</v>
      </c>
    </row>
    <row r="86" spans="1:13">
      <c r="A86" s="21" t="str">
        <f t="shared" ca="1" si="4"/>
        <v>Ma-Res-2021-085</v>
      </c>
      <c r="B86" s="6">
        <v>34</v>
      </c>
      <c r="C86" s="6" t="str">
        <f t="shared" si="5"/>
        <v>30-39</v>
      </c>
      <c r="D86" s="6" t="s">
        <v>43</v>
      </c>
      <c r="E86" s="6" t="s">
        <v>45</v>
      </c>
      <c r="F86" s="6" t="s">
        <v>46</v>
      </c>
      <c r="G86" s="6" t="s">
        <v>53</v>
      </c>
      <c r="H86" s="8">
        <v>4325</v>
      </c>
      <c r="I86" s="8">
        <f t="shared" si="6"/>
        <v>648.75</v>
      </c>
      <c r="J86" s="8">
        <f t="shared" si="7"/>
        <v>3676.25</v>
      </c>
      <c r="K86" s="8">
        <v>17736</v>
      </c>
      <c r="L86" s="6">
        <v>5</v>
      </c>
      <c r="M86" s="22" t="str" cm="1">
        <f t="array" ref="M86">_xlfn.IFS(L86&gt;10,"Veteran",L86&gt;=6,"Experienced",L86&gt;=2,"Developing",L86&gt;=0,"New")</f>
        <v>Developing</v>
      </c>
    </row>
    <row r="87" spans="1:13">
      <c r="A87" s="21" t="str">
        <f t="shared" ca="1" si="4"/>
        <v>Ma-Res-2020-086</v>
      </c>
      <c r="B87" s="6">
        <v>56</v>
      </c>
      <c r="C87" s="6" t="str">
        <f t="shared" si="5"/>
        <v>50+</v>
      </c>
      <c r="D87" s="6" t="s">
        <v>43</v>
      </c>
      <c r="E87" s="6" t="s">
        <v>45</v>
      </c>
      <c r="F87" s="6" t="s">
        <v>46</v>
      </c>
      <c r="G87" s="6" t="s">
        <v>53</v>
      </c>
      <c r="H87" s="8">
        <v>7260</v>
      </c>
      <c r="I87" s="8">
        <f t="shared" si="6"/>
        <v>1597.2</v>
      </c>
      <c r="J87" s="8">
        <f t="shared" si="7"/>
        <v>5662.8</v>
      </c>
      <c r="K87" s="8">
        <v>21698</v>
      </c>
      <c r="L87" s="6">
        <v>6</v>
      </c>
      <c r="M87" s="22" t="str" cm="1">
        <f t="array" ref="M87">_xlfn.IFS(L87&gt;10,"Veteran",L87&gt;=6,"Experienced",L87&gt;=2,"Developing",L87&gt;=0,"New")</f>
        <v>Experienced</v>
      </c>
    </row>
    <row r="88" spans="1:13">
      <c r="A88" s="21" t="str">
        <f t="shared" ca="1" si="4"/>
        <v>Sa-Sal-2026-087</v>
      </c>
      <c r="B88" s="6">
        <v>23</v>
      </c>
      <c r="C88" s="6" t="str">
        <f t="shared" si="5"/>
        <v>20-29</v>
      </c>
      <c r="D88" s="6" t="s">
        <v>43</v>
      </c>
      <c r="E88" s="6" t="s">
        <v>37</v>
      </c>
      <c r="F88" s="6" t="s">
        <v>46</v>
      </c>
      <c r="G88" s="6" t="s">
        <v>57</v>
      </c>
      <c r="H88" s="8">
        <v>2322</v>
      </c>
      <c r="I88" s="8">
        <f t="shared" si="6"/>
        <v>162.54000000000002</v>
      </c>
      <c r="J88" s="8">
        <f t="shared" si="7"/>
        <v>2159.46</v>
      </c>
      <c r="K88" s="8">
        <v>9518</v>
      </c>
      <c r="L88" s="6">
        <v>0</v>
      </c>
      <c r="M88" s="22" t="str" cm="1">
        <f t="array" ref="M88">_xlfn.IFS(L88&gt;10,"Veteran",L88&gt;=6,"Experienced",L88&gt;=2,"Developing",L88&gt;=0,"New")</f>
        <v>New</v>
      </c>
    </row>
    <row r="89" spans="1:13">
      <c r="A89" s="21" t="str">
        <f t="shared" ca="1" si="4"/>
        <v>La-Res-2022-088</v>
      </c>
      <c r="B89" s="6">
        <v>51</v>
      </c>
      <c r="C89" s="6" t="str">
        <f t="shared" si="5"/>
        <v>50+</v>
      </c>
      <c r="D89" s="6" t="s">
        <v>43</v>
      </c>
      <c r="E89" s="6" t="s">
        <v>45</v>
      </c>
      <c r="F89" s="6" t="s">
        <v>46</v>
      </c>
      <c r="G89" s="6" t="s">
        <v>50</v>
      </c>
      <c r="H89" s="8">
        <v>2075</v>
      </c>
      <c r="I89" s="8">
        <f t="shared" si="6"/>
        <v>145.25</v>
      </c>
      <c r="J89" s="8">
        <f t="shared" si="7"/>
        <v>1929.75</v>
      </c>
      <c r="K89" s="8">
        <v>18725</v>
      </c>
      <c r="L89" s="6">
        <v>4</v>
      </c>
      <c r="M89" s="22" t="str" cm="1">
        <f t="array" ref="M89">_xlfn.IFS(L89&gt;10,"Veteran",L89&gt;=6,"Experienced",L89&gt;=2,"Developing",L89&gt;=0,"New")</f>
        <v>Developing</v>
      </c>
    </row>
    <row r="90" spans="1:13">
      <c r="A90" s="21" t="str">
        <f t="shared" ca="1" si="4"/>
        <v>He-Res-2015-089</v>
      </c>
      <c r="B90" s="6">
        <v>30</v>
      </c>
      <c r="C90" s="6" t="str">
        <f t="shared" si="5"/>
        <v>30-39</v>
      </c>
      <c r="D90" s="6" t="s">
        <v>43</v>
      </c>
      <c r="E90" s="6" t="s">
        <v>45</v>
      </c>
      <c r="F90" s="6" t="s">
        <v>46</v>
      </c>
      <c r="G90" s="6" t="s">
        <v>54</v>
      </c>
      <c r="H90" s="8">
        <v>4152</v>
      </c>
      <c r="I90" s="8">
        <f t="shared" si="6"/>
        <v>622.79999999999995</v>
      </c>
      <c r="J90" s="8">
        <f t="shared" si="7"/>
        <v>3529.2</v>
      </c>
      <c r="K90" s="8">
        <v>15830</v>
      </c>
      <c r="L90" s="6">
        <v>11</v>
      </c>
      <c r="M90" s="22" t="str" cm="1">
        <f t="array" ref="M90">_xlfn.IFS(L90&gt;10,"Veteran",L90&gt;=6,"Experienced",L90&gt;=2,"Developing",L90&gt;=0,"New")</f>
        <v>Veteran</v>
      </c>
    </row>
    <row r="91" spans="1:13">
      <c r="A91" s="21" t="str">
        <f t="shared" ca="1" si="4"/>
        <v>Sa-Sal-2017-090</v>
      </c>
      <c r="B91" s="6">
        <v>46</v>
      </c>
      <c r="C91" s="6" t="str">
        <f t="shared" si="5"/>
        <v>40-49</v>
      </c>
      <c r="D91" s="6" t="s">
        <v>35</v>
      </c>
      <c r="E91" s="6" t="s">
        <v>37</v>
      </c>
      <c r="F91" s="6" t="s">
        <v>46</v>
      </c>
      <c r="G91" s="6" t="s">
        <v>40</v>
      </c>
      <c r="H91" s="8">
        <v>9619</v>
      </c>
      <c r="I91" s="8">
        <f t="shared" si="6"/>
        <v>2116.1799999999998</v>
      </c>
      <c r="J91" s="8">
        <f t="shared" si="7"/>
        <v>7502.82</v>
      </c>
      <c r="K91" s="8">
        <v>13596</v>
      </c>
      <c r="L91" s="6">
        <v>9</v>
      </c>
      <c r="M91" s="22" t="str" cm="1">
        <f t="array" ref="M91">_xlfn.IFS(L91&gt;10,"Veteran",L91&gt;=6,"Experienced",L91&gt;=2,"Developing",L91&gt;=0,"New")</f>
        <v>Experienced</v>
      </c>
    </row>
    <row r="92" spans="1:13">
      <c r="A92" s="21" t="str">
        <f t="shared" ca="1" si="4"/>
        <v>He-Res-2004-091</v>
      </c>
      <c r="B92" s="6">
        <v>40</v>
      </c>
      <c r="C92" s="6" t="str">
        <f t="shared" si="5"/>
        <v>40-49</v>
      </c>
      <c r="D92" s="6" t="s">
        <v>43</v>
      </c>
      <c r="E92" s="6" t="s">
        <v>45</v>
      </c>
      <c r="F92" s="6" t="s">
        <v>46</v>
      </c>
      <c r="G92" s="6" t="s">
        <v>54</v>
      </c>
      <c r="H92" s="8">
        <v>13503</v>
      </c>
      <c r="I92" s="8">
        <f t="shared" si="6"/>
        <v>4050.8999999999996</v>
      </c>
      <c r="J92" s="8">
        <f t="shared" si="7"/>
        <v>9452.1</v>
      </c>
      <c r="K92" s="8">
        <v>14115</v>
      </c>
      <c r="L92" s="6">
        <v>22</v>
      </c>
      <c r="M92" s="22" t="str" cm="1">
        <f t="array" ref="M92">_xlfn.IFS(L92&gt;10,"Veteran",L92&gt;=6,"Experienced",L92&gt;=2,"Developing",L92&gt;=0,"New")</f>
        <v>Veteran</v>
      </c>
    </row>
    <row r="93" spans="1:13">
      <c r="A93" s="21" t="str">
        <f t="shared" ca="1" si="4"/>
        <v>Sa-Sal-2016-092</v>
      </c>
      <c r="B93" s="6">
        <v>51</v>
      </c>
      <c r="C93" s="6" t="str">
        <f t="shared" si="5"/>
        <v>50+</v>
      </c>
      <c r="D93" s="6" t="s">
        <v>43</v>
      </c>
      <c r="E93" s="6" t="s">
        <v>37</v>
      </c>
      <c r="F93" s="6" t="s">
        <v>46</v>
      </c>
      <c r="G93" s="6" t="s">
        <v>40</v>
      </c>
      <c r="H93" s="8">
        <v>5441</v>
      </c>
      <c r="I93" s="8">
        <f t="shared" si="6"/>
        <v>816.15</v>
      </c>
      <c r="J93" s="8">
        <f t="shared" si="7"/>
        <v>4624.8500000000004</v>
      </c>
      <c r="K93" s="8">
        <v>8423</v>
      </c>
      <c r="L93" s="6">
        <v>10</v>
      </c>
      <c r="M93" s="22" t="str" cm="1">
        <f t="array" ref="M93">_xlfn.IFS(L93&gt;10,"Veteran",L93&gt;=6,"Experienced",L93&gt;=2,"Developing",L93&gt;=0,"New")</f>
        <v>Experienced</v>
      </c>
    </row>
    <row r="94" spans="1:13">
      <c r="A94" s="21" t="str">
        <f t="shared" ca="1" si="4"/>
        <v>Sa-Sal-2015-093</v>
      </c>
      <c r="B94" s="6">
        <v>30</v>
      </c>
      <c r="C94" s="6" t="str">
        <f t="shared" si="5"/>
        <v>30-39</v>
      </c>
      <c r="D94" s="6" t="s">
        <v>43</v>
      </c>
      <c r="E94" s="6" t="s">
        <v>37</v>
      </c>
      <c r="F94" s="6" t="s">
        <v>39</v>
      </c>
      <c r="G94" s="6" t="s">
        <v>40</v>
      </c>
      <c r="H94" s="8">
        <v>5209</v>
      </c>
      <c r="I94" s="8">
        <f t="shared" si="6"/>
        <v>781.35</v>
      </c>
      <c r="J94" s="8">
        <f t="shared" si="7"/>
        <v>4427.6499999999996</v>
      </c>
      <c r="K94" s="8">
        <v>19760</v>
      </c>
      <c r="L94" s="6">
        <v>11</v>
      </c>
      <c r="M94" s="22" t="str" cm="1">
        <f t="array" ref="M94">_xlfn.IFS(L94&gt;10,"Veteran",L94&gt;=6,"Experienced",L94&gt;=2,"Developing",L94&gt;=0,"New")</f>
        <v>Veteran</v>
      </c>
    </row>
    <row r="95" spans="1:13">
      <c r="A95" s="21" t="str">
        <f t="shared" ca="1" si="4"/>
        <v>He-Res-2016-094</v>
      </c>
      <c r="B95" s="6">
        <v>46</v>
      </c>
      <c r="C95" s="6" t="str">
        <f t="shared" si="5"/>
        <v>40-49</v>
      </c>
      <c r="D95" s="6" t="s">
        <v>43</v>
      </c>
      <c r="E95" s="6" t="s">
        <v>45</v>
      </c>
      <c r="F95" s="6" t="s">
        <v>46</v>
      </c>
      <c r="G95" s="6" t="s">
        <v>54</v>
      </c>
      <c r="H95" s="8">
        <v>10673</v>
      </c>
      <c r="I95" s="8">
        <f t="shared" si="6"/>
        <v>2348.06</v>
      </c>
      <c r="J95" s="8">
        <f t="shared" si="7"/>
        <v>8324.94</v>
      </c>
      <c r="K95" s="8">
        <v>3142</v>
      </c>
      <c r="L95" s="6">
        <v>10</v>
      </c>
      <c r="M95" s="22" t="str" cm="1">
        <f t="array" ref="M95">_xlfn.IFS(L95&gt;10,"Veteran",L95&gt;=6,"Experienced",L95&gt;=2,"Developing",L95&gt;=0,"New")</f>
        <v>Experienced</v>
      </c>
    </row>
    <row r="96" spans="1:13">
      <c r="A96" s="21" t="str">
        <f t="shared" ca="1" si="4"/>
        <v>Sa-Sal-2015-095</v>
      </c>
      <c r="B96" s="6">
        <v>32</v>
      </c>
      <c r="C96" s="6" t="str">
        <f t="shared" si="5"/>
        <v>30-39</v>
      </c>
      <c r="D96" s="6" t="s">
        <v>43</v>
      </c>
      <c r="E96" s="6" t="s">
        <v>37</v>
      </c>
      <c r="F96" s="6" t="s">
        <v>46</v>
      </c>
      <c r="G96" s="6" t="s">
        <v>40</v>
      </c>
      <c r="H96" s="8">
        <v>5010</v>
      </c>
      <c r="I96" s="8">
        <f t="shared" si="6"/>
        <v>751.5</v>
      </c>
      <c r="J96" s="8">
        <f t="shared" si="7"/>
        <v>4258.5</v>
      </c>
      <c r="K96" s="8">
        <v>24301</v>
      </c>
      <c r="L96" s="6">
        <v>11</v>
      </c>
      <c r="M96" s="22" t="str" cm="1">
        <f t="array" ref="M96">_xlfn.IFS(L96&gt;10,"Veteran",L96&gt;=6,"Experienced",L96&gt;=2,"Developing",L96&gt;=0,"New")</f>
        <v>Veteran</v>
      </c>
    </row>
    <row r="97" spans="1:13">
      <c r="A97" s="21" t="str">
        <f t="shared" ca="1" si="4"/>
        <v>Re-Res-2022-096</v>
      </c>
      <c r="B97" s="6">
        <v>54</v>
      </c>
      <c r="C97" s="6" t="str">
        <f t="shared" si="5"/>
        <v>50+</v>
      </c>
      <c r="D97" s="6" t="s">
        <v>43</v>
      </c>
      <c r="E97" s="6" t="s">
        <v>45</v>
      </c>
      <c r="F97" s="6" t="s">
        <v>39</v>
      </c>
      <c r="G97" s="6" t="s">
        <v>58</v>
      </c>
      <c r="H97" s="8">
        <v>13549</v>
      </c>
      <c r="I97" s="8">
        <f t="shared" si="6"/>
        <v>4064.7</v>
      </c>
      <c r="J97" s="8">
        <f t="shared" si="7"/>
        <v>9484.2999999999993</v>
      </c>
      <c r="K97" s="8">
        <v>24001</v>
      </c>
      <c r="L97" s="6">
        <v>4</v>
      </c>
      <c r="M97" s="22" t="str" cm="1">
        <f t="array" ref="M97">_xlfn.IFS(L97&gt;10,"Veteran",L97&gt;=6,"Experienced",L97&gt;=2,"Developing",L97&gt;=0,"New")</f>
        <v>Developing</v>
      </c>
    </row>
    <row r="98" spans="1:13">
      <c r="A98" s="21" t="str">
        <f t="shared" ca="1" si="4"/>
        <v>Sa-Sal-2023-097</v>
      </c>
      <c r="B98" s="6">
        <v>24</v>
      </c>
      <c r="C98" s="6" t="str">
        <f t="shared" si="5"/>
        <v>20-29</v>
      </c>
      <c r="D98" s="6" t="s">
        <v>43</v>
      </c>
      <c r="E98" s="6" t="s">
        <v>37</v>
      </c>
      <c r="F98" s="6" t="s">
        <v>39</v>
      </c>
      <c r="G98" s="6" t="s">
        <v>40</v>
      </c>
      <c r="H98" s="8">
        <v>4999</v>
      </c>
      <c r="I98" s="8">
        <f t="shared" si="6"/>
        <v>749.85</v>
      </c>
      <c r="J98" s="8">
        <f t="shared" si="7"/>
        <v>4249.1499999999996</v>
      </c>
      <c r="K98" s="8">
        <v>17519</v>
      </c>
      <c r="L98" s="6">
        <v>3</v>
      </c>
      <c r="M98" s="22" t="str" cm="1">
        <f t="array" ref="M98">_xlfn.IFS(L98&gt;10,"Veteran",L98&gt;=6,"Experienced",L98&gt;=2,"Developing",L98&gt;=0,"New")</f>
        <v>Developing</v>
      </c>
    </row>
    <row r="99" spans="1:13">
      <c r="A99" s="21" t="str">
        <f t="shared" ca="1" si="4"/>
        <v>Sa-Sal-2021-098</v>
      </c>
      <c r="B99" s="6">
        <v>28</v>
      </c>
      <c r="C99" s="6" t="str">
        <f t="shared" si="5"/>
        <v>20-29</v>
      </c>
      <c r="D99" s="6" t="s">
        <v>43</v>
      </c>
      <c r="E99" s="6" t="s">
        <v>37</v>
      </c>
      <c r="F99" s="6" t="s">
        <v>46</v>
      </c>
      <c r="G99" s="6" t="s">
        <v>40</v>
      </c>
      <c r="H99" s="8">
        <v>4221</v>
      </c>
      <c r="I99" s="8">
        <f t="shared" si="6"/>
        <v>633.15</v>
      </c>
      <c r="J99" s="8">
        <f t="shared" si="7"/>
        <v>3587.85</v>
      </c>
      <c r="K99" s="8">
        <v>8863</v>
      </c>
      <c r="L99" s="6">
        <v>5</v>
      </c>
      <c r="M99" s="22" t="str" cm="1">
        <f t="array" ref="M99">_xlfn.IFS(L99&gt;10,"Veteran",L99&gt;=6,"Experienced",L99&gt;=2,"Developing",L99&gt;=0,"New")</f>
        <v>Developing</v>
      </c>
    </row>
    <row r="100" spans="1:13">
      <c r="A100" s="21" t="str">
        <f t="shared" ca="1" si="4"/>
        <v>Sa-Sal-1989-099</v>
      </c>
      <c r="B100" s="6">
        <v>58</v>
      </c>
      <c r="C100" s="6" t="str">
        <f t="shared" si="5"/>
        <v>50+</v>
      </c>
      <c r="D100" s="6" t="s">
        <v>43</v>
      </c>
      <c r="E100" s="6" t="s">
        <v>37</v>
      </c>
      <c r="F100" s="6" t="s">
        <v>46</v>
      </c>
      <c r="G100" s="6" t="s">
        <v>40</v>
      </c>
      <c r="H100" s="8">
        <v>13872</v>
      </c>
      <c r="I100" s="8">
        <f t="shared" si="6"/>
        <v>4161.5999999999995</v>
      </c>
      <c r="J100" s="8">
        <f t="shared" si="7"/>
        <v>9710.4000000000015</v>
      </c>
      <c r="K100" s="8">
        <v>24409</v>
      </c>
      <c r="L100" s="6">
        <v>37</v>
      </c>
      <c r="M100" s="22" t="str" cm="1">
        <f t="array" ref="M100">_xlfn.IFS(L100&gt;10,"Veteran",L100&gt;=6,"Experienced",L100&gt;=2,"Developing",L100&gt;=0,"New")</f>
        <v>Veteran</v>
      </c>
    </row>
    <row r="101" spans="1:13">
      <c r="A101" s="21" t="str">
        <f t="shared" ca="1" si="4"/>
        <v>La-Res-2023-100</v>
      </c>
      <c r="B101" s="6">
        <v>44</v>
      </c>
      <c r="C101" s="6" t="str">
        <f t="shared" si="5"/>
        <v>40-49</v>
      </c>
      <c r="D101" s="6" t="s">
        <v>43</v>
      </c>
      <c r="E101" s="6" t="s">
        <v>45</v>
      </c>
      <c r="F101" s="6" t="s">
        <v>46</v>
      </c>
      <c r="G101" s="6" t="s">
        <v>50</v>
      </c>
      <c r="H101" s="8">
        <v>2042</v>
      </c>
      <c r="I101" s="8">
        <f t="shared" si="6"/>
        <v>142.94000000000003</v>
      </c>
      <c r="J101" s="8">
        <f t="shared" si="7"/>
        <v>1899.06</v>
      </c>
      <c r="K101" s="8">
        <v>25043</v>
      </c>
      <c r="L101" s="6">
        <v>3</v>
      </c>
      <c r="M101" s="22" t="str" cm="1">
        <f t="array" ref="M101">_xlfn.IFS(L101&gt;10,"Veteran",L101&gt;=6,"Experienced",L101&gt;=2,"Developing",L101&gt;=0,"New")</f>
        <v>Developing</v>
      </c>
    </row>
    <row r="102" spans="1:13">
      <c r="A102" s="21" t="str">
        <f t="shared" ca="1" si="4"/>
        <v>Hu-Hum-2023-101</v>
      </c>
      <c r="B102" s="6">
        <v>37</v>
      </c>
      <c r="C102" s="6" t="str">
        <f t="shared" si="5"/>
        <v>30-39</v>
      </c>
      <c r="D102" s="6" t="s">
        <v>35</v>
      </c>
      <c r="E102" s="6" t="s">
        <v>61</v>
      </c>
      <c r="F102" s="6" t="s">
        <v>46</v>
      </c>
      <c r="G102" s="6" t="s">
        <v>61</v>
      </c>
      <c r="H102" s="8">
        <v>2073</v>
      </c>
      <c r="I102" s="8">
        <f t="shared" si="6"/>
        <v>145.11000000000001</v>
      </c>
      <c r="J102" s="8">
        <f t="shared" si="7"/>
        <v>1927.8899999999999</v>
      </c>
      <c r="K102" s="8">
        <v>23648</v>
      </c>
      <c r="L102" s="6">
        <v>3</v>
      </c>
      <c r="M102" s="22" t="str" cm="1">
        <f t="array" ref="M102">_xlfn.IFS(L102&gt;10,"Veteran",L102&gt;=6,"Experienced",L102&gt;=2,"Developing",L102&gt;=0,"New")</f>
        <v>Developing</v>
      </c>
    </row>
    <row r="103" spans="1:13">
      <c r="A103" s="21" t="str">
        <f t="shared" ca="1" si="4"/>
        <v>Re-Res-2025-102</v>
      </c>
      <c r="B103" s="6">
        <v>32</v>
      </c>
      <c r="C103" s="6" t="str">
        <f t="shared" si="5"/>
        <v>30-39</v>
      </c>
      <c r="D103" s="6" t="s">
        <v>43</v>
      </c>
      <c r="E103" s="6" t="s">
        <v>45</v>
      </c>
      <c r="F103" s="6" t="s">
        <v>46</v>
      </c>
      <c r="G103" s="6" t="s">
        <v>47</v>
      </c>
      <c r="H103" s="8">
        <v>2956</v>
      </c>
      <c r="I103" s="8">
        <f t="shared" si="6"/>
        <v>206.92000000000002</v>
      </c>
      <c r="J103" s="8">
        <f t="shared" si="7"/>
        <v>2749.08</v>
      </c>
      <c r="K103" s="8">
        <v>15178</v>
      </c>
      <c r="L103" s="6">
        <v>1</v>
      </c>
      <c r="M103" s="22" t="str" cm="1">
        <f t="array" ref="M103">_xlfn.IFS(L103&gt;10,"Veteran",L103&gt;=6,"Experienced",L103&gt;=2,"Developing",L103&gt;=0,"New")</f>
        <v>New</v>
      </c>
    </row>
    <row r="104" spans="1:13">
      <c r="A104" s="21" t="str">
        <f t="shared" ca="1" si="4"/>
        <v>La-Res-2025-103</v>
      </c>
      <c r="B104" s="6">
        <v>20</v>
      </c>
      <c r="C104" s="6" t="str">
        <f t="shared" si="5"/>
        <v>20-29</v>
      </c>
      <c r="D104" s="6" t="s">
        <v>35</v>
      </c>
      <c r="E104" s="6" t="s">
        <v>45</v>
      </c>
      <c r="F104" s="6" t="s">
        <v>39</v>
      </c>
      <c r="G104" s="6" t="s">
        <v>50</v>
      </c>
      <c r="H104" s="8">
        <v>2926</v>
      </c>
      <c r="I104" s="8">
        <f t="shared" si="6"/>
        <v>204.82000000000002</v>
      </c>
      <c r="J104" s="8">
        <f t="shared" si="7"/>
        <v>2721.18</v>
      </c>
      <c r="K104" s="8">
        <v>19783</v>
      </c>
      <c r="L104" s="6">
        <v>1</v>
      </c>
      <c r="M104" s="22" t="str" cm="1">
        <f t="array" ref="M104">_xlfn.IFS(L104&gt;10,"Veteran",L104&gt;=6,"Experienced",L104&gt;=2,"Developing",L104&gt;=0,"New")</f>
        <v>New</v>
      </c>
    </row>
    <row r="105" spans="1:13">
      <c r="A105" s="21" t="str">
        <f t="shared" ca="1" si="4"/>
        <v>Re-Res-2010-104</v>
      </c>
      <c r="B105" s="6">
        <v>34</v>
      </c>
      <c r="C105" s="6" t="str">
        <f t="shared" si="5"/>
        <v>30-39</v>
      </c>
      <c r="D105" s="6" t="s">
        <v>43</v>
      </c>
      <c r="E105" s="6" t="s">
        <v>45</v>
      </c>
      <c r="F105" s="6" t="s">
        <v>39</v>
      </c>
      <c r="G105" s="6" t="s">
        <v>47</v>
      </c>
      <c r="H105" s="8">
        <v>4809</v>
      </c>
      <c r="I105" s="8">
        <f t="shared" si="6"/>
        <v>721.35</v>
      </c>
      <c r="J105" s="8">
        <f t="shared" si="7"/>
        <v>4087.65</v>
      </c>
      <c r="K105" s="8">
        <v>12482</v>
      </c>
      <c r="L105" s="6">
        <v>16</v>
      </c>
      <c r="M105" s="22" t="str" cm="1">
        <f t="array" ref="M105">_xlfn.IFS(L105&gt;10,"Veteran",L105&gt;=6,"Experienced",L105&gt;=2,"Developing",L105&gt;=0,"New")</f>
        <v>Veteran</v>
      </c>
    </row>
    <row r="106" spans="1:13">
      <c r="A106" s="21" t="str">
        <f t="shared" ca="1" si="4"/>
        <v>He-Res-2025-105</v>
      </c>
      <c r="B106" s="6">
        <v>37</v>
      </c>
      <c r="C106" s="6" t="str">
        <f t="shared" si="5"/>
        <v>30-39</v>
      </c>
      <c r="D106" s="6" t="s">
        <v>43</v>
      </c>
      <c r="E106" s="6" t="s">
        <v>45</v>
      </c>
      <c r="F106" s="6" t="s">
        <v>46</v>
      </c>
      <c r="G106" s="6" t="s">
        <v>54</v>
      </c>
      <c r="H106" s="8">
        <v>5163</v>
      </c>
      <c r="I106" s="8">
        <f t="shared" si="6"/>
        <v>774.44999999999993</v>
      </c>
      <c r="J106" s="8">
        <f t="shared" si="7"/>
        <v>4388.55</v>
      </c>
      <c r="K106" s="8">
        <v>15850</v>
      </c>
      <c r="L106" s="6">
        <v>1</v>
      </c>
      <c r="M106" s="22" t="str" cm="1">
        <f t="array" ref="M106">_xlfn.IFS(L106&gt;10,"Veteran",L106&gt;=6,"Experienced",L106&gt;=2,"Developing",L106&gt;=0,"New")</f>
        <v>New</v>
      </c>
    </row>
    <row r="107" spans="1:13">
      <c r="A107" s="21" t="str">
        <f t="shared" ca="1" si="4"/>
        <v>Ma-Hum-2023-106</v>
      </c>
      <c r="B107" s="6">
        <v>59</v>
      </c>
      <c r="C107" s="6" t="str">
        <f t="shared" si="5"/>
        <v>50+</v>
      </c>
      <c r="D107" s="6" t="s">
        <v>43</v>
      </c>
      <c r="E107" s="6" t="s">
        <v>61</v>
      </c>
      <c r="F107" s="6" t="s">
        <v>39</v>
      </c>
      <c r="G107" s="6" t="s">
        <v>56</v>
      </c>
      <c r="H107" s="8">
        <v>18844</v>
      </c>
      <c r="I107" s="8">
        <f t="shared" si="6"/>
        <v>5653.2</v>
      </c>
      <c r="J107" s="8">
        <f t="shared" si="7"/>
        <v>13190.8</v>
      </c>
      <c r="K107" s="8">
        <v>21922</v>
      </c>
      <c r="L107" s="6">
        <v>3</v>
      </c>
      <c r="M107" s="22" t="str" cm="1">
        <f t="array" ref="M107">_xlfn.IFS(L107&gt;10,"Veteran",L107&gt;=6,"Experienced",L107&gt;=2,"Developing",L107&gt;=0,"New")</f>
        <v>Developing</v>
      </c>
    </row>
    <row r="108" spans="1:13">
      <c r="A108" s="21" t="str">
        <f t="shared" ca="1" si="4"/>
        <v>Re-Res-2018-107</v>
      </c>
      <c r="B108" s="6">
        <v>50</v>
      </c>
      <c r="C108" s="6" t="str">
        <f t="shared" si="5"/>
        <v>50+</v>
      </c>
      <c r="D108" s="6" t="s">
        <v>43</v>
      </c>
      <c r="E108" s="6" t="s">
        <v>45</v>
      </c>
      <c r="F108" s="6" t="s">
        <v>39</v>
      </c>
      <c r="G108" s="6" t="s">
        <v>58</v>
      </c>
      <c r="H108" s="8">
        <v>18172</v>
      </c>
      <c r="I108" s="8">
        <f t="shared" si="6"/>
        <v>5451.5999999999995</v>
      </c>
      <c r="J108" s="8">
        <f t="shared" si="7"/>
        <v>12720.400000000001</v>
      </c>
      <c r="K108" s="8">
        <v>9755</v>
      </c>
      <c r="L108" s="6">
        <v>8</v>
      </c>
      <c r="M108" s="22" t="str" cm="1">
        <f t="array" ref="M108">_xlfn.IFS(L108&gt;10,"Veteran",L108&gt;=6,"Experienced",L108&gt;=2,"Developing",L108&gt;=0,"New")</f>
        <v>Experienced</v>
      </c>
    </row>
    <row r="109" spans="1:13">
      <c r="A109" s="21" t="str">
        <f t="shared" ca="1" si="4"/>
        <v>Sa-Sal-2020-108</v>
      </c>
      <c r="B109" s="6">
        <v>25</v>
      </c>
      <c r="C109" s="6" t="str">
        <f t="shared" si="5"/>
        <v>20-29</v>
      </c>
      <c r="D109" s="6" t="s">
        <v>35</v>
      </c>
      <c r="E109" s="6" t="s">
        <v>37</v>
      </c>
      <c r="F109" s="6" t="s">
        <v>46</v>
      </c>
      <c r="G109" s="6" t="s">
        <v>40</v>
      </c>
      <c r="H109" s="8">
        <v>5744</v>
      </c>
      <c r="I109" s="8">
        <f t="shared" si="6"/>
        <v>861.6</v>
      </c>
      <c r="J109" s="8">
        <f t="shared" si="7"/>
        <v>4882.3999999999996</v>
      </c>
      <c r="K109" s="8">
        <v>26959</v>
      </c>
      <c r="L109" s="6">
        <v>6</v>
      </c>
      <c r="M109" s="22" t="str" cm="1">
        <f t="array" ref="M109">_xlfn.IFS(L109&gt;10,"Veteran",L109&gt;=6,"Experienced",L109&gt;=2,"Developing",L109&gt;=0,"New")</f>
        <v>Experienced</v>
      </c>
    </row>
    <row r="110" spans="1:13">
      <c r="A110" s="21" t="str">
        <f t="shared" ca="1" si="4"/>
        <v>Re-Res-2024-109</v>
      </c>
      <c r="B110" s="6">
        <v>25</v>
      </c>
      <c r="C110" s="6" t="str">
        <f t="shared" si="5"/>
        <v>20-29</v>
      </c>
      <c r="D110" s="6" t="s">
        <v>43</v>
      </c>
      <c r="E110" s="6" t="s">
        <v>45</v>
      </c>
      <c r="F110" s="6" t="s">
        <v>46</v>
      </c>
      <c r="G110" s="6" t="s">
        <v>47</v>
      </c>
      <c r="H110" s="8">
        <v>2889</v>
      </c>
      <c r="I110" s="8">
        <f t="shared" si="6"/>
        <v>202.23000000000002</v>
      </c>
      <c r="J110" s="8">
        <f t="shared" si="7"/>
        <v>2686.77</v>
      </c>
      <c r="K110" s="8">
        <v>26897</v>
      </c>
      <c r="L110" s="6">
        <v>2</v>
      </c>
      <c r="M110" s="22" t="str" cm="1">
        <f t="array" ref="M110">_xlfn.IFS(L110&gt;10,"Veteran",L110&gt;=6,"Experienced",L110&gt;=2,"Developing",L110&gt;=0,"New")</f>
        <v>Developing</v>
      </c>
    </row>
    <row r="111" spans="1:13">
      <c r="A111" s="21" t="str">
        <f t="shared" ca="1" si="4"/>
        <v>La-Res-2026-110</v>
      </c>
      <c r="B111" s="6">
        <v>22</v>
      </c>
      <c r="C111" s="6" t="str">
        <f t="shared" si="5"/>
        <v>20-29</v>
      </c>
      <c r="D111" s="6" t="s">
        <v>43</v>
      </c>
      <c r="E111" s="6" t="s">
        <v>45</v>
      </c>
      <c r="F111" s="6" t="s">
        <v>39</v>
      </c>
      <c r="G111" s="6" t="s">
        <v>50</v>
      </c>
      <c r="H111" s="8">
        <v>2871</v>
      </c>
      <c r="I111" s="8">
        <f t="shared" si="6"/>
        <v>200.97000000000003</v>
      </c>
      <c r="J111" s="8">
        <f t="shared" si="7"/>
        <v>2670.0299999999997</v>
      </c>
      <c r="K111" s="8">
        <v>23785</v>
      </c>
      <c r="L111" s="6">
        <v>0</v>
      </c>
      <c r="M111" s="22" t="str" cm="1">
        <f t="array" ref="M111">_xlfn.IFS(L111&gt;10,"Veteran",L111&gt;=6,"Experienced",L111&gt;=2,"Developing",L111&gt;=0,"New")</f>
        <v>New</v>
      </c>
    </row>
    <row r="112" spans="1:13">
      <c r="A112" s="21" t="str">
        <f t="shared" ca="1" si="4"/>
        <v>He-Res-2013-111</v>
      </c>
      <c r="B112" s="6">
        <v>51</v>
      </c>
      <c r="C112" s="6" t="str">
        <f t="shared" si="5"/>
        <v>50+</v>
      </c>
      <c r="D112" s="6" t="s">
        <v>43</v>
      </c>
      <c r="E112" s="6" t="s">
        <v>45</v>
      </c>
      <c r="F112" s="6" t="s">
        <v>39</v>
      </c>
      <c r="G112" s="6" t="s">
        <v>54</v>
      </c>
      <c r="H112" s="8">
        <v>7484</v>
      </c>
      <c r="I112" s="8">
        <f t="shared" si="6"/>
        <v>1646.48</v>
      </c>
      <c r="J112" s="8">
        <f t="shared" si="7"/>
        <v>5837.52</v>
      </c>
      <c r="K112" s="8">
        <v>25796</v>
      </c>
      <c r="L112" s="6">
        <v>13</v>
      </c>
      <c r="M112" s="22" t="str" cm="1">
        <f t="array" ref="M112">_xlfn.IFS(L112&gt;10,"Veteran",L112&gt;=6,"Experienced",L112&gt;=2,"Developing",L112&gt;=0,"New")</f>
        <v>Veteran</v>
      </c>
    </row>
    <row r="113" spans="1:13">
      <c r="A113" s="21" t="str">
        <f t="shared" ca="1" si="4"/>
        <v>La-Res-2017-112</v>
      </c>
      <c r="B113" s="6">
        <v>34</v>
      </c>
      <c r="C113" s="6" t="str">
        <f t="shared" si="5"/>
        <v>30-39</v>
      </c>
      <c r="D113" s="6" t="s">
        <v>35</v>
      </c>
      <c r="E113" s="6" t="s">
        <v>45</v>
      </c>
      <c r="F113" s="6" t="s">
        <v>46</v>
      </c>
      <c r="G113" s="6" t="s">
        <v>50</v>
      </c>
      <c r="H113" s="8">
        <v>6074</v>
      </c>
      <c r="I113" s="8">
        <f t="shared" si="6"/>
        <v>911.1</v>
      </c>
      <c r="J113" s="8">
        <f t="shared" si="7"/>
        <v>5162.8999999999996</v>
      </c>
      <c r="K113" s="8">
        <v>22887</v>
      </c>
      <c r="L113" s="6">
        <v>9</v>
      </c>
      <c r="M113" s="22" t="str" cm="1">
        <f t="array" ref="M113">_xlfn.IFS(L113&gt;10,"Veteran",L113&gt;=6,"Experienced",L113&gt;=2,"Developing",L113&gt;=0,"New")</f>
        <v>Experienced</v>
      </c>
    </row>
    <row r="114" spans="1:13">
      <c r="A114" s="21" t="str">
        <f t="shared" ca="1" si="4"/>
        <v>Ma-Hum-2021-113</v>
      </c>
      <c r="B114" s="6">
        <v>54</v>
      </c>
      <c r="C114" s="6" t="str">
        <f t="shared" si="5"/>
        <v>50+</v>
      </c>
      <c r="D114" s="6" t="s">
        <v>43</v>
      </c>
      <c r="E114" s="6" t="s">
        <v>61</v>
      </c>
      <c r="F114" s="6" t="s">
        <v>39</v>
      </c>
      <c r="G114" s="6" t="s">
        <v>56</v>
      </c>
      <c r="H114" s="8">
        <v>17328</v>
      </c>
      <c r="I114" s="8">
        <f t="shared" si="6"/>
        <v>5198.3999999999996</v>
      </c>
      <c r="J114" s="8">
        <f t="shared" si="7"/>
        <v>12129.6</v>
      </c>
      <c r="K114" s="8">
        <v>13871</v>
      </c>
      <c r="L114" s="6">
        <v>5</v>
      </c>
      <c r="M114" s="22" t="str" cm="1">
        <f t="array" ref="M114">_xlfn.IFS(L114&gt;10,"Veteran",L114&gt;=6,"Experienced",L114&gt;=2,"Developing",L114&gt;=0,"New")</f>
        <v>Developing</v>
      </c>
    </row>
    <row r="115" spans="1:13">
      <c r="A115" s="21" t="str">
        <f t="shared" ca="1" si="4"/>
        <v>La-Res-2021-114</v>
      </c>
      <c r="B115" s="6">
        <v>24</v>
      </c>
      <c r="C115" s="6" t="str">
        <f t="shared" si="5"/>
        <v>20-29</v>
      </c>
      <c r="D115" s="6" t="s">
        <v>43</v>
      </c>
      <c r="E115" s="6" t="s">
        <v>45</v>
      </c>
      <c r="F115" s="6" t="s">
        <v>46</v>
      </c>
      <c r="G115" s="6" t="s">
        <v>50</v>
      </c>
      <c r="H115" s="8">
        <v>2774</v>
      </c>
      <c r="I115" s="8">
        <f t="shared" si="6"/>
        <v>194.18</v>
      </c>
      <c r="J115" s="8">
        <f t="shared" si="7"/>
        <v>2579.8200000000002</v>
      </c>
      <c r="K115" s="8">
        <v>13257</v>
      </c>
      <c r="L115" s="6">
        <v>5</v>
      </c>
      <c r="M115" s="22" t="str" cm="1">
        <f t="array" ref="M115">_xlfn.IFS(L115&gt;10,"Veteran",L115&gt;=6,"Experienced",L115&gt;=2,"Developing",L115&gt;=0,"New")</f>
        <v>Developing</v>
      </c>
    </row>
    <row r="116" spans="1:13">
      <c r="A116" s="21" t="str">
        <f t="shared" ca="1" si="4"/>
        <v>Re-Res-2025-115</v>
      </c>
      <c r="B116" s="6">
        <v>34</v>
      </c>
      <c r="C116" s="6" t="str">
        <f t="shared" si="5"/>
        <v>30-39</v>
      </c>
      <c r="D116" s="6" t="s">
        <v>43</v>
      </c>
      <c r="E116" s="6" t="s">
        <v>45</v>
      </c>
      <c r="F116" s="6" t="s">
        <v>39</v>
      </c>
      <c r="G116" s="6" t="s">
        <v>47</v>
      </c>
      <c r="H116" s="8">
        <v>4505</v>
      </c>
      <c r="I116" s="8">
        <f t="shared" si="6"/>
        <v>675.75</v>
      </c>
      <c r="J116" s="8">
        <f t="shared" si="7"/>
        <v>3829.25</v>
      </c>
      <c r="K116" s="8">
        <v>15000</v>
      </c>
      <c r="L116" s="6">
        <v>1</v>
      </c>
      <c r="M116" s="22" t="str" cm="1">
        <f t="array" ref="M116">_xlfn.IFS(L116&gt;10,"Veteran",L116&gt;=6,"Experienced",L116&gt;=2,"Developing",L116&gt;=0,"New")</f>
        <v>New</v>
      </c>
    </row>
    <row r="117" spans="1:13">
      <c r="A117" s="21" t="str">
        <f t="shared" ca="1" si="4"/>
        <v>Sa-Sal-2021-116</v>
      </c>
      <c r="B117" s="6">
        <v>37</v>
      </c>
      <c r="C117" s="6" t="str">
        <f t="shared" si="5"/>
        <v>30-39</v>
      </c>
      <c r="D117" s="6" t="s">
        <v>43</v>
      </c>
      <c r="E117" s="6" t="s">
        <v>37</v>
      </c>
      <c r="F117" s="6" t="s">
        <v>46</v>
      </c>
      <c r="G117" s="6" t="s">
        <v>40</v>
      </c>
      <c r="H117" s="8">
        <v>7428</v>
      </c>
      <c r="I117" s="8">
        <f t="shared" si="6"/>
        <v>1634.16</v>
      </c>
      <c r="J117" s="8">
        <f t="shared" si="7"/>
        <v>5793.84</v>
      </c>
      <c r="K117" s="8">
        <v>14506</v>
      </c>
      <c r="L117" s="6">
        <v>5</v>
      </c>
      <c r="M117" s="22" t="str" cm="1">
        <f t="array" ref="M117">_xlfn.IFS(L117&gt;10,"Veteran",L117&gt;=6,"Experienced",L117&gt;=2,"Developing",L117&gt;=0,"New")</f>
        <v>Developing</v>
      </c>
    </row>
    <row r="118" spans="1:13">
      <c r="A118" s="21" t="str">
        <f t="shared" ca="1" si="4"/>
        <v>Ma-Res-2015-117</v>
      </c>
      <c r="B118" s="6">
        <v>34</v>
      </c>
      <c r="C118" s="6" t="str">
        <f t="shared" si="5"/>
        <v>30-39</v>
      </c>
      <c r="D118" s="6" t="s">
        <v>43</v>
      </c>
      <c r="E118" s="6" t="s">
        <v>45</v>
      </c>
      <c r="F118" s="6" t="s">
        <v>39</v>
      </c>
      <c r="G118" s="6" t="s">
        <v>56</v>
      </c>
      <c r="H118" s="8">
        <v>11631</v>
      </c>
      <c r="I118" s="8">
        <f t="shared" si="6"/>
        <v>2558.8200000000002</v>
      </c>
      <c r="J118" s="8">
        <f t="shared" si="7"/>
        <v>9072.18</v>
      </c>
      <c r="K118" s="8">
        <v>5615</v>
      </c>
      <c r="L118" s="6">
        <v>11</v>
      </c>
      <c r="M118" s="22" t="str" cm="1">
        <f t="array" ref="M118">_xlfn.IFS(L118&gt;10,"Veteran",L118&gt;=6,"Experienced",L118&gt;=2,"Developing",L118&gt;=0,"New")</f>
        <v>Veteran</v>
      </c>
    </row>
    <row r="119" spans="1:13">
      <c r="A119" s="21" t="str">
        <f t="shared" ca="1" si="4"/>
        <v>Sa-Sal-2017-118</v>
      </c>
      <c r="B119" s="6">
        <v>36</v>
      </c>
      <c r="C119" s="6" t="str">
        <f t="shared" si="5"/>
        <v>30-39</v>
      </c>
      <c r="D119" s="6" t="s">
        <v>43</v>
      </c>
      <c r="E119" s="6" t="s">
        <v>37</v>
      </c>
      <c r="F119" s="6" t="s">
        <v>39</v>
      </c>
      <c r="G119" s="6" t="s">
        <v>40</v>
      </c>
      <c r="H119" s="8">
        <v>9738</v>
      </c>
      <c r="I119" s="8">
        <f t="shared" si="6"/>
        <v>2142.36</v>
      </c>
      <c r="J119" s="8">
        <f t="shared" si="7"/>
        <v>7595.6399999999994</v>
      </c>
      <c r="K119" s="8">
        <v>22952</v>
      </c>
      <c r="L119" s="6">
        <v>9</v>
      </c>
      <c r="M119" s="22" t="str" cm="1">
        <f t="array" ref="M119">_xlfn.IFS(L119&gt;10,"Veteran",L119&gt;=6,"Experienced",L119&gt;=2,"Developing",L119&gt;=0,"New")</f>
        <v>Experienced</v>
      </c>
    </row>
    <row r="120" spans="1:13">
      <c r="A120" s="21" t="str">
        <f t="shared" ca="1" si="4"/>
        <v>La-Res-2025-119</v>
      </c>
      <c r="B120" s="6">
        <v>36</v>
      </c>
      <c r="C120" s="6" t="str">
        <f t="shared" si="5"/>
        <v>30-39</v>
      </c>
      <c r="D120" s="6" t="s">
        <v>43</v>
      </c>
      <c r="E120" s="6" t="s">
        <v>45</v>
      </c>
      <c r="F120" s="6" t="s">
        <v>39</v>
      </c>
      <c r="G120" s="6" t="s">
        <v>50</v>
      </c>
      <c r="H120" s="8">
        <v>2835</v>
      </c>
      <c r="I120" s="8">
        <f t="shared" si="6"/>
        <v>198.45000000000002</v>
      </c>
      <c r="J120" s="8">
        <f t="shared" si="7"/>
        <v>2636.55</v>
      </c>
      <c r="K120" s="8">
        <v>2561</v>
      </c>
      <c r="L120" s="6">
        <v>1</v>
      </c>
      <c r="M120" s="22" t="str" cm="1">
        <f t="array" ref="M120">_xlfn.IFS(L120&gt;10,"Veteran",L120&gt;=6,"Experienced",L120&gt;=2,"Developing",L120&gt;=0,"New")</f>
        <v>New</v>
      </c>
    </row>
    <row r="121" spans="1:13">
      <c r="A121" s="21" t="str">
        <f t="shared" ca="1" si="4"/>
        <v>Ma-Sal-2001-120</v>
      </c>
      <c r="B121" s="6">
        <v>43</v>
      </c>
      <c r="C121" s="6" t="str">
        <f t="shared" si="5"/>
        <v>40-49</v>
      </c>
      <c r="D121" s="6" t="s">
        <v>43</v>
      </c>
      <c r="E121" s="6" t="s">
        <v>37</v>
      </c>
      <c r="F121" s="6" t="s">
        <v>46</v>
      </c>
      <c r="G121" s="6" t="s">
        <v>56</v>
      </c>
      <c r="H121" s="8">
        <v>16959</v>
      </c>
      <c r="I121" s="8">
        <f t="shared" si="6"/>
        <v>5087.7</v>
      </c>
      <c r="J121" s="8">
        <f t="shared" si="7"/>
        <v>11871.3</v>
      </c>
      <c r="K121" s="8">
        <v>19494</v>
      </c>
      <c r="L121" s="6">
        <v>25</v>
      </c>
      <c r="M121" s="22" t="str" cm="1">
        <f t="array" ref="M121">_xlfn.IFS(L121&gt;10,"Veteran",L121&gt;=6,"Experienced",L121&gt;=2,"Developing",L121&gt;=0,"New")</f>
        <v>Veteran</v>
      </c>
    </row>
    <row r="122" spans="1:13">
      <c r="A122" s="21" t="str">
        <f t="shared" ca="1" si="4"/>
        <v>Re-Res-2016-121</v>
      </c>
      <c r="B122" s="6">
        <v>30</v>
      </c>
      <c r="C122" s="6" t="str">
        <f t="shared" si="5"/>
        <v>30-39</v>
      </c>
      <c r="D122" s="6" t="s">
        <v>43</v>
      </c>
      <c r="E122" s="6" t="s">
        <v>45</v>
      </c>
      <c r="F122" s="6" t="s">
        <v>46</v>
      </c>
      <c r="G122" s="6" t="s">
        <v>47</v>
      </c>
      <c r="H122" s="8">
        <v>2613</v>
      </c>
      <c r="I122" s="8">
        <f t="shared" si="6"/>
        <v>182.91000000000003</v>
      </c>
      <c r="J122" s="8">
        <f t="shared" si="7"/>
        <v>2430.09</v>
      </c>
      <c r="K122" s="8">
        <v>22310</v>
      </c>
      <c r="L122" s="6">
        <v>10</v>
      </c>
      <c r="M122" s="22" t="str" cm="1">
        <f t="array" ref="M122">_xlfn.IFS(L122&gt;10,"Veteran",L122&gt;=6,"Experienced",L122&gt;=2,"Developing",L122&gt;=0,"New")</f>
        <v>Experienced</v>
      </c>
    </row>
    <row r="123" spans="1:13">
      <c r="A123" s="21" t="str">
        <f t="shared" ca="1" si="4"/>
        <v>Sa-Sal-2019-122</v>
      </c>
      <c r="B123" s="6">
        <v>33</v>
      </c>
      <c r="C123" s="6" t="str">
        <f t="shared" si="5"/>
        <v>30-39</v>
      </c>
      <c r="D123" s="6" t="s">
        <v>43</v>
      </c>
      <c r="E123" s="6" t="s">
        <v>37</v>
      </c>
      <c r="F123" s="6" t="s">
        <v>46</v>
      </c>
      <c r="G123" s="6" t="s">
        <v>40</v>
      </c>
      <c r="H123" s="8">
        <v>6146</v>
      </c>
      <c r="I123" s="8">
        <f t="shared" si="6"/>
        <v>921.9</v>
      </c>
      <c r="J123" s="8">
        <f t="shared" si="7"/>
        <v>5224.1000000000004</v>
      </c>
      <c r="K123" s="8">
        <v>15480</v>
      </c>
      <c r="L123" s="6">
        <v>7</v>
      </c>
      <c r="M123" s="22" t="str" cm="1">
        <f t="array" ref="M123">_xlfn.IFS(L123&gt;10,"Veteran",L123&gt;=6,"Experienced",L123&gt;=2,"Developing",L123&gt;=0,"New")</f>
        <v>Experienced</v>
      </c>
    </row>
    <row r="124" spans="1:13">
      <c r="A124" s="21" t="str">
        <f t="shared" ca="1" si="4"/>
        <v>Re-Res-2021-123</v>
      </c>
      <c r="B124" s="6">
        <v>56</v>
      </c>
      <c r="C124" s="6" t="str">
        <f t="shared" si="5"/>
        <v>50+</v>
      </c>
      <c r="D124" s="6" t="s">
        <v>35</v>
      </c>
      <c r="E124" s="6" t="s">
        <v>45</v>
      </c>
      <c r="F124" s="6" t="s">
        <v>39</v>
      </c>
      <c r="G124" s="6" t="s">
        <v>47</v>
      </c>
      <c r="H124" s="8">
        <v>4963</v>
      </c>
      <c r="I124" s="8">
        <f t="shared" si="6"/>
        <v>744.44999999999993</v>
      </c>
      <c r="J124" s="8">
        <f t="shared" si="7"/>
        <v>4218.55</v>
      </c>
      <c r="K124" s="8">
        <v>4510</v>
      </c>
      <c r="L124" s="6">
        <v>5</v>
      </c>
      <c r="M124" s="22" t="str" cm="1">
        <f t="array" ref="M124">_xlfn.IFS(L124&gt;10,"Veteran",L124&gt;=6,"Experienced",L124&gt;=2,"Developing",L124&gt;=0,"New")</f>
        <v>Developing</v>
      </c>
    </row>
    <row r="125" spans="1:13">
      <c r="A125" s="21" t="str">
        <f t="shared" ca="1" si="4"/>
        <v>Re-Res-2006-124</v>
      </c>
      <c r="B125" s="6">
        <v>51</v>
      </c>
      <c r="C125" s="6" t="str">
        <f t="shared" si="5"/>
        <v>50+</v>
      </c>
      <c r="D125" s="6" t="s">
        <v>43</v>
      </c>
      <c r="E125" s="6" t="s">
        <v>45</v>
      </c>
      <c r="F125" s="6" t="s">
        <v>46</v>
      </c>
      <c r="G125" s="6" t="s">
        <v>58</v>
      </c>
      <c r="H125" s="8">
        <v>19537</v>
      </c>
      <c r="I125" s="8">
        <f t="shared" si="6"/>
        <v>5861.0999999999995</v>
      </c>
      <c r="J125" s="8">
        <f t="shared" si="7"/>
        <v>13675.900000000001</v>
      </c>
      <c r="K125" s="8">
        <v>6462</v>
      </c>
      <c r="L125" s="6">
        <v>20</v>
      </c>
      <c r="M125" s="22" t="str" cm="1">
        <f t="array" ref="M125">_xlfn.IFS(L125&gt;10,"Veteran",L125&gt;=6,"Experienced",L125&gt;=2,"Developing",L125&gt;=0,"New")</f>
        <v>Veteran</v>
      </c>
    </row>
    <row r="126" spans="1:13">
      <c r="A126" s="21" t="str">
        <f t="shared" ca="1" si="4"/>
        <v>Sa-Sal-2019-125</v>
      </c>
      <c r="B126" s="6">
        <v>31</v>
      </c>
      <c r="C126" s="6" t="str">
        <f t="shared" si="5"/>
        <v>30-39</v>
      </c>
      <c r="D126" s="6" t="s">
        <v>35</v>
      </c>
      <c r="E126" s="6" t="s">
        <v>37</v>
      </c>
      <c r="F126" s="6" t="s">
        <v>46</v>
      </c>
      <c r="G126" s="6" t="s">
        <v>40</v>
      </c>
      <c r="H126" s="8">
        <v>6172</v>
      </c>
      <c r="I126" s="8">
        <f t="shared" si="6"/>
        <v>925.8</v>
      </c>
      <c r="J126" s="8">
        <f t="shared" si="7"/>
        <v>5246.2</v>
      </c>
      <c r="K126" s="8">
        <v>20739</v>
      </c>
      <c r="L126" s="6">
        <v>7</v>
      </c>
      <c r="M126" s="22" t="str" cm="1">
        <f t="array" ref="M126">_xlfn.IFS(L126&gt;10,"Veteran",L126&gt;=6,"Experienced",L126&gt;=2,"Developing",L126&gt;=0,"New")</f>
        <v>Experienced</v>
      </c>
    </row>
    <row r="127" spans="1:13">
      <c r="A127" s="21" t="str">
        <f t="shared" ca="1" si="4"/>
        <v>Re-Res-2021-126</v>
      </c>
      <c r="B127" s="6">
        <v>26</v>
      </c>
      <c r="C127" s="6" t="str">
        <f t="shared" si="5"/>
        <v>20-29</v>
      </c>
      <c r="D127" s="6" t="s">
        <v>43</v>
      </c>
      <c r="E127" s="6" t="s">
        <v>45</v>
      </c>
      <c r="F127" s="6" t="s">
        <v>39</v>
      </c>
      <c r="G127" s="6" t="s">
        <v>47</v>
      </c>
      <c r="H127" s="8">
        <v>2368</v>
      </c>
      <c r="I127" s="8">
        <f t="shared" si="6"/>
        <v>165.76000000000002</v>
      </c>
      <c r="J127" s="8">
        <f t="shared" si="7"/>
        <v>2202.2399999999998</v>
      </c>
      <c r="K127" s="8">
        <v>23300</v>
      </c>
      <c r="L127" s="6">
        <v>5</v>
      </c>
      <c r="M127" s="22" t="str" cm="1">
        <f t="array" ref="M127">_xlfn.IFS(L127&gt;10,"Veteran",L127&gt;=6,"Experienced",L127&gt;=2,"Developing",L127&gt;=0,"New")</f>
        <v>Developing</v>
      </c>
    </row>
    <row r="128" spans="1:13">
      <c r="A128" s="21" t="str">
        <f t="shared" ca="1" si="4"/>
        <v>He-Res-1986-127</v>
      </c>
      <c r="B128" s="6">
        <v>58</v>
      </c>
      <c r="C128" s="6" t="str">
        <f t="shared" si="5"/>
        <v>50+</v>
      </c>
      <c r="D128" s="6" t="s">
        <v>35</v>
      </c>
      <c r="E128" s="6" t="s">
        <v>45</v>
      </c>
      <c r="F128" s="6" t="s">
        <v>39</v>
      </c>
      <c r="G128" s="6" t="s">
        <v>54</v>
      </c>
      <c r="H128" s="8">
        <v>10312</v>
      </c>
      <c r="I128" s="8">
        <f t="shared" si="6"/>
        <v>2268.64</v>
      </c>
      <c r="J128" s="8">
        <f t="shared" si="7"/>
        <v>8043.3600000000006</v>
      </c>
      <c r="K128" s="8">
        <v>3465</v>
      </c>
      <c r="L128" s="6">
        <v>40</v>
      </c>
      <c r="M128" s="22" t="str" cm="1">
        <f t="array" ref="M128">_xlfn.IFS(L128&gt;10,"Veteran",L128&gt;=6,"Experienced",L128&gt;=2,"Developing",L128&gt;=0,"New")</f>
        <v>Veteran</v>
      </c>
    </row>
    <row r="129" spans="1:13">
      <c r="A129" s="21" t="str">
        <f t="shared" ca="1" si="4"/>
        <v>Sa-Sal-2026-128</v>
      </c>
      <c r="B129" s="6">
        <v>19</v>
      </c>
      <c r="C129" s="6" t="str">
        <f t="shared" si="5"/>
        <v>20-29</v>
      </c>
      <c r="D129" s="6" t="s">
        <v>35</v>
      </c>
      <c r="E129" s="6" t="s">
        <v>37</v>
      </c>
      <c r="F129" s="6" t="s">
        <v>46</v>
      </c>
      <c r="G129" s="6" t="s">
        <v>57</v>
      </c>
      <c r="H129" s="8">
        <v>1675</v>
      </c>
      <c r="I129" s="8">
        <f t="shared" si="6"/>
        <v>117.25000000000001</v>
      </c>
      <c r="J129" s="8">
        <f t="shared" si="7"/>
        <v>1557.75</v>
      </c>
      <c r="K129" s="8">
        <v>26820</v>
      </c>
      <c r="L129" s="6">
        <v>0</v>
      </c>
      <c r="M129" s="22" t="str" cm="1">
        <f t="array" ref="M129">_xlfn.IFS(L129&gt;10,"Veteran",L129&gt;=6,"Experienced",L129&gt;=2,"Developing",L129&gt;=0,"New")</f>
        <v>New</v>
      </c>
    </row>
    <row r="130" spans="1:13">
      <c r="A130" s="21" t="str">
        <f t="shared" ca="1" si="4"/>
        <v>La-Res-2024-129</v>
      </c>
      <c r="B130" s="6">
        <v>22</v>
      </c>
      <c r="C130" s="6" t="str">
        <f t="shared" si="5"/>
        <v>20-29</v>
      </c>
      <c r="D130" s="6" t="s">
        <v>43</v>
      </c>
      <c r="E130" s="6" t="s">
        <v>45</v>
      </c>
      <c r="F130" s="6" t="s">
        <v>46</v>
      </c>
      <c r="G130" s="6" t="s">
        <v>50</v>
      </c>
      <c r="H130" s="8">
        <v>2523</v>
      </c>
      <c r="I130" s="8">
        <f t="shared" si="6"/>
        <v>176.61</v>
      </c>
      <c r="J130" s="8">
        <f t="shared" si="7"/>
        <v>2346.39</v>
      </c>
      <c r="K130" s="8">
        <v>19299</v>
      </c>
      <c r="L130" s="6">
        <v>2</v>
      </c>
      <c r="M130" s="22" t="str" cm="1">
        <f t="array" ref="M130">_xlfn.IFS(L130&gt;10,"Veteran",L130&gt;=6,"Experienced",L130&gt;=2,"Developing",L130&gt;=0,"New")</f>
        <v>Developing</v>
      </c>
    </row>
    <row r="131" spans="1:13">
      <c r="A131" s="21" t="str">
        <f t="shared" ref="A131:A194" ca="1" si="8">LEFT(G131,2)&amp;"-"&amp;LEFT(E131,3)&amp;"-"&amp;YEAR(TODAY())-L131&amp;"-"&amp;TEXT(ROW()-1,"000")</f>
        <v>Ma-Res-2011-130</v>
      </c>
      <c r="B131" s="6">
        <v>49</v>
      </c>
      <c r="C131" s="6" t="str">
        <f t="shared" ref="C131:C194" si="9">IF(B131&lt;=29,"20-29",IF(B131&lt;=39,"30-39",IF(B131&lt;=49,"40-49","50+")))</f>
        <v>40-49</v>
      </c>
      <c r="D131" s="6" t="s">
        <v>43</v>
      </c>
      <c r="E131" s="6" t="s">
        <v>45</v>
      </c>
      <c r="F131" s="6" t="s">
        <v>39</v>
      </c>
      <c r="G131" s="6" t="s">
        <v>53</v>
      </c>
      <c r="H131" s="8">
        <v>6567</v>
      </c>
      <c r="I131" s="8">
        <f t="shared" ref="I131:I194" si="10">IF(H131&gt;13000,H131*30%,IF(H131&gt;7000,H131*22%,IF(H131&gt;3000,H131*15%,H131*7%)))</f>
        <v>985.05</v>
      </c>
      <c r="J131" s="8">
        <f t="shared" ref="J131:J194" si="11">H131-I131</f>
        <v>5581.95</v>
      </c>
      <c r="K131" s="8">
        <v>5549</v>
      </c>
      <c r="L131" s="6">
        <v>15</v>
      </c>
      <c r="M131" s="22" t="str" cm="1">
        <f t="array" ref="M131">_xlfn.IFS(L131&gt;10,"Veteran",L131&gt;=6,"Experienced",L131&gt;=2,"Developing",L131&gt;=0,"New")</f>
        <v>Veteran</v>
      </c>
    </row>
    <row r="132" spans="1:13">
      <c r="A132" s="21" t="str">
        <f t="shared" ca="1" si="8"/>
        <v>Re-Res-2023-131</v>
      </c>
      <c r="B132" s="6">
        <v>43</v>
      </c>
      <c r="C132" s="6" t="str">
        <f t="shared" si="9"/>
        <v>40-49</v>
      </c>
      <c r="D132" s="6" t="s">
        <v>43</v>
      </c>
      <c r="E132" s="6" t="s">
        <v>45</v>
      </c>
      <c r="F132" s="6" t="s">
        <v>39</v>
      </c>
      <c r="G132" s="6" t="s">
        <v>47</v>
      </c>
      <c r="H132" s="8">
        <v>4739</v>
      </c>
      <c r="I132" s="8">
        <f t="shared" si="10"/>
        <v>710.85</v>
      </c>
      <c r="J132" s="8">
        <f t="shared" si="11"/>
        <v>4028.15</v>
      </c>
      <c r="K132" s="8">
        <v>16090</v>
      </c>
      <c r="L132" s="6">
        <v>3</v>
      </c>
      <c r="M132" s="22" t="str" cm="1">
        <f t="array" ref="M132">_xlfn.IFS(L132&gt;10,"Veteran",L132&gt;=6,"Experienced",L132&gt;=2,"Developing",L132&gt;=0,"New")</f>
        <v>Developing</v>
      </c>
    </row>
    <row r="133" spans="1:13">
      <c r="A133" s="21" t="str">
        <f t="shared" ca="1" si="8"/>
        <v>Sa-Sal-2024-132</v>
      </c>
      <c r="B133" s="6">
        <v>50</v>
      </c>
      <c r="C133" s="6" t="str">
        <f t="shared" si="9"/>
        <v>50+</v>
      </c>
      <c r="D133" s="6" t="s">
        <v>43</v>
      </c>
      <c r="E133" s="6" t="s">
        <v>37</v>
      </c>
      <c r="F133" s="6" t="s">
        <v>39</v>
      </c>
      <c r="G133" s="6" t="s">
        <v>40</v>
      </c>
      <c r="H133" s="8">
        <v>9208</v>
      </c>
      <c r="I133" s="8">
        <f t="shared" si="10"/>
        <v>2025.76</v>
      </c>
      <c r="J133" s="8">
        <f t="shared" si="11"/>
        <v>7182.24</v>
      </c>
      <c r="K133" s="8">
        <v>6645</v>
      </c>
      <c r="L133" s="6">
        <v>2</v>
      </c>
      <c r="M133" s="22" t="str" cm="1">
        <f t="array" ref="M133">_xlfn.IFS(L133&gt;10,"Veteran",L133&gt;=6,"Experienced",L133&gt;=2,"Developing",L133&gt;=0,"New")</f>
        <v>Developing</v>
      </c>
    </row>
    <row r="134" spans="1:13">
      <c r="A134" s="21" t="str">
        <f t="shared" ca="1" si="8"/>
        <v>Sa-Sal-2024-133</v>
      </c>
      <c r="B134" s="6">
        <v>31</v>
      </c>
      <c r="C134" s="6" t="str">
        <f t="shared" si="9"/>
        <v>30-39</v>
      </c>
      <c r="D134" s="6" t="s">
        <v>35</v>
      </c>
      <c r="E134" s="6" t="s">
        <v>37</v>
      </c>
      <c r="F134" s="6" t="s">
        <v>39</v>
      </c>
      <c r="G134" s="6" t="s">
        <v>40</v>
      </c>
      <c r="H134" s="8">
        <v>4559</v>
      </c>
      <c r="I134" s="8">
        <f t="shared" si="10"/>
        <v>683.85</v>
      </c>
      <c r="J134" s="8">
        <f t="shared" si="11"/>
        <v>3875.15</v>
      </c>
      <c r="K134" s="8">
        <v>24788</v>
      </c>
      <c r="L134" s="6">
        <v>2</v>
      </c>
      <c r="M134" s="22" t="str" cm="1">
        <f t="array" ref="M134">_xlfn.IFS(L134&gt;10,"Veteran",L134&gt;=6,"Experienced",L134&gt;=2,"Developing",L134&gt;=0,"New")</f>
        <v>Developing</v>
      </c>
    </row>
    <row r="135" spans="1:13">
      <c r="A135" s="21" t="str">
        <f t="shared" ca="1" si="8"/>
        <v>Sa-Sal-2017-134</v>
      </c>
      <c r="B135" s="6">
        <v>41</v>
      </c>
      <c r="C135" s="6" t="str">
        <f t="shared" si="9"/>
        <v>40-49</v>
      </c>
      <c r="D135" s="6" t="s">
        <v>43</v>
      </c>
      <c r="E135" s="6" t="s">
        <v>37</v>
      </c>
      <c r="F135" s="6" t="s">
        <v>46</v>
      </c>
      <c r="G135" s="6" t="s">
        <v>40</v>
      </c>
      <c r="H135" s="8">
        <v>8189</v>
      </c>
      <c r="I135" s="8">
        <f t="shared" si="10"/>
        <v>1801.58</v>
      </c>
      <c r="J135" s="8">
        <f t="shared" si="11"/>
        <v>6387.42</v>
      </c>
      <c r="K135" s="8">
        <v>21196</v>
      </c>
      <c r="L135" s="6">
        <v>9</v>
      </c>
      <c r="M135" s="22" t="str" cm="1">
        <f t="array" ref="M135">_xlfn.IFS(L135&gt;10,"Veteran",L135&gt;=6,"Experienced",L135&gt;=2,"Developing",L135&gt;=0,"New")</f>
        <v>Experienced</v>
      </c>
    </row>
    <row r="136" spans="1:13">
      <c r="A136" s="21" t="str">
        <f t="shared" ca="1" si="8"/>
        <v>Hu-Hum-2018-135</v>
      </c>
      <c r="B136" s="6">
        <v>26</v>
      </c>
      <c r="C136" s="6" t="str">
        <f t="shared" si="9"/>
        <v>20-29</v>
      </c>
      <c r="D136" s="6" t="s">
        <v>43</v>
      </c>
      <c r="E136" s="6" t="s">
        <v>61</v>
      </c>
      <c r="F136" s="6" t="s">
        <v>39</v>
      </c>
      <c r="G136" s="6" t="s">
        <v>61</v>
      </c>
      <c r="H136" s="8">
        <v>2942</v>
      </c>
      <c r="I136" s="8">
        <f t="shared" si="10"/>
        <v>205.94000000000003</v>
      </c>
      <c r="J136" s="8">
        <f t="shared" si="11"/>
        <v>2736.06</v>
      </c>
      <c r="K136" s="8">
        <v>8916</v>
      </c>
      <c r="L136" s="6">
        <v>8</v>
      </c>
      <c r="M136" s="22" t="str" cm="1">
        <f t="array" ref="M136">_xlfn.IFS(L136&gt;10,"Veteran",L136&gt;=6,"Experienced",L136&gt;=2,"Developing",L136&gt;=0,"New")</f>
        <v>Experienced</v>
      </c>
    </row>
    <row r="137" spans="1:13">
      <c r="A137" s="21" t="str">
        <f t="shared" ca="1" si="8"/>
        <v>Ma-Res-2023-136</v>
      </c>
      <c r="B137" s="6">
        <v>36</v>
      </c>
      <c r="C137" s="6" t="str">
        <f t="shared" si="9"/>
        <v>30-39</v>
      </c>
      <c r="D137" s="6" t="s">
        <v>43</v>
      </c>
      <c r="E137" s="6" t="s">
        <v>45</v>
      </c>
      <c r="F137" s="6" t="s">
        <v>46</v>
      </c>
      <c r="G137" s="6" t="s">
        <v>53</v>
      </c>
      <c r="H137" s="8">
        <v>4941</v>
      </c>
      <c r="I137" s="8">
        <f t="shared" si="10"/>
        <v>741.15</v>
      </c>
      <c r="J137" s="8">
        <f t="shared" si="11"/>
        <v>4199.8500000000004</v>
      </c>
      <c r="K137" s="8">
        <v>2819</v>
      </c>
      <c r="L137" s="6">
        <v>3</v>
      </c>
      <c r="M137" s="22" t="str" cm="1">
        <f t="array" ref="M137">_xlfn.IFS(L137&gt;10,"Veteran",L137&gt;=6,"Experienced",L137&gt;=2,"Developing",L137&gt;=0,"New")</f>
        <v>Developing</v>
      </c>
    </row>
    <row r="138" spans="1:13">
      <c r="A138" s="21" t="str">
        <f t="shared" ca="1" si="8"/>
        <v>Ma-Res-2022-137</v>
      </c>
      <c r="B138" s="6">
        <v>51</v>
      </c>
      <c r="C138" s="6" t="str">
        <f t="shared" si="9"/>
        <v>50+</v>
      </c>
      <c r="D138" s="6" t="s">
        <v>35</v>
      </c>
      <c r="E138" s="6" t="s">
        <v>45</v>
      </c>
      <c r="F138" s="6" t="s">
        <v>46</v>
      </c>
      <c r="G138" s="6" t="s">
        <v>53</v>
      </c>
      <c r="H138" s="8">
        <v>10650</v>
      </c>
      <c r="I138" s="8">
        <f t="shared" si="10"/>
        <v>2343</v>
      </c>
      <c r="J138" s="8">
        <f t="shared" si="11"/>
        <v>8307</v>
      </c>
      <c r="K138" s="8">
        <v>25150</v>
      </c>
      <c r="L138" s="6">
        <v>4</v>
      </c>
      <c r="M138" s="22" t="str" cm="1">
        <f t="array" ref="M138">_xlfn.IFS(L138&gt;10,"Veteran",L138&gt;=6,"Experienced",L138&gt;=2,"Developing",L138&gt;=0,"New")</f>
        <v>Developing</v>
      </c>
    </row>
    <row r="139" spans="1:13">
      <c r="A139" s="21" t="str">
        <f t="shared" ca="1" si="8"/>
        <v>Sa-Sal-2011-138</v>
      </c>
      <c r="B139" s="6">
        <v>39</v>
      </c>
      <c r="C139" s="6" t="str">
        <f t="shared" si="9"/>
        <v>30-39</v>
      </c>
      <c r="D139" s="6" t="s">
        <v>43</v>
      </c>
      <c r="E139" s="6" t="s">
        <v>37</v>
      </c>
      <c r="F139" s="6" t="s">
        <v>39</v>
      </c>
      <c r="G139" s="6" t="s">
        <v>40</v>
      </c>
      <c r="H139" s="8">
        <v>5902</v>
      </c>
      <c r="I139" s="8">
        <f t="shared" si="10"/>
        <v>885.3</v>
      </c>
      <c r="J139" s="8">
        <f t="shared" si="11"/>
        <v>5016.7</v>
      </c>
      <c r="K139" s="8">
        <v>14590</v>
      </c>
      <c r="L139" s="6">
        <v>15</v>
      </c>
      <c r="M139" s="22" t="str" cm="1">
        <f t="array" ref="M139">_xlfn.IFS(L139&gt;10,"Veteran",L139&gt;=6,"Experienced",L139&gt;=2,"Developing",L139&gt;=0,"New")</f>
        <v>Veteran</v>
      </c>
    </row>
    <row r="140" spans="1:13">
      <c r="A140" s="21" t="str">
        <f t="shared" ca="1" si="8"/>
        <v>Sa-Sal-2024-139</v>
      </c>
      <c r="B140" s="6">
        <v>25</v>
      </c>
      <c r="C140" s="6" t="str">
        <f t="shared" si="9"/>
        <v>20-29</v>
      </c>
      <c r="D140" s="6" t="s">
        <v>43</v>
      </c>
      <c r="E140" s="6" t="s">
        <v>37</v>
      </c>
      <c r="F140" s="6" t="s">
        <v>46</v>
      </c>
      <c r="G140" s="6" t="s">
        <v>40</v>
      </c>
      <c r="H140" s="8">
        <v>8639</v>
      </c>
      <c r="I140" s="8">
        <f t="shared" si="10"/>
        <v>1900.58</v>
      </c>
      <c r="J140" s="8">
        <f t="shared" si="11"/>
        <v>6738.42</v>
      </c>
      <c r="K140" s="8">
        <v>24835</v>
      </c>
      <c r="L140" s="6">
        <v>2</v>
      </c>
      <c r="M140" s="22" t="str" cm="1">
        <f t="array" ref="M140">_xlfn.IFS(L140&gt;10,"Veteran",L140&gt;=6,"Experienced",L140&gt;=2,"Developing",L140&gt;=0,"New")</f>
        <v>Developing</v>
      </c>
    </row>
    <row r="141" spans="1:13">
      <c r="A141" s="21" t="str">
        <f t="shared" ca="1" si="8"/>
        <v>Hu-Hum-2015-140</v>
      </c>
      <c r="B141" s="6">
        <v>30</v>
      </c>
      <c r="C141" s="6" t="str">
        <f t="shared" si="9"/>
        <v>30-39</v>
      </c>
      <c r="D141" s="6" t="s">
        <v>43</v>
      </c>
      <c r="E141" s="6" t="s">
        <v>61</v>
      </c>
      <c r="F141" s="6" t="s">
        <v>46</v>
      </c>
      <c r="G141" s="6" t="s">
        <v>61</v>
      </c>
      <c r="H141" s="8">
        <v>6347</v>
      </c>
      <c r="I141" s="8">
        <f t="shared" si="10"/>
        <v>952.05</v>
      </c>
      <c r="J141" s="8">
        <f t="shared" si="11"/>
        <v>5394.95</v>
      </c>
      <c r="K141" s="8">
        <v>13982</v>
      </c>
      <c r="L141" s="6">
        <v>11</v>
      </c>
      <c r="M141" s="22" t="str" cm="1">
        <f t="array" ref="M141">_xlfn.IFS(L141&gt;10,"Veteran",L141&gt;=6,"Experienced",L141&gt;=2,"Developing",L141&gt;=0,"New")</f>
        <v>Veteran</v>
      </c>
    </row>
    <row r="142" spans="1:13">
      <c r="A142" s="21" t="str">
        <f t="shared" ca="1" si="8"/>
        <v>La-Res-2021-141</v>
      </c>
      <c r="B142" s="6">
        <v>32</v>
      </c>
      <c r="C142" s="6" t="str">
        <f t="shared" si="9"/>
        <v>30-39</v>
      </c>
      <c r="D142" s="6" t="s">
        <v>35</v>
      </c>
      <c r="E142" s="6" t="s">
        <v>45</v>
      </c>
      <c r="F142" s="6" t="s">
        <v>39</v>
      </c>
      <c r="G142" s="6" t="s">
        <v>50</v>
      </c>
      <c r="H142" s="8">
        <v>4200</v>
      </c>
      <c r="I142" s="8">
        <f t="shared" si="10"/>
        <v>630</v>
      </c>
      <c r="J142" s="8">
        <f t="shared" si="11"/>
        <v>3570</v>
      </c>
      <c r="K142" s="8">
        <v>10224</v>
      </c>
      <c r="L142" s="6">
        <v>5</v>
      </c>
      <c r="M142" s="22" t="str" cm="1">
        <f t="array" ref="M142">_xlfn.IFS(L142&gt;10,"Veteran",L142&gt;=6,"Experienced",L142&gt;=2,"Developing",L142&gt;=0,"New")</f>
        <v>Developing</v>
      </c>
    </row>
    <row r="143" spans="1:13">
      <c r="A143" s="21" t="str">
        <f t="shared" ca="1" si="8"/>
        <v>Re-Res-2020-142</v>
      </c>
      <c r="B143" s="6">
        <v>45</v>
      </c>
      <c r="C143" s="6" t="str">
        <f t="shared" si="9"/>
        <v>40-49</v>
      </c>
      <c r="D143" s="6" t="s">
        <v>43</v>
      </c>
      <c r="E143" s="6" t="s">
        <v>45</v>
      </c>
      <c r="F143" s="6" t="s">
        <v>46</v>
      </c>
      <c r="G143" s="6" t="s">
        <v>47</v>
      </c>
      <c r="H143" s="8">
        <v>3452</v>
      </c>
      <c r="I143" s="8">
        <f t="shared" si="10"/>
        <v>517.79999999999995</v>
      </c>
      <c r="J143" s="8">
        <f t="shared" si="11"/>
        <v>2934.2</v>
      </c>
      <c r="K143" s="8">
        <v>9752</v>
      </c>
      <c r="L143" s="6">
        <v>6</v>
      </c>
      <c r="M143" s="22" t="str" cm="1">
        <f t="array" ref="M143">_xlfn.IFS(L143&gt;10,"Veteran",L143&gt;=6,"Experienced",L143&gt;=2,"Developing",L143&gt;=0,"New")</f>
        <v>Experienced</v>
      </c>
    </row>
    <row r="144" spans="1:13">
      <c r="A144" s="21" t="str">
        <f t="shared" ca="1" si="8"/>
        <v>Re-Res-2023-143</v>
      </c>
      <c r="B144" s="6">
        <v>38</v>
      </c>
      <c r="C144" s="6" t="str">
        <f t="shared" si="9"/>
        <v>30-39</v>
      </c>
      <c r="D144" s="6" t="s">
        <v>43</v>
      </c>
      <c r="E144" s="6" t="s">
        <v>45</v>
      </c>
      <c r="F144" s="6" t="s">
        <v>39</v>
      </c>
      <c r="G144" s="6" t="s">
        <v>47</v>
      </c>
      <c r="H144" s="8">
        <v>4317</v>
      </c>
      <c r="I144" s="8">
        <f t="shared" si="10"/>
        <v>647.54999999999995</v>
      </c>
      <c r="J144" s="8">
        <f t="shared" si="11"/>
        <v>3669.45</v>
      </c>
      <c r="K144" s="8">
        <v>2302</v>
      </c>
      <c r="L144" s="6">
        <v>3</v>
      </c>
      <c r="M144" s="22" t="str" cm="1">
        <f t="array" ref="M144">_xlfn.IFS(L144&gt;10,"Veteran",L144&gt;=6,"Experienced",L144&gt;=2,"Developing",L144&gt;=0,"New")</f>
        <v>Developing</v>
      </c>
    </row>
    <row r="145" spans="1:13">
      <c r="A145" s="21" t="str">
        <f t="shared" ca="1" si="8"/>
        <v>Re-Res-2021-144</v>
      </c>
      <c r="B145" s="6">
        <v>30</v>
      </c>
      <c r="C145" s="6" t="str">
        <f t="shared" si="9"/>
        <v>30-39</v>
      </c>
      <c r="D145" s="6" t="s">
        <v>43</v>
      </c>
      <c r="E145" s="6" t="s">
        <v>45</v>
      </c>
      <c r="F145" s="6" t="s">
        <v>39</v>
      </c>
      <c r="G145" s="6" t="s">
        <v>47</v>
      </c>
      <c r="H145" s="8">
        <v>2632</v>
      </c>
      <c r="I145" s="8">
        <f t="shared" si="10"/>
        <v>184.24</v>
      </c>
      <c r="J145" s="8">
        <f t="shared" si="11"/>
        <v>2447.7600000000002</v>
      </c>
      <c r="K145" s="8">
        <v>23910</v>
      </c>
      <c r="L145" s="6">
        <v>5</v>
      </c>
      <c r="M145" s="22" t="str" cm="1">
        <f t="array" ref="M145">_xlfn.IFS(L145&gt;10,"Veteran",L145&gt;=6,"Experienced",L145&gt;=2,"Developing",L145&gt;=0,"New")</f>
        <v>Developing</v>
      </c>
    </row>
    <row r="146" spans="1:13">
      <c r="A146" s="21" t="str">
        <f t="shared" ca="1" si="8"/>
        <v>Sa-Sal-2018-145</v>
      </c>
      <c r="B146" s="6">
        <v>32</v>
      </c>
      <c r="C146" s="6" t="str">
        <f t="shared" si="9"/>
        <v>30-39</v>
      </c>
      <c r="D146" s="6" t="s">
        <v>43</v>
      </c>
      <c r="E146" s="6" t="s">
        <v>37</v>
      </c>
      <c r="F146" s="6" t="s">
        <v>46</v>
      </c>
      <c r="G146" s="6" t="s">
        <v>40</v>
      </c>
      <c r="H146" s="8">
        <v>4668</v>
      </c>
      <c r="I146" s="8">
        <f t="shared" si="10"/>
        <v>700.19999999999993</v>
      </c>
      <c r="J146" s="8">
        <f t="shared" si="11"/>
        <v>3967.8</v>
      </c>
      <c r="K146" s="8">
        <v>22812</v>
      </c>
      <c r="L146" s="6">
        <v>8</v>
      </c>
      <c r="M146" s="22" t="str" cm="1">
        <f t="array" ref="M146">_xlfn.IFS(L146&gt;10,"Veteran",L146&gt;=6,"Experienced",L146&gt;=2,"Developing",L146&gt;=0,"New")</f>
        <v>Experienced</v>
      </c>
    </row>
    <row r="147" spans="1:13">
      <c r="A147" s="21" t="str">
        <f t="shared" ca="1" si="8"/>
        <v>Re-Res-2023-146</v>
      </c>
      <c r="B147" s="6">
        <v>30</v>
      </c>
      <c r="C147" s="6" t="str">
        <f t="shared" si="9"/>
        <v>30-39</v>
      </c>
      <c r="D147" s="6" t="s">
        <v>43</v>
      </c>
      <c r="E147" s="6" t="s">
        <v>45</v>
      </c>
      <c r="F147" s="6" t="s">
        <v>39</v>
      </c>
      <c r="G147" s="6" t="s">
        <v>47</v>
      </c>
      <c r="H147" s="8">
        <v>3204</v>
      </c>
      <c r="I147" s="8">
        <f t="shared" si="10"/>
        <v>480.59999999999997</v>
      </c>
      <c r="J147" s="8">
        <f t="shared" si="11"/>
        <v>2723.4</v>
      </c>
      <c r="K147" s="8">
        <v>10415</v>
      </c>
      <c r="L147" s="6">
        <v>3</v>
      </c>
      <c r="M147" s="22" t="str" cm="1">
        <f t="array" ref="M147">_xlfn.IFS(L147&gt;10,"Veteran",L147&gt;=6,"Experienced",L147&gt;=2,"Developing",L147&gt;=0,"New")</f>
        <v>Developing</v>
      </c>
    </row>
    <row r="148" spans="1:13">
      <c r="A148" s="21" t="str">
        <f t="shared" ca="1" si="8"/>
        <v>La-Res-2021-147</v>
      </c>
      <c r="B148" s="6">
        <v>30</v>
      </c>
      <c r="C148" s="6" t="str">
        <f t="shared" si="9"/>
        <v>30-39</v>
      </c>
      <c r="D148" s="6" t="s">
        <v>43</v>
      </c>
      <c r="E148" s="6" t="s">
        <v>45</v>
      </c>
      <c r="F148" s="6" t="s">
        <v>46</v>
      </c>
      <c r="G148" s="6" t="s">
        <v>50</v>
      </c>
      <c r="H148" s="8">
        <v>2720</v>
      </c>
      <c r="I148" s="8">
        <f t="shared" si="10"/>
        <v>190.4</v>
      </c>
      <c r="J148" s="8">
        <f t="shared" si="11"/>
        <v>2529.6</v>
      </c>
      <c r="K148" s="8">
        <v>11162</v>
      </c>
      <c r="L148" s="6">
        <v>5</v>
      </c>
      <c r="M148" s="22" t="str" cm="1">
        <f t="array" ref="M148">_xlfn.IFS(L148&gt;10,"Veteran",L148&gt;=6,"Experienced",L148&gt;=2,"Developing",L148&gt;=0,"New")</f>
        <v>Developing</v>
      </c>
    </row>
    <row r="149" spans="1:13">
      <c r="A149" s="21" t="str">
        <f t="shared" ca="1" si="8"/>
        <v>Ma-Res-2019-148</v>
      </c>
      <c r="B149" s="6">
        <v>41</v>
      </c>
      <c r="C149" s="6" t="str">
        <f t="shared" si="9"/>
        <v>40-49</v>
      </c>
      <c r="D149" s="6" t="s">
        <v>43</v>
      </c>
      <c r="E149" s="6" t="s">
        <v>45</v>
      </c>
      <c r="F149" s="6" t="s">
        <v>46</v>
      </c>
      <c r="G149" s="6" t="s">
        <v>56</v>
      </c>
      <c r="H149" s="8">
        <v>17181</v>
      </c>
      <c r="I149" s="8">
        <f t="shared" si="10"/>
        <v>5154.3</v>
      </c>
      <c r="J149" s="8">
        <f t="shared" si="11"/>
        <v>12026.7</v>
      </c>
      <c r="K149" s="8">
        <v>12888</v>
      </c>
      <c r="L149" s="6">
        <v>7</v>
      </c>
      <c r="M149" s="22" t="str" cm="1">
        <f t="array" ref="M149">_xlfn.IFS(L149&gt;10,"Veteran",L149&gt;=6,"Experienced",L149&gt;=2,"Developing",L149&gt;=0,"New")</f>
        <v>Experienced</v>
      </c>
    </row>
    <row r="150" spans="1:13">
      <c r="A150" s="21" t="str">
        <f t="shared" ca="1" si="8"/>
        <v>La-Res-2021-149</v>
      </c>
      <c r="B150" s="6">
        <v>41</v>
      </c>
      <c r="C150" s="6" t="str">
        <f t="shared" si="9"/>
        <v>40-49</v>
      </c>
      <c r="D150" s="6" t="s">
        <v>43</v>
      </c>
      <c r="E150" s="6" t="s">
        <v>45</v>
      </c>
      <c r="F150" s="6" t="s">
        <v>46</v>
      </c>
      <c r="G150" s="6" t="s">
        <v>50</v>
      </c>
      <c r="H150" s="8">
        <v>2238</v>
      </c>
      <c r="I150" s="8">
        <f t="shared" si="10"/>
        <v>156.66000000000003</v>
      </c>
      <c r="J150" s="8">
        <f t="shared" si="11"/>
        <v>2081.34</v>
      </c>
      <c r="K150" s="8">
        <v>6961</v>
      </c>
      <c r="L150" s="6">
        <v>5</v>
      </c>
      <c r="M150" s="22" t="str" cm="1">
        <f t="array" ref="M150">_xlfn.IFS(L150&gt;10,"Veteran",L150&gt;=6,"Experienced",L150&gt;=2,"Developing",L150&gt;=0,"New")</f>
        <v>Developing</v>
      </c>
    </row>
    <row r="151" spans="1:13">
      <c r="A151" s="21" t="str">
        <f t="shared" ca="1" si="8"/>
        <v>La-Res-2025-150</v>
      </c>
      <c r="B151" s="6">
        <v>19</v>
      </c>
      <c r="C151" s="6" t="str">
        <f t="shared" si="9"/>
        <v>20-29</v>
      </c>
      <c r="D151" s="6" t="s">
        <v>43</v>
      </c>
      <c r="E151" s="6" t="s">
        <v>45</v>
      </c>
      <c r="F151" s="6" t="s">
        <v>39</v>
      </c>
      <c r="G151" s="6" t="s">
        <v>50</v>
      </c>
      <c r="H151" s="8">
        <v>1483</v>
      </c>
      <c r="I151" s="8">
        <f t="shared" si="10"/>
        <v>103.81000000000002</v>
      </c>
      <c r="J151" s="8">
        <f t="shared" si="11"/>
        <v>1379.19</v>
      </c>
      <c r="K151" s="8">
        <v>16102</v>
      </c>
      <c r="L151" s="6">
        <v>1</v>
      </c>
      <c r="M151" s="22" t="str" cm="1">
        <f t="array" ref="M151">_xlfn.IFS(L151&gt;10,"Veteran",L151&gt;=6,"Experienced",L151&gt;=2,"Developing",L151&gt;=0,"New")</f>
        <v>New</v>
      </c>
    </row>
    <row r="152" spans="1:13">
      <c r="A152" s="21" t="str">
        <f t="shared" ca="1" si="8"/>
        <v>Re-Res-2006-151</v>
      </c>
      <c r="B152" s="6">
        <v>40</v>
      </c>
      <c r="C152" s="6" t="str">
        <f t="shared" si="9"/>
        <v>40-49</v>
      </c>
      <c r="D152" s="6" t="s">
        <v>43</v>
      </c>
      <c r="E152" s="6" t="s">
        <v>45</v>
      </c>
      <c r="F152" s="6" t="s">
        <v>39</v>
      </c>
      <c r="G152" s="6" t="s">
        <v>47</v>
      </c>
      <c r="H152" s="8">
        <v>5605</v>
      </c>
      <c r="I152" s="8">
        <f t="shared" si="10"/>
        <v>840.75</v>
      </c>
      <c r="J152" s="8">
        <f t="shared" si="11"/>
        <v>4764.25</v>
      </c>
      <c r="K152" s="8">
        <v>8504</v>
      </c>
      <c r="L152" s="6">
        <v>20</v>
      </c>
      <c r="M152" s="22" t="str" cm="1">
        <f t="array" ref="M152">_xlfn.IFS(L152&gt;10,"Veteran",L152&gt;=6,"Experienced",L152&gt;=2,"Developing",L152&gt;=0,"New")</f>
        <v>Veteran</v>
      </c>
    </row>
    <row r="153" spans="1:13">
      <c r="A153" s="21" t="str">
        <f t="shared" ca="1" si="8"/>
        <v>Sa-Sal-2016-152</v>
      </c>
      <c r="B153" s="6">
        <v>35</v>
      </c>
      <c r="C153" s="6" t="str">
        <f t="shared" si="9"/>
        <v>30-39</v>
      </c>
      <c r="D153" s="6" t="s">
        <v>43</v>
      </c>
      <c r="E153" s="6" t="s">
        <v>37</v>
      </c>
      <c r="F153" s="6" t="s">
        <v>46</v>
      </c>
      <c r="G153" s="6" t="s">
        <v>40</v>
      </c>
      <c r="H153" s="8">
        <v>7295</v>
      </c>
      <c r="I153" s="8">
        <f t="shared" si="10"/>
        <v>1604.9</v>
      </c>
      <c r="J153" s="8">
        <f t="shared" si="11"/>
        <v>5690.1</v>
      </c>
      <c r="K153" s="8">
        <v>11439</v>
      </c>
      <c r="L153" s="6">
        <v>10</v>
      </c>
      <c r="M153" s="22" t="str" cm="1">
        <f t="array" ref="M153">_xlfn.IFS(L153&gt;10,"Veteran",L153&gt;=6,"Experienced",L153&gt;=2,"Developing",L153&gt;=0,"New")</f>
        <v>Experienced</v>
      </c>
    </row>
    <row r="154" spans="1:13">
      <c r="A154" s="21" t="str">
        <f t="shared" ca="1" si="8"/>
        <v>Sa-Sal-2019-153</v>
      </c>
      <c r="B154" s="6">
        <v>53</v>
      </c>
      <c r="C154" s="6" t="str">
        <f t="shared" si="9"/>
        <v>50+</v>
      </c>
      <c r="D154" s="6" t="s">
        <v>43</v>
      </c>
      <c r="E154" s="6" t="s">
        <v>37</v>
      </c>
      <c r="F154" s="6" t="s">
        <v>46</v>
      </c>
      <c r="G154" s="6" t="s">
        <v>57</v>
      </c>
      <c r="H154" s="8">
        <v>2306</v>
      </c>
      <c r="I154" s="8">
        <f t="shared" si="10"/>
        <v>161.42000000000002</v>
      </c>
      <c r="J154" s="8">
        <f t="shared" si="11"/>
        <v>2144.58</v>
      </c>
      <c r="K154" s="8">
        <v>16047</v>
      </c>
      <c r="L154" s="6">
        <v>7</v>
      </c>
      <c r="M154" s="22" t="str" cm="1">
        <f t="array" ref="M154">_xlfn.IFS(L154&gt;10,"Veteran",L154&gt;=6,"Experienced",L154&gt;=2,"Developing",L154&gt;=0,"New")</f>
        <v>Experienced</v>
      </c>
    </row>
    <row r="155" spans="1:13">
      <c r="A155" s="21" t="str">
        <f t="shared" ca="1" si="8"/>
        <v>La-Res-2009-154</v>
      </c>
      <c r="B155" s="6">
        <v>45</v>
      </c>
      <c r="C155" s="6" t="str">
        <f t="shared" si="9"/>
        <v>40-49</v>
      </c>
      <c r="D155" s="6" t="s">
        <v>43</v>
      </c>
      <c r="E155" s="6" t="s">
        <v>45</v>
      </c>
      <c r="F155" s="6" t="s">
        <v>46</v>
      </c>
      <c r="G155" s="6" t="s">
        <v>50</v>
      </c>
      <c r="H155" s="8">
        <v>2348</v>
      </c>
      <c r="I155" s="8">
        <f t="shared" si="10"/>
        <v>164.36</v>
      </c>
      <c r="J155" s="8">
        <f t="shared" si="11"/>
        <v>2183.64</v>
      </c>
      <c r="K155" s="8">
        <v>10901</v>
      </c>
      <c r="L155" s="6">
        <v>17</v>
      </c>
      <c r="M155" s="22" t="str" cm="1">
        <f t="array" ref="M155">_xlfn.IFS(L155&gt;10,"Veteran",L155&gt;=6,"Experienced",L155&gt;=2,"Developing",L155&gt;=0,"New")</f>
        <v>Veteran</v>
      </c>
    </row>
    <row r="156" spans="1:13">
      <c r="A156" s="21" t="str">
        <f t="shared" ca="1" si="8"/>
        <v>Sa-Sal-2017-155</v>
      </c>
      <c r="B156" s="6">
        <v>32</v>
      </c>
      <c r="C156" s="6" t="str">
        <f t="shared" si="9"/>
        <v>30-39</v>
      </c>
      <c r="D156" s="6" t="s">
        <v>43</v>
      </c>
      <c r="E156" s="6" t="s">
        <v>37</v>
      </c>
      <c r="F156" s="6" t="s">
        <v>39</v>
      </c>
      <c r="G156" s="6" t="s">
        <v>40</v>
      </c>
      <c r="H156" s="8">
        <v>8998</v>
      </c>
      <c r="I156" s="8">
        <f t="shared" si="10"/>
        <v>1979.56</v>
      </c>
      <c r="J156" s="8">
        <f t="shared" si="11"/>
        <v>7018.4400000000005</v>
      </c>
      <c r="K156" s="8">
        <v>15589</v>
      </c>
      <c r="L156" s="6">
        <v>9</v>
      </c>
      <c r="M156" s="22" t="str" cm="1">
        <f t="array" ref="M156">_xlfn.IFS(L156&gt;10,"Veteran",L156&gt;=6,"Experienced",L156&gt;=2,"Developing",L156&gt;=0,"New")</f>
        <v>Experienced</v>
      </c>
    </row>
    <row r="157" spans="1:13">
      <c r="A157" s="21" t="str">
        <f t="shared" ca="1" si="8"/>
        <v>Ma-Res-2016-156</v>
      </c>
      <c r="B157" s="6">
        <v>29</v>
      </c>
      <c r="C157" s="6" t="str">
        <f t="shared" si="9"/>
        <v>20-29</v>
      </c>
      <c r="D157" s="6" t="s">
        <v>43</v>
      </c>
      <c r="E157" s="6" t="s">
        <v>45</v>
      </c>
      <c r="F157" s="6" t="s">
        <v>46</v>
      </c>
      <c r="G157" s="6" t="s">
        <v>53</v>
      </c>
      <c r="H157" s="8">
        <v>4319</v>
      </c>
      <c r="I157" s="8">
        <f t="shared" si="10"/>
        <v>647.85</v>
      </c>
      <c r="J157" s="8">
        <f t="shared" si="11"/>
        <v>3671.15</v>
      </c>
      <c r="K157" s="8">
        <v>26283</v>
      </c>
      <c r="L157" s="6">
        <v>10</v>
      </c>
      <c r="M157" s="22" t="str" cm="1">
        <f t="array" ref="M157">_xlfn.IFS(L157&gt;10,"Veteran",L157&gt;=6,"Experienced",L157&gt;=2,"Developing",L157&gt;=0,"New")</f>
        <v>Experienced</v>
      </c>
    </row>
    <row r="158" spans="1:13">
      <c r="A158" s="21" t="str">
        <f t="shared" ca="1" si="8"/>
        <v>Ma-Res-2025-157</v>
      </c>
      <c r="B158" s="6">
        <v>51</v>
      </c>
      <c r="C158" s="6" t="str">
        <f t="shared" si="9"/>
        <v>50+</v>
      </c>
      <c r="D158" s="6" t="s">
        <v>43</v>
      </c>
      <c r="E158" s="6" t="s">
        <v>45</v>
      </c>
      <c r="F158" s="6" t="s">
        <v>46</v>
      </c>
      <c r="G158" s="6" t="s">
        <v>53</v>
      </c>
      <c r="H158" s="8">
        <v>6132</v>
      </c>
      <c r="I158" s="8">
        <f t="shared" si="10"/>
        <v>919.8</v>
      </c>
      <c r="J158" s="8">
        <f t="shared" si="11"/>
        <v>5212.2</v>
      </c>
      <c r="K158" s="8">
        <v>13983</v>
      </c>
      <c r="L158" s="6">
        <v>1</v>
      </c>
      <c r="M158" s="22" t="str" cm="1">
        <f t="array" ref="M158">_xlfn.IFS(L158&gt;10,"Veteran",L158&gt;=6,"Experienced",L158&gt;=2,"Developing",L158&gt;=0,"New")</f>
        <v>New</v>
      </c>
    </row>
    <row r="159" spans="1:13">
      <c r="A159" s="21" t="str">
        <f t="shared" ca="1" si="8"/>
        <v>Re-Res-2025-158</v>
      </c>
      <c r="B159" s="6">
        <v>58</v>
      </c>
      <c r="C159" s="6" t="str">
        <f t="shared" si="9"/>
        <v>50+</v>
      </c>
      <c r="D159" s="6" t="s">
        <v>43</v>
      </c>
      <c r="E159" s="6" t="s">
        <v>45</v>
      </c>
      <c r="F159" s="6" t="s">
        <v>39</v>
      </c>
      <c r="G159" s="6" t="s">
        <v>47</v>
      </c>
      <c r="H159" s="8">
        <v>3346</v>
      </c>
      <c r="I159" s="8">
        <f t="shared" si="10"/>
        <v>501.9</v>
      </c>
      <c r="J159" s="8">
        <f t="shared" si="11"/>
        <v>2844.1</v>
      </c>
      <c r="K159" s="8">
        <v>11873</v>
      </c>
      <c r="L159" s="6">
        <v>1</v>
      </c>
      <c r="M159" s="22" t="str" cm="1">
        <f t="array" ref="M159">_xlfn.IFS(L159&gt;10,"Veteran",L159&gt;=6,"Experienced",L159&gt;=2,"Developing",L159&gt;=0,"New")</f>
        <v>New</v>
      </c>
    </row>
    <row r="160" spans="1:13">
      <c r="A160" s="21" t="str">
        <f t="shared" ca="1" si="8"/>
        <v>Sa-Sal-2014-159</v>
      </c>
      <c r="B160" s="6">
        <v>40</v>
      </c>
      <c r="C160" s="6" t="str">
        <f t="shared" si="9"/>
        <v>40-49</v>
      </c>
      <c r="D160" s="6" t="s">
        <v>43</v>
      </c>
      <c r="E160" s="6" t="s">
        <v>37</v>
      </c>
      <c r="F160" s="6" t="s">
        <v>46</v>
      </c>
      <c r="G160" s="6" t="s">
        <v>40</v>
      </c>
      <c r="H160" s="8">
        <v>10855</v>
      </c>
      <c r="I160" s="8">
        <f t="shared" si="10"/>
        <v>2388.1</v>
      </c>
      <c r="J160" s="8">
        <f t="shared" si="11"/>
        <v>8466.9</v>
      </c>
      <c r="K160" s="8">
        <v>8552</v>
      </c>
      <c r="L160" s="6">
        <v>12</v>
      </c>
      <c r="M160" s="22" t="str" cm="1">
        <f t="array" ref="M160">_xlfn.IFS(L160&gt;10,"Veteran",L160&gt;=6,"Experienced",L160&gt;=2,"Developing",L160&gt;=0,"New")</f>
        <v>Veteran</v>
      </c>
    </row>
    <row r="161" spans="1:13">
      <c r="A161" s="21" t="str">
        <f t="shared" ca="1" si="8"/>
        <v>Sa-Sal-2022-160</v>
      </c>
      <c r="B161" s="6">
        <v>34</v>
      </c>
      <c r="C161" s="6" t="str">
        <f t="shared" si="9"/>
        <v>30-39</v>
      </c>
      <c r="D161" s="6" t="s">
        <v>43</v>
      </c>
      <c r="E161" s="6" t="s">
        <v>37</v>
      </c>
      <c r="F161" s="6" t="s">
        <v>39</v>
      </c>
      <c r="G161" s="6" t="s">
        <v>57</v>
      </c>
      <c r="H161" s="8">
        <v>2231</v>
      </c>
      <c r="I161" s="8">
        <f t="shared" si="10"/>
        <v>156.17000000000002</v>
      </c>
      <c r="J161" s="8">
        <f t="shared" si="11"/>
        <v>2074.83</v>
      </c>
      <c r="K161" s="8">
        <v>11314</v>
      </c>
      <c r="L161" s="6">
        <v>4</v>
      </c>
      <c r="M161" s="22" t="str" cm="1">
        <f t="array" ref="M161">_xlfn.IFS(L161&gt;10,"Veteran",L161&gt;=6,"Experienced",L161&gt;=2,"Developing",L161&gt;=0,"New")</f>
        <v>Developing</v>
      </c>
    </row>
    <row r="162" spans="1:13">
      <c r="A162" s="21" t="str">
        <f t="shared" ca="1" si="8"/>
        <v>Re-Res-2024-161</v>
      </c>
      <c r="B162" s="6">
        <v>22</v>
      </c>
      <c r="C162" s="6" t="str">
        <f t="shared" si="9"/>
        <v>20-29</v>
      </c>
      <c r="D162" s="6" t="s">
        <v>43</v>
      </c>
      <c r="E162" s="6" t="s">
        <v>45</v>
      </c>
      <c r="F162" s="6" t="s">
        <v>46</v>
      </c>
      <c r="G162" s="6" t="s">
        <v>47</v>
      </c>
      <c r="H162" s="8">
        <v>2323</v>
      </c>
      <c r="I162" s="8">
        <f t="shared" si="10"/>
        <v>162.61000000000001</v>
      </c>
      <c r="J162" s="8">
        <f t="shared" si="11"/>
        <v>2160.39</v>
      </c>
      <c r="K162" s="8">
        <v>11992</v>
      </c>
      <c r="L162" s="6">
        <v>2</v>
      </c>
      <c r="M162" s="22" t="str" cm="1">
        <f t="array" ref="M162">_xlfn.IFS(L162&gt;10,"Veteran",L162&gt;=6,"Experienced",L162&gt;=2,"Developing",L162&gt;=0,"New")</f>
        <v>Developing</v>
      </c>
    </row>
    <row r="163" spans="1:13">
      <c r="A163" s="21" t="str">
        <f t="shared" ca="1" si="8"/>
        <v>Re-Res-2024-162</v>
      </c>
      <c r="B163" s="6">
        <v>27</v>
      </c>
      <c r="C163" s="6" t="str">
        <f t="shared" si="9"/>
        <v>20-29</v>
      </c>
      <c r="D163" s="6" t="s">
        <v>43</v>
      </c>
      <c r="E163" s="6" t="s">
        <v>45</v>
      </c>
      <c r="F163" s="6" t="s">
        <v>46</v>
      </c>
      <c r="G163" s="6" t="s">
        <v>47</v>
      </c>
      <c r="H163" s="8">
        <v>2024</v>
      </c>
      <c r="I163" s="8">
        <f t="shared" si="10"/>
        <v>141.68</v>
      </c>
      <c r="J163" s="8">
        <f t="shared" si="11"/>
        <v>1882.32</v>
      </c>
      <c r="K163" s="8">
        <v>5970</v>
      </c>
      <c r="L163" s="6">
        <v>2</v>
      </c>
      <c r="M163" s="22" t="str" cm="1">
        <f t="array" ref="M163">_xlfn.IFS(L163&gt;10,"Veteran",L163&gt;=6,"Experienced",L163&gt;=2,"Developing",L163&gt;=0,"New")</f>
        <v>Developing</v>
      </c>
    </row>
    <row r="164" spans="1:13">
      <c r="A164" s="21" t="str">
        <f t="shared" ca="1" si="8"/>
        <v>Re-Res-2021-163</v>
      </c>
      <c r="B164" s="6">
        <v>28</v>
      </c>
      <c r="C164" s="6" t="str">
        <f t="shared" si="9"/>
        <v>20-29</v>
      </c>
      <c r="D164" s="6" t="s">
        <v>43</v>
      </c>
      <c r="E164" s="6" t="s">
        <v>45</v>
      </c>
      <c r="F164" s="6" t="s">
        <v>46</v>
      </c>
      <c r="G164" s="6" t="s">
        <v>47</v>
      </c>
      <c r="H164" s="8">
        <v>2713</v>
      </c>
      <c r="I164" s="8">
        <f t="shared" si="10"/>
        <v>189.91000000000003</v>
      </c>
      <c r="J164" s="8">
        <f t="shared" si="11"/>
        <v>2523.09</v>
      </c>
      <c r="K164" s="8">
        <v>6672</v>
      </c>
      <c r="L164" s="6">
        <v>5</v>
      </c>
      <c r="M164" s="22" t="str" cm="1">
        <f t="array" ref="M164">_xlfn.IFS(L164&gt;10,"Veteran",L164&gt;=6,"Experienced",L164&gt;=2,"Developing",L164&gt;=0,"New")</f>
        <v>Developing</v>
      </c>
    </row>
    <row r="165" spans="1:13">
      <c r="A165" s="21" t="str">
        <f t="shared" ca="1" si="8"/>
        <v>He-Res-2021-164</v>
      </c>
      <c r="B165" s="6">
        <v>57</v>
      </c>
      <c r="C165" s="6" t="str">
        <f t="shared" si="9"/>
        <v>50+</v>
      </c>
      <c r="D165" s="6" t="s">
        <v>43</v>
      </c>
      <c r="E165" s="6" t="s">
        <v>45</v>
      </c>
      <c r="F165" s="6" t="s">
        <v>46</v>
      </c>
      <c r="G165" s="6" t="s">
        <v>54</v>
      </c>
      <c r="H165" s="8">
        <v>9439</v>
      </c>
      <c r="I165" s="8">
        <f t="shared" si="10"/>
        <v>2076.58</v>
      </c>
      <c r="J165" s="8">
        <f t="shared" si="11"/>
        <v>7362.42</v>
      </c>
      <c r="K165" s="8">
        <v>23402</v>
      </c>
      <c r="L165" s="6">
        <v>5</v>
      </c>
      <c r="M165" s="22" t="str" cm="1">
        <f t="array" ref="M165">_xlfn.IFS(L165&gt;10,"Veteran",L165&gt;=6,"Experienced",L165&gt;=2,"Developing",L165&gt;=0,"New")</f>
        <v>Developing</v>
      </c>
    </row>
    <row r="166" spans="1:13">
      <c r="A166" s="21" t="str">
        <f t="shared" ca="1" si="8"/>
        <v>Re-Res-2025-165</v>
      </c>
      <c r="B166" s="6">
        <v>27</v>
      </c>
      <c r="C166" s="6" t="str">
        <f t="shared" si="9"/>
        <v>20-29</v>
      </c>
      <c r="D166" s="6" t="s">
        <v>43</v>
      </c>
      <c r="E166" s="6" t="s">
        <v>45</v>
      </c>
      <c r="F166" s="6" t="s">
        <v>46</v>
      </c>
      <c r="G166" s="6" t="s">
        <v>47</v>
      </c>
      <c r="H166" s="8">
        <v>2566</v>
      </c>
      <c r="I166" s="8">
        <f t="shared" si="10"/>
        <v>179.62</v>
      </c>
      <c r="J166" s="8">
        <f t="shared" si="11"/>
        <v>2386.38</v>
      </c>
      <c r="K166" s="8">
        <v>25326</v>
      </c>
      <c r="L166" s="6">
        <v>1</v>
      </c>
      <c r="M166" s="22" t="str" cm="1">
        <f t="array" ref="M166">_xlfn.IFS(L166&gt;10,"Veteran",L166&gt;=6,"Experienced",L166&gt;=2,"Developing",L166&gt;=0,"New")</f>
        <v>New</v>
      </c>
    </row>
    <row r="167" spans="1:13">
      <c r="A167" s="21" t="str">
        <f t="shared" ca="1" si="8"/>
        <v>Ma-Res-2021-166</v>
      </c>
      <c r="B167" s="6">
        <v>50</v>
      </c>
      <c r="C167" s="6" t="str">
        <f t="shared" si="9"/>
        <v>50+</v>
      </c>
      <c r="D167" s="6" t="s">
        <v>43</v>
      </c>
      <c r="E167" s="6" t="s">
        <v>45</v>
      </c>
      <c r="F167" s="6" t="s">
        <v>39</v>
      </c>
      <c r="G167" s="6" t="s">
        <v>56</v>
      </c>
      <c r="H167" s="8">
        <v>19926</v>
      </c>
      <c r="I167" s="8">
        <f t="shared" si="10"/>
        <v>5977.8</v>
      </c>
      <c r="J167" s="8">
        <f t="shared" si="11"/>
        <v>13948.2</v>
      </c>
      <c r="K167" s="8">
        <v>17053</v>
      </c>
      <c r="L167" s="6">
        <v>5</v>
      </c>
      <c r="M167" s="22" t="str" cm="1">
        <f t="array" ref="M167">_xlfn.IFS(L167&gt;10,"Veteran",L167&gt;=6,"Experienced",L167&gt;=2,"Developing",L167&gt;=0,"New")</f>
        <v>Developing</v>
      </c>
    </row>
    <row r="168" spans="1:13">
      <c r="A168" s="21" t="str">
        <f t="shared" ca="1" si="8"/>
        <v>Re-Res-2017-167</v>
      </c>
      <c r="B168" s="6">
        <v>41</v>
      </c>
      <c r="C168" s="6" t="str">
        <f t="shared" si="9"/>
        <v>40-49</v>
      </c>
      <c r="D168" s="6" t="s">
        <v>43</v>
      </c>
      <c r="E168" s="6" t="s">
        <v>45</v>
      </c>
      <c r="F168" s="6" t="s">
        <v>46</v>
      </c>
      <c r="G168" s="6" t="s">
        <v>47</v>
      </c>
      <c r="H168" s="8">
        <v>2451</v>
      </c>
      <c r="I168" s="8">
        <f t="shared" si="10"/>
        <v>171.57000000000002</v>
      </c>
      <c r="J168" s="8">
        <f t="shared" si="11"/>
        <v>2279.4299999999998</v>
      </c>
      <c r="K168" s="8">
        <v>4609</v>
      </c>
      <c r="L168" s="6">
        <v>9</v>
      </c>
      <c r="M168" s="22" t="str" cm="1">
        <f t="array" ref="M168">_xlfn.IFS(L168&gt;10,"Veteran",L168&gt;=6,"Experienced",L168&gt;=2,"Developing",L168&gt;=0,"New")</f>
        <v>Experienced</v>
      </c>
    </row>
    <row r="169" spans="1:13">
      <c r="A169" s="21" t="str">
        <f t="shared" ca="1" si="8"/>
        <v>Sa-Sal-2016-168</v>
      </c>
      <c r="B169" s="6">
        <v>30</v>
      </c>
      <c r="C169" s="6" t="str">
        <f t="shared" si="9"/>
        <v>30-39</v>
      </c>
      <c r="D169" s="6" t="s">
        <v>43</v>
      </c>
      <c r="E169" s="6" t="s">
        <v>37</v>
      </c>
      <c r="F169" s="6" t="s">
        <v>39</v>
      </c>
      <c r="G169" s="6" t="s">
        <v>40</v>
      </c>
      <c r="H169" s="8">
        <v>9419</v>
      </c>
      <c r="I169" s="8">
        <f t="shared" si="10"/>
        <v>2072.1799999999998</v>
      </c>
      <c r="J169" s="8">
        <f t="shared" si="11"/>
        <v>7346.82</v>
      </c>
      <c r="K169" s="8">
        <v>8053</v>
      </c>
      <c r="L169" s="6">
        <v>10</v>
      </c>
      <c r="M169" s="22" t="str" cm="1">
        <f t="array" ref="M169">_xlfn.IFS(L169&gt;10,"Veteran",L169&gt;=6,"Experienced",L169&gt;=2,"Developing",L169&gt;=0,"New")</f>
        <v>Experienced</v>
      </c>
    </row>
    <row r="170" spans="1:13">
      <c r="A170" s="21" t="str">
        <f t="shared" ca="1" si="8"/>
        <v>Sa-Sal-2018-169</v>
      </c>
      <c r="B170" s="6">
        <v>38</v>
      </c>
      <c r="C170" s="6" t="str">
        <f t="shared" si="9"/>
        <v>30-39</v>
      </c>
      <c r="D170" s="6" t="s">
        <v>43</v>
      </c>
      <c r="E170" s="6" t="s">
        <v>37</v>
      </c>
      <c r="F170" s="6" t="s">
        <v>39</v>
      </c>
      <c r="G170" s="6" t="s">
        <v>40</v>
      </c>
      <c r="H170" s="8">
        <v>8686</v>
      </c>
      <c r="I170" s="8">
        <f t="shared" si="10"/>
        <v>1910.92</v>
      </c>
      <c r="J170" s="8">
        <f t="shared" si="11"/>
        <v>6775.08</v>
      </c>
      <c r="K170" s="8">
        <v>12930</v>
      </c>
      <c r="L170" s="6">
        <v>8</v>
      </c>
      <c r="M170" s="22" t="str" cm="1">
        <f t="array" ref="M170">_xlfn.IFS(L170&gt;10,"Veteran",L170&gt;=6,"Experienced",L170&gt;=2,"Developing",L170&gt;=0,"New")</f>
        <v>Experienced</v>
      </c>
    </row>
    <row r="171" spans="1:13">
      <c r="A171" s="21" t="str">
        <f t="shared" ca="1" si="8"/>
        <v>Re-Res-2021-170</v>
      </c>
      <c r="B171" s="6">
        <v>32</v>
      </c>
      <c r="C171" s="6" t="str">
        <f t="shared" si="9"/>
        <v>30-39</v>
      </c>
      <c r="D171" s="6" t="s">
        <v>43</v>
      </c>
      <c r="E171" s="6" t="s">
        <v>45</v>
      </c>
      <c r="F171" s="6" t="s">
        <v>46</v>
      </c>
      <c r="G171" s="6" t="s">
        <v>47</v>
      </c>
      <c r="H171" s="8">
        <v>3038</v>
      </c>
      <c r="I171" s="8">
        <f t="shared" si="10"/>
        <v>455.7</v>
      </c>
      <c r="J171" s="8">
        <f t="shared" si="11"/>
        <v>2582.3000000000002</v>
      </c>
      <c r="K171" s="8">
        <v>12430</v>
      </c>
      <c r="L171" s="6">
        <v>5</v>
      </c>
      <c r="M171" s="22" t="str" cm="1">
        <f t="array" ref="M171">_xlfn.IFS(L171&gt;10,"Veteran",L171&gt;=6,"Experienced",L171&gt;=2,"Developing",L171&gt;=0,"New")</f>
        <v>Developing</v>
      </c>
    </row>
    <row r="172" spans="1:13">
      <c r="A172" s="21" t="str">
        <f t="shared" ca="1" si="8"/>
        <v>Re-Res-2021-171</v>
      </c>
      <c r="B172" s="6">
        <v>27</v>
      </c>
      <c r="C172" s="6" t="str">
        <f t="shared" si="9"/>
        <v>20-29</v>
      </c>
      <c r="D172" s="6" t="s">
        <v>43</v>
      </c>
      <c r="E172" s="6" t="s">
        <v>45</v>
      </c>
      <c r="F172" s="6" t="s">
        <v>46</v>
      </c>
      <c r="G172" s="6" t="s">
        <v>47</v>
      </c>
      <c r="H172" s="8">
        <v>3058</v>
      </c>
      <c r="I172" s="8">
        <f t="shared" si="10"/>
        <v>458.7</v>
      </c>
      <c r="J172" s="8">
        <f t="shared" si="11"/>
        <v>2599.3000000000002</v>
      </c>
      <c r="K172" s="8">
        <v>13364</v>
      </c>
      <c r="L172" s="6">
        <v>5</v>
      </c>
      <c r="M172" s="22" t="str" cm="1">
        <f t="array" ref="M172">_xlfn.IFS(L172&gt;10,"Veteran",L172&gt;=6,"Experienced",L172&gt;=2,"Developing",L172&gt;=0,"New")</f>
        <v>Developing</v>
      </c>
    </row>
    <row r="173" spans="1:13">
      <c r="A173" s="21" t="str">
        <f t="shared" ca="1" si="8"/>
        <v>Sa-Sal-2026-172</v>
      </c>
      <c r="B173" s="6">
        <v>19</v>
      </c>
      <c r="C173" s="6" t="str">
        <f t="shared" si="9"/>
        <v>20-29</v>
      </c>
      <c r="D173" s="6" t="s">
        <v>35</v>
      </c>
      <c r="E173" s="6" t="s">
        <v>37</v>
      </c>
      <c r="F173" s="6" t="s">
        <v>39</v>
      </c>
      <c r="G173" s="6" t="s">
        <v>57</v>
      </c>
      <c r="H173" s="8">
        <v>2325</v>
      </c>
      <c r="I173" s="8">
        <f t="shared" si="10"/>
        <v>162.75000000000003</v>
      </c>
      <c r="J173" s="8">
        <f t="shared" si="11"/>
        <v>2162.25</v>
      </c>
      <c r="K173" s="8">
        <v>20989</v>
      </c>
      <c r="L173" s="6">
        <v>0</v>
      </c>
      <c r="M173" s="22" t="str" cm="1">
        <f t="array" ref="M173">_xlfn.IFS(L173&gt;10,"Veteran",L173&gt;=6,"Experienced",L173&gt;=2,"Developing",L173&gt;=0,"New")</f>
        <v>New</v>
      </c>
    </row>
    <row r="174" spans="1:13">
      <c r="A174" s="21" t="str">
        <f t="shared" ca="1" si="8"/>
        <v>La-Res-2018-173</v>
      </c>
      <c r="B174" s="6">
        <v>36</v>
      </c>
      <c r="C174" s="6" t="str">
        <f t="shared" si="9"/>
        <v>30-39</v>
      </c>
      <c r="D174" s="6" t="s">
        <v>43</v>
      </c>
      <c r="E174" s="6" t="s">
        <v>45</v>
      </c>
      <c r="F174" s="6" t="s">
        <v>46</v>
      </c>
      <c r="G174" s="6" t="s">
        <v>50</v>
      </c>
      <c r="H174" s="8">
        <v>2088</v>
      </c>
      <c r="I174" s="8">
        <f t="shared" si="10"/>
        <v>146.16000000000003</v>
      </c>
      <c r="J174" s="8">
        <f t="shared" si="11"/>
        <v>1941.84</v>
      </c>
      <c r="K174" s="8">
        <v>15062</v>
      </c>
      <c r="L174" s="6">
        <v>8</v>
      </c>
      <c r="M174" s="22" t="str" cm="1">
        <f t="array" ref="M174">_xlfn.IFS(L174&gt;10,"Veteran",L174&gt;=6,"Experienced",L174&gt;=2,"Developing",L174&gt;=0,"New")</f>
        <v>Experienced</v>
      </c>
    </row>
    <row r="175" spans="1:13">
      <c r="A175" s="21" t="str">
        <f t="shared" ca="1" si="8"/>
        <v>La-Res-2014-174</v>
      </c>
      <c r="B175" s="6">
        <v>30</v>
      </c>
      <c r="C175" s="6" t="str">
        <f t="shared" si="9"/>
        <v>30-39</v>
      </c>
      <c r="D175" s="6" t="s">
        <v>43</v>
      </c>
      <c r="E175" s="6" t="s">
        <v>45</v>
      </c>
      <c r="F175" s="6" t="s">
        <v>46</v>
      </c>
      <c r="G175" s="6" t="s">
        <v>50</v>
      </c>
      <c r="H175" s="8">
        <v>3072</v>
      </c>
      <c r="I175" s="8">
        <f t="shared" si="10"/>
        <v>460.79999999999995</v>
      </c>
      <c r="J175" s="8">
        <f t="shared" si="11"/>
        <v>2611.1999999999998</v>
      </c>
      <c r="K175" s="8">
        <v>11012</v>
      </c>
      <c r="L175" s="6">
        <v>12</v>
      </c>
      <c r="M175" s="22" t="str" cm="1">
        <f t="array" ref="M175">_xlfn.IFS(L175&gt;10,"Veteran",L175&gt;=6,"Experienced",L175&gt;=2,"Developing",L175&gt;=0,"New")</f>
        <v>Veteran</v>
      </c>
    </row>
    <row r="176" spans="1:13">
      <c r="A176" s="21" t="str">
        <f t="shared" ca="1" si="8"/>
        <v>Sa-Sal-2021-175</v>
      </c>
      <c r="B176" s="6">
        <v>45</v>
      </c>
      <c r="C176" s="6" t="str">
        <f t="shared" si="9"/>
        <v>40-49</v>
      </c>
      <c r="D176" s="6" t="s">
        <v>43</v>
      </c>
      <c r="E176" s="6" t="s">
        <v>37</v>
      </c>
      <c r="F176" s="6" t="s">
        <v>39</v>
      </c>
      <c r="G176" s="6" t="s">
        <v>40</v>
      </c>
      <c r="H176" s="8">
        <v>5006</v>
      </c>
      <c r="I176" s="8">
        <f t="shared" si="10"/>
        <v>750.9</v>
      </c>
      <c r="J176" s="8">
        <f t="shared" si="11"/>
        <v>4255.1000000000004</v>
      </c>
      <c r="K176" s="8">
        <v>6319</v>
      </c>
      <c r="L176" s="6">
        <v>5</v>
      </c>
      <c r="M176" s="22" t="str" cm="1">
        <f t="array" ref="M176">_xlfn.IFS(L176&gt;10,"Veteran",L176&gt;=6,"Experienced",L176&gt;=2,"Developing",L176&gt;=0,"New")</f>
        <v>Developing</v>
      </c>
    </row>
    <row r="177" spans="1:13">
      <c r="A177" s="21" t="str">
        <f t="shared" ca="1" si="8"/>
        <v>Re-Res-2024-176</v>
      </c>
      <c r="B177" s="6">
        <v>56</v>
      </c>
      <c r="C177" s="6" t="str">
        <f t="shared" si="9"/>
        <v>50+</v>
      </c>
      <c r="D177" s="6" t="s">
        <v>43</v>
      </c>
      <c r="E177" s="6" t="s">
        <v>45</v>
      </c>
      <c r="F177" s="6" t="s">
        <v>39</v>
      </c>
      <c r="G177" s="6" t="s">
        <v>47</v>
      </c>
      <c r="H177" s="8">
        <v>4257</v>
      </c>
      <c r="I177" s="8">
        <f t="shared" si="10"/>
        <v>638.54999999999995</v>
      </c>
      <c r="J177" s="8">
        <f t="shared" si="11"/>
        <v>3618.45</v>
      </c>
      <c r="K177" s="8">
        <v>13939</v>
      </c>
      <c r="L177" s="6">
        <v>2</v>
      </c>
      <c r="M177" s="22" t="str" cm="1">
        <f t="array" ref="M177">_xlfn.IFS(L177&gt;10,"Veteran",L177&gt;=6,"Experienced",L177&gt;=2,"Developing",L177&gt;=0,"New")</f>
        <v>Developing</v>
      </c>
    </row>
    <row r="178" spans="1:13">
      <c r="A178" s="21" t="str">
        <f t="shared" ca="1" si="8"/>
        <v>Re-Res-2023-177</v>
      </c>
      <c r="B178" s="6">
        <v>33</v>
      </c>
      <c r="C178" s="6" t="str">
        <f t="shared" si="9"/>
        <v>30-39</v>
      </c>
      <c r="D178" s="6" t="s">
        <v>43</v>
      </c>
      <c r="E178" s="6" t="s">
        <v>45</v>
      </c>
      <c r="F178" s="6" t="s">
        <v>46</v>
      </c>
      <c r="G178" s="6" t="s">
        <v>47</v>
      </c>
      <c r="H178" s="8">
        <v>2500</v>
      </c>
      <c r="I178" s="8">
        <f t="shared" si="10"/>
        <v>175.00000000000003</v>
      </c>
      <c r="J178" s="8">
        <f t="shared" si="11"/>
        <v>2325</v>
      </c>
      <c r="K178" s="8">
        <v>10515</v>
      </c>
      <c r="L178" s="6">
        <v>3</v>
      </c>
      <c r="M178" s="22" t="str" cm="1">
        <f t="array" ref="M178">_xlfn.IFS(L178&gt;10,"Veteran",L178&gt;=6,"Experienced",L178&gt;=2,"Developing",L178&gt;=0,"New")</f>
        <v>Developing</v>
      </c>
    </row>
    <row r="179" spans="1:13">
      <c r="A179" s="21" t="str">
        <f t="shared" ca="1" si="8"/>
        <v>La-Res-2025-178</v>
      </c>
      <c r="B179" s="6">
        <v>19</v>
      </c>
      <c r="C179" s="6" t="str">
        <f t="shared" si="9"/>
        <v>20-29</v>
      </c>
      <c r="D179" s="6" t="s">
        <v>35</v>
      </c>
      <c r="E179" s="6" t="s">
        <v>45</v>
      </c>
      <c r="F179" s="6" t="s">
        <v>46</v>
      </c>
      <c r="G179" s="6" t="s">
        <v>50</v>
      </c>
      <c r="H179" s="8">
        <v>1102</v>
      </c>
      <c r="I179" s="8">
        <f t="shared" si="10"/>
        <v>77.14</v>
      </c>
      <c r="J179" s="8">
        <f t="shared" si="11"/>
        <v>1024.8599999999999</v>
      </c>
      <c r="K179" s="8">
        <v>9241</v>
      </c>
      <c r="L179" s="6">
        <v>1</v>
      </c>
      <c r="M179" s="22" t="str" cm="1">
        <f t="array" ref="M179">_xlfn.IFS(L179&gt;10,"Veteran",L179&gt;=6,"Experienced",L179&gt;=2,"Developing",L179&gt;=0,"New")</f>
        <v>New</v>
      </c>
    </row>
    <row r="180" spans="1:13">
      <c r="A180" s="21" t="str">
        <f t="shared" ca="1" si="8"/>
        <v>Sa-Sal-2002-179</v>
      </c>
      <c r="B180" s="6">
        <v>46</v>
      </c>
      <c r="C180" s="6" t="str">
        <f t="shared" si="9"/>
        <v>40-49</v>
      </c>
      <c r="D180" s="6" t="s">
        <v>43</v>
      </c>
      <c r="E180" s="6" t="s">
        <v>37</v>
      </c>
      <c r="F180" s="6" t="s">
        <v>39</v>
      </c>
      <c r="G180" s="6" t="s">
        <v>40</v>
      </c>
      <c r="H180" s="8">
        <v>10453</v>
      </c>
      <c r="I180" s="8">
        <f t="shared" si="10"/>
        <v>2299.66</v>
      </c>
      <c r="J180" s="8">
        <f t="shared" si="11"/>
        <v>8153.34</v>
      </c>
      <c r="K180" s="8">
        <v>2137</v>
      </c>
      <c r="L180" s="6">
        <v>24</v>
      </c>
      <c r="M180" s="22" t="str" cm="1">
        <f t="array" ref="M180">_xlfn.IFS(L180&gt;10,"Veteran",L180&gt;=6,"Experienced",L180&gt;=2,"Developing",L180&gt;=0,"New")</f>
        <v>Veteran</v>
      </c>
    </row>
    <row r="181" spans="1:13">
      <c r="A181" s="21" t="str">
        <f t="shared" ca="1" si="8"/>
        <v>La-Res-2024-180</v>
      </c>
      <c r="B181" s="6">
        <v>38</v>
      </c>
      <c r="C181" s="6" t="str">
        <f t="shared" si="9"/>
        <v>30-39</v>
      </c>
      <c r="D181" s="6" t="s">
        <v>43</v>
      </c>
      <c r="E181" s="6" t="s">
        <v>45</v>
      </c>
      <c r="F181" s="6" t="s">
        <v>39</v>
      </c>
      <c r="G181" s="6" t="s">
        <v>50</v>
      </c>
      <c r="H181" s="8">
        <v>2288</v>
      </c>
      <c r="I181" s="8">
        <f t="shared" si="10"/>
        <v>160.16000000000003</v>
      </c>
      <c r="J181" s="8">
        <f t="shared" si="11"/>
        <v>2127.84</v>
      </c>
      <c r="K181" s="8">
        <v>6319</v>
      </c>
      <c r="L181" s="6">
        <v>2</v>
      </c>
      <c r="M181" s="22" t="str" cm="1">
        <f t="array" ref="M181">_xlfn.IFS(L181&gt;10,"Veteran",L181&gt;=6,"Experienced",L181&gt;=2,"Developing",L181&gt;=0,"New")</f>
        <v>Developing</v>
      </c>
    </row>
    <row r="182" spans="1:13">
      <c r="A182" s="21" t="str">
        <f t="shared" ca="1" si="8"/>
        <v>Re-Res-2022-181</v>
      </c>
      <c r="B182" s="6">
        <v>31</v>
      </c>
      <c r="C182" s="6" t="str">
        <f t="shared" si="9"/>
        <v>30-39</v>
      </c>
      <c r="D182" s="6" t="s">
        <v>43</v>
      </c>
      <c r="E182" s="6" t="s">
        <v>45</v>
      </c>
      <c r="F182" s="6" t="s">
        <v>39</v>
      </c>
      <c r="G182" s="6" t="s">
        <v>47</v>
      </c>
      <c r="H182" s="8">
        <v>3929</v>
      </c>
      <c r="I182" s="8">
        <f t="shared" si="10"/>
        <v>589.35</v>
      </c>
      <c r="J182" s="8">
        <f t="shared" si="11"/>
        <v>3339.65</v>
      </c>
      <c r="K182" s="8">
        <v>6984</v>
      </c>
      <c r="L182" s="6">
        <v>4</v>
      </c>
      <c r="M182" s="22" t="str" cm="1">
        <f t="array" ref="M182">_xlfn.IFS(L182&gt;10,"Veteran",L182&gt;=6,"Experienced",L182&gt;=2,"Developing",L182&gt;=0,"New")</f>
        <v>Developing</v>
      </c>
    </row>
    <row r="183" spans="1:13">
      <c r="A183" s="21" t="str">
        <f t="shared" ca="1" si="8"/>
        <v>Re-Res-2023-182</v>
      </c>
      <c r="B183" s="6">
        <v>34</v>
      </c>
      <c r="C183" s="6" t="str">
        <f t="shared" si="9"/>
        <v>30-39</v>
      </c>
      <c r="D183" s="6" t="s">
        <v>43</v>
      </c>
      <c r="E183" s="6" t="s">
        <v>45</v>
      </c>
      <c r="F183" s="6" t="s">
        <v>39</v>
      </c>
      <c r="G183" s="6" t="s">
        <v>47</v>
      </c>
      <c r="H183" s="8">
        <v>2311</v>
      </c>
      <c r="I183" s="8">
        <f t="shared" si="10"/>
        <v>161.77000000000001</v>
      </c>
      <c r="J183" s="8">
        <f t="shared" si="11"/>
        <v>2149.23</v>
      </c>
      <c r="K183" s="8">
        <v>5711</v>
      </c>
      <c r="L183" s="6">
        <v>3</v>
      </c>
      <c r="M183" s="22" t="str" cm="1">
        <f t="array" ref="M183">_xlfn.IFS(L183&gt;10,"Veteran",L183&gt;=6,"Experienced",L183&gt;=2,"Developing",L183&gt;=0,"New")</f>
        <v>Developing</v>
      </c>
    </row>
    <row r="184" spans="1:13">
      <c r="A184" s="21" t="str">
        <f t="shared" ca="1" si="8"/>
        <v>Sa-Sal-2022-183</v>
      </c>
      <c r="B184" s="6">
        <v>41</v>
      </c>
      <c r="C184" s="6" t="str">
        <f t="shared" si="9"/>
        <v>40-49</v>
      </c>
      <c r="D184" s="6" t="s">
        <v>35</v>
      </c>
      <c r="E184" s="6" t="s">
        <v>37</v>
      </c>
      <c r="F184" s="6" t="s">
        <v>39</v>
      </c>
      <c r="G184" s="6" t="s">
        <v>57</v>
      </c>
      <c r="H184" s="8">
        <v>3140</v>
      </c>
      <c r="I184" s="8">
        <f t="shared" si="10"/>
        <v>471</v>
      </c>
      <c r="J184" s="8">
        <f t="shared" si="11"/>
        <v>2669</v>
      </c>
      <c r="K184" s="8">
        <v>21728</v>
      </c>
      <c r="L184" s="6">
        <v>4</v>
      </c>
      <c r="M184" s="22" t="str" cm="1">
        <f t="array" ref="M184">_xlfn.IFS(L184&gt;10,"Veteran",L184&gt;=6,"Experienced",L184&gt;=2,"Developing",L184&gt;=0,"New")</f>
        <v>Developing</v>
      </c>
    </row>
    <row r="185" spans="1:13">
      <c r="A185" s="21" t="str">
        <f t="shared" ca="1" si="8"/>
        <v>La-Res-2023-184</v>
      </c>
      <c r="B185" s="6">
        <v>50</v>
      </c>
      <c r="C185" s="6" t="str">
        <f t="shared" si="9"/>
        <v>50+</v>
      </c>
      <c r="D185" s="6" t="s">
        <v>43</v>
      </c>
      <c r="E185" s="6" t="s">
        <v>45</v>
      </c>
      <c r="F185" s="6" t="s">
        <v>46</v>
      </c>
      <c r="G185" s="6" t="s">
        <v>50</v>
      </c>
      <c r="H185" s="8">
        <v>3690</v>
      </c>
      <c r="I185" s="8">
        <f t="shared" si="10"/>
        <v>553.5</v>
      </c>
      <c r="J185" s="8">
        <f t="shared" si="11"/>
        <v>3136.5</v>
      </c>
      <c r="K185" s="8">
        <v>3425</v>
      </c>
      <c r="L185" s="6">
        <v>3</v>
      </c>
      <c r="M185" s="22" t="str" cm="1">
        <f t="array" ref="M185">_xlfn.IFS(L185&gt;10,"Veteran",L185&gt;=6,"Experienced",L185&gt;=2,"Developing",L185&gt;=0,"New")</f>
        <v>Developing</v>
      </c>
    </row>
    <row r="186" spans="1:13">
      <c r="A186" s="21" t="str">
        <f t="shared" ca="1" si="8"/>
        <v>Ma-Res-2022-185</v>
      </c>
      <c r="B186" s="6">
        <v>53</v>
      </c>
      <c r="C186" s="6" t="str">
        <f t="shared" si="9"/>
        <v>50+</v>
      </c>
      <c r="D186" s="6" t="s">
        <v>43</v>
      </c>
      <c r="E186" s="6" t="s">
        <v>45</v>
      </c>
      <c r="F186" s="6" t="s">
        <v>39</v>
      </c>
      <c r="G186" s="6" t="s">
        <v>53</v>
      </c>
      <c r="H186" s="8">
        <v>4450</v>
      </c>
      <c r="I186" s="8">
        <f t="shared" si="10"/>
        <v>667.5</v>
      </c>
      <c r="J186" s="8">
        <f t="shared" si="11"/>
        <v>3782.5</v>
      </c>
      <c r="K186" s="8">
        <v>26250</v>
      </c>
      <c r="L186" s="6">
        <v>4</v>
      </c>
      <c r="M186" s="22" t="str" cm="1">
        <f t="array" ref="M186">_xlfn.IFS(L186&gt;10,"Veteran",L186&gt;=6,"Experienced",L186&gt;=2,"Developing",L186&gt;=0,"New")</f>
        <v>Developing</v>
      </c>
    </row>
    <row r="187" spans="1:13">
      <c r="A187" s="21" t="str">
        <f t="shared" ca="1" si="8"/>
        <v>Re-Res-2018-186</v>
      </c>
      <c r="B187" s="6">
        <v>33</v>
      </c>
      <c r="C187" s="6" t="str">
        <f t="shared" si="9"/>
        <v>30-39</v>
      </c>
      <c r="D187" s="6" t="s">
        <v>43</v>
      </c>
      <c r="E187" s="6" t="s">
        <v>45</v>
      </c>
      <c r="F187" s="6" t="s">
        <v>39</v>
      </c>
      <c r="G187" s="6" t="s">
        <v>47</v>
      </c>
      <c r="H187" s="8">
        <v>2756</v>
      </c>
      <c r="I187" s="8">
        <f t="shared" si="10"/>
        <v>192.92000000000002</v>
      </c>
      <c r="J187" s="8">
        <f t="shared" si="11"/>
        <v>2563.08</v>
      </c>
      <c r="K187" s="8">
        <v>4673</v>
      </c>
      <c r="L187" s="6">
        <v>8</v>
      </c>
      <c r="M187" s="22" t="str" cm="1">
        <f t="array" ref="M187">_xlfn.IFS(L187&gt;10,"Veteran",L187&gt;=6,"Experienced",L187&gt;=2,"Developing",L187&gt;=0,"New")</f>
        <v>Experienced</v>
      </c>
    </row>
    <row r="188" spans="1:13">
      <c r="A188" s="21" t="str">
        <f t="shared" ca="1" si="8"/>
        <v>Ma-Res-2006-187</v>
      </c>
      <c r="B188" s="6">
        <v>40</v>
      </c>
      <c r="C188" s="6" t="str">
        <f t="shared" si="9"/>
        <v>40-49</v>
      </c>
      <c r="D188" s="6" t="s">
        <v>43</v>
      </c>
      <c r="E188" s="6" t="s">
        <v>45</v>
      </c>
      <c r="F188" s="6" t="s">
        <v>39</v>
      </c>
      <c r="G188" s="6" t="s">
        <v>56</v>
      </c>
      <c r="H188" s="8">
        <v>19033</v>
      </c>
      <c r="I188" s="8">
        <f t="shared" si="10"/>
        <v>5709.9</v>
      </c>
      <c r="J188" s="8">
        <f t="shared" si="11"/>
        <v>13323.1</v>
      </c>
      <c r="K188" s="8">
        <v>6499</v>
      </c>
      <c r="L188" s="6">
        <v>20</v>
      </c>
      <c r="M188" s="22" t="str" cm="1">
        <f t="array" ref="M188">_xlfn.IFS(L188&gt;10,"Veteran",L188&gt;=6,"Experienced",L188&gt;=2,"Developing",L188&gt;=0,"New")</f>
        <v>Veteran</v>
      </c>
    </row>
    <row r="189" spans="1:13">
      <c r="A189" s="21" t="str">
        <f t="shared" ca="1" si="8"/>
        <v>Re-Res-2002-188</v>
      </c>
      <c r="B189" s="6">
        <v>55</v>
      </c>
      <c r="C189" s="6" t="str">
        <f t="shared" si="9"/>
        <v>50+</v>
      </c>
      <c r="D189" s="6" t="s">
        <v>43</v>
      </c>
      <c r="E189" s="6" t="s">
        <v>45</v>
      </c>
      <c r="F189" s="6" t="s">
        <v>46</v>
      </c>
      <c r="G189" s="6" t="s">
        <v>58</v>
      </c>
      <c r="H189" s="8">
        <v>18722</v>
      </c>
      <c r="I189" s="8">
        <f t="shared" si="10"/>
        <v>5616.5999999999995</v>
      </c>
      <c r="J189" s="8">
        <f t="shared" si="11"/>
        <v>13105.400000000001</v>
      </c>
      <c r="K189" s="8">
        <v>13339</v>
      </c>
      <c r="L189" s="6">
        <v>24</v>
      </c>
      <c r="M189" s="22" t="str" cm="1">
        <f t="array" ref="M189">_xlfn.IFS(L189&gt;10,"Veteran",L189&gt;=6,"Experienced",L189&gt;=2,"Developing",L189&gt;=0,"New")</f>
        <v>Veteran</v>
      </c>
    </row>
    <row r="190" spans="1:13">
      <c r="A190" s="21" t="str">
        <f t="shared" ca="1" si="8"/>
        <v>Ma-Res-2016-189</v>
      </c>
      <c r="B190" s="6">
        <v>34</v>
      </c>
      <c r="C190" s="6" t="str">
        <f t="shared" si="9"/>
        <v>30-39</v>
      </c>
      <c r="D190" s="6" t="s">
        <v>43</v>
      </c>
      <c r="E190" s="6" t="s">
        <v>45</v>
      </c>
      <c r="F190" s="6" t="s">
        <v>46</v>
      </c>
      <c r="G190" s="6" t="s">
        <v>53</v>
      </c>
      <c r="H190" s="8">
        <v>9547</v>
      </c>
      <c r="I190" s="8">
        <f t="shared" si="10"/>
        <v>2100.34</v>
      </c>
      <c r="J190" s="8">
        <f t="shared" si="11"/>
        <v>7446.66</v>
      </c>
      <c r="K190" s="8">
        <v>14074</v>
      </c>
      <c r="L190" s="6">
        <v>10</v>
      </c>
      <c r="M190" s="22" t="str" cm="1">
        <f t="array" ref="M190">_xlfn.IFS(L190&gt;10,"Veteran",L190&gt;=6,"Experienced",L190&gt;=2,"Developing",L190&gt;=0,"New")</f>
        <v>Experienced</v>
      </c>
    </row>
    <row r="191" spans="1:13">
      <c r="A191" s="21" t="str">
        <f t="shared" ca="1" si="8"/>
        <v>He-Res-2019-190</v>
      </c>
      <c r="B191" s="6">
        <v>51</v>
      </c>
      <c r="C191" s="6" t="str">
        <f t="shared" si="9"/>
        <v>50+</v>
      </c>
      <c r="D191" s="6" t="s">
        <v>43</v>
      </c>
      <c r="E191" s="6" t="s">
        <v>45</v>
      </c>
      <c r="F191" s="6" t="s">
        <v>39</v>
      </c>
      <c r="G191" s="6" t="s">
        <v>54</v>
      </c>
      <c r="H191" s="8">
        <v>13734</v>
      </c>
      <c r="I191" s="8">
        <f t="shared" si="10"/>
        <v>4120.2</v>
      </c>
      <c r="J191" s="8">
        <f t="shared" si="11"/>
        <v>9613.7999999999993</v>
      </c>
      <c r="K191" s="8">
        <v>7192</v>
      </c>
      <c r="L191" s="6">
        <v>7</v>
      </c>
      <c r="M191" s="22" t="str" cm="1">
        <f t="array" ref="M191">_xlfn.IFS(L191&gt;10,"Veteran",L191&gt;=6,"Experienced",L191&gt;=2,"Developing",L191&gt;=0,"New")</f>
        <v>Experienced</v>
      </c>
    </row>
    <row r="192" spans="1:13">
      <c r="A192" s="21" t="str">
        <f t="shared" ca="1" si="8"/>
        <v>Ma-Res-1993-191</v>
      </c>
      <c r="B192" s="6">
        <v>52</v>
      </c>
      <c r="C192" s="6" t="str">
        <f t="shared" si="9"/>
        <v>50+</v>
      </c>
      <c r="D192" s="6" t="s">
        <v>43</v>
      </c>
      <c r="E192" s="6" t="s">
        <v>45</v>
      </c>
      <c r="F192" s="6" t="s">
        <v>46</v>
      </c>
      <c r="G192" s="6" t="s">
        <v>56</v>
      </c>
      <c r="H192" s="8">
        <v>19999</v>
      </c>
      <c r="I192" s="8">
        <f t="shared" si="10"/>
        <v>5999.7</v>
      </c>
      <c r="J192" s="8">
        <f t="shared" si="11"/>
        <v>13999.3</v>
      </c>
      <c r="K192" s="8">
        <v>5678</v>
      </c>
      <c r="L192" s="6">
        <v>33</v>
      </c>
      <c r="M192" s="22" t="str" cm="1">
        <f t="array" ref="M192">_xlfn.IFS(L192&gt;10,"Veteran",L192&gt;=6,"Experienced",L192&gt;=2,"Developing",L192&gt;=0,"New")</f>
        <v>Veteran</v>
      </c>
    </row>
    <row r="193" spans="1:13">
      <c r="A193" s="21" t="str">
        <f t="shared" ca="1" si="8"/>
        <v>Re-Res-2019-192</v>
      </c>
      <c r="B193" s="6">
        <v>27</v>
      </c>
      <c r="C193" s="6" t="str">
        <f t="shared" si="9"/>
        <v>20-29</v>
      </c>
      <c r="D193" s="6" t="s">
        <v>43</v>
      </c>
      <c r="E193" s="6" t="s">
        <v>45</v>
      </c>
      <c r="F193" s="6" t="s">
        <v>39</v>
      </c>
      <c r="G193" s="6" t="s">
        <v>47</v>
      </c>
      <c r="H193" s="8">
        <v>2279</v>
      </c>
      <c r="I193" s="8">
        <f t="shared" si="10"/>
        <v>159.53</v>
      </c>
      <c r="J193" s="8">
        <f t="shared" si="11"/>
        <v>2119.4699999999998</v>
      </c>
      <c r="K193" s="8">
        <v>11781</v>
      </c>
      <c r="L193" s="6">
        <v>7</v>
      </c>
      <c r="M193" s="22" t="str" cm="1">
        <f t="array" ref="M193">_xlfn.IFS(L193&gt;10,"Veteran",L193&gt;=6,"Experienced",L193&gt;=2,"Developing",L193&gt;=0,"New")</f>
        <v>Experienced</v>
      </c>
    </row>
    <row r="194" spans="1:13">
      <c r="A194" s="21" t="str">
        <f t="shared" ca="1" si="8"/>
        <v>Ma-Res-2025-193</v>
      </c>
      <c r="B194" s="6">
        <v>35</v>
      </c>
      <c r="C194" s="6" t="str">
        <f t="shared" si="9"/>
        <v>30-39</v>
      </c>
      <c r="D194" s="6" t="s">
        <v>35</v>
      </c>
      <c r="E194" s="6" t="s">
        <v>45</v>
      </c>
      <c r="F194" s="6" t="s">
        <v>46</v>
      </c>
      <c r="G194" s="6" t="s">
        <v>53</v>
      </c>
      <c r="H194" s="8">
        <v>5916</v>
      </c>
      <c r="I194" s="8">
        <f t="shared" si="10"/>
        <v>887.4</v>
      </c>
      <c r="J194" s="8">
        <f t="shared" si="11"/>
        <v>5028.6000000000004</v>
      </c>
      <c r="K194" s="8">
        <v>15497</v>
      </c>
      <c r="L194" s="6">
        <v>1</v>
      </c>
      <c r="M194" s="22" t="str" cm="1">
        <f t="array" ref="M194">_xlfn.IFS(L194&gt;10,"Veteran",L194&gt;=6,"Experienced",L194&gt;=2,"Developing",L194&gt;=0,"New")</f>
        <v>New</v>
      </c>
    </row>
    <row r="195" spans="1:13">
      <c r="A195" s="21" t="str">
        <f t="shared" ref="A195:A258" ca="1" si="12">LEFT(G195,2)&amp;"-"&amp;LEFT(E195,3)&amp;"-"&amp;YEAR(TODAY())-L195&amp;"-"&amp;TEXT(ROW()-1,"000")</f>
        <v>Re-Res-2021-194</v>
      </c>
      <c r="B195" s="6">
        <v>43</v>
      </c>
      <c r="C195" s="6" t="str">
        <f t="shared" ref="C195:C258" si="13">IF(B195&lt;=29,"20-29",IF(B195&lt;=39,"30-39",IF(B195&lt;=49,"40-49","50+")))</f>
        <v>40-49</v>
      </c>
      <c r="D195" s="6" t="s">
        <v>43</v>
      </c>
      <c r="E195" s="6" t="s">
        <v>45</v>
      </c>
      <c r="F195" s="6" t="s">
        <v>46</v>
      </c>
      <c r="G195" s="6" t="s">
        <v>47</v>
      </c>
      <c r="H195" s="8">
        <v>2089</v>
      </c>
      <c r="I195" s="8">
        <f t="shared" ref="I195:I258" si="14">IF(H195&gt;13000,H195*30%,IF(H195&gt;7000,H195*22%,IF(H195&gt;3000,H195*15%,H195*7%)))</f>
        <v>146.23000000000002</v>
      </c>
      <c r="J195" s="8">
        <f t="shared" ref="J195:J258" si="15">H195-I195</f>
        <v>1942.77</v>
      </c>
      <c r="K195" s="8">
        <v>5228</v>
      </c>
      <c r="L195" s="6">
        <v>5</v>
      </c>
      <c r="M195" s="22" t="str" cm="1">
        <f t="array" ref="M195">_xlfn.IFS(L195&gt;10,"Veteran",L195&gt;=6,"Experienced",L195&gt;=2,"Developing",L195&gt;=0,"New")</f>
        <v>Developing</v>
      </c>
    </row>
    <row r="196" spans="1:13">
      <c r="A196" s="21" t="str">
        <f t="shared" ca="1" si="12"/>
        <v>Ma-Res-2006-195</v>
      </c>
      <c r="B196" s="6">
        <v>45</v>
      </c>
      <c r="C196" s="6" t="str">
        <f t="shared" si="13"/>
        <v>40-49</v>
      </c>
      <c r="D196" s="6" t="s">
        <v>43</v>
      </c>
      <c r="E196" s="6" t="s">
        <v>45</v>
      </c>
      <c r="F196" s="6" t="s">
        <v>46</v>
      </c>
      <c r="G196" s="6" t="s">
        <v>56</v>
      </c>
      <c r="H196" s="8">
        <v>16792</v>
      </c>
      <c r="I196" s="8">
        <f t="shared" si="14"/>
        <v>5037.5999999999995</v>
      </c>
      <c r="J196" s="8">
        <f t="shared" si="15"/>
        <v>11754.400000000001</v>
      </c>
      <c r="K196" s="8">
        <v>20462</v>
      </c>
      <c r="L196" s="6">
        <v>20</v>
      </c>
      <c r="M196" s="22" t="str" cm="1">
        <f t="array" ref="M196">_xlfn.IFS(L196&gt;10,"Veteran",L196&gt;=6,"Experienced",L196&gt;=2,"Developing",L196&gt;=0,"New")</f>
        <v>Veteran</v>
      </c>
    </row>
    <row r="197" spans="1:13">
      <c r="A197" s="21" t="str">
        <f t="shared" ca="1" si="12"/>
        <v>Re-Res-2018-196</v>
      </c>
      <c r="B197" s="6">
        <v>37</v>
      </c>
      <c r="C197" s="6" t="str">
        <f t="shared" si="13"/>
        <v>30-39</v>
      </c>
      <c r="D197" s="6" t="s">
        <v>43</v>
      </c>
      <c r="E197" s="6" t="s">
        <v>45</v>
      </c>
      <c r="F197" s="6" t="s">
        <v>46</v>
      </c>
      <c r="G197" s="6" t="s">
        <v>47</v>
      </c>
      <c r="H197" s="8">
        <v>3564</v>
      </c>
      <c r="I197" s="8">
        <f t="shared" si="14"/>
        <v>534.6</v>
      </c>
      <c r="J197" s="8">
        <f t="shared" si="15"/>
        <v>3029.4</v>
      </c>
      <c r="K197" s="8">
        <v>22977</v>
      </c>
      <c r="L197" s="6">
        <v>8</v>
      </c>
      <c r="M197" s="22" t="str" cm="1">
        <f t="array" ref="M197">_xlfn.IFS(L197&gt;10,"Veteran",L197&gt;=6,"Experienced",L197&gt;=2,"Developing",L197&gt;=0,"New")</f>
        <v>Experienced</v>
      </c>
    </row>
    <row r="198" spans="1:13">
      <c r="A198" s="21" t="str">
        <f t="shared" ca="1" si="12"/>
        <v>La-Res-2020-197</v>
      </c>
      <c r="B198" s="6">
        <v>35</v>
      </c>
      <c r="C198" s="6" t="str">
        <f t="shared" si="13"/>
        <v>30-39</v>
      </c>
      <c r="D198" s="6" t="s">
        <v>43</v>
      </c>
      <c r="E198" s="6" t="s">
        <v>45</v>
      </c>
      <c r="F198" s="6" t="s">
        <v>39</v>
      </c>
      <c r="G198" s="6" t="s">
        <v>50</v>
      </c>
      <c r="H198" s="8">
        <v>4425</v>
      </c>
      <c r="I198" s="8">
        <f t="shared" si="14"/>
        <v>663.75</v>
      </c>
      <c r="J198" s="8">
        <f t="shared" si="15"/>
        <v>3761.25</v>
      </c>
      <c r="K198" s="8">
        <v>15986</v>
      </c>
      <c r="L198" s="6">
        <v>6</v>
      </c>
      <c r="M198" s="22" t="str" cm="1">
        <f t="array" ref="M198">_xlfn.IFS(L198&gt;10,"Veteran",L198&gt;=6,"Experienced",L198&gt;=2,"Developing",L198&gt;=0,"New")</f>
        <v>Experienced</v>
      </c>
    </row>
    <row r="199" spans="1:13">
      <c r="A199" s="21" t="str">
        <f t="shared" ca="1" si="12"/>
        <v>Ma-Res-2021-198</v>
      </c>
      <c r="B199" s="6">
        <v>42</v>
      </c>
      <c r="C199" s="6" t="str">
        <f t="shared" si="13"/>
        <v>40-49</v>
      </c>
      <c r="D199" s="6" t="s">
        <v>43</v>
      </c>
      <c r="E199" s="6" t="s">
        <v>45</v>
      </c>
      <c r="F199" s="6" t="s">
        <v>39</v>
      </c>
      <c r="G199" s="6" t="s">
        <v>53</v>
      </c>
      <c r="H199" s="8">
        <v>5265</v>
      </c>
      <c r="I199" s="8">
        <f t="shared" si="14"/>
        <v>789.75</v>
      </c>
      <c r="J199" s="8">
        <f t="shared" si="15"/>
        <v>4475.25</v>
      </c>
      <c r="K199" s="8">
        <v>16439</v>
      </c>
      <c r="L199" s="6">
        <v>5</v>
      </c>
      <c r="M199" s="22" t="str" cm="1">
        <f t="array" ref="M199">_xlfn.IFS(L199&gt;10,"Veteran",L199&gt;=6,"Experienced",L199&gt;=2,"Developing",L199&gt;=0,"New")</f>
        <v>Developing</v>
      </c>
    </row>
    <row r="200" spans="1:13">
      <c r="A200" s="21" t="str">
        <f t="shared" ca="1" si="12"/>
        <v>Ma-Res-2025-199</v>
      </c>
      <c r="B200" s="6">
        <v>38</v>
      </c>
      <c r="C200" s="6" t="str">
        <f t="shared" si="13"/>
        <v>30-39</v>
      </c>
      <c r="D200" s="6" t="s">
        <v>43</v>
      </c>
      <c r="E200" s="6" t="s">
        <v>45</v>
      </c>
      <c r="F200" s="6" t="s">
        <v>46</v>
      </c>
      <c r="G200" s="6" t="s">
        <v>53</v>
      </c>
      <c r="H200" s="8">
        <v>6553</v>
      </c>
      <c r="I200" s="8">
        <f t="shared" si="14"/>
        <v>982.94999999999993</v>
      </c>
      <c r="J200" s="8">
        <f t="shared" si="15"/>
        <v>5570.05</v>
      </c>
      <c r="K200" s="8">
        <v>7259</v>
      </c>
      <c r="L200" s="6">
        <v>1</v>
      </c>
      <c r="M200" s="22" t="str" cm="1">
        <f t="array" ref="M200">_xlfn.IFS(L200&gt;10,"Veteran",L200&gt;=6,"Experienced",L200&gt;=2,"Developing",L200&gt;=0,"New")</f>
        <v>New</v>
      </c>
    </row>
    <row r="201" spans="1:13">
      <c r="A201" s="21" t="str">
        <f t="shared" ca="1" si="12"/>
        <v>Ma-Res-2019-200</v>
      </c>
      <c r="B201" s="6">
        <v>38</v>
      </c>
      <c r="C201" s="6" t="str">
        <f t="shared" si="13"/>
        <v>30-39</v>
      </c>
      <c r="D201" s="6" t="s">
        <v>43</v>
      </c>
      <c r="E201" s="6" t="s">
        <v>45</v>
      </c>
      <c r="F201" s="6" t="s">
        <v>46</v>
      </c>
      <c r="G201" s="6" t="s">
        <v>53</v>
      </c>
      <c r="H201" s="8">
        <v>6261</v>
      </c>
      <c r="I201" s="8">
        <f t="shared" si="14"/>
        <v>939.15</v>
      </c>
      <c r="J201" s="8">
        <f t="shared" si="15"/>
        <v>5321.85</v>
      </c>
      <c r="K201" s="8">
        <v>4185</v>
      </c>
      <c r="L201" s="6">
        <v>7</v>
      </c>
      <c r="M201" s="22" t="str" cm="1">
        <f t="array" ref="M201">_xlfn.IFS(L201&gt;10,"Veteran",L201&gt;=6,"Experienced",L201&gt;=2,"Developing",L201&gt;=0,"New")</f>
        <v>Experienced</v>
      </c>
    </row>
    <row r="202" spans="1:13">
      <c r="A202" s="21" t="str">
        <f t="shared" ca="1" si="12"/>
        <v>Ma-Res-2024-201</v>
      </c>
      <c r="B202" s="6">
        <v>27</v>
      </c>
      <c r="C202" s="6" t="str">
        <f t="shared" si="13"/>
        <v>20-29</v>
      </c>
      <c r="D202" s="6" t="s">
        <v>43</v>
      </c>
      <c r="E202" s="6" t="s">
        <v>45</v>
      </c>
      <c r="F202" s="6" t="s">
        <v>46</v>
      </c>
      <c r="G202" s="6" t="s">
        <v>53</v>
      </c>
      <c r="H202" s="8">
        <v>4298</v>
      </c>
      <c r="I202" s="8">
        <f t="shared" si="14"/>
        <v>644.69999999999993</v>
      </c>
      <c r="J202" s="8">
        <f t="shared" si="15"/>
        <v>3653.3</v>
      </c>
      <c r="K202" s="8">
        <v>9679</v>
      </c>
      <c r="L202" s="6">
        <v>2</v>
      </c>
      <c r="M202" s="22" t="str" cm="1">
        <f t="array" ref="M202">_xlfn.IFS(L202&gt;10,"Veteran",L202&gt;=6,"Experienced",L202&gt;=2,"Developing",L202&gt;=0,"New")</f>
        <v>Developing</v>
      </c>
    </row>
    <row r="203" spans="1:13">
      <c r="A203" s="21" t="str">
        <f t="shared" ca="1" si="12"/>
        <v>Ma-Res-2019-202</v>
      </c>
      <c r="B203" s="6">
        <v>49</v>
      </c>
      <c r="C203" s="6" t="str">
        <f t="shared" si="13"/>
        <v>40-49</v>
      </c>
      <c r="D203" s="6" t="s">
        <v>43</v>
      </c>
      <c r="E203" s="6" t="s">
        <v>45</v>
      </c>
      <c r="F203" s="6" t="s">
        <v>46</v>
      </c>
      <c r="G203" s="6" t="s">
        <v>53</v>
      </c>
      <c r="H203" s="8">
        <v>6804</v>
      </c>
      <c r="I203" s="8">
        <f t="shared" si="14"/>
        <v>1020.5999999999999</v>
      </c>
      <c r="J203" s="8">
        <f t="shared" si="15"/>
        <v>5783.4</v>
      </c>
      <c r="K203" s="8">
        <v>23793</v>
      </c>
      <c r="L203" s="6">
        <v>7</v>
      </c>
      <c r="M203" s="22" t="str" cm="1">
        <f t="array" ref="M203">_xlfn.IFS(L203&gt;10,"Veteran",L203&gt;=6,"Experienced",L203&gt;=2,"Developing",L203&gt;=0,"New")</f>
        <v>Experienced</v>
      </c>
    </row>
    <row r="204" spans="1:13">
      <c r="A204" s="21" t="str">
        <f t="shared" ca="1" si="12"/>
        <v>Re-Res-2021-203</v>
      </c>
      <c r="B204" s="6">
        <v>34</v>
      </c>
      <c r="C204" s="6" t="str">
        <f t="shared" si="13"/>
        <v>30-39</v>
      </c>
      <c r="D204" s="6" t="s">
        <v>43</v>
      </c>
      <c r="E204" s="6" t="s">
        <v>45</v>
      </c>
      <c r="F204" s="6" t="s">
        <v>46</v>
      </c>
      <c r="G204" s="6" t="s">
        <v>47</v>
      </c>
      <c r="H204" s="8">
        <v>3815</v>
      </c>
      <c r="I204" s="8">
        <f t="shared" si="14"/>
        <v>572.25</v>
      </c>
      <c r="J204" s="8">
        <f t="shared" si="15"/>
        <v>3242.75</v>
      </c>
      <c r="K204" s="8">
        <v>5972</v>
      </c>
      <c r="L204" s="6">
        <v>5</v>
      </c>
      <c r="M204" s="22" t="str" cm="1">
        <f t="array" ref="M204">_xlfn.IFS(L204&gt;10,"Veteran",L204&gt;=6,"Experienced",L204&gt;=2,"Developing",L204&gt;=0,"New")</f>
        <v>Developing</v>
      </c>
    </row>
    <row r="205" spans="1:13">
      <c r="A205" s="21" t="str">
        <f t="shared" ca="1" si="12"/>
        <v>La-Res-2019-204</v>
      </c>
      <c r="B205" s="6">
        <v>40</v>
      </c>
      <c r="C205" s="6" t="str">
        <f t="shared" si="13"/>
        <v>40-49</v>
      </c>
      <c r="D205" s="6" t="s">
        <v>43</v>
      </c>
      <c r="E205" s="6" t="s">
        <v>45</v>
      </c>
      <c r="F205" s="6" t="s">
        <v>46</v>
      </c>
      <c r="G205" s="6" t="s">
        <v>50</v>
      </c>
      <c r="H205" s="8">
        <v>2741</v>
      </c>
      <c r="I205" s="8">
        <f t="shared" si="14"/>
        <v>191.87</v>
      </c>
      <c r="J205" s="8">
        <f t="shared" si="15"/>
        <v>2549.13</v>
      </c>
      <c r="K205" s="8">
        <v>16523</v>
      </c>
      <c r="L205" s="6">
        <v>7</v>
      </c>
      <c r="M205" s="22" t="str" cm="1">
        <f t="array" ref="M205">_xlfn.IFS(L205&gt;10,"Veteran",L205&gt;=6,"Experienced",L205&gt;=2,"Developing",L205&gt;=0,"New")</f>
        <v>Experienced</v>
      </c>
    </row>
    <row r="206" spans="1:13">
      <c r="A206" s="21" t="str">
        <f t="shared" ca="1" si="12"/>
        <v>He-Res-2025-205</v>
      </c>
      <c r="B206" s="6">
        <v>38</v>
      </c>
      <c r="C206" s="6" t="str">
        <f t="shared" si="13"/>
        <v>30-39</v>
      </c>
      <c r="D206" s="6" t="s">
        <v>35</v>
      </c>
      <c r="E206" s="6" t="s">
        <v>45</v>
      </c>
      <c r="F206" s="6" t="s">
        <v>46</v>
      </c>
      <c r="G206" s="6" t="s">
        <v>54</v>
      </c>
      <c r="H206" s="8">
        <v>6673</v>
      </c>
      <c r="I206" s="8">
        <f t="shared" si="14"/>
        <v>1000.9499999999999</v>
      </c>
      <c r="J206" s="8">
        <f t="shared" si="15"/>
        <v>5672.05</v>
      </c>
      <c r="K206" s="8">
        <v>11354</v>
      </c>
      <c r="L206" s="6">
        <v>1</v>
      </c>
      <c r="M206" s="22" t="str" cm="1">
        <f t="array" ref="M206">_xlfn.IFS(L206&gt;10,"Veteran",L206&gt;=6,"Experienced",L206&gt;=2,"Developing",L206&gt;=0,"New")</f>
        <v>New</v>
      </c>
    </row>
    <row r="207" spans="1:13">
      <c r="A207" s="21" t="str">
        <f t="shared" ca="1" si="12"/>
        <v>Sa-Sal-2016-206</v>
      </c>
      <c r="B207" s="6">
        <v>29</v>
      </c>
      <c r="C207" s="6" t="str">
        <f t="shared" si="13"/>
        <v>20-29</v>
      </c>
      <c r="D207" s="6" t="s">
        <v>35</v>
      </c>
      <c r="E207" s="6" t="s">
        <v>37</v>
      </c>
      <c r="F207" s="6" t="s">
        <v>39</v>
      </c>
      <c r="G207" s="6" t="s">
        <v>40</v>
      </c>
      <c r="H207" s="8">
        <v>7639</v>
      </c>
      <c r="I207" s="8">
        <f t="shared" si="14"/>
        <v>1680.58</v>
      </c>
      <c r="J207" s="8">
        <f t="shared" si="15"/>
        <v>5958.42</v>
      </c>
      <c r="K207" s="8">
        <v>24525</v>
      </c>
      <c r="L207" s="6">
        <v>10</v>
      </c>
      <c r="M207" s="22" t="str" cm="1">
        <f t="array" ref="M207">_xlfn.IFS(L207&gt;10,"Veteran",L207&gt;=6,"Experienced",L207&gt;=2,"Developing",L207&gt;=0,"New")</f>
        <v>Experienced</v>
      </c>
    </row>
    <row r="208" spans="1:13">
      <c r="A208" s="21" t="str">
        <f t="shared" ca="1" si="12"/>
        <v>Re-Res-2022-207</v>
      </c>
      <c r="B208" s="6">
        <v>22</v>
      </c>
      <c r="C208" s="6" t="str">
        <f t="shared" si="13"/>
        <v>20-29</v>
      </c>
      <c r="D208" s="6" t="s">
        <v>43</v>
      </c>
      <c r="E208" s="6" t="s">
        <v>45</v>
      </c>
      <c r="F208" s="6" t="s">
        <v>46</v>
      </c>
      <c r="G208" s="6" t="s">
        <v>47</v>
      </c>
      <c r="H208" s="8">
        <v>2328</v>
      </c>
      <c r="I208" s="8">
        <f t="shared" si="14"/>
        <v>162.96</v>
      </c>
      <c r="J208" s="8">
        <f t="shared" si="15"/>
        <v>2165.04</v>
      </c>
      <c r="K208" s="8">
        <v>12392</v>
      </c>
      <c r="L208" s="6">
        <v>4</v>
      </c>
      <c r="M208" s="22" t="str" cm="1">
        <f t="array" ref="M208">_xlfn.IFS(L208&gt;10,"Veteran",L208&gt;=6,"Experienced",L208&gt;=2,"Developing",L208&gt;=0,"New")</f>
        <v>Developing</v>
      </c>
    </row>
    <row r="209" spans="1:13">
      <c r="A209" s="21" t="str">
        <f t="shared" ca="1" si="12"/>
        <v>La-Res-2018-208</v>
      </c>
      <c r="B209" s="6">
        <v>36</v>
      </c>
      <c r="C209" s="6" t="str">
        <f t="shared" si="13"/>
        <v>30-39</v>
      </c>
      <c r="D209" s="6" t="s">
        <v>43</v>
      </c>
      <c r="E209" s="6" t="s">
        <v>45</v>
      </c>
      <c r="F209" s="6" t="s">
        <v>39</v>
      </c>
      <c r="G209" s="6" t="s">
        <v>50</v>
      </c>
      <c r="H209" s="8">
        <v>2153</v>
      </c>
      <c r="I209" s="8">
        <f t="shared" si="14"/>
        <v>150.71</v>
      </c>
      <c r="J209" s="8">
        <f t="shared" si="15"/>
        <v>2002.29</v>
      </c>
      <c r="K209" s="8">
        <v>7703</v>
      </c>
      <c r="L209" s="6">
        <v>8</v>
      </c>
      <c r="M209" s="22" t="str" cm="1">
        <f t="array" ref="M209">_xlfn.IFS(L209&gt;10,"Veteran",L209&gt;=6,"Experienced",L209&gt;=2,"Developing",L209&gt;=0,"New")</f>
        <v>Experienced</v>
      </c>
    </row>
    <row r="210" spans="1:13">
      <c r="A210" s="21" t="str">
        <f t="shared" ca="1" si="12"/>
        <v>He-Res-2023-209</v>
      </c>
      <c r="B210" s="6">
        <v>40</v>
      </c>
      <c r="C210" s="6" t="str">
        <f t="shared" si="13"/>
        <v>40-49</v>
      </c>
      <c r="D210" s="6" t="s">
        <v>43</v>
      </c>
      <c r="E210" s="6" t="s">
        <v>45</v>
      </c>
      <c r="F210" s="6" t="s">
        <v>46</v>
      </c>
      <c r="G210" s="6" t="s">
        <v>54</v>
      </c>
      <c r="H210" s="8">
        <v>4876</v>
      </c>
      <c r="I210" s="8">
        <f t="shared" si="14"/>
        <v>731.4</v>
      </c>
      <c r="J210" s="8">
        <f t="shared" si="15"/>
        <v>4144.6000000000004</v>
      </c>
      <c r="K210" s="8">
        <v>14242</v>
      </c>
      <c r="L210" s="6">
        <v>3</v>
      </c>
      <c r="M210" s="22" t="str" cm="1">
        <f t="array" ref="M210">_xlfn.IFS(L210&gt;10,"Veteran",L210&gt;=6,"Experienced",L210&gt;=2,"Developing",L210&gt;=0,"New")</f>
        <v>Developing</v>
      </c>
    </row>
    <row r="211" spans="1:13">
      <c r="A211" s="21" t="str">
        <f t="shared" ca="1" si="12"/>
        <v>He-Res-2022-210</v>
      </c>
      <c r="B211" s="6">
        <v>46</v>
      </c>
      <c r="C211" s="6" t="str">
        <f t="shared" si="13"/>
        <v>40-49</v>
      </c>
      <c r="D211" s="6" t="s">
        <v>43</v>
      </c>
      <c r="E211" s="6" t="s">
        <v>45</v>
      </c>
      <c r="F211" s="6" t="s">
        <v>46</v>
      </c>
      <c r="G211" s="6" t="s">
        <v>54</v>
      </c>
      <c r="H211" s="8">
        <v>9396</v>
      </c>
      <c r="I211" s="8">
        <f t="shared" si="14"/>
        <v>2067.12</v>
      </c>
      <c r="J211" s="8">
        <f t="shared" si="15"/>
        <v>7328.88</v>
      </c>
      <c r="K211" s="8">
        <v>12368</v>
      </c>
      <c r="L211" s="6">
        <v>4</v>
      </c>
      <c r="M211" s="22" t="str" cm="1">
        <f t="array" ref="M211">_xlfn.IFS(L211&gt;10,"Veteran",L211&gt;=6,"Experienced",L211&gt;=2,"Developing",L211&gt;=0,"New")</f>
        <v>Developing</v>
      </c>
    </row>
    <row r="212" spans="1:13">
      <c r="A212" s="21" t="str">
        <f t="shared" ca="1" si="12"/>
        <v>Sa-Sal-2012-211</v>
      </c>
      <c r="B212" s="6">
        <v>32</v>
      </c>
      <c r="C212" s="6" t="str">
        <f t="shared" si="13"/>
        <v>30-39</v>
      </c>
      <c r="D212" s="6" t="s">
        <v>35</v>
      </c>
      <c r="E212" s="6" t="s">
        <v>37</v>
      </c>
      <c r="F212" s="6" t="s">
        <v>46</v>
      </c>
      <c r="G212" s="6" t="s">
        <v>40</v>
      </c>
      <c r="H212" s="8">
        <v>10400</v>
      </c>
      <c r="I212" s="8">
        <f t="shared" si="14"/>
        <v>2288</v>
      </c>
      <c r="J212" s="8">
        <f t="shared" si="15"/>
        <v>8112</v>
      </c>
      <c r="K212" s="8">
        <v>25812</v>
      </c>
      <c r="L212" s="6">
        <v>14</v>
      </c>
      <c r="M212" s="22" t="str" cm="1">
        <f t="array" ref="M212">_xlfn.IFS(L212&gt;10,"Veteran",L212&gt;=6,"Experienced",L212&gt;=2,"Developing",L212&gt;=0,"New")</f>
        <v>Veteran</v>
      </c>
    </row>
    <row r="213" spans="1:13">
      <c r="A213" s="21" t="str">
        <f t="shared" ca="1" si="12"/>
        <v>Ma-Res-2015-212</v>
      </c>
      <c r="B213" s="6">
        <v>30</v>
      </c>
      <c r="C213" s="6" t="str">
        <f t="shared" si="13"/>
        <v>30-39</v>
      </c>
      <c r="D213" s="6" t="s">
        <v>43</v>
      </c>
      <c r="E213" s="6" t="s">
        <v>45</v>
      </c>
      <c r="F213" s="6" t="s">
        <v>46</v>
      </c>
      <c r="G213" s="6" t="s">
        <v>53</v>
      </c>
      <c r="H213" s="8">
        <v>8474</v>
      </c>
      <c r="I213" s="8">
        <f t="shared" si="14"/>
        <v>1864.28</v>
      </c>
      <c r="J213" s="8">
        <f t="shared" si="15"/>
        <v>6609.72</v>
      </c>
      <c r="K213" s="8">
        <v>20925</v>
      </c>
      <c r="L213" s="6">
        <v>11</v>
      </c>
      <c r="M213" s="22" t="str" cm="1">
        <f t="array" ref="M213">_xlfn.IFS(L213&gt;10,"Veteran",L213&gt;=6,"Experienced",L213&gt;=2,"Developing",L213&gt;=0,"New")</f>
        <v>Veteran</v>
      </c>
    </row>
    <row r="214" spans="1:13">
      <c r="A214" s="21" t="str">
        <f t="shared" ca="1" si="12"/>
        <v>Sa-Sal-2019-213</v>
      </c>
      <c r="B214" s="6">
        <v>27</v>
      </c>
      <c r="C214" s="6" t="str">
        <f t="shared" si="13"/>
        <v>20-29</v>
      </c>
      <c r="D214" s="6" t="s">
        <v>43</v>
      </c>
      <c r="E214" s="6" t="s">
        <v>37</v>
      </c>
      <c r="F214" s="6" t="s">
        <v>39</v>
      </c>
      <c r="G214" s="6" t="s">
        <v>40</v>
      </c>
      <c r="H214" s="8">
        <v>9981</v>
      </c>
      <c r="I214" s="8">
        <f t="shared" si="14"/>
        <v>2195.8200000000002</v>
      </c>
      <c r="J214" s="8">
        <f t="shared" si="15"/>
        <v>7785.18</v>
      </c>
      <c r="K214" s="8">
        <v>12916</v>
      </c>
      <c r="L214" s="6">
        <v>7</v>
      </c>
      <c r="M214" s="22" t="str" cm="1">
        <f t="array" ref="M214">_xlfn.IFS(L214&gt;10,"Veteran",L214&gt;=6,"Experienced",L214&gt;=2,"Developing",L214&gt;=0,"New")</f>
        <v>Experienced</v>
      </c>
    </row>
    <row r="215" spans="1:13">
      <c r="A215" s="21" t="str">
        <f t="shared" ca="1" si="12"/>
        <v>Re-Res-2016-214</v>
      </c>
      <c r="B215" s="6">
        <v>51</v>
      </c>
      <c r="C215" s="6" t="str">
        <f t="shared" si="13"/>
        <v>50+</v>
      </c>
      <c r="D215" s="6" t="s">
        <v>43</v>
      </c>
      <c r="E215" s="6" t="s">
        <v>45</v>
      </c>
      <c r="F215" s="6" t="s">
        <v>46</v>
      </c>
      <c r="G215" s="6" t="s">
        <v>58</v>
      </c>
      <c r="H215" s="8">
        <v>12490</v>
      </c>
      <c r="I215" s="8">
        <f t="shared" si="14"/>
        <v>2747.8</v>
      </c>
      <c r="J215" s="8">
        <f t="shared" si="15"/>
        <v>9742.2000000000007</v>
      </c>
      <c r="K215" s="8">
        <v>15736</v>
      </c>
      <c r="L215" s="6">
        <v>10</v>
      </c>
      <c r="M215" s="22" t="str" cm="1">
        <f t="array" ref="M215">_xlfn.IFS(L215&gt;10,"Veteran",L215&gt;=6,"Experienced",L215&gt;=2,"Developing",L215&gt;=0,"New")</f>
        <v>Experienced</v>
      </c>
    </row>
    <row r="216" spans="1:13">
      <c r="A216" s="21" t="str">
        <f t="shared" ca="1" si="12"/>
        <v>Re-Res-2021-215</v>
      </c>
      <c r="B216" s="6">
        <v>30</v>
      </c>
      <c r="C216" s="6" t="str">
        <f t="shared" si="13"/>
        <v>30-39</v>
      </c>
      <c r="D216" s="6" t="s">
        <v>35</v>
      </c>
      <c r="E216" s="6" t="s">
        <v>45</v>
      </c>
      <c r="F216" s="6" t="s">
        <v>39</v>
      </c>
      <c r="G216" s="6" t="s">
        <v>47</v>
      </c>
      <c r="H216" s="8">
        <v>2657</v>
      </c>
      <c r="I216" s="8">
        <f t="shared" si="14"/>
        <v>185.99</v>
      </c>
      <c r="J216" s="8">
        <f t="shared" si="15"/>
        <v>2471.0100000000002</v>
      </c>
      <c r="K216" s="8">
        <v>8556</v>
      </c>
      <c r="L216" s="6">
        <v>5</v>
      </c>
      <c r="M216" s="22" t="str" cm="1">
        <f t="array" ref="M216">_xlfn.IFS(L216&gt;10,"Veteran",L216&gt;=6,"Experienced",L216&gt;=2,"Developing",L216&gt;=0,"New")</f>
        <v>Developing</v>
      </c>
    </row>
    <row r="217" spans="1:13">
      <c r="A217" s="21" t="str">
        <f t="shared" ca="1" si="12"/>
        <v>Ma-Sal-2025-216</v>
      </c>
      <c r="B217" s="6">
        <v>41</v>
      </c>
      <c r="C217" s="6" t="str">
        <f t="shared" si="13"/>
        <v>40-49</v>
      </c>
      <c r="D217" s="6" t="s">
        <v>43</v>
      </c>
      <c r="E217" s="6" t="s">
        <v>37</v>
      </c>
      <c r="F217" s="6" t="s">
        <v>39</v>
      </c>
      <c r="G217" s="6" t="s">
        <v>56</v>
      </c>
      <c r="H217" s="8">
        <v>13591</v>
      </c>
      <c r="I217" s="8">
        <f t="shared" si="14"/>
        <v>4077.2999999999997</v>
      </c>
      <c r="J217" s="8">
        <f t="shared" si="15"/>
        <v>9513.7000000000007</v>
      </c>
      <c r="K217" s="8">
        <v>14674</v>
      </c>
      <c r="L217" s="6">
        <v>1</v>
      </c>
      <c r="M217" s="22" t="str" cm="1">
        <f t="array" ref="M217">_xlfn.IFS(L217&gt;10,"Veteran",L217&gt;=6,"Experienced",L217&gt;=2,"Developing",L217&gt;=0,"New")</f>
        <v>New</v>
      </c>
    </row>
    <row r="218" spans="1:13">
      <c r="A218" s="21" t="str">
        <f t="shared" ca="1" si="12"/>
        <v>Sa-Sal-2020-217</v>
      </c>
      <c r="B218" s="6">
        <v>30</v>
      </c>
      <c r="C218" s="6" t="str">
        <f t="shared" si="13"/>
        <v>30-39</v>
      </c>
      <c r="D218" s="6" t="s">
        <v>35</v>
      </c>
      <c r="E218" s="6" t="s">
        <v>37</v>
      </c>
      <c r="F218" s="6" t="s">
        <v>39</v>
      </c>
      <c r="G218" s="6" t="s">
        <v>40</v>
      </c>
      <c r="H218" s="8">
        <v>6696</v>
      </c>
      <c r="I218" s="8">
        <f t="shared" si="14"/>
        <v>1004.4</v>
      </c>
      <c r="J218" s="8">
        <f t="shared" si="15"/>
        <v>5691.6</v>
      </c>
      <c r="K218" s="8">
        <v>22967</v>
      </c>
      <c r="L218" s="6">
        <v>6</v>
      </c>
      <c r="M218" s="22" t="str" cm="1">
        <f t="array" ref="M218">_xlfn.IFS(L218&gt;10,"Veteran",L218&gt;=6,"Experienced",L218&gt;=2,"Developing",L218&gt;=0,"New")</f>
        <v>Experienced</v>
      </c>
    </row>
    <row r="219" spans="1:13">
      <c r="A219" s="21" t="str">
        <f t="shared" ca="1" si="12"/>
        <v>Re-Res-2020-218</v>
      </c>
      <c r="B219" s="6">
        <v>29</v>
      </c>
      <c r="C219" s="6" t="str">
        <f t="shared" si="13"/>
        <v>20-29</v>
      </c>
      <c r="D219" s="6" t="s">
        <v>35</v>
      </c>
      <c r="E219" s="6" t="s">
        <v>45</v>
      </c>
      <c r="F219" s="6" t="s">
        <v>46</v>
      </c>
      <c r="G219" s="6" t="s">
        <v>47</v>
      </c>
      <c r="H219" s="8">
        <v>2058</v>
      </c>
      <c r="I219" s="8">
        <f t="shared" si="14"/>
        <v>144.06</v>
      </c>
      <c r="J219" s="8">
        <f t="shared" si="15"/>
        <v>1913.94</v>
      </c>
      <c r="K219" s="8">
        <v>19757</v>
      </c>
      <c r="L219" s="6">
        <v>6</v>
      </c>
      <c r="M219" s="22" t="str" cm="1">
        <f t="array" ref="M219">_xlfn.IFS(L219&gt;10,"Veteran",L219&gt;=6,"Experienced",L219&gt;=2,"Developing",L219&gt;=0,"New")</f>
        <v>Experienced</v>
      </c>
    </row>
    <row r="220" spans="1:13">
      <c r="A220" s="21" t="str">
        <f t="shared" ca="1" si="12"/>
        <v>Sa-Sal-2007-219</v>
      </c>
      <c r="B220" s="6">
        <v>45</v>
      </c>
      <c r="C220" s="6" t="str">
        <f t="shared" si="13"/>
        <v>40-49</v>
      </c>
      <c r="D220" s="6" t="s">
        <v>43</v>
      </c>
      <c r="E220" s="6" t="s">
        <v>37</v>
      </c>
      <c r="F220" s="6" t="s">
        <v>39</v>
      </c>
      <c r="G220" s="6" t="s">
        <v>40</v>
      </c>
      <c r="H220" s="8">
        <v>8865</v>
      </c>
      <c r="I220" s="8">
        <f t="shared" si="14"/>
        <v>1950.3</v>
      </c>
      <c r="J220" s="8">
        <f t="shared" si="15"/>
        <v>6914.7</v>
      </c>
      <c r="K220" s="8">
        <v>16840</v>
      </c>
      <c r="L220" s="6">
        <v>19</v>
      </c>
      <c r="M220" s="22" t="str" cm="1">
        <f t="array" ref="M220">_xlfn.IFS(L220&gt;10,"Veteran",L220&gt;=6,"Experienced",L220&gt;=2,"Developing",L220&gt;=0,"New")</f>
        <v>Veteran</v>
      </c>
    </row>
    <row r="221" spans="1:13">
      <c r="A221" s="21" t="str">
        <f t="shared" ca="1" si="12"/>
        <v>Sa-Sal-2020-220</v>
      </c>
      <c r="B221" s="6">
        <v>54</v>
      </c>
      <c r="C221" s="6" t="str">
        <f t="shared" si="13"/>
        <v>50+</v>
      </c>
      <c r="D221" s="6" t="s">
        <v>43</v>
      </c>
      <c r="E221" s="6" t="s">
        <v>37</v>
      </c>
      <c r="F221" s="6" t="s">
        <v>39</v>
      </c>
      <c r="G221" s="6" t="s">
        <v>40</v>
      </c>
      <c r="H221" s="8">
        <v>5940</v>
      </c>
      <c r="I221" s="8">
        <f t="shared" si="14"/>
        <v>891</v>
      </c>
      <c r="J221" s="8">
        <f t="shared" si="15"/>
        <v>5049</v>
      </c>
      <c r="K221" s="8">
        <v>17011</v>
      </c>
      <c r="L221" s="6">
        <v>6</v>
      </c>
      <c r="M221" s="22" t="str" cm="1">
        <f t="array" ref="M221">_xlfn.IFS(L221&gt;10,"Veteran",L221&gt;=6,"Experienced",L221&gt;=2,"Developing",L221&gt;=0,"New")</f>
        <v>Experienced</v>
      </c>
    </row>
    <row r="222" spans="1:13">
      <c r="A222" s="21" t="str">
        <f t="shared" ca="1" si="12"/>
        <v>La-Res-2013-221</v>
      </c>
      <c r="B222" s="6">
        <v>36</v>
      </c>
      <c r="C222" s="6" t="str">
        <f t="shared" si="13"/>
        <v>30-39</v>
      </c>
      <c r="D222" s="6" t="s">
        <v>43</v>
      </c>
      <c r="E222" s="6" t="s">
        <v>45</v>
      </c>
      <c r="F222" s="6" t="s">
        <v>46</v>
      </c>
      <c r="G222" s="6" t="s">
        <v>50</v>
      </c>
      <c r="H222" s="8">
        <v>5914</v>
      </c>
      <c r="I222" s="8">
        <f t="shared" si="14"/>
        <v>887.1</v>
      </c>
      <c r="J222" s="8">
        <f t="shared" si="15"/>
        <v>5026.8999999999996</v>
      </c>
      <c r="K222" s="8">
        <v>9945</v>
      </c>
      <c r="L222" s="6">
        <v>13</v>
      </c>
      <c r="M222" s="22" t="str" cm="1">
        <f t="array" ref="M222">_xlfn.IFS(L222&gt;10,"Veteran",L222&gt;=6,"Experienced",L222&gt;=2,"Developing",L222&gt;=0,"New")</f>
        <v>Veteran</v>
      </c>
    </row>
    <row r="223" spans="1:13">
      <c r="A223" s="21" t="str">
        <f t="shared" ca="1" si="12"/>
        <v>Re-Res-2023-222</v>
      </c>
      <c r="B223" s="6">
        <v>33</v>
      </c>
      <c r="C223" s="6" t="str">
        <f t="shared" si="13"/>
        <v>30-39</v>
      </c>
      <c r="D223" s="6" t="s">
        <v>43</v>
      </c>
      <c r="E223" s="6" t="s">
        <v>45</v>
      </c>
      <c r="F223" s="6" t="s">
        <v>39</v>
      </c>
      <c r="G223" s="6" t="s">
        <v>47</v>
      </c>
      <c r="H223" s="8">
        <v>2622</v>
      </c>
      <c r="I223" s="8">
        <f t="shared" si="14"/>
        <v>183.54000000000002</v>
      </c>
      <c r="J223" s="8">
        <f t="shared" si="15"/>
        <v>2438.46</v>
      </c>
      <c r="K223" s="8">
        <v>13248</v>
      </c>
      <c r="L223" s="6">
        <v>3</v>
      </c>
      <c r="M223" s="22" t="str" cm="1">
        <f t="array" ref="M223">_xlfn.IFS(L223&gt;10,"Veteran",L223&gt;=6,"Experienced",L223&gt;=2,"Developing",L223&gt;=0,"New")</f>
        <v>Developing</v>
      </c>
    </row>
    <row r="224" spans="1:13">
      <c r="A224" s="21" t="str">
        <f t="shared" ca="1" si="12"/>
        <v>Re-Res-2016-223</v>
      </c>
      <c r="B224" s="6">
        <v>37</v>
      </c>
      <c r="C224" s="6" t="str">
        <f t="shared" si="13"/>
        <v>30-39</v>
      </c>
      <c r="D224" s="6" t="s">
        <v>43</v>
      </c>
      <c r="E224" s="6" t="s">
        <v>45</v>
      </c>
      <c r="F224" s="6" t="s">
        <v>46</v>
      </c>
      <c r="G224" s="6" t="s">
        <v>58</v>
      </c>
      <c r="H224" s="8">
        <v>12185</v>
      </c>
      <c r="I224" s="8">
        <f t="shared" si="14"/>
        <v>2680.7</v>
      </c>
      <c r="J224" s="8">
        <f t="shared" si="15"/>
        <v>9504.2999999999993</v>
      </c>
      <c r="K224" s="8">
        <v>10056</v>
      </c>
      <c r="L224" s="6">
        <v>10</v>
      </c>
      <c r="M224" s="22" t="str" cm="1">
        <f t="array" ref="M224">_xlfn.IFS(L224&gt;10,"Veteran",L224&gt;=6,"Experienced",L224&gt;=2,"Developing",L224&gt;=0,"New")</f>
        <v>Experienced</v>
      </c>
    </row>
    <row r="225" spans="1:13">
      <c r="A225" s="21" t="str">
        <f t="shared" ca="1" si="12"/>
        <v>Sa-Sal-2010-224</v>
      </c>
      <c r="B225" s="6">
        <v>38</v>
      </c>
      <c r="C225" s="6" t="str">
        <f t="shared" si="13"/>
        <v>30-39</v>
      </c>
      <c r="D225" s="6" t="s">
        <v>43</v>
      </c>
      <c r="E225" s="6" t="s">
        <v>37</v>
      </c>
      <c r="F225" s="6" t="s">
        <v>46</v>
      </c>
      <c r="G225" s="6" t="s">
        <v>40</v>
      </c>
      <c r="H225" s="8">
        <v>10609</v>
      </c>
      <c r="I225" s="8">
        <f t="shared" si="14"/>
        <v>2333.98</v>
      </c>
      <c r="J225" s="8">
        <f t="shared" si="15"/>
        <v>8275.02</v>
      </c>
      <c r="K225" s="8">
        <v>9647</v>
      </c>
      <c r="L225" s="6">
        <v>16</v>
      </c>
      <c r="M225" s="22" t="str" cm="1">
        <f t="array" ref="M225">_xlfn.IFS(L225&gt;10,"Veteran",L225&gt;=6,"Experienced",L225&gt;=2,"Developing",L225&gt;=0,"New")</f>
        <v>Veteran</v>
      </c>
    </row>
    <row r="226" spans="1:13">
      <c r="A226" s="21" t="str">
        <f t="shared" ca="1" si="12"/>
        <v>Ma-Res-2021-225</v>
      </c>
      <c r="B226" s="6">
        <v>31</v>
      </c>
      <c r="C226" s="6" t="str">
        <f t="shared" si="13"/>
        <v>30-39</v>
      </c>
      <c r="D226" s="6" t="s">
        <v>43</v>
      </c>
      <c r="E226" s="6" t="s">
        <v>45</v>
      </c>
      <c r="F226" s="6" t="s">
        <v>46</v>
      </c>
      <c r="G226" s="6" t="s">
        <v>53</v>
      </c>
      <c r="H226" s="8">
        <v>4345</v>
      </c>
      <c r="I226" s="8">
        <f t="shared" si="14"/>
        <v>651.75</v>
      </c>
      <c r="J226" s="8">
        <f t="shared" si="15"/>
        <v>3693.25</v>
      </c>
      <c r="K226" s="8">
        <v>4381</v>
      </c>
      <c r="L226" s="6">
        <v>5</v>
      </c>
      <c r="M226" s="22" t="str" cm="1">
        <f t="array" ref="M226">_xlfn.IFS(L226&gt;10,"Veteran",L226&gt;=6,"Experienced",L226&gt;=2,"Developing",L226&gt;=0,"New")</f>
        <v>Developing</v>
      </c>
    </row>
    <row r="227" spans="1:13">
      <c r="A227" s="21" t="str">
        <f t="shared" ca="1" si="12"/>
        <v>Re-Res-2025-226</v>
      </c>
      <c r="B227" s="6">
        <v>59</v>
      </c>
      <c r="C227" s="6" t="str">
        <f t="shared" si="13"/>
        <v>50+</v>
      </c>
      <c r="D227" s="6" t="s">
        <v>43</v>
      </c>
      <c r="E227" s="6" t="s">
        <v>45</v>
      </c>
      <c r="F227" s="6" t="s">
        <v>46</v>
      </c>
      <c r="G227" s="6" t="s">
        <v>47</v>
      </c>
      <c r="H227" s="8">
        <v>2177</v>
      </c>
      <c r="I227" s="8">
        <f t="shared" si="14"/>
        <v>152.39000000000001</v>
      </c>
      <c r="J227" s="8">
        <f t="shared" si="15"/>
        <v>2024.61</v>
      </c>
      <c r="K227" s="8">
        <v>8456</v>
      </c>
      <c r="L227" s="6">
        <v>1</v>
      </c>
      <c r="M227" s="22" t="str" cm="1">
        <f t="array" ref="M227">_xlfn.IFS(L227&gt;10,"Veteran",L227&gt;=6,"Experienced",L227&gt;=2,"Developing",L227&gt;=0,"New")</f>
        <v>New</v>
      </c>
    </row>
    <row r="228" spans="1:13">
      <c r="A228" s="21" t="str">
        <f t="shared" ca="1" si="12"/>
        <v>Sa-Sal-2017-227</v>
      </c>
      <c r="B228" s="6">
        <v>37</v>
      </c>
      <c r="C228" s="6" t="str">
        <f t="shared" si="13"/>
        <v>30-39</v>
      </c>
      <c r="D228" s="6" t="s">
        <v>43</v>
      </c>
      <c r="E228" s="6" t="s">
        <v>37</v>
      </c>
      <c r="F228" s="6" t="s">
        <v>46</v>
      </c>
      <c r="G228" s="6" t="s">
        <v>57</v>
      </c>
      <c r="H228" s="8">
        <v>2793</v>
      </c>
      <c r="I228" s="8">
        <f t="shared" si="14"/>
        <v>195.51000000000002</v>
      </c>
      <c r="J228" s="8">
        <f t="shared" si="15"/>
        <v>2597.4899999999998</v>
      </c>
      <c r="K228" s="8">
        <v>2539</v>
      </c>
      <c r="L228" s="6">
        <v>9</v>
      </c>
      <c r="M228" s="22" t="str" cm="1">
        <f t="array" ref="M228">_xlfn.IFS(L228&gt;10,"Veteran",L228&gt;=6,"Experienced",L228&gt;=2,"Developing",L228&gt;=0,"New")</f>
        <v>Experienced</v>
      </c>
    </row>
    <row r="229" spans="1:13">
      <c r="A229" s="21" t="str">
        <f t="shared" ca="1" si="12"/>
        <v>Sa-Sal-2015-228</v>
      </c>
      <c r="B229" s="6">
        <v>29</v>
      </c>
      <c r="C229" s="6" t="str">
        <f t="shared" si="13"/>
        <v>20-29</v>
      </c>
      <c r="D229" s="6" t="s">
        <v>43</v>
      </c>
      <c r="E229" s="6" t="s">
        <v>37</v>
      </c>
      <c r="F229" s="6" t="s">
        <v>39</v>
      </c>
      <c r="G229" s="6" t="s">
        <v>40</v>
      </c>
      <c r="H229" s="8">
        <v>7918</v>
      </c>
      <c r="I229" s="8">
        <f t="shared" si="14"/>
        <v>1741.96</v>
      </c>
      <c r="J229" s="8">
        <f t="shared" si="15"/>
        <v>6176.04</v>
      </c>
      <c r="K229" s="8">
        <v>6599</v>
      </c>
      <c r="L229" s="6">
        <v>11</v>
      </c>
      <c r="M229" s="22" t="str" cm="1">
        <f t="array" ref="M229">_xlfn.IFS(L229&gt;10,"Veteran",L229&gt;=6,"Experienced",L229&gt;=2,"Developing",L229&gt;=0,"New")</f>
        <v>Veteran</v>
      </c>
    </row>
    <row r="230" spans="1:13">
      <c r="A230" s="21" t="str">
        <f t="shared" ca="1" si="12"/>
        <v>Sa-Sal-2016-229</v>
      </c>
      <c r="B230" s="6">
        <v>35</v>
      </c>
      <c r="C230" s="6" t="str">
        <f t="shared" si="13"/>
        <v>30-39</v>
      </c>
      <c r="D230" s="6" t="s">
        <v>43</v>
      </c>
      <c r="E230" s="6" t="s">
        <v>37</v>
      </c>
      <c r="F230" s="6" t="s">
        <v>39</v>
      </c>
      <c r="G230" s="6" t="s">
        <v>40</v>
      </c>
      <c r="H230" s="8">
        <v>8789</v>
      </c>
      <c r="I230" s="8">
        <f t="shared" si="14"/>
        <v>1933.58</v>
      </c>
      <c r="J230" s="8">
        <f t="shared" si="15"/>
        <v>6855.42</v>
      </c>
      <c r="K230" s="8">
        <v>9096</v>
      </c>
      <c r="L230" s="6">
        <v>10</v>
      </c>
      <c r="M230" s="22" t="str" cm="1">
        <f t="array" ref="M230">_xlfn.IFS(L230&gt;10,"Veteran",L230&gt;=6,"Experienced",L230&gt;=2,"Developing",L230&gt;=0,"New")</f>
        <v>Experienced</v>
      </c>
    </row>
    <row r="231" spans="1:13">
      <c r="A231" s="21" t="str">
        <f t="shared" ca="1" si="12"/>
        <v>Re-Res-2022-230</v>
      </c>
      <c r="B231" s="6">
        <v>29</v>
      </c>
      <c r="C231" s="6" t="str">
        <f t="shared" si="13"/>
        <v>20-29</v>
      </c>
      <c r="D231" s="6" t="s">
        <v>35</v>
      </c>
      <c r="E231" s="6" t="s">
        <v>45</v>
      </c>
      <c r="F231" s="6" t="s">
        <v>46</v>
      </c>
      <c r="G231" s="6" t="s">
        <v>47</v>
      </c>
      <c r="H231" s="8">
        <v>2389</v>
      </c>
      <c r="I231" s="8">
        <f t="shared" si="14"/>
        <v>167.23000000000002</v>
      </c>
      <c r="J231" s="8">
        <f t="shared" si="15"/>
        <v>2221.77</v>
      </c>
      <c r="K231" s="8">
        <v>14961</v>
      </c>
      <c r="L231" s="6">
        <v>4</v>
      </c>
      <c r="M231" s="22" t="str" cm="1">
        <f t="array" ref="M231">_xlfn.IFS(L231&gt;10,"Veteran",L231&gt;=6,"Experienced",L231&gt;=2,"Developing",L231&gt;=0,"New")</f>
        <v>Developing</v>
      </c>
    </row>
    <row r="232" spans="1:13">
      <c r="A232" s="21" t="str">
        <f t="shared" ca="1" si="12"/>
        <v>La-Res-2024-231</v>
      </c>
      <c r="B232" s="6">
        <v>52</v>
      </c>
      <c r="C232" s="6" t="str">
        <f t="shared" si="13"/>
        <v>50+</v>
      </c>
      <c r="D232" s="6" t="s">
        <v>43</v>
      </c>
      <c r="E232" s="6" t="s">
        <v>45</v>
      </c>
      <c r="F232" s="6" t="s">
        <v>39</v>
      </c>
      <c r="G232" s="6" t="s">
        <v>50</v>
      </c>
      <c r="H232" s="8">
        <v>3212</v>
      </c>
      <c r="I232" s="8">
        <f t="shared" si="14"/>
        <v>481.79999999999995</v>
      </c>
      <c r="J232" s="8">
        <f t="shared" si="15"/>
        <v>2730.2</v>
      </c>
      <c r="K232" s="8">
        <v>3300</v>
      </c>
      <c r="L232" s="6">
        <v>2</v>
      </c>
      <c r="M232" s="22" t="str" cm="1">
        <f t="array" ref="M232">_xlfn.IFS(L232&gt;10,"Veteran",L232&gt;=6,"Experienced",L232&gt;=2,"Developing",L232&gt;=0,"New")</f>
        <v>Developing</v>
      </c>
    </row>
    <row r="233" spans="1:13">
      <c r="A233" s="21" t="str">
        <f t="shared" ca="1" si="12"/>
        <v>Ma-Res-2004-232</v>
      </c>
      <c r="B233" s="6">
        <v>42</v>
      </c>
      <c r="C233" s="6" t="str">
        <f t="shared" si="13"/>
        <v>40-49</v>
      </c>
      <c r="D233" s="6" t="s">
        <v>43</v>
      </c>
      <c r="E233" s="6" t="s">
        <v>45</v>
      </c>
      <c r="F233" s="6" t="s">
        <v>46</v>
      </c>
      <c r="G233" s="6" t="s">
        <v>56</v>
      </c>
      <c r="H233" s="8">
        <v>19232</v>
      </c>
      <c r="I233" s="8">
        <f t="shared" si="14"/>
        <v>5769.5999999999995</v>
      </c>
      <c r="J233" s="8">
        <f t="shared" si="15"/>
        <v>13462.400000000001</v>
      </c>
      <c r="K233" s="8">
        <v>4933</v>
      </c>
      <c r="L233" s="6">
        <v>22</v>
      </c>
      <c r="M233" s="22" t="str" cm="1">
        <f t="array" ref="M233">_xlfn.IFS(L233&gt;10,"Veteran",L233&gt;=6,"Experienced",L233&gt;=2,"Developing",L233&gt;=0,"New")</f>
        <v>Veteran</v>
      </c>
    </row>
    <row r="234" spans="1:13">
      <c r="A234" s="21" t="str">
        <f t="shared" ca="1" si="12"/>
        <v>Hu-Hum-2024-233</v>
      </c>
      <c r="B234" s="6">
        <v>59</v>
      </c>
      <c r="C234" s="6" t="str">
        <f t="shared" si="13"/>
        <v>50+</v>
      </c>
      <c r="D234" s="6" t="s">
        <v>43</v>
      </c>
      <c r="E234" s="6" t="s">
        <v>61</v>
      </c>
      <c r="F234" s="6" t="s">
        <v>46</v>
      </c>
      <c r="G234" s="6" t="s">
        <v>61</v>
      </c>
      <c r="H234" s="8">
        <v>2267</v>
      </c>
      <c r="I234" s="8">
        <f t="shared" si="14"/>
        <v>158.69000000000003</v>
      </c>
      <c r="J234" s="8">
        <f t="shared" si="15"/>
        <v>2108.31</v>
      </c>
      <c r="K234" s="8">
        <v>25657</v>
      </c>
      <c r="L234" s="6">
        <v>2</v>
      </c>
      <c r="M234" s="22" t="str" cm="1">
        <f t="array" ref="M234">_xlfn.IFS(L234&gt;10,"Veteran",L234&gt;=6,"Experienced",L234&gt;=2,"Developing",L234&gt;=0,"New")</f>
        <v>Developing</v>
      </c>
    </row>
    <row r="235" spans="1:13">
      <c r="A235" s="21" t="str">
        <f t="shared" ca="1" si="12"/>
        <v>Ma-Sal-2019-234</v>
      </c>
      <c r="B235" s="6">
        <v>50</v>
      </c>
      <c r="C235" s="6" t="str">
        <f t="shared" si="13"/>
        <v>50+</v>
      </c>
      <c r="D235" s="6" t="s">
        <v>43</v>
      </c>
      <c r="E235" s="6" t="s">
        <v>37</v>
      </c>
      <c r="F235" s="6" t="s">
        <v>39</v>
      </c>
      <c r="G235" s="6" t="s">
        <v>56</v>
      </c>
      <c r="H235" s="8">
        <v>19517</v>
      </c>
      <c r="I235" s="8">
        <f t="shared" si="14"/>
        <v>5855.0999999999995</v>
      </c>
      <c r="J235" s="8">
        <f t="shared" si="15"/>
        <v>13661.900000000001</v>
      </c>
      <c r="K235" s="8">
        <v>24118</v>
      </c>
      <c r="L235" s="6">
        <v>7</v>
      </c>
      <c r="M235" s="22" t="str" cm="1">
        <f t="array" ref="M235">_xlfn.IFS(L235&gt;10,"Veteran",L235&gt;=6,"Experienced",L235&gt;=2,"Developing",L235&gt;=0,"New")</f>
        <v>Experienced</v>
      </c>
    </row>
    <row r="236" spans="1:13">
      <c r="A236" s="21" t="str">
        <f t="shared" ca="1" si="12"/>
        <v>La-Res-2021-235</v>
      </c>
      <c r="B236" s="6">
        <v>33</v>
      </c>
      <c r="C236" s="6" t="str">
        <f t="shared" si="13"/>
        <v>30-39</v>
      </c>
      <c r="D236" s="6" t="s">
        <v>35</v>
      </c>
      <c r="E236" s="6" t="s">
        <v>45</v>
      </c>
      <c r="F236" s="6" t="s">
        <v>46</v>
      </c>
      <c r="G236" s="6" t="s">
        <v>50</v>
      </c>
      <c r="H236" s="8">
        <v>2436</v>
      </c>
      <c r="I236" s="8">
        <f t="shared" si="14"/>
        <v>170.52</v>
      </c>
      <c r="J236" s="8">
        <f t="shared" si="15"/>
        <v>2265.48</v>
      </c>
      <c r="K236" s="8">
        <v>22149</v>
      </c>
      <c r="L236" s="6">
        <v>5</v>
      </c>
      <c r="M236" s="22" t="str" cm="1">
        <f t="array" ref="M236">_xlfn.IFS(L236&gt;10,"Veteran",L236&gt;=6,"Experienced",L236&gt;=2,"Developing",L236&gt;=0,"New")</f>
        <v>Developing</v>
      </c>
    </row>
    <row r="237" spans="1:13">
      <c r="A237" s="21" t="str">
        <f t="shared" ca="1" si="12"/>
        <v>Ma-Sal-2009-236</v>
      </c>
      <c r="B237" s="6">
        <v>43</v>
      </c>
      <c r="C237" s="6" t="str">
        <f t="shared" si="13"/>
        <v>40-49</v>
      </c>
      <c r="D237" s="6" t="s">
        <v>43</v>
      </c>
      <c r="E237" s="6" t="s">
        <v>37</v>
      </c>
      <c r="F237" s="6" t="s">
        <v>39</v>
      </c>
      <c r="G237" s="6" t="s">
        <v>56</v>
      </c>
      <c r="H237" s="8">
        <v>16064</v>
      </c>
      <c r="I237" s="8">
        <f t="shared" si="14"/>
        <v>4819.2</v>
      </c>
      <c r="J237" s="8">
        <f t="shared" si="15"/>
        <v>11244.8</v>
      </c>
      <c r="K237" s="8">
        <v>7744</v>
      </c>
      <c r="L237" s="6">
        <v>17</v>
      </c>
      <c r="M237" s="22" t="str" cm="1">
        <f t="array" ref="M237">_xlfn.IFS(L237&gt;10,"Veteran",L237&gt;=6,"Experienced",L237&gt;=2,"Developing",L237&gt;=0,"New")</f>
        <v>Veteran</v>
      </c>
    </row>
    <row r="238" spans="1:13">
      <c r="A238" s="21" t="str">
        <f t="shared" ca="1" si="12"/>
        <v>La-Res-2017-237</v>
      </c>
      <c r="B238" s="6">
        <v>33</v>
      </c>
      <c r="C238" s="6" t="str">
        <f t="shared" si="13"/>
        <v>30-39</v>
      </c>
      <c r="D238" s="6" t="s">
        <v>35</v>
      </c>
      <c r="E238" s="6" t="s">
        <v>45</v>
      </c>
      <c r="F238" s="6" t="s">
        <v>39</v>
      </c>
      <c r="G238" s="6" t="s">
        <v>50</v>
      </c>
      <c r="H238" s="8">
        <v>2707</v>
      </c>
      <c r="I238" s="8">
        <f t="shared" si="14"/>
        <v>189.49</v>
      </c>
      <c r="J238" s="8">
        <f t="shared" si="15"/>
        <v>2517.5100000000002</v>
      </c>
      <c r="K238" s="8">
        <v>21509</v>
      </c>
      <c r="L238" s="6">
        <v>9</v>
      </c>
      <c r="M238" s="22" t="str" cm="1">
        <f t="array" ref="M238">_xlfn.IFS(L238&gt;10,"Veteran",L238&gt;=6,"Experienced",L238&gt;=2,"Developing",L238&gt;=0,"New")</f>
        <v>Experienced</v>
      </c>
    </row>
    <row r="239" spans="1:13">
      <c r="A239" s="21" t="str">
        <f t="shared" ca="1" si="12"/>
        <v>Ma-Sal-1993-238</v>
      </c>
      <c r="B239" s="6">
        <v>52</v>
      </c>
      <c r="C239" s="6" t="str">
        <f t="shared" si="13"/>
        <v>50+</v>
      </c>
      <c r="D239" s="6" t="s">
        <v>43</v>
      </c>
      <c r="E239" s="6" t="s">
        <v>37</v>
      </c>
      <c r="F239" s="6" t="s">
        <v>46</v>
      </c>
      <c r="G239" s="6" t="s">
        <v>56</v>
      </c>
      <c r="H239" s="8">
        <v>19068</v>
      </c>
      <c r="I239" s="8">
        <f t="shared" si="14"/>
        <v>5720.4</v>
      </c>
      <c r="J239" s="8">
        <f t="shared" si="15"/>
        <v>13347.6</v>
      </c>
      <c r="K239" s="8">
        <v>21030</v>
      </c>
      <c r="L239" s="6">
        <v>33</v>
      </c>
      <c r="M239" s="22" t="str" cm="1">
        <f t="array" ref="M239">_xlfn.IFS(L239&gt;10,"Veteran",L239&gt;=6,"Experienced",L239&gt;=2,"Developing",L239&gt;=0,"New")</f>
        <v>Veteran</v>
      </c>
    </row>
    <row r="240" spans="1:13">
      <c r="A240" s="21" t="str">
        <f t="shared" ca="1" si="12"/>
        <v>Sa-Sal-2022-239</v>
      </c>
      <c r="B240" s="6">
        <v>32</v>
      </c>
      <c r="C240" s="6" t="str">
        <f t="shared" si="13"/>
        <v>30-39</v>
      </c>
      <c r="D240" s="6" t="s">
        <v>43</v>
      </c>
      <c r="E240" s="6" t="s">
        <v>37</v>
      </c>
      <c r="F240" s="6" t="s">
        <v>39</v>
      </c>
      <c r="G240" s="6" t="s">
        <v>57</v>
      </c>
      <c r="H240" s="8">
        <v>3931</v>
      </c>
      <c r="I240" s="8">
        <f t="shared" si="14"/>
        <v>589.65</v>
      </c>
      <c r="J240" s="8">
        <f t="shared" si="15"/>
        <v>3341.35</v>
      </c>
      <c r="K240" s="8">
        <v>20990</v>
      </c>
      <c r="L240" s="6">
        <v>4</v>
      </c>
      <c r="M240" s="22" t="str" cm="1">
        <f t="array" ref="M240">_xlfn.IFS(L240&gt;10,"Veteran",L240&gt;=6,"Experienced",L240&gt;=2,"Developing",L240&gt;=0,"New")</f>
        <v>Developing</v>
      </c>
    </row>
    <row r="241" spans="1:13">
      <c r="A241" s="21" t="str">
        <f t="shared" ca="1" si="12"/>
        <v>La-Res-2023-240</v>
      </c>
      <c r="B241" s="6">
        <v>32</v>
      </c>
      <c r="C241" s="6" t="str">
        <f t="shared" si="13"/>
        <v>30-39</v>
      </c>
      <c r="D241" s="6" t="s">
        <v>35</v>
      </c>
      <c r="E241" s="6" t="s">
        <v>45</v>
      </c>
      <c r="F241" s="6" t="s">
        <v>46</v>
      </c>
      <c r="G241" s="6" t="s">
        <v>50</v>
      </c>
      <c r="H241" s="8">
        <v>3730</v>
      </c>
      <c r="I241" s="8">
        <f t="shared" si="14"/>
        <v>559.5</v>
      </c>
      <c r="J241" s="8">
        <f t="shared" si="15"/>
        <v>3170.5</v>
      </c>
      <c r="K241" s="8">
        <v>9571</v>
      </c>
      <c r="L241" s="6">
        <v>3</v>
      </c>
      <c r="M241" s="22" t="str" cm="1">
        <f t="array" ref="M241">_xlfn.IFS(L241&gt;10,"Veteran",L241&gt;=6,"Experienced",L241&gt;=2,"Developing",L241&gt;=0,"New")</f>
        <v>Developing</v>
      </c>
    </row>
    <row r="242" spans="1:13">
      <c r="A242" s="21" t="str">
        <f t="shared" ca="1" si="12"/>
        <v>La-Res-2023-241</v>
      </c>
      <c r="B242" s="6">
        <v>39</v>
      </c>
      <c r="C242" s="6" t="str">
        <f t="shared" si="13"/>
        <v>30-39</v>
      </c>
      <c r="D242" s="6" t="s">
        <v>43</v>
      </c>
      <c r="E242" s="6" t="s">
        <v>45</v>
      </c>
      <c r="F242" s="6" t="s">
        <v>39</v>
      </c>
      <c r="G242" s="6" t="s">
        <v>50</v>
      </c>
      <c r="H242" s="8">
        <v>2232</v>
      </c>
      <c r="I242" s="8">
        <f t="shared" si="14"/>
        <v>156.24</v>
      </c>
      <c r="J242" s="8">
        <f t="shared" si="15"/>
        <v>2075.7600000000002</v>
      </c>
      <c r="K242" s="8">
        <v>15417</v>
      </c>
      <c r="L242" s="6">
        <v>3</v>
      </c>
      <c r="M242" s="22" t="str" cm="1">
        <f t="array" ref="M242">_xlfn.IFS(L242&gt;10,"Veteran",L242&gt;=6,"Experienced",L242&gt;=2,"Developing",L242&gt;=0,"New")</f>
        <v>Developing</v>
      </c>
    </row>
    <row r="243" spans="1:13">
      <c r="A243" s="21" t="str">
        <f t="shared" ca="1" si="12"/>
        <v>Sa-Sal-2023-242</v>
      </c>
      <c r="B243" s="6">
        <v>32</v>
      </c>
      <c r="C243" s="6" t="str">
        <f t="shared" si="13"/>
        <v>30-39</v>
      </c>
      <c r="D243" s="6" t="s">
        <v>43</v>
      </c>
      <c r="E243" s="6" t="s">
        <v>37</v>
      </c>
      <c r="F243" s="6" t="s">
        <v>46</v>
      </c>
      <c r="G243" s="6" t="s">
        <v>40</v>
      </c>
      <c r="H243" s="8">
        <v>4465</v>
      </c>
      <c r="I243" s="8">
        <f t="shared" si="14"/>
        <v>669.75</v>
      </c>
      <c r="J243" s="8">
        <f t="shared" si="15"/>
        <v>3795.25</v>
      </c>
      <c r="K243" s="8">
        <v>12069</v>
      </c>
      <c r="L243" s="6">
        <v>3</v>
      </c>
      <c r="M243" s="22" t="str" cm="1">
        <f t="array" ref="M243">_xlfn.IFS(L243&gt;10,"Veteran",L243&gt;=6,"Experienced",L243&gt;=2,"Developing",L243&gt;=0,"New")</f>
        <v>Developing</v>
      </c>
    </row>
    <row r="244" spans="1:13">
      <c r="A244" s="21" t="str">
        <f t="shared" ca="1" si="12"/>
        <v>Re-Res-2025-243</v>
      </c>
      <c r="B244" s="6">
        <v>41</v>
      </c>
      <c r="C244" s="6" t="str">
        <f t="shared" si="13"/>
        <v>40-49</v>
      </c>
      <c r="D244" s="6" t="s">
        <v>43</v>
      </c>
      <c r="E244" s="6" t="s">
        <v>45</v>
      </c>
      <c r="F244" s="6" t="s">
        <v>46</v>
      </c>
      <c r="G244" s="6" t="s">
        <v>47</v>
      </c>
      <c r="H244" s="8">
        <v>3072</v>
      </c>
      <c r="I244" s="8">
        <f t="shared" si="14"/>
        <v>460.79999999999995</v>
      </c>
      <c r="J244" s="8">
        <f t="shared" si="15"/>
        <v>2611.1999999999998</v>
      </c>
      <c r="K244" s="8">
        <v>19877</v>
      </c>
      <c r="L244" s="6">
        <v>1</v>
      </c>
      <c r="M244" s="22" t="str" cm="1">
        <f t="array" ref="M244">_xlfn.IFS(L244&gt;10,"Veteran",L244&gt;=6,"Experienced",L244&gt;=2,"Developing",L244&gt;=0,"New")</f>
        <v>New</v>
      </c>
    </row>
    <row r="245" spans="1:13">
      <c r="A245" s="21" t="str">
        <f t="shared" ca="1" si="12"/>
        <v>Re-Res-2017-244</v>
      </c>
      <c r="B245" s="6">
        <v>40</v>
      </c>
      <c r="C245" s="6" t="str">
        <f t="shared" si="13"/>
        <v>40-49</v>
      </c>
      <c r="D245" s="6" t="s">
        <v>43</v>
      </c>
      <c r="E245" s="6" t="s">
        <v>45</v>
      </c>
      <c r="F245" s="6" t="s">
        <v>46</v>
      </c>
      <c r="G245" s="6" t="s">
        <v>47</v>
      </c>
      <c r="H245" s="8">
        <v>3319</v>
      </c>
      <c r="I245" s="8">
        <f t="shared" si="14"/>
        <v>497.84999999999997</v>
      </c>
      <c r="J245" s="8">
        <f t="shared" si="15"/>
        <v>2821.15</v>
      </c>
      <c r="K245" s="8">
        <v>24447</v>
      </c>
      <c r="L245" s="6">
        <v>9</v>
      </c>
      <c r="M245" s="22" t="str" cm="1">
        <f t="array" ref="M245">_xlfn.IFS(L245&gt;10,"Veteran",L245&gt;=6,"Experienced",L245&gt;=2,"Developing",L245&gt;=0,"New")</f>
        <v>Experienced</v>
      </c>
    </row>
    <row r="246" spans="1:13">
      <c r="A246" s="21" t="str">
        <f t="shared" ca="1" si="12"/>
        <v>Ma-Res-2002-245</v>
      </c>
      <c r="B246" s="6">
        <v>45</v>
      </c>
      <c r="C246" s="6" t="str">
        <f t="shared" si="13"/>
        <v>40-49</v>
      </c>
      <c r="D246" s="6" t="s">
        <v>43</v>
      </c>
      <c r="E246" s="6" t="s">
        <v>45</v>
      </c>
      <c r="F246" s="6" t="s">
        <v>46</v>
      </c>
      <c r="G246" s="6" t="s">
        <v>56</v>
      </c>
      <c r="H246" s="8">
        <v>19202</v>
      </c>
      <c r="I246" s="8">
        <f t="shared" si="14"/>
        <v>5760.5999999999995</v>
      </c>
      <c r="J246" s="8">
        <f t="shared" si="15"/>
        <v>13441.400000000001</v>
      </c>
      <c r="K246" s="8">
        <v>15970</v>
      </c>
      <c r="L246" s="6">
        <v>24</v>
      </c>
      <c r="M246" s="22" t="str" cm="1">
        <f t="array" ref="M246">_xlfn.IFS(L246&gt;10,"Veteran",L246&gt;=6,"Experienced",L246&gt;=2,"Developing",L246&gt;=0,"New")</f>
        <v>Veteran</v>
      </c>
    </row>
    <row r="247" spans="1:13">
      <c r="A247" s="21" t="str">
        <f t="shared" ca="1" si="12"/>
        <v>Re-Res-2024-246</v>
      </c>
      <c r="B247" s="6">
        <v>31</v>
      </c>
      <c r="C247" s="6" t="str">
        <f t="shared" si="13"/>
        <v>30-39</v>
      </c>
      <c r="D247" s="6" t="s">
        <v>43</v>
      </c>
      <c r="E247" s="6" t="s">
        <v>45</v>
      </c>
      <c r="F247" s="6" t="s">
        <v>46</v>
      </c>
      <c r="G247" s="6" t="s">
        <v>58</v>
      </c>
      <c r="H247" s="8">
        <v>13675</v>
      </c>
      <c r="I247" s="8">
        <f t="shared" si="14"/>
        <v>4102.5</v>
      </c>
      <c r="J247" s="8">
        <f t="shared" si="15"/>
        <v>9572.5</v>
      </c>
      <c r="K247" s="8">
        <v>13523</v>
      </c>
      <c r="L247" s="6">
        <v>2</v>
      </c>
      <c r="M247" s="22" t="str" cm="1">
        <f t="array" ref="M247">_xlfn.IFS(L247&gt;10,"Veteran",L247&gt;=6,"Experienced",L247&gt;=2,"Developing",L247&gt;=0,"New")</f>
        <v>Developing</v>
      </c>
    </row>
    <row r="248" spans="1:13">
      <c r="A248" s="21" t="str">
        <f t="shared" ca="1" si="12"/>
        <v>Re-Res-2024-247</v>
      </c>
      <c r="B248" s="6">
        <v>33</v>
      </c>
      <c r="C248" s="6" t="str">
        <f t="shared" si="13"/>
        <v>30-39</v>
      </c>
      <c r="D248" s="6" t="s">
        <v>43</v>
      </c>
      <c r="E248" s="6" t="s">
        <v>45</v>
      </c>
      <c r="F248" s="6" t="s">
        <v>39</v>
      </c>
      <c r="G248" s="6" t="s">
        <v>47</v>
      </c>
      <c r="H248" s="8">
        <v>2911</v>
      </c>
      <c r="I248" s="8">
        <f t="shared" si="14"/>
        <v>203.77</v>
      </c>
      <c r="J248" s="8">
        <f t="shared" si="15"/>
        <v>2707.23</v>
      </c>
      <c r="K248" s="8">
        <v>14776</v>
      </c>
      <c r="L248" s="6">
        <v>2</v>
      </c>
      <c r="M248" s="22" t="str" cm="1">
        <f t="array" ref="M248">_xlfn.IFS(L248&gt;10,"Veteran",L248&gt;=6,"Experienced",L248&gt;=2,"Developing",L248&gt;=0,"New")</f>
        <v>Developing</v>
      </c>
    </row>
    <row r="249" spans="1:13">
      <c r="A249" s="21" t="str">
        <f t="shared" ca="1" si="12"/>
        <v>Ma-Res-2015-248</v>
      </c>
      <c r="B249" s="6">
        <v>34</v>
      </c>
      <c r="C249" s="6" t="str">
        <f t="shared" si="13"/>
        <v>30-39</v>
      </c>
      <c r="D249" s="6" t="s">
        <v>43</v>
      </c>
      <c r="E249" s="6" t="s">
        <v>45</v>
      </c>
      <c r="F249" s="6" t="s">
        <v>46</v>
      </c>
      <c r="G249" s="6" t="s">
        <v>53</v>
      </c>
      <c r="H249" s="8">
        <v>5957</v>
      </c>
      <c r="I249" s="8">
        <f t="shared" si="14"/>
        <v>893.55</v>
      </c>
      <c r="J249" s="8">
        <f t="shared" si="15"/>
        <v>5063.45</v>
      </c>
      <c r="K249" s="8">
        <v>23687</v>
      </c>
      <c r="L249" s="6">
        <v>11</v>
      </c>
      <c r="M249" s="22" t="str" cm="1">
        <f t="array" ref="M249">_xlfn.IFS(L249&gt;10,"Veteran",L249&gt;=6,"Experienced",L249&gt;=2,"Developing",L249&gt;=0,"New")</f>
        <v>Veteran</v>
      </c>
    </row>
    <row r="250" spans="1:13">
      <c r="A250" s="21" t="str">
        <f t="shared" ca="1" si="12"/>
        <v>Re-Res-2023-249</v>
      </c>
      <c r="B250" s="6">
        <v>37</v>
      </c>
      <c r="C250" s="6" t="str">
        <f t="shared" si="13"/>
        <v>30-39</v>
      </c>
      <c r="D250" s="6" t="s">
        <v>43</v>
      </c>
      <c r="E250" s="6" t="s">
        <v>45</v>
      </c>
      <c r="F250" s="6" t="s">
        <v>39</v>
      </c>
      <c r="G250" s="6" t="s">
        <v>47</v>
      </c>
      <c r="H250" s="8">
        <v>3920</v>
      </c>
      <c r="I250" s="8">
        <f t="shared" si="14"/>
        <v>588</v>
      </c>
      <c r="J250" s="8">
        <f t="shared" si="15"/>
        <v>3332</v>
      </c>
      <c r="K250" s="8">
        <v>18697</v>
      </c>
      <c r="L250" s="6">
        <v>3</v>
      </c>
      <c r="M250" s="22" t="str" cm="1">
        <f t="array" ref="M250">_xlfn.IFS(L250&gt;10,"Veteran",L250&gt;=6,"Experienced",L250&gt;=2,"Developing",L250&gt;=0,"New")</f>
        <v>Developing</v>
      </c>
    </row>
    <row r="251" spans="1:13">
      <c r="A251" s="21" t="str">
        <f t="shared" ca="1" si="12"/>
        <v>Ma-Res-2023-250</v>
      </c>
      <c r="B251" s="6">
        <v>45</v>
      </c>
      <c r="C251" s="6" t="str">
        <f t="shared" si="13"/>
        <v>40-49</v>
      </c>
      <c r="D251" s="6" t="s">
        <v>43</v>
      </c>
      <c r="E251" s="6" t="s">
        <v>45</v>
      </c>
      <c r="F251" s="6" t="s">
        <v>46</v>
      </c>
      <c r="G251" s="6" t="s">
        <v>53</v>
      </c>
      <c r="H251" s="8">
        <v>6434</v>
      </c>
      <c r="I251" s="8">
        <f t="shared" si="14"/>
        <v>965.09999999999991</v>
      </c>
      <c r="J251" s="8">
        <f t="shared" si="15"/>
        <v>5468.9</v>
      </c>
      <c r="K251" s="8">
        <v>5118</v>
      </c>
      <c r="L251" s="6">
        <v>3</v>
      </c>
      <c r="M251" s="22" t="str" cm="1">
        <f t="array" ref="M251">_xlfn.IFS(L251&gt;10,"Veteran",L251&gt;=6,"Experienced",L251&gt;=2,"Developing",L251&gt;=0,"New")</f>
        <v>Developing</v>
      </c>
    </row>
    <row r="252" spans="1:13">
      <c r="A252" s="21" t="str">
        <f t="shared" ca="1" si="12"/>
        <v>Ma-Res-2025-251</v>
      </c>
      <c r="B252" s="6">
        <v>37</v>
      </c>
      <c r="C252" s="6" t="str">
        <f t="shared" si="13"/>
        <v>30-39</v>
      </c>
      <c r="D252" s="6" t="s">
        <v>35</v>
      </c>
      <c r="E252" s="6" t="s">
        <v>45</v>
      </c>
      <c r="F252" s="6" t="s">
        <v>46</v>
      </c>
      <c r="G252" s="6" t="s">
        <v>53</v>
      </c>
      <c r="H252" s="8">
        <v>10048</v>
      </c>
      <c r="I252" s="8">
        <f t="shared" si="14"/>
        <v>2210.56</v>
      </c>
      <c r="J252" s="8">
        <f t="shared" si="15"/>
        <v>7837.4400000000005</v>
      </c>
      <c r="K252" s="8">
        <v>22573</v>
      </c>
      <c r="L252" s="6">
        <v>1</v>
      </c>
      <c r="M252" s="22" t="str" cm="1">
        <f t="array" ref="M252">_xlfn.IFS(L252&gt;10,"Veteran",L252&gt;=6,"Experienced",L252&gt;=2,"Developing",L252&gt;=0,"New")</f>
        <v>New</v>
      </c>
    </row>
    <row r="253" spans="1:13">
      <c r="A253" s="21" t="str">
        <f t="shared" ca="1" si="12"/>
        <v>He-Res-2007-252</v>
      </c>
      <c r="B253" s="6">
        <v>39</v>
      </c>
      <c r="C253" s="6" t="str">
        <f t="shared" si="13"/>
        <v>30-39</v>
      </c>
      <c r="D253" s="6" t="s">
        <v>43</v>
      </c>
      <c r="E253" s="6" t="s">
        <v>45</v>
      </c>
      <c r="F253" s="6" t="s">
        <v>39</v>
      </c>
      <c r="G253" s="6" t="s">
        <v>54</v>
      </c>
      <c r="H253" s="8">
        <v>10938</v>
      </c>
      <c r="I253" s="8">
        <f t="shared" si="14"/>
        <v>2406.36</v>
      </c>
      <c r="J253" s="8">
        <f t="shared" si="15"/>
        <v>8531.64</v>
      </c>
      <c r="K253" s="8">
        <v>6420</v>
      </c>
      <c r="L253" s="6">
        <v>19</v>
      </c>
      <c r="M253" s="22" t="str" cm="1">
        <f t="array" ref="M253">_xlfn.IFS(L253&gt;10,"Veteran",L253&gt;=6,"Experienced",L253&gt;=2,"Developing",L253&gt;=0,"New")</f>
        <v>Veteran</v>
      </c>
    </row>
    <row r="254" spans="1:13">
      <c r="A254" s="21" t="str">
        <f t="shared" ca="1" si="12"/>
        <v>Re-Res-2020-253</v>
      </c>
      <c r="B254" s="6">
        <v>29</v>
      </c>
      <c r="C254" s="6" t="str">
        <f t="shared" si="13"/>
        <v>20-29</v>
      </c>
      <c r="D254" s="6" t="s">
        <v>43</v>
      </c>
      <c r="E254" s="6" t="s">
        <v>45</v>
      </c>
      <c r="F254" s="6" t="s">
        <v>46</v>
      </c>
      <c r="G254" s="6" t="s">
        <v>47</v>
      </c>
      <c r="H254" s="8">
        <v>2340</v>
      </c>
      <c r="I254" s="8">
        <f t="shared" si="14"/>
        <v>163.80000000000001</v>
      </c>
      <c r="J254" s="8">
        <f t="shared" si="15"/>
        <v>2176.1999999999998</v>
      </c>
      <c r="K254" s="8">
        <v>22673</v>
      </c>
      <c r="L254" s="6">
        <v>6</v>
      </c>
      <c r="M254" s="22" t="str" cm="1">
        <f t="array" ref="M254">_xlfn.IFS(L254&gt;10,"Veteran",L254&gt;=6,"Experienced",L254&gt;=2,"Developing",L254&gt;=0,"New")</f>
        <v>Experienced</v>
      </c>
    </row>
    <row r="255" spans="1:13">
      <c r="A255" s="21" t="str">
        <f t="shared" ca="1" si="12"/>
        <v>Re-Res-2023-254</v>
      </c>
      <c r="B255" s="6">
        <v>42</v>
      </c>
      <c r="C255" s="6" t="str">
        <f t="shared" si="13"/>
        <v>40-49</v>
      </c>
      <c r="D255" s="6" t="s">
        <v>43</v>
      </c>
      <c r="E255" s="6" t="s">
        <v>45</v>
      </c>
      <c r="F255" s="6" t="s">
        <v>39</v>
      </c>
      <c r="G255" s="6" t="s">
        <v>47</v>
      </c>
      <c r="H255" s="8">
        <v>6545</v>
      </c>
      <c r="I255" s="8">
        <f t="shared" si="14"/>
        <v>981.75</v>
      </c>
      <c r="J255" s="8">
        <f t="shared" si="15"/>
        <v>5563.25</v>
      </c>
      <c r="K255" s="8">
        <v>23016</v>
      </c>
      <c r="L255" s="6">
        <v>3</v>
      </c>
      <c r="M255" s="22" t="str" cm="1">
        <f t="array" ref="M255">_xlfn.IFS(L255&gt;10,"Veteran",L255&gt;=6,"Experienced",L255&gt;=2,"Developing",L255&gt;=0,"New")</f>
        <v>Developing</v>
      </c>
    </row>
    <row r="256" spans="1:13">
      <c r="A256" s="21" t="str">
        <f t="shared" ca="1" si="12"/>
        <v>Sa-Sal-2023-255</v>
      </c>
      <c r="B256" s="6">
        <v>29</v>
      </c>
      <c r="C256" s="6" t="str">
        <f t="shared" si="13"/>
        <v>20-29</v>
      </c>
      <c r="D256" s="6" t="s">
        <v>43</v>
      </c>
      <c r="E256" s="6" t="s">
        <v>37</v>
      </c>
      <c r="F256" s="6" t="s">
        <v>46</v>
      </c>
      <c r="G256" s="6" t="s">
        <v>40</v>
      </c>
      <c r="H256" s="8">
        <v>6931</v>
      </c>
      <c r="I256" s="8">
        <f t="shared" si="14"/>
        <v>1039.6499999999999</v>
      </c>
      <c r="J256" s="8">
        <f t="shared" si="15"/>
        <v>5891.35</v>
      </c>
      <c r="K256" s="8">
        <v>10732</v>
      </c>
      <c r="L256" s="6">
        <v>3</v>
      </c>
      <c r="M256" s="22" t="str" cm="1">
        <f t="array" ref="M256">_xlfn.IFS(L256&gt;10,"Veteran",L256&gt;=6,"Experienced",L256&gt;=2,"Developing",L256&gt;=0,"New")</f>
        <v>Developing</v>
      </c>
    </row>
    <row r="257" spans="1:13">
      <c r="A257" s="21" t="str">
        <f t="shared" ca="1" si="12"/>
        <v>Ma-Res-2022-256</v>
      </c>
      <c r="B257" s="6">
        <v>25</v>
      </c>
      <c r="C257" s="6" t="str">
        <f t="shared" si="13"/>
        <v>20-29</v>
      </c>
      <c r="D257" s="6" t="s">
        <v>43</v>
      </c>
      <c r="E257" s="6" t="s">
        <v>45</v>
      </c>
      <c r="F257" s="6" t="s">
        <v>39</v>
      </c>
      <c r="G257" s="6" t="s">
        <v>53</v>
      </c>
      <c r="H257" s="8">
        <v>4898</v>
      </c>
      <c r="I257" s="8">
        <f t="shared" si="14"/>
        <v>734.69999999999993</v>
      </c>
      <c r="J257" s="8">
        <f t="shared" si="15"/>
        <v>4163.3</v>
      </c>
      <c r="K257" s="8">
        <v>7505</v>
      </c>
      <c r="L257" s="6">
        <v>4</v>
      </c>
      <c r="M257" s="22" t="str" cm="1">
        <f t="array" ref="M257">_xlfn.IFS(L257&gt;10,"Veteran",L257&gt;=6,"Experienced",L257&gt;=2,"Developing",L257&gt;=0,"New")</f>
        <v>Developing</v>
      </c>
    </row>
    <row r="258" spans="1:13">
      <c r="A258" s="21" t="str">
        <f t="shared" ca="1" si="12"/>
        <v>La-Res-2017-257</v>
      </c>
      <c r="B258" s="6">
        <v>42</v>
      </c>
      <c r="C258" s="6" t="str">
        <f t="shared" si="13"/>
        <v>40-49</v>
      </c>
      <c r="D258" s="6" t="s">
        <v>43</v>
      </c>
      <c r="E258" s="6" t="s">
        <v>45</v>
      </c>
      <c r="F258" s="6" t="s">
        <v>39</v>
      </c>
      <c r="G258" s="6" t="s">
        <v>50</v>
      </c>
      <c r="H258" s="8">
        <v>2593</v>
      </c>
      <c r="I258" s="8">
        <f t="shared" si="14"/>
        <v>181.51000000000002</v>
      </c>
      <c r="J258" s="8">
        <f t="shared" si="15"/>
        <v>2411.4899999999998</v>
      </c>
      <c r="K258" s="8">
        <v>8007</v>
      </c>
      <c r="L258" s="6">
        <v>9</v>
      </c>
      <c r="M258" s="22" t="str" cm="1">
        <f t="array" ref="M258">_xlfn.IFS(L258&gt;10,"Veteran",L258&gt;=6,"Experienced",L258&gt;=2,"Developing",L258&gt;=0,"New")</f>
        <v>Experienced</v>
      </c>
    </row>
    <row r="259" spans="1:13">
      <c r="A259" s="21" t="str">
        <f t="shared" ref="A259:A322" ca="1" si="16">LEFT(G259,2)&amp;"-"&amp;LEFT(E259,3)&amp;"-"&amp;YEAR(TODAY())-L259&amp;"-"&amp;TEXT(ROW()-1,"000")</f>
        <v>Re-Res-2005-258</v>
      </c>
      <c r="B259" s="6">
        <v>40</v>
      </c>
      <c r="C259" s="6" t="str">
        <f t="shared" ref="C259:C322" si="17">IF(B259&lt;=29,"20-29",IF(B259&lt;=39,"30-39",IF(B259&lt;=49,"40-49","50+")))</f>
        <v>40-49</v>
      </c>
      <c r="D259" s="6" t="s">
        <v>43</v>
      </c>
      <c r="E259" s="6" t="s">
        <v>45</v>
      </c>
      <c r="F259" s="6" t="s">
        <v>46</v>
      </c>
      <c r="G259" s="6" t="s">
        <v>58</v>
      </c>
      <c r="H259" s="8">
        <v>19436</v>
      </c>
      <c r="I259" s="8">
        <f t="shared" ref="I259:I322" si="18">IF(H259&gt;13000,H259*30%,IF(H259&gt;7000,H259*22%,IF(H259&gt;3000,H259*15%,H259*7%)))</f>
        <v>5830.8</v>
      </c>
      <c r="J259" s="8">
        <f t="shared" ref="J259:J322" si="19">H259-I259</f>
        <v>13605.2</v>
      </c>
      <c r="K259" s="8">
        <v>5949</v>
      </c>
      <c r="L259" s="6">
        <v>21</v>
      </c>
      <c r="M259" s="22" t="str" cm="1">
        <f t="array" ref="M259">_xlfn.IFS(L259&gt;10,"Veteran",L259&gt;=6,"Experienced",L259&gt;=2,"Developing",L259&gt;=0,"New")</f>
        <v>Veteran</v>
      </c>
    </row>
    <row r="260" spans="1:13">
      <c r="A260" s="21" t="str">
        <f t="shared" ca="1" si="16"/>
        <v>Re-Res-2025-259</v>
      </c>
      <c r="B260" s="6">
        <v>51</v>
      </c>
      <c r="C260" s="6" t="str">
        <f t="shared" si="17"/>
        <v>50+</v>
      </c>
      <c r="D260" s="6" t="s">
        <v>43</v>
      </c>
      <c r="E260" s="6" t="s">
        <v>45</v>
      </c>
      <c r="F260" s="6" t="s">
        <v>46</v>
      </c>
      <c r="G260" s="6" t="s">
        <v>47</v>
      </c>
      <c r="H260" s="8">
        <v>2723</v>
      </c>
      <c r="I260" s="8">
        <f t="shared" si="18"/>
        <v>190.61</v>
      </c>
      <c r="J260" s="8">
        <f t="shared" si="19"/>
        <v>2532.39</v>
      </c>
      <c r="K260" s="8">
        <v>23231</v>
      </c>
      <c r="L260" s="6">
        <v>1</v>
      </c>
      <c r="M260" s="22" t="str" cm="1">
        <f t="array" ref="M260">_xlfn.IFS(L260&gt;10,"Veteran",L260&gt;=6,"Experienced",L260&gt;=2,"Developing",L260&gt;=0,"New")</f>
        <v>New</v>
      </c>
    </row>
    <row r="261" spans="1:13">
      <c r="A261" s="21" t="str">
        <f t="shared" ca="1" si="16"/>
        <v>La-Res-2021-260</v>
      </c>
      <c r="B261" s="6">
        <v>31</v>
      </c>
      <c r="C261" s="6" t="str">
        <f t="shared" si="17"/>
        <v>30-39</v>
      </c>
      <c r="D261" s="6" t="s">
        <v>35</v>
      </c>
      <c r="E261" s="6" t="s">
        <v>45</v>
      </c>
      <c r="F261" s="6" t="s">
        <v>46</v>
      </c>
      <c r="G261" s="6" t="s">
        <v>50</v>
      </c>
      <c r="H261" s="8">
        <v>3479</v>
      </c>
      <c r="I261" s="8">
        <f t="shared" si="18"/>
        <v>521.85</v>
      </c>
      <c r="J261" s="8">
        <f t="shared" si="19"/>
        <v>2957.15</v>
      </c>
      <c r="K261" s="8">
        <v>11652</v>
      </c>
      <c r="L261" s="6">
        <v>5</v>
      </c>
      <c r="M261" s="22" t="str" cm="1">
        <f t="array" ref="M261">_xlfn.IFS(L261&gt;10,"Veteran",L261&gt;=6,"Experienced",L261&gt;=2,"Developing",L261&gt;=0,"New")</f>
        <v>Developing</v>
      </c>
    </row>
    <row r="262" spans="1:13">
      <c r="A262" s="21" t="str">
        <f t="shared" ca="1" si="16"/>
        <v>La-Res-2021-261</v>
      </c>
      <c r="B262" s="6">
        <v>32</v>
      </c>
      <c r="C262" s="6" t="str">
        <f t="shared" si="17"/>
        <v>30-39</v>
      </c>
      <c r="D262" s="6" t="s">
        <v>43</v>
      </c>
      <c r="E262" s="6" t="s">
        <v>45</v>
      </c>
      <c r="F262" s="6" t="s">
        <v>46</v>
      </c>
      <c r="G262" s="6" t="s">
        <v>50</v>
      </c>
      <c r="H262" s="8">
        <v>2794</v>
      </c>
      <c r="I262" s="8">
        <f t="shared" si="18"/>
        <v>195.58</v>
      </c>
      <c r="J262" s="8">
        <f t="shared" si="19"/>
        <v>2598.42</v>
      </c>
      <c r="K262" s="8">
        <v>26062</v>
      </c>
      <c r="L262" s="6">
        <v>5</v>
      </c>
      <c r="M262" s="22" t="str" cm="1">
        <f t="array" ref="M262">_xlfn.IFS(L262&gt;10,"Veteran",L262&gt;=6,"Experienced",L262&gt;=2,"Developing",L262&gt;=0,"New")</f>
        <v>Developing</v>
      </c>
    </row>
    <row r="263" spans="1:13">
      <c r="A263" s="21" t="str">
        <f t="shared" ca="1" si="16"/>
        <v>Sa-Sal-2018-262</v>
      </c>
      <c r="B263" s="6">
        <v>38</v>
      </c>
      <c r="C263" s="6" t="str">
        <f t="shared" si="17"/>
        <v>30-39</v>
      </c>
      <c r="D263" s="6" t="s">
        <v>43</v>
      </c>
      <c r="E263" s="6" t="s">
        <v>37</v>
      </c>
      <c r="F263" s="6" t="s">
        <v>46</v>
      </c>
      <c r="G263" s="6" t="s">
        <v>40</v>
      </c>
      <c r="H263" s="8">
        <v>5249</v>
      </c>
      <c r="I263" s="8">
        <f t="shared" si="18"/>
        <v>787.35</v>
      </c>
      <c r="J263" s="8">
        <f t="shared" si="19"/>
        <v>4461.6499999999996</v>
      </c>
      <c r="K263" s="8">
        <v>19682</v>
      </c>
      <c r="L263" s="6">
        <v>8</v>
      </c>
      <c r="M263" s="22" t="str" cm="1">
        <f t="array" ref="M263">_xlfn.IFS(L263&gt;10,"Veteran",L263&gt;=6,"Experienced",L263&gt;=2,"Developing",L263&gt;=0,"New")</f>
        <v>Experienced</v>
      </c>
    </row>
    <row r="264" spans="1:13">
      <c r="A264" s="21" t="str">
        <f t="shared" ca="1" si="16"/>
        <v>La-Res-2020-263</v>
      </c>
      <c r="B264" s="6">
        <v>32</v>
      </c>
      <c r="C264" s="6" t="str">
        <f t="shared" si="17"/>
        <v>30-39</v>
      </c>
      <c r="D264" s="6" t="s">
        <v>43</v>
      </c>
      <c r="E264" s="6" t="s">
        <v>45</v>
      </c>
      <c r="F264" s="6" t="s">
        <v>46</v>
      </c>
      <c r="G264" s="6" t="s">
        <v>50</v>
      </c>
      <c r="H264" s="8">
        <v>2176</v>
      </c>
      <c r="I264" s="8">
        <f t="shared" si="18"/>
        <v>152.32000000000002</v>
      </c>
      <c r="J264" s="8">
        <f t="shared" si="19"/>
        <v>2023.68</v>
      </c>
      <c r="K264" s="8">
        <v>19737</v>
      </c>
      <c r="L264" s="6">
        <v>6</v>
      </c>
      <c r="M264" s="22" t="str" cm="1">
        <f t="array" ref="M264">_xlfn.IFS(L264&gt;10,"Veteran",L264&gt;=6,"Experienced",L264&gt;=2,"Developing",L264&gt;=0,"New")</f>
        <v>Experienced</v>
      </c>
    </row>
    <row r="265" spans="1:13">
      <c r="A265" s="21" t="str">
        <f t="shared" ca="1" si="16"/>
        <v>Ma-Sal-2019-264</v>
      </c>
      <c r="B265" s="6">
        <v>46</v>
      </c>
      <c r="C265" s="6" t="str">
        <f t="shared" si="17"/>
        <v>40-49</v>
      </c>
      <c r="D265" s="6" t="s">
        <v>43</v>
      </c>
      <c r="E265" s="6" t="s">
        <v>37</v>
      </c>
      <c r="F265" s="6" t="s">
        <v>39</v>
      </c>
      <c r="G265" s="6" t="s">
        <v>56</v>
      </c>
      <c r="H265" s="8">
        <v>16872</v>
      </c>
      <c r="I265" s="8">
        <f t="shared" si="18"/>
        <v>5061.5999999999995</v>
      </c>
      <c r="J265" s="8">
        <f t="shared" si="19"/>
        <v>11810.400000000001</v>
      </c>
      <c r="K265" s="8">
        <v>14977</v>
      </c>
      <c r="L265" s="6">
        <v>7</v>
      </c>
      <c r="M265" s="22" t="str" cm="1">
        <f t="array" ref="M265">_xlfn.IFS(L265&gt;10,"Veteran",L265&gt;=6,"Experienced",L265&gt;=2,"Developing",L265&gt;=0,"New")</f>
        <v>Experienced</v>
      </c>
    </row>
    <row r="266" spans="1:13">
      <c r="A266" s="21" t="str">
        <f t="shared" ca="1" si="16"/>
        <v>La-Res-2026-265</v>
      </c>
      <c r="B266" s="6">
        <v>28</v>
      </c>
      <c r="C266" s="6" t="str">
        <f t="shared" si="17"/>
        <v>20-29</v>
      </c>
      <c r="D266" s="6" t="s">
        <v>35</v>
      </c>
      <c r="E266" s="6" t="s">
        <v>45</v>
      </c>
      <c r="F266" s="6" t="s">
        <v>46</v>
      </c>
      <c r="G266" s="6" t="s">
        <v>50</v>
      </c>
      <c r="H266" s="8">
        <v>3485</v>
      </c>
      <c r="I266" s="8">
        <f t="shared" si="18"/>
        <v>522.75</v>
      </c>
      <c r="J266" s="8">
        <f t="shared" si="19"/>
        <v>2962.25</v>
      </c>
      <c r="K266" s="8">
        <v>14935</v>
      </c>
      <c r="L266" s="6">
        <v>0</v>
      </c>
      <c r="M266" s="22" t="str" cm="1">
        <f t="array" ref="M266">_xlfn.IFS(L266&gt;10,"Veteran",L266&gt;=6,"Experienced",L266&gt;=2,"Developing",L266&gt;=0,"New")</f>
        <v>New</v>
      </c>
    </row>
    <row r="267" spans="1:13">
      <c r="A267" s="21" t="str">
        <f t="shared" ca="1" si="16"/>
        <v>Sa-Sal-2026-266</v>
      </c>
      <c r="B267" s="6">
        <v>29</v>
      </c>
      <c r="C267" s="6" t="str">
        <f t="shared" si="17"/>
        <v>20-29</v>
      </c>
      <c r="D267" s="6" t="s">
        <v>43</v>
      </c>
      <c r="E267" s="6" t="s">
        <v>37</v>
      </c>
      <c r="F267" s="6" t="s">
        <v>46</v>
      </c>
      <c r="G267" s="6" t="s">
        <v>40</v>
      </c>
      <c r="H267" s="8">
        <v>6644</v>
      </c>
      <c r="I267" s="8">
        <f t="shared" si="18"/>
        <v>996.59999999999991</v>
      </c>
      <c r="J267" s="8">
        <f t="shared" si="19"/>
        <v>5647.4</v>
      </c>
      <c r="K267" s="8">
        <v>3687</v>
      </c>
      <c r="L267" s="6">
        <v>0</v>
      </c>
      <c r="M267" s="22" t="str" cm="1">
        <f t="array" ref="M267">_xlfn.IFS(L267&gt;10,"Veteran",L267&gt;=6,"Experienced",L267&gt;=2,"Developing",L267&gt;=0,"New")</f>
        <v>New</v>
      </c>
    </row>
    <row r="268" spans="1:13">
      <c r="A268" s="21" t="str">
        <f t="shared" ca="1" si="16"/>
        <v>He-Res-2017-267</v>
      </c>
      <c r="B268" s="6">
        <v>31</v>
      </c>
      <c r="C268" s="6" t="str">
        <f t="shared" si="17"/>
        <v>30-39</v>
      </c>
      <c r="D268" s="6" t="s">
        <v>43</v>
      </c>
      <c r="E268" s="6" t="s">
        <v>45</v>
      </c>
      <c r="F268" s="6" t="s">
        <v>46</v>
      </c>
      <c r="G268" s="6" t="s">
        <v>54</v>
      </c>
      <c r="H268" s="8">
        <v>5582</v>
      </c>
      <c r="I268" s="8">
        <f t="shared" si="18"/>
        <v>837.3</v>
      </c>
      <c r="J268" s="8">
        <f t="shared" si="19"/>
        <v>4744.7</v>
      </c>
      <c r="K268" s="8">
        <v>14408</v>
      </c>
      <c r="L268" s="6">
        <v>9</v>
      </c>
      <c r="M268" s="22" t="str" cm="1">
        <f t="array" ref="M268">_xlfn.IFS(L268&gt;10,"Veteran",L268&gt;=6,"Experienced",L268&gt;=2,"Developing",L268&gt;=0,"New")</f>
        <v>Experienced</v>
      </c>
    </row>
    <row r="269" spans="1:13">
      <c r="A269" s="21" t="str">
        <f t="shared" ca="1" si="16"/>
        <v>He-Res-2020-268</v>
      </c>
      <c r="B269" s="6">
        <v>25</v>
      </c>
      <c r="C269" s="6" t="str">
        <f t="shared" si="17"/>
        <v>20-29</v>
      </c>
      <c r="D269" s="6" t="s">
        <v>43</v>
      </c>
      <c r="E269" s="6" t="s">
        <v>45</v>
      </c>
      <c r="F269" s="6" t="s">
        <v>46</v>
      </c>
      <c r="G269" s="6" t="s">
        <v>54</v>
      </c>
      <c r="H269" s="8">
        <v>4000</v>
      </c>
      <c r="I269" s="8">
        <f t="shared" si="18"/>
        <v>600</v>
      </c>
      <c r="J269" s="8">
        <f t="shared" si="19"/>
        <v>3400</v>
      </c>
      <c r="K269" s="8">
        <v>18384</v>
      </c>
      <c r="L269" s="6">
        <v>6</v>
      </c>
      <c r="M269" s="22" t="str" cm="1">
        <f t="array" ref="M269">_xlfn.IFS(L269&gt;10,"Veteran",L269&gt;=6,"Experienced",L269&gt;=2,"Developing",L269&gt;=0,"New")</f>
        <v>Experienced</v>
      </c>
    </row>
    <row r="270" spans="1:13">
      <c r="A270" s="21" t="str">
        <f t="shared" ca="1" si="16"/>
        <v>He-Res-2006-269</v>
      </c>
      <c r="B270" s="6">
        <v>45</v>
      </c>
      <c r="C270" s="6" t="str">
        <f t="shared" si="17"/>
        <v>40-49</v>
      </c>
      <c r="D270" s="6" t="s">
        <v>43</v>
      </c>
      <c r="E270" s="6" t="s">
        <v>45</v>
      </c>
      <c r="F270" s="6" t="s">
        <v>46</v>
      </c>
      <c r="G270" s="6" t="s">
        <v>54</v>
      </c>
      <c r="H270" s="8">
        <v>13496</v>
      </c>
      <c r="I270" s="8">
        <f t="shared" si="18"/>
        <v>4048.7999999999997</v>
      </c>
      <c r="J270" s="8">
        <f t="shared" si="19"/>
        <v>9447.2000000000007</v>
      </c>
      <c r="K270" s="8">
        <v>7501</v>
      </c>
      <c r="L270" s="6">
        <v>20</v>
      </c>
      <c r="M270" s="22" t="str" cm="1">
        <f t="array" ref="M270">_xlfn.IFS(L270&gt;10,"Veteran",L270&gt;=6,"Experienced",L270&gt;=2,"Developing",L270&gt;=0,"New")</f>
        <v>Veteran</v>
      </c>
    </row>
    <row r="271" spans="1:13">
      <c r="A271" s="21" t="str">
        <f t="shared" ca="1" si="16"/>
        <v>La-Res-2011-270</v>
      </c>
      <c r="B271" s="6">
        <v>36</v>
      </c>
      <c r="C271" s="6" t="str">
        <f t="shared" si="17"/>
        <v>30-39</v>
      </c>
      <c r="D271" s="6" t="s">
        <v>43</v>
      </c>
      <c r="E271" s="6" t="s">
        <v>45</v>
      </c>
      <c r="F271" s="6" t="s">
        <v>46</v>
      </c>
      <c r="G271" s="6" t="s">
        <v>50</v>
      </c>
      <c r="H271" s="8">
        <v>3210</v>
      </c>
      <c r="I271" s="8">
        <f t="shared" si="18"/>
        <v>481.5</v>
      </c>
      <c r="J271" s="8">
        <f t="shared" si="19"/>
        <v>2728.5</v>
      </c>
      <c r="K271" s="8">
        <v>20251</v>
      </c>
      <c r="L271" s="6">
        <v>15</v>
      </c>
      <c r="M271" s="22" t="str" cm="1">
        <f t="array" ref="M271">_xlfn.IFS(L271&gt;10,"Veteran",L271&gt;=6,"Experienced",L271&gt;=2,"Developing",L271&gt;=0,"New")</f>
        <v>Veteran</v>
      </c>
    </row>
    <row r="272" spans="1:13">
      <c r="A272" s="21" t="str">
        <f t="shared" ca="1" si="16"/>
        <v>Ma-Res-1990-271</v>
      </c>
      <c r="B272" s="6">
        <v>55</v>
      </c>
      <c r="C272" s="6" t="str">
        <f t="shared" si="17"/>
        <v>50+</v>
      </c>
      <c r="D272" s="6" t="s">
        <v>43</v>
      </c>
      <c r="E272" s="6" t="s">
        <v>45</v>
      </c>
      <c r="F272" s="6" t="s">
        <v>46</v>
      </c>
      <c r="G272" s="6" t="s">
        <v>56</v>
      </c>
      <c r="H272" s="8">
        <v>19045</v>
      </c>
      <c r="I272" s="8">
        <f t="shared" si="18"/>
        <v>5713.5</v>
      </c>
      <c r="J272" s="8">
        <f t="shared" si="19"/>
        <v>13331.5</v>
      </c>
      <c r="K272" s="8">
        <v>18938</v>
      </c>
      <c r="L272" s="6">
        <v>36</v>
      </c>
      <c r="M272" s="22" t="str" cm="1">
        <f t="array" ref="M272">_xlfn.IFS(L272&gt;10,"Veteran",L272&gt;=6,"Experienced",L272&gt;=2,"Developing",L272&gt;=0,"New")</f>
        <v>Veteran</v>
      </c>
    </row>
    <row r="273" spans="1:13">
      <c r="A273" s="21" t="str">
        <f t="shared" ca="1" si="16"/>
        <v>Ma-Res-2016-272</v>
      </c>
      <c r="B273" s="6">
        <v>47</v>
      </c>
      <c r="C273" s="6" t="str">
        <f t="shared" si="17"/>
        <v>40-49</v>
      </c>
      <c r="D273" s="6" t="s">
        <v>35</v>
      </c>
      <c r="E273" s="6" t="s">
        <v>45</v>
      </c>
      <c r="F273" s="6" t="s">
        <v>46</v>
      </c>
      <c r="G273" s="6" t="s">
        <v>56</v>
      </c>
      <c r="H273" s="8">
        <v>11849</v>
      </c>
      <c r="I273" s="8">
        <f t="shared" si="18"/>
        <v>2606.7800000000002</v>
      </c>
      <c r="J273" s="8">
        <f t="shared" si="19"/>
        <v>9242.2199999999993</v>
      </c>
      <c r="K273" s="8">
        <v>10268</v>
      </c>
      <c r="L273" s="6">
        <v>10</v>
      </c>
      <c r="M273" s="22" t="str" cm="1">
        <f t="array" ref="M273">_xlfn.IFS(L273&gt;10,"Veteran",L273&gt;=6,"Experienced",L273&gt;=2,"Developing",L273&gt;=0,"New")</f>
        <v>Experienced</v>
      </c>
    </row>
    <row r="274" spans="1:13">
      <c r="A274" s="21" t="str">
        <f t="shared" ca="1" si="16"/>
        <v>Re-Res-2021-273</v>
      </c>
      <c r="B274" s="6">
        <v>28</v>
      </c>
      <c r="C274" s="6" t="str">
        <f t="shared" si="17"/>
        <v>20-29</v>
      </c>
      <c r="D274" s="6" t="s">
        <v>43</v>
      </c>
      <c r="E274" s="6" t="s">
        <v>45</v>
      </c>
      <c r="F274" s="6" t="s">
        <v>46</v>
      </c>
      <c r="G274" s="6" t="s">
        <v>47</v>
      </c>
      <c r="H274" s="8">
        <v>2070</v>
      </c>
      <c r="I274" s="8">
        <f t="shared" si="18"/>
        <v>144.9</v>
      </c>
      <c r="J274" s="8">
        <f t="shared" si="19"/>
        <v>1925.1</v>
      </c>
      <c r="K274" s="8">
        <v>2613</v>
      </c>
      <c r="L274" s="6">
        <v>5</v>
      </c>
      <c r="M274" s="22" t="str" cm="1">
        <f t="array" ref="M274">_xlfn.IFS(L274&gt;10,"Veteran",L274&gt;=6,"Experienced",L274&gt;=2,"Developing",L274&gt;=0,"New")</f>
        <v>Developing</v>
      </c>
    </row>
    <row r="275" spans="1:13">
      <c r="A275" s="21" t="str">
        <f t="shared" ca="1" si="16"/>
        <v>Sa-Sal-2021-274</v>
      </c>
      <c r="B275" s="6">
        <v>37</v>
      </c>
      <c r="C275" s="6" t="str">
        <f t="shared" si="17"/>
        <v>30-39</v>
      </c>
      <c r="D275" s="6" t="s">
        <v>43</v>
      </c>
      <c r="E275" s="6" t="s">
        <v>37</v>
      </c>
      <c r="F275" s="6" t="s">
        <v>46</v>
      </c>
      <c r="G275" s="6" t="s">
        <v>40</v>
      </c>
      <c r="H275" s="8">
        <v>6502</v>
      </c>
      <c r="I275" s="8">
        <f t="shared" si="18"/>
        <v>975.3</v>
      </c>
      <c r="J275" s="8">
        <f t="shared" si="19"/>
        <v>5526.7</v>
      </c>
      <c r="K275" s="8">
        <v>22825</v>
      </c>
      <c r="L275" s="6">
        <v>5</v>
      </c>
      <c r="M275" s="22" t="str" cm="1">
        <f t="array" ref="M275">_xlfn.IFS(L275&gt;10,"Veteran",L275&gt;=6,"Experienced",L275&gt;=2,"Developing",L275&gt;=0,"New")</f>
        <v>Developing</v>
      </c>
    </row>
    <row r="276" spans="1:13">
      <c r="A276" s="21" t="str">
        <f t="shared" ca="1" si="16"/>
        <v>Re-Res-2023-275</v>
      </c>
      <c r="B276" s="6">
        <v>21</v>
      </c>
      <c r="C276" s="6" t="str">
        <f t="shared" si="17"/>
        <v>20-29</v>
      </c>
      <c r="D276" s="6" t="s">
        <v>43</v>
      </c>
      <c r="E276" s="6" t="s">
        <v>45</v>
      </c>
      <c r="F276" s="6" t="s">
        <v>46</v>
      </c>
      <c r="G276" s="6" t="s">
        <v>47</v>
      </c>
      <c r="H276" s="8">
        <v>3230</v>
      </c>
      <c r="I276" s="8">
        <f t="shared" si="18"/>
        <v>484.5</v>
      </c>
      <c r="J276" s="8">
        <f t="shared" si="19"/>
        <v>2745.5</v>
      </c>
      <c r="K276" s="8">
        <v>10531</v>
      </c>
      <c r="L276" s="6">
        <v>3</v>
      </c>
      <c r="M276" s="22" t="str" cm="1">
        <f t="array" ref="M276">_xlfn.IFS(L276&gt;10,"Veteran",L276&gt;=6,"Experienced",L276&gt;=2,"Developing",L276&gt;=0,"New")</f>
        <v>Developing</v>
      </c>
    </row>
    <row r="277" spans="1:13">
      <c r="A277" s="21" t="str">
        <f t="shared" ca="1" si="16"/>
        <v>Re-Res-2021-276</v>
      </c>
      <c r="B277" s="6">
        <v>37</v>
      </c>
      <c r="C277" s="6" t="str">
        <f t="shared" si="17"/>
        <v>30-39</v>
      </c>
      <c r="D277" s="6" t="s">
        <v>43</v>
      </c>
      <c r="E277" s="6" t="s">
        <v>45</v>
      </c>
      <c r="F277" s="6" t="s">
        <v>39</v>
      </c>
      <c r="G277" s="6" t="s">
        <v>58</v>
      </c>
      <c r="H277" s="8">
        <v>13603</v>
      </c>
      <c r="I277" s="8">
        <f t="shared" si="18"/>
        <v>4080.8999999999996</v>
      </c>
      <c r="J277" s="8">
        <f t="shared" si="19"/>
        <v>9522.1</v>
      </c>
      <c r="K277" s="8">
        <v>11677</v>
      </c>
      <c r="L277" s="6">
        <v>5</v>
      </c>
      <c r="M277" s="22" t="str" cm="1">
        <f t="array" ref="M277">_xlfn.IFS(L277&gt;10,"Veteran",L277&gt;=6,"Experienced",L277&gt;=2,"Developing",L277&gt;=0,"New")</f>
        <v>Developing</v>
      </c>
    </row>
    <row r="278" spans="1:13">
      <c r="A278" s="21" t="str">
        <f t="shared" ca="1" si="16"/>
        <v>Ma-Res-2019-277</v>
      </c>
      <c r="B278" s="6">
        <v>35</v>
      </c>
      <c r="C278" s="6" t="str">
        <f t="shared" si="17"/>
        <v>30-39</v>
      </c>
      <c r="D278" s="6" t="s">
        <v>43</v>
      </c>
      <c r="E278" s="6" t="s">
        <v>45</v>
      </c>
      <c r="F278" s="6" t="s">
        <v>39</v>
      </c>
      <c r="G278" s="6" t="s">
        <v>56</v>
      </c>
      <c r="H278" s="8">
        <v>11996</v>
      </c>
      <c r="I278" s="8">
        <f t="shared" si="18"/>
        <v>2639.12</v>
      </c>
      <c r="J278" s="8">
        <f t="shared" si="19"/>
        <v>9356.880000000001</v>
      </c>
      <c r="K278" s="8">
        <v>19100</v>
      </c>
      <c r="L278" s="6">
        <v>7</v>
      </c>
      <c r="M278" s="22" t="str" cm="1">
        <f t="array" ref="M278">_xlfn.IFS(L278&gt;10,"Veteran",L278&gt;=6,"Experienced",L278&gt;=2,"Developing",L278&gt;=0,"New")</f>
        <v>Experienced</v>
      </c>
    </row>
    <row r="279" spans="1:13">
      <c r="A279" s="21" t="str">
        <f t="shared" ca="1" si="16"/>
        <v>Sa-Sal-2018-278</v>
      </c>
      <c r="B279" s="6">
        <v>38</v>
      </c>
      <c r="C279" s="6" t="str">
        <f t="shared" si="17"/>
        <v>30-39</v>
      </c>
      <c r="D279" s="6" t="s">
        <v>43</v>
      </c>
      <c r="E279" s="6" t="s">
        <v>37</v>
      </c>
      <c r="F279" s="6" t="s">
        <v>39</v>
      </c>
      <c r="G279" s="6" t="s">
        <v>40</v>
      </c>
      <c r="H279" s="8">
        <v>5605</v>
      </c>
      <c r="I279" s="8">
        <f t="shared" si="18"/>
        <v>840.75</v>
      </c>
      <c r="J279" s="8">
        <f t="shared" si="19"/>
        <v>4764.25</v>
      </c>
      <c r="K279" s="8">
        <v>19191</v>
      </c>
      <c r="L279" s="6">
        <v>8</v>
      </c>
      <c r="M279" s="22" t="str" cm="1">
        <f t="array" ref="M279">_xlfn.IFS(L279&gt;10,"Veteran",L279&gt;=6,"Experienced",L279&gt;=2,"Developing",L279&gt;=0,"New")</f>
        <v>Experienced</v>
      </c>
    </row>
    <row r="280" spans="1:13">
      <c r="A280" s="21" t="str">
        <f t="shared" ca="1" si="16"/>
        <v>Ma-Res-2020-279</v>
      </c>
      <c r="B280" s="6">
        <v>26</v>
      </c>
      <c r="C280" s="6" t="str">
        <f t="shared" si="17"/>
        <v>20-29</v>
      </c>
      <c r="D280" s="6" t="s">
        <v>43</v>
      </c>
      <c r="E280" s="6" t="s">
        <v>45</v>
      </c>
      <c r="F280" s="6" t="s">
        <v>39</v>
      </c>
      <c r="G280" s="6" t="s">
        <v>53</v>
      </c>
      <c r="H280" s="8">
        <v>6397</v>
      </c>
      <c r="I280" s="8">
        <f t="shared" si="18"/>
        <v>959.55</v>
      </c>
      <c r="J280" s="8">
        <f t="shared" si="19"/>
        <v>5437.45</v>
      </c>
      <c r="K280" s="8">
        <v>26767</v>
      </c>
      <c r="L280" s="6">
        <v>6</v>
      </c>
      <c r="M280" s="22" t="str" cm="1">
        <f t="array" ref="M280">_xlfn.IFS(L280&gt;10,"Veteran",L280&gt;=6,"Experienced",L280&gt;=2,"Developing",L280&gt;=0,"New")</f>
        <v>Experienced</v>
      </c>
    </row>
    <row r="281" spans="1:13">
      <c r="A281" s="21" t="str">
        <f t="shared" ca="1" si="16"/>
        <v>Re-Res-2016-280</v>
      </c>
      <c r="B281" s="6">
        <v>50</v>
      </c>
      <c r="C281" s="6" t="str">
        <f t="shared" si="17"/>
        <v>50+</v>
      </c>
      <c r="D281" s="6" t="s">
        <v>43</v>
      </c>
      <c r="E281" s="6" t="s">
        <v>45</v>
      </c>
      <c r="F281" s="6" t="s">
        <v>46</v>
      </c>
      <c r="G281" s="6" t="s">
        <v>58</v>
      </c>
      <c r="H281" s="8">
        <v>19144</v>
      </c>
      <c r="I281" s="8">
        <f t="shared" si="18"/>
        <v>5743.2</v>
      </c>
      <c r="J281" s="8">
        <f t="shared" si="19"/>
        <v>13400.8</v>
      </c>
      <c r="K281" s="8">
        <v>15815</v>
      </c>
      <c r="L281" s="6">
        <v>10</v>
      </c>
      <c r="M281" s="22" t="str" cm="1">
        <f t="array" ref="M281">_xlfn.IFS(L281&gt;10,"Veteran",L281&gt;=6,"Experienced",L281&gt;=2,"Developing",L281&gt;=0,"New")</f>
        <v>Experienced</v>
      </c>
    </row>
    <row r="282" spans="1:13">
      <c r="A282" s="21" t="str">
        <f t="shared" ca="1" si="16"/>
        <v>Re-Res-2021-281</v>
      </c>
      <c r="B282" s="6">
        <v>53</v>
      </c>
      <c r="C282" s="6" t="str">
        <f t="shared" si="17"/>
        <v>50+</v>
      </c>
      <c r="D282" s="6" t="s">
        <v>43</v>
      </c>
      <c r="E282" s="6" t="s">
        <v>45</v>
      </c>
      <c r="F282" s="6" t="s">
        <v>46</v>
      </c>
      <c r="G282" s="6" t="s">
        <v>58</v>
      </c>
      <c r="H282" s="8">
        <v>17584</v>
      </c>
      <c r="I282" s="8">
        <f t="shared" si="18"/>
        <v>5275.2</v>
      </c>
      <c r="J282" s="8">
        <f t="shared" si="19"/>
        <v>12308.8</v>
      </c>
      <c r="K282" s="8">
        <v>21016</v>
      </c>
      <c r="L282" s="6">
        <v>5</v>
      </c>
      <c r="M282" s="22" t="str" cm="1">
        <f t="array" ref="M282">_xlfn.IFS(L282&gt;10,"Veteran",L282&gt;=6,"Experienced",L282&gt;=2,"Developing",L282&gt;=0,"New")</f>
        <v>Developing</v>
      </c>
    </row>
    <row r="283" spans="1:13">
      <c r="A283" s="21" t="str">
        <f t="shared" ca="1" si="16"/>
        <v>Sa-Sal-2006-282</v>
      </c>
      <c r="B283" s="6">
        <v>42</v>
      </c>
      <c r="C283" s="6" t="str">
        <f t="shared" si="17"/>
        <v>40-49</v>
      </c>
      <c r="D283" s="6" t="s">
        <v>43</v>
      </c>
      <c r="E283" s="6" t="s">
        <v>37</v>
      </c>
      <c r="F283" s="6" t="s">
        <v>46</v>
      </c>
      <c r="G283" s="6" t="s">
        <v>40</v>
      </c>
      <c r="H283" s="8">
        <v>4907</v>
      </c>
      <c r="I283" s="8">
        <f t="shared" si="18"/>
        <v>736.05</v>
      </c>
      <c r="J283" s="8">
        <f t="shared" si="19"/>
        <v>4170.95</v>
      </c>
      <c r="K283" s="8">
        <v>24532</v>
      </c>
      <c r="L283" s="6">
        <v>20</v>
      </c>
      <c r="M283" s="22" t="str" cm="1">
        <f t="array" ref="M283">_xlfn.IFS(L283&gt;10,"Veteran",L283&gt;=6,"Experienced",L283&gt;=2,"Developing",L283&gt;=0,"New")</f>
        <v>Veteran</v>
      </c>
    </row>
    <row r="284" spans="1:13">
      <c r="A284" s="21" t="str">
        <f t="shared" ca="1" si="16"/>
        <v>Sa-Sal-2016-283</v>
      </c>
      <c r="B284" s="6">
        <v>29</v>
      </c>
      <c r="C284" s="6" t="str">
        <f t="shared" si="17"/>
        <v>20-29</v>
      </c>
      <c r="D284" s="6" t="s">
        <v>43</v>
      </c>
      <c r="E284" s="6" t="s">
        <v>37</v>
      </c>
      <c r="F284" s="6" t="s">
        <v>46</v>
      </c>
      <c r="G284" s="6" t="s">
        <v>40</v>
      </c>
      <c r="H284" s="8">
        <v>4554</v>
      </c>
      <c r="I284" s="8">
        <f t="shared" si="18"/>
        <v>683.1</v>
      </c>
      <c r="J284" s="8">
        <f t="shared" si="19"/>
        <v>3870.9</v>
      </c>
      <c r="K284" s="8">
        <v>20260</v>
      </c>
      <c r="L284" s="6">
        <v>10</v>
      </c>
      <c r="M284" s="22" t="str" cm="1">
        <f t="array" ref="M284">_xlfn.IFS(L284&gt;10,"Veteran",L284&gt;=6,"Experienced",L284&gt;=2,"Developing",L284&gt;=0,"New")</f>
        <v>Experienced</v>
      </c>
    </row>
    <row r="285" spans="1:13">
      <c r="A285" s="21" t="str">
        <f t="shared" ca="1" si="16"/>
        <v>La-Res-2016-284</v>
      </c>
      <c r="B285" s="6">
        <v>55</v>
      </c>
      <c r="C285" s="6" t="str">
        <f t="shared" si="17"/>
        <v>50+</v>
      </c>
      <c r="D285" s="6" t="s">
        <v>43</v>
      </c>
      <c r="E285" s="6" t="s">
        <v>45</v>
      </c>
      <c r="F285" s="6" t="s">
        <v>46</v>
      </c>
      <c r="G285" s="6" t="s">
        <v>50</v>
      </c>
      <c r="H285" s="8">
        <v>5415</v>
      </c>
      <c r="I285" s="8">
        <f t="shared" si="18"/>
        <v>812.25</v>
      </c>
      <c r="J285" s="8">
        <f t="shared" si="19"/>
        <v>4602.75</v>
      </c>
      <c r="K285" s="8">
        <v>15972</v>
      </c>
      <c r="L285" s="6">
        <v>10</v>
      </c>
      <c r="M285" s="22" t="str" cm="1">
        <f t="array" ref="M285">_xlfn.IFS(L285&gt;10,"Veteran",L285&gt;=6,"Experienced",L285&gt;=2,"Developing",L285&gt;=0,"New")</f>
        <v>Experienced</v>
      </c>
    </row>
    <row r="286" spans="1:13">
      <c r="A286" s="21" t="str">
        <f t="shared" ca="1" si="16"/>
        <v>He-Res-2021-285</v>
      </c>
      <c r="B286" s="6">
        <v>26</v>
      </c>
      <c r="C286" s="6" t="str">
        <f t="shared" si="17"/>
        <v>20-29</v>
      </c>
      <c r="D286" s="6" t="s">
        <v>43</v>
      </c>
      <c r="E286" s="6" t="s">
        <v>45</v>
      </c>
      <c r="F286" s="6" t="s">
        <v>46</v>
      </c>
      <c r="G286" s="6" t="s">
        <v>54</v>
      </c>
      <c r="H286" s="8">
        <v>4741</v>
      </c>
      <c r="I286" s="8">
        <f t="shared" si="18"/>
        <v>711.15</v>
      </c>
      <c r="J286" s="8">
        <f t="shared" si="19"/>
        <v>4029.85</v>
      </c>
      <c r="K286" s="8">
        <v>22722</v>
      </c>
      <c r="L286" s="6">
        <v>5</v>
      </c>
      <c r="M286" s="22" t="str" cm="1">
        <f t="array" ref="M286">_xlfn.IFS(L286&gt;10,"Veteran",L286&gt;=6,"Experienced",L286&gt;=2,"Developing",L286&gt;=0,"New")</f>
        <v>Developing</v>
      </c>
    </row>
    <row r="287" spans="1:13">
      <c r="A287" s="21" t="str">
        <f t="shared" ca="1" si="16"/>
        <v>Re-Res-2009-286</v>
      </c>
      <c r="B287" s="6">
        <v>37</v>
      </c>
      <c r="C287" s="6" t="str">
        <f t="shared" si="17"/>
        <v>30-39</v>
      </c>
      <c r="D287" s="6" t="s">
        <v>43</v>
      </c>
      <c r="E287" s="6" t="s">
        <v>45</v>
      </c>
      <c r="F287" s="6" t="s">
        <v>39</v>
      </c>
      <c r="G287" s="6" t="s">
        <v>47</v>
      </c>
      <c r="H287" s="8">
        <v>2115</v>
      </c>
      <c r="I287" s="8">
        <f t="shared" si="18"/>
        <v>148.05000000000001</v>
      </c>
      <c r="J287" s="8">
        <f t="shared" si="19"/>
        <v>1966.95</v>
      </c>
      <c r="K287" s="8">
        <v>15881</v>
      </c>
      <c r="L287" s="6">
        <v>17</v>
      </c>
      <c r="M287" s="22" t="str" cm="1">
        <f t="array" ref="M287">_xlfn.IFS(L287&gt;10,"Veteran",L287&gt;=6,"Experienced",L287&gt;=2,"Developing",L287&gt;=0,"New")</f>
        <v>Veteran</v>
      </c>
    </row>
    <row r="288" spans="1:13">
      <c r="A288" s="21" t="str">
        <f t="shared" ca="1" si="16"/>
        <v>La-Res-2025-287</v>
      </c>
      <c r="B288" s="6">
        <v>44</v>
      </c>
      <c r="C288" s="6" t="str">
        <f t="shared" si="17"/>
        <v>40-49</v>
      </c>
      <c r="D288" s="6" t="s">
        <v>35</v>
      </c>
      <c r="E288" s="6" t="s">
        <v>45</v>
      </c>
      <c r="F288" s="6" t="s">
        <v>46</v>
      </c>
      <c r="G288" s="6" t="s">
        <v>50</v>
      </c>
      <c r="H288" s="8">
        <v>3161</v>
      </c>
      <c r="I288" s="8">
        <f t="shared" si="18"/>
        <v>474.15</v>
      </c>
      <c r="J288" s="8">
        <f t="shared" si="19"/>
        <v>2686.85</v>
      </c>
      <c r="K288" s="8">
        <v>19920</v>
      </c>
      <c r="L288" s="6">
        <v>1</v>
      </c>
      <c r="M288" s="22" t="str" cm="1">
        <f t="array" ref="M288">_xlfn.IFS(L288&gt;10,"Veteran",L288&gt;=6,"Experienced",L288&gt;=2,"Developing",L288&gt;=0,"New")</f>
        <v>New</v>
      </c>
    </row>
    <row r="289" spans="1:13">
      <c r="A289" s="21" t="str">
        <f t="shared" ca="1" si="16"/>
        <v>He-Res-2024-288</v>
      </c>
      <c r="B289" s="6">
        <v>38</v>
      </c>
      <c r="C289" s="6" t="str">
        <f t="shared" si="17"/>
        <v>30-39</v>
      </c>
      <c r="D289" s="6" t="s">
        <v>43</v>
      </c>
      <c r="E289" s="6" t="s">
        <v>45</v>
      </c>
      <c r="F289" s="6" t="s">
        <v>46</v>
      </c>
      <c r="G289" s="6" t="s">
        <v>54</v>
      </c>
      <c r="H289" s="8">
        <v>5745</v>
      </c>
      <c r="I289" s="8">
        <f t="shared" si="18"/>
        <v>861.75</v>
      </c>
      <c r="J289" s="8">
        <f t="shared" si="19"/>
        <v>4883.25</v>
      </c>
      <c r="K289" s="8">
        <v>18899</v>
      </c>
      <c r="L289" s="6">
        <v>2</v>
      </c>
      <c r="M289" s="22" t="str" cm="1">
        <f t="array" ref="M289">_xlfn.IFS(L289&gt;10,"Veteran",L289&gt;=6,"Experienced",L289&gt;=2,"Developing",L289&gt;=0,"New")</f>
        <v>Developing</v>
      </c>
    </row>
    <row r="290" spans="1:13">
      <c r="A290" s="21" t="str">
        <f t="shared" ca="1" si="16"/>
        <v>La-Res-2023-289</v>
      </c>
      <c r="B290" s="6">
        <v>26</v>
      </c>
      <c r="C290" s="6" t="str">
        <f t="shared" si="17"/>
        <v>20-29</v>
      </c>
      <c r="D290" s="6" t="s">
        <v>35</v>
      </c>
      <c r="E290" s="6" t="s">
        <v>45</v>
      </c>
      <c r="F290" s="6" t="s">
        <v>46</v>
      </c>
      <c r="G290" s="6" t="s">
        <v>50</v>
      </c>
      <c r="H290" s="8">
        <v>2373</v>
      </c>
      <c r="I290" s="8">
        <f t="shared" si="18"/>
        <v>166.11</v>
      </c>
      <c r="J290" s="8">
        <f t="shared" si="19"/>
        <v>2206.89</v>
      </c>
      <c r="K290" s="8">
        <v>14180</v>
      </c>
      <c r="L290" s="6">
        <v>3</v>
      </c>
      <c r="M290" s="22" t="str" cm="1">
        <f t="array" ref="M290">_xlfn.IFS(L290&gt;10,"Veteran",L290&gt;=6,"Experienced",L290&gt;=2,"Developing",L290&gt;=0,"New")</f>
        <v>Developing</v>
      </c>
    </row>
    <row r="291" spans="1:13">
      <c r="A291" s="21" t="str">
        <f t="shared" ca="1" si="16"/>
        <v>Re-Res-2021-290</v>
      </c>
      <c r="B291" s="6">
        <v>28</v>
      </c>
      <c r="C291" s="6" t="str">
        <f t="shared" si="17"/>
        <v>20-29</v>
      </c>
      <c r="D291" s="6" t="s">
        <v>43</v>
      </c>
      <c r="E291" s="6" t="s">
        <v>45</v>
      </c>
      <c r="F291" s="6" t="s">
        <v>39</v>
      </c>
      <c r="G291" s="6" t="s">
        <v>47</v>
      </c>
      <c r="H291" s="8">
        <v>3310</v>
      </c>
      <c r="I291" s="8">
        <f t="shared" si="18"/>
        <v>496.5</v>
      </c>
      <c r="J291" s="8">
        <f t="shared" si="19"/>
        <v>2813.5</v>
      </c>
      <c r="K291" s="8">
        <v>4488</v>
      </c>
      <c r="L291" s="6">
        <v>5</v>
      </c>
      <c r="M291" s="22" t="str" cm="1">
        <f t="array" ref="M291">_xlfn.IFS(L291&gt;10,"Veteran",L291&gt;=6,"Experienced",L291&gt;=2,"Developing",L291&gt;=0,"New")</f>
        <v>Developing</v>
      </c>
    </row>
    <row r="292" spans="1:13">
      <c r="A292" s="21" t="str">
        <f t="shared" ca="1" si="16"/>
        <v>Re-Res-2023-291</v>
      </c>
      <c r="B292" s="6">
        <v>49</v>
      </c>
      <c r="C292" s="6" t="str">
        <f t="shared" si="17"/>
        <v>40-49</v>
      </c>
      <c r="D292" s="6" t="s">
        <v>43</v>
      </c>
      <c r="E292" s="6" t="s">
        <v>45</v>
      </c>
      <c r="F292" s="6" t="s">
        <v>39</v>
      </c>
      <c r="G292" s="6" t="s">
        <v>58</v>
      </c>
      <c r="H292" s="8">
        <v>18665</v>
      </c>
      <c r="I292" s="8">
        <f t="shared" si="18"/>
        <v>5599.5</v>
      </c>
      <c r="J292" s="8">
        <f t="shared" si="19"/>
        <v>13065.5</v>
      </c>
      <c r="K292" s="8">
        <v>25594</v>
      </c>
      <c r="L292" s="6">
        <v>3</v>
      </c>
      <c r="M292" s="22" t="str" cm="1">
        <f t="array" ref="M292">_xlfn.IFS(L292&gt;10,"Veteran",L292&gt;=6,"Experienced",L292&gt;=2,"Developing",L292&gt;=0,"New")</f>
        <v>Developing</v>
      </c>
    </row>
    <row r="293" spans="1:13">
      <c r="A293" s="21" t="str">
        <f t="shared" ca="1" si="16"/>
        <v>Re-Res-2018-292</v>
      </c>
      <c r="B293" s="6">
        <v>36</v>
      </c>
      <c r="C293" s="6" t="str">
        <f t="shared" si="17"/>
        <v>30-39</v>
      </c>
      <c r="D293" s="6" t="s">
        <v>43</v>
      </c>
      <c r="E293" s="6" t="s">
        <v>45</v>
      </c>
      <c r="F293" s="6" t="s">
        <v>46</v>
      </c>
      <c r="G293" s="6" t="s">
        <v>47</v>
      </c>
      <c r="H293" s="8">
        <v>4485</v>
      </c>
      <c r="I293" s="8">
        <f t="shared" si="18"/>
        <v>672.75</v>
      </c>
      <c r="J293" s="8">
        <f t="shared" si="19"/>
        <v>3812.25</v>
      </c>
      <c r="K293" s="8">
        <v>26285</v>
      </c>
      <c r="L293" s="6">
        <v>8</v>
      </c>
      <c r="M293" s="22" t="str" cm="1">
        <f t="array" ref="M293">_xlfn.IFS(L293&gt;10,"Veteran",L293&gt;=6,"Experienced",L293&gt;=2,"Developing",L293&gt;=0,"New")</f>
        <v>Experienced</v>
      </c>
    </row>
    <row r="294" spans="1:13">
      <c r="A294" s="21" t="str">
        <f t="shared" ca="1" si="16"/>
        <v>Sa-Sal-2024-293</v>
      </c>
      <c r="B294" s="6">
        <v>31</v>
      </c>
      <c r="C294" s="6" t="str">
        <f t="shared" si="17"/>
        <v>30-39</v>
      </c>
      <c r="D294" s="6" t="s">
        <v>43</v>
      </c>
      <c r="E294" s="6" t="s">
        <v>37</v>
      </c>
      <c r="F294" s="6" t="s">
        <v>39</v>
      </c>
      <c r="G294" s="6" t="s">
        <v>57</v>
      </c>
      <c r="H294" s="8">
        <v>2789</v>
      </c>
      <c r="I294" s="8">
        <f t="shared" si="18"/>
        <v>195.23000000000002</v>
      </c>
      <c r="J294" s="8">
        <f t="shared" si="19"/>
        <v>2593.77</v>
      </c>
      <c r="K294" s="8">
        <v>3909</v>
      </c>
      <c r="L294" s="6">
        <v>2</v>
      </c>
      <c r="M294" s="22" t="str" cm="1">
        <f t="array" ref="M294">_xlfn.IFS(L294&gt;10,"Veteran",L294&gt;=6,"Experienced",L294&gt;=2,"Developing",L294&gt;=0,"New")</f>
        <v>Developing</v>
      </c>
    </row>
    <row r="295" spans="1:13">
      <c r="A295" s="21" t="str">
        <f t="shared" ca="1" si="16"/>
        <v>Sa-Sal-2018-294</v>
      </c>
      <c r="B295" s="6">
        <v>26</v>
      </c>
      <c r="C295" s="6" t="str">
        <f t="shared" si="17"/>
        <v>20-29</v>
      </c>
      <c r="D295" s="6" t="s">
        <v>35</v>
      </c>
      <c r="E295" s="6" t="s">
        <v>37</v>
      </c>
      <c r="F295" s="6" t="s">
        <v>46</v>
      </c>
      <c r="G295" s="6" t="s">
        <v>40</v>
      </c>
      <c r="H295" s="8">
        <v>5828</v>
      </c>
      <c r="I295" s="8">
        <f t="shared" si="18"/>
        <v>874.19999999999993</v>
      </c>
      <c r="J295" s="8">
        <f t="shared" si="19"/>
        <v>4953.8</v>
      </c>
      <c r="K295" s="8">
        <v>8450</v>
      </c>
      <c r="L295" s="6">
        <v>8</v>
      </c>
      <c r="M295" s="22" t="str" cm="1">
        <f t="array" ref="M295">_xlfn.IFS(L295&gt;10,"Veteran",L295&gt;=6,"Experienced",L295&gt;=2,"Developing",L295&gt;=0,"New")</f>
        <v>Experienced</v>
      </c>
    </row>
    <row r="296" spans="1:13">
      <c r="A296" s="21" t="str">
        <f t="shared" ca="1" si="16"/>
        <v>Re-Res-2022-295</v>
      </c>
      <c r="B296" s="6">
        <v>37</v>
      </c>
      <c r="C296" s="6" t="str">
        <f t="shared" si="17"/>
        <v>30-39</v>
      </c>
      <c r="D296" s="6" t="s">
        <v>43</v>
      </c>
      <c r="E296" s="6" t="s">
        <v>45</v>
      </c>
      <c r="F296" s="6" t="s">
        <v>46</v>
      </c>
      <c r="G296" s="6" t="s">
        <v>47</v>
      </c>
      <c r="H296" s="8">
        <v>2326</v>
      </c>
      <c r="I296" s="8">
        <f t="shared" si="18"/>
        <v>162.82000000000002</v>
      </c>
      <c r="J296" s="8">
        <f t="shared" si="19"/>
        <v>2163.1799999999998</v>
      </c>
      <c r="K296" s="8">
        <v>11411</v>
      </c>
      <c r="L296" s="6">
        <v>4</v>
      </c>
      <c r="M296" s="22" t="str" cm="1">
        <f t="array" ref="M296">_xlfn.IFS(L296&gt;10,"Veteran",L296&gt;=6,"Experienced",L296&gt;=2,"Developing",L296&gt;=0,"New")</f>
        <v>Developing</v>
      </c>
    </row>
    <row r="297" spans="1:13">
      <c r="A297" s="21" t="str">
        <f t="shared" ca="1" si="16"/>
        <v>Sa-Sal-2006-296</v>
      </c>
      <c r="B297" s="6">
        <v>42</v>
      </c>
      <c r="C297" s="6" t="str">
        <f t="shared" si="17"/>
        <v>40-49</v>
      </c>
      <c r="D297" s="6" t="s">
        <v>43</v>
      </c>
      <c r="E297" s="6" t="s">
        <v>37</v>
      </c>
      <c r="F297" s="6" t="s">
        <v>39</v>
      </c>
      <c r="G297" s="6" t="s">
        <v>40</v>
      </c>
      <c r="H297" s="8">
        <v>13525</v>
      </c>
      <c r="I297" s="8">
        <f t="shared" si="18"/>
        <v>4057.5</v>
      </c>
      <c r="J297" s="8">
        <f t="shared" si="19"/>
        <v>9467.5</v>
      </c>
      <c r="K297" s="8">
        <v>14864</v>
      </c>
      <c r="L297" s="6">
        <v>20</v>
      </c>
      <c r="M297" s="22" t="str" cm="1">
        <f t="array" ref="M297">_xlfn.IFS(L297&gt;10,"Veteran",L297&gt;=6,"Experienced",L297&gt;=2,"Developing",L297&gt;=0,"New")</f>
        <v>Veteran</v>
      </c>
    </row>
    <row r="298" spans="1:13">
      <c r="A298" s="21" t="str">
        <f t="shared" ca="1" si="16"/>
        <v>La-Res-2026-297</v>
      </c>
      <c r="B298" s="6">
        <v>18</v>
      </c>
      <c r="C298" s="6" t="str">
        <f t="shared" si="17"/>
        <v>20-29</v>
      </c>
      <c r="D298" s="6" t="s">
        <v>35</v>
      </c>
      <c r="E298" s="6" t="s">
        <v>45</v>
      </c>
      <c r="F298" s="6" t="s">
        <v>46</v>
      </c>
      <c r="G298" s="6" t="s">
        <v>50</v>
      </c>
      <c r="H298" s="8">
        <v>1420</v>
      </c>
      <c r="I298" s="8">
        <f t="shared" si="18"/>
        <v>99.4</v>
      </c>
      <c r="J298" s="8">
        <f t="shared" si="19"/>
        <v>1320.6</v>
      </c>
      <c r="K298" s="8">
        <v>25233</v>
      </c>
      <c r="L298" s="6">
        <v>0</v>
      </c>
      <c r="M298" s="22" t="str" cm="1">
        <f t="array" ref="M298">_xlfn.IFS(L298&gt;10,"Veteran",L298&gt;=6,"Experienced",L298&gt;=2,"Developing",L298&gt;=0,"New")</f>
        <v>New</v>
      </c>
    </row>
    <row r="299" spans="1:13">
      <c r="A299" s="21" t="str">
        <f t="shared" ca="1" si="16"/>
        <v>Sa-Sal-2015-298</v>
      </c>
      <c r="B299" s="6">
        <v>35</v>
      </c>
      <c r="C299" s="6" t="str">
        <f t="shared" si="17"/>
        <v>30-39</v>
      </c>
      <c r="D299" s="6" t="s">
        <v>43</v>
      </c>
      <c r="E299" s="6" t="s">
        <v>37</v>
      </c>
      <c r="F299" s="6" t="s">
        <v>46</v>
      </c>
      <c r="G299" s="6" t="s">
        <v>40</v>
      </c>
      <c r="H299" s="8">
        <v>8020</v>
      </c>
      <c r="I299" s="8">
        <f t="shared" si="18"/>
        <v>1764.4</v>
      </c>
      <c r="J299" s="8">
        <f t="shared" si="19"/>
        <v>6255.6</v>
      </c>
      <c r="K299" s="8">
        <v>5100</v>
      </c>
      <c r="L299" s="6">
        <v>11</v>
      </c>
      <c r="M299" s="22" t="str" cm="1">
        <f t="array" ref="M299">_xlfn.IFS(L299&gt;10,"Veteran",L299&gt;=6,"Experienced",L299&gt;=2,"Developing",L299&gt;=0,"New")</f>
        <v>Veteran</v>
      </c>
    </row>
    <row r="300" spans="1:13">
      <c r="A300" s="21" t="str">
        <f t="shared" ca="1" si="16"/>
        <v>La-Res-2025-299</v>
      </c>
      <c r="B300" s="6">
        <v>36</v>
      </c>
      <c r="C300" s="6" t="str">
        <f t="shared" si="17"/>
        <v>30-39</v>
      </c>
      <c r="D300" s="6" t="s">
        <v>43</v>
      </c>
      <c r="E300" s="6" t="s">
        <v>45</v>
      </c>
      <c r="F300" s="6" t="s">
        <v>46</v>
      </c>
      <c r="G300" s="6" t="s">
        <v>50</v>
      </c>
      <c r="H300" s="8">
        <v>3688</v>
      </c>
      <c r="I300" s="8">
        <f t="shared" si="18"/>
        <v>553.19999999999993</v>
      </c>
      <c r="J300" s="8">
        <f t="shared" si="19"/>
        <v>3134.8</v>
      </c>
      <c r="K300" s="8">
        <v>7122</v>
      </c>
      <c r="L300" s="6">
        <v>1</v>
      </c>
      <c r="M300" s="22" t="str" cm="1">
        <f t="array" ref="M300">_xlfn.IFS(L300&gt;10,"Veteran",L300&gt;=6,"Experienced",L300&gt;=2,"Developing",L300&gt;=0,"New")</f>
        <v>New</v>
      </c>
    </row>
    <row r="301" spans="1:13">
      <c r="A301" s="21" t="str">
        <f t="shared" ca="1" si="16"/>
        <v>Ma-Res-2022-300</v>
      </c>
      <c r="B301" s="6">
        <v>51</v>
      </c>
      <c r="C301" s="6" t="str">
        <f t="shared" si="17"/>
        <v>50+</v>
      </c>
      <c r="D301" s="6" t="s">
        <v>43</v>
      </c>
      <c r="E301" s="6" t="s">
        <v>45</v>
      </c>
      <c r="F301" s="6" t="s">
        <v>46</v>
      </c>
      <c r="G301" s="6" t="s">
        <v>53</v>
      </c>
      <c r="H301" s="8">
        <v>5482</v>
      </c>
      <c r="I301" s="8">
        <f t="shared" si="18"/>
        <v>822.3</v>
      </c>
      <c r="J301" s="8">
        <f t="shared" si="19"/>
        <v>4659.7</v>
      </c>
      <c r="K301" s="8">
        <v>16321</v>
      </c>
      <c r="L301" s="6">
        <v>4</v>
      </c>
      <c r="M301" s="22" t="str" cm="1">
        <f t="array" ref="M301">_xlfn.IFS(L301&gt;10,"Veteran",L301&gt;=6,"Experienced",L301&gt;=2,"Developing",L301&gt;=0,"New")</f>
        <v>Developing</v>
      </c>
    </row>
    <row r="302" spans="1:13">
      <c r="A302" s="21" t="str">
        <f t="shared" ca="1" si="16"/>
        <v>Ma-Sal-2004-301</v>
      </c>
      <c r="B302" s="6">
        <v>41</v>
      </c>
      <c r="C302" s="6" t="str">
        <f t="shared" si="17"/>
        <v>40-49</v>
      </c>
      <c r="D302" s="6" t="s">
        <v>43</v>
      </c>
      <c r="E302" s="6" t="s">
        <v>37</v>
      </c>
      <c r="F302" s="6" t="s">
        <v>46</v>
      </c>
      <c r="G302" s="6" t="s">
        <v>56</v>
      </c>
      <c r="H302" s="8">
        <v>16015</v>
      </c>
      <c r="I302" s="8">
        <f t="shared" si="18"/>
        <v>4804.5</v>
      </c>
      <c r="J302" s="8">
        <f t="shared" si="19"/>
        <v>11210.5</v>
      </c>
      <c r="K302" s="8">
        <v>15896</v>
      </c>
      <c r="L302" s="6">
        <v>22</v>
      </c>
      <c r="M302" s="22" t="str" cm="1">
        <f t="array" ref="M302">_xlfn.IFS(L302&gt;10,"Veteran",L302&gt;=6,"Experienced",L302&gt;=2,"Developing",L302&gt;=0,"New")</f>
        <v>Veteran</v>
      </c>
    </row>
    <row r="303" spans="1:13">
      <c r="A303" s="21" t="str">
        <f t="shared" ca="1" si="16"/>
        <v>Sa-Sal-2026-302</v>
      </c>
      <c r="B303" s="6">
        <v>18</v>
      </c>
      <c r="C303" s="6" t="str">
        <f t="shared" si="17"/>
        <v>20-29</v>
      </c>
      <c r="D303" s="6" t="s">
        <v>43</v>
      </c>
      <c r="E303" s="6" t="s">
        <v>37</v>
      </c>
      <c r="F303" s="6" t="s">
        <v>39</v>
      </c>
      <c r="G303" s="6" t="s">
        <v>57</v>
      </c>
      <c r="H303" s="8">
        <v>1200</v>
      </c>
      <c r="I303" s="8">
        <f t="shared" si="18"/>
        <v>84.000000000000014</v>
      </c>
      <c r="J303" s="8">
        <f t="shared" si="19"/>
        <v>1116</v>
      </c>
      <c r="K303" s="8">
        <v>9724</v>
      </c>
      <c r="L303" s="6">
        <v>0</v>
      </c>
      <c r="M303" s="22" t="str" cm="1">
        <f t="array" ref="M303">_xlfn.IFS(L303&gt;10,"Veteran",L303&gt;=6,"Experienced",L303&gt;=2,"Developing",L303&gt;=0,"New")</f>
        <v>New</v>
      </c>
    </row>
    <row r="304" spans="1:13">
      <c r="A304" s="21" t="str">
        <f t="shared" ca="1" si="16"/>
        <v>He-Res-2018-303</v>
      </c>
      <c r="B304" s="6">
        <v>28</v>
      </c>
      <c r="C304" s="6" t="str">
        <f t="shared" si="17"/>
        <v>20-29</v>
      </c>
      <c r="D304" s="6" t="s">
        <v>43</v>
      </c>
      <c r="E304" s="6" t="s">
        <v>45</v>
      </c>
      <c r="F304" s="6" t="s">
        <v>46</v>
      </c>
      <c r="G304" s="6" t="s">
        <v>54</v>
      </c>
      <c r="H304" s="8">
        <v>5661</v>
      </c>
      <c r="I304" s="8">
        <f t="shared" si="18"/>
        <v>849.15</v>
      </c>
      <c r="J304" s="8">
        <f t="shared" si="19"/>
        <v>4811.8500000000004</v>
      </c>
      <c r="K304" s="8">
        <v>4824</v>
      </c>
      <c r="L304" s="6">
        <v>8</v>
      </c>
      <c r="M304" s="22" t="str" cm="1">
        <f t="array" ref="M304">_xlfn.IFS(L304&gt;10,"Veteran",L304&gt;=6,"Experienced",L304&gt;=2,"Developing",L304&gt;=0,"New")</f>
        <v>Experienced</v>
      </c>
    </row>
    <row r="305" spans="1:13">
      <c r="A305" s="21" t="str">
        <f t="shared" ca="1" si="16"/>
        <v>Sa-Sal-2018-304</v>
      </c>
      <c r="B305" s="6">
        <v>31</v>
      </c>
      <c r="C305" s="6" t="str">
        <f t="shared" si="17"/>
        <v>30-39</v>
      </c>
      <c r="D305" s="6" t="s">
        <v>43</v>
      </c>
      <c r="E305" s="6" t="s">
        <v>37</v>
      </c>
      <c r="F305" s="6" t="s">
        <v>46</v>
      </c>
      <c r="G305" s="6" t="s">
        <v>40</v>
      </c>
      <c r="H305" s="8">
        <v>6929</v>
      </c>
      <c r="I305" s="8">
        <f t="shared" si="18"/>
        <v>1039.3499999999999</v>
      </c>
      <c r="J305" s="8">
        <f t="shared" si="19"/>
        <v>5889.65</v>
      </c>
      <c r="K305" s="8">
        <v>12241</v>
      </c>
      <c r="L305" s="6">
        <v>8</v>
      </c>
      <c r="M305" s="22" t="str" cm="1">
        <f t="array" ref="M305">_xlfn.IFS(L305&gt;10,"Veteran",L305&gt;=6,"Experienced",L305&gt;=2,"Developing",L305&gt;=0,"New")</f>
        <v>Experienced</v>
      </c>
    </row>
    <row r="306" spans="1:13">
      <c r="A306" s="21" t="str">
        <f t="shared" ca="1" si="16"/>
        <v>He-Res-2008-305</v>
      </c>
      <c r="B306" s="6">
        <v>39</v>
      </c>
      <c r="C306" s="6" t="str">
        <f t="shared" si="17"/>
        <v>30-39</v>
      </c>
      <c r="D306" s="6" t="s">
        <v>43</v>
      </c>
      <c r="E306" s="6" t="s">
        <v>45</v>
      </c>
      <c r="F306" s="6" t="s">
        <v>46</v>
      </c>
      <c r="G306" s="6" t="s">
        <v>54</v>
      </c>
      <c r="H306" s="8">
        <v>9613</v>
      </c>
      <c r="I306" s="8">
        <f t="shared" si="18"/>
        <v>2114.86</v>
      </c>
      <c r="J306" s="8">
        <f t="shared" si="19"/>
        <v>7498.1399999999994</v>
      </c>
      <c r="K306" s="8">
        <v>10942</v>
      </c>
      <c r="L306" s="6">
        <v>18</v>
      </c>
      <c r="M306" s="22" t="str" cm="1">
        <f t="array" ref="M306">_xlfn.IFS(L306&gt;10,"Veteran",L306&gt;=6,"Experienced",L306&gt;=2,"Developing",L306&gt;=0,"New")</f>
        <v>Veteran</v>
      </c>
    </row>
    <row r="307" spans="1:13">
      <c r="A307" s="21" t="str">
        <f t="shared" ca="1" si="16"/>
        <v>La-Res-2017-306</v>
      </c>
      <c r="B307" s="6">
        <v>36</v>
      </c>
      <c r="C307" s="6" t="str">
        <f t="shared" si="17"/>
        <v>30-39</v>
      </c>
      <c r="D307" s="6" t="s">
        <v>43</v>
      </c>
      <c r="E307" s="6" t="s">
        <v>45</v>
      </c>
      <c r="F307" s="6" t="s">
        <v>39</v>
      </c>
      <c r="G307" s="6" t="s">
        <v>50</v>
      </c>
      <c r="H307" s="8">
        <v>5674</v>
      </c>
      <c r="I307" s="8">
        <f t="shared" si="18"/>
        <v>851.1</v>
      </c>
      <c r="J307" s="8">
        <f t="shared" si="19"/>
        <v>4822.8999999999996</v>
      </c>
      <c r="K307" s="8">
        <v>6927</v>
      </c>
      <c r="L307" s="6">
        <v>9</v>
      </c>
      <c r="M307" s="22" t="str" cm="1">
        <f t="array" ref="M307">_xlfn.IFS(L307&gt;10,"Veteran",L307&gt;=6,"Experienced",L307&gt;=2,"Developing",L307&gt;=0,"New")</f>
        <v>Experienced</v>
      </c>
    </row>
    <row r="308" spans="1:13">
      <c r="A308" s="21" t="str">
        <f t="shared" ca="1" si="16"/>
        <v>Sa-Sal-2013-307</v>
      </c>
      <c r="B308" s="6">
        <v>32</v>
      </c>
      <c r="C308" s="6" t="str">
        <f t="shared" si="17"/>
        <v>30-39</v>
      </c>
      <c r="D308" s="6" t="s">
        <v>43</v>
      </c>
      <c r="E308" s="6" t="s">
        <v>37</v>
      </c>
      <c r="F308" s="6" t="s">
        <v>46</v>
      </c>
      <c r="G308" s="6" t="s">
        <v>40</v>
      </c>
      <c r="H308" s="8">
        <v>5484</v>
      </c>
      <c r="I308" s="8">
        <f t="shared" si="18"/>
        <v>822.6</v>
      </c>
      <c r="J308" s="8">
        <f t="shared" si="19"/>
        <v>4661.3999999999996</v>
      </c>
      <c r="K308" s="8">
        <v>16985</v>
      </c>
      <c r="L308" s="6">
        <v>13</v>
      </c>
      <c r="M308" s="22" t="str" cm="1">
        <f t="array" ref="M308">_xlfn.IFS(L308&gt;10,"Veteran",L308&gt;=6,"Experienced",L308&gt;=2,"Developing",L308&gt;=0,"New")</f>
        <v>Veteran</v>
      </c>
    </row>
    <row r="309" spans="1:13">
      <c r="A309" s="21" t="str">
        <f t="shared" ca="1" si="16"/>
        <v>Re-Res-2016-308</v>
      </c>
      <c r="B309" s="6">
        <v>38</v>
      </c>
      <c r="C309" s="6" t="str">
        <f t="shared" si="17"/>
        <v>30-39</v>
      </c>
      <c r="D309" s="6" t="s">
        <v>43</v>
      </c>
      <c r="E309" s="6" t="s">
        <v>45</v>
      </c>
      <c r="F309" s="6" t="s">
        <v>39</v>
      </c>
      <c r="G309" s="6" t="s">
        <v>58</v>
      </c>
      <c r="H309" s="8">
        <v>12061</v>
      </c>
      <c r="I309" s="8">
        <f t="shared" si="18"/>
        <v>2653.42</v>
      </c>
      <c r="J309" s="8">
        <f t="shared" si="19"/>
        <v>9407.58</v>
      </c>
      <c r="K309" s="8">
        <v>26707</v>
      </c>
      <c r="L309" s="6">
        <v>10</v>
      </c>
      <c r="M309" s="22" t="str" cm="1">
        <f t="array" ref="M309">_xlfn.IFS(L309&gt;10,"Veteran",L309&gt;=6,"Experienced",L309&gt;=2,"Developing",L309&gt;=0,"New")</f>
        <v>Experienced</v>
      </c>
    </row>
    <row r="310" spans="1:13">
      <c r="A310" s="21" t="str">
        <f t="shared" ca="1" si="16"/>
        <v>He-Res-2021-309</v>
      </c>
      <c r="B310" s="6">
        <v>58</v>
      </c>
      <c r="C310" s="6" t="str">
        <f t="shared" si="17"/>
        <v>50+</v>
      </c>
      <c r="D310" s="6" t="s">
        <v>43</v>
      </c>
      <c r="E310" s="6" t="s">
        <v>45</v>
      </c>
      <c r="F310" s="6" t="s">
        <v>46</v>
      </c>
      <c r="G310" s="6" t="s">
        <v>54</v>
      </c>
      <c r="H310" s="8">
        <v>5660</v>
      </c>
      <c r="I310" s="8">
        <f t="shared" si="18"/>
        <v>849</v>
      </c>
      <c r="J310" s="8">
        <f t="shared" si="19"/>
        <v>4811</v>
      </c>
      <c r="K310" s="8">
        <v>17056</v>
      </c>
      <c r="L310" s="6">
        <v>5</v>
      </c>
      <c r="M310" s="22" t="str" cm="1">
        <f t="array" ref="M310">_xlfn.IFS(L310&gt;10,"Veteran",L310&gt;=6,"Experienced",L310&gt;=2,"Developing",L310&gt;=0,"New")</f>
        <v>Developing</v>
      </c>
    </row>
    <row r="311" spans="1:13">
      <c r="A311" s="21" t="str">
        <f t="shared" ca="1" si="16"/>
        <v>Re-Res-2021-310</v>
      </c>
      <c r="B311" s="6">
        <v>31</v>
      </c>
      <c r="C311" s="6" t="str">
        <f t="shared" si="17"/>
        <v>30-39</v>
      </c>
      <c r="D311" s="6" t="s">
        <v>43</v>
      </c>
      <c r="E311" s="6" t="s">
        <v>45</v>
      </c>
      <c r="F311" s="6" t="s">
        <v>46</v>
      </c>
      <c r="G311" s="6" t="s">
        <v>47</v>
      </c>
      <c r="H311" s="8">
        <v>4821</v>
      </c>
      <c r="I311" s="8">
        <f t="shared" si="18"/>
        <v>723.15</v>
      </c>
      <c r="J311" s="8">
        <f t="shared" si="19"/>
        <v>4097.8500000000004</v>
      </c>
      <c r="K311" s="8">
        <v>10077</v>
      </c>
      <c r="L311" s="6">
        <v>5</v>
      </c>
      <c r="M311" s="22" t="str" cm="1">
        <f t="array" ref="M311">_xlfn.IFS(L311&gt;10,"Veteran",L311&gt;=6,"Experienced",L311&gt;=2,"Developing",L311&gt;=0,"New")</f>
        <v>Developing</v>
      </c>
    </row>
    <row r="312" spans="1:13">
      <c r="A312" s="21" t="str">
        <f t="shared" ca="1" si="16"/>
        <v>Hu-Hum-2024-311</v>
      </c>
      <c r="B312" s="6">
        <v>31</v>
      </c>
      <c r="C312" s="6" t="str">
        <f t="shared" si="17"/>
        <v>30-39</v>
      </c>
      <c r="D312" s="6" t="s">
        <v>43</v>
      </c>
      <c r="E312" s="6" t="s">
        <v>61</v>
      </c>
      <c r="F312" s="6" t="s">
        <v>46</v>
      </c>
      <c r="G312" s="6" t="s">
        <v>61</v>
      </c>
      <c r="H312" s="8">
        <v>6410</v>
      </c>
      <c r="I312" s="8">
        <f t="shared" si="18"/>
        <v>961.5</v>
      </c>
      <c r="J312" s="8">
        <f t="shared" si="19"/>
        <v>5448.5</v>
      </c>
      <c r="K312" s="8">
        <v>17822</v>
      </c>
      <c r="L312" s="6">
        <v>2</v>
      </c>
      <c r="M312" s="22" t="str" cm="1">
        <f t="array" ref="M312">_xlfn.IFS(L312&gt;10,"Veteran",L312&gt;=6,"Experienced",L312&gt;=2,"Developing",L312&gt;=0,"New")</f>
        <v>Developing</v>
      </c>
    </row>
    <row r="313" spans="1:13">
      <c r="A313" s="21" t="str">
        <f t="shared" ca="1" si="16"/>
        <v>La-Res-2002-312</v>
      </c>
      <c r="B313" s="6">
        <v>45</v>
      </c>
      <c r="C313" s="6" t="str">
        <f t="shared" si="17"/>
        <v>40-49</v>
      </c>
      <c r="D313" s="6" t="s">
        <v>43</v>
      </c>
      <c r="E313" s="6" t="s">
        <v>45</v>
      </c>
      <c r="F313" s="6" t="s">
        <v>46</v>
      </c>
      <c r="G313" s="6" t="s">
        <v>50</v>
      </c>
      <c r="H313" s="8">
        <v>5210</v>
      </c>
      <c r="I313" s="8">
        <f t="shared" si="18"/>
        <v>781.5</v>
      </c>
      <c r="J313" s="8">
        <f t="shared" si="19"/>
        <v>4428.5</v>
      </c>
      <c r="K313" s="8">
        <v>20308</v>
      </c>
      <c r="L313" s="6">
        <v>24</v>
      </c>
      <c r="M313" s="22" t="str" cm="1">
        <f t="array" ref="M313">_xlfn.IFS(L313&gt;10,"Veteran",L313&gt;=6,"Experienced",L313&gt;=2,"Developing",L313&gt;=0,"New")</f>
        <v>Veteran</v>
      </c>
    </row>
    <row r="314" spans="1:13">
      <c r="A314" s="21" t="str">
        <f t="shared" ca="1" si="16"/>
        <v>Re-Res-2024-313</v>
      </c>
      <c r="B314" s="6">
        <v>31</v>
      </c>
      <c r="C314" s="6" t="str">
        <f t="shared" si="17"/>
        <v>30-39</v>
      </c>
      <c r="D314" s="6" t="s">
        <v>43</v>
      </c>
      <c r="E314" s="6" t="s">
        <v>45</v>
      </c>
      <c r="F314" s="6" t="s">
        <v>46</v>
      </c>
      <c r="G314" s="6" t="s">
        <v>47</v>
      </c>
      <c r="H314" s="8">
        <v>2695</v>
      </c>
      <c r="I314" s="8">
        <f t="shared" si="18"/>
        <v>188.65</v>
      </c>
      <c r="J314" s="8">
        <f t="shared" si="19"/>
        <v>2506.35</v>
      </c>
      <c r="K314" s="8">
        <v>7747</v>
      </c>
      <c r="L314" s="6">
        <v>2</v>
      </c>
      <c r="M314" s="22" t="str" cm="1">
        <f t="array" ref="M314">_xlfn.IFS(L314&gt;10,"Veteran",L314&gt;=6,"Experienced",L314&gt;=2,"Developing",L314&gt;=0,"New")</f>
        <v>Developing</v>
      </c>
    </row>
    <row r="315" spans="1:13">
      <c r="A315" s="21" t="str">
        <f t="shared" ca="1" si="16"/>
        <v>Ma-Res-2016-314</v>
      </c>
      <c r="B315" s="6">
        <v>33</v>
      </c>
      <c r="C315" s="6" t="str">
        <f t="shared" si="17"/>
        <v>30-39</v>
      </c>
      <c r="D315" s="6" t="s">
        <v>43</v>
      </c>
      <c r="E315" s="6" t="s">
        <v>45</v>
      </c>
      <c r="F315" s="6" t="s">
        <v>39</v>
      </c>
      <c r="G315" s="6" t="s">
        <v>56</v>
      </c>
      <c r="H315" s="8">
        <v>11878</v>
      </c>
      <c r="I315" s="8">
        <f t="shared" si="18"/>
        <v>2613.16</v>
      </c>
      <c r="J315" s="8">
        <f t="shared" si="19"/>
        <v>9264.84</v>
      </c>
      <c r="K315" s="8">
        <v>23364</v>
      </c>
      <c r="L315" s="6">
        <v>10</v>
      </c>
      <c r="M315" s="22" t="str" cm="1">
        <f t="array" ref="M315">_xlfn.IFS(L315&gt;10,"Veteran",L315&gt;=6,"Experienced",L315&gt;=2,"Developing",L315&gt;=0,"New")</f>
        <v>Experienced</v>
      </c>
    </row>
    <row r="316" spans="1:13">
      <c r="A316" s="21" t="str">
        <f t="shared" ca="1" si="16"/>
        <v>Ma-Res-2005-315</v>
      </c>
      <c r="B316" s="6">
        <v>39</v>
      </c>
      <c r="C316" s="6" t="str">
        <f t="shared" si="17"/>
        <v>30-39</v>
      </c>
      <c r="D316" s="6" t="s">
        <v>43</v>
      </c>
      <c r="E316" s="6" t="s">
        <v>45</v>
      </c>
      <c r="F316" s="6" t="s">
        <v>46</v>
      </c>
      <c r="G316" s="6" t="s">
        <v>56</v>
      </c>
      <c r="H316" s="8">
        <v>17068</v>
      </c>
      <c r="I316" s="8">
        <f t="shared" si="18"/>
        <v>5120.3999999999996</v>
      </c>
      <c r="J316" s="8">
        <f t="shared" si="19"/>
        <v>11947.6</v>
      </c>
      <c r="K316" s="8">
        <v>5355</v>
      </c>
      <c r="L316" s="6">
        <v>21</v>
      </c>
      <c r="M316" s="22" t="str" cm="1">
        <f t="array" ref="M316">_xlfn.IFS(L316&gt;10,"Veteran",L316&gt;=6,"Experienced",L316&gt;=2,"Developing",L316&gt;=0,"New")</f>
        <v>Veteran</v>
      </c>
    </row>
    <row r="317" spans="1:13">
      <c r="A317" s="21" t="str">
        <f t="shared" ca="1" si="16"/>
        <v>La-Res-2018-316</v>
      </c>
      <c r="B317" s="6">
        <v>43</v>
      </c>
      <c r="C317" s="6" t="str">
        <f t="shared" si="17"/>
        <v>40-49</v>
      </c>
      <c r="D317" s="6" t="s">
        <v>43</v>
      </c>
      <c r="E317" s="6" t="s">
        <v>45</v>
      </c>
      <c r="F317" s="6" t="s">
        <v>39</v>
      </c>
      <c r="G317" s="6" t="s">
        <v>50</v>
      </c>
      <c r="H317" s="8">
        <v>2455</v>
      </c>
      <c r="I317" s="8">
        <f t="shared" si="18"/>
        <v>171.85000000000002</v>
      </c>
      <c r="J317" s="8">
        <f t="shared" si="19"/>
        <v>2283.15</v>
      </c>
      <c r="K317" s="8">
        <v>10675</v>
      </c>
      <c r="L317" s="6">
        <v>8</v>
      </c>
      <c r="M317" s="22" t="str" cm="1">
        <f t="array" ref="M317">_xlfn.IFS(L317&gt;10,"Veteran",L317&gt;=6,"Experienced",L317&gt;=2,"Developing",L317&gt;=0,"New")</f>
        <v>Experienced</v>
      </c>
    </row>
    <row r="318" spans="1:13">
      <c r="A318" s="21" t="str">
        <f t="shared" ca="1" si="16"/>
        <v>He-Res-2019-317</v>
      </c>
      <c r="B318" s="6">
        <v>49</v>
      </c>
      <c r="C318" s="6" t="str">
        <f t="shared" si="17"/>
        <v>40-49</v>
      </c>
      <c r="D318" s="6" t="s">
        <v>43</v>
      </c>
      <c r="E318" s="6" t="s">
        <v>45</v>
      </c>
      <c r="F318" s="6" t="s">
        <v>39</v>
      </c>
      <c r="G318" s="6" t="s">
        <v>54</v>
      </c>
      <c r="H318" s="8">
        <v>13964</v>
      </c>
      <c r="I318" s="8">
        <f t="shared" si="18"/>
        <v>4189.2</v>
      </c>
      <c r="J318" s="8">
        <f t="shared" si="19"/>
        <v>9774.7999999999993</v>
      </c>
      <c r="K318" s="8">
        <v>17810</v>
      </c>
      <c r="L318" s="6">
        <v>7</v>
      </c>
      <c r="M318" s="22" t="str" cm="1">
        <f t="array" ref="M318">_xlfn.IFS(L318&gt;10,"Veteran",L318&gt;=6,"Experienced",L318&gt;=2,"Developing",L318&gt;=0,"New")</f>
        <v>Experienced</v>
      </c>
    </row>
    <row r="319" spans="1:13">
      <c r="A319" s="21" t="str">
        <f t="shared" ca="1" si="16"/>
        <v>Re-Res-2018-318</v>
      </c>
      <c r="B319" s="6">
        <v>52</v>
      </c>
      <c r="C319" s="6" t="str">
        <f t="shared" si="17"/>
        <v>50+</v>
      </c>
      <c r="D319" s="6" t="s">
        <v>35</v>
      </c>
      <c r="E319" s="6" t="s">
        <v>45</v>
      </c>
      <c r="F319" s="6" t="s">
        <v>46</v>
      </c>
      <c r="G319" s="6" t="s">
        <v>47</v>
      </c>
      <c r="H319" s="8">
        <v>4941</v>
      </c>
      <c r="I319" s="8">
        <f t="shared" si="18"/>
        <v>741.15</v>
      </c>
      <c r="J319" s="8">
        <f t="shared" si="19"/>
        <v>4199.8500000000004</v>
      </c>
      <c r="K319" s="8">
        <v>17747</v>
      </c>
      <c r="L319" s="6">
        <v>8</v>
      </c>
      <c r="M319" s="22" t="str" cm="1">
        <f t="array" ref="M319">_xlfn.IFS(L319&gt;10,"Veteran",L319&gt;=6,"Experienced",L319&gt;=2,"Developing",L319&gt;=0,"New")</f>
        <v>Experienced</v>
      </c>
    </row>
    <row r="320" spans="1:13">
      <c r="A320" s="21" t="str">
        <f t="shared" ca="1" si="16"/>
        <v>Re-Res-2022-319</v>
      </c>
      <c r="B320" s="6">
        <v>27</v>
      </c>
      <c r="C320" s="6" t="str">
        <f t="shared" si="17"/>
        <v>20-29</v>
      </c>
      <c r="D320" s="6" t="s">
        <v>43</v>
      </c>
      <c r="E320" s="6" t="s">
        <v>45</v>
      </c>
      <c r="F320" s="6" t="s">
        <v>39</v>
      </c>
      <c r="G320" s="6" t="s">
        <v>47</v>
      </c>
      <c r="H320" s="8">
        <v>2478</v>
      </c>
      <c r="I320" s="8">
        <f t="shared" si="18"/>
        <v>173.46</v>
      </c>
      <c r="J320" s="8">
        <f t="shared" si="19"/>
        <v>2304.54</v>
      </c>
      <c r="K320" s="8">
        <v>20938</v>
      </c>
      <c r="L320" s="6">
        <v>4</v>
      </c>
      <c r="M320" s="22" t="str" cm="1">
        <f t="array" ref="M320">_xlfn.IFS(L320&gt;10,"Veteran",L320&gt;=6,"Experienced",L320&gt;=2,"Developing",L320&gt;=0,"New")</f>
        <v>Developing</v>
      </c>
    </row>
    <row r="321" spans="1:13">
      <c r="A321" s="21" t="str">
        <f t="shared" ca="1" si="16"/>
        <v>Sa-Sal-2013-320</v>
      </c>
      <c r="B321" s="6">
        <v>32</v>
      </c>
      <c r="C321" s="6" t="str">
        <f t="shared" si="17"/>
        <v>30-39</v>
      </c>
      <c r="D321" s="6" t="s">
        <v>43</v>
      </c>
      <c r="E321" s="6" t="s">
        <v>37</v>
      </c>
      <c r="F321" s="6" t="s">
        <v>39</v>
      </c>
      <c r="G321" s="6" t="s">
        <v>40</v>
      </c>
      <c r="H321" s="8">
        <v>5228</v>
      </c>
      <c r="I321" s="8">
        <f t="shared" si="18"/>
        <v>784.19999999999993</v>
      </c>
      <c r="J321" s="8">
        <f t="shared" si="19"/>
        <v>4443.8</v>
      </c>
      <c r="K321" s="8">
        <v>24624</v>
      </c>
      <c r="L321" s="6">
        <v>13</v>
      </c>
      <c r="M321" s="22" t="str" cm="1">
        <f t="array" ref="M321">_xlfn.IFS(L321&gt;10,"Veteran",L321&gt;=6,"Experienced",L321&gt;=2,"Developing",L321&gt;=0,"New")</f>
        <v>Veteran</v>
      </c>
    </row>
    <row r="322" spans="1:13">
      <c r="A322" s="21" t="str">
        <f t="shared" ca="1" si="16"/>
        <v>Sa-Sal-2021-321</v>
      </c>
      <c r="B322" s="6">
        <v>27</v>
      </c>
      <c r="C322" s="6" t="str">
        <f t="shared" si="17"/>
        <v>20-29</v>
      </c>
      <c r="D322" s="6" t="s">
        <v>43</v>
      </c>
      <c r="E322" s="6" t="s">
        <v>37</v>
      </c>
      <c r="F322" s="6" t="s">
        <v>46</v>
      </c>
      <c r="G322" s="6" t="s">
        <v>40</v>
      </c>
      <c r="H322" s="8">
        <v>4478</v>
      </c>
      <c r="I322" s="8">
        <f t="shared" si="18"/>
        <v>671.69999999999993</v>
      </c>
      <c r="J322" s="8">
        <f t="shared" si="19"/>
        <v>3806.3</v>
      </c>
      <c r="K322" s="8">
        <v>5242</v>
      </c>
      <c r="L322" s="6">
        <v>5</v>
      </c>
      <c r="M322" s="22" t="str" cm="1">
        <f t="array" ref="M322">_xlfn.IFS(L322&gt;10,"Veteran",L322&gt;=6,"Experienced",L322&gt;=2,"Developing",L322&gt;=0,"New")</f>
        <v>Developing</v>
      </c>
    </row>
    <row r="323" spans="1:13">
      <c r="A323" s="21" t="str">
        <f t="shared" ref="A323:A386" ca="1" si="20">LEFT(G323,2)&amp;"-"&amp;LEFT(E323,3)&amp;"-"&amp;YEAR(TODAY())-L323&amp;"-"&amp;TEXT(ROW()-1,"000")</f>
        <v>Sa-Sal-2019-322</v>
      </c>
      <c r="B323" s="6">
        <v>31</v>
      </c>
      <c r="C323" s="6" t="str">
        <f t="shared" ref="C323:C386" si="21">IF(B323&lt;=29,"20-29",IF(B323&lt;=39,"30-39",IF(B323&lt;=49,"40-49","50+")))</f>
        <v>30-39</v>
      </c>
      <c r="D323" s="6" t="s">
        <v>43</v>
      </c>
      <c r="E323" s="6" t="s">
        <v>37</v>
      </c>
      <c r="F323" s="6" t="s">
        <v>46</v>
      </c>
      <c r="G323" s="6" t="s">
        <v>40</v>
      </c>
      <c r="H323" s="8">
        <v>7547</v>
      </c>
      <c r="I323" s="8">
        <f t="shared" ref="I323:I386" si="22">IF(H323&gt;13000,H323*30%,IF(H323&gt;7000,H323*22%,IF(H323&gt;3000,H323*15%,H323*7%)))</f>
        <v>1660.34</v>
      </c>
      <c r="J323" s="8">
        <f t="shared" ref="J323:J386" si="23">H323-I323</f>
        <v>5886.66</v>
      </c>
      <c r="K323" s="8">
        <v>7143</v>
      </c>
      <c r="L323" s="6">
        <v>7</v>
      </c>
      <c r="M323" s="22" t="str" cm="1">
        <f t="array" ref="M323">_xlfn.IFS(L323&gt;10,"Veteran",L323&gt;=6,"Experienced",L323&gt;=2,"Developing",L323&gt;=0,"New")</f>
        <v>Experienced</v>
      </c>
    </row>
    <row r="324" spans="1:13">
      <c r="A324" s="21" t="str">
        <f t="shared" ca="1" si="20"/>
        <v>Re-Res-2019-323</v>
      </c>
      <c r="B324" s="6">
        <v>32</v>
      </c>
      <c r="C324" s="6" t="str">
        <f t="shared" si="21"/>
        <v>30-39</v>
      </c>
      <c r="D324" s="6" t="s">
        <v>43</v>
      </c>
      <c r="E324" s="6" t="s">
        <v>45</v>
      </c>
      <c r="F324" s="6" t="s">
        <v>39</v>
      </c>
      <c r="G324" s="6" t="s">
        <v>47</v>
      </c>
      <c r="H324" s="8">
        <v>5055</v>
      </c>
      <c r="I324" s="8">
        <f t="shared" si="22"/>
        <v>758.25</v>
      </c>
      <c r="J324" s="8">
        <f t="shared" si="23"/>
        <v>4296.75</v>
      </c>
      <c r="K324" s="8">
        <v>10557</v>
      </c>
      <c r="L324" s="6">
        <v>7</v>
      </c>
      <c r="M324" s="22" t="str" cm="1">
        <f t="array" ref="M324">_xlfn.IFS(L324&gt;10,"Veteran",L324&gt;=6,"Experienced",L324&gt;=2,"Developing",L324&gt;=0,"New")</f>
        <v>Experienced</v>
      </c>
    </row>
    <row r="325" spans="1:13">
      <c r="A325" s="21" t="str">
        <f t="shared" ca="1" si="20"/>
        <v>Re-Res-2023-324</v>
      </c>
      <c r="B325" s="6">
        <v>28</v>
      </c>
      <c r="C325" s="6" t="str">
        <f t="shared" si="21"/>
        <v>20-29</v>
      </c>
      <c r="D325" s="6" t="s">
        <v>35</v>
      </c>
      <c r="E325" s="6" t="s">
        <v>45</v>
      </c>
      <c r="F325" s="6" t="s">
        <v>46</v>
      </c>
      <c r="G325" s="6" t="s">
        <v>47</v>
      </c>
      <c r="H325" s="8">
        <v>3464</v>
      </c>
      <c r="I325" s="8">
        <f t="shared" si="22"/>
        <v>519.6</v>
      </c>
      <c r="J325" s="8">
        <f t="shared" si="23"/>
        <v>2944.4</v>
      </c>
      <c r="K325" s="8">
        <v>24737</v>
      </c>
      <c r="L325" s="6">
        <v>3</v>
      </c>
      <c r="M325" s="22" t="str" cm="1">
        <f t="array" ref="M325">_xlfn.IFS(L325&gt;10,"Veteran",L325&gt;=6,"Experienced",L325&gt;=2,"Developing",L325&gt;=0,"New")</f>
        <v>Developing</v>
      </c>
    </row>
    <row r="326" spans="1:13">
      <c r="A326" s="21" t="str">
        <f t="shared" ca="1" si="20"/>
        <v>Re-Res-2016-325</v>
      </c>
      <c r="B326" s="6">
        <v>30</v>
      </c>
      <c r="C326" s="6" t="str">
        <f t="shared" si="21"/>
        <v>30-39</v>
      </c>
      <c r="D326" s="6" t="s">
        <v>43</v>
      </c>
      <c r="E326" s="6" t="s">
        <v>45</v>
      </c>
      <c r="F326" s="6" t="s">
        <v>39</v>
      </c>
      <c r="G326" s="6" t="s">
        <v>47</v>
      </c>
      <c r="H326" s="8">
        <v>5775</v>
      </c>
      <c r="I326" s="8">
        <f t="shared" si="22"/>
        <v>866.25</v>
      </c>
      <c r="J326" s="8">
        <f t="shared" si="23"/>
        <v>4908.75</v>
      </c>
      <c r="K326" s="8">
        <v>11934</v>
      </c>
      <c r="L326" s="6">
        <v>10</v>
      </c>
      <c r="M326" s="22" t="str" cm="1">
        <f t="array" ref="M326">_xlfn.IFS(L326&gt;10,"Veteran",L326&gt;=6,"Experienced",L326&gt;=2,"Developing",L326&gt;=0,"New")</f>
        <v>Experienced</v>
      </c>
    </row>
    <row r="327" spans="1:13">
      <c r="A327" s="21" t="str">
        <f t="shared" ca="1" si="20"/>
        <v>Ma-Res-2016-326</v>
      </c>
      <c r="B327" s="6">
        <v>31</v>
      </c>
      <c r="C327" s="6" t="str">
        <f t="shared" si="21"/>
        <v>30-39</v>
      </c>
      <c r="D327" s="6" t="s">
        <v>43</v>
      </c>
      <c r="E327" s="6" t="s">
        <v>45</v>
      </c>
      <c r="F327" s="6" t="s">
        <v>39</v>
      </c>
      <c r="G327" s="6" t="s">
        <v>53</v>
      </c>
      <c r="H327" s="8">
        <v>8943</v>
      </c>
      <c r="I327" s="8">
        <f t="shared" si="22"/>
        <v>1967.46</v>
      </c>
      <c r="J327" s="8">
        <f t="shared" si="23"/>
        <v>6975.54</v>
      </c>
      <c r="K327" s="8">
        <v>14034</v>
      </c>
      <c r="L327" s="6">
        <v>10</v>
      </c>
      <c r="M327" s="22" t="str" cm="1">
        <f t="array" ref="M327">_xlfn.IFS(L327&gt;10,"Veteran",L327&gt;=6,"Experienced",L327&gt;=2,"Developing",L327&gt;=0,"New")</f>
        <v>Experienced</v>
      </c>
    </row>
    <row r="328" spans="1:13">
      <c r="A328" s="21" t="str">
        <f t="shared" ca="1" si="20"/>
        <v>Ma-Res-2005-327</v>
      </c>
      <c r="B328" s="6">
        <v>39</v>
      </c>
      <c r="C328" s="6" t="str">
        <f t="shared" si="21"/>
        <v>30-39</v>
      </c>
      <c r="D328" s="6" t="s">
        <v>43</v>
      </c>
      <c r="E328" s="6" t="s">
        <v>45</v>
      </c>
      <c r="F328" s="6" t="s">
        <v>46</v>
      </c>
      <c r="G328" s="6" t="s">
        <v>56</v>
      </c>
      <c r="H328" s="8">
        <v>19272</v>
      </c>
      <c r="I328" s="8">
        <f t="shared" si="22"/>
        <v>5781.5999999999995</v>
      </c>
      <c r="J328" s="8">
        <f t="shared" si="23"/>
        <v>13490.400000000001</v>
      </c>
      <c r="K328" s="8">
        <v>21141</v>
      </c>
      <c r="L328" s="6">
        <v>21</v>
      </c>
      <c r="M328" s="22" t="str" cm="1">
        <f t="array" ref="M328">_xlfn.IFS(L328&gt;10,"Veteran",L328&gt;=6,"Experienced",L328&gt;=2,"Developing",L328&gt;=0,"New")</f>
        <v>Veteran</v>
      </c>
    </row>
    <row r="329" spans="1:13">
      <c r="A329" s="21" t="str">
        <f t="shared" ca="1" si="20"/>
        <v>Sa-Sal-2025-328</v>
      </c>
      <c r="B329" s="6">
        <v>39</v>
      </c>
      <c r="C329" s="6" t="str">
        <f t="shared" si="21"/>
        <v>30-39</v>
      </c>
      <c r="D329" s="6" t="s">
        <v>35</v>
      </c>
      <c r="E329" s="6" t="s">
        <v>37</v>
      </c>
      <c r="F329" s="6" t="s">
        <v>39</v>
      </c>
      <c r="G329" s="6" t="s">
        <v>40</v>
      </c>
      <c r="H329" s="8">
        <v>5238</v>
      </c>
      <c r="I329" s="8">
        <f t="shared" si="22"/>
        <v>785.69999999999993</v>
      </c>
      <c r="J329" s="8">
        <f t="shared" si="23"/>
        <v>4452.3</v>
      </c>
      <c r="K329" s="8">
        <v>17778</v>
      </c>
      <c r="L329" s="6">
        <v>1</v>
      </c>
      <c r="M329" s="22" t="str" cm="1">
        <f t="array" ref="M329">_xlfn.IFS(L329&gt;10,"Veteran",L329&gt;=6,"Experienced",L329&gt;=2,"Developing",L329&gt;=0,"New")</f>
        <v>New</v>
      </c>
    </row>
    <row r="330" spans="1:13">
      <c r="A330" s="21" t="str">
        <f t="shared" ca="1" si="20"/>
        <v>Sa-Sal-2019-329</v>
      </c>
      <c r="B330" s="6">
        <v>33</v>
      </c>
      <c r="C330" s="6" t="str">
        <f t="shared" si="21"/>
        <v>30-39</v>
      </c>
      <c r="D330" s="6" t="s">
        <v>43</v>
      </c>
      <c r="E330" s="6" t="s">
        <v>37</v>
      </c>
      <c r="F330" s="6" t="s">
        <v>46</v>
      </c>
      <c r="G330" s="6" t="s">
        <v>40</v>
      </c>
      <c r="H330" s="8">
        <v>4682</v>
      </c>
      <c r="I330" s="8">
        <f t="shared" si="22"/>
        <v>702.3</v>
      </c>
      <c r="J330" s="8">
        <f t="shared" si="23"/>
        <v>3979.7</v>
      </c>
      <c r="K330" s="8">
        <v>4317</v>
      </c>
      <c r="L330" s="6">
        <v>7</v>
      </c>
      <c r="M330" s="22" t="str" cm="1">
        <f t="array" ref="M330">_xlfn.IFS(L330&gt;10,"Veteran",L330&gt;=6,"Experienced",L330&gt;=2,"Developing",L330&gt;=0,"New")</f>
        <v>Experienced</v>
      </c>
    </row>
    <row r="331" spans="1:13">
      <c r="A331" s="21" t="str">
        <f t="shared" ca="1" si="20"/>
        <v>Re-Res-2023-330</v>
      </c>
      <c r="B331" s="6">
        <v>47</v>
      </c>
      <c r="C331" s="6" t="str">
        <f t="shared" si="21"/>
        <v>40-49</v>
      </c>
      <c r="D331" s="6" t="s">
        <v>43</v>
      </c>
      <c r="E331" s="6" t="s">
        <v>45</v>
      </c>
      <c r="F331" s="6" t="s">
        <v>46</v>
      </c>
      <c r="G331" s="6" t="s">
        <v>58</v>
      </c>
      <c r="H331" s="8">
        <v>18300</v>
      </c>
      <c r="I331" s="8">
        <f t="shared" si="22"/>
        <v>5490</v>
      </c>
      <c r="J331" s="8">
        <f t="shared" si="23"/>
        <v>12810</v>
      </c>
      <c r="K331" s="8">
        <v>16375</v>
      </c>
      <c r="L331" s="6">
        <v>3</v>
      </c>
      <c r="M331" s="22" t="str" cm="1">
        <f t="array" ref="M331">_xlfn.IFS(L331&gt;10,"Veteran",L331&gt;=6,"Experienced",L331&gt;=2,"Developing",L331&gt;=0,"New")</f>
        <v>Developing</v>
      </c>
    </row>
    <row r="332" spans="1:13">
      <c r="A332" s="21" t="str">
        <f t="shared" ca="1" si="20"/>
        <v>La-Res-2017-331</v>
      </c>
      <c r="B332" s="6">
        <v>43</v>
      </c>
      <c r="C332" s="6" t="str">
        <f t="shared" si="21"/>
        <v>40-49</v>
      </c>
      <c r="D332" s="6" t="s">
        <v>43</v>
      </c>
      <c r="E332" s="6" t="s">
        <v>45</v>
      </c>
      <c r="F332" s="6" t="s">
        <v>39</v>
      </c>
      <c r="G332" s="6" t="s">
        <v>50</v>
      </c>
      <c r="H332" s="8">
        <v>5257</v>
      </c>
      <c r="I332" s="8">
        <f t="shared" si="22"/>
        <v>788.55</v>
      </c>
      <c r="J332" s="8">
        <f t="shared" si="23"/>
        <v>4468.45</v>
      </c>
      <c r="K332" s="8">
        <v>6227</v>
      </c>
      <c r="L332" s="6">
        <v>9</v>
      </c>
      <c r="M332" s="22" t="str" cm="1">
        <f t="array" ref="M332">_xlfn.IFS(L332&gt;10,"Veteran",L332&gt;=6,"Experienced",L332&gt;=2,"Developing",L332&gt;=0,"New")</f>
        <v>Experienced</v>
      </c>
    </row>
    <row r="333" spans="1:13">
      <c r="A333" s="21" t="str">
        <f t="shared" ca="1" si="20"/>
        <v>Sa-Sal-2021-332</v>
      </c>
      <c r="B333" s="6">
        <v>27</v>
      </c>
      <c r="C333" s="6" t="str">
        <f t="shared" si="21"/>
        <v>20-29</v>
      </c>
      <c r="D333" s="6" t="s">
        <v>43</v>
      </c>
      <c r="E333" s="6" t="s">
        <v>37</v>
      </c>
      <c r="F333" s="6" t="s">
        <v>46</v>
      </c>
      <c r="G333" s="6" t="s">
        <v>40</v>
      </c>
      <c r="H333" s="8">
        <v>6349</v>
      </c>
      <c r="I333" s="8">
        <f t="shared" si="22"/>
        <v>952.34999999999991</v>
      </c>
      <c r="J333" s="8">
        <f t="shared" si="23"/>
        <v>5396.65</v>
      </c>
      <c r="K333" s="8">
        <v>22107</v>
      </c>
      <c r="L333" s="6">
        <v>5</v>
      </c>
      <c r="M333" s="22" t="str" cm="1">
        <f t="array" ref="M333">_xlfn.IFS(L333&gt;10,"Veteran",L333&gt;=6,"Experienced",L333&gt;=2,"Developing",L333&gt;=0,"New")</f>
        <v>Developing</v>
      </c>
    </row>
    <row r="334" spans="1:13">
      <c r="A334" s="21" t="str">
        <f t="shared" ca="1" si="20"/>
        <v>Re-Res-2022-333</v>
      </c>
      <c r="B334" s="6">
        <v>54</v>
      </c>
      <c r="C334" s="6" t="str">
        <f t="shared" si="21"/>
        <v>50+</v>
      </c>
      <c r="D334" s="6" t="s">
        <v>43</v>
      </c>
      <c r="E334" s="6" t="s">
        <v>45</v>
      </c>
      <c r="F334" s="6" t="s">
        <v>39</v>
      </c>
      <c r="G334" s="6" t="s">
        <v>47</v>
      </c>
      <c r="H334" s="8">
        <v>4869</v>
      </c>
      <c r="I334" s="8">
        <f t="shared" si="22"/>
        <v>730.35</v>
      </c>
      <c r="J334" s="8">
        <f t="shared" si="23"/>
        <v>4138.6499999999996</v>
      </c>
      <c r="K334" s="8">
        <v>16885</v>
      </c>
      <c r="L334" s="6">
        <v>4</v>
      </c>
      <c r="M334" s="22" t="str" cm="1">
        <f t="array" ref="M334">_xlfn.IFS(L334&gt;10,"Veteran",L334&gt;=6,"Experienced",L334&gt;=2,"Developing",L334&gt;=0,"New")</f>
        <v>Developing</v>
      </c>
    </row>
    <row r="335" spans="1:13">
      <c r="A335" s="21" t="str">
        <f t="shared" ca="1" si="20"/>
        <v>He-Res-2025-334</v>
      </c>
      <c r="B335" s="6">
        <v>43</v>
      </c>
      <c r="C335" s="6" t="str">
        <f t="shared" si="21"/>
        <v>40-49</v>
      </c>
      <c r="D335" s="6" t="s">
        <v>43</v>
      </c>
      <c r="E335" s="6" t="s">
        <v>45</v>
      </c>
      <c r="F335" s="6" t="s">
        <v>39</v>
      </c>
      <c r="G335" s="6" t="s">
        <v>54</v>
      </c>
      <c r="H335" s="8">
        <v>9985</v>
      </c>
      <c r="I335" s="8">
        <f t="shared" si="22"/>
        <v>2196.6999999999998</v>
      </c>
      <c r="J335" s="8">
        <f t="shared" si="23"/>
        <v>7788.3</v>
      </c>
      <c r="K335" s="8">
        <v>9262</v>
      </c>
      <c r="L335" s="6">
        <v>1</v>
      </c>
      <c r="M335" s="22" t="str" cm="1">
        <f t="array" ref="M335">_xlfn.IFS(L335&gt;10,"Veteran",L335&gt;=6,"Experienced",L335&gt;=2,"Developing",L335&gt;=0,"New")</f>
        <v>New</v>
      </c>
    </row>
    <row r="336" spans="1:13">
      <c r="A336" s="21" t="str">
        <f t="shared" ca="1" si="20"/>
        <v>Re-Res-2016-335</v>
      </c>
      <c r="B336" s="6">
        <v>45</v>
      </c>
      <c r="C336" s="6" t="str">
        <f t="shared" si="21"/>
        <v>40-49</v>
      </c>
      <c r="D336" s="6" t="s">
        <v>43</v>
      </c>
      <c r="E336" s="6" t="s">
        <v>45</v>
      </c>
      <c r="F336" s="6" t="s">
        <v>46</v>
      </c>
      <c r="G336" s="6" t="s">
        <v>47</v>
      </c>
      <c r="H336" s="8">
        <v>3697</v>
      </c>
      <c r="I336" s="8">
        <f t="shared" si="22"/>
        <v>554.54999999999995</v>
      </c>
      <c r="J336" s="8">
        <f t="shared" si="23"/>
        <v>3142.45</v>
      </c>
      <c r="K336" s="8">
        <v>9278</v>
      </c>
      <c r="L336" s="6">
        <v>10</v>
      </c>
      <c r="M336" s="22" t="str" cm="1">
        <f t="array" ref="M336">_xlfn.IFS(L336&gt;10,"Veteran",L336&gt;=6,"Experienced",L336&gt;=2,"Developing",L336&gt;=0,"New")</f>
        <v>Experienced</v>
      </c>
    </row>
    <row r="337" spans="1:13">
      <c r="A337" s="21" t="str">
        <f t="shared" ca="1" si="20"/>
        <v>Sa-Sal-2022-336</v>
      </c>
      <c r="B337" s="6">
        <v>40</v>
      </c>
      <c r="C337" s="6" t="str">
        <f t="shared" si="21"/>
        <v>40-49</v>
      </c>
      <c r="D337" s="6" t="s">
        <v>43</v>
      </c>
      <c r="E337" s="6" t="s">
        <v>37</v>
      </c>
      <c r="F337" s="6" t="s">
        <v>46</v>
      </c>
      <c r="G337" s="6" t="s">
        <v>40</v>
      </c>
      <c r="H337" s="8">
        <v>7457</v>
      </c>
      <c r="I337" s="8">
        <f t="shared" si="22"/>
        <v>1640.54</v>
      </c>
      <c r="J337" s="8">
        <f t="shared" si="23"/>
        <v>5816.46</v>
      </c>
      <c r="K337" s="8">
        <v>13273</v>
      </c>
      <c r="L337" s="6">
        <v>4</v>
      </c>
      <c r="M337" s="22" t="str" cm="1">
        <f t="array" ref="M337">_xlfn.IFS(L337&gt;10,"Veteran",L337&gt;=6,"Experienced",L337&gt;=2,"Developing",L337&gt;=0,"New")</f>
        <v>Developing</v>
      </c>
    </row>
    <row r="338" spans="1:13">
      <c r="A338" s="21" t="str">
        <f t="shared" ca="1" si="20"/>
        <v>La-Res-2019-337</v>
      </c>
      <c r="B338" s="6">
        <v>29</v>
      </c>
      <c r="C338" s="6" t="str">
        <f t="shared" si="21"/>
        <v>20-29</v>
      </c>
      <c r="D338" s="6" t="s">
        <v>35</v>
      </c>
      <c r="E338" s="6" t="s">
        <v>45</v>
      </c>
      <c r="F338" s="6" t="s">
        <v>46</v>
      </c>
      <c r="G338" s="6" t="s">
        <v>50</v>
      </c>
      <c r="H338" s="8">
        <v>2119</v>
      </c>
      <c r="I338" s="8">
        <f t="shared" si="22"/>
        <v>148.33000000000001</v>
      </c>
      <c r="J338" s="8">
        <f t="shared" si="23"/>
        <v>1970.67</v>
      </c>
      <c r="K338" s="8">
        <v>4759</v>
      </c>
      <c r="L338" s="6">
        <v>7</v>
      </c>
      <c r="M338" s="22" t="str" cm="1">
        <f t="array" ref="M338">_xlfn.IFS(L338&gt;10,"Veteran",L338&gt;=6,"Experienced",L338&gt;=2,"Developing",L338&gt;=0,"New")</f>
        <v>Experienced</v>
      </c>
    </row>
    <row r="339" spans="1:13">
      <c r="A339" s="21" t="str">
        <f t="shared" ca="1" si="20"/>
        <v>La-Res-2023-338</v>
      </c>
      <c r="B339" s="6">
        <v>29</v>
      </c>
      <c r="C339" s="6" t="str">
        <f t="shared" si="21"/>
        <v>20-29</v>
      </c>
      <c r="D339" s="6" t="s">
        <v>43</v>
      </c>
      <c r="E339" s="6" t="s">
        <v>45</v>
      </c>
      <c r="F339" s="6" t="s">
        <v>46</v>
      </c>
      <c r="G339" s="6" t="s">
        <v>50</v>
      </c>
      <c r="H339" s="8">
        <v>3983</v>
      </c>
      <c r="I339" s="8">
        <f t="shared" si="22"/>
        <v>597.44999999999993</v>
      </c>
      <c r="J339" s="8">
        <f t="shared" si="23"/>
        <v>3385.55</v>
      </c>
      <c r="K339" s="8">
        <v>7621</v>
      </c>
      <c r="L339" s="6">
        <v>3</v>
      </c>
      <c r="M339" s="22" t="str" cm="1">
        <f t="array" ref="M339">_xlfn.IFS(L339&gt;10,"Veteran",L339&gt;=6,"Experienced",L339&gt;=2,"Developing",L339&gt;=0,"New")</f>
        <v>Developing</v>
      </c>
    </row>
    <row r="340" spans="1:13">
      <c r="A340" s="21" t="str">
        <f t="shared" ca="1" si="20"/>
        <v>Sa-Sal-2016-339</v>
      </c>
      <c r="B340" s="6">
        <v>30</v>
      </c>
      <c r="C340" s="6" t="str">
        <f t="shared" si="21"/>
        <v>30-39</v>
      </c>
      <c r="D340" s="6" t="s">
        <v>43</v>
      </c>
      <c r="E340" s="6" t="s">
        <v>37</v>
      </c>
      <c r="F340" s="6" t="s">
        <v>39</v>
      </c>
      <c r="G340" s="6" t="s">
        <v>40</v>
      </c>
      <c r="H340" s="8">
        <v>6118</v>
      </c>
      <c r="I340" s="8">
        <f t="shared" si="22"/>
        <v>917.69999999999993</v>
      </c>
      <c r="J340" s="8">
        <f t="shared" si="23"/>
        <v>5200.3</v>
      </c>
      <c r="K340" s="8">
        <v>5431</v>
      </c>
      <c r="L340" s="6">
        <v>10</v>
      </c>
      <c r="M340" s="22" t="str" cm="1">
        <f t="array" ref="M340">_xlfn.IFS(L340&gt;10,"Veteran",L340&gt;=6,"Experienced",L340&gt;=2,"Developing",L340&gt;=0,"New")</f>
        <v>Experienced</v>
      </c>
    </row>
    <row r="341" spans="1:13">
      <c r="A341" s="21" t="str">
        <f t="shared" ca="1" si="20"/>
        <v>Sa-Sal-2018-340</v>
      </c>
      <c r="B341" s="6">
        <v>27</v>
      </c>
      <c r="C341" s="6" t="str">
        <f t="shared" si="21"/>
        <v>20-29</v>
      </c>
      <c r="D341" s="6" t="s">
        <v>43</v>
      </c>
      <c r="E341" s="6" t="s">
        <v>37</v>
      </c>
      <c r="F341" s="6" t="s">
        <v>39</v>
      </c>
      <c r="G341" s="6" t="s">
        <v>40</v>
      </c>
      <c r="H341" s="8">
        <v>6214</v>
      </c>
      <c r="I341" s="8">
        <f t="shared" si="22"/>
        <v>932.09999999999991</v>
      </c>
      <c r="J341" s="8">
        <f t="shared" si="23"/>
        <v>5281.9</v>
      </c>
      <c r="K341" s="8">
        <v>3415</v>
      </c>
      <c r="L341" s="6">
        <v>8</v>
      </c>
      <c r="M341" s="22" t="str" cm="1">
        <f t="array" ref="M341">_xlfn.IFS(L341&gt;10,"Veteran",L341&gt;=6,"Experienced",L341&gt;=2,"Developing",L341&gt;=0,"New")</f>
        <v>Experienced</v>
      </c>
    </row>
    <row r="342" spans="1:13">
      <c r="A342" s="21" t="str">
        <f t="shared" ca="1" si="20"/>
        <v>Ma-Res-2020-341</v>
      </c>
      <c r="B342" s="6">
        <v>37</v>
      </c>
      <c r="C342" s="6" t="str">
        <f t="shared" si="21"/>
        <v>30-39</v>
      </c>
      <c r="D342" s="6" t="s">
        <v>43</v>
      </c>
      <c r="E342" s="6" t="s">
        <v>45</v>
      </c>
      <c r="F342" s="6" t="s">
        <v>46</v>
      </c>
      <c r="G342" s="6" t="s">
        <v>53</v>
      </c>
      <c r="H342" s="8">
        <v>6347</v>
      </c>
      <c r="I342" s="8">
        <f t="shared" si="22"/>
        <v>952.05</v>
      </c>
      <c r="J342" s="8">
        <f t="shared" si="23"/>
        <v>5394.95</v>
      </c>
      <c r="K342" s="8">
        <v>23177</v>
      </c>
      <c r="L342" s="6">
        <v>6</v>
      </c>
      <c r="M342" s="22" t="str" cm="1">
        <f t="array" ref="M342">_xlfn.IFS(L342&gt;10,"Veteran",L342&gt;=6,"Experienced",L342&gt;=2,"Developing",L342&gt;=0,"New")</f>
        <v>Experienced</v>
      </c>
    </row>
    <row r="343" spans="1:13">
      <c r="A343" s="21" t="str">
        <f t="shared" ca="1" si="20"/>
        <v>Re-Res-2015-342</v>
      </c>
      <c r="B343" s="6">
        <v>38</v>
      </c>
      <c r="C343" s="6" t="str">
        <f t="shared" si="21"/>
        <v>30-39</v>
      </c>
      <c r="D343" s="6" t="s">
        <v>43</v>
      </c>
      <c r="E343" s="6" t="s">
        <v>45</v>
      </c>
      <c r="F343" s="6" t="s">
        <v>46</v>
      </c>
      <c r="G343" s="6" t="s">
        <v>58</v>
      </c>
      <c r="H343" s="8">
        <v>11510</v>
      </c>
      <c r="I343" s="8">
        <f t="shared" si="22"/>
        <v>2532.1999999999998</v>
      </c>
      <c r="J343" s="8">
        <f t="shared" si="23"/>
        <v>8977.7999999999993</v>
      </c>
      <c r="K343" s="8">
        <v>15682</v>
      </c>
      <c r="L343" s="6">
        <v>11</v>
      </c>
      <c r="M343" s="22" t="str" cm="1">
        <f t="array" ref="M343">_xlfn.IFS(L343&gt;10,"Veteran",L343&gt;=6,"Experienced",L343&gt;=2,"Developing",L343&gt;=0,"New")</f>
        <v>Veteran</v>
      </c>
    </row>
    <row r="344" spans="1:13">
      <c r="A344" s="21" t="str">
        <f t="shared" ca="1" si="20"/>
        <v>Ma-Res-2015-343</v>
      </c>
      <c r="B344" s="6">
        <v>31</v>
      </c>
      <c r="C344" s="6" t="str">
        <f t="shared" si="21"/>
        <v>30-39</v>
      </c>
      <c r="D344" s="6" t="s">
        <v>43</v>
      </c>
      <c r="E344" s="6" t="s">
        <v>45</v>
      </c>
      <c r="F344" s="6" t="s">
        <v>39</v>
      </c>
      <c r="G344" s="6" t="s">
        <v>53</v>
      </c>
      <c r="H344" s="8">
        <v>7143</v>
      </c>
      <c r="I344" s="8">
        <f t="shared" si="22"/>
        <v>1571.46</v>
      </c>
      <c r="J344" s="8">
        <f t="shared" si="23"/>
        <v>5571.54</v>
      </c>
      <c r="K344" s="8">
        <v>25713</v>
      </c>
      <c r="L344" s="6">
        <v>11</v>
      </c>
      <c r="M344" s="22" t="str" cm="1">
        <f t="array" ref="M344">_xlfn.IFS(L344&gt;10,"Veteran",L344&gt;=6,"Experienced",L344&gt;=2,"Developing",L344&gt;=0,"New")</f>
        <v>Veteran</v>
      </c>
    </row>
    <row r="345" spans="1:13">
      <c r="A345" s="21" t="str">
        <f t="shared" ca="1" si="20"/>
        <v>Sa-Sal-2019-344</v>
      </c>
      <c r="B345" s="6">
        <v>29</v>
      </c>
      <c r="C345" s="6" t="str">
        <f t="shared" si="21"/>
        <v>20-29</v>
      </c>
      <c r="D345" s="6" t="s">
        <v>43</v>
      </c>
      <c r="E345" s="6" t="s">
        <v>37</v>
      </c>
      <c r="F345" s="6" t="s">
        <v>39</v>
      </c>
      <c r="G345" s="6" t="s">
        <v>40</v>
      </c>
      <c r="H345" s="8">
        <v>8268</v>
      </c>
      <c r="I345" s="8">
        <f t="shared" si="22"/>
        <v>1818.96</v>
      </c>
      <c r="J345" s="8">
        <f t="shared" si="23"/>
        <v>6449.04</v>
      </c>
      <c r="K345" s="8">
        <v>11866</v>
      </c>
      <c r="L345" s="6">
        <v>7</v>
      </c>
      <c r="M345" s="22" t="str" cm="1">
        <f t="array" ref="M345">_xlfn.IFS(L345&gt;10,"Veteran",L345&gt;=6,"Experienced",L345&gt;=2,"Developing",L345&gt;=0,"New")</f>
        <v>Experienced</v>
      </c>
    </row>
    <row r="346" spans="1:13">
      <c r="A346" s="21" t="str">
        <f t="shared" ca="1" si="20"/>
        <v>Ma-Res-2010-345</v>
      </c>
      <c r="B346" s="6">
        <v>35</v>
      </c>
      <c r="C346" s="6" t="str">
        <f t="shared" si="21"/>
        <v>30-39</v>
      </c>
      <c r="D346" s="6" t="s">
        <v>43</v>
      </c>
      <c r="E346" s="6" t="s">
        <v>45</v>
      </c>
      <c r="F346" s="6" t="s">
        <v>46</v>
      </c>
      <c r="G346" s="6" t="s">
        <v>53</v>
      </c>
      <c r="H346" s="8">
        <v>8095</v>
      </c>
      <c r="I346" s="8">
        <f t="shared" si="22"/>
        <v>1780.9</v>
      </c>
      <c r="J346" s="8">
        <f t="shared" si="23"/>
        <v>6314.1</v>
      </c>
      <c r="K346" s="8">
        <v>18264</v>
      </c>
      <c r="L346" s="6">
        <v>16</v>
      </c>
      <c r="M346" s="22" t="str" cm="1">
        <f t="array" ref="M346">_xlfn.IFS(L346&gt;10,"Veteran",L346&gt;=6,"Experienced",L346&gt;=2,"Developing",L346&gt;=0,"New")</f>
        <v>Veteran</v>
      </c>
    </row>
    <row r="347" spans="1:13">
      <c r="A347" s="21" t="str">
        <f t="shared" ca="1" si="20"/>
        <v>Re-Res-2022-346</v>
      </c>
      <c r="B347" s="6">
        <v>23</v>
      </c>
      <c r="C347" s="6" t="str">
        <f t="shared" si="21"/>
        <v>20-29</v>
      </c>
      <c r="D347" s="6" t="s">
        <v>43</v>
      </c>
      <c r="E347" s="6" t="s">
        <v>45</v>
      </c>
      <c r="F347" s="6" t="s">
        <v>46</v>
      </c>
      <c r="G347" s="6" t="s">
        <v>47</v>
      </c>
      <c r="H347" s="8">
        <v>2904</v>
      </c>
      <c r="I347" s="8">
        <f t="shared" si="22"/>
        <v>203.28000000000003</v>
      </c>
      <c r="J347" s="8">
        <f t="shared" si="23"/>
        <v>2700.72</v>
      </c>
      <c r="K347" s="8">
        <v>16092</v>
      </c>
      <c r="L347" s="6">
        <v>4</v>
      </c>
      <c r="M347" s="22" t="str" cm="1">
        <f t="array" ref="M347">_xlfn.IFS(L347&gt;10,"Veteran",L347&gt;=6,"Experienced",L347&gt;=2,"Developing",L347&gt;=0,"New")</f>
        <v>Developing</v>
      </c>
    </row>
    <row r="348" spans="1:13">
      <c r="A348" s="21" t="str">
        <f t="shared" ca="1" si="20"/>
        <v>Ma-Res-2021-347</v>
      </c>
      <c r="B348" s="6">
        <v>41</v>
      </c>
      <c r="C348" s="6" t="str">
        <f t="shared" si="21"/>
        <v>40-49</v>
      </c>
      <c r="D348" s="6" t="s">
        <v>43</v>
      </c>
      <c r="E348" s="6" t="s">
        <v>45</v>
      </c>
      <c r="F348" s="6" t="s">
        <v>46</v>
      </c>
      <c r="G348" s="6" t="s">
        <v>53</v>
      </c>
      <c r="H348" s="8">
        <v>6032</v>
      </c>
      <c r="I348" s="8">
        <f t="shared" si="22"/>
        <v>904.8</v>
      </c>
      <c r="J348" s="8">
        <f t="shared" si="23"/>
        <v>5127.2</v>
      </c>
      <c r="K348" s="8">
        <v>10110</v>
      </c>
      <c r="L348" s="6">
        <v>5</v>
      </c>
      <c r="M348" s="22" t="str" cm="1">
        <f t="array" ref="M348">_xlfn.IFS(L348&gt;10,"Veteran",L348&gt;=6,"Experienced",L348&gt;=2,"Developing",L348&gt;=0,"New")</f>
        <v>Developing</v>
      </c>
    </row>
    <row r="349" spans="1:13">
      <c r="A349" s="21" t="str">
        <f t="shared" ca="1" si="20"/>
        <v>Sa-Sal-2026-348</v>
      </c>
      <c r="B349" s="6">
        <v>47</v>
      </c>
      <c r="C349" s="6" t="str">
        <f t="shared" si="21"/>
        <v>40-49</v>
      </c>
      <c r="D349" s="6" t="s">
        <v>43</v>
      </c>
      <c r="E349" s="6" t="s">
        <v>37</v>
      </c>
      <c r="F349" s="6" t="s">
        <v>46</v>
      </c>
      <c r="G349" s="6" t="s">
        <v>57</v>
      </c>
      <c r="H349" s="8">
        <v>2976</v>
      </c>
      <c r="I349" s="8">
        <f t="shared" si="22"/>
        <v>208.32000000000002</v>
      </c>
      <c r="J349" s="8">
        <f t="shared" si="23"/>
        <v>2767.68</v>
      </c>
      <c r="K349" s="8">
        <v>25751</v>
      </c>
      <c r="L349" s="6">
        <v>0</v>
      </c>
      <c r="M349" s="22" t="str" cm="1">
        <f t="array" ref="M349">_xlfn.IFS(L349&gt;10,"Veteran",L349&gt;=6,"Experienced",L349&gt;=2,"Developing",L349&gt;=0,"New")</f>
        <v>New</v>
      </c>
    </row>
    <row r="350" spans="1:13">
      <c r="A350" s="21" t="str">
        <f t="shared" ca="1" si="20"/>
        <v>Re-Res-2025-349</v>
      </c>
      <c r="B350" s="6">
        <v>42</v>
      </c>
      <c r="C350" s="6" t="str">
        <f t="shared" si="21"/>
        <v>40-49</v>
      </c>
      <c r="D350" s="6" t="s">
        <v>43</v>
      </c>
      <c r="E350" s="6" t="s">
        <v>45</v>
      </c>
      <c r="F350" s="6" t="s">
        <v>39</v>
      </c>
      <c r="G350" s="6" t="s">
        <v>58</v>
      </c>
      <c r="H350" s="8">
        <v>15992</v>
      </c>
      <c r="I350" s="8">
        <f t="shared" si="22"/>
        <v>4797.5999999999995</v>
      </c>
      <c r="J350" s="8">
        <f t="shared" si="23"/>
        <v>11194.400000000001</v>
      </c>
      <c r="K350" s="8">
        <v>15901</v>
      </c>
      <c r="L350" s="6">
        <v>1</v>
      </c>
      <c r="M350" s="22" t="str" cm="1">
        <f t="array" ref="M350">_xlfn.IFS(L350&gt;10,"Veteran",L350&gt;=6,"Experienced",L350&gt;=2,"Developing",L350&gt;=0,"New")</f>
        <v>New</v>
      </c>
    </row>
    <row r="351" spans="1:13">
      <c r="A351" s="21" t="str">
        <f t="shared" ca="1" si="20"/>
        <v>Sa-Sal-2022-350</v>
      </c>
      <c r="B351" s="6">
        <v>29</v>
      </c>
      <c r="C351" s="6" t="str">
        <f t="shared" si="21"/>
        <v>20-29</v>
      </c>
      <c r="D351" s="6" t="s">
        <v>43</v>
      </c>
      <c r="E351" s="6" t="s">
        <v>37</v>
      </c>
      <c r="F351" s="6" t="s">
        <v>46</v>
      </c>
      <c r="G351" s="6" t="s">
        <v>40</v>
      </c>
      <c r="H351" s="8">
        <v>4649</v>
      </c>
      <c r="I351" s="8">
        <f t="shared" si="22"/>
        <v>697.35</v>
      </c>
      <c r="J351" s="8">
        <f t="shared" si="23"/>
        <v>3951.65</v>
      </c>
      <c r="K351" s="8">
        <v>16928</v>
      </c>
      <c r="L351" s="6">
        <v>4</v>
      </c>
      <c r="M351" s="22" t="str" cm="1">
        <f t="array" ref="M351">_xlfn.IFS(L351&gt;10,"Veteran",L351&gt;=6,"Experienced",L351&gt;=2,"Developing",L351&gt;=0,"New")</f>
        <v>Developing</v>
      </c>
    </row>
    <row r="352" spans="1:13">
      <c r="A352" s="21" t="str">
        <f t="shared" ca="1" si="20"/>
        <v>Hu-Hum-2023-351</v>
      </c>
      <c r="B352" s="6">
        <v>42</v>
      </c>
      <c r="C352" s="6" t="str">
        <f t="shared" si="21"/>
        <v>40-49</v>
      </c>
      <c r="D352" s="6" t="s">
        <v>43</v>
      </c>
      <c r="E352" s="6" t="s">
        <v>61</v>
      </c>
      <c r="F352" s="6" t="s">
        <v>46</v>
      </c>
      <c r="G352" s="6" t="s">
        <v>61</v>
      </c>
      <c r="H352" s="8">
        <v>2696</v>
      </c>
      <c r="I352" s="8">
        <f t="shared" si="22"/>
        <v>188.72000000000003</v>
      </c>
      <c r="J352" s="8">
        <f t="shared" si="23"/>
        <v>2507.2799999999997</v>
      </c>
      <c r="K352" s="8">
        <v>24017</v>
      </c>
      <c r="L352" s="6">
        <v>3</v>
      </c>
      <c r="M352" s="22" t="str" cm="1">
        <f t="array" ref="M352">_xlfn.IFS(L352&gt;10,"Veteran",L352&gt;=6,"Experienced",L352&gt;=2,"Developing",L352&gt;=0,"New")</f>
        <v>Developing</v>
      </c>
    </row>
    <row r="353" spans="1:13">
      <c r="A353" s="21" t="str">
        <f t="shared" ca="1" si="20"/>
        <v>La-Res-2018-352</v>
      </c>
      <c r="B353" s="6">
        <v>32</v>
      </c>
      <c r="C353" s="6" t="str">
        <f t="shared" si="21"/>
        <v>30-39</v>
      </c>
      <c r="D353" s="6" t="s">
        <v>43</v>
      </c>
      <c r="E353" s="6" t="s">
        <v>45</v>
      </c>
      <c r="F353" s="6" t="s">
        <v>39</v>
      </c>
      <c r="G353" s="6" t="s">
        <v>50</v>
      </c>
      <c r="H353" s="8">
        <v>2370</v>
      </c>
      <c r="I353" s="8">
        <f t="shared" si="22"/>
        <v>165.9</v>
      </c>
      <c r="J353" s="8">
        <f t="shared" si="23"/>
        <v>2204.1</v>
      </c>
      <c r="K353" s="8">
        <v>3956</v>
      </c>
      <c r="L353" s="6">
        <v>8</v>
      </c>
      <c r="M353" s="22" t="str" cm="1">
        <f t="array" ref="M353">_xlfn.IFS(L353&gt;10,"Veteran",L353&gt;=6,"Experienced",L353&gt;=2,"Developing",L353&gt;=0,"New")</f>
        <v>Experienced</v>
      </c>
    </row>
    <row r="354" spans="1:13">
      <c r="A354" s="21" t="str">
        <f t="shared" ca="1" si="20"/>
        <v>Ma-Sal-2026-353</v>
      </c>
      <c r="B354" s="6">
        <v>48</v>
      </c>
      <c r="C354" s="6" t="str">
        <f t="shared" si="21"/>
        <v>40-49</v>
      </c>
      <c r="D354" s="6" t="s">
        <v>43</v>
      </c>
      <c r="E354" s="6" t="s">
        <v>37</v>
      </c>
      <c r="F354" s="6" t="s">
        <v>39</v>
      </c>
      <c r="G354" s="6" t="s">
        <v>56</v>
      </c>
      <c r="H354" s="8">
        <v>12504</v>
      </c>
      <c r="I354" s="8">
        <f t="shared" si="22"/>
        <v>2750.88</v>
      </c>
      <c r="J354" s="8">
        <f t="shared" si="23"/>
        <v>9753.119999999999</v>
      </c>
      <c r="K354" s="8">
        <v>23978</v>
      </c>
      <c r="L354" s="6">
        <v>0</v>
      </c>
      <c r="M354" s="22" t="str" cm="1">
        <f t="array" ref="M354">_xlfn.IFS(L354&gt;10,"Veteran",L354&gt;=6,"Experienced",L354&gt;=2,"Developing",L354&gt;=0,"New")</f>
        <v>New</v>
      </c>
    </row>
    <row r="355" spans="1:13">
      <c r="A355" s="21" t="str">
        <f t="shared" ca="1" si="20"/>
        <v>Re-Res-2019-354</v>
      </c>
      <c r="B355" s="6">
        <v>37</v>
      </c>
      <c r="C355" s="6" t="str">
        <f t="shared" si="21"/>
        <v>30-39</v>
      </c>
      <c r="D355" s="6" t="s">
        <v>43</v>
      </c>
      <c r="E355" s="6" t="s">
        <v>45</v>
      </c>
      <c r="F355" s="6" t="s">
        <v>46</v>
      </c>
      <c r="G355" s="6" t="s">
        <v>47</v>
      </c>
      <c r="H355" s="8">
        <v>5974</v>
      </c>
      <c r="I355" s="8">
        <f t="shared" si="22"/>
        <v>896.1</v>
      </c>
      <c r="J355" s="8">
        <f t="shared" si="23"/>
        <v>5077.8999999999996</v>
      </c>
      <c r="K355" s="8">
        <v>17001</v>
      </c>
      <c r="L355" s="6">
        <v>7</v>
      </c>
      <c r="M355" s="22" t="str" cm="1">
        <f t="array" ref="M355">_xlfn.IFS(L355&gt;10,"Veteran",L355&gt;=6,"Experienced",L355&gt;=2,"Developing",L355&gt;=0,"New")</f>
        <v>Experienced</v>
      </c>
    </row>
    <row r="356" spans="1:13">
      <c r="A356" s="21" t="str">
        <f t="shared" ca="1" si="20"/>
        <v>Sa-Sal-2024-355</v>
      </c>
      <c r="B356" s="6">
        <v>30</v>
      </c>
      <c r="C356" s="6" t="str">
        <f t="shared" si="21"/>
        <v>30-39</v>
      </c>
      <c r="D356" s="6" t="s">
        <v>43</v>
      </c>
      <c r="E356" s="6" t="s">
        <v>37</v>
      </c>
      <c r="F356" s="6" t="s">
        <v>39</v>
      </c>
      <c r="G356" s="6" t="s">
        <v>40</v>
      </c>
      <c r="H356" s="8">
        <v>4736</v>
      </c>
      <c r="I356" s="8">
        <f t="shared" si="22"/>
        <v>710.4</v>
      </c>
      <c r="J356" s="8">
        <f t="shared" si="23"/>
        <v>4025.6</v>
      </c>
      <c r="K356" s="8">
        <v>6069</v>
      </c>
      <c r="L356" s="6">
        <v>2</v>
      </c>
      <c r="M356" s="22" t="str" cm="1">
        <f t="array" ref="M356">_xlfn.IFS(L356&gt;10,"Veteran",L356&gt;=6,"Experienced",L356&gt;=2,"Developing",L356&gt;=0,"New")</f>
        <v>Developing</v>
      </c>
    </row>
    <row r="357" spans="1:13">
      <c r="A357" s="21" t="str">
        <f t="shared" ca="1" si="20"/>
        <v>Sa-Sal-2018-356</v>
      </c>
      <c r="B357" s="6">
        <v>26</v>
      </c>
      <c r="C357" s="6" t="str">
        <f t="shared" si="21"/>
        <v>20-29</v>
      </c>
      <c r="D357" s="6" t="s">
        <v>43</v>
      </c>
      <c r="E357" s="6" t="s">
        <v>37</v>
      </c>
      <c r="F357" s="6" t="s">
        <v>46</v>
      </c>
      <c r="G357" s="6" t="s">
        <v>40</v>
      </c>
      <c r="H357" s="8">
        <v>5296</v>
      </c>
      <c r="I357" s="8">
        <f t="shared" si="22"/>
        <v>794.4</v>
      </c>
      <c r="J357" s="8">
        <f t="shared" si="23"/>
        <v>4501.6000000000004</v>
      </c>
      <c r="K357" s="8">
        <v>20156</v>
      </c>
      <c r="L357" s="6">
        <v>8</v>
      </c>
      <c r="M357" s="22" t="str" cm="1">
        <f t="array" ref="M357">_xlfn.IFS(L357&gt;10,"Veteran",L357&gt;=6,"Experienced",L357&gt;=2,"Developing",L357&gt;=0,"New")</f>
        <v>Experienced</v>
      </c>
    </row>
    <row r="358" spans="1:13">
      <c r="A358" s="21" t="str">
        <f t="shared" ca="1" si="20"/>
        <v>He-Res-2025-357</v>
      </c>
      <c r="B358" s="6">
        <v>42</v>
      </c>
      <c r="C358" s="6" t="str">
        <f t="shared" si="21"/>
        <v>40-49</v>
      </c>
      <c r="D358" s="6" t="s">
        <v>43</v>
      </c>
      <c r="E358" s="6" t="s">
        <v>45</v>
      </c>
      <c r="F358" s="6" t="s">
        <v>46</v>
      </c>
      <c r="G358" s="6" t="s">
        <v>54</v>
      </c>
      <c r="H358" s="8">
        <v>6781</v>
      </c>
      <c r="I358" s="8">
        <f t="shared" si="22"/>
        <v>1017.15</v>
      </c>
      <c r="J358" s="8">
        <f t="shared" si="23"/>
        <v>5763.85</v>
      </c>
      <c r="K358" s="8">
        <v>17078</v>
      </c>
      <c r="L358" s="6">
        <v>1</v>
      </c>
      <c r="M358" s="22" t="str" cm="1">
        <f t="array" ref="M358">_xlfn.IFS(L358&gt;10,"Veteran",L358&gt;=6,"Experienced",L358&gt;=2,"Developing",L358&gt;=0,"New")</f>
        <v>New</v>
      </c>
    </row>
    <row r="359" spans="1:13">
      <c r="A359" s="21" t="str">
        <f t="shared" ca="1" si="20"/>
        <v>Sa-Sal-2023-358</v>
      </c>
      <c r="B359" s="6">
        <v>21</v>
      </c>
      <c r="C359" s="6" t="str">
        <f t="shared" si="21"/>
        <v>20-29</v>
      </c>
      <c r="D359" s="6" t="s">
        <v>35</v>
      </c>
      <c r="E359" s="6" t="s">
        <v>37</v>
      </c>
      <c r="F359" s="6" t="s">
        <v>39</v>
      </c>
      <c r="G359" s="6" t="s">
        <v>57</v>
      </c>
      <c r="H359" s="8">
        <v>2174</v>
      </c>
      <c r="I359" s="8">
        <f t="shared" si="22"/>
        <v>152.18</v>
      </c>
      <c r="J359" s="8">
        <f t="shared" si="23"/>
        <v>2021.82</v>
      </c>
      <c r="K359" s="8">
        <v>9150</v>
      </c>
      <c r="L359" s="6">
        <v>3</v>
      </c>
      <c r="M359" s="22" t="str" cm="1">
        <f t="array" ref="M359">_xlfn.IFS(L359&gt;10,"Veteran",L359&gt;=6,"Experienced",L359&gt;=2,"Developing",L359&gt;=0,"New")</f>
        <v>Developing</v>
      </c>
    </row>
    <row r="360" spans="1:13">
      <c r="A360" s="21" t="str">
        <f t="shared" ca="1" si="20"/>
        <v>Sa-Sal-2025-359</v>
      </c>
      <c r="B360" s="6">
        <v>36</v>
      </c>
      <c r="C360" s="6" t="str">
        <f t="shared" si="21"/>
        <v>30-39</v>
      </c>
      <c r="D360" s="6" t="s">
        <v>43</v>
      </c>
      <c r="E360" s="6" t="s">
        <v>37</v>
      </c>
      <c r="F360" s="6" t="s">
        <v>39</v>
      </c>
      <c r="G360" s="6" t="s">
        <v>40</v>
      </c>
      <c r="H360" s="8">
        <v>6653</v>
      </c>
      <c r="I360" s="8">
        <f t="shared" si="22"/>
        <v>997.94999999999993</v>
      </c>
      <c r="J360" s="8">
        <f t="shared" si="23"/>
        <v>5655.05</v>
      </c>
      <c r="K360" s="8">
        <v>15276</v>
      </c>
      <c r="L360" s="6">
        <v>1</v>
      </c>
      <c r="M360" s="22" t="str" cm="1">
        <f t="array" ref="M360">_xlfn.IFS(L360&gt;10,"Veteran",L360&gt;=6,"Experienced",L360&gt;=2,"Developing",L360&gt;=0,"New")</f>
        <v>New</v>
      </c>
    </row>
    <row r="361" spans="1:13">
      <c r="A361" s="21" t="str">
        <f t="shared" ca="1" si="20"/>
        <v>Sa-Sal-2013-360</v>
      </c>
      <c r="B361" s="6">
        <v>36</v>
      </c>
      <c r="C361" s="6" t="str">
        <f t="shared" si="21"/>
        <v>30-39</v>
      </c>
      <c r="D361" s="6" t="s">
        <v>43</v>
      </c>
      <c r="E361" s="6" t="s">
        <v>37</v>
      </c>
      <c r="F361" s="6" t="s">
        <v>46</v>
      </c>
      <c r="G361" s="6" t="s">
        <v>40</v>
      </c>
      <c r="H361" s="8">
        <v>9699</v>
      </c>
      <c r="I361" s="8">
        <f t="shared" si="22"/>
        <v>2133.7800000000002</v>
      </c>
      <c r="J361" s="8">
        <f t="shared" si="23"/>
        <v>7565.2199999999993</v>
      </c>
      <c r="K361" s="8">
        <v>7246</v>
      </c>
      <c r="L361" s="6">
        <v>13</v>
      </c>
      <c r="M361" s="22" t="str" cm="1">
        <f t="array" ref="M361">_xlfn.IFS(L361&gt;10,"Veteran",L361&gt;=6,"Experienced",L361&gt;=2,"Developing",L361&gt;=0,"New")</f>
        <v>Veteran</v>
      </c>
    </row>
    <row r="362" spans="1:13">
      <c r="A362" s="21" t="str">
        <f t="shared" ca="1" si="20"/>
        <v>He-Res-2023-361</v>
      </c>
      <c r="B362" s="6">
        <v>57</v>
      </c>
      <c r="C362" s="6" t="str">
        <f t="shared" si="21"/>
        <v>50+</v>
      </c>
      <c r="D362" s="6" t="s">
        <v>43</v>
      </c>
      <c r="E362" s="6" t="s">
        <v>45</v>
      </c>
      <c r="F362" s="6" t="s">
        <v>46</v>
      </c>
      <c r="G362" s="6" t="s">
        <v>54</v>
      </c>
      <c r="H362" s="8">
        <v>6755</v>
      </c>
      <c r="I362" s="8">
        <f t="shared" si="22"/>
        <v>1013.25</v>
      </c>
      <c r="J362" s="8">
        <f t="shared" si="23"/>
        <v>5741.75</v>
      </c>
      <c r="K362" s="8">
        <v>2967</v>
      </c>
      <c r="L362" s="6">
        <v>3</v>
      </c>
      <c r="M362" s="22" t="str" cm="1">
        <f t="array" ref="M362">_xlfn.IFS(L362&gt;10,"Veteran",L362&gt;=6,"Experienced",L362&gt;=2,"Developing",L362&gt;=0,"New")</f>
        <v>Developing</v>
      </c>
    </row>
    <row r="363" spans="1:13">
      <c r="A363" s="21" t="str">
        <f t="shared" ca="1" si="20"/>
        <v>La-Res-2019-362</v>
      </c>
      <c r="B363" s="6">
        <v>40</v>
      </c>
      <c r="C363" s="6" t="str">
        <f t="shared" si="21"/>
        <v>40-49</v>
      </c>
      <c r="D363" s="6" t="s">
        <v>43</v>
      </c>
      <c r="E363" s="6" t="s">
        <v>45</v>
      </c>
      <c r="F363" s="6" t="s">
        <v>39</v>
      </c>
      <c r="G363" s="6" t="s">
        <v>50</v>
      </c>
      <c r="H363" s="8">
        <v>2213</v>
      </c>
      <c r="I363" s="8">
        <f t="shared" si="22"/>
        <v>154.91000000000003</v>
      </c>
      <c r="J363" s="8">
        <f t="shared" si="23"/>
        <v>2058.09</v>
      </c>
      <c r="K363" s="8">
        <v>22495</v>
      </c>
      <c r="L363" s="6">
        <v>7</v>
      </c>
      <c r="M363" s="22" t="str" cm="1">
        <f t="array" ref="M363">_xlfn.IFS(L363&gt;10,"Veteran",L363&gt;=6,"Experienced",L363&gt;=2,"Developing",L363&gt;=0,"New")</f>
        <v>Experienced</v>
      </c>
    </row>
    <row r="364" spans="1:13">
      <c r="A364" s="21" t="str">
        <f t="shared" ca="1" si="20"/>
        <v>Sa-Sal-2023-363</v>
      </c>
      <c r="B364" s="6">
        <v>21</v>
      </c>
      <c r="C364" s="6" t="str">
        <f t="shared" si="21"/>
        <v>20-29</v>
      </c>
      <c r="D364" s="6" t="s">
        <v>43</v>
      </c>
      <c r="E364" s="6" t="s">
        <v>37</v>
      </c>
      <c r="F364" s="6" t="s">
        <v>46</v>
      </c>
      <c r="G364" s="6" t="s">
        <v>57</v>
      </c>
      <c r="H364" s="8">
        <v>2610</v>
      </c>
      <c r="I364" s="8">
        <f t="shared" si="22"/>
        <v>182.70000000000002</v>
      </c>
      <c r="J364" s="8">
        <f t="shared" si="23"/>
        <v>2427.3000000000002</v>
      </c>
      <c r="K364" s="8">
        <v>2851</v>
      </c>
      <c r="L364" s="6">
        <v>3</v>
      </c>
      <c r="M364" s="22" t="str" cm="1">
        <f t="array" ref="M364">_xlfn.IFS(L364&gt;10,"Veteran",L364&gt;=6,"Experienced",L364&gt;=2,"Developing",L364&gt;=0,"New")</f>
        <v>Developing</v>
      </c>
    </row>
    <row r="365" spans="1:13">
      <c r="A365" s="21" t="str">
        <f t="shared" ca="1" si="20"/>
        <v>Sa-Sal-2025-364</v>
      </c>
      <c r="B365" s="6">
        <v>33</v>
      </c>
      <c r="C365" s="6" t="str">
        <f t="shared" si="21"/>
        <v>30-39</v>
      </c>
      <c r="D365" s="6" t="s">
        <v>35</v>
      </c>
      <c r="E365" s="6" t="s">
        <v>37</v>
      </c>
      <c r="F365" s="6" t="s">
        <v>39</v>
      </c>
      <c r="G365" s="6" t="s">
        <v>57</v>
      </c>
      <c r="H365" s="8">
        <v>2851</v>
      </c>
      <c r="I365" s="8">
        <f t="shared" si="22"/>
        <v>199.57000000000002</v>
      </c>
      <c r="J365" s="8">
        <f t="shared" si="23"/>
        <v>2651.43</v>
      </c>
      <c r="K365" s="8">
        <v>9150</v>
      </c>
      <c r="L365" s="6">
        <v>1</v>
      </c>
      <c r="M365" s="22" t="str" cm="1">
        <f t="array" ref="M365">_xlfn.IFS(L365&gt;10,"Veteran",L365&gt;=6,"Experienced",L365&gt;=2,"Developing",L365&gt;=0,"New")</f>
        <v>New</v>
      </c>
    </row>
    <row r="366" spans="1:13">
      <c r="A366" s="21" t="str">
        <f t="shared" ca="1" si="20"/>
        <v>La-Res-2021-365</v>
      </c>
      <c r="B366" s="6">
        <v>37</v>
      </c>
      <c r="C366" s="6" t="str">
        <f t="shared" si="21"/>
        <v>30-39</v>
      </c>
      <c r="D366" s="6" t="s">
        <v>43</v>
      </c>
      <c r="E366" s="6" t="s">
        <v>45</v>
      </c>
      <c r="F366" s="6" t="s">
        <v>39</v>
      </c>
      <c r="G366" s="6" t="s">
        <v>50</v>
      </c>
      <c r="H366" s="8">
        <v>3452</v>
      </c>
      <c r="I366" s="8">
        <f t="shared" si="22"/>
        <v>517.79999999999995</v>
      </c>
      <c r="J366" s="8">
        <f t="shared" si="23"/>
        <v>2934.2</v>
      </c>
      <c r="K366" s="8">
        <v>17663</v>
      </c>
      <c r="L366" s="6">
        <v>5</v>
      </c>
      <c r="M366" s="22" t="str" cm="1">
        <f t="array" ref="M366">_xlfn.IFS(L366&gt;10,"Veteran",L366&gt;=6,"Experienced",L366&gt;=2,"Developing",L366&gt;=0,"New")</f>
        <v>Developing</v>
      </c>
    </row>
    <row r="367" spans="1:13">
      <c r="A367" s="21" t="str">
        <f t="shared" ca="1" si="20"/>
        <v>Ma-Res-2025-366</v>
      </c>
      <c r="B367" s="6">
        <v>46</v>
      </c>
      <c r="C367" s="6" t="str">
        <f t="shared" si="21"/>
        <v>40-49</v>
      </c>
      <c r="D367" s="6" t="s">
        <v>43</v>
      </c>
      <c r="E367" s="6" t="s">
        <v>45</v>
      </c>
      <c r="F367" s="6" t="s">
        <v>39</v>
      </c>
      <c r="G367" s="6" t="s">
        <v>53</v>
      </c>
      <c r="H367" s="8">
        <v>5258</v>
      </c>
      <c r="I367" s="8">
        <f t="shared" si="22"/>
        <v>788.69999999999993</v>
      </c>
      <c r="J367" s="8">
        <f t="shared" si="23"/>
        <v>4469.3</v>
      </c>
      <c r="K367" s="8">
        <v>16044</v>
      </c>
      <c r="L367" s="6">
        <v>1</v>
      </c>
      <c r="M367" s="22" t="str" cm="1">
        <f t="array" ref="M367">_xlfn.IFS(L367&gt;10,"Veteran",L367&gt;=6,"Experienced",L367&gt;=2,"Developing",L367&gt;=0,"New")</f>
        <v>New</v>
      </c>
    </row>
    <row r="368" spans="1:13">
      <c r="A368" s="21" t="str">
        <f t="shared" ca="1" si="20"/>
        <v>Sa-Sal-2018-367</v>
      </c>
      <c r="B368" s="6">
        <v>41</v>
      </c>
      <c r="C368" s="6" t="str">
        <f t="shared" si="21"/>
        <v>40-49</v>
      </c>
      <c r="D368" s="6" t="s">
        <v>35</v>
      </c>
      <c r="E368" s="6" t="s">
        <v>37</v>
      </c>
      <c r="F368" s="6" t="s">
        <v>46</v>
      </c>
      <c r="G368" s="6" t="s">
        <v>40</v>
      </c>
      <c r="H368" s="8">
        <v>9355</v>
      </c>
      <c r="I368" s="8">
        <f t="shared" si="22"/>
        <v>2058.1</v>
      </c>
      <c r="J368" s="8">
        <f t="shared" si="23"/>
        <v>7296.9</v>
      </c>
      <c r="K368" s="8">
        <v>9558</v>
      </c>
      <c r="L368" s="6">
        <v>8</v>
      </c>
      <c r="M368" s="22" t="str" cm="1">
        <f t="array" ref="M368">_xlfn.IFS(L368&gt;10,"Veteran",L368&gt;=6,"Experienced",L368&gt;=2,"Developing",L368&gt;=0,"New")</f>
        <v>Experienced</v>
      </c>
    </row>
    <row r="369" spans="1:13">
      <c r="A369" s="21" t="str">
        <f t="shared" ca="1" si="20"/>
        <v>He-Res-2022-368</v>
      </c>
      <c r="B369" s="6">
        <v>50</v>
      </c>
      <c r="C369" s="6" t="str">
        <f t="shared" si="21"/>
        <v>50+</v>
      </c>
      <c r="D369" s="6" t="s">
        <v>43</v>
      </c>
      <c r="E369" s="6" t="s">
        <v>45</v>
      </c>
      <c r="F369" s="6" t="s">
        <v>46</v>
      </c>
      <c r="G369" s="6" t="s">
        <v>54</v>
      </c>
      <c r="H369" s="8">
        <v>10496</v>
      </c>
      <c r="I369" s="8">
        <f t="shared" si="22"/>
        <v>2309.12</v>
      </c>
      <c r="J369" s="8">
        <f t="shared" si="23"/>
        <v>8186.88</v>
      </c>
      <c r="K369" s="8">
        <v>2755</v>
      </c>
      <c r="L369" s="6">
        <v>4</v>
      </c>
      <c r="M369" s="22" t="str" cm="1">
        <f t="array" ref="M369">_xlfn.IFS(L369&gt;10,"Veteran",L369&gt;=6,"Experienced",L369&gt;=2,"Developing",L369&gt;=0,"New")</f>
        <v>Developing</v>
      </c>
    </row>
    <row r="370" spans="1:13">
      <c r="A370" s="21" t="str">
        <f t="shared" ca="1" si="20"/>
        <v>Sa-Sal-2020-369</v>
      </c>
      <c r="B370" s="6">
        <v>40</v>
      </c>
      <c r="C370" s="6" t="str">
        <f t="shared" si="21"/>
        <v>40-49</v>
      </c>
      <c r="D370" s="6" t="s">
        <v>35</v>
      </c>
      <c r="E370" s="6" t="s">
        <v>37</v>
      </c>
      <c r="F370" s="6" t="s">
        <v>46</v>
      </c>
      <c r="G370" s="6" t="s">
        <v>40</v>
      </c>
      <c r="H370" s="8">
        <v>6380</v>
      </c>
      <c r="I370" s="8">
        <f t="shared" si="22"/>
        <v>957</v>
      </c>
      <c r="J370" s="8">
        <f t="shared" si="23"/>
        <v>5423</v>
      </c>
      <c r="K370" s="8">
        <v>6110</v>
      </c>
      <c r="L370" s="6">
        <v>6</v>
      </c>
      <c r="M370" s="22" t="str" cm="1">
        <f t="array" ref="M370">_xlfn.IFS(L370&gt;10,"Veteran",L370&gt;=6,"Experienced",L370&gt;=2,"Developing",L370&gt;=0,"New")</f>
        <v>Experienced</v>
      </c>
    </row>
    <row r="371" spans="1:13">
      <c r="A371" s="21" t="str">
        <f t="shared" ca="1" si="20"/>
        <v>Re-Res-2024-370</v>
      </c>
      <c r="B371" s="6">
        <v>31</v>
      </c>
      <c r="C371" s="6" t="str">
        <f t="shared" si="21"/>
        <v>30-39</v>
      </c>
      <c r="D371" s="6" t="s">
        <v>43</v>
      </c>
      <c r="E371" s="6" t="s">
        <v>45</v>
      </c>
      <c r="F371" s="6" t="s">
        <v>46</v>
      </c>
      <c r="G371" s="6" t="s">
        <v>47</v>
      </c>
      <c r="H371" s="8">
        <v>2657</v>
      </c>
      <c r="I371" s="8">
        <f t="shared" si="22"/>
        <v>185.99</v>
      </c>
      <c r="J371" s="8">
        <f t="shared" si="23"/>
        <v>2471.0100000000002</v>
      </c>
      <c r="K371" s="8">
        <v>7551</v>
      </c>
      <c r="L371" s="6">
        <v>2</v>
      </c>
      <c r="M371" s="22" t="str" cm="1">
        <f t="array" ref="M371">_xlfn.IFS(L371&gt;10,"Veteran",L371&gt;=6,"Experienced",L371&gt;=2,"Developing",L371&gt;=0,"New")</f>
        <v>Developing</v>
      </c>
    </row>
    <row r="372" spans="1:13">
      <c r="A372" s="21" t="str">
        <f t="shared" ca="1" si="20"/>
        <v>Sa-Sal-2025-371</v>
      </c>
      <c r="B372" s="6">
        <v>21</v>
      </c>
      <c r="C372" s="6" t="str">
        <f t="shared" si="21"/>
        <v>20-29</v>
      </c>
      <c r="D372" s="6" t="s">
        <v>35</v>
      </c>
      <c r="E372" s="6" t="s">
        <v>37</v>
      </c>
      <c r="F372" s="6" t="s">
        <v>39</v>
      </c>
      <c r="G372" s="6" t="s">
        <v>57</v>
      </c>
      <c r="H372" s="8">
        <v>2716</v>
      </c>
      <c r="I372" s="8">
        <f t="shared" si="22"/>
        <v>190.12</v>
      </c>
      <c r="J372" s="8">
        <f t="shared" si="23"/>
        <v>2525.88</v>
      </c>
      <c r="K372" s="8">
        <v>25422</v>
      </c>
      <c r="L372" s="6">
        <v>1</v>
      </c>
      <c r="M372" s="22" t="str" cm="1">
        <f t="array" ref="M372">_xlfn.IFS(L372&gt;10,"Veteran",L372&gt;=6,"Experienced",L372&gt;=2,"Developing",L372&gt;=0,"New")</f>
        <v>New</v>
      </c>
    </row>
    <row r="373" spans="1:13">
      <c r="A373" s="21" t="str">
        <f t="shared" ca="1" si="20"/>
        <v>Re-Res-2023-372</v>
      </c>
      <c r="B373" s="6">
        <v>29</v>
      </c>
      <c r="C373" s="6" t="str">
        <f t="shared" si="21"/>
        <v>20-29</v>
      </c>
      <c r="D373" s="6" t="s">
        <v>43</v>
      </c>
      <c r="E373" s="6" t="s">
        <v>45</v>
      </c>
      <c r="F373" s="6" t="s">
        <v>46</v>
      </c>
      <c r="G373" s="6" t="s">
        <v>47</v>
      </c>
      <c r="H373" s="8">
        <v>2201</v>
      </c>
      <c r="I373" s="8">
        <f t="shared" si="22"/>
        <v>154.07000000000002</v>
      </c>
      <c r="J373" s="8">
        <f t="shared" si="23"/>
        <v>2046.93</v>
      </c>
      <c r="K373" s="8">
        <v>18168</v>
      </c>
      <c r="L373" s="6">
        <v>3</v>
      </c>
      <c r="M373" s="22" t="str" cm="1">
        <f t="array" ref="M373">_xlfn.IFS(L373&gt;10,"Veteran",L373&gt;=6,"Experienced",L373&gt;=2,"Developing",L373&gt;=0,"New")</f>
        <v>Developing</v>
      </c>
    </row>
    <row r="374" spans="1:13">
      <c r="A374" s="21" t="str">
        <f t="shared" ca="1" si="20"/>
        <v>He-Res-2025-373</v>
      </c>
      <c r="B374" s="6">
        <v>35</v>
      </c>
      <c r="C374" s="6" t="str">
        <f t="shared" si="21"/>
        <v>30-39</v>
      </c>
      <c r="D374" s="6" t="s">
        <v>43</v>
      </c>
      <c r="E374" s="6" t="s">
        <v>45</v>
      </c>
      <c r="F374" s="6" t="s">
        <v>46</v>
      </c>
      <c r="G374" s="6" t="s">
        <v>54</v>
      </c>
      <c r="H374" s="8">
        <v>6540</v>
      </c>
      <c r="I374" s="8">
        <f t="shared" si="22"/>
        <v>981</v>
      </c>
      <c r="J374" s="8">
        <f t="shared" si="23"/>
        <v>5559</v>
      </c>
      <c r="K374" s="8">
        <v>19394</v>
      </c>
      <c r="L374" s="6">
        <v>1</v>
      </c>
      <c r="M374" s="22" t="str" cm="1">
        <f t="array" ref="M374">_xlfn.IFS(L374&gt;10,"Veteran",L374&gt;=6,"Experienced",L374&gt;=2,"Developing",L374&gt;=0,"New")</f>
        <v>New</v>
      </c>
    </row>
    <row r="375" spans="1:13">
      <c r="A375" s="21" t="str">
        <f t="shared" ca="1" si="20"/>
        <v>La-Res-2021-374</v>
      </c>
      <c r="B375" s="6">
        <v>27</v>
      </c>
      <c r="C375" s="6" t="str">
        <f t="shared" si="21"/>
        <v>20-29</v>
      </c>
      <c r="D375" s="6" t="s">
        <v>43</v>
      </c>
      <c r="E375" s="6" t="s">
        <v>45</v>
      </c>
      <c r="F375" s="6" t="s">
        <v>46</v>
      </c>
      <c r="G375" s="6" t="s">
        <v>50</v>
      </c>
      <c r="H375" s="8">
        <v>3816</v>
      </c>
      <c r="I375" s="8">
        <f t="shared" si="22"/>
        <v>572.4</v>
      </c>
      <c r="J375" s="8">
        <f t="shared" si="23"/>
        <v>3243.6</v>
      </c>
      <c r="K375" s="8">
        <v>17881</v>
      </c>
      <c r="L375" s="6">
        <v>5</v>
      </c>
      <c r="M375" s="22" t="str" cm="1">
        <f t="array" ref="M375">_xlfn.IFS(L375&gt;10,"Veteran",L375&gt;=6,"Experienced",L375&gt;=2,"Developing",L375&gt;=0,"New")</f>
        <v>Developing</v>
      </c>
    </row>
    <row r="376" spans="1:13">
      <c r="A376" s="21" t="str">
        <f t="shared" ca="1" si="20"/>
        <v>Sa-Sal-2019-375</v>
      </c>
      <c r="B376" s="6">
        <v>28</v>
      </c>
      <c r="C376" s="6" t="str">
        <f t="shared" si="21"/>
        <v>20-29</v>
      </c>
      <c r="D376" s="6" t="s">
        <v>43</v>
      </c>
      <c r="E376" s="6" t="s">
        <v>37</v>
      </c>
      <c r="F376" s="6" t="s">
        <v>46</v>
      </c>
      <c r="G376" s="6" t="s">
        <v>40</v>
      </c>
      <c r="H376" s="8">
        <v>5253</v>
      </c>
      <c r="I376" s="8">
        <f t="shared" si="22"/>
        <v>787.94999999999993</v>
      </c>
      <c r="J376" s="8">
        <f t="shared" si="23"/>
        <v>4465.05</v>
      </c>
      <c r="K376" s="8">
        <v>20750</v>
      </c>
      <c r="L376" s="6">
        <v>7</v>
      </c>
      <c r="M376" s="22" t="str" cm="1">
        <f t="array" ref="M376">_xlfn.IFS(L376&gt;10,"Veteran",L376&gt;=6,"Experienced",L376&gt;=2,"Developing",L376&gt;=0,"New")</f>
        <v>Experienced</v>
      </c>
    </row>
    <row r="377" spans="1:13">
      <c r="A377" s="21" t="str">
        <f t="shared" ca="1" si="20"/>
        <v>He-Res-2021-376</v>
      </c>
      <c r="B377" s="6">
        <v>49</v>
      </c>
      <c r="C377" s="6" t="str">
        <f t="shared" si="21"/>
        <v>40-49</v>
      </c>
      <c r="D377" s="6" t="s">
        <v>43</v>
      </c>
      <c r="E377" s="6" t="s">
        <v>45</v>
      </c>
      <c r="F377" s="6" t="s">
        <v>46</v>
      </c>
      <c r="G377" s="6" t="s">
        <v>54</v>
      </c>
      <c r="H377" s="8">
        <v>10965</v>
      </c>
      <c r="I377" s="8">
        <f t="shared" si="22"/>
        <v>2412.3000000000002</v>
      </c>
      <c r="J377" s="8">
        <f t="shared" si="23"/>
        <v>8552.7000000000007</v>
      </c>
      <c r="K377" s="8">
        <v>12066</v>
      </c>
      <c r="L377" s="6">
        <v>5</v>
      </c>
      <c r="M377" s="22" t="str" cm="1">
        <f t="array" ref="M377">_xlfn.IFS(L377&gt;10,"Veteran",L377&gt;=6,"Experienced",L377&gt;=2,"Developing",L377&gt;=0,"New")</f>
        <v>Developing</v>
      </c>
    </row>
    <row r="378" spans="1:13">
      <c r="A378" s="21" t="str">
        <f t="shared" ca="1" si="20"/>
        <v>Sa-Sal-2019-377</v>
      </c>
      <c r="B378" s="6">
        <v>51</v>
      </c>
      <c r="C378" s="6" t="str">
        <f t="shared" si="21"/>
        <v>50+</v>
      </c>
      <c r="D378" s="6" t="s">
        <v>43</v>
      </c>
      <c r="E378" s="6" t="s">
        <v>37</v>
      </c>
      <c r="F378" s="6" t="s">
        <v>39</v>
      </c>
      <c r="G378" s="6" t="s">
        <v>40</v>
      </c>
      <c r="H378" s="8">
        <v>4936</v>
      </c>
      <c r="I378" s="8">
        <f t="shared" si="22"/>
        <v>740.4</v>
      </c>
      <c r="J378" s="8">
        <f t="shared" si="23"/>
        <v>4195.6000000000004</v>
      </c>
      <c r="K378" s="8">
        <v>14862</v>
      </c>
      <c r="L378" s="6">
        <v>7</v>
      </c>
      <c r="M378" s="22" t="str" cm="1">
        <f t="array" ref="M378">_xlfn.IFS(L378&gt;10,"Veteran",L378&gt;=6,"Experienced",L378&gt;=2,"Developing",L378&gt;=0,"New")</f>
        <v>Experienced</v>
      </c>
    </row>
    <row r="379" spans="1:13">
      <c r="A379" s="21" t="str">
        <f t="shared" ca="1" si="20"/>
        <v>Re-Res-2024-378</v>
      </c>
      <c r="B379" s="6">
        <v>36</v>
      </c>
      <c r="C379" s="6" t="str">
        <f t="shared" si="21"/>
        <v>30-39</v>
      </c>
      <c r="D379" s="6" t="s">
        <v>43</v>
      </c>
      <c r="E379" s="6" t="s">
        <v>45</v>
      </c>
      <c r="F379" s="6" t="s">
        <v>39</v>
      </c>
      <c r="G379" s="6" t="s">
        <v>47</v>
      </c>
      <c r="H379" s="8">
        <v>2543</v>
      </c>
      <c r="I379" s="8">
        <f t="shared" si="22"/>
        <v>178.01000000000002</v>
      </c>
      <c r="J379" s="8">
        <f t="shared" si="23"/>
        <v>2364.9899999999998</v>
      </c>
      <c r="K379" s="8">
        <v>11868</v>
      </c>
      <c r="L379" s="6">
        <v>2</v>
      </c>
      <c r="M379" s="22" t="str" cm="1">
        <f t="array" ref="M379">_xlfn.IFS(L379&gt;10,"Veteran",L379&gt;=6,"Experienced",L379&gt;=2,"Developing",L379&gt;=0,"New")</f>
        <v>Developing</v>
      </c>
    </row>
    <row r="380" spans="1:13">
      <c r="A380" s="21" t="str">
        <f t="shared" ca="1" si="20"/>
        <v>Sa-Sal-2021-379</v>
      </c>
      <c r="B380" s="6">
        <v>34</v>
      </c>
      <c r="C380" s="6" t="str">
        <f t="shared" si="21"/>
        <v>30-39</v>
      </c>
      <c r="D380" s="6" t="s">
        <v>35</v>
      </c>
      <c r="E380" s="6" t="s">
        <v>37</v>
      </c>
      <c r="F380" s="6" t="s">
        <v>46</v>
      </c>
      <c r="G380" s="6" t="s">
        <v>40</v>
      </c>
      <c r="H380" s="8">
        <v>5304</v>
      </c>
      <c r="I380" s="8">
        <f t="shared" si="22"/>
        <v>795.6</v>
      </c>
      <c r="J380" s="8">
        <f t="shared" si="23"/>
        <v>4508.3999999999996</v>
      </c>
      <c r="K380" s="8">
        <v>4652</v>
      </c>
      <c r="L380" s="6">
        <v>5</v>
      </c>
      <c r="M380" s="22" t="str" cm="1">
        <f t="array" ref="M380">_xlfn.IFS(L380&gt;10,"Veteran",L380&gt;=6,"Experienced",L380&gt;=2,"Developing",L380&gt;=0,"New")</f>
        <v>Developing</v>
      </c>
    </row>
    <row r="381" spans="1:13">
      <c r="A381" s="21" t="str">
        <f t="shared" ca="1" si="20"/>
        <v>Ma-Res-2021-380</v>
      </c>
      <c r="B381" s="6">
        <v>55</v>
      </c>
      <c r="C381" s="6" t="str">
        <f t="shared" si="21"/>
        <v>50+</v>
      </c>
      <c r="D381" s="6" t="s">
        <v>43</v>
      </c>
      <c r="E381" s="6" t="s">
        <v>45</v>
      </c>
      <c r="F381" s="6" t="s">
        <v>39</v>
      </c>
      <c r="G381" s="6" t="s">
        <v>56</v>
      </c>
      <c r="H381" s="8">
        <v>16659</v>
      </c>
      <c r="I381" s="8">
        <f t="shared" si="22"/>
        <v>4997.7</v>
      </c>
      <c r="J381" s="8">
        <f t="shared" si="23"/>
        <v>11661.3</v>
      </c>
      <c r="K381" s="8">
        <v>23258</v>
      </c>
      <c r="L381" s="6">
        <v>5</v>
      </c>
      <c r="M381" s="22" t="str" cm="1">
        <f t="array" ref="M381">_xlfn.IFS(L381&gt;10,"Veteran",L381&gt;=6,"Experienced",L381&gt;=2,"Developing",L381&gt;=0,"New")</f>
        <v>Developing</v>
      </c>
    </row>
    <row r="382" spans="1:13">
      <c r="A382" s="21" t="str">
        <f t="shared" ca="1" si="20"/>
        <v>Sa-Sal-2021-381</v>
      </c>
      <c r="B382" s="6">
        <v>24</v>
      </c>
      <c r="C382" s="6" t="str">
        <f t="shared" si="21"/>
        <v>20-29</v>
      </c>
      <c r="D382" s="6" t="s">
        <v>43</v>
      </c>
      <c r="E382" s="6" t="s">
        <v>37</v>
      </c>
      <c r="F382" s="6" t="s">
        <v>39</v>
      </c>
      <c r="G382" s="6" t="s">
        <v>40</v>
      </c>
      <c r="H382" s="8">
        <v>4260</v>
      </c>
      <c r="I382" s="8">
        <f t="shared" si="22"/>
        <v>639</v>
      </c>
      <c r="J382" s="8">
        <f t="shared" si="23"/>
        <v>3621</v>
      </c>
      <c r="K382" s="8">
        <v>5915</v>
      </c>
      <c r="L382" s="6">
        <v>5</v>
      </c>
      <c r="M382" s="22" t="str" cm="1">
        <f t="array" ref="M382">_xlfn.IFS(L382&gt;10,"Veteran",L382&gt;=6,"Experienced",L382&gt;=2,"Developing",L382&gt;=0,"New")</f>
        <v>Developing</v>
      </c>
    </row>
    <row r="383" spans="1:13">
      <c r="A383" s="21" t="str">
        <f t="shared" ca="1" si="20"/>
        <v>Sa-Sal-2025-382</v>
      </c>
      <c r="B383" s="6">
        <v>30</v>
      </c>
      <c r="C383" s="6" t="str">
        <f t="shared" si="21"/>
        <v>30-39</v>
      </c>
      <c r="D383" s="6" t="s">
        <v>43</v>
      </c>
      <c r="E383" s="6" t="s">
        <v>37</v>
      </c>
      <c r="F383" s="6" t="s">
        <v>46</v>
      </c>
      <c r="G383" s="6" t="s">
        <v>57</v>
      </c>
      <c r="H383" s="8">
        <v>2476</v>
      </c>
      <c r="I383" s="8">
        <f t="shared" si="22"/>
        <v>173.32000000000002</v>
      </c>
      <c r="J383" s="8">
        <f t="shared" si="23"/>
        <v>2302.6799999999998</v>
      </c>
      <c r="K383" s="8">
        <v>17434</v>
      </c>
      <c r="L383" s="6">
        <v>1</v>
      </c>
      <c r="M383" s="22" t="str" cm="1">
        <f t="array" ref="M383">_xlfn.IFS(L383&gt;10,"Veteran",L383&gt;=6,"Experienced",L383&gt;=2,"Developing",L383&gt;=0,"New")</f>
        <v>New</v>
      </c>
    </row>
    <row r="384" spans="1:13">
      <c r="A384" s="21" t="str">
        <f t="shared" ca="1" si="20"/>
        <v>Re-Res-2020-383</v>
      </c>
      <c r="B384" s="6">
        <v>26</v>
      </c>
      <c r="C384" s="6" t="str">
        <f t="shared" si="21"/>
        <v>20-29</v>
      </c>
      <c r="D384" s="6" t="s">
        <v>35</v>
      </c>
      <c r="E384" s="6" t="s">
        <v>45</v>
      </c>
      <c r="F384" s="6" t="s">
        <v>46</v>
      </c>
      <c r="G384" s="6" t="s">
        <v>47</v>
      </c>
      <c r="H384" s="8">
        <v>3102</v>
      </c>
      <c r="I384" s="8">
        <f t="shared" si="22"/>
        <v>465.29999999999995</v>
      </c>
      <c r="J384" s="8">
        <f t="shared" si="23"/>
        <v>2636.7</v>
      </c>
      <c r="K384" s="8">
        <v>6582</v>
      </c>
      <c r="L384" s="6">
        <v>6</v>
      </c>
      <c r="M384" s="22" t="str" cm="1">
        <f t="array" ref="M384">_xlfn.IFS(L384&gt;10,"Veteran",L384&gt;=6,"Experienced",L384&gt;=2,"Developing",L384&gt;=0,"New")</f>
        <v>Experienced</v>
      </c>
    </row>
    <row r="385" spans="1:13">
      <c r="A385" s="21" t="str">
        <f t="shared" ca="1" si="20"/>
        <v>Re-Res-2024-384</v>
      </c>
      <c r="B385" s="6">
        <v>22</v>
      </c>
      <c r="C385" s="6" t="str">
        <f t="shared" si="21"/>
        <v>20-29</v>
      </c>
      <c r="D385" s="6" t="s">
        <v>43</v>
      </c>
      <c r="E385" s="6" t="s">
        <v>45</v>
      </c>
      <c r="F385" s="6" t="s">
        <v>39</v>
      </c>
      <c r="G385" s="6" t="s">
        <v>47</v>
      </c>
      <c r="H385" s="8">
        <v>2244</v>
      </c>
      <c r="I385" s="8">
        <f t="shared" si="22"/>
        <v>157.08000000000001</v>
      </c>
      <c r="J385" s="8">
        <f t="shared" si="23"/>
        <v>2086.92</v>
      </c>
      <c r="K385" s="8">
        <v>24440</v>
      </c>
      <c r="L385" s="6">
        <v>2</v>
      </c>
      <c r="M385" s="22" t="str" cm="1">
        <f t="array" ref="M385">_xlfn.IFS(L385&gt;10,"Veteran",L385&gt;=6,"Experienced",L385&gt;=2,"Developing",L385&gt;=0,"New")</f>
        <v>Developing</v>
      </c>
    </row>
    <row r="386" spans="1:13">
      <c r="A386" s="21" t="str">
        <f t="shared" ca="1" si="20"/>
        <v>Sa-Sal-2016-385</v>
      </c>
      <c r="B386" s="6">
        <v>36</v>
      </c>
      <c r="C386" s="6" t="str">
        <f t="shared" si="21"/>
        <v>30-39</v>
      </c>
      <c r="D386" s="6" t="s">
        <v>43</v>
      </c>
      <c r="E386" s="6" t="s">
        <v>37</v>
      </c>
      <c r="F386" s="6" t="s">
        <v>46</v>
      </c>
      <c r="G386" s="6" t="s">
        <v>40</v>
      </c>
      <c r="H386" s="8">
        <v>7596</v>
      </c>
      <c r="I386" s="8">
        <f t="shared" si="22"/>
        <v>1671.1200000000001</v>
      </c>
      <c r="J386" s="8">
        <f t="shared" si="23"/>
        <v>5924.88</v>
      </c>
      <c r="K386" s="8">
        <v>3809</v>
      </c>
      <c r="L386" s="6">
        <v>10</v>
      </c>
      <c r="M386" s="22" t="str" cm="1">
        <f t="array" ref="M386">_xlfn.IFS(L386&gt;10,"Veteran",L386&gt;=6,"Experienced",L386&gt;=2,"Developing",L386&gt;=0,"New")</f>
        <v>Experienced</v>
      </c>
    </row>
    <row r="387" spans="1:13">
      <c r="A387" s="21" t="str">
        <f t="shared" ref="A387:A450" ca="1" si="24">LEFT(G387,2)&amp;"-"&amp;LEFT(E387,3)&amp;"-"&amp;YEAR(TODAY())-L387&amp;"-"&amp;TEXT(ROW()-1,"000")</f>
        <v>Re-Res-2025-386</v>
      </c>
      <c r="B387" s="6">
        <v>30</v>
      </c>
      <c r="C387" s="6" t="str">
        <f t="shared" ref="C387:C450" si="25">IF(B387&lt;=29,"20-29",IF(B387&lt;=39,"30-39",IF(B387&lt;=49,"40-49","50+")))</f>
        <v>30-39</v>
      </c>
      <c r="D387" s="6" t="s">
        <v>35</v>
      </c>
      <c r="E387" s="6" t="s">
        <v>45</v>
      </c>
      <c r="F387" s="6" t="s">
        <v>46</v>
      </c>
      <c r="G387" s="6" t="s">
        <v>47</v>
      </c>
      <c r="H387" s="8">
        <v>2285</v>
      </c>
      <c r="I387" s="8">
        <f t="shared" ref="I387:I450" si="26">IF(H387&gt;13000,H387*30%,IF(H387&gt;7000,H387*22%,IF(H387&gt;3000,H387*15%,H387*7%)))</f>
        <v>159.95000000000002</v>
      </c>
      <c r="J387" s="8">
        <f t="shared" ref="J387:J450" si="27">H387-I387</f>
        <v>2125.0500000000002</v>
      </c>
      <c r="K387" s="8">
        <v>3427</v>
      </c>
      <c r="L387" s="6">
        <v>1</v>
      </c>
      <c r="M387" s="22" t="str" cm="1">
        <f t="array" ref="M387">_xlfn.IFS(L387&gt;10,"Veteran",L387&gt;=6,"Experienced",L387&gt;=2,"Developing",L387&gt;=0,"New")</f>
        <v>New</v>
      </c>
    </row>
    <row r="388" spans="1:13">
      <c r="A388" s="21" t="str">
        <f t="shared" ca="1" si="24"/>
        <v>La-Res-2008-387</v>
      </c>
      <c r="B388" s="6">
        <v>37</v>
      </c>
      <c r="C388" s="6" t="str">
        <f t="shared" si="25"/>
        <v>30-39</v>
      </c>
      <c r="D388" s="6" t="s">
        <v>43</v>
      </c>
      <c r="E388" s="6" t="s">
        <v>45</v>
      </c>
      <c r="F388" s="6" t="s">
        <v>39</v>
      </c>
      <c r="G388" s="6" t="s">
        <v>50</v>
      </c>
      <c r="H388" s="8">
        <v>3034</v>
      </c>
      <c r="I388" s="8">
        <f t="shared" si="26"/>
        <v>455.09999999999997</v>
      </c>
      <c r="J388" s="8">
        <f t="shared" si="27"/>
        <v>2578.9</v>
      </c>
      <c r="K388" s="8">
        <v>26914</v>
      </c>
      <c r="L388" s="6">
        <v>18</v>
      </c>
      <c r="M388" s="22" t="str" cm="1">
        <f t="array" ref="M388">_xlfn.IFS(L388&gt;10,"Veteran",L388&gt;=6,"Experienced",L388&gt;=2,"Developing",L388&gt;=0,"New")</f>
        <v>Veteran</v>
      </c>
    </row>
    <row r="389" spans="1:13">
      <c r="A389" s="21" t="str">
        <f t="shared" ca="1" si="24"/>
        <v>Sa-Sal-2021-388</v>
      </c>
      <c r="B389" s="6">
        <v>40</v>
      </c>
      <c r="C389" s="6" t="str">
        <f t="shared" si="25"/>
        <v>40-49</v>
      </c>
      <c r="D389" s="6" t="s">
        <v>43</v>
      </c>
      <c r="E389" s="6" t="s">
        <v>37</v>
      </c>
      <c r="F389" s="6" t="s">
        <v>39</v>
      </c>
      <c r="G389" s="6" t="s">
        <v>40</v>
      </c>
      <c r="H389" s="8">
        <v>5715</v>
      </c>
      <c r="I389" s="8">
        <f t="shared" si="26"/>
        <v>857.25</v>
      </c>
      <c r="J389" s="8">
        <f t="shared" si="27"/>
        <v>4857.75</v>
      </c>
      <c r="K389" s="8">
        <v>22553</v>
      </c>
      <c r="L389" s="6">
        <v>5</v>
      </c>
      <c r="M389" s="22" t="str" cm="1">
        <f t="array" ref="M389">_xlfn.IFS(L389&gt;10,"Veteran",L389&gt;=6,"Experienced",L389&gt;=2,"Developing",L389&gt;=0,"New")</f>
        <v>Developing</v>
      </c>
    </row>
    <row r="390" spans="1:13">
      <c r="A390" s="21" t="str">
        <f t="shared" ca="1" si="24"/>
        <v>La-Res-2021-389</v>
      </c>
      <c r="B390" s="6">
        <v>42</v>
      </c>
      <c r="C390" s="6" t="str">
        <f t="shared" si="25"/>
        <v>40-49</v>
      </c>
      <c r="D390" s="6" t="s">
        <v>43</v>
      </c>
      <c r="E390" s="6" t="s">
        <v>45</v>
      </c>
      <c r="F390" s="6" t="s">
        <v>39</v>
      </c>
      <c r="G390" s="6" t="s">
        <v>50</v>
      </c>
      <c r="H390" s="8">
        <v>2576</v>
      </c>
      <c r="I390" s="8">
        <f t="shared" si="26"/>
        <v>180.32000000000002</v>
      </c>
      <c r="J390" s="8">
        <f t="shared" si="27"/>
        <v>2395.6799999999998</v>
      </c>
      <c r="K390" s="8">
        <v>20490</v>
      </c>
      <c r="L390" s="6">
        <v>5</v>
      </c>
      <c r="M390" s="22" t="str" cm="1">
        <f t="array" ref="M390">_xlfn.IFS(L390&gt;10,"Veteran",L390&gt;=6,"Experienced",L390&gt;=2,"Developing",L390&gt;=0,"New")</f>
        <v>Developing</v>
      </c>
    </row>
    <row r="391" spans="1:13">
      <c r="A391" s="21" t="str">
        <f t="shared" ca="1" si="24"/>
        <v>Ma-Res-2025-390</v>
      </c>
      <c r="B391" s="6">
        <v>37</v>
      </c>
      <c r="C391" s="6" t="str">
        <f t="shared" si="25"/>
        <v>30-39</v>
      </c>
      <c r="D391" s="6" t="s">
        <v>43</v>
      </c>
      <c r="E391" s="6" t="s">
        <v>45</v>
      </c>
      <c r="F391" s="6" t="s">
        <v>46</v>
      </c>
      <c r="G391" s="6" t="s">
        <v>53</v>
      </c>
      <c r="H391" s="8">
        <v>4197</v>
      </c>
      <c r="I391" s="8">
        <f t="shared" si="26"/>
        <v>629.54999999999995</v>
      </c>
      <c r="J391" s="8">
        <f t="shared" si="27"/>
        <v>3567.45</v>
      </c>
      <c r="K391" s="8">
        <v>21123</v>
      </c>
      <c r="L391" s="6">
        <v>1</v>
      </c>
      <c r="M391" s="22" t="str" cm="1">
        <f t="array" ref="M391">_xlfn.IFS(L391&gt;10,"Veteran",L391&gt;=6,"Experienced",L391&gt;=2,"Developing",L391&gt;=0,"New")</f>
        <v>New</v>
      </c>
    </row>
    <row r="392" spans="1:13">
      <c r="A392" s="21" t="str">
        <f t="shared" ca="1" si="24"/>
        <v>Re-Res-2001-391</v>
      </c>
      <c r="B392" s="6">
        <v>43</v>
      </c>
      <c r="C392" s="6" t="str">
        <f t="shared" si="25"/>
        <v>40-49</v>
      </c>
      <c r="D392" s="6" t="s">
        <v>43</v>
      </c>
      <c r="E392" s="6" t="s">
        <v>45</v>
      </c>
      <c r="F392" s="6" t="s">
        <v>46</v>
      </c>
      <c r="G392" s="6" t="s">
        <v>58</v>
      </c>
      <c r="H392" s="8">
        <v>14336</v>
      </c>
      <c r="I392" s="8">
        <f t="shared" si="26"/>
        <v>4300.8</v>
      </c>
      <c r="J392" s="8">
        <f t="shared" si="27"/>
        <v>10035.200000000001</v>
      </c>
      <c r="K392" s="8">
        <v>4345</v>
      </c>
      <c r="L392" s="6">
        <v>25</v>
      </c>
      <c r="M392" s="22" t="str" cm="1">
        <f t="array" ref="M392">_xlfn.IFS(L392&gt;10,"Veteran",L392&gt;=6,"Experienced",L392&gt;=2,"Developing",L392&gt;=0,"New")</f>
        <v>Veteran</v>
      </c>
    </row>
    <row r="393" spans="1:13">
      <c r="A393" s="21" t="str">
        <f t="shared" ca="1" si="24"/>
        <v>La-Res-2025-392</v>
      </c>
      <c r="B393" s="6">
        <v>40</v>
      </c>
      <c r="C393" s="6" t="str">
        <f t="shared" si="25"/>
        <v>40-49</v>
      </c>
      <c r="D393" s="6" t="s">
        <v>43</v>
      </c>
      <c r="E393" s="6" t="s">
        <v>45</v>
      </c>
      <c r="F393" s="6" t="s">
        <v>39</v>
      </c>
      <c r="G393" s="6" t="s">
        <v>50</v>
      </c>
      <c r="H393" s="8">
        <v>3448</v>
      </c>
      <c r="I393" s="8">
        <f t="shared" si="26"/>
        <v>517.19999999999993</v>
      </c>
      <c r="J393" s="8">
        <f t="shared" si="27"/>
        <v>2930.8</v>
      </c>
      <c r="K393" s="8">
        <v>13436</v>
      </c>
      <c r="L393" s="6">
        <v>1</v>
      </c>
      <c r="M393" s="22" t="str" cm="1">
        <f t="array" ref="M393">_xlfn.IFS(L393&gt;10,"Veteran",L393&gt;=6,"Experienced",L393&gt;=2,"Developing",L393&gt;=0,"New")</f>
        <v>New</v>
      </c>
    </row>
    <row r="394" spans="1:13">
      <c r="A394" s="21" t="str">
        <f t="shared" ca="1" si="24"/>
        <v>Re-Res-2022-393</v>
      </c>
      <c r="B394" s="6">
        <v>54</v>
      </c>
      <c r="C394" s="6" t="str">
        <f t="shared" si="25"/>
        <v>50+</v>
      </c>
      <c r="D394" s="6" t="s">
        <v>43</v>
      </c>
      <c r="E394" s="6" t="s">
        <v>45</v>
      </c>
      <c r="F394" s="6" t="s">
        <v>46</v>
      </c>
      <c r="G394" s="6" t="s">
        <v>58</v>
      </c>
      <c r="H394" s="8">
        <v>19406</v>
      </c>
      <c r="I394" s="8">
        <f t="shared" si="26"/>
        <v>5821.8</v>
      </c>
      <c r="J394" s="8">
        <f t="shared" si="27"/>
        <v>13584.2</v>
      </c>
      <c r="K394" s="8">
        <v>8509</v>
      </c>
      <c r="L394" s="6">
        <v>4</v>
      </c>
      <c r="M394" s="22" t="str" cm="1">
        <f t="array" ref="M394">_xlfn.IFS(L394&gt;10,"Veteran",L394&gt;=6,"Experienced",L394&gt;=2,"Developing",L394&gt;=0,"New")</f>
        <v>Developing</v>
      </c>
    </row>
    <row r="395" spans="1:13">
      <c r="A395" s="21" t="str">
        <f t="shared" ca="1" si="24"/>
        <v>Sa-Sal-2023-394</v>
      </c>
      <c r="B395" s="6">
        <v>34</v>
      </c>
      <c r="C395" s="6" t="str">
        <f t="shared" si="25"/>
        <v>30-39</v>
      </c>
      <c r="D395" s="6" t="s">
        <v>43</v>
      </c>
      <c r="E395" s="6" t="s">
        <v>37</v>
      </c>
      <c r="F395" s="6" t="s">
        <v>39</v>
      </c>
      <c r="G395" s="6" t="s">
        <v>40</v>
      </c>
      <c r="H395" s="8">
        <v>6538</v>
      </c>
      <c r="I395" s="8">
        <f t="shared" si="26"/>
        <v>980.69999999999993</v>
      </c>
      <c r="J395" s="8">
        <f t="shared" si="27"/>
        <v>5557.3</v>
      </c>
      <c r="K395" s="8">
        <v>12740</v>
      </c>
      <c r="L395" s="6">
        <v>3</v>
      </c>
      <c r="M395" s="22" t="str" cm="1">
        <f t="array" ref="M395">_xlfn.IFS(L395&gt;10,"Veteran",L395&gt;=6,"Experienced",L395&gt;=2,"Developing",L395&gt;=0,"New")</f>
        <v>Developing</v>
      </c>
    </row>
    <row r="396" spans="1:13">
      <c r="A396" s="21" t="str">
        <f t="shared" ca="1" si="24"/>
        <v>Ma-Res-2013-395</v>
      </c>
      <c r="B396" s="6">
        <v>31</v>
      </c>
      <c r="C396" s="6" t="str">
        <f t="shared" si="25"/>
        <v>30-39</v>
      </c>
      <c r="D396" s="6" t="s">
        <v>43</v>
      </c>
      <c r="E396" s="6" t="s">
        <v>45</v>
      </c>
      <c r="F396" s="6" t="s">
        <v>39</v>
      </c>
      <c r="G396" s="6" t="s">
        <v>53</v>
      </c>
      <c r="H396" s="8">
        <v>4306</v>
      </c>
      <c r="I396" s="8">
        <f t="shared" si="26"/>
        <v>645.9</v>
      </c>
      <c r="J396" s="8">
        <f t="shared" si="27"/>
        <v>3660.1</v>
      </c>
      <c r="K396" s="8">
        <v>4156</v>
      </c>
      <c r="L396" s="6">
        <v>13</v>
      </c>
      <c r="M396" s="22" t="str" cm="1">
        <f t="array" ref="M396">_xlfn.IFS(L396&gt;10,"Veteran",L396&gt;=6,"Experienced",L396&gt;=2,"Developing",L396&gt;=0,"New")</f>
        <v>Veteran</v>
      </c>
    </row>
    <row r="397" spans="1:13">
      <c r="A397" s="21" t="str">
        <f t="shared" ca="1" si="24"/>
        <v>La-Res-2023-396</v>
      </c>
      <c r="B397" s="6">
        <v>43</v>
      </c>
      <c r="C397" s="6" t="str">
        <f t="shared" si="25"/>
        <v>40-49</v>
      </c>
      <c r="D397" s="6" t="s">
        <v>43</v>
      </c>
      <c r="E397" s="6" t="s">
        <v>45</v>
      </c>
      <c r="F397" s="6" t="s">
        <v>46</v>
      </c>
      <c r="G397" s="6" t="s">
        <v>50</v>
      </c>
      <c r="H397" s="8">
        <v>2258</v>
      </c>
      <c r="I397" s="8">
        <f t="shared" si="26"/>
        <v>158.06</v>
      </c>
      <c r="J397" s="8">
        <f t="shared" si="27"/>
        <v>2099.94</v>
      </c>
      <c r="K397" s="8">
        <v>15238</v>
      </c>
      <c r="L397" s="6">
        <v>3</v>
      </c>
      <c r="M397" s="22" t="str" cm="1">
        <f t="array" ref="M397">_xlfn.IFS(L397&gt;10,"Veteran",L397&gt;=6,"Experienced",L397&gt;=2,"Developing",L397&gt;=0,"New")</f>
        <v>Developing</v>
      </c>
    </row>
    <row r="398" spans="1:13">
      <c r="A398" s="21" t="str">
        <f t="shared" ca="1" si="24"/>
        <v>He-Res-2021-397</v>
      </c>
      <c r="B398" s="6">
        <v>43</v>
      </c>
      <c r="C398" s="6" t="str">
        <f t="shared" si="25"/>
        <v>40-49</v>
      </c>
      <c r="D398" s="6" t="s">
        <v>43</v>
      </c>
      <c r="E398" s="6" t="s">
        <v>45</v>
      </c>
      <c r="F398" s="6" t="s">
        <v>39</v>
      </c>
      <c r="G398" s="6" t="s">
        <v>54</v>
      </c>
      <c r="H398" s="8">
        <v>4522</v>
      </c>
      <c r="I398" s="8">
        <f t="shared" si="26"/>
        <v>678.3</v>
      </c>
      <c r="J398" s="8">
        <f t="shared" si="27"/>
        <v>3843.7</v>
      </c>
      <c r="K398" s="8">
        <v>2227</v>
      </c>
      <c r="L398" s="6">
        <v>5</v>
      </c>
      <c r="M398" s="22" t="str" cm="1">
        <f t="array" ref="M398">_xlfn.IFS(L398&gt;10,"Veteran",L398&gt;=6,"Experienced",L398&gt;=2,"Developing",L398&gt;=0,"New")</f>
        <v>Developing</v>
      </c>
    </row>
    <row r="399" spans="1:13">
      <c r="A399" s="21" t="str">
        <f t="shared" ca="1" si="24"/>
        <v>Sa-Sal-2021-398</v>
      </c>
      <c r="B399" s="6">
        <v>25</v>
      </c>
      <c r="C399" s="6" t="str">
        <f t="shared" si="25"/>
        <v>20-29</v>
      </c>
      <c r="D399" s="6" t="s">
        <v>43</v>
      </c>
      <c r="E399" s="6" t="s">
        <v>37</v>
      </c>
      <c r="F399" s="6" t="s">
        <v>39</v>
      </c>
      <c r="G399" s="6" t="s">
        <v>40</v>
      </c>
      <c r="H399" s="8">
        <v>4487</v>
      </c>
      <c r="I399" s="8">
        <f t="shared" si="26"/>
        <v>673.05</v>
      </c>
      <c r="J399" s="8">
        <f t="shared" si="27"/>
        <v>3813.95</v>
      </c>
      <c r="K399" s="8">
        <v>12090</v>
      </c>
      <c r="L399" s="6">
        <v>5</v>
      </c>
      <c r="M399" s="22" t="str" cm="1">
        <f t="array" ref="M399">_xlfn.IFS(L399&gt;10,"Veteran",L399&gt;=6,"Experienced",L399&gt;=2,"Developing",L399&gt;=0,"New")</f>
        <v>Developing</v>
      </c>
    </row>
    <row r="400" spans="1:13">
      <c r="A400" s="21" t="str">
        <f t="shared" ca="1" si="24"/>
        <v>Re-Res-2013-399</v>
      </c>
      <c r="B400" s="6">
        <v>37</v>
      </c>
      <c r="C400" s="6" t="str">
        <f t="shared" si="25"/>
        <v>30-39</v>
      </c>
      <c r="D400" s="6" t="s">
        <v>43</v>
      </c>
      <c r="E400" s="6" t="s">
        <v>45</v>
      </c>
      <c r="F400" s="6" t="s">
        <v>39</v>
      </c>
      <c r="G400" s="6" t="s">
        <v>47</v>
      </c>
      <c r="H400" s="8">
        <v>4449</v>
      </c>
      <c r="I400" s="8">
        <f t="shared" si="26"/>
        <v>667.35</v>
      </c>
      <c r="J400" s="8">
        <f t="shared" si="27"/>
        <v>3781.65</v>
      </c>
      <c r="K400" s="8">
        <v>23866</v>
      </c>
      <c r="L400" s="6">
        <v>13</v>
      </c>
      <c r="M400" s="22" t="str" cm="1">
        <f t="array" ref="M400">_xlfn.IFS(L400&gt;10,"Veteran",L400&gt;=6,"Experienced",L400&gt;=2,"Developing",L400&gt;=0,"New")</f>
        <v>Veteran</v>
      </c>
    </row>
    <row r="401" spans="1:13">
      <c r="A401" s="21" t="str">
        <f t="shared" ca="1" si="24"/>
        <v>La-Res-2022-400</v>
      </c>
      <c r="B401" s="6">
        <v>31</v>
      </c>
      <c r="C401" s="6" t="str">
        <f t="shared" si="25"/>
        <v>30-39</v>
      </c>
      <c r="D401" s="6" t="s">
        <v>43</v>
      </c>
      <c r="E401" s="6" t="s">
        <v>45</v>
      </c>
      <c r="F401" s="6" t="s">
        <v>46</v>
      </c>
      <c r="G401" s="6" t="s">
        <v>50</v>
      </c>
      <c r="H401" s="8">
        <v>2218</v>
      </c>
      <c r="I401" s="8">
        <f t="shared" si="26"/>
        <v>155.26000000000002</v>
      </c>
      <c r="J401" s="8">
        <f t="shared" si="27"/>
        <v>2062.7399999999998</v>
      </c>
      <c r="K401" s="8">
        <v>16193</v>
      </c>
      <c r="L401" s="6">
        <v>4</v>
      </c>
      <c r="M401" s="22" t="str" cm="1">
        <f t="array" ref="M401">_xlfn.IFS(L401&gt;10,"Veteran",L401&gt;=6,"Experienced",L401&gt;=2,"Developing",L401&gt;=0,"New")</f>
        <v>Developing</v>
      </c>
    </row>
    <row r="402" spans="1:13">
      <c r="A402" s="21" t="str">
        <f t="shared" ca="1" si="24"/>
        <v>Ma-Res-2005-401</v>
      </c>
      <c r="B402" s="6">
        <v>39</v>
      </c>
      <c r="C402" s="6" t="str">
        <f t="shared" si="25"/>
        <v>30-39</v>
      </c>
      <c r="D402" s="6" t="s">
        <v>43</v>
      </c>
      <c r="E402" s="6" t="s">
        <v>45</v>
      </c>
      <c r="F402" s="6" t="s">
        <v>46</v>
      </c>
      <c r="G402" s="6" t="s">
        <v>56</v>
      </c>
      <c r="H402" s="8">
        <v>19197</v>
      </c>
      <c r="I402" s="8">
        <f t="shared" si="26"/>
        <v>5759.0999999999995</v>
      </c>
      <c r="J402" s="8">
        <f t="shared" si="27"/>
        <v>13437.900000000001</v>
      </c>
      <c r="K402" s="8">
        <v>8213</v>
      </c>
      <c r="L402" s="6">
        <v>21</v>
      </c>
      <c r="M402" s="22" t="str" cm="1">
        <f t="array" ref="M402">_xlfn.IFS(L402&gt;10,"Veteran",L402&gt;=6,"Experienced",L402&gt;=2,"Developing",L402&gt;=0,"New")</f>
        <v>Veteran</v>
      </c>
    </row>
    <row r="403" spans="1:13">
      <c r="A403" s="21" t="str">
        <f t="shared" ca="1" si="24"/>
        <v>Sa-Sal-2019-402</v>
      </c>
      <c r="B403" s="6">
        <v>56</v>
      </c>
      <c r="C403" s="6" t="str">
        <f t="shared" si="25"/>
        <v>50+</v>
      </c>
      <c r="D403" s="6" t="s">
        <v>43</v>
      </c>
      <c r="E403" s="6" t="s">
        <v>37</v>
      </c>
      <c r="F403" s="6" t="s">
        <v>39</v>
      </c>
      <c r="G403" s="6" t="s">
        <v>40</v>
      </c>
      <c r="H403" s="8">
        <v>13212</v>
      </c>
      <c r="I403" s="8">
        <f t="shared" si="26"/>
        <v>3963.6</v>
      </c>
      <c r="J403" s="8">
        <f t="shared" si="27"/>
        <v>9248.4</v>
      </c>
      <c r="K403" s="8">
        <v>18256</v>
      </c>
      <c r="L403" s="6">
        <v>7</v>
      </c>
      <c r="M403" s="22" t="str" cm="1">
        <f t="array" ref="M403">_xlfn.IFS(L403&gt;10,"Veteran",L403&gt;=6,"Experienced",L403&gt;=2,"Developing",L403&gt;=0,"New")</f>
        <v>Experienced</v>
      </c>
    </row>
    <row r="404" spans="1:13">
      <c r="A404" s="21" t="str">
        <f t="shared" ca="1" si="24"/>
        <v>Sa-Sal-2021-403</v>
      </c>
      <c r="B404" s="6">
        <v>30</v>
      </c>
      <c r="C404" s="6" t="str">
        <f t="shared" si="25"/>
        <v>30-39</v>
      </c>
      <c r="D404" s="6" t="s">
        <v>43</v>
      </c>
      <c r="E404" s="6" t="s">
        <v>37</v>
      </c>
      <c r="F404" s="6" t="s">
        <v>39</v>
      </c>
      <c r="G404" s="6" t="s">
        <v>40</v>
      </c>
      <c r="H404" s="8">
        <v>6577</v>
      </c>
      <c r="I404" s="8">
        <f t="shared" si="26"/>
        <v>986.55</v>
      </c>
      <c r="J404" s="8">
        <f t="shared" si="27"/>
        <v>5590.45</v>
      </c>
      <c r="K404" s="8">
        <v>19558</v>
      </c>
      <c r="L404" s="6">
        <v>5</v>
      </c>
      <c r="M404" s="22" t="str" cm="1">
        <f t="array" ref="M404">_xlfn.IFS(L404&gt;10,"Veteran",L404&gt;=6,"Experienced",L404&gt;=2,"Developing",L404&gt;=0,"New")</f>
        <v>Developing</v>
      </c>
    </row>
    <row r="405" spans="1:13">
      <c r="A405" s="21" t="str">
        <f t="shared" ca="1" si="24"/>
        <v>Sa-Sal-2016-404</v>
      </c>
      <c r="B405" s="6">
        <v>41</v>
      </c>
      <c r="C405" s="6" t="str">
        <f t="shared" si="25"/>
        <v>40-49</v>
      </c>
      <c r="D405" s="6" t="s">
        <v>43</v>
      </c>
      <c r="E405" s="6" t="s">
        <v>37</v>
      </c>
      <c r="F405" s="6" t="s">
        <v>46</v>
      </c>
      <c r="G405" s="6" t="s">
        <v>40</v>
      </c>
      <c r="H405" s="8">
        <v>8392</v>
      </c>
      <c r="I405" s="8">
        <f t="shared" si="26"/>
        <v>1846.24</v>
      </c>
      <c r="J405" s="8">
        <f t="shared" si="27"/>
        <v>6545.76</v>
      </c>
      <c r="K405" s="8">
        <v>19566</v>
      </c>
      <c r="L405" s="6">
        <v>10</v>
      </c>
      <c r="M405" s="22" t="str" cm="1">
        <f t="array" ref="M405">_xlfn.IFS(L405&gt;10,"Veteran",L405&gt;=6,"Experienced",L405&gt;=2,"Developing",L405&gt;=0,"New")</f>
        <v>Experienced</v>
      </c>
    </row>
    <row r="406" spans="1:13">
      <c r="A406" s="21" t="str">
        <f t="shared" ca="1" si="24"/>
        <v>La-Res-2016-405</v>
      </c>
      <c r="B406" s="6">
        <v>28</v>
      </c>
      <c r="C406" s="6" t="str">
        <f t="shared" si="25"/>
        <v>20-29</v>
      </c>
      <c r="D406" s="6" t="s">
        <v>43</v>
      </c>
      <c r="E406" s="6" t="s">
        <v>45</v>
      </c>
      <c r="F406" s="6" t="s">
        <v>46</v>
      </c>
      <c r="G406" s="6" t="s">
        <v>50</v>
      </c>
      <c r="H406" s="8">
        <v>4558</v>
      </c>
      <c r="I406" s="8">
        <f t="shared" si="26"/>
        <v>683.69999999999993</v>
      </c>
      <c r="J406" s="8">
        <f t="shared" si="27"/>
        <v>3874.3</v>
      </c>
      <c r="K406" s="8">
        <v>13535</v>
      </c>
      <c r="L406" s="6">
        <v>10</v>
      </c>
      <c r="M406" s="22" t="str" cm="1">
        <f t="array" ref="M406">_xlfn.IFS(L406&gt;10,"Veteran",L406&gt;=6,"Experienced",L406&gt;=2,"Developing",L406&gt;=0,"New")</f>
        <v>Experienced</v>
      </c>
    </row>
    <row r="407" spans="1:13">
      <c r="A407" s="21" t="str">
        <f t="shared" ca="1" si="24"/>
        <v>La-Res-2024-406</v>
      </c>
      <c r="B407" s="6">
        <v>25</v>
      </c>
      <c r="C407" s="6" t="str">
        <f t="shared" si="25"/>
        <v>20-29</v>
      </c>
      <c r="D407" s="6" t="s">
        <v>35</v>
      </c>
      <c r="E407" s="6" t="s">
        <v>45</v>
      </c>
      <c r="F407" s="6" t="s">
        <v>46</v>
      </c>
      <c r="G407" s="6" t="s">
        <v>50</v>
      </c>
      <c r="H407" s="8">
        <v>4031</v>
      </c>
      <c r="I407" s="8">
        <f t="shared" si="26"/>
        <v>604.65</v>
      </c>
      <c r="J407" s="8">
        <f t="shared" si="27"/>
        <v>3426.35</v>
      </c>
      <c r="K407" s="8">
        <v>9396</v>
      </c>
      <c r="L407" s="6">
        <v>2</v>
      </c>
      <c r="M407" s="22" t="str" cm="1">
        <f t="array" ref="M407">_xlfn.IFS(L407&gt;10,"Veteran",L407&gt;=6,"Experienced",L407&gt;=2,"Developing",L407&gt;=0,"New")</f>
        <v>Developing</v>
      </c>
    </row>
    <row r="408" spans="1:13">
      <c r="A408" s="21" t="str">
        <f t="shared" ca="1" si="24"/>
        <v>Ma-Res-2021-407</v>
      </c>
      <c r="B408" s="6">
        <v>52</v>
      </c>
      <c r="C408" s="6" t="str">
        <f t="shared" si="25"/>
        <v>50+</v>
      </c>
      <c r="D408" s="6" t="s">
        <v>43</v>
      </c>
      <c r="E408" s="6" t="s">
        <v>45</v>
      </c>
      <c r="F408" s="6" t="s">
        <v>46</v>
      </c>
      <c r="G408" s="6" t="s">
        <v>53</v>
      </c>
      <c r="H408" s="8">
        <v>7969</v>
      </c>
      <c r="I408" s="8">
        <f t="shared" si="26"/>
        <v>1753.18</v>
      </c>
      <c r="J408" s="8">
        <f t="shared" si="27"/>
        <v>6215.82</v>
      </c>
      <c r="K408" s="8">
        <v>19609</v>
      </c>
      <c r="L408" s="6">
        <v>5</v>
      </c>
      <c r="M408" s="22" t="str" cm="1">
        <f t="array" ref="M408">_xlfn.IFS(L408&gt;10,"Veteran",L408&gt;=6,"Experienced",L408&gt;=2,"Developing",L408&gt;=0,"New")</f>
        <v>Developing</v>
      </c>
    </row>
    <row r="409" spans="1:13">
      <c r="A409" s="21" t="str">
        <f t="shared" ca="1" si="24"/>
        <v>Re-Res-2024-408</v>
      </c>
      <c r="B409" s="6">
        <v>45</v>
      </c>
      <c r="C409" s="6" t="str">
        <f t="shared" si="25"/>
        <v>40-49</v>
      </c>
      <c r="D409" s="6" t="s">
        <v>43</v>
      </c>
      <c r="E409" s="6" t="s">
        <v>45</v>
      </c>
      <c r="F409" s="6" t="s">
        <v>46</v>
      </c>
      <c r="G409" s="6" t="s">
        <v>47</v>
      </c>
      <c r="H409" s="8">
        <v>2654</v>
      </c>
      <c r="I409" s="8">
        <f t="shared" si="26"/>
        <v>185.78000000000003</v>
      </c>
      <c r="J409" s="8">
        <f t="shared" si="27"/>
        <v>2468.2199999999998</v>
      </c>
      <c r="K409" s="8">
        <v>9655</v>
      </c>
      <c r="L409" s="6">
        <v>2</v>
      </c>
      <c r="M409" s="22" t="str" cm="1">
        <f t="array" ref="M409">_xlfn.IFS(L409&gt;10,"Veteran",L409&gt;=6,"Experienced",L409&gt;=2,"Developing",L409&gt;=0,"New")</f>
        <v>Developing</v>
      </c>
    </row>
    <row r="410" spans="1:13">
      <c r="A410" s="21" t="str">
        <f t="shared" ca="1" si="24"/>
        <v>Ma-Res-2021-409</v>
      </c>
      <c r="B410" s="6">
        <v>52</v>
      </c>
      <c r="C410" s="6" t="str">
        <f t="shared" si="25"/>
        <v>50+</v>
      </c>
      <c r="D410" s="6" t="s">
        <v>43</v>
      </c>
      <c r="E410" s="6" t="s">
        <v>45</v>
      </c>
      <c r="F410" s="6" t="s">
        <v>39</v>
      </c>
      <c r="G410" s="6" t="s">
        <v>56</v>
      </c>
      <c r="H410" s="8">
        <v>16555</v>
      </c>
      <c r="I410" s="8">
        <f t="shared" si="26"/>
        <v>4966.5</v>
      </c>
      <c r="J410" s="8">
        <f t="shared" si="27"/>
        <v>11588.5</v>
      </c>
      <c r="K410" s="8">
        <v>10310</v>
      </c>
      <c r="L410" s="6">
        <v>5</v>
      </c>
      <c r="M410" s="22" t="str" cm="1">
        <f t="array" ref="M410">_xlfn.IFS(L410&gt;10,"Veteran",L410&gt;=6,"Experienced",L410&gt;=2,"Developing",L410&gt;=0,"New")</f>
        <v>Developing</v>
      </c>
    </row>
    <row r="411" spans="1:13">
      <c r="A411" s="21" t="str">
        <f t="shared" ca="1" si="24"/>
        <v>Re-Res-2021-410</v>
      </c>
      <c r="B411" s="6">
        <v>42</v>
      </c>
      <c r="C411" s="6" t="str">
        <f t="shared" si="25"/>
        <v>40-49</v>
      </c>
      <c r="D411" s="6" t="s">
        <v>43</v>
      </c>
      <c r="E411" s="6" t="s">
        <v>45</v>
      </c>
      <c r="F411" s="6" t="s">
        <v>39</v>
      </c>
      <c r="G411" s="6" t="s">
        <v>47</v>
      </c>
      <c r="H411" s="8">
        <v>4556</v>
      </c>
      <c r="I411" s="8">
        <f t="shared" si="26"/>
        <v>683.4</v>
      </c>
      <c r="J411" s="8">
        <f t="shared" si="27"/>
        <v>3872.6</v>
      </c>
      <c r="K411" s="8">
        <v>12932</v>
      </c>
      <c r="L411" s="6">
        <v>5</v>
      </c>
      <c r="M411" s="22" t="str" cm="1">
        <f t="array" ref="M411">_xlfn.IFS(L411&gt;10,"Veteran",L411&gt;=6,"Experienced",L411&gt;=2,"Developing",L411&gt;=0,"New")</f>
        <v>Developing</v>
      </c>
    </row>
    <row r="412" spans="1:13">
      <c r="A412" s="21" t="str">
        <f t="shared" ca="1" si="24"/>
        <v>Ma-Res-2021-411</v>
      </c>
      <c r="B412" s="6">
        <v>30</v>
      </c>
      <c r="C412" s="6" t="str">
        <f t="shared" si="25"/>
        <v>30-39</v>
      </c>
      <c r="D412" s="6" t="s">
        <v>43</v>
      </c>
      <c r="E412" s="6" t="s">
        <v>45</v>
      </c>
      <c r="F412" s="6" t="s">
        <v>39</v>
      </c>
      <c r="G412" s="6" t="s">
        <v>53</v>
      </c>
      <c r="H412" s="8">
        <v>6091</v>
      </c>
      <c r="I412" s="8">
        <f t="shared" si="26"/>
        <v>913.65</v>
      </c>
      <c r="J412" s="8">
        <f t="shared" si="27"/>
        <v>5177.3500000000004</v>
      </c>
      <c r="K412" s="8">
        <v>24793</v>
      </c>
      <c r="L412" s="6">
        <v>5</v>
      </c>
      <c r="M412" s="22" t="str" cm="1">
        <f t="array" ref="M412">_xlfn.IFS(L412&gt;10,"Veteran",L412&gt;=6,"Experienced",L412&gt;=2,"Developing",L412&gt;=0,"New")</f>
        <v>Developing</v>
      </c>
    </row>
    <row r="413" spans="1:13">
      <c r="A413" s="21" t="str">
        <f t="shared" ca="1" si="24"/>
        <v>Ma-Res-1997-412</v>
      </c>
      <c r="B413" s="6">
        <v>60</v>
      </c>
      <c r="C413" s="6" t="str">
        <f t="shared" si="25"/>
        <v>50+</v>
      </c>
      <c r="D413" s="6" t="s">
        <v>43</v>
      </c>
      <c r="E413" s="6" t="s">
        <v>45</v>
      </c>
      <c r="F413" s="6" t="s">
        <v>39</v>
      </c>
      <c r="G413" s="6" t="s">
        <v>56</v>
      </c>
      <c r="H413" s="8">
        <v>19566</v>
      </c>
      <c r="I413" s="8">
        <f t="shared" si="26"/>
        <v>5869.8</v>
      </c>
      <c r="J413" s="8">
        <f t="shared" si="27"/>
        <v>13696.2</v>
      </c>
      <c r="K413" s="8">
        <v>3854</v>
      </c>
      <c r="L413" s="6">
        <v>29</v>
      </c>
      <c r="M413" s="22" t="str" cm="1">
        <f t="array" ref="M413">_xlfn.IFS(L413&gt;10,"Veteran",L413&gt;=6,"Experienced",L413&gt;=2,"Developing",L413&gt;=0,"New")</f>
        <v>Veteran</v>
      </c>
    </row>
    <row r="414" spans="1:13">
      <c r="A414" s="21" t="str">
        <f t="shared" ca="1" si="24"/>
        <v>Ma-Res-2016-413</v>
      </c>
      <c r="B414" s="6">
        <v>46</v>
      </c>
      <c r="C414" s="6" t="str">
        <f t="shared" si="25"/>
        <v>40-49</v>
      </c>
      <c r="D414" s="6" t="s">
        <v>43</v>
      </c>
      <c r="E414" s="6" t="s">
        <v>45</v>
      </c>
      <c r="F414" s="6" t="s">
        <v>39</v>
      </c>
      <c r="G414" s="6" t="s">
        <v>53</v>
      </c>
      <c r="H414" s="8">
        <v>4810</v>
      </c>
      <c r="I414" s="8">
        <f t="shared" si="26"/>
        <v>721.5</v>
      </c>
      <c r="J414" s="8">
        <f t="shared" si="27"/>
        <v>4088.5</v>
      </c>
      <c r="K414" s="8">
        <v>26314</v>
      </c>
      <c r="L414" s="6">
        <v>10</v>
      </c>
      <c r="M414" s="22" t="str" cm="1">
        <f t="array" ref="M414">_xlfn.IFS(L414&gt;10,"Veteran",L414&gt;=6,"Experienced",L414&gt;=2,"Developing",L414&gt;=0,"New")</f>
        <v>Experienced</v>
      </c>
    </row>
    <row r="415" spans="1:13">
      <c r="A415" s="21" t="str">
        <f t="shared" ca="1" si="24"/>
        <v>He-Res-2020-414</v>
      </c>
      <c r="B415" s="6">
        <v>42</v>
      </c>
      <c r="C415" s="6" t="str">
        <f t="shared" si="25"/>
        <v>40-49</v>
      </c>
      <c r="D415" s="6" t="s">
        <v>43</v>
      </c>
      <c r="E415" s="6" t="s">
        <v>45</v>
      </c>
      <c r="F415" s="6" t="s">
        <v>39</v>
      </c>
      <c r="G415" s="6" t="s">
        <v>54</v>
      </c>
      <c r="H415" s="8">
        <v>4523</v>
      </c>
      <c r="I415" s="8">
        <f t="shared" si="26"/>
        <v>678.44999999999993</v>
      </c>
      <c r="J415" s="8">
        <f t="shared" si="27"/>
        <v>3844.55</v>
      </c>
      <c r="K415" s="8">
        <v>4386</v>
      </c>
      <c r="L415" s="6">
        <v>6</v>
      </c>
      <c r="M415" s="22" t="str" cm="1">
        <f t="array" ref="M415">_xlfn.IFS(L415&gt;10,"Veteran",L415&gt;=6,"Experienced",L415&gt;=2,"Developing",L415&gt;=0,"New")</f>
        <v>Experienced</v>
      </c>
    </row>
    <row r="416" spans="1:13">
      <c r="A416" s="21" t="str">
        <f t="shared" ca="1" si="24"/>
        <v>Sa-Sal-2021-415</v>
      </c>
      <c r="B416" s="6">
        <v>24</v>
      </c>
      <c r="C416" s="6" t="str">
        <f t="shared" si="25"/>
        <v>20-29</v>
      </c>
      <c r="D416" s="6" t="s">
        <v>35</v>
      </c>
      <c r="E416" s="6" t="s">
        <v>37</v>
      </c>
      <c r="F416" s="6" t="s">
        <v>39</v>
      </c>
      <c r="G416" s="6" t="s">
        <v>57</v>
      </c>
      <c r="H416" s="8">
        <v>3202</v>
      </c>
      <c r="I416" s="8">
        <f t="shared" si="26"/>
        <v>480.29999999999995</v>
      </c>
      <c r="J416" s="8">
        <f t="shared" si="27"/>
        <v>2721.7</v>
      </c>
      <c r="K416" s="8">
        <v>21972</v>
      </c>
      <c r="L416" s="6">
        <v>5</v>
      </c>
      <c r="M416" s="22" t="str" cm="1">
        <f t="array" ref="M416">_xlfn.IFS(L416&gt;10,"Veteran",L416&gt;=6,"Experienced",L416&gt;=2,"Developing",L416&gt;=0,"New")</f>
        <v>Developing</v>
      </c>
    </row>
    <row r="417" spans="1:13">
      <c r="A417" s="21" t="str">
        <f t="shared" ca="1" si="24"/>
        <v>Sa-Sal-2024-416</v>
      </c>
      <c r="B417" s="6">
        <v>34</v>
      </c>
      <c r="C417" s="6" t="str">
        <f t="shared" si="25"/>
        <v>30-39</v>
      </c>
      <c r="D417" s="6" t="s">
        <v>35</v>
      </c>
      <c r="E417" s="6" t="s">
        <v>37</v>
      </c>
      <c r="F417" s="6" t="s">
        <v>39</v>
      </c>
      <c r="G417" s="6" t="s">
        <v>57</v>
      </c>
      <c r="H417" s="8">
        <v>2351</v>
      </c>
      <c r="I417" s="8">
        <f t="shared" si="26"/>
        <v>164.57000000000002</v>
      </c>
      <c r="J417" s="8">
        <f t="shared" si="27"/>
        <v>2186.4299999999998</v>
      </c>
      <c r="K417" s="8">
        <v>12253</v>
      </c>
      <c r="L417" s="6">
        <v>2</v>
      </c>
      <c r="M417" s="22" t="str" cm="1">
        <f t="array" ref="M417">_xlfn.IFS(L417&gt;10,"Veteran",L417&gt;=6,"Experienced",L417&gt;=2,"Developing",L417&gt;=0,"New")</f>
        <v>Developing</v>
      </c>
    </row>
    <row r="418" spans="1:13">
      <c r="A418" s="21" t="str">
        <f t="shared" ca="1" si="24"/>
        <v>La-Res-2025-417</v>
      </c>
      <c r="B418" s="6">
        <v>38</v>
      </c>
      <c r="C418" s="6" t="str">
        <f t="shared" si="25"/>
        <v>30-39</v>
      </c>
      <c r="D418" s="6" t="s">
        <v>43</v>
      </c>
      <c r="E418" s="6" t="s">
        <v>45</v>
      </c>
      <c r="F418" s="6" t="s">
        <v>46</v>
      </c>
      <c r="G418" s="6" t="s">
        <v>50</v>
      </c>
      <c r="H418" s="8">
        <v>1702</v>
      </c>
      <c r="I418" s="8">
        <f t="shared" si="26"/>
        <v>119.14000000000001</v>
      </c>
      <c r="J418" s="8">
        <f t="shared" si="27"/>
        <v>1582.86</v>
      </c>
      <c r="K418" s="8">
        <v>12106</v>
      </c>
      <c r="L418" s="6">
        <v>1</v>
      </c>
      <c r="M418" s="22" t="str" cm="1">
        <f t="array" ref="M418">_xlfn.IFS(L418&gt;10,"Veteran",L418&gt;=6,"Experienced",L418&gt;=2,"Developing",L418&gt;=0,"New")</f>
        <v>New</v>
      </c>
    </row>
    <row r="419" spans="1:13">
      <c r="A419" s="21" t="str">
        <f t="shared" ca="1" si="24"/>
        <v>Ma-Sal-2006-418</v>
      </c>
      <c r="B419" s="6">
        <v>40</v>
      </c>
      <c r="C419" s="6" t="str">
        <f t="shared" si="25"/>
        <v>40-49</v>
      </c>
      <c r="D419" s="6" t="s">
        <v>43</v>
      </c>
      <c r="E419" s="6" t="s">
        <v>37</v>
      </c>
      <c r="F419" s="6" t="s">
        <v>39</v>
      </c>
      <c r="G419" s="6" t="s">
        <v>56</v>
      </c>
      <c r="H419" s="8">
        <v>18041</v>
      </c>
      <c r="I419" s="8">
        <f t="shared" si="26"/>
        <v>5412.3</v>
      </c>
      <c r="J419" s="8">
        <f t="shared" si="27"/>
        <v>12628.7</v>
      </c>
      <c r="K419" s="8">
        <v>13022</v>
      </c>
      <c r="L419" s="6">
        <v>20</v>
      </c>
      <c r="M419" s="22" t="str" cm="1">
        <f t="array" ref="M419">_xlfn.IFS(L419&gt;10,"Veteran",L419&gt;=6,"Experienced",L419&gt;=2,"Developing",L419&gt;=0,"New")</f>
        <v>Veteran</v>
      </c>
    </row>
    <row r="420" spans="1:13">
      <c r="A420" s="21" t="str">
        <f t="shared" ca="1" si="24"/>
        <v>Re-Res-2023-419</v>
      </c>
      <c r="B420" s="6">
        <v>26</v>
      </c>
      <c r="C420" s="6" t="str">
        <f t="shared" si="25"/>
        <v>20-29</v>
      </c>
      <c r="D420" s="6" t="s">
        <v>43</v>
      </c>
      <c r="E420" s="6" t="s">
        <v>45</v>
      </c>
      <c r="F420" s="6" t="s">
        <v>39</v>
      </c>
      <c r="G420" s="6" t="s">
        <v>47</v>
      </c>
      <c r="H420" s="8">
        <v>2886</v>
      </c>
      <c r="I420" s="8">
        <f t="shared" si="26"/>
        <v>202.02</v>
      </c>
      <c r="J420" s="8">
        <f t="shared" si="27"/>
        <v>2683.98</v>
      </c>
      <c r="K420" s="8">
        <v>3032</v>
      </c>
      <c r="L420" s="6">
        <v>3</v>
      </c>
      <c r="M420" s="22" t="str" cm="1">
        <f t="array" ref="M420">_xlfn.IFS(L420&gt;10,"Veteran",L420&gt;=6,"Experienced",L420&gt;=2,"Developing",L420&gt;=0,"New")</f>
        <v>Developing</v>
      </c>
    </row>
    <row r="421" spans="1:13">
      <c r="A421" s="21" t="str">
        <f t="shared" ca="1" si="24"/>
        <v>La-Res-2021-420</v>
      </c>
      <c r="B421" s="6">
        <v>30</v>
      </c>
      <c r="C421" s="6" t="str">
        <f t="shared" si="25"/>
        <v>30-39</v>
      </c>
      <c r="D421" s="6" t="s">
        <v>43</v>
      </c>
      <c r="E421" s="6" t="s">
        <v>45</v>
      </c>
      <c r="F421" s="6" t="s">
        <v>46</v>
      </c>
      <c r="G421" s="6" t="s">
        <v>50</v>
      </c>
      <c r="H421" s="8">
        <v>2097</v>
      </c>
      <c r="I421" s="8">
        <f t="shared" si="26"/>
        <v>146.79000000000002</v>
      </c>
      <c r="J421" s="8">
        <f t="shared" si="27"/>
        <v>1950.21</v>
      </c>
      <c r="K421" s="8">
        <v>16734</v>
      </c>
      <c r="L421" s="6">
        <v>5</v>
      </c>
      <c r="M421" s="22" t="str" cm="1">
        <f t="array" ref="M421">_xlfn.IFS(L421&gt;10,"Veteran",L421&gt;=6,"Experienced",L421&gt;=2,"Developing",L421&gt;=0,"New")</f>
        <v>Developing</v>
      </c>
    </row>
    <row r="422" spans="1:13">
      <c r="A422" s="21" t="str">
        <f t="shared" ca="1" si="24"/>
        <v>Re-Res-2016-421</v>
      </c>
      <c r="B422" s="6">
        <v>29</v>
      </c>
      <c r="C422" s="6" t="str">
        <f t="shared" si="25"/>
        <v>20-29</v>
      </c>
      <c r="D422" s="6" t="s">
        <v>43</v>
      </c>
      <c r="E422" s="6" t="s">
        <v>45</v>
      </c>
      <c r="F422" s="6" t="s">
        <v>46</v>
      </c>
      <c r="G422" s="6" t="s">
        <v>58</v>
      </c>
      <c r="H422" s="8">
        <v>11935</v>
      </c>
      <c r="I422" s="8">
        <f t="shared" si="26"/>
        <v>2625.7</v>
      </c>
      <c r="J422" s="8">
        <f t="shared" si="27"/>
        <v>9309.2999999999993</v>
      </c>
      <c r="K422" s="8">
        <v>21526</v>
      </c>
      <c r="L422" s="6">
        <v>10</v>
      </c>
      <c r="M422" s="22" t="str" cm="1">
        <f t="array" ref="M422">_xlfn.IFS(L422&gt;10,"Veteran",L422&gt;=6,"Experienced",L422&gt;=2,"Developing",L422&gt;=0,"New")</f>
        <v>Experienced</v>
      </c>
    </row>
    <row r="423" spans="1:13">
      <c r="A423" s="21" t="str">
        <f t="shared" ca="1" si="24"/>
        <v>Re-Res-2024-422</v>
      </c>
      <c r="B423" s="6">
        <v>29</v>
      </c>
      <c r="C423" s="6" t="str">
        <f t="shared" si="25"/>
        <v>20-29</v>
      </c>
      <c r="D423" s="6" t="s">
        <v>35</v>
      </c>
      <c r="E423" s="6" t="s">
        <v>45</v>
      </c>
      <c r="F423" s="6" t="s">
        <v>39</v>
      </c>
      <c r="G423" s="6" t="s">
        <v>47</v>
      </c>
      <c r="H423" s="8">
        <v>2546</v>
      </c>
      <c r="I423" s="8">
        <f t="shared" si="26"/>
        <v>178.22000000000003</v>
      </c>
      <c r="J423" s="8">
        <f t="shared" si="27"/>
        <v>2367.7799999999997</v>
      </c>
      <c r="K423" s="8">
        <v>18300</v>
      </c>
      <c r="L423" s="6">
        <v>2</v>
      </c>
      <c r="M423" s="22" t="str" cm="1">
        <f t="array" ref="M423">_xlfn.IFS(L423&gt;10,"Veteran",L423&gt;=6,"Experienced",L423&gt;=2,"Developing",L423&gt;=0,"New")</f>
        <v>Developing</v>
      </c>
    </row>
    <row r="424" spans="1:13">
      <c r="A424" s="21" t="str">
        <f t="shared" ca="1" si="24"/>
        <v>Hu-Hum-2025-423</v>
      </c>
      <c r="B424" s="6">
        <v>19</v>
      </c>
      <c r="C424" s="6" t="str">
        <f t="shared" si="25"/>
        <v>20-29</v>
      </c>
      <c r="D424" s="6" t="s">
        <v>35</v>
      </c>
      <c r="E424" s="6" t="s">
        <v>61</v>
      </c>
      <c r="F424" s="6" t="s">
        <v>46</v>
      </c>
      <c r="G424" s="6" t="s">
        <v>61</v>
      </c>
      <c r="H424" s="8">
        <v>2564</v>
      </c>
      <c r="I424" s="8">
        <f t="shared" si="26"/>
        <v>179.48000000000002</v>
      </c>
      <c r="J424" s="8">
        <f t="shared" si="27"/>
        <v>2384.52</v>
      </c>
      <c r="K424" s="8">
        <v>18437</v>
      </c>
      <c r="L424" s="6">
        <v>1</v>
      </c>
      <c r="M424" s="22" t="str" cm="1">
        <f t="array" ref="M424">_xlfn.IFS(L424&gt;10,"Veteran",L424&gt;=6,"Experienced",L424&gt;=2,"Developing",L424&gt;=0,"New")</f>
        <v>New</v>
      </c>
    </row>
    <row r="425" spans="1:13">
      <c r="A425" s="21" t="str">
        <f t="shared" ca="1" si="24"/>
        <v>Sa-Sal-2017-424</v>
      </c>
      <c r="B425" s="6">
        <v>30</v>
      </c>
      <c r="C425" s="6" t="str">
        <f t="shared" si="25"/>
        <v>30-39</v>
      </c>
      <c r="D425" s="6" t="s">
        <v>43</v>
      </c>
      <c r="E425" s="6" t="s">
        <v>37</v>
      </c>
      <c r="F425" s="6" t="s">
        <v>39</v>
      </c>
      <c r="G425" s="6" t="s">
        <v>40</v>
      </c>
      <c r="H425" s="8">
        <v>8412</v>
      </c>
      <c r="I425" s="8">
        <f t="shared" si="26"/>
        <v>1850.64</v>
      </c>
      <c r="J425" s="8">
        <f t="shared" si="27"/>
        <v>6561.36</v>
      </c>
      <c r="K425" s="8">
        <v>2890</v>
      </c>
      <c r="L425" s="6">
        <v>9</v>
      </c>
      <c r="M425" s="22" t="str" cm="1">
        <f t="array" ref="M425">_xlfn.IFS(L425&gt;10,"Veteran",L425&gt;=6,"Experienced",L425&gt;=2,"Developing",L425&gt;=0,"New")</f>
        <v>Experienced</v>
      </c>
    </row>
    <row r="426" spans="1:13">
      <c r="A426" s="21" t="str">
        <f t="shared" ca="1" si="24"/>
        <v>Ma-Sal-2025-425</v>
      </c>
      <c r="B426" s="6">
        <v>57</v>
      </c>
      <c r="C426" s="6" t="str">
        <f t="shared" si="25"/>
        <v>50+</v>
      </c>
      <c r="D426" s="6" t="s">
        <v>43</v>
      </c>
      <c r="E426" s="6" t="s">
        <v>37</v>
      </c>
      <c r="F426" s="6" t="s">
        <v>46</v>
      </c>
      <c r="G426" s="6" t="s">
        <v>56</v>
      </c>
      <c r="H426" s="8">
        <v>14118</v>
      </c>
      <c r="I426" s="8">
        <f t="shared" si="26"/>
        <v>4235.3999999999996</v>
      </c>
      <c r="J426" s="8">
        <f t="shared" si="27"/>
        <v>9882.6</v>
      </c>
      <c r="K426" s="8">
        <v>22102</v>
      </c>
      <c r="L426" s="6">
        <v>1</v>
      </c>
      <c r="M426" s="22" t="str" cm="1">
        <f t="array" ref="M426">_xlfn.IFS(L426&gt;10,"Veteran",L426&gt;=6,"Experienced",L426&gt;=2,"Developing",L426&gt;=0,"New")</f>
        <v>New</v>
      </c>
    </row>
    <row r="427" spans="1:13">
      <c r="A427" s="21" t="str">
        <f t="shared" ca="1" si="24"/>
        <v>Ma-Res-1999-426</v>
      </c>
      <c r="B427" s="6">
        <v>50</v>
      </c>
      <c r="C427" s="6" t="str">
        <f t="shared" si="25"/>
        <v>50+</v>
      </c>
      <c r="D427" s="6" t="s">
        <v>43</v>
      </c>
      <c r="E427" s="6" t="s">
        <v>45</v>
      </c>
      <c r="F427" s="6" t="s">
        <v>46</v>
      </c>
      <c r="G427" s="6" t="s">
        <v>56</v>
      </c>
      <c r="H427" s="8">
        <v>17046</v>
      </c>
      <c r="I427" s="8">
        <f t="shared" si="26"/>
        <v>5113.8</v>
      </c>
      <c r="J427" s="8">
        <f t="shared" si="27"/>
        <v>11932.2</v>
      </c>
      <c r="K427" s="8">
        <v>9314</v>
      </c>
      <c r="L427" s="6">
        <v>27</v>
      </c>
      <c r="M427" s="22" t="str" cm="1">
        <f t="array" ref="M427">_xlfn.IFS(L427&gt;10,"Veteran",L427&gt;=6,"Experienced",L427&gt;=2,"Developing",L427&gt;=0,"New")</f>
        <v>Veteran</v>
      </c>
    </row>
    <row r="428" spans="1:13">
      <c r="A428" s="21" t="str">
        <f t="shared" ca="1" si="24"/>
        <v>La-Res-2015-427</v>
      </c>
      <c r="B428" s="6">
        <v>30</v>
      </c>
      <c r="C428" s="6" t="str">
        <f t="shared" si="25"/>
        <v>30-39</v>
      </c>
      <c r="D428" s="6" t="s">
        <v>43</v>
      </c>
      <c r="E428" s="6" t="s">
        <v>45</v>
      </c>
      <c r="F428" s="6" t="s">
        <v>39</v>
      </c>
      <c r="G428" s="6" t="s">
        <v>50</v>
      </c>
      <c r="H428" s="8">
        <v>2564</v>
      </c>
      <c r="I428" s="8">
        <f t="shared" si="26"/>
        <v>179.48000000000002</v>
      </c>
      <c r="J428" s="8">
        <f t="shared" si="27"/>
        <v>2384.52</v>
      </c>
      <c r="K428" s="8">
        <v>7181</v>
      </c>
      <c r="L428" s="6">
        <v>11</v>
      </c>
      <c r="M428" s="22" t="str" cm="1">
        <f t="array" ref="M428">_xlfn.IFS(L428&gt;10,"Veteran",L428&gt;=6,"Experienced",L428&gt;=2,"Developing",L428&gt;=0,"New")</f>
        <v>Veteran</v>
      </c>
    </row>
    <row r="429" spans="1:13">
      <c r="A429" s="21" t="str">
        <f t="shared" ca="1" si="24"/>
        <v>Sa-Sal-2008-428</v>
      </c>
      <c r="B429" s="6">
        <v>60</v>
      </c>
      <c r="C429" s="6" t="str">
        <f t="shared" si="25"/>
        <v>50+</v>
      </c>
      <c r="D429" s="6" t="s">
        <v>43</v>
      </c>
      <c r="E429" s="6" t="s">
        <v>37</v>
      </c>
      <c r="F429" s="6" t="s">
        <v>39</v>
      </c>
      <c r="G429" s="6" t="s">
        <v>40</v>
      </c>
      <c r="H429" s="8">
        <v>10266</v>
      </c>
      <c r="I429" s="8">
        <f t="shared" si="26"/>
        <v>2258.52</v>
      </c>
      <c r="J429" s="8">
        <f t="shared" si="27"/>
        <v>8007.48</v>
      </c>
      <c r="K429" s="8">
        <v>2845</v>
      </c>
      <c r="L429" s="6">
        <v>18</v>
      </c>
      <c r="M429" s="22" t="str" cm="1">
        <f t="array" ref="M429">_xlfn.IFS(L429&gt;10,"Veteran",L429&gt;=6,"Experienced",L429&gt;=2,"Developing",L429&gt;=0,"New")</f>
        <v>Veteran</v>
      </c>
    </row>
    <row r="430" spans="1:13">
      <c r="A430" s="21" t="str">
        <f t="shared" ca="1" si="24"/>
        <v>Ma-Res-2021-429</v>
      </c>
      <c r="B430" s="6">
        <v>47</v>
      </c>
      <c r="C430" s="6" t="str">
        <f t="shared" si="25"/>
        <v>40-49</v>
      </c>
      <c r="D430" s="6" t="s">
        <v>43</v>
      </c>
      <c r="E430" s="6" t="s">
        <v>45</v>
      </c>
      <c r="F430" s="6" t="s">
        <v>39</v>
      </c>
      <c r="G430" s="6" t="s">
        <v>53</v>
      </c>
      <c r="H430" s="8">
        <v>5070</v>
      </c>
      <c r="I430" s="8">
        <f t="shared" si="26"/>
        <v>760.5</v>
      </c>
      <c r="J430" s="8">
        <f t="shared" si="27"/>
        <v>4309.5</v>
      </c>
      <c r="K430" s="8">
        <v>7389</v>
      </c>
      <c r="L430" s="6">
        <v>5</v>
      </c>
      <c r="M430" s="22" t="str" cm="1">
        <f t="array" ref="M430">_xlfn.IFS(L430&gt;10,"Veteran",L430&gt;=6,"Experienced",L430&gt;=2,"Developing",L430&gt;=0,"New")</f>
        <v>Developing</v>
      </c>
    </row>
    <row r="431" spans="1:13">
      <c r="A431" s="21" t="str">
        <f t="shared" ca="1" si="24"/>
        <v>Re-Res-2023-430</v>
      </c>
      <c r="B431" s="6">
        <v>46</v>
      </c>
      <c r="C431" s="6" t="str">
        <f t="shared" si="25"/>
        <v>40-49</v>
      </c>
      <c r="D431" s="6" t="s">
        <v>43</v>
      </c>
      <c r="E431" s="6" t="s">
        <v>45</v>
      </c>
      <c r="F431" s="6" t="s">
        <v>46</v>
      </c>
      <c r="G431" s="6" t="s">
        <v>58</v>
      </c>
      <c r="H431" s="8">
        <v>17861</v>
      </c>
      <c r="I431" s="8">
        <f t="shared" si="26"/>
        <v>5358.3</v>
      </c>
      <c r="J431" s="8">
        <f t="shared" si="27"/>
        <v>12502.7</v>
      </c>
      <c r="K431" s="8">
        <v>2288</v>
      </c>
      <c r="L431" s="6">
        <v>3</v>
      </c>
      <c r="M431" s="22" t="str" cm="1">
        <f t="array" ref="M431">_xlfn.IFS(L431&gt;10,"Veteran",L431&gt;=6,"Experienced",L431&gt;=2,"Developing",L431&gt;=0,"New")</f>
        <v>Developing</v>
      </c>
    </row>
    <row r="432" spans="1:13">
      <c r="A432" s="21" t="str">
        <f t="shared" ca="1" si="24"/>
        <v>La-Res-2021-431</v>
      </c>
      <c r="B432" s="6">
        <v>35</v>
      </c>
      <c r="C432" s="6" t="str">
        <f t="shared" si="25"/>
        <v>30-39</v>
      </c>
      <c r="D432" s="6" t="s">
        <v>43</v>
      </c>
      <c r="E432" s="6" t="s">
        <v>45</v>
      </c>
      <c r="F432" s="6" t="s">
        <v>46</v>
      </c>
      <c r="G432" s="6" t="s">
        <v>50</v>
      </c>
      <c r="H432" s="8">
        <v>4230</v>
      </c>
      <c r="I432" s="8">
        <f t="shared" si="26"/>
        <v>634.5</v>
      </c>
      <c r="J432" s="8">
        <f t="shared" si="27"/>
        <v>3595.5</v>
      </c>
      <c r="K432" s="8">
        <v>19225</v>
      </c>
      <c r="L432" s="6">
        <v>5</v>
      </c>
      <c r="M432" s="22" t="str" cm="1">
        <f t="array" ref="M432">_xlfn.IFS(L432&gt;10,"Veteran",L432&gt;=6,"Experienced",L432&gt;=2,"Developing",L432&gt;=0,"New")</f>
        <v>Developing</v>
      </c>
    </row>
    <row r="433" spans="1:13">
      <c r="A433" s="21" t="str">
        <f t="shared" ca="1" si="24"/>
        <v>La-Res-2025-432</v>
      </c>
      <c r="B433" s="6">
        <v>54</v>
      </c>
      <c r="C433" s="6" t="str">
        <f t="shared" si="25"/>
        <v>50+</v>
      </c>
      <c r="D433" s="6" t="s">
        <v>43</v>
      </c>
      <c r="E433" s="6" t="s">
        <v>45</v>
      </c>
      <c r="F433" s="6" t="s">
        <v>39</v>
      </c>
      <c r="G433" s="6" t="s">
        <v>50</v>
      </c>
      <c r="H433" s="8">
        <v>3780</v>
      </c>
      <c r="I433" s="8">
        <f t="shared" si="26"/>
        <v>567</v>
      </c>
      <c r="J433" s="8">
        <f t="shared" si="27"/>
        <v>3213</v>
      </c>
      <c r="K433" s="8">
        <v>23428</v>
      </c>
      <c r="L433" s="6">
        <v>1</v>
      </c>
      <c r="M433" s="22" t="str" cm="1">
        <f t="array" ref="M433">_xlfn.IFS(L433&gt;10,"Veteran",L433&gt;=6,"Experienced",L433&gt;=2,"Developing",L433&gt;=0,"New")</f>
        <v>New</v>
      </c>
    </row>
    <row r="434" spans="1:13">
      <c r="A434" s="21" t="str">
        <f t="shared" ca="1" si="24"/>
        <v>Re-Res-2019-433</v>
      </c>
      <c r="B434" s="6">
        <v>34</v>
      </c>
      <c r="C434" s="6" t="str">
        <f t="shared" si="25"/>
        <v>30-39</v>
      </c>
      <c r="D434" s="6" t="s">
        <v>43</v>
      </c>
      <c r="E434" s="6" t="s">
        <v>45</v>
      </c>
      <c r="F434" s="6" t="s">
        <v>46</v>
      </c>
      <c r="G434" s="6" t="s">
        <v>47</v>
      </c>
      <c r="H434" s="8">
        <v>2768</v>
      </c>
      <c r="I434" s="8">
        <f t="shared" si="26"/>
        <v>193.76000000000002</v>
      </c>
      <c r="J434" s="8">
        <f t="shared" si="27"/>
        <v>2574.2399999999998</v>
      </c>
      <c r="K434" s="8">
        <v>8416</v>
      </c>
      <c r="L434" s="6">
        <v>7</v>
      </c>
      <c r="M434" s="22" t="str" cm="1">
        <f t="array" ref="M434">_xlfn.IFS(L434&gt;10,"Veteran",L434&gt;=6,"Experienced",L434&gt;=2,"Developing",L434&gt;=0,"New")</f>
        <v>Experienced</v>
      </c>
    </row>
    <row r="435" spans="1:13">
      <c r="A435" s="21" t="str">
        <f t="shared" ca="1" si="24"/>
        <v>Sa-Sal-2023-434</v>
      </c>
      <c r="B435" s="6">
        <v>46</v>
      </c>
      <c r="C435" s="6" t="str">
        <f t="shared" si="25"/>
        <v>40-49</v>
      </c>
      <c r="D435" s="6" t="s">
        <v>43</v>
      </c>
      <c r="E435" s="6" t="s">
        <v>37</v>
      </c>
      <c r="F435" s="6" t="s">
        <v>39</v>
      </c>
      <c r="G435" s="6" t="s">
        <v>40</v>
      </c>
      <c r="H435" s="8">
        <v>9071</v>
      </c>
      <c r="I435" s="8">
        <f t="shared" si="26"/>
        <v>1995.6200000000001</v>
      </c>
      <c r="J435" s="8">
        <f t="shared" si="27"/>
        <v>7075.38</v>
      </c>
      <c r="K435" s="8">
        <v>11563</v>
      </c>
      <c r="L435" s="6">
        <v>3</v>
      </c>
      <c r="M435" s="22" t="str" cm="1">
        <f t="array" ref="M435">_xlfn.IFS(L435&gt;10,"Veteran",L435&gt;=6,"Experienced",L435&gt;=2,"Developing",L435&gt;=0,"New")</f>
        <v>Developing</v>
      </c>
    </row>
    <row r="436" spans="1:13">
      <c r="A436" s="21" t="str">
        <f t="shared" ca="1" si="24"/>
        <v>Ma-Res-2013-435</v>
      </c>
      <c r="B436" s="6">
        <v>31</v>
      </c>
      <c r="C436" s="6" t="str">
        <f t="shared" si="25"/>
        <v>30-39</v>
      </c>
      <c r="D436" s="6" t="s">
        <v>43</v>
      </c>
      <c r="E436" s="6" t="s">
        <v>45</v>
      </c>
      <c r="F436" s="6" t="s">
        <v>46</v>
      </c>
      <c r="G436" s="6" t="s">
        <v>53</v>
      </c>
      <c r="H436" s="8">
        <v>10648</v>
      </c>
      <c r="I436" s="8">
        <f t="shared" si="26"/>
        <v>2342.56</v>
      </c>
      <c r="J436" s="8">
        <f t="shared" si="27"/>
        <v>8305.44</v>
      </c>
      <c r="K436" s="8">
        <v>14394</v>
      </c>
      <c r="L436" s="6">
        <v>13</v>
      </c>
      <c r="M436" s="22" t="str" cm="1">
        <f t="array" ref="M436">_xlfn.IFS(L436&gt;10,"Veteran",L436&gt;=6,"Experienced",L436&gt;=2,"Developing",L436&gt;=0,"New")</f>
        <v>Veteran</v>
      </c>
    </row>
    <row r="437" spans="1:13">
      <c r="A437" s="21" t="str">
        <f t="shared" ca="1" si="24"/>
        <v>Ma-Res-2019-436</v>
      </c>
      <c r="B437" s="6">
        <v>33</v>
      </c>
      <c r="C437" s="6" t="str">
        <f t="shared" si="25"/>
        <v>30-39</v>
      </c>
      <c r="D437" s="6" t="s">
        <v>35</v>
      </c>
      <c r="E437" s="6" t="s">
        <v>45</v>
      </c>
      <c r="F437" s="6" t="s">
        <v>46</v>
      </c>
      <c r="G437" s="6" t="s">
        <v>56</v>
      </c>
      <c r="H437" s="8">
        <v>13610</v>
      </c>
      <c r="I437" s="8">
        <f t="shared" si="26"/>
        <v>4083</v>
      </c>
      <c r="J437" s="8">
        <f t="shared" si="27"/>
        <v>9527</v>
      </c>
      <c r="K437" s="8">
        <v>24619</v>
      </c>
      <c r="L437" s="6">
        <v>7</v>
      </c>
      <c r="M437" s="22" t="str" cm="1">
        <f t="array" ref="M437">_xlfn.IFS(L437&gt;10,"Veteran",L437&gt;=6,"Experienced",L437&gt;=2,"Developing",L437&gt;=0,"New")</f>
        <v>Experienced</v>
      </c>
    </row>
    <row r="438" spans="1:13">
      <c r="A438" s="21" t="str">
        <f t="shared" ca="1" si="24"/>
        <v>La-Res-2022-437</v>
      </c>
      <c r="B438" s="6">
        <v>33</v>
      </c>
      <c r="C438" s="6" t="str">
        <f t="shared" si="25"/>
        <v>30-39</v>
      </c>
      <c r="D438" s="6" t="s">
        <v>35</v>
      </c>
      <c r="E438" s="6" t="s">
        <v>45</v>
      </c>
      <c r="F438" s="6" t="s">
        <v>46</v>
      </c>
      <c r="G438" s="6" t="s">
        <v>50</v>
      </c>
      <c r="H438" s="8">
        <v>3408</v>
      </c>
      <c r="I438" s="8">
        <f t="shared" si="26"/>
        <v>511.2</v>
      </c>
      <c r="J438" s="8">
        <f t="shared" si="27"/>
        <v>2896.8</v>
      </c>
      <c r="K438" s="8">
        <v>6705</v>
      </c>
      <c r="L438" s="6">
        <v>4</v>
      </c>
      <c r="M438" s="22" t="str" cm="1">
        <f t="array" ref="M438">_xlfn.IFS(L438&gt;10,"Veteran",L438&gt;=6,"Experienced",L438&gt;=2,"Developing",L438&gt;=0,"New")</f>
        <v>Developing</v>
      </c>
    </row>
    <row r="439" spans="1:13">
      <c r="A439" s="21" t="str">
        <f t="shared" ca="1" si="24"/>
        <v>Sa-Sal-2023-438</v>
      </c>
      <c r="B439" s="6">
        <v>30</v>
      </c>
      <c r="C439" s="6" t="str">
        <f t="shared" si="25"/>
        <v>30-39</v>
      </c>
      <c r="D439" s="6" t="s">
        <v>43</v>
      </c>
      <c r="E439" s="6" t="s">
        <v>37</v>
      </c>
      <c r="F439" s="6" t="s">
        <v>46</v>
      </c>
      <c r="G439" s="6" t="s">
        <v>57</v>
      </c>
      <c r="H439" s="8">
        <v>2983</v>
      </c>
      <c r="I439" s="8">
        <f t="shared" si="26"/>
        <v>208.81000000000003</v>
      </c>
      <c r="J439" s="8">
        <f t="shared" si="27"/>
        <v>2774.19</v>
      </c>
      <c r="K439" s="8">
        <v>18398</v>
      </c>
      <c r="L439" s="6">
        <v>3</v>
      </c>
      <c r="M439" s="22" t="str" cm="1">
        <f t="array" ref="M439">_xlfn.IFS(L439&gt;10,"Veteran",L439&gt;=6,"Experienced",L439&gt;=2,"Developing",L439&gt;=0,"New")</f>
        <v>Developing</v>
      </c>
    </row>
    <row r="440" spans="1:13">
      <c r="A440" s="21" t="str">
        <f t="shared" ca="1" si="24"/>
        <v>He-Res-2018-439</v>
      </c>
      <c r="B440" s="6">
        <v>35</v>
      </c>
      <c r="C440" s="6" t="str">
        <f t="shared" si="25"/>
        <v>30-39</v>
      </c>
      <c r="D440" s="6" t="s">
        <v>43</v>
      </c>
      <c r="E440" s="6" t="s">
        <v>45</v>
      </c>
      <c r="F440" s="6" t="s">
        <v>46</v>
      </c>
      <c r="G440" s="6" t="s">
        <v>54</v>
      </c>
      <c r="H440" s="8">
        <v>7632</v>
      </c>
      <c r="I440" s="8">
        <f t="shared" si="26"/>
        <v>1679.04</v>
      </c>
      <c r="J440" s="8">
        <f t="shared" si="27"/>
        <v>5952.96</v>
      </c>
      <c r="K440" s="8">
        <v>14295</v>
      </c>
      <c r="L440" s="6">
        <v>8</v>
      </c>
      <c r="M440" s="22" t="str" cm="1">
        <f t="array" ref="M440">_xlfn.IFS(L440&gt;10,"Veteran",L440&gt;=6,"Experienced",L440&gt;=2,"Developing",L440&gt;=0,"New")</f>
        <v>Experienced</v>
      </c>
    </row>
    <row r="441" spans="1:13">
      <c r="A441" s="21" t="str">
        <f t="shared" ca="1" si="24"/>
        <v>He-Res-2025-440</v>
      </c>
      <c r="B441" s="6">
        <v>31</v>
      </c>
      <c r="C441" s="6" t="str">
        <f t="shared" si="25"/>
        <v>30-39</v>
      </c>
      <c r="D441" s="6" t="s">
        <v>35</v>
      </c>
      <c r="E441" s="6" t="s">
        <v>45</v>
      </c>
      <c r="F441" s="6" t="s">
        <v>46</v>
      </c>
      <c r="G441" s="6" t="s">
        <v>54</v>
      </c>
      <c r="H441" s="8">
        <v>9824</v>
      </c>
      <c r="I441" s="8">
        <f t="shared" si="26"/>
        <v>2161.2800000000002</v>
      </c>
      <c r="J441" s="8">
        <f t="shared" si="27"/>
        <v>7662.7199999999993</v>
      </c>
      <c r="K441" s="8">
        <v>22908</v>
      </c>
      <c r="L441" s="6">
        <v>1</v>
      </c>
      <c r="M441" s="22" t="str" cm="1">
        <f t="array" ref="M441">_xlfn.IFS(L441&gt;10,"Veteran",L441&gt;=6,"Experienced",L441&gt;=2,"Developing",L441&gt;=0,"New")</f>
        <v>New</v>
      </c>
    </row>
    <row r="442" spans="1:13">
      <c r="A442" s="21" t="str">
        <f t="shared" ca="1" si="24"/>
        <v>Hu-Hum-2023-441</v>
      </c>
      <c r="B442" s="6">
        <v>34</v>
      </c>
      <c r="C442" s="6" t="str">
        <f t="shared" si="25"/>
        <v>30-39</v>
      </c>
      <c r="D442" s="6" t="s">
        <v>35</v>
      </c>
      <c r="E442" s="6" t="s">
        <v>61</v>
      </c>
      <c r="F442" s="6" t="s">
        <v>39</v>
      </c>
      <c r="G442" s="6" t="s">
        <v>61</v>
      </c>
      <c r="H442" s="8">
        <v>9950</v>
      </c>
      <c r="I442" s="8">
        <f t="shared" si="26"/>
        <v>2189</v>
      </c>
      <c r="J442" s="8">
        <f t="shared" si="27"/>
        <v>7761</v>
      </c>
      <c r="K442" s="8">
        <v>11533</v>
      </c>
      <c r="L442" s="6">
        <v>3</v>
      </c>
      <c r="M442" s="22" t="str" cm="1">
        <f t="array" ref="M442">_xlfn.IFS(L442&gt;10,"Veteran",L442&gt;=6,"Experienced",L442&gt;=2,"Developing",L442&gt;=0,"New")</f>
        <v>Developing</v>
      </c>
    </row>
    <row r="443" spans="1:13">
      <c r="A443" s="21" t="str">
        <f t="shared" ca="1" si="24"/>
        <v>La-Res-2024-442</v>
      </c>
      <c r="B443" s="6">
        <v>42</v>
      </c>
      <c r="C443" s="6" t="str">
        <f t="shared" si="25"/>
        <v>40-49</v>
      </c>
      <c r="D443" s="6" t="s">
        <v>43</v>
      </c>
      <c r="E443" s="6" t="s">
        <v>45</v>
      </c>
      <c r="F443" s="6" t="s">
        <v>46</v>
      </c>
      <c r="G443" s="6" t="s">
        <v>50</v>
      </c>
      <c r="H443" s="8">
        <v>2093</v>
      </c>
      <c r="I443" s="8">
        <f t="shared" si="26"/>
        <v>146.51000000000002</v>
      </c>
      <c r="J443" s="8">
        <f t="shared" si="27"/>
        <v>1946.49</v>
      </c>
      <c r="K443" s="8">
        <v>9260</v>
      </c>
      <c r="L443" s="6">
        <v>2</v>
      </c>
      <c r="M443" s="22" t="str" cm="1">
        <f t="array" ref="M443">_xlfn.IFS(L443&gt;10,"Veteran",L443&gt;=6,"Experienced",L443&gt;=2,"Developing",L443&gt;=0,"New")</f>
        <v>Developing</v>
      </c>
    </row>
    <row r="444" spans="1:13">
      <c r="A444" s="21" t="str">
        <f t="shared" ca="1" si="24"/>
        <v>Sa-Sal-2016-443</v>
      </c>
      <c r="B444" s="6">
        <v>36</v>
      </c>
      <c r="C444" s="6" t="str">
        <f t="shared" si="25"/>
        <v>30-39</v>
      </c>
      <c r="D444" s="6" t="s">
        <v>43</v>
      </c>
      <c r="E444" s="6" t="s">
        <v>37</v>
      </c>
      <c r="F444" s="6" t="s">
        <v>46</v>
      </c>
      <c r="G444" s="6" t="s">
        <v>40</v>
      </c>
      <c r="H444" s="8">
        <v>9980</v>
      </c>
      <c r="I444" s="8">
        <f t="shared" si="26"/>
        <v>2195.6</v>
      </c>
      <c r="J444" s="8">
        <f t="shared" si="27"/>
        <v>7784.4</v>
      </c>
      <c r="K444" s="8">
        <v>15318</v>
      </c>
      <c r="L444" s="6">
        <v>10</v>
      </c>
      <c r="M444" s="22" t="str" cm="1">
        <f t="array" ref="M444">_xlfn.IFS(L444&gt;10,"Veteran",L444&gt;=6,"Experienced",L444&gt;=2,"Developing",L444&gt;=0,"New")</f>
        <v>Experienced</v>
      </c>
    </row>
    <row r="445" spans="1:13">
      <c r="A445" s="21" t="str">
        <f t="shared" ca="1" si="24"/>
        <v>La-Res-2024-444</v>
      </c>
      <c r="B445" s="6">
        <v>22</v>
      </c>
      <c r="C445" s="6" t="str">
        <f t="shared" si="25"/>
        <v>20-29</v>
      </c>
      <c r="D445" s="6" t="s">
        <v>35</v>
      </c>
      <c r="E445" s="6" t="s">
        <v>45</v>
      </c>
      <c r="F445" s="6" t="s">
        <v>46</v>
      </c>
      <c r="G445" s="6" t="s">
        <v>50</v>
      </c>
      <c r="H445" s="8">
        <v>3894</v>
      </c>
      <c r="I445" s="8">
        <f t="shared" si="26"/>
        <v>584.1</v>
      </c>
      <c r="J445" s="8">
        <f t="shared" si="27"/>
        <v>3309.9</v>
      </c>
      <c r="K445" s="8">
        <v>9129</v>
      </c>
      <c r="L445" s="6">
        <v>2</v>
      </c>
      <c r="M445" s="22" t="str" cm="1">
        <f t="array" ref="M445">_xlfn.IFS(L445&gt;10,"Veteran",L445&gt;=6,"Experienced",L445&gt;=2,"Developing",L445&gt;=0,"New")</f>
        <v>Developing</v>
      </c>
    </row>
    <row r="446" spans="1:13">
      <c r="A446" s="21" t="str">
        <f t="shared" ca="1" si="24"/>
        <v>Sa-Sal-2017-445</v>
      </c>
      <c r="B446" s="6">
        <v>48</v>
      </c>
      <c r="C446" s="6" t="str">
        <f t="shared" si="25"/>
        <v>40-49</v>
      </c>
      <c r="D446" s="6" t="s">
        <v>43</v>
      </c>
      <c r="E446" s="6" t="s">
        <v>37</v>
      </c>
      <c r="F446" s="6" t="s">
        <v>39</v>
      </c>
      <c r="G446" s="6" t="s">
        <v>40</v>
      </c>
      <c r="H446" s="8">
        <v>4051</v>
      </c>
      <c r="I446" s="8">
        <f t="shared" si="26"/>
        <v>607.65</v>
      </c>
      <c r="J446" s="8">
        <f t="shared" si="27"/>
        <v>3443.35</v>
      </c>
      <c r="K446" s="8">
        <v>19658</v>
      </c>
      <c r="L446" s="6">
        <v>9</v>
      </c>
      <c r="M446" s="22" t="str" cm="1">
        <f t="array" ref="M446">_xlfn.IFS(L446&gt;10,"Veteran",L446&gt;=6,"Experienced",L446&gt;=2,"Developing",L446&gt;=0,"New")</f>
        <v>Experienced</v>
      </c>
    </row>
    <row r="447" spans="1:13">
      <c r="A447" s="21" t="str">
        <f t="shared" ca="1" si="24"/>
        <v>Ma-Sal-2016-446</v>
      </c>
      <c r="B447" s="6">
        <v>55</v>
      </c>
      <c r="C447" s="6" t="str">
        <f t="shared" si="25"/>
        <v>50+</v>
      </c>
      <c r="D447" s="6" t="s">
        <v>43</v>
      </c>
      <c r="E447" s="6" t="s">
        <v>37</v>
      </c>
      <c r="F447" s="6" t="s">
        <v>39</v>
      </c>
      <c r="G447" s="6" t="s">
        <v>56</v>
      </c>
      <c r="H447" s="8">
        <v>16835</v>
      </c>
      <c r="I447" s="8">
        <f t="shared" si="26"/>
        <v>5050.5</v>
      </c>
      <c r="J447" s="8">
        <f t="shared" si="27"/>
        <v>11784.5</v>
      </c>
      <c r="K447" s="8">
        <v>9873</v>
      </c>
      <c r="L447" s="6">
        <v>10</v>
      </c>
      <c r="M447" s="22" t="str" cm="1">
        <f t="array" ref="M447">_xlfn.IFS(L447&gt;10,"Veteran",L447&gt;=6,"Experienced",L447&gt;=2,"Developing",L447&gt;=0,"New")</f>
        <v>Experienced</v>
      </c>
    </row>
    <row r="448" spans="1:13">
      <c r="A448" s="21" t="str">
        <f t="shared" ca="1" si="24"/>
        <v>Sa-Sal-2012-447</v>
      </c>
      <c r="B448" s="6">
        <v>41</v>
      </c>
      <c r="C448" s="6" t="str">
        <f t="shared" si="25"/>
        <v>40-49</v>
      </c>
      <c r="D448" s="6" t="s">
        <v>43</v>
      </c>
      <c r="E448" s="6" t="s">
        <v>37</v>
      </c>
      <c r="F448" s="6" t="s">
        <v>46</v>
      </c>
      <c r="G448" s="6" t="s">
        <v>40</v>
      </c>
      <c r="H448" s="8">
        <v>6230</v>
      </c>
      <c r="I448" s="8">
        <f t="shared" si="26"/>
        <v>934.5</v>
      </c>
      <c r="J448" s="8">
        <f t="shared" si="27"/>
        <v>5295.5</v>
      </c>
      <c r="K448" s="8">
        <v>13430</v>
      </c>
      <c r="L448" s="6">
        <v>14</v>
      </c>
      <c r="M448" s="22" t="str" cm="1">
        <f t="array" ref="M448">_xlfn.IFS(L448&gt;10,"Veteran",L448&gt;=6,"Experienced",L448&gt;=2,"Developing",L448&gt;=0,"New")</f>
        <v>Veteran</v>
      </c>
    </row>
    <row r="449" spans="1:13">
      <c r="A449" s="21" t="str">
        <f t="shared" ca="1" si="24"/>
        <v>Sa-Sal-2015-448</v>
      </c>
      <c r="B449" s="6">
        <v>35</v>
      </c>
      <c r="C449" s="6" t="str">
        <f t="shared" si="25"/>
        <v>30-39</v>
      </c>
      <c r="D449" s="6" t="s">
        <v>43</v>
      </c>
      <c r="E449" s="6" t="s">
        <v>37</v>
      </c>
      <c r="F449" s="6" t="s">
        <v>46</v>
      </c>
      <c r="G449" s="6" t="s">
        <v>40</v>
      </c>
      <c r="H449" s="8">
        <v>4717</v>
      </c>
      <c r="I449" s="8">
        <f t="shared" si="26"/>
        <v>707.55</v>
      </c>
      <c r="J449" s="8">
        <f t="shared" si="27"/>
        <v>4009.45</v>
      </c>
      <c r="K449" s="8">
        <v>18659</v>
      </c>
      <c r="L449" s="6">
        <v>11</v>
      </c>
      <c r="M449" s="22" t="str" cm="1">
        <f t="array" ref="M449">_xlfn.IFS(L449&gt;10,"Veteran",L449&gt;=6,"Experienced",L449&gt;=2,"Developing",L449&gt;=0,"New")</f>
        <v>Veteran</v>
      </c>
    </row>
    <row r="450" spans="1:13">
      <c r="A450" s="21" t="str">
        <f t="shared" ca="1" si="24"/>
        <v>Ma-Res-2006-449</v>
      </c>
      <c r="B450" s="6">
        <v>40</v>
      </c>
      <c r="C450" s="6" t="str">
        <f t="shared" si="25"/>
        <v>40-49</v>
      </c>
      <c r="D450" s="6" t="s">
        <v>43</v>
      </c>
      <c r="E450" s="6" t="s">
        <v>45</v>
      </c>
      <c r="F450" s="6" t="s">
        <v>39</v>
      </c>
      <c r="G450" s="6" t="s">
        <v>53</v>
      </c>
      <c r="H450" s="8">
        <v>13237</v>
      </c>
      <c r="I450" s="8">
        <f t="shared" si="26"/>
        <v>3971.1</v>
      </c>
      <c r="J450" s="8">
        <f t="shared" si="27"/>
        <v>9265.9</v>
      </c>
      <c r="K450" s="8">
        <v>20364</v>
      </c>
      <c r="L450" s="6">
        <v>20</v>
      </c>
      <c r="M450" s="22" t="str" cm="1">
        <f t="array" ref="M450">_xlfn.IFS(L450&gt;10,"Veteran",L450&gt;=6,"Experienced",L450&gt;=2,"Developing",L450&gt;=0,"New")</f>
        <v>Veteran</v>
      </c>
    </row>
    <row r="451" spans="1:13">
      <c r="A451" s="21" t="str">
        <f t="shared" ref="A451:A514" ca="1" si="28">LEFT(G451,2)&amp;"-"&amp;LEFT(E451,3)&amp;"-"&amp;YEAR(TODAY())-L451&amp;"-"&amp;TEXT(ROW()-1,"000")</f>
        <v>La-Res-2018-450</v>
      </c>
      <c r="B451" s="6">
        <v>39</v>
      </c>
      <c r="C451" s="6" t="str">
        <f t="shared" ref="C451:C514" si="29">IF(B451&lt;=29,"20-29",IF(B451&lt;=39,"30-39",IF(B451&lt;=49,"40-49","50+")))</f>
        <v>30-39</v>
      </c>
      <c r="D451" s="6" t="s">
        <v>43</v>
      </c>
      <c r="E451" s="6" t="s">
        <v>45</v>
      </c>
      <c r="F451" s="6" t="s">
        <v>39</v>
      </c>
      <c r="G451" s="6" t="s">
        <v>50</v>
      </c>
      <c r="H451" s="8">
        <v>3755</v>
      </c>
      <c r="I451" s="8">
        <f t="shared" ref="I451:I514" si="30">IF(H451&gt;13000,H451*30%,IF(H451&gt;7000,H451*22%,IF(H451&gt;3000,H451*15%,H451*7%)))</f>
        <v>563.25</v>
      </c>
      <c r="J451" s="8">
        <f t="shared" ref="J451:J514" si="31">H451-I451</f>
        <v>3191.75</v>
      </c>
      <c r="K451" s="8">
        <v>17872</v>
      </c>
      <c r="L451" s="6">
        <v>8</v>
      </c>
      <c r="M451" s="22" t="str" cm="1">
        <f t="array" ref="M451">_xlfn.IFS(L451&gt;10,"Veteran",L451&gt;=6,"Experienced",L451&gt;=2,"Developing",L451&gt;=0,"New")</f>
        <v>Experienced</v>
      </c>
    </row>
    <row r="452" spans="1:13">
      <c r="A452" s="21" t="str">
        <f t="shared" ca="1" si="28"/>
        <v>Sa-Sal-2020-451</v>
      </c>
      <c r="B452" s="6">
        <v>31</v>
      </c>
      <c r="C452" s="6" t="str">
        <f t="shared" si="29"/>
        <v>30-39</v>
      </c>
      <c r="D452" s="6" t="s">
        <v>43</v>
      </c>
      <c r="E452" s="6" t="s">
        <v>37</v>
      </c>
      <c r="F452" s="6" t="s">
        <v>46</v>
      </c>
      <c r="G452" s="6" t="s">
        <v>40</v>
      </c>
      <c r="H452" s="8">
        <v>6582</v>
      </c>
      <c r="I452" s="8">
        <f t="shared" si="30"/>
        <v>987.3</v>
      </c>
      <c r="J452" s="8">
        <f t="shared" si="31"/>
        <v>5594.7</v>
      </c>
      <c r="K452" s="8">
        <v>8346</v>
      </c>
      <c r="L452" s="6">
        <v>6</v>
      </c>
      <c r="M452" s="22" t="str" cm="1">
        <f t="array" ref="M452">_xlfn.IFS(L452&gt;10,"Veteran",L452&gt;=6,"Experienced",L452&gt;=2,"Developing",L452&gt;=0,"New")</f>
        <v>Experienced</v>
      </c>
    </row>
    <row r="453" spans="1:13">
      <c r="A453" s="21" t="str">
        <f t="shared" ca="1" si="28"/>
        <v>Ma-Res-2016-452</v>
      </c>
      <c r="B453" s="6">
        <v>42</v>
      </c>
      <c r="C453" s="6" t="str">
        <f t="shared" si="29"/>
        <v>40-49</v>
      </c>
      <c r="D453" s="6" t="s">
        <v>43</v>
      </c>
      <c r="E453" s="6" t="s">
        <v>45</v>
      </c>
      <c r="F453" s="6" t="s">
        <v>46</v>
      </c>
      <c r="G453" s="6" t="s">
        <v>53</v>
      </c>
      <c r="H453" s="8">
        <v>7406</v>
      </c>
      <c r="I453" s="8">
        <f t="shared" si="30"/>
        <v>1629.32</v>
      </c>
      <c r="J453" s="8">
        <f t="shared" si="31"/>
        <v>5776.68</v>
      </c>
      <c r="K453" s="8">
        <v>6950</v>
      </c>
      <c r="L453" s="6">
        <v>10</v>
      </c>
      <c r="M453" s="22" t="str" cm="1">
        <f t="array" ref="M453">_xlfn.IFS(L453&gt;10,"Veteran",L453&gt;=6,"Experienced",L453&gt;=2,"Developing",L453&gt;=0,"New")</f>
        <v>Experienced</v>
      </c>
    </row>
    <row r="454" spans="1:13">
      <c r="A454" s="21" t="str">
        <f t="shared" ca="1" si="28"/>
        <v>Sa-Sal-2018-453</v>
      </c>
      <c r="B454" s="6">
        <v>45</v>
      </c>
      <c r="C454" s="6" t="str">
        <f t="shared" si="29"/>
        <v>40-49</v>
      </c>
      <c r="D454" s="6" t="s">
        <v>43</v>
      </c>
      <c r="E454" s="6" t="s">
        <v>37</v>
      </c>
      <c r="F454" s="6" t="s">
        <v>46</v>
      </c>
      <c r="G454" s="6" t="s">
        <v>40</v>
      </c>
      <c r="H454" s="8">
        <v>4805</v>
      </c>
      <c r="I454" s="8">
        <f t="shared" si="30"/>
        <v>720.75</v>
      </c>
      <c r="J454" s="8">
        <f t="shared" si="31"/>
        <v>4084.25</v>
      </c>
      <c r="K454" s="8">
        <v>16177</v>
      </c>
      <c r="L454" s="6">
        <v>8</v>
      </c>
      <c r="M454" s="22" t="str" cm="1">
        <f t="array" ref="M454">_xlfn.IFS(L454&gt;10,"Veteran",L454&gt;=6,"Experienced",L454&gt;=2,"Developing",L454&gt;=0,"New")</f>
        <v>Experienced</v>
      </c>
    </row>
    <row r="455" spans="1:13">
      <c r="A455" s="21" t="str">
        <f t="shared" ca="1" si="28"/>
        <v>Hu-Hum-2019-454</v>
      </c>
      <c r="B455" s="6">
        <v>26</v>
      </c>
      <c r="C455" s="6" t="str">
        <f t="shared" si="29"/>
        <v>20-29</v>
      </c>
      <c r="D455" s="6" t="s">
        <v>35</v>
      </c>
      <c r="E455" s="6" t="s">
        <v>61</v>
      </c>
      <c r="F455" s="6" t="s">
        <v>39</v>
      </c>
      <c r="G455" s="6" t="s">
        <v>61</v>
      </c>
      <c r="H455" s="8">
        <v>2741</v>
      </c>
      <c r="I455" s="8">
        <f t="shared" si="30"/>
        <v>191.87</v>
      </c>
      <c r="J455" s="8">
        <f t="shared" si="31"/>
        <v>2549.13</v>
      </c>
      <c r="K455" s="8">
        <v>22808</v>
      </c>
      <c r="L455" s="6">
        <v>7</v>
      </c>
      <c r="M455" s="22" t="str" cm="1">
        <f t="array" ref="M455">_xlfn.IFS(L455&gt;10,"Veteran",L455&gt;=6,"Experienced",L455&gt;=2,"Developing",L455&gt;=0,"New")</f>
        <v>Experienced</v>
      </c>
    </row>
    <row r="456" spans="1:13">
      <c r="A456" s="21" t="str">
        <f t="shared" ca="1" si="28"/>
        <v>Ma-Res-2023-455</v>
      </c>
      <c r="B456" s="6">
        <v>29</v>
      </c>
      <c r="C456" s="6" t="str">
        <f t="shared" si="29"/>
        <v>20-29</v>
      </c>
      <c r="D456" s="6" t="s">
        <v>43</v>
      </c>
      <c r="E456" s="6" t="s">
        <v>45</v>
      </c>
      <c r="F456" s="6" t="s">
        <v>46</v>
      </c>
      <c r="G456" s="6" t="s">
        <v>53</v>
      </c>
      <c r="H456" s="8">
        <v>4262</v>
      </c>
      <c r="I456" s="8">
        <f t="shared" si="30"/>
        <v>639.29999999999995</v>
      </c>
      <c r="J456" s="8">
        <f t="shared" si="31"/>
        <v>3622.7</v>
      </c>
      <c r="K456" s="8">
        <v>22645</v>
      </c>
      <c r="L456" s="6">
        <v>3</v>
      </c>
      <c r="M456" s="22" t="str" cm="1">
        <f t="array" ref="M456">_xlfn.IFS(L456&gt;10,"Veteran",L456&gt;=6,"Experienced",L456&gt;=2,"Developing",L456&gt;=0,"New")</f>
        <v>Developing</v>
      </c>
    </row>
    <row r="457" spans="1:13">
      <c r="A457" s="21" t="str">
        <f t="shared" ca="1" si="28"/>
        <v>Re-Res-2020-456</v>
      </c>
      <c r="B457" s="6">
        <v>33</v>
      </c>
      <c r="C457" s="6" t="str">
        <f t="shared" si="29"/>
        <v>30-39</v>
      </c>
      <c r="D457" s="6" t="s">
        <v>43</v>
      </c>
      <c r="E457" s="6" t="s">
        <v>45</v>
      </c>
      <c r="F457" s="6" t="s">
        <v>39</v>
      </c>
      <c r="G457" s="6" t="s">
        <v>58</v>
      </c>
      <c r="H457" s="8">
        <v>16184</v>
      </c>
      <c r="I457" s="8">
        <f t="shared" si="30"/>
        <v>4855.2</v>
      </c>
      <c r="J457" s="8">
        <f t="shared" si="31"/>
        <v>11328.8</v>
      </c>
      <c r="K457" s="8">
        <v>22578</v>
      </c>
      <c r="L457" s="6">
        <v>6</v>
      </c>
      <c r="M457" s="22" t="str" cm="1">
        <f t="array" ref="M457">_xlfn.IFS(L457&gt;10,"Veteran",L457&gt;=6,"Experienced",L457&gt;=2,"Developing",L457&gt;=0,"New")</f>
        <v>Experienced</v>
      </c>
    </row>
    <row r="458" spans="1:13">
      <c r="A458" s="21" t="str">
        <f t="shared" ca="1" si="28"/>
        <v>Ma-Sal-2021-457</v>
      </c>
      <c r="B458" s="6">
        <v>31</v>
      </c>
      <c r="C458" s="6" t="str">
        <f t="shared" si="29"/>
        <v>30-39</v>
      </c>
      <c r="D458" s="6" t="s">
        <v>43</v>
      </c>
      <c r="E458" s="6" t="s">
        <v>37</v>
      </c>
      <c r="F458" s="6" t="s">
        <v>46</v>
      </c>
      <c r="G458" s="6" t="s">
        <v>56</v>
      </c>
      <c r="H458" s="8">
        <v>11557</v>
      </c>
      <c r="I458" s="8">
        <f t="shared" si="30"/>
        <v>2542.54</v>
      </c>
      <c r="J458" s="8">
        <f t="shared" si="31"/>
        <v>9014.4599999999991</v>
      </c>
      <c r="K458" s="8">
        <v>25291</v>
      </c>
      <c r="L458" s="6">
        <v>5</v>
      </c>
      <c r="M458" s="22" t="str" cm="1">
        <f t="array" ref="M458">_xlfn.IFS(L458&gt;10,"Veteran",L458&gt;=6,"Experienced",L458&gt;=2,"Developing",L458&gt;=0,"New")</f>
        <v>Developing</v>
      </c>
    </row>
    <row r="459" spans="1:13">
      <c r="A459" s="21" t="str">
        <f t="shared" ca="1" si="28"/>
        <v>Sa-Sal-2026-458</v>
      </c>
      <c r="B459" s="6">
        <v>18</v>
      </c>
      <c r="C459" s="6" t="str">
        <f t="shared" si="29"/>
        <v>20-29</v>
      </c>
      <c r="D459" s="6" t="s">
        <v>35</v>
      </c>
      <c r="E459" s="6" t="s">
        <v>37</v>
      </c>
      <c r="F459" s="6" t="s">
        <v>46</v>
      </c>
      <c r="G459" s="6" t="s">
        <v>57</v>
      </c>
      <c r="H459" s="8">
        <v>1878</v>
      </c>
      <c r="I459" s="8">
        <f t="shared" si="30"/>
        <v>131.46</v>
      </c>
      <c r="J459" s="8">
        <f t="shared" si="31"/>
        <v>1746.54</v>
      </c>
      <c r="K459" s="8">
        <v>8059</v>
      </c>
      <c r="L459" s="6">
        <v>0</v>
      </c>
      <c r="M459" s="22" t="str" cm="1">
        <f t="array" ref="M459">_xlfn.IFS(L459&gt;10,"Veteran",L459&gt;=6,"Experienced",L459&gt;=2,"Developing",L459&gt;=0,"New")</f>
        <v>New</v>
      </c>
    </row>
    <row r="460" spans="1:13">
      <c r="A460" s="21" t="str">
        <f t="shared" ca="1" si="28"/>
        <v>Sa-Sal-2025-459</v>
      </c>
      <c r="B460" s="6">
        <v>40</v>
      </c>
      <c r="C460" s="6" t="str">
        <f t="shared" si="29"/>
        <v>40-49</v>
      </c>
      <c r="D460" s="6" t="s">
        <v>43</v>
      </c>
      <c r="E460" s="6" t="s">
        <v>37</v>
      </c>
      <c r="F460" s="6" t="s">
        <v>46</v>
      </c>
      <c r="G460" s="6" t="s">
        <v>40</v>
      </c>
      <c r="H460" s="8">
        <v>10932</v>
      </c>
      <c r="I460" s="8">
        <f t="shared" si="30"/>
        <v>2405.04</v>
      </c>
      <c r="J460" s="8">
        <f t="shared" si="31"/>
        <v>8526.9599999999991</v>
      </c>
      <c r="K460" s="8">
        <v>11373</v>
      </c>
      <c r="L460" s="6">
        <v>1</v>
      </c>
      <c r="M460" s="22" t="str" cm="1">
        <f t="array" ref="M460">_xlfn.IFS(L460&gt;10,"Veteran",L460&gt;=6,"Experienced",L460&gt;=2,"Developing",L460&gt;=0,"New")</f>
        <v>New</v>
      </c>
    </row>
    <row r="461" spans="1:13">
      <c r="A461" s="21" t="str">
        <f t="shared" ca="1" si="28"/>
        <v>He-Res-2018-460</v>
      </c>
      <c r="B461" s="6">
        <v>41</v>
      </c>
      <c r="C461" s="6" t="str">
        <f t="shared" si="29"/>
        <v>40-49</v>
      </c>
      <c r="D461" s="6" t="s">
        <v>43</v>
      </c>
      <c r="E461" s="6" t="s">
        <v>45</v>
      </c>
      <c r="F461" s="6" t="s">
        <v>39</v>
      </c>
      <c r="G461" s="6" t="s">
        <v>54</v>
      </c>
      <c r="H461" s="8">
        <v>6811</v>
      </c>
      <c r="I461" s="8">
        <f t="shared" si="30"/>
        <v>1021.65</v>
      </c>
      <c r="J461" s="8">
        <f t="shared" si="31"/>
        <v>5789.35</v>
      </c>
      <c r="K461" s="8">
        <v>2112</v>
      </c>
      <c r="L461" s="6">
        <v>8</v>
      </c>
      <c r="M461" s="22" t="str" cm="1">
        <f t="array" ref="M461">_xlfn.IFS(L461&gt;10,"Veteran",L461&gt;=6,"Experienced",L461&gt;=2,"Developing",L461&gt;=0,"New")</f>
        <v>Experienced</v>
      </c>
    </row>
    <row r="462" spans="1:13">
      <c r="A462" s="21" t="str">
        <f t="shared" ca="1" si="28"/>
        <v>Sa-Sal-2026-461</v>
      </c>
      <c r="B462" s="6">
        <v>26</v>
      </c>
      <c r="C462" s="6" t="str">
        <f t="shared" si="29"/>
        <v>20-29</v>
      </c>
      <c r="D462" s="6" t="s">
        <v>43</v>
      </c>
      <c r="E462" s="6" t="s">
        <v>37</v>
      </c>
      <c r="F462" s="6" t="s">
        <v>46</v>
      </c>
      <c r="G462" s="6" t="s">
        <v>40</v>
      </c>
      <c r="H462" s="8">
        <v>4306</v>
      </c>
      <c r="I462" s="8">
        <f t="shared" si="30"/>
        <v>645.9</v>
      </c>
      <c r="J462" s="8">
        <f t="shared" si="31"/>
        <v>3660.1</v>
      </c>
      <c r="K462" s="8">
        <v>4267</v>
      </c>
      <c r="L462" s="6">
        <v>0</v>
      </c>
      <c r="M462" s="22" t="str" cm="1">
        <f t="array" ref="M462">_xlfn.IFS(L462&gt;10,"Veteran",L462&gt;=6,"Experienced",L462&gt;=2,"Developing",L462&gt;=0,"New")</f>
        <v>New</v>
      </c>
    </row>
    <row r="463" spans="1:13">
      <c r="A463" s="21" t="str">
        <f t="shared" ca="1" si="28"/>
        <v>Sa-Sal-2021-462</v>
      </c>
      <c r="B463" s="6">
        <v>35</v>
      </c>
      <c r="C463" s="6" t="str">
        <f t="shared" si="29"/>
        <v>30-39</v>
      </c>
      <c r="D463" s="6" t="s">
        <v>43</v>
      </c>
      <c r="E463" s="6" t="s">
        <v>37</v>
      </c>
      <c r="F463" s="6" t="s">
        <v>39</v>
      </c>
      <c r="G463" s="6" t="s">
        <v>40</v>
      </c>
      <c r="H463" s="8">
        <v>4859</v>
      </c>
      <c r="I463" s="8">
        <f t="shared" si="30"/>
        <v>728.85</v>
      </c>
      <c r="J463" s="8">
        <f t="shared" si="31"/>
        <v>4130.1499999999996</v>
      </c>
      <c r="K463" s="8">
        <v>6698</v>
      </c>
      <c r="L463" s="6">
        <v>5</v>
      </c>
      <c r="M463" s="22" t="str" cm="1">
        <f t="array" ref="M463">_xlfn.IFS(L463&gt;10,"Veteran",L463&gt;=6,"Experienced",L463&gt;=2,"Developing",L463&gt;=0,"New")</f>
        <v>Developing</v>
      </c>
    </row>
    <row r="464" spans="1:13">
      <c r="A464" s="21" t="str">
        <f t="shared" ca="1" si="28"/>
        <v>Sa-Sal-2016-463</v>
      </c>
      <c r="B464" s="6">
        <v>34</v>
      </c>
      <c r="C464" s="6" t="str">
        <f t="shared" si="29"/>
        <v>30-39</v>
      </c>
      <c r="D464" s="6" t="s">
        <v>43</v>
      </c>
      <c r="E464" s="6" t="s">
        <v>37</v>
      </c>
      <c r="F464" s="6" t="s">
        <v>46</v>
      </c>
      <c r="G464" s="6" t="s">
        <v>40</v>
      </c>
      <c r="H464" s="8">
        <v>5337</v>
      </c>
      <c r="I464" s="8">
        <f t="shared" si="30"/>
        <v>800.55</v>
      </c>
      <c r="J464" s="8">
        <f t="shared" si="31"/>
        <v>4536.45</v>
      </c>
      <c r="K464" s="8">
        <v>19921</v>
      </c>
      <c r="L464" s="6">
        <v>10</v>
      </c>
      <c r="M464" s="22" t="str" cm="1">
        <f t="array" ref="M464">_xlfn.IFS(L464&gt;10,"Veteran",L464&gt;=6,"Experienced",L464&gt;=2,"Developing",L464&gt;=0,"New")</f>
        <v>Experienced</v>
      </c>
    </row>
    <row r="465" spans="1:13">
      <c r="A465" s="21" t="str">
        <f t="shared" ca="1" si="28"/>
        <v>La-Res-2025-464</v>
      </c>
      <c r="B465" s="6">
        <v>26</v>
      </c>
      <c r="C465" s="6" t="str">
        <f t="shared" si="29"/>
        <v>20-29</v>
      </c>
      <c r="D465" s="6" t="s">
        <v>35</v>
      </c>
      <c r="E465" s="6" t="s">
        <v>45</v>
      </c>
      <c r="F465" s="6" t="s">
        <v>46</v>
      </c>
      <c r="G465" s="6" t="s">
        <v>50</v>
      </c>
      <c r="H465" s="8">
        <v>2340</v>
      </c>
      <c r="I465" s="8">
        <f t="shared" si="30"/>
        <v>163.80000000000001</v>
      </c>
      <c r="J465" s="8">
        <f t="shared" si="31"/>
        <v>2176.1999999999998</v>
      </c>
      <c r="K465" s="8">
        <v>23213</v>
      </c>
      <c r="L465" s="6">
        <v>1</v>
      </c>
      <c r="M465" s="22" t="str" cm="1">
        <f t="array" ref="M465">_xlfn.IFS(L465&gt;10,"Veteran",L465&gt;=6,"Experienced",L465&gt;=2,"Developing",L465&gt;=0,"New")</f>
        <v>New</v>
      </c>
    </row>
    <row r="466" spans="1:13">
      <c r="A466" s="21" t="str">
        <f t="shared" ca="1" si="28"/>
        <v>Ma-Res-2020-465</v>
      </c>
      <c r="B466" s="6">
        <v>37</v>
      </c>
      <c r="C466" s="6" t="str">
        <f t="shared" si="29"/>
        <v>30-39</v>
      </c>
      <c r="D466" s="6" t="s">
        <v>43</v>
      </c>
      <c r="E466" s="6" t="s">
        <v>45</v>
      </c>
      <c r="F466" s="6" t="s">
        <v>39</v>
      </c>
      <c r="G466" s="6" t="s">
        <v>53</v>
      </c>
      <c r="H466" s="8">
        <v>7491</v>
      </c>
      <c r="I466" s="8">
        <f t="shared" si="30"/>
        <v>1648.02</v>
      </c>
      <c r="J466" s="8">
        <f t="shared" si="31"/>
        <v>5842.98</v>
      </c>
      <c r="K466" s="8">
        <v>23848</v>
      </c>
      <c r="L466" s="6">
        <v>6</v>
      </c>
      <c r="M466" s="22" t="str" cm="1">
        <f t="array" ref="M466">_xlfn.IFS(L466&gt;10,"Veteran",L466&gt;=6,"Experienced",L466&gt;=2,"Developing",L466&gt;=0,"New")</f>
        <v>Experienced</v>
      </c>
    </row>
    <row r="467" spans="1:13">
      <c r="A467" s="21" t="str">
        <f t="shared" ca="1" si="28"/>
        <v>He-Res-2024-466</v>
      </c>
      <c r="B467" s="6">
        <v>46</v>
      </c>
      <c r="C467" s="6" t="str">
        <f t="shared" si="29"/>
        <v>40-49</v>
      </c>
      <c r="D467" s="6" t="s">
        <v>43</v>
      </c>
      <c r="E467" s="6" t="s">
        <v>45</v>
      </c>
      <c r="F467" s="6" t="s">
        <v>39</v>
      </c>
      <c r="G467" s="6" t="s">
        <v>54</v>
      </c>
      <c r="H467" s="8">
        <v>10527</v>
      </c>
      <c r="I467" s="8">
        <f t="shared" si="30"/>
        <v>2315.94</v>
      </c>
      <c r="J467" s="8">
        <f t="shared" si="31"/>
        <v>8211.06</v>
      </c>
      <c r="K467" s="8">
        <v>8984</v>
      </c>
      <c r="L467" s="6">
        <v>2</v>
      </c>
      <c r="M467" s="22" t="str" cm="1">
        <f t="array" ref="M467">_xlfn.IFS(L467&gt;10,"Veteran",L467&gt;=6,"Experienced",L467&gt;=2,"Developing",L467&gt;=0,"New")</f>
        <v>Developing</v>
      </c>
    </row>
    <row r="468" spans="1:13">
      <c r="A468" s="21" t="str">
        <f t="shared" ca="1" si="28"/>
        <v>Ma-Sal-2008-467</v>
      </c>
      <c r="B468" s="6">
        <v>41</v>
      </c>
      <c r="C468" s="6" t="str">
        <f t="shared" si="29"/>
        <v>40-49</v>
      </c>
      <c r="D468" s="6" t="s">
        <v>43</v>
      </c>
      <c r="E468" s="6" t="s">
        <v>37</v>
      </c>
      <c r="F468" s="6" t="s">
        <v>39</v>
      </c>
      <c r="G468" s="6" t="s">
        <v>56</v>
      </c>
      <c r="H468" s="8">
        <v>16595</v>
      </c>
      <c r="I468" s="8">
        <f t="shared" si="30"/>
        <v>4978.5</v>
      </c>
      <c r="J468" s="8">
        <f t="shared" si="31"/>
        <v>11616.5</v>
      </c>
      <c r="K468" s="8">
        <v>5626</v>
      </c>
      <c r="L468" s="6">
        <v>18</v>
      </c>
      <c r="M468" s="22" t="str" cm="1">
        <f t="array" ref="M468">_xlfn.IFS(L468&gt;10,"Veteran",L468&gt;=6,"Experienced",L468&gt;=2,"Developing",L468&gt;=0,"New")</f>
        <v>Veteran</v>
      </c>
    </row>
    <row r="469" spans="1:13">
      <c r="A469" s="21" t="str">
        <f t="shared" ca="1" si="28"/>
        <v>Sa-Sal-2017-468</v>
      </c>
      <c r="B469" s="6">
        <v>37</v>
      </c>
      <c r="C469" s="6" t="str">
        <f t="shared" si="29"/>
        <v>30-39</v>
      </c>
      <c r="D469" s="6" t="s">
        <v>43</v>
      </c>
      <c r="E469" s="6" t="s">
        <v>37</v>
      </c>
      <c r="F469" s="6" t="s">
        <v>46</v>
      </c>
      <c r="G469" s="6" t="s">
        <v>40</v>
      </c>
      <c r="H469" s="8">
        <v>8834</v>
      </c>
      <c r="I469" s="8">
        <f t="shared" si="30"/>
        <v>1943.48</v>
      </c>
      <c r="J469" s="8">
        <f t="shared" si="31"/>
        <v>6890.52</v>
      </c>
      <c r="K469" s="8">
        <v>24666</v>
      </c>
      <c r="L469" s="6">
        <v>9</v>
      </c>
      <c r="M469" s="22" t="str" cm="1">
        <f t="array" ref="M469">_xlfn.IFS(L469&gt;10,"Veteran",L469&gt;=6,"Experienced",L469&gt;=2,"Developing",L469&gt;=0,"New")</f>
        <v>Experienced</v>
      </c>
    </row>
    <row r="470" spans="1:13">
      <c r="A470" s="21" t="str">
        <f t="shared" ca="1" si="28"/>
        <v>Re-Res-2016-469</v>
      </c>
      <c r="B470" s="6">
        <v>52</v>
      </c>
      <c r="C470" s="6" t="str">
        <f t="shared" si="29"/>
        <v>50+</v>
      </c>
      <c r="D470" s="6" t="s">
        <v>43</v>
      </c>
      <c r="E470" s="6" t="s">
        <v>45</v>
      </c>
      <c r="F470" s="6" t="s">
        <v>46</v>
      </c>
      <c r="G470" s="6" t="s">
        <v>47</v>
      </c>
      <c r="H470" s="8">
        <v>5577</v>
      </c>
      <c r="I470" s="8">
        <f t="shared" si="30"/>
        <v>836.55</v>
      </c>
      <c r="J470" s="8">
        <f t="shared" si="31"/>
        <v>4740.45</v>
      </c>
      <c r="K470" s="8">
        <v>22087</v>
      </c>
      <c r="L470" s="6">
        <v>10</v>
      </c>
      <c r="M470" s="22" t="str" cm="1">
        <f t="array" ref="M470">_xlfn.IFS(L470&gt;10,"Veteran",L470&gt;=6,"Experienced",L470&gt;=2,"Developing",L470&gt;=0,"New")</f>
        <v>Experienced</v>
      </c>
    </row>
    <row r="471" spans="1:13">
      <c r="A471" s="21" t="str">
        <f t="shared" ca="1" si="28"/>
        <v>Sa-Sal-2022-470</v>
      </c>
      <c r="B471" s="6">
        <v>32</v>
      </c>
      <c r="C471" s="6" t="str">
        <f t="shared" si="29"/>
        <v>30-39</v>
      </c>
      <c r="D471" s="6" t="s">
        <v>35</v>
      </c>
      <c r="E471" s="6" t="s">
        <v>37</v>
      </c>
      <c r="F471" s="6" t="s">
        <v>46</v>
      </c>
      <c r="G471" s="6" t="s">
        <v>40</v>
      </c>
      <c r="H471" s="8">
        <v>4707</v>
      </c>
      <c r="I471" s="8">
        <f t="shared" si="30"/>
        <v>706.05</v>
      </c>
      <c r="J471" s="8">
        <f t="shared" si="31"/>
        <v>4000.95</v>
      </c>
      <c r="K471" s="8">
        <v>23914</v>
      </c>
      <c r="L471" s="6">
        <v>4</v>
      </c>
      <c r="M471" s="22" t="str" cm="1">
        <f t="array" ref="M471">_xlfn.IFS(L471&gt;10,"Veteran",L471&gt;=6,"Experienced",L471&gt;=2,"Developing",L471&gt;=0,"New")</f>
        <v>Developing</v>
      </c>
    </row>
    <row r="472" spans="1:13">
      <c r="A472" s="21" t="str">
        <f t="shared" ca="1" si="28"/>
        <v>Sa-Sal-2024-471</v>
      </c>
      <c r="B472" s="6">
        <v>24</v>
      </c>
      <c r="C472" s="6" t="str">
        <f t="shared" si="29"/>
        <v>20-29</v>
      </c>
      <c r="D472" s="6" t="s">
        <v>43</v>
      </c>
      <c r="E472" s="6" t="s">
        <v>37</v>
      </c>
      <c r="F472" s="6" t="s">
        <v>46</v>
      </c>
      <c r="G472" s="6" t="s">
        <v>57</v>
      </c>
      <c r="H472" s="8">
        <v>2400</v>
      </c>
      <c r="I472" s="8">
        <f t="shared" si="30"/>
        <v>168.00000000000003</v>
      </c>
      <c r="J472" s="8">
        <f t="shared" si="31"/>
        <v>2232</v>
      </c>
      <c r="K472" s="8">
        <v>5530</v>
      </c>
      <c r="L472" s="6">
        <v>2</v>
      </c>
      <c r="M472" s="22" t="str" cm="1">
        <f t="array" ref="M472">_xlfn.IFS(L472&gt;10,"Veteran",L472&gt;=6,"Experienced",L472&gt;=2,"Developing",L472&gt;=0,"New")</f>
        <v>Developing</v>
      </c>
    </row>
    <row r="473" spans="1:13">
      <c r="A473" s="21" t="str">
        <f t="shared" ca="1" si="28"/>
        <v>He-Res-2025-472</v>
      </c>
      <c r="B473" s="6">
        <v>38</v>
      </c>
      <c r="C473" s="6" t="str">
        <f t="shared" si="29"/>
        <v>30-39</v>
      </c>
      <c r="D473" s="6" t="s">
        <v>43</v>
      </c>
      <c r="E473" s="6" t="s">
        <v>45</v>
      </c>
      <c r="F473" s="6" t="s">
        <v>39</v>
      </c>
      <c r="G473" s="6" t="s">
        <v>54</v>
      </c>
      <c r="H473" s="8">
        <v>9824</v>
      </c>
      <c r="I473" s="8">
        <f t="shared" si="30"/>
        <v>2161.2800000000002</v>
      </c>
      <c r="J473" s="8">
        <f t="shared" si="31"/>
        <v>7662.7199999999993</v>
      </c>
      <c r="K473" s="8">
        <v>22174</v>
      </c>
      <c r="L473" s="6">
        <v>1</v>
      </c>
      <c r="M473" s="22" t="str" cm="1">
        <f t="array" ref="M473">_xlfn.IFS(L473&gt;10,"Veteran",L473&gt;=6,"Experienced",L473&gt;=2,"Developing",L473&gt;=0,"New")</f>
        <v>New</v>
      </c>
    </row>
    <row r="474" spans="1:13">
      <c r="A474" s="21" t="str">
        <f t="shared" ca="1" si="28"/>
        <v>Ma-Res-2020-473</v>
      </c>
      <c r="B474" s="6">
        <v>37</v>
      </c>
      <c r="C474" s="6" t="str">
        <f t="shared" si="29"/>
        <v>30-39</v>
      </c>
      <c r="D474" s="6" t="s">
        <v>43</v>
      </c>
      <c r="E474" s="6" t="s">
        <v>45</v>
      </c>
      <c r="F474" s="6" t="s">
        <v>39</v>
      </c>
      <c r="G474" s="6" t="s">
        <v>53</v>
      </c>
      <c r="H474" s="8">
        <v>6447</v>
      </c>
      <c r="I474" s="8">
        <f t="shared" si="30"/>
        <v>967.05</v>
      </c>
      <c r="J474" s="8">
        <f t="shared" si="31"/>
        <v>5479.95</v>
      </c>
      <c r="K474" s="8">
        <v>15701</v>
      </c>
      <c r="L474" s="6">
        <v>6</v>
      </c>
      <c r="M474" s="22" t="str" cm="1">
        <f t="array" ref="M474">_xlfn.IFS(L474&gt;10,"Veteran",L474&gt;=6,"Experienced",L474&gt;=2,"Developing",L474&gt;=0,"New")</f>
        <v>Experienced</v>
      </c>
    </row>
    <row r="475" spans="1:13">
      <c r="A475" s="21" t="str">
        <f t="shared" ca="1" si="28"/>
        <v>Re-Res-1995-474</v>
      </c>
      <c r="B475" s="6">
        <v>49</v>
      </c>
      <c r="C475" s="6" t="str">
        <f t="shared" si="29"/>
        <v>40-49</v>
      </c>
      <c r="D475" s="6" t="s">
        <v>43</v>
      </c>
      <c r="E475" s="6" t="s">
        <v>45</v>
      </c>
      <c r="F475" s="6" t="s">
        <v>46</v>
      </c>
      <c r="G475" s="6" t="s">
        <v>58</v>
      </c>
      <c r="H475" s="8">
        <v>19502</v>
      </c>
      <c r="I475" s="8">
        <f t="shared" si="30"/>
        <v>5850.5999999999995</v>
      </c>
      <c r="J475" s="8">
        <f t="shared" si="31"/>
        <v>13651.400000000001</v>
      </c>
      <c r="K475" s="8">
        <v>2125</v>
      </c>
      <c r="L475" s="6">
        <v>31</v>
      </c>
      <c r="M475" s="22" t="str" cm="1">
        <f t="array" ref="M475">_xlfn.IFS(L475&gt;10,"Veteran",L475&gt;=6,"Experienced",L475&gt;=2,"Developing",L475&gt;=0,"New")</f>
        <v>Veteran</v>
      </c>
    </row>
    <row r="476" spans="1:13">
      <c r="A476" s="21" t="str">
        <f t="shared" ca="1" si="28"/>
        <v>Re-Res-2020-475</v>
      </c>
      <c r="B476" s="6">
        <v>24</v>
      </c>
      <c r="C476" s="6" t="str">
        <f t="shared" si="29"/>
        <v>20-29</v>
      </c>
      <c r="D476" s="6" t="s">
        <v>43</v>
      </c>
      <c r="E476" s="6" t="s">
        <v>45</v>
      </c>
      <c r="F476" s="6" t="s">
        <v>46</v>
      </c>
      <c r="G476" s="6" t="s">
        <v>47</v>
      </c>
      <c r="H476" s="8">
        <v>2725</v>
      </c>
      <c r="I476" s="8">
        <f t="shared" si="30"/>
        <v>190.75000000000003</v>
      </c>
      <c r="J476" s="8">
        <f t="shared" si="31"/>
        <v>2534.25</v>
      </c>
      <c r="K476" s="8">
        <v>21630</v>
      </c>
      <c r="L476" s="6">
        <v>6</v>
      </c>
      <c r="M476" s="22" t="str" cm="1">
        <f t="array" ref="M476">_xlfn.IFS(L476&gt;10,"Veteran",L476&gt;=6,"Experienced",L476&gt;=2,"Developing",L476&gt;=0,"New")</f>
        <v>Experienced</v>
      </c>
    </row>
    <row r="477" spans="1:13">
      <c r="A477" s="21" t="str">
        <f t="shared" ca="1" si="28"/>
        <v>Sa-Sal-2021-476</v>
      </c>
      <c r="B477" s="6">
        <v>26</v>
      </c>
      <c r="C477" s="6" t="str">
        <f t="shared" si="29"/>
        <v>20-29</v>
      </c>
      <c r="D477" s="6" t="s">
        <v>43</v>
      </c>
      <c r="E477" s="6" t="s">
        <v>37</v>
      </c>
      <c r="F477" s="6" t="s">
        <v>46</v>
      </c>
      <c r="G477" s="6" t="s">
        <v>40</v>
      </c>
      <c r="H477" s="8">
        <v>6272</v>
      </c>
      <c r="I477" s="8">
        <f t="shared" si="30"/>
        <v>940.8</v>
      </c>
      <c r="J477" s="8">
        <f t="shared" si="31"/>
        <v>5331.2</v>
      </c>
      <c r="K477" s="8">
        <v>7428</v>
      </c>
      <c r="L477" s="6">
        <v>5</v>
      </c>
      <c r="M477" s="22" t="str" cm="1">
        <f t="array" ref="M477">_xlfn.IFS(L477&gt;10,"Veteran",L477&gt;=6,"Experienced",L477&gt;=2,"Developing",L477&gt;=0,"New")</f>
        <v>Developing</v>
      </c>
    </row>
    <row r="478" spans="1:13">
      <c r="A478" s="21" t="str">
        <f t="shared" ca="1" si="28"/>
        <v>La-Res-2025-477</v>
      </c>
      <c r="B478" s="6">
        <v>24</v>
      </c>
      <c r="C478" s="6" t="str">
        <f t="shared" si="29"/>
        <v>20-29</v>
      </c>
      <c r="D478" s="6" t="s">
        <v>43</v>
      </c>
      <c r="E478" s="6" t="s">
        <v>45</v>
      </c>
      <c r="F478" s="6" t="s">
        <v>46</v>
      </c>
      <c r="G478" s="6" t="s">
        <v>50</v>
      </c>
      <c r="H478" s="8">
        <v>2127</v>
      </c>
      <c r="I478" s="8">
        <f t="shared" si="30"/>
        <v>148.89000000000001</v>
      </c>
      <c r="J478" s="8">
        <f t="shared" si="31"/>
        <v>1978.11</v>
      </c>
      <c r="K478" s="8">
        <v>9100</v>
      </c>
      <c r="L478" s="6">
        <v>1</v>
      </c>
      <c r="M478" s="22" t="str" cm="1">
        <f t="array" ref="M478">_xlfn.IFS(L478&gt;10,"Veteran",L478&gt;=6,"Experienced",L478&gt;=2,"Developing",L478&gt;=0,"New")</f>
        <v>New</v>
      </c>
    </row>
    <row r="479" spans="1:13">
      <c r="A479" s="21" t="str">
        <f t="shared" ca="1" si="28"/>
        <v>Ma-Hum-1994-478</v>
      </c>
      <c r="B479" s="6">
        <v>50</v>
      </c>
      <c r="C479" s="6" t="str">
        <f t="shared" si="29"/>
        <v>50+</v>
      </c>
      <c r="D479" s="6" t="s">
        <v>43</v>
      </c>
      <c r="E479" s="6" t="s">
        <v>61</v>
      </c>
      <c r="F479" s="6" t="s">
        <v>46</v>
      </c>
      <c r="G479" s="6" t="s">
        <v>56</v>
      </c>
      <c r="H479" s="8">
        <v>18200</v>
      </c>
      <c r="I479" s="8">
        <f t="shared" si="30"/>
        <v>5460</v>
      </c>
      <c r="J479" s="8">
        <f t="shared" si="31"/>
        <v>12740</v>
      </c>
      <c r="K479" s="8">
        <v>7999</v>
      </c>
      <c r="L479" s="6">
        <v>32</v>
      </c>
      <c r="M479" s="22" t="str" cm="1">
        <f t="array" ref="M479">_xlfn.IFS(L479&gt;10,"Veteran",L479&gt;=6,"Experienced",L479&gt;=2,"Developing",L479&gt;=0,"New")</f>
        <v>Veteran</v>
      </c>
    </row>
    <row r="480" spans="1:13">
      <c r="A480" s="21" t="str">
        <f t="shared" ca="1" si="28"/>
        <v>Sa-Sal-2019-479</v>
      </c>
      <c r="B480" s="6">
        <v>25</v>
      </c>
      <c r="C480" s="6" t="str">
        <f t="shared" si="29"/>
        <v>20-29</v>
      </c>
      <c r="D480" s="6" t="s">
        <v>43</v>
      </c>
      <c r="E480" s="6" t="s">
        <v>37</v>
      </c>
      <c r="F480" s="6" t="s">
        <v>46</v>
      </c>
      <c r="G480" s="6" t="s">
        <v>57</v>
      </c>
      <c r="H480" s="8">
        <v>2096</v>
      </c>
      <c r="I480" s="8">
        <f t="shared" si="30"/>
        <v>146.72000000000003</v>
      </c>
      <c r="J480" s="8">
        <f t="shared" si="31"/>
        <v>1949.28</v>
      </c>
      <c r="K480" s="8">
        <v>26376</v>
      </c>
      <c r="L480" s="6">
        <v>7</v>
      </c>
      <c r="M480" s="22" t="str" cm="1">
        <f t="array" ref="M480">_xlfn.IFS(L480&gt;10,"Veteran",L480&gt;=6,"Experienced",L480&gt;=2,"Developing",L480&gt;=0,"New")</f>
        <v>Experienced</v>
      </c>
    </row>
    <row r="481" spans="1:13">
      <c r="A481" s="21" t="str">
        <f t="shared" ca="1" si="28"/>
        <v>La-Res-2020-480</v>
      </c>
      <c r="B481" s="6">
        <v>24</v>
      </c>
      <c r="C481" s="6" t="str">
        <f t="shared" si="29"/>
        <v>20-29</v>
      </c>
      <c r="D481" s="6" t="s">
        <v>35</v>
      </c>
      <c r="E481" s="6" t="s">
        <v>45</v>
      </c>
      <c r="F481" s="6" t="s">
        <v>39</v>
      </c>
      <c r="G481" s="6" t="s">
        <v>50</v>
      </c>
      <c r="H481" s="8">
        <v>2886</v>
      </c>
      <c r="I481" s="8">
        <f t="shared" si="30"/>
        <v>202.02</v>
      </c>
      <c r="J481" s="8">
        <f t="shared" si="31"/>
        <v>2683.98</v>
      </c>
      <c r="K481" s="8">
        <v>14168</v>
      </c>
      <c r="L481" s="6">
        <v>6</v>
      </c>
      <c r="M481" s="22" t="str" cm="1">
        <f t="array" ref="M481">_xlfn.IFS(L481&gt;10,"Veteran",L481&gt;=6,"Experienced",L481&gt;=2,"Developing",L481&gt;=0,"New")</f>
        <v>Experienced</v>
      </c>
    </row>
    <row r="482" spans="1:13">
      <c r="A482" s="21" t="str">
        <f t="shared" ca="1" si="28"/>
        <v>Sa-Sal-2025-481</v>
      </c>
      <c r="B482" s="6">
        <v>30</v>
      </c>
      <c r="C482" s="6" t="str">
        <f t="shared" si="29"/>
        <v>30-39</v>
      </c>
      <c r="D482" s="6" t="s">
        <v>35</v>
      </c>
      <c r="E482" s="6" t="s">
        <v>37</v>
      </c>
      <c r="F482" s="6" t="s">
        <v>46</v>
      </c>
      <c r="G482" s="6" t="s">
        <v>57</v>
      </c>
      <c r="H482" s="8">
        <v>2033</v>
      </c>
      <c r="I482" s="8">
        <f t="shared" si="30"/>
        <v>142.31</v>
      </c>
      <c r="J482" s="8">
        <f t="shared" si="31"/>
        <v>1890.69</v>
      </c>
      <c r="K482" s="8">
        <v>14470</v>
      </c>
      <c r="L482" s="6">
        <v>1</v>
      </c>
      <c r="M482" s="22" t="str" cm="1">
        <f t="array" ref="M482">_xlfn.IFS(L482&gt;10,"Veteran",L482&gt;=6,"Experienced",L482&gt;=2,"Developing",L482&gt;=0,"New")</f>
        <v>New</v>
      </c>
    </row>
    <row r="483" spans="1:13">
      <c r="A483" s="21" t="str">
        <f t="shared" ca="1" si="28"/>
        <v>Re-Res-2020-482</v>
      </c>
      <c r="B483" s="6">
        <v>34</v>
      </c>
      <c r="C483" s="6" t="str">
        <f t="shared" si="29"/>
        <v>30-39</v>
      </c>
      <c r="D483" s="6" t="s">
        <v>43</v>
      </c>
      <c r="E483" s="6" t="s">
        <v>45</v>
      </c>
      <c r="F483" s="6" t="s">
        <v>46</v>
      </c>
      <c r="G483" s="6" t="s">
        <v>47</v>
      </c>
      <c r="H483" s="8">
        <v>3622</v>
      </c>
      <c r="I483" s="8">
        <f t="shared" si="30"/>
        <v>543.29999999999995</v>
      </c>
      <c r="J483" s="8">
        <f t="shared" si="31"/>
        <v>3078.7</v>
      </c>
      <c r="K483" s="8">
        <v>22794</v>
      </c>
      <c r="L483" s="6">
        <v>6</v>
      </c>
      <c r="M483" s="22" t="str" cm="1">
        <f t="array" ref="M483">_xlfn.IFS(L483&gt;10,"Veteran",L483&gt;=6,"Experienced",L483&gt;=2,"Developing",L483&gt;=0,"New")</f>
        <v>Experienced</v>
      </c>
    </row>
    <row r="484" spans="1:13">
      <c r="A484" s="21" t="str">
        <f t="shared" ca="1" si="28"/>
        <v>Sa-Sal-2023-483</v>
      </c>
      <c r="B484" s="6">
        <v>31</v>
      </c>
      <c r="C484" s="6" t="str">
        <f t="shared" si="29"/>
        <v>30-39</v>
      </c>
      <c r="D484" s="6" t="s">
        <v>35</v>
      </c>
      <c r="E484" s="6" t="s">
        <v>37</v>
      </c>
      <c r="F484" s="6" t="s">
        <v>46</v>
      </c>
      <c r="G484" s="6" t="s">
        <v>40</v>
      </c>
      <c r="H484" s="8">
        <v>4233</v>
      </c>
      <c r="I484" s="8">
        <f t="shared" si="30"/>
        <v>634.94999999999993</v>
      </c>
      <c r="J484" s="8">
        <f t="shared" si="31"/>
        <v>3598.05</v>
      </c>
      <c r="K484" s="8">
        <v>11512</v>
      </c>
      <c r="L484" s="6">
        <v>3</v>
      </c>
      <c r="M484" s="22" t="str" cm="1">
        <f t="array" ref="M484">_xlfn.IFS(L484&gt;10,"Veteran",L484&gt;=6,"Experienced",L484&gt;=2,"Developing",L484&gt;=0,"New")</f>
        <v>Developing</v>
      </c>
    </row>
    <row r="485" spans="1:13">
      <c r="A485" s="21" t="str">
        <f t="shared" ca="1" si="28"/>
        <v>La-Res-2023-484</v>
      </c>
      <c r="B485" s="6">
        <v>35</v>
      </c>
      <c r="C485" s="6" t="str">
        <f t="shared" si="29"/>
        <v>30-39</v>
      </c>
      <c r="D485" s="6" t="s">
        <v>43</v>
      </c>
      <c r="E485" s="6" t="s">
        <v>45</v>
      </c>
      <c r="F485" s="6" t="s">
        <v>46</v>
      </c>
      <c r="G485" s="6" t="s">
        <v>50</v>
      </c>
      <c r="H485" s="8">
        <v>3681</v>
      </c>
      <c r="I485" s="8">
        <f t="shared" si="30"/>
        <v>552.15</v>
      </c>
      <c r="J485" s="8">
        <f t="shared" si="31"/>
        <v>3128.85</v>
      </c>
      <c r="K485" s="8">
        <v>14004</v>
      </c>
      <c r="L485" s="6">
        <v>3</v>
      </c>
      <c r="M485" s="22" t="str" cm="1">
        <f t="array" ref="M485">_xlfn.IFS(L485&gt;10,"Veteran",L485&gt;=6,"Experienced",L485&gt;=2,"Developing",L485&gt;=0,"New")</f>
        <v>Developing</v>
      </c>
    </row>
    <row r="486" spans="1:13">
      <c r="A486" s="21" t="str">
        <f t="shared" ca="1" si="28"/>
        <v>Sa-Sal-2019-485</v>
      </c>
      <c r="B486" s="6">
        <v>31</v>
      </c>
      <c r="C486" s="6" t="str">
        <f t="shared" si="29"/>
        <v>30-39</v>
      </c>
      <c r="D486" s="6" t="s">
        <v>43</v>
      </c>
      <c r="E486" s="6" t="s">
        <v>37</v>
      </c>
      <c r="F486" s="6" t="s">
        <v>46</v>
      </c>
      <c r="G486" s="6" t="s">
        <v>40</v>
      </c>
      <c r="H486" s="8">
        <v>5460</v>
      </c>
      <c r="I486" s="8">
        <f t="shared" si="30"/>
        <v>819</v>
      </c>
      <c r="J486" s="8">
        <f t="shared" si="31"/>
        <v>4641</v>
      </c>
      <c r="K486" s="8">
        <v>6219</v>
      </c>
      <c r="L486" s="6">
        <v>7</v>
      </c>
      <c r="M486" s="22" t="str" cm="1">
        <f t="array" ref="M486">_xlfn.IFS(L486&gt;10,"Veteran",L486&gt;=6,"Experienced",L486&gt;=2,"Developing",L486&gt;=0,"New")</f>
        <v>Experienced</v>
      </c>
    </row>
    <row r="487" spans="1:13">
      <c r="A487" s="21" t="str">
        <f t="shared" ca="1" si="28"/>
        <v>Re-Res-2021-486</v>
      </c>
      <c r="B487" s="6">
        <v>27</v>
      </c>
      <c r="C487" s="6" t="str">
        <f t="shared" si="29"/>
        <v>20-29</v>
      </c>
      <c r="D487" s="6" t="s">
        <v>43</v>
      </c>
      <c r="E487" s="6" t="s">
        <v>45</v>
      </c>
      <c r="F487" s="6" t="s">
        <v>39</v>
      </c>
      <c r="G487" s="6" t="s">
        <v>47</v>
      </c>
      <c r="H487" s="8">
        <v>2187</v>
      </c>
      <c r="I487" s="8">
        <f t="shared" si="30"/>
        <v>153.09</v>
      </c>
      <c r="J487" s="8">
        <f t="shared" si="31"/>
        <v>2033.91</v>
      </c>
      <c r="K487" s="8">
        <v>5013</v>
      </c>
      <c r="L487" s="6">
        <v>5</v>
      </c>
      <c r="M487" s="22" t="str" cm="1">
        <f t="array" ref="M487">_xlfn.IFS(L487&gt;10,"Veteran",L487&gt;=6,"Experienced",L487&gt;=2,"Developing",L487&gt;=0,"New")</f>
        <v>Developing</v>
      </c>
    </row>
    <row r="488" spans="1:13">
      <c r="A488" s="21" t="str">
        <f t="shared" ca="1" si="28"/>
        <v>Sa-Sal-2023-487</v>
      </c>
      <c r="B488" s="6">
        <v>37</v>
      </c>
      <c r="C488" s="6" t="str">
        <f t="shared" si="29"/>
        <v>30-39</v>
      </c>
      <c r="D488" s="6" t="s">
        <v>43</v>
      </c>
      <c r="E488" s="6" t="s">
        <v>37</v>
      </c>
      <c r="F488" s="6" t="s">
        <v>46</v>
      </c>
      <c r="G488" s="6" t="s">
        <v>40</v>
      </c>
      <c r="H488" s="8">
        <v>9602</v>
      </c>
      <c r="I488" s="8">
        <f t="shared" si="30"/>
        <v>2112.44</v>
      </c>
      <c r="J488" s="8">
        <f t="shared" si="31"/>
        <v>7489.5599999999995</v>
      </c>
      <c r="K488" s="8">
        <v>3010</v>
      </c>
      <c r="L488" s="6">
        <v>3</v>
      </c>
      <c r="M488" s="22" t="str" cm="1">
        <f t="array" ref="M488">_xlfn.IFS(L488&gt;10,"Veteran",L488&gt;=6,"Experienced",L488&gt;=2,"Developing",L488&gt;=0,"New")</f>
        <v>Developing</v>
      </c>
    </row>
    <row r="489" spans="1:13">
      <c r="A489" s="21" t="str">
        <f t="shared" ca="1" si="28"/>
        <v>Re-Res-2025-488</v>
      </c>
      <c r="B489" s="6">
        <v>20</v>
      </c>
      <c r="C489" s="6" t="str">
        <f t="shared" si="29"/>
        <v>20-29</v>
      </c>
      <c r="D489" s="6" t="s">
        <v>43</v>
      </c>
      <c r="E489" s="6" t="s">
        <v>45</v>
      </c>
      <c r="F489" s="6" t="s">
        <v>39</v>
      </c>
      <c r="G489" s="6" t="s">
        <v>47</v>
      </c>
      <c r="H489" s="8">
        <v>2836</v>
      </c>
      <c r="I489" s="8">
        <f t="shared" si="30"/>
        <v>198.52</v>
      </c>
      <c r="J489" s="8">
        <f t="shared" si="31"/>
        <v>2637.48</v>
      </c>
      <c r="K489" s="8">
        <v>11757</v>
      </c>
      <c r="L489" s="6">
        <v>1</v>
      </c>
      <c r="M489" s="22" t="str" cm="1">
        <f t="array" ref="M489">_xlfn.IFS(L489&gt;10,"Veteran",L489&gt;=6,"Experienced",L489&gt;=2,"Developing",L489&gt;=0,"New")</f>
        <v>New</v>
      </c>
    </row>
    <row r="490" spans="1:13">
      <c r="A490" s="21" t="str">
        <f t="shared" ca="1" si="28"/>
        <v>He-Res-2016-489</v>
      </c>
      <c r="B490" s="6">
        <v>42</v>
      </c>
      <c r="C490" s="6" t="str">
        <f t="shared" si="29"/>
        <v>40-49</v>
      </c>
      <c r="D490" s="6" t="s">
        <v>43</v>
      </c>
      <c r="E490" s="6" t="s">
        <v>45</v>
      </c>
      <c r="F490" s="6" t="s">
        <v>39</v>
      </c>
      <c r="G490" s="6" t="s">
        <v>54</v>
      </c>
      <c r="H490" s="8">
        <v>4089</v>
      </c>
      <c r="I490" s="8">
        <f t="shared" si="30"/>
        <v>613.35</v>
      </c>
      <c r="J490" s="8">
        <f t="shared" si="31"/>
        <v>3475.65</v>
      </c>
      <c r="K490" s="8">
        <v>5718</v>
      </c>
      <c r="L490" s="6">
        <v>10</v>
      </c>
      <c r="M490" s="22" t="str" cm="1">
        <f t="array" ref="M490">_xlfn.IFS(L490&gt;10,"Veteran",L490&gt;=6,"Experienced",L490&gt;=2,"Developing",L490&gt;=0,"New")</f>
        <v>Experienced</v>
      </c>
    </row>
    <row r="491" spans="1:13">
      <c r="A491" s="21" t="str">
        <f t="shared" ca="1" si="28"/>
        <v>Re-Res-2025-490</v>
      </c>
      <c r="B491" s="6">
        <v>43</v>
      </c>
      <c r="C491" s="6" t="str">
        <f t="shared" si="29"/>
        <v>40-49</v>
      </c>
      <c r="D491" s="6" t="s">
        <v>43</v>
      </c>
      <c r="E491" s="6" t="s">
        <v>45</v>
      </c>
      <c r="F491" s="6" t="s">
        <v>46</v>
      </c>
      <c r="G491" s="6" t="s">
        <v>58</v>
      </c>
      <c r="H491" s="8">
        <v>16627</v>
      </c>
      <c r="I491" s="8">
        <f t="shared" si="30"/>
        <v>4988.0999999999995</v>
      </c>
      <c r="J491" s="8">
        <f t="shared" si="31"/>
        <v>11638.900000000001</v>
      </c>
      <c r="K491" s="8">
        <v>2671</v>
      </c>
      <c r="L491" s="6">
        <v>1</v>
      </c>
      <c r="M491" s="22" t="str" cm="1">
        <f t="array" ref="M491">_xlfn.IFS(L491&gt;10,"Veteran",L491&gt;=6,"Experienced",L491&gt;=2,"Developing",L491&gt;=0,"New")</f>
        <v>New</v>
      </c>
    </row>
    <row r="492" spans="1:13">
      <c r="A492" s="21" t="str">
        <f t="shared" ca="1" si="28"/>
        <v>Re-Res-2026-491</v>
      </c>
      <c r="B492" s="6">
        <v>38</v>
      </c>
      <c r="C492" s="6" t="str">
        <f t="shared" si="29"/>
        <v>30-39</v>
      </c>
      <c r="D492" s="6" t="s">
        <v>43</v>
      </c>
      <c r="E492" s="6" t="s">
        <v>45</v>
      </c>
      <c r="F492" s="6" t="s">
        <v>39</v>
      </c>
      <c r="G492" s="6" t="s">
        <v>47</v>
      </c>
      <c r="H492" s="8">
        <v>2619</v>
      </c>
      <c r="I492" s="8">
        <f t="shared" si="30"/>
        <v>183.33</v>
      </c>
      <c r="J492" s="8">
        <f t="shared" si="31"/>
        <v>2435.67</v>
      </c>
      <c r="K492" s="8">
        <v>14561</v>
      </c>
      <c r="L492" s="6">
        <v>0</v>
      </c>
      <c r="M492" s="22" t="str" cm="1">
        <f t="array" ref="M492">_xlfn.IFS(L492&gt;10,"Veteran",L492&gt;=6,"Experienced",L492&gt;=2,"Developing",L492&gt;=0,"New")</f>
        <v>New</v>
      </c>
    </row>
    <row r="493" spans="1:13">
      <c r="A493" s="21" t="str">
        <f t="shared" ca="1" si="28"/>
        <v>La-Res-2018-492</v>
      </c>
      <c r="B493" s="6">
        <v>43</v>
      </c>
      <c r="C493" s="6" t="str">
        <f t="shared" si="29"/>
        <v>40-49</v>
      </c>
      <c r="D493" s="6" t="s">
        <v>43</v>
      </c>
      <c r="E493" s="6" t="s">
        <v>45</v>
      </c>
      <c r="F493" s="6" t="s">
        <v>46</v>
      </c>
      <c r="G493" s="6" t="s">
        <v>50</v>
      </c>
      <c r="H493" s="8">
        <v>5679</v>
      </c>
      <c r="I493" s="8">
        <f t="shared" si="30"/>
        <v>851.85</v>
      </c>
      <c r="J493" s="8">
        <f t="shared" si="31"/>
        <v>4827.1499999999996</v>
      </c>
      <c r="K493" s="8">
        <v>19627</v>
      </c>
      <c r="L493" s="6">
        <v>8</v>
      </c>
      <c r="M493" s="22" t="str" cm="1">
        <f t="array" ref="M493">_xlfn.IFS(L493&gt;10,"Veteran",L493&gt;=6,"Experienced",L493&gt;=2,"Developing",L493&gt;=0,"New")</f>
        <v>Experienced</v>
      </c>
    </row>
    <row r="494" spans="1:13">
      <c r="A494" s="21" t="str">
        <f t="shared" ca="1" si="28"/>
        <v>Ma-Res-2023-493</v>
      </c>
      <c r="B494" s="6">
        <v>48</v>
      </c>
      <c r="C494" s="6" t="str">
        <f t="shared" si="29"/>
        <v>40-49</v>
      </c>
      <c r="D494" s="6" t="s">
        <v>43</v>
      </c>
      <c r="E494" s="6" t="s">
        <v>45</v>
      </c>
      <c r="F494" s="6" t="s">
        <v>39</v>
      </c>
      <c r="G494" s="6" t="s">
        <v>56</v>
      </c>
      <c r="H494" s="8">
        <v>15402</v>
      </c>
      <c r="I494" s="8">
        <f t="shared" si="30"/>
        <v>4620.5999999999995</v>
      </c>
      <c r="J494" s="8">
        <f t="shared" si="31"/>
        <v>10781.400000000001</v>
      </c>
      <c r="K494" s="8">
        <v>17997</v>
      </c>
      <c r="L494" s="6">
        <v>3</v>
      </c>
      <c r="M494" s="22" t="str" cm="1">
        <f t="array" ref="M494">_xlfn.IFS(L494&gt;10,"Veteran",L494&gt;=6,"Experienced",L494&gt;=2,"Developing",L494&gt;=0,"New")</f>
        <v>Developing</v>
      </c>
    </row>
    <row r="495" spans="1:13">
      <c r="A495" s="21" t="str">
        <f t="shared" ca="1" si="28"/>
        <v>Hu-Hum-2024-494</v>
      </c>
      <c r="B495" s="6">
        <v>44</v>
      </c>
      <c r="C495" s="6" t="str">
        <f t="shared" si="29"/>
        <v>40-49</v>
      </c>
      <c r="D495" s="6" t="s">
        <v>43</v>
      </c>
      <c r="E495" s="6" t="s">
        <v>61</v>
      </c>
      <c r="F495" s="6" t="s">
        <v>39</v>
      </c>
      <c r="G495" s="6" t="s">
        <v>61</v>
      </c>
      <c r="H495" s="8">
        <v>5985</v>
      </c>
      <c r="I495" s="8">
        <f t="shared" si="30"/>
        <v>897.75</v>
      </c>
      <c r="J495" s="8">
        <f t="shared" si="31"/>
        <v>5087.25</v>
      </c>
      <c r="K495" s="8">
        <v>26894</v>
      </c>
      <c r="L495" s="6">
        <v>2</v>
      </c>
      <c r="M495" s="22" t="str" cm="1">
        <f t="array" ref="M495">_xlfn.IFS(L495&gt;10,"Veteran",L495&gt;=6,"Experienced",L495&gt;=2,"Developing",L495&gt;=0,"New")</f>
        <v>Developing</v>
      </c>
    </row>
    <row r="496" spans="1:13">
      <c r="A496" s="21" t="str">
        <f t="shared" ca="1" si="28"/>
        <v>Sa-Sal-2018-495</v>
      </c>
      <c r="B496" s="6">
        <v>34</v>
      </c>
      <c r="C496" s="6" t="str">
        <f t="shared" si="29"/>
        <v>30-39</v>
      </c>
      <c r="D496" s="6" t="s">
        <v>43</v>
      </c>
      <c r="E496" s="6" t="s">
        <v>37</v>
      </c>
      <c r="F496" s="6" t="s">
        <v>39</v>
      </c>
      <c r="G496" s="6" t="s">
        <v>57</v>
      </c>
      <c r="H496" s="8">
        <v>2579</v>
      </c>
      <c r="I496" s="8">
        <f t="shared" si="30"/>
        <v>180.53000000000003</v>
      </c>
      <c r="J496" s="8">
        <f t="shared" si="31"/>
        <v>2398.4699999999998</v>
      </c>
      <c r="K496" s="8">
        <v>2912</v>
      </c>
      <c r="L496" s="6">
        <v>8</v>
      </c>
      <c r="M496" s="22" t="str" cm="1">
        <f t="array" ref="M496">_xlfn.IFS(L496&gt;10,"Veteran",L496&gt;=6,"Experienced",L496&gt;=2,"Developing",L496&gt;=0,"New")</f>
        <v>Experienced</v>
      </c>
    </row>
    <row r="497" spans="1:13">
      <c r="A497" s="21" t="str">
        <f t="shared" ca="1" si="28"/>
        <v>Sa-Sal-2022-496</v>
      </c>
      <c r="B497" s="6">
        <v>27</v>
      </c>
      <c r="C497" s="6" t="str">
        <f t="shared" si="29"/>
        <v>20-29</v>
      </c>
      <c r="D497" s="6" t="s">
        <v>35</v>
      </c>
      <c r="E497" s="6" t="s">
        <v>37</v>
      </c>
      <c r="F497" s="6" t="s">
        <v>46</v>
      </c>
      <c r="G497" s="6" t="s">
        <v>57</v>
      </c>
      <c r="H497" s="8">
        <v>3041</v>
      </c>
      <c r="I497" s="8">
        <f t="shared" si="30"/>
        <v>456.15</v>
      </c>
      <c r="J497" s="8">
        <f t="shared" si="31"/>
        <v>2584.85</v>
      </c>
      <c r="K497" s="8">
        <v>16346</v>
      </c>
      <c r="L497" s="6">
        <v>4</v>
      </c>
      <c r="M497" s="22" t="str" cm="1">
        <f t="array" ref="M497">_xlfn.IFS(L497&gt;10,"Veteran",L497&gt;=6,"Experienced",L497&gt;=2,"Developing",L497&gt;=0,"New")</f>
        <v>Developing</v>
      </c>
    </row>
    <row r="498" spans="1:13">
      <c r="A498" s="21" t="str">
        <f t="shared" ca="1" si="28"/>
        <v>Sa-Sal-2023-497</v>
      </c>
      <c r="B498" s="6">
        <v>21</v>
      </c>
      <c r="C498" s="6" t="str">
        <f t="shared" si="29"/>
        <v>20-29</v>
      </c>
      <c r="D498" s="6" t="s">
        <v>43</v>
      </c>
      <c r="E498" s="6" t="s">
        <v>37</v>
      </c>
      <c r="F498" s="6" t="s">
        <v>46</v>
      </c>
      <c r="G498" s="6" t="s">
        <v>57</v>
      </c>
      <c r="H498" s="8">
        <v>3447</v>
      </c>
      <c r="I498" s="8">
        <f t="shared" si="30"/>
        <v>517.04999999999995</v>
      </c>
      <c r="J498" s="8">
        <f t="shared" si="31"/>
        <v>2929.95</v>
      </c>
      <c r="K498" s="8">
        <v>24444</v>
      </c>
      <c r="L498" s="6">
        <v>3</v>
      </c>
      <c r="M498" s="22" t="str" cm="1">
        <f t="array" ref="M498">_xlfn.IFS(L498&gt;10,"Veteran",L498&gt;=6,"Experienced",L498&gt;=2,"Developing",L498&gt;=0,"New")</f>
        <v>Developing</v>
      </c>
    </row>
    <row r="499" spans="1:13">
      <c r="A499" s="21" t="str">
        <f t="shared" ca="1" si="28"/>
        <v>Ma-Res-2024-498</v>
      </c>
      <c r="B499" s="6">
        <v>44</v>
      </c>
      <c r="C499" s="6" t="str">
        <f t="shared" si="29"/>
        <v>40-49</v>
      </c>
      <c r="D499" s="6" t="s">
        <v>43</v>
      </c>
      <c r="E499" s="6" t="s">
        <v>45</v>
      </c>
      <c r="F499" s="6" t="s">
        <v>46</v>
      </c>
      <c r="G499" s="6" t="s">
        <v>56</v>
      </c>
      <c r="H499" s="8">
        <v>19513</v>
      </c>
      <c r="I499" s="8">
        <f t="shared" si="30"/>
        <v>5853.9</v>
      </c>
      <c r="J499" s="8">
        <f t="shared" si="31"/>
        <v>13659.1</v>
      </c>
      <c r="K499" s="8">
        <v>9358</v>
      </c>
      <c r="L499" s="6">
        <v>2</v>
      </c>
      <c r="M499" s="22" t="str" cm="1">
        <f t="array" ref="M499">_xlfn.IFS(L499&gt;10,"Veteran",L499&gt;=6,"Experienced",L499&gt;=2,"Developing",L499&gt;=0,"New")</f>
        <v>Developing</v>
      </c>
    </row>
    <row r="500" spans="1:13">
      <c r="A500" s="21" t="str">
        <f t="shared" ca="1" si="28"/>
        <v>Re-Res-2024-499</v>
      </c>
      <c r="B500" s="6">
        <v>22</v>
      </c>
      <c r="C500" s="6" t="str">
        <f t="shared" si="29"/>
        <v>20-29</v>
      </c>
      <c r="D500" s="6" t="s">
        <v>43</v>
      </c>
      <c r="E500" s="6" t="s">
        <v>45</v>
      </c>
      <c r="F500" s="6" t="s">
        <v>46</v>
      </c>
      <c r="G500" s="6" t="s">
        <v>47</v>
      </c>
      <c r="H500" s="8">
        <v>2773</v>
      </c>
      <c r="I500" s="8">
        <f t="shared" si="30"/>
        <v>194.11</v>
      </c>
      <c r="J500" s="8">
        <f t="shared" si="31"/>
        <v>2578.89</v>
      </c>
      <c r="K500" s="8">
        <v>12145</v>
      </c>
      <c r="L500" s="6">
        <v>2</v>
      </c>
      <c r="M500" s="22" t="str" cm="1">
        <f t="array" ref="M500">_xlfn.IFS(L500&gt;10,"Veteran",L500&gt;=6,"Experienced",L500&gt;=2,"Developing",L500&gt;=0,"New")</f>
        <v>Developing</v>
      </c>
    </row>
    <row r="501" spans="1:13">
      <c r="A501" s="21" t="str">
        <f t="shared" ca="1" si="28"/>
        <v>Sa-Sal-2021-500</v>
      </c>
      <c r="B501" s="6">
        <v>33</v>
      </c>
      <c r="C501" s="6" t="str">
        <f t="shared" si="29"/>
        <v>30-39</v>
      </c>
      <c r="D501" s="6" t="s">
        <v>43</v>
      </c>
      <c r="E501" s="6" t="s">
        <v>37</v>
      </c>
      <c r="F501" s="6" t="s">
        <v>46</v>
      </c>
      <c r="G501" s="6" t="s">
        <v>40</v>
      </c>
      <c r="H501" s="8">
        <v>7104</v>
      </c>
      <c r="I501" s="8">
        <f t="shared" si="30"/>
        <v>1562.88</v>
      </c>
      <c r="J501" s="8">
        <f t="shared" si="31"/>
        <v>5541.12</v>
      </c>
      <c r="K501" s="8">
        <v>20431</v>
      </c>
      <c r="L501" s="6">
        <v>5</v>
      </c>
      <c r="M501" s="22" t="str" cm="1">
        <f t="array" ref="M501">_xlfn.IFS(L501&gt;10,"Veteran",L501&gt;=6,"Experienced",L501&gt;=2,"Developing",L501&gt;=0,"New")</f>
        <v>Developing</v>
      </c>
    </row>
    <row r="502" spans="1:13">
      <c r="A502" s="21" t="str">
        <f t="shared" ca="1" si="28"/>
        <v>Re-Res-2020-501</v>
      </c>
      <c r="B502" s="6">
        <v>32</v>
      </c>
      <c r="C502" s="6" t="str">
        <f t="shared" si="29"/>
        <v>30-39</v>
      </c>
      <c r="D502" s="6" t="s">
        <v>43</v>
      </c>
      <c r="E502" s="6" t="s">
        <v>45</v>
      </c>
      <c r="F502" s="6" t="s">
        <v>39</v>
      </c>
      <c r="G502" s="6" t="s">
        <v>47</v>
      </c>
      <c r="H502" s="8">
        <v>6322</v>
      </c>
      <c r="I502" s="8">
        <f t="shared" si="30"/>
        <v>948.3</v>
      </c>
      <c r="J502" s="8">
        <f t="shared" si="31"/>
        <v>5373.7</v>
      </c>
      <c r="K502" s="8">
        <v>18089</v>
      </c>
      <c r="L502" s="6">
        <v>6</v>
      </c>
      <c r="M502" s="22" t="str" cm="1">
        <f t="array" ref="M502">_xlfn.IFS(L502&gt;10,"Veteran",L502&gt;=6,"Experienced",L502&gt;=2,"Developing",L502&gt;=0,"New")</f>
        <v>Experienced</v>
      </c>
    </row>
    <row r="503" spans="1:13">
      <c r="A503" s="21" t="str">
        <f t="shared" ca="1" si="28"/>
        <v>Re-Res-2025-502</v>
      </c>
      <c r="B503" s="6">
        <v>30</v>
      </c>
      <c r="C503" s="6" t="str">
        <f t="shared" si="29"/>
        <v>30-39</v>
      </c>
      <c r="D503" s="6" t="s">
        <v>43</v>
      </c>
      <c r="E503" s="6" t="s">
        <v>45</v>
      </c>
      <c r="F503" s="6" t="s">
        <v>39</v>
      </c>
      <c r="G503" s="6" t="s">
        <v>47</v>
      </c>
      <c r="H503" s="8">
        <v>2083</v>
      </c>
      <c r="I503" s="8">
        <f t="shared" si="30"/>
        <v>145.81</v>
      </c>
      <c r="J503" s="8">
        <f t="shared" si="31"/>
        <v>1937.19</v>
      </c>
      <c r="K503" s="8">
        <v>22653</v>
      </c>
      <c r="L503" s="6">
        <v>1</v>
      </c>
      <c r="M503" s="22" t="str" cm="1">
        <f t="array" ref="M503">_xlfn.IFS(L503&gt;10,"Veteran",L503&gt;=6,"Experienced",L503&gt;=2,"Developing",L503&gt;=0,"New")</f>
        <v>New</v>
      </c>
    </row>
    <row r="504" spans="1:13">
      <c r="A504" s="21" t="str">
        <f t="shared" ca="1" si="28"/>
        <v>Sa-Sal-2012-503</v>
      </c>
      <c r="B504" s="6">
        <v>53</v>
      </c>
      <c r="C504" s="6" t="str">
        <f t="shared" si="29"/>
        <v>50+</v>
      </c>
      <c r="D504" s="6" t="s">
        <v>43</v>
      </c>
      <c r="E504" s="6" t="s">
        <v>37</v>
      </c>
      <c r="F504" s="6" t="s">
        <v>39</v>
      </c>
      <c r="G504" s="6" t="s">
        <v>40</v>
      </c>
      <c r="H504" s="8">
        <v>8381</v>
      </c>
      <c r="I504" s="8">
        <f t="shared" si="30"/>
        <v>1843.82</v>
      </c>
      <c r="J504" s="8">
        <f t="shared" si="31"/>
        <v>6537.18</v>
      </c>
      <c r="K504" s="8">
        <v>7507</v>
      </c>
      <c r="L504" s="6">
        <v>14</v>
      </c>
      <c r="M504" s="22" t="str" cm="1">
        <f t="array" ref="M504">_xlfn.IFS(L504&gt;10,"Veteran",L504&gt;=6,"Experienced",L504&gt;=2,"Developing",L504&gt;=0,"New")</f>
        <v>Veteran</v>
      </c>
    </row>
    <row r="505" spans="1:13">
      <c r="A505" s="21" t="str">
        <f t="shared" ca="1" si="28"/>
        <v>Re-Res-2016-504</v>
      </c>
      <c r="B505" s="6">
        <v>34</v>
      </c>
      <c r="C505" s="6" t="str">
        <f t="shared" si="29"/>
        <v>30-39</v>
      </c>
      <c r="D505" s="6" t="s">
        <v>43</v>
      </c>
      <c r="E505" s="6" t="s">
        <v>45</v>
      </c>
      <c r="F505" s="6" t="s">
        <v>46</v>
      </c>
      <c r="G505" s="6" t="s">
        <v>47</v>
      </c>
      <c r="H505" s="8">
        <v>2691</v>
      </c>
      <c r="I505" s="8">
        <f t="shared" si="30"/>
        <v>188.37</v>
      </c>
      <c r="J505" s="8">
        <f t="shared" si="31"/>
        <v>2502.63</v>
      </c>
      <c r="K505" s="8">
        <v>7660</v>
      </c>
      <c r="L505" s="6">
        <v>10</v>
      </c>
      <c r="M505" s="22" t="str" cm="1">
        <f t="array" ref="M505">_xlfn.IFS(L505&gt;10,"Veteran",L505&gt;=6,"Experienced",L505&gt;=2,"Developing",L505&gt;=0,"New")</f>
        <v>Experienced</v>
      </c>
    </row>
    <row r="506" spans="1:13">
      <c r="A506" s="21" t="str">
        <f t="shared" ca="1" si="28"/>
        <v>Sa-Sal-2025-505</v>
      </c>
      <c r="B506" s="6">
        <v>45</v>
      </c>
      <c r="C506" s="6" t="str">
        <f t="shared" si="29"/>
        <v>40-49</v>
      </c>
      <c r="D506" s="6" t="s">
        <v>35</v>
      </c>
      <c r="E506" s="6" t="s">
        <v>37</v>
      </c>
      <c r="F506" s="6" t="s">
        <v>39</v>
      </c>
      <c r="G506" s="6" t="s">
        <v>40</v>
      </c>
      <c r="H506" s="8">
        <v>4286</v>
      </c>
      <c r="I506" s="8">
        <f t="shared" si="30"/>
        <v>642.9</v>
      </c>
      <c r="J506" s="8">
        <f t="shared" si="31"/>
        <v>3643.1</v>
      </c>
      <c r="K506" s="8">
        <v>5630</v>
      </c>
      <c r="L506" s="6">
        <v>1</v>
      </c>
      <c r="M506" s="22" t="str" cm="1">
        <f t="array" ref="M506">_xlfn.IFS(L506&gt;10,"Veteran",L506&gt;=6,"Experienced",L506&gt;=2,"Developing",L506&gt;=0,"New")</f>
        <v>New</v>
      </c>
    </row>
    <row r="507" spans="1:13">
      <c r="A507" s="21" t="str">
        <f t="shared" ca="1" si="28"/>
        <v>La-Res-2023-506</v>
      </c>
      <c r="B507" s="6">
        <v>26</v>
      </c>
      <c r="C507" s="6" t="str">
        <f t="shared" si="29"/>
        <v>20-29</v>
      </c>
      <c r="D507" s="6" t="s">
        <v>43</v>
      </c>
      <c r="E507" s="6" t="s">
        <v>45</v>
      </c>
      <c r="F507" s="6" t="s">
        <v>39</v>
      </c>
      <c r="G507" s="6" t="s">
        <v>50</v>
      </c>
      <c r="H507" s="8">
        <v>2659</v>
      </c>
      <c r="I507" s="8">
        <f t="shared" si="30"/>
        <v>186.13000000000002</v>
      </c>
      <c r="J507" s="8">
        <f t="shared" si="31"/>
        <v>2472.87</v>
      </c>
      <c r="K507" s="8">
        <v>17759</v>
      </c>
      <c r="L507" s="6">
        <v>3</v>
      </c>
      <c r="M507" s="22" t="str" cm="1">
        <f t="array" ref="M507">_xlfn.IFS(L507&gt;10,"Veteran",L507&gt;=6,"Experienced",L507&gt;=2,"Developing",L507&gt;=0,"New")</f>
        <v>Developing</v>
      </c>
    </row>
    <row r="508" spans="1:13">
      <c r="A508" s="21" t="str">
        <f t="shared" ca="1" si="28"/>
        <v>Ma-Res-2016-507</v>
      </c>
      <c r="B508" s="6">
        <v>37</v>
      </c>
      <c r="C508" s="6" t="str">
        <f t="shared" si="29"/>
        <v>30-39</v>
      </c>
      <c r="D508" s="6" t="s">
        <v>43</v>
      </c>
      <c r="E508" s="6" t="s">
        <v>45</v>
      </c>
      <c r="F508" s="6" t="s">
        <v>46</v>
      </c>
      <c r="G508" s="6" t="s">
        <v>53</v>
      </c>
      <c r="H508" s="8">
        <v>9434</v>
      </c>
      <c r="I508" s="8">
        <f t="shared" si="30"/>
        <v>2075.48</v>
      </c>
      <c r="J508" s="8">
        <f t="shared" si="31"/>
        <v>7358.52</v>
      </c>
      <c r="K508" s="8">
        <v>9606</v>
      </c>
      <c r="L508" s="6">
        <v>10</v>
      </c>
      <c r="M508" s="22" t="str" cm="1">
        <f t="array" ref="M508">_xlfn.IFS(L508&gt;10,"Veteran",L508&gt;=6,"Experienced",L508&gt;=2,"Developing",L508&gt;=0,"New")</f>
        <v>Experienced</v>
      </c>
    </row>
    <row r="509" spans="1:13">
      <c r="A509" s="21" t="str">
        <f t="shared" ca="1" si="28"/>
        <v>Sa-Sal-2020-508</v>
      </c>
      <c r="B509" s="6">
        <v>29</v>
      </c>
      <c r="C509" s="6" t="str">
        <f t="shared" si="29"/>
        <v>20-29</v>
      </c>
      <c r="D509" s="6" t="s">
        <v>43</v>
      </c>
      <c r="E509" s="6" t="s">
        <v>37</v>
      </c>
      <c r="F509" s="6" t="s">
        <v>39</v>
      </c>
      <c r="G509" s="6" t="s">
        <v>40</v>
      </c>
      <c r="H509" s="8">
        <v>5561</v>
      </c>
      <c r="I509" s="8">
        <f t="shared" si="30"/>
        <v>834.15</v>
      </c>
      <c r="J509" s="8">
        <f t="shared" si="31"/>
        <v>4726.8500000000004</v>
      </c>
      <c r="K509" s="8">
        <v>3487</v>
      </c>
      <c r="L509" s="6">
        <v>6</v>
      </c>
      <c r="M509" s="22" t="str" cm="1">
        <f t="array" ref="M509">_xlfn.IFS(L509&gt;10,"Veteran",L509&gt;=6,"Experienced",L509&gt;=2,"Developing",L509&gt;=0,"New")</f>
        <v>Experienced</v>
      </c>
    </row>
    <row r="510" spans="1:13">
      <c r="A510" s="21" t="str">
        <f t="shared" ca="1" si="28"/>
        <v>Re-Res-2009-509</v>
      </c>
      <c r="B510" s="6">
        <v>35</v>
      </c>
      <c r="C510" s="6" t="str">
        <f t="shared" si="29"/>
        <v>30-39</v>
      </c>
      <c r="D510" s="6" t="s">
        <v>43</v>
      </c>
      <c r="E510" s="6" t="s">
        <v>45</v>
      </c>
      <c r="F510" s="6" t="s">
        <v>46</v>
      </c>
      <c r="G510" s="6" t="s">
        <v>47</v>
      </c>
      <c r="H510" s="8">
        <v>6646</v>
      </c>
      <c r="I510" s="8">
        <f t="shared" si="30"/>
        <v>996.9</v>
      </c>
      <c r="J510" s="8">
        <f t="shared" si="31"/>
        <v>5649.1</v>
      </c>
      <c r="K510" s="8">
        <v>19368</v>
      </c>
      <c r="L510" s="6">
        <v>17</v>
      </c>
      <c r="M510" s="22" t="str" cm="1">
        <f t="array" ref="M510">_xlfn.IFS(L510&gt;10,"Veteran",L510&gt;=6,"Experienced",L510&gt;=2,"Developing",L510&gt;=0,"New")</f>
        <v>Veteran</v>
      </c>
    </row>
    <row r="511" spans="1:13">
      <c r="A511" s="21" t="str">
        <f t="shared" ca="1" si="28"/>
        <v>He-Res-2013-510</v>
      </c>
      <c r="B511" s="6">
        <v>33</v>
      </c>
      <c r="C511" s="6" t="str">
        <f t="shared" si="29"/>
        <v>30-39</v>
      </c>
      <c r="D511" s="6" t="s">
        <v>43</v>
      </c>
      <c r="E511" s="6" t="s">
        <v>45</v>
      </c>
      <c r="F511" s="6" t="s">
        <v>46</v>
      </c>
      <c r="G511" s="6" t="s">
        <v>54</v>
      </c>
      <c r="H511" s="8">
        <v>7725</v>
      </c>
      <c r="I511" s="8">
        <f t="shared" si="30"/>
        <v>1699.5</v>
      </c>
      <c r="J511" s="8">
        <f t="shared" si="31"/>
        <v>6025.5</v>
      </c>
      <c r="K511" s="8">
        <v>5335</v>
      </c>
      <c r="L511" s="6">
        <v>13</v>
      </c>
      <c r="M511" s="22" t="str" cm="1">
        <f t="array" ref="M511">_xlfn.IFS(L511&gt;10,"Veteran",L511&gt;=6,"Experienced",L511&gt;=2,"Developing",L511&gt;=0,"New")</f>
        <v>Veteran</v>
      </c>
    </row>
    <row r="512" spans="1:13">
      <c r="A512" s="21" t="str">
        <f t="shared" ca="1" si="28"/>
        <v>Hu-Hum-2017-511</v>
      </c>
      <c r="B512" s="6">
        <v>54</v>
      </c>
      <c r="C512" s="6" t="str">
        <f t="shared" si="29"/>
        <v>50+</v>
      </c>
      <c r="D512" s="6" t="s">
        <v>43</v>
      </c>
      <c r="E512" s="6" t="s">
        <v>61</v>
      </c>
      <c r="F512" s="6" t="s">
        <v>46</v>
      </c>
      <c r="G512" s="6" t="s">
        <v>61</v>
      </c>
      <c r="H512" s="8">
        <v>10725</v>
      </c>
      <c r="I512" s="8">
        <f t="shared" si="30"/>
        <v>2359.5</v>
      </c>
      <c r="J512" s="8">
        <f t="shared" si="31"/>
        <v>8365.5</v>
      </c>
      <c r="K512" s="8">
        <v>6729</v>
      </c>
      <c r="L512" s="6">
        <v>9</v>
      </c>
      <c r="M512" s="22" t="str" cm="1">
        <f t="array" ref="M512">_xlfn.IFS(L512&gt;10,"Veteran",L512&gt;=6,"Experienced",L512&gt;=2,"Developing",L512&gt;=0,"New")</f>
        <v>Experienced</v>
      </c>
    </row>
    <row r="513" spans="1:13">
      <c r="A513" s="21" t="str">
        <f t="shared" ca="1" si="28"/>
        <v>Ma-Res-2023-512</v>
      </c>
      <c r="B513" s="6">
        <v>36</v>
      </c>
      <c r="C513" s="6" t="str">
        <f t="shared" si="29"/>
        <v>30-39</v>
      </c>
      <c r="D513" s="6" t="s">
        <v>43</v>
      </c>
      <c r="E513" s="6" t="s">
        <v>45</v>
      </c>
      <c r="F513" s="6" t="s">
        <v>46</v>
      </c>
      <c r="G513" s="6" t="s">
        <v>53</v>
      </c>
      <c r="H513" s="8">
        <v>8847</v>
      </c>
      <c r="I513" s="8">
        <f t="shared" si="30"/>
        <v>1946.34</v>
      </c>
      <c r="J513" s="8">
        <f t="shared" si="31"/>
        <v>6900.66</v>
      </c>
      <c r="K513" s="8">
        <v>13934</v>
      </c>
      <c r="L513" s="6">
        <v>3</v>
      </c>
      <c r="M513" s="22" t="str" cm="1">
        <f t="array" ref="M513">_xlfn.IFS(L513&gt;10,"Veteran",L513&gt;=6,"Experienced",L513&gt;=2,"Developing",L513&gt;=0,"New")</f>
        <v>Developing</v>
      </c>
    </row>
    <row r="514" spans="1:13">
      <c r="A514" s="21" t="str">
        <f t="shared" ca="1" si="28"/>
        <v>Re-Res-2022-513</v>
      </c>
      <c r="B514" s="6">
        <v>27</v>
      </c>
      <c r="C514" s="6" t="str">
        <f t="shared" si="29"/>
        <v>20-29</v>
      </c>
      <c r="D514" s="6" t="s">
        <v>43</v>
      </c>
      <c r="E514" s="6" t="s">
        <v>45</v>
      </c>
      <c r="F514" s="6" t="s">
        <v>46</v>
      </c>
      <c r="G514" s="6" t="s">
        <v>47</v>
      </c>
      <c r="H514" s="8">
        <v>2045</v>
      </c>
      <c r="I514" s="8">
        <f t="shared" si="30"/>
        <v>143.15</v>
      </c>
      <c r="J514" s="8">
        <f t="shared" si="31"/>
        <v>1901.85</v>
      </c>
      <c r="K514" s="8">
        <v>15174</v>
      </c>
      <c r="L514" s="6">
        <v>4</v>
      </c>
      <c r="M514" s="22" t="str" cm="1">
        <f t="array" ref="M514">_xlfn.IFS(L514&gt;10,"Veteran",L514&gt;=6,"Experienced",L514&gt;=2,"Developing",L514&gt;=0,"New")</f>
        <v>Developing</v>
      </c>
    </row>
    <row r="515" spans="1:13">
      <c r="A515" s="21" t="str">
        <f t="shared" ref="A515:A578" ca="1" si="32">LEFT(G515,2)&amp;"-"&amp;LEFT(E515,3)&amp;"-"&amp;YEAR(TODAY())-L515&amp;"-"&amp;TEXT(ROW()-1,"000")</f>
        <v>Re-Res-2025-514</v>
      </c>
      <c r="B515" s="6">
        <v>20</v>
      </c>
      <c r="C515" s="6" t="str">
        <f t="shared" ref="C515:C578" si="33">IF(B515&lt;=29,"20-29",IF(B515&lt;=39,"30-39",IF(B515&lt;=49,"40-49","50+")))</f>
        <v>20-29</v>
      </c>
      <c r="D515" s="6" t="s">
        <v>35</v>
      </c>
      <c r="E515" s="6" t="s">
        <v>45</v>
      </c>
      <c r="F515" s="6" t="s">
        <v>46</v>
      </c>
      <c r="G515" s="6" t="s">
        <v>47</v>
      </c>
      <c r="H515" s="8">
        <v>1009</v>
      </c>
      <c r="I515" s="8">
        <f t="shared" ref="I515:I578" si="34">IF(H515&gt;13000,H515*30%,IF(H515&gt;7000,H515*22%,IF(H515&gt;3000,H515*15%,H515*7%)))</f>
        <v>70.63000000000001</v>
      </c>
      <c r="J515" s="8">
        <f t="shared" ref="J515:J578" si="35">H515-I515</f>
        <v>938.37</v>
      </c>
      <c r="K515" s="8">
        <v>26999</v>
      </c>
      <c r="L515" s="6">
        <v>1</v>
      </c>
      <c r="M515" s="22" t="str" cm="1">
        <f t="array" ref="M515">_xlfn.IFS(L515&gt;10,"Veteran",L515&gt;=6,"Experienced",L515&gt;=2,"Developing",L515&gt;=0,"New")</f>
        <v>New</v>
      </c>
    </row>
    <row r="516" spans="1:13">
      <c r="A516" s="21" t="str">
        <f t="shared" ca="1" si="32"/>
        <v>Re-Res-2016-515</v>
      </c>
      <c r="B516" s="6">
        <v>33</v>
      </c>
      <c r="C516" s="6" t="str">
        <f t="shared" si="33"/>
        <v>30-39</v>
      </c>
      <c r="D516" s="6" t="s">
        <v>35</v>
      </c>
      <c r="E516" s="6" t="s">
        <v>45</v>
      </c>
      <c r="F516" s="6" t="s">
        <v>46</v>
      </c>
      <c r="G516" s="6" t="s">
        <v>47</v>
      </c>
      <c r="H516" s="8">
        <v>3348</v>
      </c>
      <c r="I516" s="8">
        <f t="shared" si="34"/>
        <v>502.2</v>
      </c>
      <c r="J516" s="8">
        <f t="shared" si="35"/>
        <v>2845.8</v>
      </c>
      <c r="K516" s="8">
        <v>3164</v>
      </c>
      <c r="L516" s="6">
        <v>10</v>
      </c>
      <c r="M516" s="22" t="str" cm="1">
        <f t="array" ref="M516">_xlfn.IFS(L516&gt;10,"Veteran",L516&gt;=6,"Experienced",L516&gt;=2,"Developing",L516&gt;=0,"New")</f>
        <v>Experienced</v>
      </c>
    </row>
    <row r="517" spans="1:13">
      <c r="A517" s="21" t="str">
        <f t="shared" ca="1" si="32"/>
        <v>La-Res-2025-516</v>
      </c>
      <c r="B517" s="6">
        <v>35</v>
      </c>
      <c r="C517" s="6" t="str">
        <f t="shared" si="33"/>
        <v>30-39</v>
      </c>
      <c r="D517" s="6" t="s">
        <v>43</v>
      </c>
      <c r="E517" s="6" t="s">
        <v>45</v>
      </c>
      <c r="F517" s="6" t="s">
        <v>46</v>
      </c>
      <c r="G517" s="6" t="s">
        <v>50</v>
      </c>
      <c r="H517" s="8">
        <v>1281</v>
      </c>
      <c r="I517" s="8">
        <f t="shared" si="34"/>
        <v>89.67</v>
      </c>
      <c r="J517" s="8">
        <f t="shared" si="35"/>
        <v>1191.33</v>
      </c>
      <c r="K517" s="8">
        <v>16900</v>
      </c>
      <c r="L517" s="6">
        <v>1</v>
      </c>
      <c r="M517" s="22" t="str" cm="1">
        <f t="array" ref="M517">_xlfn.IFS(L517&gt;10,"Veteran",L517&gt;=6,"Experienced",L517&gt;=2,"Developing",L517&gt;=0,"New")</f>
        <v>New</v>
      </c>
    </row>
    <row r="518" spans="1:13">
      <c r="A518" s="21" t="str">
        <f t="shared" ca="1" si="32"/>
        <v>Re-Res-2023-517</v>
      </c>
      <c r="B518" s="6">
        <v>23</v>
      </c>
      <c r="C518" s="6" t="str">
        <f t="shared" si="33"/>
        <v>20-29</v>
      </c>
      <c r="D518" s="6" t="s">
        <v>43</v>
      </c>
      <c r="E518" s="6" t="s">
        <v>45</v>
      </c>
      <c r="F518" s="6" t="s">
        <v>46</v>
      </c>
      <c r="G518" s="6" t="s">
        <v>47</v>
      </c>
      <c r="H518" s="8">
        <v>2819</v>
      </c>
      <c r="I518" s="8">
        <f t="shared" si="34"/>
        <v>197.33</v>
      </c>
      <c r="J518" s="8">
        <f t="shared" si="35"/>
        <v>2621.67</v>
      </c>
      <c r="K518" s="8">
        <v>8544</v>
      </c>
      <c r="L518" s="6">
        <v>3</v>
      </c>
      <c r="M518" s="22" t="str" cm="1">
        <f t="array" ref="M518">_xlfn.IFS(L518&gt;10,"Veteran",L518&gt;=6,"Experienced",L518&gt;=2,"Developing",L518&gt;=0,"New")</f>
        <v>Developing</v>
      </c>
    </row>
    <row r="519" spans="1:13">
      <c r="A519" s="21" t="str">
        <f t="shared" ca="1" si="32"/>
        <v>Sa-Sal-2023-518</v>
      </c>
      <c r="B519" s="6">
        <v>25</v>
      </c>
      <c r="C519" s="6" t="str">
        <f t="shared" si="33"/>
        <v>20-29</v>
      </c>
      <c r="D519" s="6" t="s">
        <v>43</v>
      </c>
      <c r="E519" s="6" t="s">
        <v>37</v>
      </c>
      <c r="F519" s="6" t="s">
        <v>46</v>
      </c>
      <c r="G519" s="6" t="s">
        <v>40</v>
      </c>
      <c r="H519" s="8">
        <v>4851</v>
      </c>
      <c r="I519" s="8">
        <f t="shared" si="34"/>
        <v>727.65</v>
      </c>
      <c r="J519" s="8">
        <f t="shared" si="35"/>
        <v>4123.3500000000004</v>
      </c>
      <c r="K519" s="8">
        <v>15678</v>
      </c>
      <c r="L519" s="6">
        <v>3</v>
      </c>
      <c r="M519" s="22" t="str" cm="1">
        <f t="array" ref="M519">_xlfn.IFS(L519&gt;10,"Veteran",L519&gt;=6,"Experienced",L519&gt;=2,"Developing",L519&gt;=0,"New")</f>
        <v>Developing</v>
      </c>
    </row>
    <row r="520" spans="1:13">
      <c r="A520" s="21" t="str">
        <f t="shared" ca="1" si="32"/>
        <v>Sa-Sal-2019-519</v>
      </c>
      <c r="B520" s="6">
        <v>38</v>
      </c>
      <c r="C520" s="6" t="str">
        <f t="shared" si="33"/>
        <v>30-39</v>
      </c>
      <c r="D520" s="6" t="s">
        <v>43</v>
      </c>
      <c r="E520" s="6" t="s">
        <v>37</v>
      </c>
      <c r="F520" s="6" t="s">
        <v>39</v>
      </c>
      <c r="G520" s="6" t="s">
        <v>40</v>
      </c>
      <c r="H520" s="8">
        <v>4028</v>
      </c>
      <c r="I520" s="8">
        <f t="shared" si="34"/>
        <v>604.19999999999993</v>
      </c>
      <c r="J520" s="8">
        <f t="shared" si="35"/>
        <v>3423.8</v>
      </c>
      <c r="K520" s="8">
        <v>7791</v>
      </c>
      <c r="L520" s="6">
        <v>7</v>
      </c>
      <c r="M520" s="22" t="str" cm="1">
        <f t="array" ref="M520">_xlfn.IFS(L520&gt;10,"Veteran",L520&gt;=6,"Experienced",L520&gt;=2,"Developing",L520&gt;=0,"New")</f>
        <v>Experienced</v>
      </c>
    </row>
    <row r="521" spans="1:13">
      <c r="A521" s="21" t="str">
        <f t="shared" ca="1" si="32"/>
        <v>Re-Res-2016-520</v>
      </c>
      <c r="B521" s="6">
        <v>29</v>
      </c>
      <c r="C521" s="6" t="str">
        <f t="shared" si="33"/>
        <v>20-29</v>
      </c>
      <c r="D521" s="6" t="s">
        <v>43</v>
      </c>
      <c r="E521" s="6" t="s">
        <v>45</v>
      </c>
      <c r="F521" s="6" t="s">
        <v>46</v>
      </c>
      <c r="G521" s="6" t="s">
        <v>47</v>
      </c>
      <c r="H521" s="8">
        <v>2720</v>
      </c>
      <c r="I521" s="8">
        <f t="shared" si="34"/>
        <v>190.4</v>
      </c>
      <c r="J521" s="8">
        <f t="shared" si="35"/>
        <v>2529.6</v>
      </c>
      <c r="K521" s="8">
        <v>18959</v>
      </c>
      <c r="L521" s="6">
        <v>10</v>
      </c>
      <c r="M521" s="22" t="str" cm="1">
        <f t="array" ref="M521">_xlfn.IFS(L521&gt;10,"Veteran",L521&gt;=6,"Experienced",L521&gt;=2,"Developing",L521&gt;=0,"New")</f>
        <v>Experienced</v>
      </c>
    </row>
    <row r="522" spans="1:13">
      <c r="A522" s="21" t="str">
        <f t="shared" ca="1" si="32"/>
        <v>Sa-Sal-2024-521</v>
      </c>
      <c r="B522" s="6">
        <v>48</v>
      </c>
      <c r="C522" s="6" t="str">
        <f t="shared" si="33"/>
        <v>40-49</v>
      </c>
      <c r="D522" s="6" t="s">
        <v>43</v>
      </c>
      <c r="E522" s="6" t="s">
        <v>37</v>
      </c>
      <c r="F522" s="6" t="s">
        <v>46</v>
      </c>
      <c r="G522" s="6" t="s">
        <v>40</v>
      </c>
      <c r="H522" s="8">
        <v>8120</v>
      </c>
      <c r="I522" s="8">
        <f t="shared" si="34"/>
        <v>1786.4</v>
      </c>
      <c r="J522" s="8">
        <f t="shared" si="35"/>
        <v>6333.6</v>
      </c>
      <c r="K522" s="8">
        <v>18597</v>
      </c>
      <c r="L522" s="6">
        <v>2</v>
      </c>
      <c r="M522" s="22" t="str" cm="1">
        <f t="array" ref="M522">_xlfn.IFS(L522&gt;10,"Veteran",L522&gt;=6,"Experienced",L522&gt;=2,"Developing",L522&gt;=0,"New")</f>
        <v>Developing</v>
      </c>
    </row>
    <row r="523" spans="1:13">
      <c r="A523" s="21" t="str">
        <f t="shared" ca="1" si="32"/>
        <v>Sa-Sal-2020-522</v>
      </c>
      <c r="B523" s="6">
        <v>27</v>
      </c>
      <c r="C523" s="6" t="str">
        <f t="shared" si="33"/>
        <v>20-29</v>
      </c>
      <c r="D523" s="6" t="s">
        <v>43</v>
      </c>
      <c r="E523" s="6" t="s">
        <v>37</v>
      </c>
      <c r="F523" s="6" t="s">
        <v>39</v>
      </c>
      <c r="G523" s="6" t="s">
        <v>40</v>
      </c>
      <c r="H523" s="8">
        <v>4647</v>
      </c>
      <c r="I523" s="8">
        <f t="shared" si="34"/>
        <v>697.05</v>
      </c>
      <c r="J523" s="8">
        <f t="shared" si="35"/>
        <v>3949.95</v>
      </c>
      <c r="K523" s="8">
        <v>16673</v>
      </c>
      <c r="L523" s="6">
        <v>6</v>
      </c>
      <c r="M523" s="22" t="str" cm="1">
        <f t="array" ref="M523">_xlfn.IFS(L523&gt;10,"Veteran",L523&gt;=6,"Experienced",L523&gt;=2,"Developing",L523&gt;=0,"New")</f>
        <v>Experienced</v>
      </c>
    </row>
    <row r="524" spans="1:13">
      <c r="A524" s="21" t="str">
        <f t="shared" ca="1" si="32"/>
        <v>Re-Res-2025-523</v>
      </c>
      <c r="B524" s="6">
        <v>37</v>
      </c>
      <c r="C524" s="6" t="str">
        <f t="shared" si="33"/>
        <v>30-39</v>
      </c>
      <c r="D524" s="6" t="s">
        <v>43</v>
      </c>
      <c r="E524" s="6" t="s">
        <v>45</v>
      </c>
      <c r="F524" s="6" t="s">
        <v>46</v>
      </c>
      <c r="G524" s="6" t="s">
        <v>47</v>
      </c>
      <c r="H524" s="8">
        <v>4680</v>
      </c>
      <c r="I524" s="8">
        <f t="shared" si="34"/>
        <v>702</v>
      </c>
      <c r="J524" s="8">
        <f t="shared" si="35"/>
        <v>3978</v>
      </c>
      <c r="K524" s="8">
        <v>15232</v>
      </c>
      <c r="L524" s="6">
        <v>1</v>
      </c>
      <c r="M524" s="22" t="str" cm="1">
        <f t="array" ref="M524">_xlfn.IFS(L524&gt;10,"Veteran",L524&gt;=6,"Experienced",L524&gt;=2,"Developing",L524&gt;=0,"New")</f>
        <v>New</v>
      </c>
    </row>
    <row r="525" spans="1:13">
      <c r="A525" s="21" t="str">
        <f t="shared" ca="1" si="32"/>
        <v>La-Res-2006-524</v>
      </c>
      <c r="B525" s="6">
        <v>50</v>
      </c>
      <c r="C525" s="6" t="str">
        <f t="shared" si="33"/>
        <v>50+</v>
      </c>
      <c r="D525" s="6" t="s">
        <v>43</v>
      </c>
      <c r="E525" s="6" t="s">
        <v>45</v>
      </c>
      <c r="F525" s="6" t="s">
        <v>46</v>
      </c>
      <c r="G525" s="6" t="s">
        <v>50</v>
      </c>
      <c r="H525" s="8">
        <v>3221</v>
      </c>
      <c r="I525" s="8">
        <f t="shared" si="34"/>
        <v>483.15</v>
      </c>
      <c r="J525" s="8">
        <f t="shared" si="35"/>
        <v>2737.85</v>
      </c>
      <c r="K525" s="8">
        <v>3297</v>
      </c>
      <c r="L525" s="6">
        <v>20</v>
      </c>
      <c r="M525" s="22" t="str" cm="1">
        <f t="array" ref="M525">_xlfn.IFS(L525&gt;10,"Veteran",L525&gt;=6,"Experienced",L525&gt;=2,"Developing",L525&gt;=0,"New")</f>
        <v>Veteran</v>
      </c>
    </row>
    <row r="526" spans="1:13">
      <c r="A526" s="21" t="str">
        <f t="shared" ca="1" si="32"/>
        <v>He-Res-2018-525</v>
      </c>
      <c r="B526" s="6">
        <v>34</v>
      </c>
      <c r="C526" s="6" t="str">
        <f t="shared" si="33"/>
        <v>30-39</v>
      </c>
      <c r="D526" s="6" t="s">
        <v>43</v>
      </c>
      <c r="E526" s="6" t="s">
        <v>45</v>
      </c>
      <c r="F526" s="6" t="s">
        <v>39</v>
      </c>
      <c r="G526" s="6" t="s">
        <v>54</v>
      </c>
      <c r="H526" s="8">
        <v>8621</v>
      </c>
      <c r="I526" s="8">
        <f t="shared" si="34"/>
        <v>1896.6200000000001</v>
      </c>
      <c r="J526" s="8">
        <f t="shared" si="35"/>
        <v>6724.38</v>
      </c>
      <c r="K526" s="8">
        <v>17654</v>
      </c>
      <c r="L526" s="6">
        <v>8</v>
      </c>
      <c r="M526" s="22" t="str" cm="1">
        <f t="array" ref="M526">_xlfn.IFS(L526&gt;10,"Veteran",L526&gt;=6,"Experienced",L526&gt;=2,"Developing",L526&gt;=0,"New")</f>
        <v>Experienced</v>
      </c>
    </row>
    <row r="527" spans="1:13">
      <c r="A527" s="21" t="str">
        <f t="shared" ca="1" si="32"/>
        <v>Sa-Sal-2024-526</v>
      </c>
      <c r="B527" s="6">
        <v>24</v>
      </c>
      <c r="C527" s="6" t="str">
        <f t="shared" si="33"/>
        <v>20-29</v>
      </c>
      <c r="D527" s="6" t="s">
        <v>35</v>
      </c>
      <c r="E527" s="6" t="s">
        <v>37</v>
      </c>
      <c r="F527" s="6" t="s">
        <v>39</v>
      </c>
      <c r="G527" s="6" t="s">
        <v>40</v>
      </c>
      <c r="H527" s="8">
        <v>4577</v>
      </c>
      <c r="I527" s="8">
        <f t="shared" si="34"/>
        <v>686.55</v>
      </c>
      <c r="J527" s="8">
        <f t="shared" si="35"/>
        <v>3890.45</v>
      </c>
      <c r="K527" s="8">
        <v>24785</v>
      </c>
      <c r="L527" s="6">
        <v>2</v>
      </c>
      <c r="M527" s="22" t="str" cm="1">
        <f t="array" ref="M527">_xlfn.IFS(L527&gt;10,"Veteran",L527&gt;=6,"Experienced",L527&gt;=2,"Developing",L527&gt;=0,"New")</f>
        <v>Developing</v>
      </c>
    </row>
    <row r="528" spans="1:13">
      <c r="A528" s="21" t="str">
        <f t="shared" ca="1" si="32"/>
        <v>He-Res-2006-527</v>
      </c>
      <c r="B528" s="6">
        <v>39</v>
      </c>
      <c r="C528" s="6" t="str">
        <f t="shared" si="33"/>
        <v>30-39</v>
      </c>
      <c r="D528" s="6" t="s">
        <v>43</v>
      </c>
      <c r="E528" s="6" t="s">
        <v>45</v>
      </c>
      <c r="F528" s="6" t="s">
        <v>39</v>
      </c>
      <c r="G528" s="6" t="s">
        <v>54</v>
      </c>
      <c r="H528" s="8">
        <v>4553</v>
      </c>
      <c r="I528" s="8">
        <f t="shared" si="34"/>
        <v>682.94999999999993</v>
      </c>
      <c r="J528" s="8">
        <f t="shared" si="35"/>
        <v>3870.05</v>
      </c>
      <c r="K528" s="8">
        <v>20978</v>
      </c>
      <c r="L528" s="6">
        <v>20</v>
      </c>
      <c r="M528" s="22" t="str" cm="1">
        <f t="array" ref="M528">_xlfn.IFS(L528&gt;10,"Veteran",L528&gt;=6,"Experienced",L528&gt;=2,"Developing",L528&gt;=0,"New")</f>
        <v>Veteran</v>
      </c>
    </row>
    <row r="529" spans="1:13">
      <c r="A529" s="21" t="str">
        <f t="shared" ca="1" si="32"/>
        <v>Sa-Sal-2016-528</v>
      </c>
      <c r="B529" s="6">
        <v>32</v>
      </c>
      <c r="C529" s="6" t="str">
        <f t="shared" si="33"/>
        <v>30-39</v>
      </c>
      <c r="D529" s="6" t="s">
        <v>43</v>
      </c>
      <c r="E529" s="6" t="s">
        <v>37</v>
      </c>
      <c r="F529" s="6" t="s">
        <v>46</v>
      </c>
      <c r="G529" s="6" t="s">
        <v>40</v>
      </c>
      <c r="H529" s="8">
        <v>5396</v>
      </c>
      <c r="I529" s="8">
        <f t="shared" si="34"/>
        <v>809.4</v>
      </c>
      <c r="J529" s="8">
        <f t="shared" si="35"/>
        <v>4586.6000000000004</v>
      </c>
      <c r="K529" s="8">
        <v>21703</v>
      </c>
      <c r="L529" s="6">
        <v>10</v>
      </c>
      <c r="M529" s="22" t="str" cm="1">
        <f t="array" ref="M529">_xlfn.IFS(L529&gt;10,"Veteran",L529&gt;=6,"Experienced",L529&gt;=2,"Developing",L529&gt;=0,"New")</f>
        <v>Experienced</v>
      </c>
    </row>
    <row r="530" spans="1:13">
      <c r="A530" s="21" t="str">
        <f t="shared" ca="1" si="32"/>
        <v>Sa-Sal-2022-529</v>
      </c>
      <c r="B530" s="6">
        <v>50</v>
      </c>
      <c r="C530" s="6" t="str">
        <f t="shared" si="33"/>
        <v>50+</v>
      </c>
      <c r="D530" s="6" t="s">
        <v>35</v>
      </c>
      <c r="E530" s="6" t="s">
        <v>37</v>
      </c>
      <c r="F530" s="6" t="s">
        <v>46</v>
      </c>
      <c r="G530" s="6" t="s">
        <v>40</v>
      </c>
      <c r="H530" s="8">
        <v>6796</v>
      </c>
      <c r="I530" s="8">
        <f t="shared" si="34"/>
        <v>1019.4</v>
      </c>
      <c r="J530" s="8">
        <f t="shared" si="35"/>
        <v>5776.6</v>
      </c>
      <c r="K530" s="8">
        <v>23452</v>
      </c>
      <c r="L530" s="6">
        <v>4</v>
      </c>
      <c r="M530" s="22" t="str" cm="1">
        <f t="array" ref="M530">_xlfn.IFS(L530&gt;10,"Veteran",L530&gt;=6,"Experienced",L530&gt;=2,"Developing",L530&gt;=0,"New")</f>
        <v>Developing</v>
      </c>
    </row>
    <row r="531" spans="1:13">
      <c r="A531" s="21" t="str">
        <f t="shared" ca="1" si="32"/>
        <v>He-Res-2017-530</v>
      </c>
      <c r="B531" s="6">
        <v>38</v>
      </c>
      <c r="C531" s="6" t="str">
        <f t="shared" si="33"/>
        <v>30-39</v>
      </c>
      <c r="D531" s="6" t="s">
        <v>43</v>
      </c>
      <c r="E531" s="6" t="s">
        <v>45</v>
      </c>
      <c r="F531" s="6" t="s">
        <v>39</v>
      </c>
      <c r="G531" s="6" t="s">
        <v>54</v>
      </c>
      <c r="H531" s="8">
        <v>7625</v>
      </c>
      <c r="I531" s="8">
        <f t="shared" si="34"/>
        <v>1677.5</v>
      </c>
      <c r="J531" s="8">
        <f t="shared" si="35"/>
        <v>5947.5</v>
      </c>
      <c r="K531" s="8">
        <v>19383</v>
      </c>
      <c r="L531" s="6">
        <v>9</v>
      </c>
      <c r="M531" s="22" t="str" cm="1">
        <f t="array" ref="M531">_xlfn.IFS(L531&gt;10,"Veteran",L531&gt;=6,"Experienced",L531&gt;=2,"Developing",L531&gt;=0,"New")</f>
        <v>Experienced</v>
      </c>
    </row>
    <row r="532" spans="1:13">
      <c r="A532" s="21" t="str">
        <f t="shared" ca="1" si="32"/>
        <v>Ma-Res-2017-531</v>
      </c>
      <c r="B532" s="6">
        <v>27</v>
      </c>
      <c r="C532" s="6" t="str">
        <f t="shared" si="33"/>
        <v>20-29</v>
      </c>
      <c r="D532" s="6" t="s">
        <v>43</v>
      </c>
      <c r="E532" s="6" t="s">
        <v>45</v>
      </c>
      <c r="F532" s="6" t="s">
        <v>39</v>
      </c>
      <c r="G532" s="6" t="s">
        <v>53</v>
      </c>
      <c r="H532" s="8">
        <v>7412</v>
      </c>
      <c r="I532" s="8">
        <f t="shared" si="34"/>
        <v>1630.64</v>
      </c>
      <c r="J532" s="8">
        <f t="shared" si="35"/>
        <v>5781.36</v>
      </c>
      <c r="K532" s="8">
        <v>6009</v>
      </c>
      <c r="L532" s="6">
        <v>9</v>
      </c>
      <c r="M532" s="22" t="str" cm="1">
        <f t="array" ref="M532">_xlfn.IFS(L532&gt;10,"Veteran",L532&gt;=6,"Experienced",L532&gt;=2,"Developing",L532&gt;=0,"New")</f>
        <v>Experienced</v>
      </c>
    </row>
    <row r="533" spans="1:13">
      <c r="A533" s="21" t="str">
        <f t="shared" ca="1" si="32"/>
        <v>Re-Res-2019-532</v>
      </c>
      <c r="B533" s="6">
        <v>32</v>
      </c>
      <c r="C533" s="6" t="str">
        <f t="shared" si="33"/>
        <v>30-39</v>
      </c>
      <c r="D533" s="6" t="s">
        <v>43</v>
      </c>
      <c r="E533" s="6" t="s">
        <v>45</v>
      </c>
      <c r="F533" s="6" t="s">
        <v>39</v>
      </c>
      <c r="G533" s="6" t="s">
        <v>58</v>
      </c>
      <c r="H533" s="8">
        <v>11159</v>
      </c>
      <c r="I533" s="8">
        <f t="shared" si="34"/>
        <v>2454.98</v>
      </c>
      <c r="J533" s="8">
        <f t="shared" si="35"/>
        <v>8704.02</v>
      </c>
      <c r="K533" s="8">
        <v>19373</v>
      </c>
      <c r="L533" s="6">
        <v>7</v>
      </c>
      <c r="M533" s="22" t="str" cm="1">
        <f t="array" ref="M533">_xlfn.IFS(L533&gt;10,"Veteran",L533&gt;=6,"Experienced",L533&gt;=2,"Developing",L533&gt;=0,"New")</f>
        <v>Experienced</v>
      </c>
    </row>
    <row r="534" spans="1:13">
      <c r="A534" s="21" t="str">
        <f t="shared" ca="1" si="32"/>
        <v>Sa-Sal-2019-533</v>
      </c>
      <c r="B534" s="6">
        <v>47</v>
      </c>
      <c r="C534" s="6" t="str">
        <f t="shared" si="33"/>
        <v>40-49</v>
      </c>
      <c r="D534" s="6" t="s">
        <v>43</v>
      </c>
      <c r="E534" s="6" t="s">
        <v>37</v>
      </c>
      <c r="F534" s="6" t="s">
        <v>46</v>
      </c>
      <c r="G534" s="6" t="s">
        <v>40</v>
      </c>
      <c r="H534" s="8">
        <v>4960</v>
      </c>
      <c r="I534" s="8">
        <f t="shared" si="34"/>
        <v>744</v>
      </c>
      <c r="J534" s="8">
        <f t="shared" si="35"/>
        <v>4216</v>
      </c>
      <c r="K534" s="8">
        <v>11825</v>
      </c>
      <c r="L534" s="6">
        <v>7</v>
      </c>
      <c r="M534" s="22" t="str" cm="1">
        <f t="array" ref="M534">_xlfn.IFS(L534&gt;10,"Veteran",L534&gt;=6,"Experienced",L534&gt;=2,"Developing",L534&gt;=0,"New")</f>
        <v>Experienced</v>
      </c>
    </row>
    <row r="535" spans="1:13">
      <c r="A535" s="21" t="str">
        <f t="shared" ca="1" si="32"/>
        <v>Sa-Sal-2008-534</v>
      </c>
      <c r="B535" s="6">
        <v>40</v>
      </c>
      <c r="C535" s="6" t="str">
        <f t="shared" si="33"/>
        <v>40-49</v>
      </c>
      <c r="D535" s="6" t="s">
        <v>43</v>
      </c>
      <c r="E535" s="6" t="s">
        <v>37</v>
      </c>
      <c r="F535" s="6" t="s">
        <v>46</v>
      </c>
      <c r="G535" s="6" t="s">
        <v>40</v>
      </c>
      <c r="H535" s="8">
        <v>10475</v>
      </c>
      <c r="I535" s="8">
        <f t="shared" si="34"/>
        <v>2304.5</v>
      </c>
      <c r="J535" s="8">
        <f t="shared" si="35"/>
        <v>8170.5</v>
      </c>
      <c r="K535" s="8">
        <v>23772</v>
      </c>
      <c r="L535" s="6">
        <v>18</v>
      </c>
      <c r="M535" s="22" t="str" cm="1">
        <f t="array" ref="M535">_xlfn.IFS(L535&gt;10,"Veteran",L535&gt;=6,"Experienced",L535&gt;=2,"Developing",L535&gt;=0,"New")</f>
        <v>Veteran</v>
      </c>
    </row>
    <row r="536" spans="1:13">
      <c r="A536" s="21" t="str">
        <f t="shared" ca="1" si="32"/>
        <v>Re-Res-2021-535</v>
      </c>
      <c r="B536" s="6">
        <v>53</v>
      </c>
      <c r="C536" s="6" t="str">
        <f t="shared" si="33"/>
        <v>50+</v>
      </c>
      <c r="D536" s="6" t="s">
        <v>43</v>
      </c>
      <c r="E536" s="6" t="s">
        <v>45</v>
      </c>
      <c r="F536" s="6" t="s">
        <v>46</v>
      </c>
      <c r="G536" s="6" t="s">
        <v>58</v>
      </c>
      <c r="H536" s="8">
        <v>14814</v>
      </c>
      <c r="I536" s="8">
        <f t="shared" si="34"/>
        <v>4444.2</v>
      </c>
      <c r="J536" s="8">
        <f t="shared" si="35"/>
        <v>10369.799999999999</v>
      </c>
      <c r="K536" s="8">
        <v>13514</v>
      </c>
      <c r="L536" s="6">
        <v>5</v>
      </c>
      <c r="M536" s="22" t="str" cm="1">
        <f t="array" ref="M536">_xlfn.IFS(L536&gt;10,"Veteran",L536&gt;=6,"Experienced",L536&gt;=2,"Developing",L536&gt;=0,"New")</f>
        <v>Developing</v>
      </c>
    </row>
    <row r="537" spans="1:13">
      <c r="A537" s="21" t="str">
        <f t="shared" ca="1" si="32"/>
        <v>Ma-Hum-2005-536</v>
      </c>
      <c r="B537" s="6">
        <v>41</v>
      </c>
      <c r="C537" s="6" t="str">
        <f t="shared" si="33"/>
        <v>40-49</v>
      </c>
      <c r="D537" s="6" t="s">
        <v>43</v>
      </c>
      <c r="E537" s="6" t="s">
        <v>61</v>
      </c>
      <c r="F537" s="6" t="s">
        <v>46</v>
      </c>
      <c r="G537" s="6" t="s">
        <v>56</v>
      </c>
      <c r="H537" s="8">
        <v>19141</v>
      </c>
      <c r="I537" s="8">
        <f t="shared" si="34"/>
        <v>5742.3</v>
      </c>
      <c r="J537" s="8">
        <f t="shared" si="35"/>
        <v>13398.7</v>
      </c>
      <c r="K537" s="8">
        <v>8861</v>
      </c>
      <c r="L537" s="6">
        <v>21</v>
      </c>
      <c r="M537" s="22" t="str" cm="1">
        <f t="array" ref="M537">_xlfn.IFS(L537&gt;10,"Veteran",L537&gt;=6,"Experienced",L537&gt;=2,"Developing",L537&gt;=0,"New")</f>
        <v>Veteran</v>
      </c>
    </row>
    <row r="538" spans="1:13">
      <c r="A538" s="21" t="str">
        <f t="shared" ca="1" si="32"/>
        <v>Sa-Sal-2024-537</v>
      </c>
      <c r="B538" s="6">
        <v>60</v>
      </c>
      <c r="C538" s="6" t="str">
        <f t="shared" si="33"/>
        <v>50+</v>
      </c>
      <c r="D538" s="6" t="s">
        <v>43</v>
      </c>
      <c r="E538" s="6" t="s">
        <v>37</v>
      </c>
      <c r="F538" s="6" t="s">
        <v>46</v>
      </c>
      <c r="G538" s="6" t="s">
        <v>40</v>
      </c>
      <c r="H538" s="8">
        <v>5405</v>
      </c>
      <c r="I538" s="8">
        <f t="shared" si="34"/>
        <v>810.75</v>
      </c>
      <c r="J538" s="8">
        <f t="shared" si="35"/>
        <v>4594.25</v>
      </c>
      <c r="K538" s="8">
        <v>11924</v>
      </c>
      <c r="L538" s="6">
        <v>2</v>
      </c>
      <c r="M538" s="22" t="str" cm="1">
        <f t="array" ref="M538">_xlfn.IFS(L538&gt;10,"Veteran",L538&gt;=6,"Experienced",L538&gt;=2,"Developing",L538&gt;=0,"New")</f>
        <v>Developing</v>
      </c>
    </row>
    <row r="539" spans="1:13">
      <c r="A539" s="21" t="str">
        <f t="shared" ca="1" si="32"/>
        <v>Ma-Res-2017-538</v>
      </c>
      <c r="B539" s="6">
        <v>27</v>
      </c>
      <c r="C539" s="6" t="str">
        <f t="shared" si="33"/>
        <v>20-29</v>
      </c>
      <c r="D539" s="6" t="s">
        <v>43</v>
      </c>
      <c r="E539" s="6" t="s">
        <v>45</v>
      </c>
      <c r="F539" s="6" t="s">
        <v>46</v>
      </c>
      <c r="G539" s="6" t="s">
        <v>53</v>
      </c>
      <c r="H539" s="8">
        <v>8793</v>
      </c>
      <c r="I539" s="8">
        <f t="shared" si="34"/>
        <v>1934.46</v>
      </c>
      <c r="J539" s="8">
        <f t="shared" si="35"/>
        <v>6858.54</v>
      </c>
      <c r="K539" s="8">
        <v>4809</v>
      </c>
      <c r="L539" s="6">
        <v>9</v>
      </c>
      <c r="M539" s="22" t="str" cm="1">
        <f t="array" ref="M539">_xlfn.IFS(L539&gt;10,"Veteran",L539&gt;=6,"Experienced",L539&gt;=2,"Developing",L539&gt;=0,"New")</f>
        <v>Experienced</v>
      </c>
    </row>
    <row r="540" spans="1:13">
      <c r="A540" s="21" t="str">
        <f t="shared" ca="1" si="32"/>
        <v>Ma-Hum-2004-539</v>
      </c>
      <c r="B540" s="6">
        <v>41</v>
      </c>
      <c r="C540" s="6" t="str">
        <f t="shared" si="33"/>
        <v>40-49</v>
      </c>
      <c r="D540" s="6" t="s">
        <v>43</v>
      </c>
      <c r="E540" s="6" t="s">
        <v>61</v>
      </c>
      <c r="F540" s="6" t="s">
        <v>46</v>
      </c>
      <c r="G540" s="6" t="s">
        <v>56</v>
      </c>
      <c r="H540" s="8">
        <v>19189</v>
      </c>
      <c r="I540" s="8">
        <f t="shared" si="34"/>
        <v>5756.7</v>
      </c>
      <c r="J540" s="8">
        <f t="shared" si="35"/>
        <v>13432.3</v>
      </c>
      <c r="K540" s="8">
        <v>19562</v>
      </c>
      <c r="L540" s="6">
        <v>22</v>
      </c>
      <c r="M540" s="22" t="str" cm="1">
        <f t="array" ref="M540">_xlfn.IFS(L540&gt;10,"Veteran",L540&gt;=6,"Experienced",L540&gt;=2,"Developing",L540&gt;=0,"New")</f>
        <v>Veteran</v>
      </c>
    </row>
    <row r="541" spans="1:13">
      <c r="A541" s="21" t="str">
        <f t="shared" ca="1" si="32"/>
        <v>Sa-Sal-2024-540</v>
      </c>
      <c r="B541" s="6">
        <v>50</v>
      </c>
      <c r="C541" s="6" t="str">
        <f t="shared" si="33"/>
        <v>50+</v>
      </c>
      <c r="D541" s="6" t="s">
        <v>43</v>
      </c>
      <c r="E541" s="6" t="s">
        <v>37</v>
      </c>
      <c r="F541" s="6" t="s">
        <v>46</v>
      </c>
      <c r="G541" s="6" t="s">
        <v>57</v>
      </c>
      <c r="H541" s="8">
        <v>3875</v>
      </c>
      <c r="I541" s="8">
        <f t="shared" si="34"/>
        <v>581.25</v>
      </c>
      <c r="J541" s="8">
        <f t="shared" si="35"/>
        <v>3293.75</v>
      </c>
      <c r="K541" s="8">
        <v>9983</v>
      </c>
      <c r="L541" s="6">
        <v>2</v>
      </c>
      <c r="M541" s="22" t="str" cm="1">
        <f t="array" ref="M541">_xlfn.IFS(L541&gt;10,"Veteran",L541&gt;=6,"Experienced",L541&gt;=2,"Developing",L541&gt;=0,"New")</f>
        <v>Developing</v>
      </c>
    </row>
    <row r="542" spans="1:13">
      <c r="A542" s="21" t="str">
        <f t="shared" ca="1" si="32"/>
        <v>Re-Res-2019-541</v>
      </c>
      <c r="B542" s="6">
        <v>28</v>
      </c>
      <c r="C542" s="6" t="str">
        <f t="shared" si="33"/>
        <v>20-29</v>
      </c>
      <c r="D542" s="6" t="s">
        <v>35</v>
      </c>
      <c r="E542" s="6" t="s">
        <v>45</v>
      </c>
      <c r="F542" s="6" t="s">
        <v>39</v>
      </c>
      <c r="G542" s="6" t="s">
        <v>47</v>
      </c>
      <c r="H542" s="8">
        <v>2216</v>
      </c>
      <c r="I542" s="8">
        <f t="shared" si="34"/>
        <v>155.12</v>
      </c>
      <c r="J542" s="8">
        <f t="shared" si="35"/>
        <v>2060.88</v>
      </c>
      <c r="K542" s="8">
        <v>3872</v>
      </c>
      <c r="L542" s="6">
        <v>7</v>
      </c>
      <c r="M542" s="22" t="str" cm="1">
        <f t="array" ref="M542">_xlfn.IFS(L542&gt;10,"Veteran",L542&gt;=6,"Experienced",L542&gt;=2,"Developing",L542&gt;=0,"New")</f>
        <v>Experienced</v>
      </c>
    </row>
    <row r="543" spans="1:13">
      <c r="A543" s="21" t="str">
        <f t="shared" ca="1" si="32"/>
        <v>Re-Res-2018-542</v>
      </c>
      <c r="B543" s="6">
        <v>36</v>
      </c>
      <c r="C543" s="6" t="str">
        <f t="shared" si="33"/>
        <v>30-39</v>
      </c>
      <c r="D543" s="6" t="s">
        <v>43</v>
      </c>
      <c r="E543" s="6" t="s">
        <v>45</v>
      </c>
      <c r="F543" s="6" t="s">
        <v>39</v>
      </c>
      <c r="G543" s="6" t="s">
        <v>58</v>
      </c>
      <c r="H543" s="8">
        <v>11713</v>
      </c>
      <c r="I543" s="8">
        <f t="shared" si="34"/>
        <v>2576.86</v>
      </c>
      <c r="J543" s="8">
        <f t="shared" si="35"/>
        <v>9136.14</v>
      </c>
      <c r="K543" s="8">
        <v>20335</v>
      </c>
      <c r="L543" s="6">
        <v>8</v>
      </c>
      <c r="M543" s="22" t="str" cm="1">
        <f t="array" ref="M543">_xlfn.IFS(L543&gt;10,"Veteran",L543&gt;=6,"Experienced",L543&gt;=2,"Developing",L543&gt;=0,"New")</f>
        <v>Experienced</v>
      </c>
    </row>
    <row r="544" spans="1:13">
      <c r="A544" s="21" t="str">
        <f t="shared" ca="1" si="32"/>
        <v>Ma-Res-2025-543</v>
      </c>
      <c r="B544" s="6">
        <v>38</v>
      </c>
      <c r="C544" s="6" t="str">
        <f t="shared" si="33"/>
        <v>30-39</v>
      </c>
      <c r="D544" s="6" t="s">
        <v>43</v>
      </c>
      <c r="E544" s="6" t="s">
        <v>45</v>
      </c>
      <c r="F544" s="6" t="s">
        <v>39</v>
      </c>
      <c r="G544" s="6" t="s">
        <v>53</v>
      </c>
      <c r="H544" s="8">
        <v>7861</v>
      </c>
      <c r="I544" s="8">
        <f t="shared" si="34"/>
        <v>1729.42</v>
      </c>
      <c r="J544" s="8">
        <f t="shared" si="35"/>
        <v>6131.58</v>
      </c>
      <c r="K544" s="8">
        <v>15397</v>
      </c>
      <c r="L544" s="6">
        <v>1</v>
      </c>
      <c r="M544" s="22" t="str" cm="1">
        <f t="array" ref="M544">_xlfn.IFS(L544&gt;10,"Veteran",L544&gt;=6,"Experienced",L544&gt;=2,"Developing",L544&gt;=0,"New")</f>
        <v>New</v>
      </c>
    </row>
    <row r="545" spans="1:13">
      <c r="A545" s="21" t="str">
        <f t="shared" ca="1" si="32"/>
        <v>La-Res-2021-544</v>
      </c>
      <c r="B545" s="6">
        <v>44</v>
      </c>
      <c r="C545" s="6" t="str">
        <f t="shared" si="33"/>
        <v>40-49</v>
      </c>
      <c r="D545" s="6" t="s">
        <v>43</v>
      </c>
      <c r="E545" s="6" t="s">
        <v>45</v>
      </c>
      <c r="F545" s="6" t="s">
        <v>46</v>
      </c>
      <c r="G545" s="6" t="s">
        <v>50</v>
      </c>
      <c r="H545" s="8">
        <v>3708</v>
      </c>
      <c r="I545" s="8">
        <f t="shared" si="34"/>
        <v>556.19999999999993</v>
      </c>
      <c r="J545" s="8">
        <f t="shared" si="35"/>
        <v>3151.8</v>
      </c>
      <c r="K545" s="8">
        <v>2104</v>
      </c>
      <c r="L545" s="6">
        <v>5</v>
      </c>
      <c r="M545" s="22" t="str" cm="1">
        <f t="array" ref="M545">_xlfn.IFS(L545&gt;10,"Veteran",L545&gt;=6,"Experienced",L545&gt;=2,"Developing",L545&gt;=0,"New")</f>
        <v>Developing</v>
      </c>
    </row>
    <row r="546" spans="1:13">
      <c r="A546" s="21" t="str">
        <f t="shared" ca="1" si="32"/>
        <v>Sa-Sal-2004-545</v>
      </c>
      <c r="B546" s="6">
        <v>47</v>
      </c>
      <c r="C546" s="6" t="str">
        <f t="shared" si="33"/>
        <v>40-49</v>
      </c>
      <c r="D546" s="6" t="s">
        <v>43</v>
      </c>
      <c r="E546" s="6" t="s">
        <v>37</v>
      </c>
      <c r="F546" s="6" t="s">
        <v>39</v>
      </c>
      <c r="G546" s="6" t="s">
        <v>40</v>
      </c>
      <c r="H546" s="8">
        <v>13770</v>
      </c>
      <c r="I546" s="8">
        <f t="shared" si="34"/>
        <v>4131</v>
      </c>
      <c r="J546" s="8">
        <f t="shared" si="35"/>
        <v>9639</v>
      </c>
      <c r="K546" s="8">
        <v>10225</v>
      </c>
      <c r="L546" s="6">
        <v>22</v>
      </c>
      <c r="M546" s="22" t="str" cm="1">
        <f t="array" ref="M546">_xlfn.IFS(L546&gt;10,"Veteran",L546&gt;=6,"Experienced",L546&gt;=2,"Developing",L546&gt;=0,"New")</f>
        <v>Veteran</v>
      </c>
    </row>
    <row r="547" spans="1:13">
      <c r="A547" s="21" t="str">
        <f t="shared" ca="1" si="32"/>
        <v>Sa-Sal-2018-546</v>
      </c>
      <c r="B547" s="6">
        <v>30</v>
      </c>
      <c r="C547" s="6" t="str">
        <f t="shared" si="33"/>
        <v>30-39</v>
      </c>
      <c r="D547" s="6" t="s">
        <v>43</v>
      </c>
      <c r="E547" s="6" t="s">
        <v>37</v>
      </c>
      <c r="F547" s="6" t="s">
        <v>46</v>
      </c>
      <c r="G547" s="6" t="s">
        <v>40</v>
      </c>
      <c r="H547" s="8">
        <v>5304</v>
      </c>
      <c r="I547" s="8">
        <f t="shared" si="34"/>
        <v>795.6</v>
      </c>
      <c r="J547" s="8">
        <f t="shared" si="35"/>
        <v>4508.3999999999996</v>
      </c>
      <c r="K547" s="8">
        <v>25275</v>
      </c>
      <c r="L547" s="6">
        <v>8</v>
      </c>
      <c r="M547" s="22" t="str" cm="1">
        <f t="array" ref="M547">_xlfn.IFS(L547&gt;10,"Veteran",L547&gt;=6,"Experienced",L547&gt;=2,"Developing",L547&gt;=0,"New")</f>
        <v>Experienced</v>
      </c>
    </row>
    <row r="548" spans="1:13">
      <c r="A548" s="21" t="str">
        <f t="shared" ca="1" si="32"/>
        <v>Sa-Sal-2025-547</v>
      </c>
      <c r="B548" s="6">
        <v>29</v>
      </c>
      <c r="C548" s="6" t="str">
        <f t="shared" si="33"/>
        <v>20-29</v>
      </c>
      <c r="D548" s="6" t="s">
        <v>43</v>
      </c>
      <c r="E548" s="6" t="s">
        <v>37</v>
      </c>
      <c r="F548" s="6" t="s">
        <v>46</v>
      </c>
      <c r="G548" s="6" t="s">
        <v>57</v>
      </c>
      <c r="H548" s="8">
        <v>2642</v>
      </c>
      <c r="I548" s="8">
        <f t="shared" si="34"/>
        <v>184.94000000000003</v>
      </c>
      <c r="J548" s="8">
        <f t="shared" si="35"/>
        <v>2457.06</v>
      </c>
      <c r="K548" s="8">
        <v>2755</v>
      </c>
      <c r="L548" s="6">
        <v>1</v>
      </c>
      <c r="M548" s="22" t="str" cm="1">
        <f t="array" ref="M548">_xlfn.IFS(L548&gt;10,"Veteran",L548&gt;=6,"Experienced",L548&gt;=2,"Developing",L548&gt;=0,"New")</f>
        <v>New</v>
      </c>
    </row>
    <row r="549" spans="1:13">
      <c r="A549" s="21" t="str">
        <f t="shared" ca="1" si="32"/>
        <v>Re-Res-2024-548</v>
      </c>
      <c r="B549" s="6">
        <v>42</v>
      </c>
      <c r="C549" s="6" t="str">
        <f t="shared" si="33"/>
        <v>40-49</v>
      </c>
      <c r="D549" s="6" t="s">
        <v>35</v>
      </c>
      <c r="E549" s="6" t="s">
        <v>45</v>
      </c>
      <c r="F549" s="6" t="s">
        <v>46</v>
      </c>
      <c r="G549" s="6" t="s">
        <v>47</v>
      </c>
      <c r="H549" s="8">
        <v>2759</v>
      </c>
      <c r="I549" s="8">
        <f t="shared" si="34"/>
        <v>193.13000000000002</v>
      </c>
      <c r="J549" s="8">
        <f t="shared" si="35"/>
        <v>2565.87</v>
      </c>
      <c r="K549" s="8">
        <v>20366</v>
      </c>
      <c r="L549" s="6">
        <v>2</v>
      </c>
      <c r="M549" s="22" t="str" cm="1">
        <f t="array" ref="M549">_xlfn.IFS(L549&gt;10,"Veteran",L549&gt;=6,"Experienced",L549&gt;=2,"Developing",L549&gt;=0,"New")</f>
        <v>Developing</v>
      </c>
    </row>
    <row r="550" spans="1:13">
      <c r="A550" s="21" t="str">
        <f t="shared" ca="1" si="32"/>
        <v>Sa-Sal-2024-549</v>
      </c>
      <c r="B550" s="6">
        <v>43</v>
      </c>
      <c r="C550" s="6" t="str">
        <f t="shared" si="33"/>
        <v>40-49</v>
      </c>
      <c r="D550" s="6" t="s">
        <v>43</v>
      </c>
      <c r="E550" s="6" t="s">
        <v>37</v>
      </c>
      <c r="F550" s="6" t="s">
        <v>46</v>
      </c>
      <c r="G550" s="6" t="s">
        <v>40</v>
      </c>
      <c r="H550" s="8">
        <v>6804</v>
      </c>
      <c r="I550" s="8">
        <f t="shared" si="34"/>
        <v>1020.5999999999999</v>
      </c>
      <c r="J550" s="8">
        <f t="shared" si="35"/>
        <v>5783.4</v>
      </c>
      <c r="K550" s="8">
        <v>23683</v>
      </c>
      <c r="L550" s="6">
        <v>2</v>
      </c>
      <c r="M550" s="22" t="str" cm="1">
        <f t="array" ref="M550">_xlfn.IFS(L550&gt;10,"Veteran",L550&gt;=6,"Experienced",L550&gt;=2,"Developing",L550&gt;=0,"New")</f>
        <v>Developing</v>
      </c>
    </row>
    <row r="551" spans="1:13">
      <c r="A551" s="21" t="str">
        <f t="shared" ca="1" si="32"/>
        <v>He-Res-2021-550</v>
      </c>
      <c r="B551" s="6">
        <v>34</v>
      </c>
      <c r="C551" s="6" t="str">
        <f t="shared" si="33"/>
        <v>30-39</v>
      </c>
      <c r="D551" s="6" t="s">
        <v>43</v>
      </c>
      <c r="E551" s="6" t="s">
        <v>45</v>
      </c>
      <c r="F551" s="6" t="s">
        <v>39</v>
      </c>
      <c r="G551" s="6" t="s">
        <v>54</v>
      </c>
      <c r="H551" s="8">
        <v>6142</v>
      </c>
      <c r="I551" s="8">
        <f t="shared" si="34"/>
        <v>921.3</v>
      </c>
      <c r="J551" s="8">
        <f t="shared" si="35"/>
        <v>5220.7</v>
      </c>
      <c r="K551" s="8">
        <v>7360</v>
      </c>
      <c r="L551" s="6">
        <v>5</v>
      </c>
      <c r="M551" s="22" t="str" cm="1">
        <f t="array" ref="M551">_xlfn.IFS(L551&gt;10,"Veteran",L551&gt;=6,"Experienced",L551&gt;=2,"Developing",L551&gt;=0,"New")</f>
        <v>Developing</v>
      </c>
    </row>
    <row r="552" spans="1:13">
      <c r="A552" s="21" t="str">
        <f t="shared" ca="1" si="32"/>
        <v>La-Res-2022-551</v>
      </c>
      <c r="B552" s="6">
        <v>23</v>
      </c>
      <c r="C552" s="6" t="str">
        <f t="shared" si="33"/>
        <v>20-29</v>
      </c>
      <c r="D552" s="6" t="s">
        <v>43</v>
      </c>
      <c r="E552" s="6" t="s">
        <v>45</v>
      </c>
      <c r="F552" s="6" t="s">
        <v>46</v>
      </c>
      <c r="G552" s="6" t="s">
        <v>50</v>
      </c>
      <c r="H552" s="8">
        <v>2500</v>
      </c>
      <c r="I552" s="8">
        <f t="shared" si="34"/>
        <v>175.00000000000003</v>
      </c>
      <c r="J552" s="8">
        <f t="shared" si="35"/>
        <v>2325</v>
      </c>
      <c r="K552" s="8">
        <v>4344</v>
      </c>
      <c r="L552" s="6">
        <v>4</v>
      </c>
      <c r="M552" s="22" t="str" cm="1">
        <f t="array" ref="M552">_xlfn.IFS(L552&gt;10,"Veteran",L552&gt;=6,"Experienced",L552&gt;=2,"Developing",L552&gt;=0,"New")</f>
        <v>Developing</v>
      </c>
    </row>
    <row r="553" spans="1:13">
      <c r="A553" s="21" t="str">
        <f t="shared" ca="1" si="32"/>
        <v>Hu-Hum-2018-552</v>
      </c>
      <c r="B553" s="6">
        <v>39</v>
      </c>
      <c r="C553" s="6" t="str">
        <f t="shared" si="33"/>
        <v>30-39</v>
      </c>
      <c r="D553" s="6" t="s">
        <v>43</v>
      </c>
      <c r="E553" s="6" t="s">
        <v>61</v>
      </c>
      <c r="F553" s="6" t="s">
        <v>39</v>
      </c>
      <c r="G553" s="6" t="s">
        <v>61</v>
      </c>
      <c r="H553" s="8">
        <v>6389</v>
      </c>
      <c r="I553" s="8">
        <f t="shared" si="34"/>
        <v>958.34999999999991</v>
      </c>
      <c r="J553" s="8">
        <f t="shared" si="35"/>
        <v>5430.65</v>
      </c>
      <c r="K553" s="8">
        <v>18767</v>
      </c>
      <c r="L553" s="6">
        <v>8</v>
      </c>
      <c r="M553" s="22" t="str" cm="1">
        <f t="array" ref="M553">_xlfn.IFS(L553&gt;10,"Veteran",L553&gt;=6,"Experienced",L553&gt;=2,"Developing",L553&gt;=0,"New")</f>
        <v>Experienced</v>
      </c>
    </row>
    <row r="554" spans="1:13">
      <c r="A554" s="21" t="str">
        <f t="shared" ca="1" si="32"/>
        <v>He-Res-2016-553</v>
      </c>
      <c r="B554" s="6">
        <v>56</v>
      </c>
      <c r="C554" s="6" t="str">
        <f t="shared" si="33"/>
        <v>50+</v>
      </c>
      <c r="D554" s="6" t="s">
        <v>43</v>
      </c>
      <c r="E554" s="6" t="s">
        <v>45</v>
      </c>
      <c r="F554" s="6" t="s">
        <v>46</v>
      </c>
      <c r="G554" s="6" t="s">
        <v>54</v>
      </c>
      <c r="H554" s="8">
        <v>11103</v>
      </c>
      <c r="I554" s="8">
        <f t="shared" si="34"/>
        <v>2442.66</v>
      </c>
      <c r="J554" s="8">
        <f t="shared" si="35"/>
        <v>8660.34</v>
      </c>
      <c r="K554" s="8">
        <v>20420</v>
      </c>
      <c r="L554" s="6">
        <v>10</v>
      </c>
      <c r="M554" s="22" t="str" cm="1">
        <f t="array" ref="M554">_xlfn.IFS(L554&gt;10,"Veteran",L554&gt;=6,"Experienced",L554&gt;=2,"Developing",L554&gt;=0,"New")</f>
        <v>Experienced</v>
      </c>
    </row>
    <row r="555" spans="1:13">
      <c r="A555" s="21" t="str">
        <f t="shared" ca="1" si="32"/>
        <v>Re-Res-2022-554</v>
      </c>
      <c r="B555" s="6">
        <v>40</v>
      </c>
      <c r="C555" s="6" t="str">
        <f t="shared" si="33"/>
        <v>40-49</v>
      </c>
      <c r="D555" s="6" t="s">
        <v>43</v>
      </c>
      <c r="E555" s="6" t="s">
        <v>45</v>
      </c>
      <c r="F555" s="6" t="s">
        <v>39</v>
      </c>
      <c r="G555" s="6" t="s">
        <v>47</v>
      </c>
      <c r="H555" s="8">
        <v>2342</v>
      </c>
      <c r="I555" s="8">
        <f t="shared" si="34"/>
        <v>163.94000000000003</v>
      </c>
      <c r="J555" s="8">
        <f t="shared" si="35"/>
        <v>2178.06</v>
      </c>
      <c r="K555" s="8">
        <v>22929</v>
      </c>
      <c r="L555" s="6">
        <v>4</v>
      </c>
      <c r="M555" s="22" t="str" cm="1">
        <f t="array" ref="M555">_xlfn.IFS(L555&gt;10,"Veteran",L555&gt;=6,"Experienced",L555&gt;=2,"Developing",L555&gt;=0,"New")</f>
        <v>Developing</v>
      </c>
    </row>
    <row r="556" spans="1:13">
      <c r="A556" s="21" t="str">
        <f t="shared" ca="1" si="32"/>
        <v>He-Res-2019-555</v>
      </c>
      <c r="B556" s="6">
        <v>27</v>
      </c>
      <c r="C556" s="6" t="str">
        <f t="shared" si="33"/>
        <v>20-29</v>
      </c>
      <c r="D556" s="6" t="s">
        <v>43</v>
      </c>
      <c r="E556" s="6" t="s">
        <v>45</v>
      </c>
      <c r="F556" s="6" t="s">
        <v>39</v>
      </c>
      <c r="G556" s="6" t="s">
        <v>54</v>
      </c>
      <c r="H556" s="8">
        <v>6811</v>
      </c>
      <c r="I556" s="8">
        <f t="shared" si="34"/>
        <v>1021.65</v>
      </c>
      <c r="J556" s="8">
        <f t="shared" si="35"/>
        <v>5789.35</v>
      </c>
      <c r="K556" s="8">
        <v>23398</v>
      </c>
      <c r="L556" s="6">
        <v>7</v>
      </c>
      <c r="M556" s="22" t="str" cm="1">
        <f t="array" ref="M556">_xlfn.IFS(L556&gt;10,"Veteran",L556&gt;=6,"Experienced",L556&gt;=2,"Developing",L556&gt;=0,"New")</f>
        <v>Experienced</v>
      </c>
    </row>
    <row r="557" spans="1:13">
      <c r="A557" s="21" t="str">
        <f t="shared" ca="1" si="32"/>
        <v>Sa-Sal-2024-556</v>
      </c>
      <c r="B557" s="6">
        <v>29</v>
      </c>
      <c r="C557" s="6" t="str">
        <f t="shared" si="33"/>
        <v>20-29</v>
      </c>
      <c r="D557" s="6" t="s">
        <v>43</v>
      </c>
      <c r="E557" s="6" t="s">
        <v>37</v>
      </c>
      <c r="F557" s="6" t="s">
        <v>46</v>
      </c>
      <c r="G557" s="6" t="s">
        <v>57</v>
      </c>
      <c r="H557" s="8">
        <v>2297</v>
      </c>
      <c r="I557" s="8">
        <f t="shared" si="34"/>
        <v>160.79000000000002</v>
      </c>
      <c r="J557" s="8">
        <f t="shared" si="35"/>
        <v>2136.21</v>
      </c>
      <c r="K557" s="8">
        <v>17967</v>
      </c>
      <c r="L557" s="6">
        <v>2</v>
      </c>
      <c r="M557" s="22" t="str" cm="1">
        <f t="array" ref="M557">_xlfn.IFS(L557&gt;10,"Veteran",L557&gt;=6,"Experienced",L557&gt;=2,"Developing",L557&gt;=0,"New")</f>
        <v>Developing</v>
      </c>
    </row>
    <row r="558" spans="1:13">
      <c r="A558" s="21" t="str">
        <f t="shared" ca="1" si="32"/>
        <v>La-Res-2024-557</v>
      </c>
      <c r="B558" s="6">
        <v>53</v>
      </c>
      <c r="C558" s="6" t="str">
        <f t="shared" si="33"/>
        <v>50+</v>
      </c>
      <c r="D558" s="6" t="s">
        <v>43</v>
      </c>
      <c r="E558" s="6" t="s">
        <v>45</v>
      </c>
      <c r="F558" s="6" t="s">
        <v>46</v>
      </c>
      <c r="G558" s="6" t="s">
        <v>50</v>
      </c>
      <c r="H558" s="8">
        <v>2450</v>
      </c>
      <c r="I558" s="8">
        <f t="shared" si="34"/>
        <v>171.50000000000003</v>
      </c>
      <c r="J558" s="8">
        <f t="shared" si="35"/>
        <v>2278.5</v>
      </c>
      <c r="K558" s="8">
        <v>10919</v>
      </c>
      <c r="L558" s="6">
        <v>2</v>
      </c>
      <c r="M558" s="22" t="str" cm="1">
        <f t="array" ref="M558">_xlfn.IFS(L558&gt;10,"Veteran",L558&gt;=6,"Experienced",L558&gt;=2,"Developing",L558&gt;=0,"New")</f>
        <v>Developing</v>
      </c>
    </row>
    <row r="559" spans="1:13">
      <c r="A559" s="21" t="str">
        <f t="shared" ca="1" si="32"/>
        <v>He-Res-2025-558</v>
      </c>
      <c r="B559" s="6">
        <v>35</v>
      </c>
      <c r="C559" s="6" t="str">
        <f t="shared" si="33"/>
        <v>30-39</v>
      </c>
      <c r="D559" s="6" t="s">
        <v>43</v>
      </c>
      <c r="E559" s="6" t="s">
        <v>45</v>
      </c>
      <c r="F559" s="6" t="s">
        <v>39</v>
      </c>
      <c r="G559" s="6" t="s">
        <v>54</v>
      </c>
      <c r="H559" s="8">
        <v>5093</v>
      </c>
      <c r="I559" s="8">
        <f t="shared" si="34"/>
        <v>763.94999999999993</v>
      </c>
      <c r="J559" s="8">
        <f t="shared" si="35"/>
        <v>4329.05</v>
      </c>
      <c r="K559" s="8">
        <v>4761</v>
      </c>
      <c r="L559" s="6">
        <v>1</v>
      </c>
      <c r="M559" s="22" t="str" cm="1">
        <f t="array" ref="M559">_xlfn.IFS(L559&gt;10,"Veteran",L559&gt;=6,"Experienced",L559&gt;=2,"Developing",L559&gt;=0,"New")</f>
        <v>New</v>
      </c>
    </row>
    <row r="560" spans="1:13">
      <c r="A560" s="21" t="str">
        <f t="shared" ca="1" si="32"/>
        <v>La-Res-2016-559</v>
      </c>
      <c r="B560" s="6">
        <v>32</v>
      </c>
      <c r="C560" s="6" t="str">
        <f t="shared" si="33"/>
        <v>30-39</v>
      </c>
      <c r="D560" s="6" t="s">
        <v>43</v>
      </c>
      <c r="E560" s="6" t="s">
        <v>45</v>
      </c>
      <c r="F560" s="6" t="s">
        <v>46</v>
      </c>
      <c r="G560" s="6" t="s">
        <v>50</v>
      </c>
      <c r="H560" s="8">
        <v>5309</v>
      </c>
      <c r="I560" s="8">
        <f t="shared" si="34"/>
        <v>796.35</v>
      </c>
      <c r="J560" s="8">
        <f t="shared" si="35"/>
        <v>4512.6499999999996</v>
      </c>
      <c r="K560" s="8">
        <v>21146</v>
      </c>
      <c r="L560" s="6">
        <v>10</v>
      </c>
      <c r="M560" s="22" t="str" cm="1">
        <f t="array" ref="M560">_xlfn.IFS(L560&gt;10,"Veteran",L560&gt;=6,"Experienced",L560&gt;=2,"Developing",L560&gt;=0,"New")</f>
        <v>Experienced</v>
      </c>
    </row>
    <row r="561" spans="1:13">
      <c r="A561" s="21" t="str">
        <f t="shared" ca="1" si="32"/>
        <v>Re-Res-2025-560</v>
      </c>
      <c r="B561" s="6">
        <v>38</v>
      </c>
      <c r="C561" s="6" t="str">
        <f t="shared" si="33"/>
        <v>30-39</v>
      </c>
      <c r="D561" s="6" t="s">
        <v>43</v>
      </c>
      <c r="E561" s="6" t="s">
        <v>45</v>
      </c>
      <c r="F561" s="6" t="s">
        <v>46</v>
      </c>
      <c r="G561" s="6" t="s">
        <v>47</v>
      </c>
      <c r="H561" s="8">
        <v>3057</v>
      </c>
      <c r="I561" s="8">
        <f t="shared" si="34"/>
        <v>458.55</v>
      </c>
      <c r="J561" s="8">
        <f t="shared" si="35"/>
        <v>2598.4499999999998</v>
      </c>
      <c r="K561" s="8">
        <v>20471</v>
      </c>
      <c r="L561" s="6">
        <v>1</v>
      </c>
      <c r="M561" s="22" t="str" cm="1">
        <f t="array" ref="M561">_xlfn.IFS(L561&gt;10,"Veteran",L561&gt;=6,"Experienced",L561&gt;=2,"Developing",L561&gt;=0,"New")</f>
        <v>New</v>
      </c>
    </row>
    <row r="562" spans="1:13">
      <c r="A562" s="21" t="str">
        <f t="shared" ca="1" si="32"/>
        <v>Ma-Res-2026-561</v>
      </c>
      <c r="B562" s="6">
        <v>34</v>
      </c>
      <c r="C562" s="6" t="str">
        <f t="shared" si="33"/>
        <v>30-39</v>
      </c>
      <c r="D562" s="6" t="s">
        <v>43</v>
      </c>
      <c r="E562" s="6" t="s">
        <v>45</v>
      </c>
      <c r="F562" s="6" t="s">
        <v>39</v>
      </c>
      <c r="G562" s="6" t="s">
        <v>53</v>
      </c>
      <c r="H562" s="8">
        <v>5121</v>
      </c>
      <c r="I562" s="8">
        <f t="shared" si="34"/>
        <v>768.15</v>
      </c>
      <c r="J562" s="8">
        <f t="shared" si="35"/>
        <v>4352.8500000000004</v>
      </c>
      <c r="K562" s="8">
        <v>4187</v>
      </c>
      <c r="L562" s="6">
        <v>0</v>
      </c>
      <c r="M562" s="22" t="str" cm="1">
        <f t="array" ref="M562">_xlfn.IFS(L562&gt;10,"Veteran",L562&gt;=6,"Experienced",L562&gt;=2,"Developing",L562&gt;=0,"New")</f>
        <v>New</v>
      </c>
    </row>
    <row r="563" spans="1:13">
      <c r="A563" s="21" t="str">
        <f t="shared" ca="1" si="32"/>
        <v>Ma-Sal-1992-562</v>
      </c>
      <c r="B563" s="6">
        <v>52</v>
      </c>
      <c r="C563" s="6" t="str">
        <f t="shared" si="33"/>
        <v>50+</v>
      </c>
      <c r="D563" s="6" t="s">
        <v>43</v>
      </c>
      <c r="E563" s="6" t="s">
        <v>37</v>
      </c>
      <c r="F563" s="6" t="s">
        <v>46</v>
      </c>
      <c r="G563" s="6" t="s">
        <v>56</v>
      </c>
      <c r="H563" s="8">
        <v>16856</v>
      </c>
      <c r="I563" s="8">
        <f t="shared" si="34"/>
        <v>5056.8</v>
      </c>
      <c r="J563" s="8">
        <f t="shared" si="35"/>
        <v>11799.2</v>
      </c>
      <c r="K563" s="8">
        <v>10084</v>
      </c>
      <c r="L563" s="6">
        <v>34</v>
      </c>
      <c r="M563" s="22" t="str" cm="1">
        <f t="array" ref="M563">_xlfn.IFS(L563&gt;10,"Veteran",L563&gt;=6,"Experienced",L563&gt;=2,"Developing",L563&gt;=0,"New")</f>
        <v>Veteran</v>
      </c>
    </row>
    <row r="564" spans="1:13">
      <c r="A564" s="21" t="str">
        <f t="shared" ca="1" si="32"/>
        <v>Re-Res-2016-563</v>
      </c>
      <c r="B564" s="6">
        <v>33</v>
      </c>
      <c r="C564" s="6" t="str">
        <f t="shared" si="33"/>
        <v>30-39</v>
      </c>
      <c r="D564" s="6" t="s">
        <v>35</v>
      </c>
      <c r="E564" s="6" t="s">
        <v>45</v>
      </c>
      <c r="F564" s="6" t="s">
        <v>46</v>
      </c>
      <c r="G564" s="6" t="s">
        <v>47</v>
      </c>
      <c r="H564" s="8">
        <v>2686</v>
      </c>
      <c r="I564" s="8">
        <f t="shared" si="34"/>
        <v>188.02</v>
      </c>
      <c r="J564" s="8">
        <f t="shared" si="35"/>
        <v>2497.98</v>
      </c>
      <c r="K564" s="8">
        <v>5207</v>
      </c>
      <c r="L564" s="6">
        <v>10</v>
      </c>
      <c r="M564" s="22" t="str" cm="1">
        <f t="array" ref="M564">_xlfn.IFS(L564&gt;10,"Veteran",L564&gt;=6,"Experienced",L564&gt;=2,"Developing",L564&gt;=0,"New")</f>
        <v>Experienced</v>
      </c>
    </row>
    <row r="565" spans="1:13">
      <c r="A565" s="21" t="str">
        <f t="shared" ca="1" si="32"/>
        <v>Sa-Sal-2020-564</v>
      </c>
      <c r="B565" s="6">
        <v>25</v>
      </c>
      <c r="C565" s="6" t="str">
        <f t="shared" si="33"/>
        <v>20-29</v>
      </c>
      <c r="D565" s="6" t="s">
        <v>43</v>
      </c>
      <c r="E565" s="6" t="s">
        <v>37</v>
      </c>
      <c r="F565" s="6" t="s">
        <v>39</v>
      </c>
      <c r="G565" s="6" t="s">
        <v>40</v>
      </c>
      <c r="H565" s="8">
        <v>6180</v>
      </c>
      <c r="I565" s="8">
        <f t="shared" si="34"/>
        <v>927</v>
      </c>
      <c r="J565" s="8">
        <f t="shared" si="35"/>
        <v>5253</v>
      </c>
      <c r="K565" s="8">
        <v>22807</v>
      </c>
      <c r="L565" s="6">
        <v>6</v>
      </c>
      <c r="M565" s="22" t="str" cm="1">
        <f t="array" ref="M565">_xlfn.IFS(L565&gt;10,"Veteran",L565&gt;=6,"Experienced",L565&gt;=2,"Developing",L565&gt;=0,"New")</f>
        <v>Experienced</v>
      </c>
    </row>
    <row r="566" spans="1:13">
      <c r="A566" s="21" t="str">
        <f t="shared" ca="1" si="32"/>
        <v>Sa-Sal-2018-565</v>
      </c>
      <c r="B566" s="6">
        <v>45</v>
      </c>
      <c r="C566" s="6" t="str">
        <f t="shared" si="33"/>
        <v>40-49</v>
      </c>
      <c r="D566" s="6" t="s">
        <v>43</v>
      </c>
      <c r="E566" s="6" t="s">
        <v>37</v>
      </c>
      <c r="F566" s="6" t="s">
        <v>46</v>
      </c>
      <c r="G566" s="6" t="s">
        <v>57</v>
      </c>
      <c r="H566" s="8">
        <v>6632</v>
      </c>
      <c r="I566" s="8">
        <f t="shared" si="34"/>
        <v>994.8</v>
      </c>
      <c r="J566" s="8">
        <f t="shared" si="35"/>
        <v>5637.2</v>
      </c>
      <c r="K566" s="8">
        <v>12388</v>
      </c>
      <c r="L566" s="6">
        <v>8</v>
      </c>
      <c r="M566" s="22" t="str" cm="1">
        <f t="array" ref="M566">_xlfn.IFS(L566&gt;10,"Veteran",L566&gt;=6,"Experienced",L566&gt;=2,"Developing",L566&gt;=0,"New")</f>
        <v>Experienced</v>
      </c>
    </row>
    <row r="567" spans="1:13">
      <c r="A567" s="21" t="str">
        <f t="shared" ca="1" si="32"/>
        <v>Re-Res-2024-566</v>
      </c>
      <c r="B567" s="6">
        <v>23</v>
      </c>
      <c r="C567" s="6" t="str">
        <f t="shared" si="33"/>
        <v>20-29</v>
      </c>
      <c r="D567" s="6" t="s">
        <v>43</v>
      </c>
      <c r="E567" s="6" t="s">
        <v>45</v>
      </c>
      <c r="F567" s="6" t="s">
        <v>46</v>
      </c>
      <c r="G567" s="6" t="s">
        <v>47</v>
      </c>
      <c r="H567" s="8">
        <v>3505</v>
      </c>
      <c r="I567" s="8">
        <f t="shared" si="34"/>
        <v>525.75</v>
      </c>
      <c r="J567" s="8">
        <f t="shared" si="35"/>
        <v>2979.25</v>
      </c>
      <c r="K567" s="8">
        <v>19630</v>
      </c>
      <c r="L567" s="6">
        <v>2</v>
      </c>
      <c r="M567" s="22" t="str" cm="1">
        <f t="array" ref="M567">_xlfn.IFS(L567&gt;10,"Veteran",L567&gt;=6,"Experienced",L567&gt;=2,"Developing",L567&gt;=0,"New")</f>
        <v>Developing</v>
      </c>
    </row>
    <row r="568" spans="1:13">
      <c r="A568" s="21" t="str">
        <f t="shared" ca="1" si="32"/>
        <v>Sa-Sal-2021-567</v>
      </c>
      <c r="B568" s="6">
        <v>47</v>
      </c>
      <c r="C568" s="6" t="str">
        <f t="shared" si="33"/>
        <v>40-49</v>
      </c>
      <c r="D568" s="6" t="s">
        <v>35</v>
      </c>
      <c r="E568" s="6" t="s">
        <v>37</v>
      </c>
      <c r="F568" s="6" t="s">
        <v>39</v>
      </c>
      <c r="G568" s="6" t="s">
        <v>40</v>
      </c>
      <c r="H568" s="8">
        <v>6397</v>
      </c>
      <c r="I568" s="8">
        <f t="shared" si="34"/>
        <v>959.55</v>
      </c>
      <c r="J568" s="8">
        <f t="shared" si="35"/>
        <v>5437.45</v>
      </c>
      <c r="K568" s="8">
        <v>10339</v>
      </c>
      <c r="L568" s="6">
        <v>5</v>
      </c>
      <c r="M568" s="22" t="str" cm="1">
        <f t="array" ref="M568">_xlfn.IFS(L568&gt;10,"Veteran",L568&gt;=6,"Experienced",L568&gt;=2,"Developing",L568&gt;=0,"New")</f>
        <v>Developing</v>
      </c>
    </row>
    <row r="569" spans="1:13">
      <c r="A569" s="21" t="str">
        <f t="shared" ca="1" si="32"/>
        <v>Sa-Sal-2020-568</v>
      </c>
      <c r="B569" s="6">
        <v>34</v>
      </c>
      <c r="C569" s="6" t="str">
        <f t="shared" si="33"/>
        <v>30-39</v>
      </c>
      <c r="D569" s="6" t="s">
        <v>43</v>
      </c>
      <c r="E569" s="6" t="s">
        <v>37</v>
      </c>
      <c r="F569" s="6" t="s">
        <v>46</v>
      </c>
      <c r="G569" s="6" t="s">
        <v>40</v>
      </c>
      <c r="H569" s="8">
        <v>6274</v>
      </c>
      <c r="I569" s="8">
        <f t="shared" si="34"/>
        <v>941.09999999999991</v>
      </c>
      <c r="J569" s="8">
        <f t="shared" si="35"/>
        <v>5332.9</v>
      </c>
      <c r="K569" s="8">
        <v>18686</v>
      </c>
      <c r="L569" s="6">
        <v>6</v>
      </c>
      <c r="M569" s="22" t="str" cm="1">
        <f t="array" ref="M569">_xlfn.IFS(L569&gt;10,"Veteran",L569&gt;=6,"Experienced",L569&gt;=2,"Developing",L569&gt;=0,"New")</f>
        <v>Experienced</v>
      </c>
    </row>
    <row r="570" spans="1:13">
      <c r="A570" s="21" t="str">
        <f t="shared" ca="1" si="32"/>
        <v>Ma-Res-2021-569</v>
      </c>
      <c r="B570" s="6">
        <v>55</v>
      </c>
      <c r="C570" s="6" t="str">
        <f t="shared" si="33"/>
        <v>50+</v>
      </c>
      <c r="D570" s="6" t="s">
        <v>35</v>
      </c>
      <c r="E570" s="6" t="s">
        <v>45</v>
      </c>
      <c r="F570" s="6" t="s">
        <v>46</v>
      </c>
      <c r="G570" s="6" t="s">
        <v>56</v>
      </c>
      <c r="H570" s="8">
        <v>19859</v>
      </c>
      <c r="I570" s="8">
        <f t="shared" si="34"/>
        <v>5957.7</v>
      </c>
      <c r="J570" s="8">
        <f t="shared" si="35"/>
        <v>13901.3</v>
      </c>
      <c r="K570" s="8">
        <v>21199</v>
      </c>
      <c r="L570" s="6">
        <v>5</v>
      </c>
      <c r="M570" s="22" t="str" cm="1">
        <f t="array" ref="M570">_xlfn.IFS(L570&gt;10,"Veteran",L570&gt;=6,"Experienced",L570&gt;=2,"Developing",L570&gt;=0,"New")</f>
        <v>Developing</v>
      </c>
    </row>
    <row r="571" spans="1:13">
      <c r="A571" s="21" t="str">
        <f t="shared" ca="1" si="32"/>
        <v>Sa-Sal-2016-570</v>
      </c>
      <c r="B571" s="6">
        <v>36</v>
      </c>
      <c r="C571" s="6" t="str">
        <f t="shared" si="33"/>
        <v>30-39</v>
      </c>
      <c r="D571" s="6" t="s">
        <v>43</v>
      </c>
      <c r="E571" s="6" t="s">
        <v>37</v>
      </c>
      <c r="F571" s="6" t="s">
        <v>46</v>
      </c>
      <c r="G571" s="6" t="s">
        <v>40</v>
      </c>
      <c r="H571" s="8">
        <v>7587</v>
      </c>
      <c r="I571" s="8">
        <f t="shared" si="34"/>
        <v>1669.14</v>
      </c>
      <c r="J571" s="8">
        <f t="shared" si="35"/>
        <v>5917.86</v>
      </c>
      <c r="K571" s="8">
        <v>14229</v>
      </c>
      <c r="L571" s="6">
        <v>10</v>
      </c>
      <c r="M571" s="22" t="str" cm="1">
        <f t="array" ref="M571">_xlfn.IFS(L571&gt;10,"Veteran",L571&gt;=6,"Experienced",L571&gt;=2,"Developing",L571&gt;=0,"New")</f>
        <v>Experienced</v>
      </c>
    </row>
    <row r="572" spans="1:13">
      <c r="A572" s="21" t="str">
        <f t="shared" ca="1" si="32"/>
        <v>Re-Res-2022-571</v>
      </c>
      <c r="B572" s="6">
        <v>52</v>
      </c>
      <c r="C572" s="6" t="str">
        <f t="shared" si="33"/>
        <v>50+</v>
      </c>
      <c r="D572" s="6" t="s">
        <v>43</v>
      </c>
      <c r="E572" s="6" t="s">
        <v>45</v>
      </c>
      <c r="F572" s="6" t="s">
        <v>46</v>
      </c>
      <c r="G572" s="6" t="s">
        <v>47</v>
      </c>
      <c r="H572" s="8">
        <v>4258</v>
      </c>
      <c r="I572" s="8">
        <f t="shared" si="34"/>
        <v>638.69999999999993</v>
      </c>
      <c r="J572" s="8">
        <f t="shared" si="35"/>
        <v>3619.3</v>
      </c>
      <c r="K572" s="8">
        <v>26589</v>
      </c>
      <c r="L572" s="6">
        <v>4</v>
      </c>
      <c r="M572" s="22" t="str" cm="1">
        <f t="array" ref="M572">_xlfn.IFS(L572&gt;10,"Veteran",L572&gt;=6,"Experienced",L572&gt;=2,"Developing",L572&gt;=0,"New")</f>
        <v>Developing</v>
      </c>
    </row>
    <row r="573" spans="1:13">
      <c r="A573" s="21" t="str">
        <f t="shared" ca="1" si="32"/>
        <v>La-Res-2024-572</v>
      </c>
      <c r="B573" s="6">
        <v>26</v>
      </c>
      <c r="C573" s="6" t="str">
        <f t="shared" si="33"/>
        <v>20-29</v>
      </c>
      <c r="D573" s="6" t="s">
        <v>43</v>
      </c>
      <c r="E573" s="6" t="s">
        <v>45</v>
      </c>
      <c r="F573" s="6" t="s">
        <v>39</v>
      </c>
      <c r="G573" s="6" t="s">
        <v>50</v>
      </c>
      <c r="H573" s="8">
        <v>4364</v>
      </c>
      <c r="I573" s="8">
        <f t="shared" si="34"/>
        <v>654.6</v>
      </c>
      <c r="J573" s="8">
        <f t="shared" si="35"/>
        <v>3709.4</v>
      </c>
      <c r="K573" s="8">
        <v>5288</v>
      </c>
      <c r="L573" s="6">
        <v>2</v>
      </c>
      <c r="M573" s="22" t="str" cm="1">
        <f t="array" ref="M573">_xlfn.IFS(L573&gt;10,"Veteran",L573&gt;=6,"Experienced",L573&gt;=2,"Developing",L573&gt;=0,"New")</f>
        <v>Developing</v>
      </c>
    </row>
    <row r="574" spans="1:13">
      <c r="A574" s="21" t="str">
        <f t="shared" ca="1" si="32"/>
        <v>He-Res-2018-573</v>
      </c>
      <c r="B574" s="6">
        <v>29</v>
      </c>
      <c r="C574" s="6" t="str">
        <f t="shared" si="33"/>
        <v>20-29</v>
      </c>
      <c r="D574" s="6" t="s">
        <v>43</v>
      </c>
      <c r="E574" s="6" t="s">
        <v>45</v>
      </c>
      <c r="F574" s="6" t="s">
        <v>39</v>
      </c>
      <c r="G574" s="6" t="s">
        <v>54</v>
      </c>
      <c r="H574" s="8">
        <v>4335</v>
      </c>
      <c r="I574" s="8">
        <f t="shared" si="34"/>
        <v>650.25</v>
      </c>
      <c r="J574" s="8">
        <f t="shared" si="35"/>
        <v>3684.75</v>
      </c>
      <c r="K574" s="8">
        <v>25549</v>
      </c>
      <c r="L574" s="6">
        <v>8</v>
      </c>
      <c r="M574" s="22" t="str" cm="1">
        <f t="array" ref="M574">_xlfn.IFS(L574&gt;10,"Veteran",L574&gt;=6,"Experienced",L574&gt;=2,"Developing",L574&gt;=0,"New")</f>
        <v>Experienced</v>
      </c>
    </row>
    <row r="575" spans="1:13">
      <c r="A575" s="21" t="str">
        <f t="shared" ca="1" si="32"/>
        <v>Sa-Sal-2022-574</v>
      </c>
      <c r="B575" s="6">
        <v>26</v>
      </c>
      <c r="C575" s="6" t="str">
        <f t="shared" si="33"/>
        <v>20-29</v>
      </c>
      <c r="D575" s="6" t="s">
        <v>35</v>
      </c>
      <c r="E575" s="6" t="s">
        <v>37</v>
      </c>
      <c r="F575" s="6" t="s">
        <v>46</v>
      </c>
      <c r="G575" s="6" t="s">
        <v>40</v>
      </c>
      <c r="H575" s="8">
        <v>5326</v>
      </c>
      <c r="I575" s="8">
        <f t="shared" si="34"/>
        <v>798.9</v>
      </c>
      <c r="J575" s="8">
        <f t="shared" si="35"/>
        <v>4527.1000000000004</v>
      </c>
      <c r="K575" s="8">
        <v>3064</v>
      </c>
      <c r="L575" s="6">
        <v>4</v>
      </c>
      <c r="M575" s="22" t="str" cm="1">
        <f t="array" ref="M575">_xlfn.IFS(L575&gt;10,"Veteran",L575&gt;=6,"Experienced",L575&gt;=2,"Developing",L575&gt;=0,"New")</f>
        <v>Developing</v>
      </c>
    </row>
    <row r="576" spans="1:13">
      <c r="A576" s="21" t="str">
        <f t="shared" ca="1" si="32"/>
        <v>Re-Res-2022-575</v>
      </c>
      <c r="B576" s="6">
        <v>34</v>
      </c>
      <c r="C576" s="6" t="str">
        <f t="shared" si="33"/>
        <v>30-39</v>
      </c>
      <c r="D576" s="6" t="s">
        <v>43</v>
      </c>
      <c r="E576" s="6" t="s">
        <v>45</v>
      </c>
      <c r="F576" s="6" t="s">
        <v>39</v>
      </c>
      <c r="G576" s="6" t="s">
        <v>47</v>
      </c>
      <c r="H576" s="8">
        <v>3280</v>
      </c>
      <c r="I576" s="8">
        <f t="shared" si="34"/>
        <v>492</v>
      </c>
      <c r="J576" s="8">
        <f t="shared" si="35"/>
        <v>2788</v>
      </c>
      <c r="K576" s="8">
        <v>13551</v>
      </c>
      <c r="L576" s="6">
        <v>4</v>
      </c>
      <c r="M576" s="22" t="str" cm="1">
        <f t="array" ref="M576">_xlfn.IFS(L576&gt;10,"Veteran",L576&gt;=6,"Experienced",L576&gt;=2,"Developing",L576&gt;=0,"New")</f>
        <v>Developing</v>
      </c>
    </row>
    <row r="577" spans="1:13">
      <c r="A577" s="21" t="str">
        <f t="shared" ca="1" si="32"/>
        <v>Ma-Res-2021-576</v>
      </c>
      <c r="B577" s="6">
        <v>54</v>
      </c>
      <c r="C577" s="6" t="str">
        <f t="shared" si="33"/>
        <v>50+</v>
      </c>
      <c r="D577" s="6" t="s">
        <v>43</v>
      </c>
      <c r="E577" s="6" t="s">
        <v>45</v>
      </c>
      <c r="F577" s="6" t="s">
        <v>39</v>
      </c>
      <c r="G577" s="6" t="s">
        <v>53</v>
      </c>
      <c r="H577" s="8">
        <v>5485</v>
      </c>
      <c r="I577" s="8">
        <f t="shared" si="34"/>
        <v>822.75</v>
      </c>
      <c r="J577" s="8">
        <f t="shared" si="35"/>
        <v>4662.25</v>
      </c>
      <c r="K577" s="8">
        <v>22670</v>
      </c>
      <c r="L577" s="6">
        <v>5</v>
      </c>
      <c r="M577" s="22" t="str" cm="1">
        <f t="array" ref="M577">_xlfn.IFS(L577&gt;10,"Veteran",L577&gt;=6,"Experienced",L577&gt;=2,"Developing",L577&gt;=0,"New")</f>
        <v>Developing</v>
      </c>
    </row>
    <row r="578" spans="1:13">
      <c r="A578" s="21" t="str">
        <f t="shared" ca="1" si="32"/>
        <v>Sa-Sal-2022-577</v>
      </c>
      <c r="B578" s="6">
        <v>27</v>
      </c>
      <c r="C578" s="6" t="str">
        <f t="shared" si="33"/>
        <v>20-29</v>
      </c>
      <c r="D578" s="6" t="s">
        <v>43</v>
      </c>
      <c r="E578" s="6" t="s">
        <v>37</v>
      </c>
      <c r="F578" s="6" t="s">
        <v>46</v>
      </c>
      <c r="G578" s="6" t="s">
        <v>40</v>
      </c>
      <c r="H578" s="8">
        <v>4342</v>
      </c>
      <c r="I578" s="8">
        <f t="shared" si="34"/>
        <v>651.29999999999995</v>
      </c>
      <c r="J578" s="8">
        <f t="shared" si="35"/>
        <v>3690.7</v>
      </c>
      <c r="K578" s="8">
        <v>24008</v>
      </c>
      <c r="L578" s="6">
        <v>4</v>
      </c>
      <c r="M578" s="22" t="str" cm="1">
        <f t="array" ref="M578">_xlfn.IFS(L578&gt;10,"Veteran",L578&gt;=6,"Experienced",L578&gt;=2,"Developing",L578&gt;=0,"New")</f>
        <v>Developing</v>
      </c>
    </row>
    <row r="579" spans="1:13">
      <c r="A579" s="21" t="str">
        <f t="shared" ref="A579:A642" ca="1" si="36">LEFT(G579,2)&amp;"-"&amp;LEFT(E579,3)&amp;"-"&amp;YEAR(TODAY())-L579&amp;"-"&amp;TEXT(ROW()-1,"000")</f>
        <v>Re-Res-2021-578</v>
      </c>
      <c r="B579" s="6">
        <v>37</v>
      </c>
      <c r="C579" s="6" t="str">
        <f t="shared" ref="C579:C642" si="37">IF(B579&lt;=29,"20-29",IF(B579&lt;=39,"30-39",IF(B579&lt;=49,"40-49","50+")))</f>
        <v>30-39</v>
      </c>
      <c r="D579" s="6" t="s">
        <v>43</v>
      </c>
      <c r="E579" s="6" t="s">
        <v>45</v>
      </c>
      <c r="F579" s="6" t="s">
        <v>39</v>
      </c>
      <c r="G579" s="6" t="s">
        <v>47</v>
      </c>
      <c r="H579" s="8">
        <v>2782</v>
      </c>
      <c r="I579" s="8">
        <f t="shared" ref="I579:I642" si="38">IF(H579&gt;13000,H579*30%,IF(H579&gt;7000,H579*22%,IF(H579&gt;3000,H579*15%,H579*7%)))</f>
        <v>194.74</v>
      </c>
      <c r="J579" s="8">
        <f t="shared" ref="J579:J642" si="39">H579-I579</f>
        <v>2587.2600000000002</v>
      </c>
      <c r="K579" s="8">
        <v>19905</v>
      </c>
      <c r="L579" s="6">
        <v>5</v>
      </c>
      <c r="M579" s="22" t="str" cm="1">
        <f t="array" ref="M579">_xlfn.IFS(L579&gt;10,"Veteran",L579&gt;=6,"Experienced",L579&gt;=2,"Developing",L579&gt;=0,"New")</f>
        <v>Developing</v>
      </c>
    </row>
    <row r="580" spans="1:13">
      <c r="A580" s="21" t="str">
        <f t="shared" ca="1" si="36"/>
        <v>Ma-Res-2011-579</v>
      </c>
      <c r="B580" s="6">
        <v>38</v>
      </c>
      <c r="C580" s="6" t="str">
        <f t="shared" si="37"/>
        <v>30-39</v>
      </c>
      <c r="D580" s="6" t="s">
        <v>43</v>
      </c>
      <c r="E580" s="6" t="s">
        <v>45</v>
      </c>
      <c r="F580" s="6" t="s">
        <v>39</v>
      </c>
      <c r="G580" s="6" t="s">
        <v>53</v>
      </c>
      <c r="H580" s="8">
        <v>5980</v>
      </c>
      <c r="I580" s="8">
        <f t="shared" si="38"/>
        <v>897</v>
      </c>
      <c r="J580" s="8">
        <f t="shared" si="39"/>
        <v>5083</v>
      </c>
      <c r="K580" s="8">
        <v>26085</v>
      </c>
      <c r="L580" s="6">
        <v>15</v>
      </c>
      <c r="M580" s="22" t="str" cm="1">
        <f t="array" ref="M580">_xlfn.IFS(L580&gt;10,"Veteran",L580&gt;=6,"Experienced",L580&gt;=2,"Developing",L580&gt;=0,"New")</f>
        <v>Veteran</v>
      </c>
    </row>
    <row r="581" spans="1:13">
      <c r="A581" s="21" t="str">
        <f t="shared" ca="1" si="36"/>
        <v>Re-Res-2020-580</v>
      </c>
      <c r="B581" s="6">
        <v>34</v>
      </c>
      <c r="C581" s="6" t="str">
        <f t="shared" si="37"/>
        <v>30-39</v>
      </c>
      <c r="D581" s="6" t="s">
        <v>43</v>
      </c>
      <c r="E581" s="6" t="s">
        <v>45</v>
      </c>
      <c r="F581" s="6" t="s">
        <v>39</v>
      </c>
      <c r="G581" s="6" t="s">
        <v>47</v>
      </c>
      <c r="H581" s="8">
        <v>4381</v>
      </c>
      <c r="I581" s="8">
        <f t="shared" si="38"/>
        <v>657.15</v>
      </c>
      <c r="J581" s="8">
        <f t="shared" si="39"/>
        <v>3723.85</v>
      </c>
      <c r="K581" s="8">
        <v>7530</v>
      </c>
      <c r="L581" s="6">
        <v>6</v>
      </c>
      <c r="M581" s="22" t="str" cm="1">
        <f t="array" ref="M581">_xlfn.IFS(L581&gt;10,"Veteran",L581&gt;=6,"Experienced",L581&gt;=2,"Developing",L581&gt;=0,"New")</f>
        <v>Experienced</v>
      </c>
    </row>
    <row r="582" spans="1:13">
      <c r="A582" s="21" t="str">
        <f t="shared" ca="1" si="36"/>
        <v>Sa-Sal-2023-581</v>
      </c>
      <c r="B582" s="6">
        <v>35</v>
      </c>
      <c r="C582" s="6" t="str">
        <f t="shared" si="37"/>
        <v>30-39</v>
      </c>
      <c r="D582" s="6" t="s">
        <v>43</v>
      </c>
      <c r="E582" s="6" t="s">
        <v>37</v>
      </c>
      <c r="F582" s="6" t="s">
        <v>39</v>
      </c>
      <c r="G582" s="6" t="s">
        <v>57</v>
      </c>
      <c r="H582" s="8">
        <v>2572</v>
      </c>
      <c r="I582" s="8">
        <f t="shared" si="38"/>
        <v>180.04000000000002</v>
      </c>
      <c r="J582" s="8">
        <f t="shared" si="39"/>
        <v>2391.96</v>
      </c>
      <c r="K582" s="8">
        <v>20317</v>
      </c>
      <c r="L582" s="6">
        <v>3</v>
      </c>
      <c r="M582" s="22" t="str" cm="1">
        <f t="array" ref="M582">_xlfn.IFS(L582&gt;10,"Veteran",L582&gt;=6,"Experienced",L582&gt;=2,"Developing",L582&gt;=0,"New")</f>
        <v>Developing</v>
      </c>
    </row>
    <row r="583" spans="1:13">
      <c r="A583" s="21" t="str">
        <f t="shared" ca="1" si="36"/>
        <v>La-Res-2024-582</v>
      </c>
      <c r="B583" s="6">
        <v>30</v>
      </c>
      <c r="C583" s="6" t="str">
        <f t="shared" si="37"/>
        <v>30-39</v>
      </c>
      <c r="D583" s="6" t="s">
        <v>43</v>
      </c>
      <c r="E583" s="6" t="s">
        <v>45</v>
      </c>
      <c r="F583" s="6" t="s">
        <v>46</v>
      </c>
      <c r="G583" s="6" t="s">
        <v>50</v>
      </c>
      <c r="H583" s="8">
        <v>3833</v>
      </c>
      <c r="I583" s="8">
        <f t="shared" si="38"/>
        <v>574.94999999999993</v>
      </c>
      <c r="J583" s="8">
        <f t="shared" si="39"/>
        <v>3258.05</v>
      </c>
      <c r="K583" s="8">
        <v>24375</v>
      </c>
      <c r="L583" s="6">
        <v>2</v>
      </c>
      <c r="M583" s="22" t="str" cm="1">
        <f t="array" ref="M583">_xlfn.IFS(L583&gt;10,"Veteran",L583&gt;=6,"Experienced",L583&gt;=2,"Developing",L583&gt;=0,"New")</f>
        <v>Developing</v>
      </c>
    </row>
    <row r="584" spans="1:13">
      <c r="A584" s="21" t="str">
        <f t="shared" ca="1" si="36"/>
        <v>He-Res-2018-583</v>
      </c>
      <c r="B584" s="6">
        <v>40</v>
      </c>
      <c r="C584" s="6" t="str">
        <f t="shared" si="37"/>
        <v>40-49</v>
      </c>
      <c r="D584" s="6" t="s">
        <v>43</v>
      </c>
      <c r="E584" s="6" t="s">
        <v>45</v>
      </c>
      <c r="F584" s="6" t="s">
        <v>39</v>
      </c>
      <c r="G584" s="6" t="s">
        <v>54</v>
      </c>
      <c r="H584" s="8">
        <v>4244</v>
      </c>
      <c r="I584" s="8">
        <f t="shared" si="38"/>
        <v>636.6</v>
      </c>
      <c r="J584" s="8">
        <f t="shared" si="39"/>
        <v>3607.4</v>
      </c>
      <c r="K584" s="8">
        <v>9931</v>
      </c>
      <c r="L584" s="6">
        <v>8</v>
      </c>
      <c r="M584" s="22" t="str" cm="1">
        <f t="array" ref="M584">_xlfn.IFS(L584&gt;10,"Veteran",L584&gt;=6,"Experienced",L584&gt;=2,"Developing",L584&gt;=0,"New")</f>
        <v>Experienced</v>
      </c>
    </row>
    <row r="585" spans="1:13">
      <c r="A585" s="21" t="str">
        <f t="shared" ca="1" si="36"/>
        <v>Sa-Sal-2023-584</v>
      </c>
      <c r="B585" s="6">
        <v>34</v>
      </c>
      <c r="C585" s="6" t="str">
        <f t="shared" si="37"/>
        <v>30-39</v>
      </c>
      <c r="D585" s="6" t="s">
        <v>43</v>
      </c>
      <c r="E585" s="6" t="s">
        <v>37</v>
      </c>
      <c r="F585" s="6" t="s">
        <v>39</v>
      </c>
      <c r="G585" s="6" t="s">
        <v>40</v>
      </c>
      <c r="H585" s="8">
        <v>6500</v>
      </c>
      <c r="I585" s="8">
        <f t="shared" si="38"/>
        <v>975</v>
      </c>
      <c r="J585" s="8">
        <f t="shared" si="39"/>
        <v>5525</v>
      </c>
      <c r="K585" s="8">
        <v>13305</v>
      </c>
      <c r="L585" s="6">
        <v>3</v>
      </c>
      <c r="M585" s="22" t="str" cm="1">
        <f t="array" ref="M585">_xlfn.IFS(L585&gt;10,"Veteran",L585&gt;=6,"Experienced",L585&gt;=2,"Developing",L585&gt;=0,"New")</f>
        <v>Developing</v>
      </c>
    </row>
    <row r="586" spans="1:13">
      <c r="A586" s="21" t="str">
        <f t="shared" ca="1" si="36"/>
        <v>Ma-Res-2002-585</v>
      </c>
      <c r="B586" s="6">
        <v>42</v>
      </c>
      <c r="C586" s="6" t="str">
        <f t="shared" si="37"/>
        <v>40-49</v>
      </c>
      <c r="D586" s="6" t="s">
        <v>43</v>
      </c>
      <c r="E586" s="6" t="s">
        <v>45</v>
      </c>
      <c r="F586" s="6" t="s">
        <v>46</v>
      </c>
      <c r="G586" s="6" t="s">
        <v>56</v>
      </c>
      <c r="H586" s="8">
        <v>18430</v>
      </c>
      <c r="I586" s="8">
        <f t="shared" si="38"/>
        <v>5529</v>
      </c>
      <c r="J586" s="8">
        <f t="shared" si="39"/>
        <v>12901</v>
      </c>
      <c r="K586" s="8">
        <v>16225</v>
      </c>
      <c r="L586" s="6">
        <v>24</v>
      </c>
      <c r="M586" s="22" t="str" cm="1">
        <f t="array" ref="M586">_xlfn.IFS(L586&gt;10,"Veteran",L586&gt;=6,"Experienced",L586&gt;=2,"Developing",L586&gt;=0,"New")</f>
        <v>Veteran</v>
      </c>
    </row>
    <row r="587" spans="1:13">
      <c r="A587" s="21" t="str">
        <f t="shared" ca="1" si="36"/>
        <v>La-Res-2026-586</v>
      </c>
      <c r="B587" s="6">
        <v>23</v>
      </c>
      <c r="C587" s="6" t="str">
        <f t="shared" si="37"/>
        <v>20-29</v>
      </c>
      <c r="D587" s="6" t="s">
        <v>35</v>
      </c>
      <c r="E587" s="6" t="s">
        <v>45</v>
      </c>
      <c r="F587" s="6" t="s">
        <v>46</v>
      </c>
      <c r="G587" s="6" t="s">
        <v>50</v>
      </c>
      <c r="H587" s="8">
        <v>1601</v>
      </c>
      <c r="I587" s="8">
        <f t="shared" si="38"/>
        <v>112.07000000000001</v>
      </c>
      <c r="J587" s="8">
        <f t="shared" si="39"/>
        <v>1488.93</v>
      </c>
      <c r="K587" s="8">
        <v>3445</v>
      </c>
      <c r="L587" s="6">
        <v>0</v>
      </c>
      <c r="M587" s="22" t="str" cm="1">
        <f t="array" ref="M587">_xlfn.IFS(L587&gt;10,"Veteran",L587&gt;=6,"Experienced",L587&gt;=2,"Developing",L587&gt;=0,"New")</f>
        <v>New</v>
      </c>
    </row>
    <row r="588" spans="1:13">
      <c r="A588" s="21" t="str">
        <f t="shared" ca="1" si="36"/>
        <v>La-Res-2025-587</v>
      </c>
      <c r="B588" s="6">
        <v>24</v>
      </c>
      <c r="C588" s="6" t="str">
        <f t="shared" si="37"/>
        <v>20-29</v>
      </c>
      <c r="D588" s="6" t="s">
        <v>43</v>
      </c>
      <c r="E588" s="6" t="s">
        <v>45</v>
      </c>
      <c r="F588" s="6" t="s">
        <v>46</v>
      </c>
      <c r="G588" s="6" t="s">
        <v>50</v>
      </c>
      <c r="H588" s="8">
        <v>2694</v>
      </c>
      <c r="I588" s="8">
        <f t="shared" si="38"/>
        <v>188.58</v>
      </c>
      <c r="J588" s="8">
        <f t="shared" si="39"/>
        <v>2505.42</v>
      </c>
      <c r="K588" s="8">
        <v>26551</v>
      </c>
      <c r="L588" s="6">
        <v>1</v>
      </c>
      <c r="M588" s="22" t="str" cm="1">
        <f t="array" ref="M588">_xlfn.IFS(L588&gt;10,"Veteran",L588&gt;=6,"Experienced",L588&gt;=2,"Developing",L588&gt;=0,"New")</f>
        <v>New</v>
      </c>
    </row>
    <row r="589" spans="1:13">
      <c r="A589" s="21" t="str">
        <f t="shared" ca="1" si="36"/>
        <v>La-Res-2021-588</v>
      </c>
      <c r="B589" s="6">
        <v>52</v>
      </c>
      <c r="C589" s="6" t="str">
        <f t="shared" si="37"/>
        <v>50+</v>
      </c>
      <c r="D589" s="6" t="s">
        <v>43</v>
      </c>
      <c r="E589" s="6" t="s">
        <v>45</v>
      </c>
      <c r="F589" s="6" t="s">
        <v>39</v>
      </c>
      <c r="G589" s="6" t="s">
        <v>50</v>
      </c>
      <c r="H589" s="8">
        <v>3149</v>
      </c>
      <c r="I589" s="8">
        <f t="shared" si="38"/>
        <v>472.34999999999997</v>
      </c>
      <c r="J589" s="8">
        <f t="shared" si="39"/>
        <v>2676.65</v>
      </c>
      <c r="K589" s="8">
        <v>21821</v>
      </c>
      <c r="L589" s="6">
        <v>5</v>
      </c>
      <c r="M589" s="22" t="str" cm="1">
        <f t="array" ref="M589">_xlfn.IFS(L589&gt;10,"Veteran",L589&gt;=6,"Experienced",L589&gt;=2,"Developing",L589&gt;=0,"New")</f>
        <v>Developing</v>
      </c>
    </row>
    <row r="590" spans="1:13">
      <c r="A590" s="21" t="str">
        <f t="shared" ca="1" si="36"/>
        <v>Re-Res-2022-589</v>
      </c>
      <c r="B590" s="6">
        <v>50</v>
      </c>
      <c r="C590" s="6" t="str">
        <f t="shared" si="37"/>
        <v>50+</v>
      </c>
      <c r="D590" s="6" t="s">
        <v>43</v>
      </c>
      <c r="E590" s="6" t="s">
        <v>45</v>
      </c>
      <c r="F590" s="6" t="s">
        <v>46</v>
      </c>
      <c r="G590" s="6" t="s">
        <v>58</v>
      </c>
      <c r="H590" s="8">
        <v>17639</v>
      </c>
      <c r="I590" s="8">
        <f t="shared" si="38"/>
        <v>5291.7</v>
      </c>
      <c r="J590" s="8">
        <f t="shared" si="39"/>
        <v>12347.3</v>
      </c>
      <c r="K590" s="8">
        <v>6881</v>
      </c>
      <c r="L590" s="6">
        <v>4</v>
      </c>
      <c r="M590" s="22" t="str" cm="1">
        <f t="array" ref="M590">_xlfn.IFS(L590&gt;10,"Veteran",L590&gt;=6,"Experienced",L590&gt;=2,"Developing",L590&gt;=0,"New")</f>
        <v>Developing</v>
      </c>
    </row>
    <row r="591" spans="1:13">
      <c r="A591" s="21" t="str">
        <f t="shared" ca="1" si="36"/>
        <v>La-Res-2025-590</v>
      </c>
      <c r="B591" s="6">
        <v>29</v>
      </c>
      <c r="C591" s="6" t="str">
        <f t="shared" si="37"/>
        <v>20-29</v>
      </c>
      <c r="D591" s="6" t="s">
        <v>35</v>
      </c>
      <c r="E591" s="6" t="s">
        <v>45</v>
      </c>
      <c r="F591" s="6" t="s">
        <v>39</v>
      </c>
      <c r="G591" s="6" t="s">
        <v>50</v>
      </c>
      <c r="H591" s="8">
        <v>2319</v>
      </c>
      <c r="I591" s="8">
        <f t="shared" si="38"/>
        <v>162.33000000000001</v>
      </c>
      <c r="J591" s="8">
        <f t="shared" si="39"/>
        <v>2156.67</v>
      </c>
      <c r="K591" s="8">
        <v>6689</v>
      </c>
      <c r="L591" s="6">
        <v>1</v>
      </c>
      <c r="M591" s="22" t="str" cm="1">
        <f t="array" ref="M591">_xlfn.IFS(L591&gt;10,"Veteran",L591&gt;=6,"Experienced",L591&gt;=2,"Developing",L591&gt;=0,"New")</f>
        <v>New</v>
      </c>
    </row>
    <row r="592" spans="1:13">
      <c r="A592" s="21" t="str">
        <f t="shared" ca="1" si="36"/>
        <v>Re-Res-2013-591</v>
      </c>
      <c r="B592" s="6">
        <v>33</v>
      </c>
      <c r="C592" s="6" t="str">
        <f t="shared" si="37"/>
        <v>30-39</v>
      </c>
      <c r="D592" s="6" t="s">
        <v>43</v>
      </c>
      <c r="E592" s="6" t="s">
        <v>45</v>
      </c>
      <c r="F592" s="6" t="s">
        <v>46</v>
      </c>
      <c r="G592" s="6" t="s">
        <v>58</v>
      </c>
      <c r="H592" s="8">
        <v>11691</v>
      </c>
      <c r="I592" s="8">
        <f t="shared" si="38"/>
        <v>2572.02</v>
      </c>
      <c r="J592" s="8">
        <f t="shared" si="39"/>
        <v>9118.98</v>
      </c>
      <c r="K592" s="8">
        <v>25995</v>
      </c>
      <c r="L592" s="6">
        <v>13</v>
      </c>
      <c r="M592" s="22" t="str" cm="1">
        <f t="array" ref="M592">_xlfn.IFS(L592&gt;10,"Veteran",L592&gt;=6,"Experienced",L592&gt;=2,"Developing",L592&gt;=0,"New")</f>
        <v>Veteran</v>
      </c>
    </row>
    <row r="593" spans="1:13">
      <c r="A593" s="21" t="str">
        <f t="shared" ca="1" si="36"/>
        <v>Sa-Sal-2023-592</v>
      </c>
      <c r="B593" s="6">
        <v>33</v>
      </c>
      <c r="C593" s="6" t="str">
        <f t="shared" si="37"/>
        <v>30-39</v>
      </c>
      <c r="D593" s="6" t="s">
        <v>35</v>
      </c>
      <c r="E593" s="6" t="s">
        <v>37</v>
      </c>
      <c r="F593" s="6" t="s">
        <v>39</v>
      </c>
      <c r="G593" s="6" t="s">
        <v>40</v>
      </c>
      <c r="H593" s="8">
        <v>5324</v>
      </c>
      <c r="I593" s="8">
        <f t="shared" si="38"/>
        <v>798.6</v>
      </c>
      <c r="J593" s="8">
        <f t="shared" si="39"/>
        <v>4525.3999999999996</v>
      </c>
      <c r="K593" s="8">
        <v>26507</v>
      </c>
      <c r="L593" s="6">
        <v>3</v>
      </c>
      <c r="M593" s="22" t="str" cm="1">
        <f t="array" ref="M593">_xlfn.IFS(L593&gt;10,"Veteran",L593&gt;=6,"Experienced",L593&gt;=2,"Developing",L593&gt;=0,"New")</f>
        <v>Developing</v>
      </c>
    </row>
    <row r="594" spans="1:13">
      <c r="A594" s="21" t="str">
        <f t="shared" ca="1" si="36"/>
        <v>Ma-Res-2000-593</v>
      </c>
      <c r="B594" s="6">
        <v>47</v>
      </c>
      <c r="C594" s="6" t="str">
        <f t="shared" si="37"/>
        <v>40-49</v>
      </c>
      <c r="D594" s="6" t="s">
        <v>43</v>
      </c>
      <c r="E594" s="6" t="s">
        <v>45</v>
      </c>
      <c r="F594" s="6" t="s">
        <v>39</v>
      </c>
      <c r="G594" s="6" t="s">
        <v>56</v>
      </c>
      <c r="H594" s="8">
        <v>16752</v>
      </c>
      <c r="I594" s="8">
        <f t="shared" si="38"/>
        <v>5025.5999999999995</v>
      </c>
      <c r="J594" s="8">
        <f t="shared" si="39"/>
        <v>11726.400000000001</v>
      </c>
      <c r="K594" s="8">
        <v>12982</v>
      </c>
      <c r="L594" s="6">
        <v>26</v>
      </c>
      <c r="M594" s="22" t="str" cm="1">
        <f t="array" ref="M594">_xlfn.IFS(L594&gt;10,"Veteran",L594&gt;=6,"Experienced",L594&gt;=2,"Developing",L594&gt;=0,"New")</f>
        <v>Veteran</v>
      </c>
    </row>
    <row r="595" spans="1:13">
      <c r="A595" s="21" t="str">
        <f t="shared" ca="1" si="36"/>
        <v>Ma-Res-2017-594</v>
      </c>
      <c r="B595" s="6">
        <v>36</v>
      </c>
      <c r="C595" s="6" t="str">
        <f t="shared" si="37"/>
        <v>30-39</v>
      </c>
      <c r="D595" s="6" t="s">
        <v>43</v>
      </c>
      <c r="E595" s="6" t="s">
        <v>45</v>
      </c>
      <c r="F595" s="6" t="s">
        <v>39</v>
      </c>
      <c r="G595" s="6" t="s">
        <v>53</v>
      </c>
      <c r="H595" s="8">
        <v>5228</v>
      </c>
      <c r="I595" s="8">
        <f t="shared" si="38"/>
        <v>784.19999999999993</v>
      </c>
      <c r="J595" s="8">
        <f t="shared" si="39"/>
        <v>4443.8</v>
      </c>
      <c r="K595" s="8">
        <v>23361</v>
      </c>
      <c r="L595" s="6">
        <v>9</v>
      </c>
      <c r="M595" s="22" t="str" cm="1">
        <f t="array" ref="M595">_xlfn.IFS(L595&gt;10,"Veteran",L595&gt;=6,"Experienced",L595&gt;=2,"Developing",L595&gt;=0,"New")</f>
        <v>Experienced</v>
      </c>
    </row>
    <row r="596" spans="1:13">
      <c r="A596" s="21" t="str">
        <f t="shared" ca="1" si="36"/>
        <v>Re-Res-2016-595</v>
      </c>
      <c r="B596" s="6">
        <v>29</v>
      </c>
      <c r="C596" s="6" t="str">
        <f t="shared" si="37"/>
        <v>20-29</v>
      </c>
      <c r="D596" s="6" t="s">
        <v>43</v>
      </c>
      <c r="E596" s="6" t="s">
        <v>45</v>
      </c>
      <c r="F596" s="6" t="s">
        <v>46</v>
      </c>
      <c r="G596" s="6" t="s">
        <v>47</v>
      </c>
      <c r="H596" s="8">
        <v>2700</v>
      </c>
      <c r="I596" s="8">
        <f t="shared" si="38"/>
        <v>189.00000000000003</v>
      </c>
      <c r="J596" s="8">
        <f t="shared" si="39"/>
        <v>2511</v>
      </c>
      <c r="K596" s="8">
        <v>23779</v>
      </c>
      <c r="L596" s="6">
        <v>10</v>
      </c>
      <c r="M596" s="22" t="str" cm="1">
        <f t="array" ref="M596">_xlfn.IFS(L596&gt;10,"Veteran",L596&gt;=6,"Experienced",L596&gt;=2,"Developing",L596&gt;=0,"New")</f>
        <v>Experienced</v>
      </c>
    </row>
    <row r="597" spans="1:13">
      <c r="A597" s="21" t="str">
        <f t="shared" ca="1" si="36"/>
        <v>Re-Res-1995-596</v>
      </c>
      <c r="B597" s="6">
        <v>58</v>
      </c>
      <c r="C597" s="6" t="str">
        <f t="shared" si="37"/>
        <v>50+</v>
      </c>
      <c r="D597" s="6" t="s">
        <v>35</v>
      </c>
      <c r="E597" s="6" t="s">
        <v>45</v>
      </c>
      <c r="F597" s="6" t="s">
        <v>46</v>
      </c>
      <c r="G597" s="6" t="s">
        <v>58</v>
      </c>
      <c r="H597" s="8">
        <v>19246</v>
      </c>
      <c r="I597" s="8">
        <f t="shared" si="38"/>
        <v>5773.8</v>
      </c>
      <c r="J597" s="8">
        <f t="shared" si="39"/>
        <v>13472.2</v>
      </c>
      <c r="K597" s="8">
        <v>25761</v>
      </c>
      <c r="L597" s="6">
        <v>31</v>
      </c>
      <c r="M597" s="22" t="str" cm="1">
        <f t="array" ref="M597">_xlfn.IFS(L597&gt;10,"Veteran",L597&gt;=6,"Experienced",L597&gt;=2,"Developing",L597&gt;=0,"New")</f>
        <v>Veteran</v>
      </c>
    </row>
    <row r="598" spans="1:13">
      <c r="A598" s="21" t="str">
        <f t="shared" ca="1" si="36"/>
        <v>Re-Res-2024-597</v>
      </c>
      <c r="B598" s="6">
        <v>35</v>
      </c>
      <c r="C598" s="6" t="str">
        <f t="shared" si="37"/>
        <v>30-39</v>
      </c>
      <c r="D598" s="6" t="s">
        <v>43</v>
      </c>
      <c r="E598" s="6" t="s">
        <v>45</v>
      </c>
      <c r="F598" s="6" t="s">
        <v>39</v>
      </c>
      <c r="G598" s="6" t="s">
        <v>47</v>
      </c>
      <c r="H598" s="8">
        <v>2506</v>
      </c>
      <c r="I598" s="8">
        <f t="shared" si="38"/>
        <v>175.42000000000002</v>
      </c>
      <c r="J598" s="8">
        <f t="shared" si="39"/>
        <v>2330.58</v>
      </c>
      <c r="K598" s="8">
        <v>13301</v>
      </c>
      <c r="L598" s="6">
        <v>2</v>
      </c>
      <c r="M598" s="22" t="str" cm="1">
        <f t="array" ref="M598">_xlfn.IFS(L598&gt;10,"Veteran",L598&gt;=6,"Experienced",L598&gt;=2,"Developing",L598&gt;=0,"New")</f>
        <v>Developing</v>
      </c>
    </row>
    <row r="599" spans="1:13">
      <c r="A599" s="21" t="str">
        <f t="shared" ca="1" si="36"/>
        <v>Ma-Res-2022-598</v>
      </c>
      <c r="B599" s="6">
        <v>42</v>
      </c>
      <c r="C599" s="6" t="str">
        <f t="shared" si="37"/>
        <v>40-49</v>
      </c>
      <c r="D599" s="6" t="s">
        <v>43</v>
      </c>
      <c r="E599" s="6" t="s">
        <v>45</v>
      </c>
      <c r="F599" s="6" t="s">
        <v>39</v>
      </c>
      <c r="G599" s="6" t="s">
        <v>53</v>
      </c>
      <c r="H599" s="8">
        <v>6062</v>
      </c>
      <c r="I599" s="8">
        <f t="shared" si="38"/>
        <v>909.3</v>
      </c>
      <c r="J599" s="8">
        <f t="shared" si="39"/>
        <v>5152.7</v>
      </c>
      <c r="K599" s="8">
        <v>4051</v>
      </c>
      <c r="L599" s="6">
        <v>4</v>
      </c>
      <c r="M599" s="22" t="str" cm="1">
        <f t="array" ref="M599">_xlfn.IFS(L599&gt;10,"Veteran",L599&gt;=6,"Experienced",L599&gt;=2,"Developing",L599&gt;=0,"New")</f>
        <v>Developing</v>
      </c>
    </row>
    <row r="600" spans="1:13">
      <c r="A600" s="21" t="str">
        <f t="shared" ca="1" si="36"/>
        <v>Re-Res-2024-599</v>
      </c>
      <c r="B600" s="6">
        <v>28</v>
      </c>
      <c r="C600" s="6" t="str">
        <f t="shared" si="37"/>
        <v>20-29</v>
      </c>
      <c r="D600" s="6" t="s">
        <v>35</v>
      </c>
      <c r="E600" s="6" t="s">
        <v>45</v>
      </c>
      <c r="F600" s="6" t="s">
        <v>46</v>
      </c>
      <c r="G600" s="6" t="s">
        <v>47</v>
      </c>
      <c r="H600" s="8">
        <v>4382</v>
      </c>
      <c r="I600" s="8">
        <f t="shared" si="38"/>
        <v>657.3</v>
      </c>
      <c r="J600" s="8">
        <f t="shared" si="39"/>
        <v>3724.7</v>
      </c>
      <c r="K600" s="8">
        <v>16374</v>
      </c>
      <c r="L600" s="6">
        <v>2</v>
      </c>
      <c r="M600" s="22" t="str" cm="1">
        <f t="array" ref="M600">_xlfn.IFS(L600&gt;10,"Veteran",L600&gt;=6,"Experienced",L600&gt;=2,"Developing",L600&gt;=0,"New")</f>
        <v>Developing</v>
      </c>
    </row>
    <row r="601" spans="1:13">
      <c r="A601" s="21" t="str">
        <f t="shared" ca="1" si="36"/>
        <v>Hu-Hum-2021-600</v>
      </c>
      <c r="B601" s="6">
        <v>36</v>
      </c>
      <c r="C601" s="6" t="str">
        <f t="shared" si="37"/>
        <v>30-39</v>
      </c>
      <c r="D601" s="6" t="s">
        <v>43</v>
      </c>
      <c r="E601" s="6" t="s">
        <v>61</v>
      </c>
      <c r="F601" s="6" t="s">
        <v>46</v>
      </c>
      <c r="G601" s="6" t="s">
        <v>61</v>
      </c>
      <c r="H601" s="8">
        <v>2143</v>
      </c>
      <c r="I601" s="8">
        <f t="shared" si="38"/>
        <v>150.01000000000002</v>
      </c>
      <c r="J601" s="8">
        <f t="shared" si="39"/>
        <v>1992.99</v>
      </c>
      <c r="K601" s="8">
        <v>25527</v>
      </c>
      <c r="L601" s="6">
        <v>5</v>
      </c>
      <c r="M601" s="22" t="str" cm="1">
        <f t="array" ref="M601">_xlfn.IFS(L601&gt;10,"Veteran",L601&gt;=6,"Experienced",L601&gt;=2,"Developing",L601&gt;=0,"New")</f>
        <v>Developing</v>
      </c>
    </row>
    <row r="602" spans="1:13">
      <c r="A602" s="21" t="str">
        <f t="shared" ca="1" si="36"/>
        <v>Ma-Res-2012-601</v>
      </c>
      <c r="B602" s="6">
        <v>32</v>
      </c>
      <c r="C602" s="6" t="str">
        <f t="shared" si="37"/>
        <v>30-39</v>
      </c>
      <c r="D602" s="6" t="s">
        <v>43</v>
      </c>
      <c r="E602" s="6" t="s">
        <v>45</v>
      </c>
      <c r="F602" s="6" t="s">
        <v>39</v>
      </c>
      <c r="G602" s="6" t="s">
        <v>53</v>
      </c>
      <c r="H602" s="8">
        <v>6162</v>
      </c>
      <c r="I602" s="8">
        <f t="shared" si="38"/>
        <v>924.3</v>
      </c>
      <c r="J602" s="8">
        <f t="shared" si="39"/>
        <v>5237.7</v>
      </c>
      <c r="K602" s="8">
        <v>19124</v>
      </c>
      <c r="L602" s="6">
        <v>14</v>
      </c>
      <c r="M602" s="22" t="str" cm="1">
        <f t="array" ref="M602">_xlfn.IFS(L602&gt;10,"Veteran",L602&gt;=6,"Experienced",L602&gt;=2,"Developing",L602&gt;=0,"New")</f>
        <v>Veteran</v>
      </c>
    </row>
    <row r="603" spans="1:13">
      <c r="A603" s="21" t="str">
        <f t="shared" ca="1" si="36"/>
        <v>La-Res-2025-602</v>
      </c>
      <c r="B603" s="6">
        <v>40</v>
      </c>
      <c r="C603" s="6" t="str">
        <f t="shared" si="37"/>
        <v>40-49</v>
      </c>
      <c r="D603" s="6" t="s">
        <v>43</v>
      </c>
      <c r="E603" s="6" t="s">
        <v>45</v>
      </c>
      <c r="F603" s="6" t="s">
        <v>46</v>
      </c>
      <c r="G603" s="6" t="s">
        <v>50</v>
      </c>
      <c r="H603" s="8">
        <v>5094</v>
      </c>
      <c r="I603" s="8">
        <f t="shared" si="38"/>
        <v>764.1</v>
      </c>
      <c r="J603" s="8">
        <f t="shared" si="39"/>
        <v>4329.8999999999996</v>
      </c>
      <c r="K603" s="8">
        <v>11983</v>
      </c>
      <c r="L603" s="6">
        <v>1</v>
      </c>
      <c r="M603" s="22" t="str" cm="1">
        <f t="array" ref="M603">_xlfn.IFS(L603&gt;10,"Veteran",L603&gt;=6,"Experienced",L603&gt;=2,"Developing",L603&gt;=0,"New")</f>
        <v>New</v>
      </c>
    </row>
    <row r="604" spans="1:13">
      <c r="A604" s="21" t="str">
        <f t="shared" ca="1" si="36"/>
        <v>Ma-Res-2026-603</v>
      </c>
      <c r="B604" s="6">
        <v>30</v>
      </c>
      <c r="C604" s="6" t="str">
        <f t="shared" si="37"/>
        <v>30-39</v>
      </c>
      <c r="D604" s="6" t="s">
        <v>43</v>
      </c>
      <c r="E604" s="6" t="s">
        <v>45</v>
      </c>
      <c r="F604" s="6" t="s">
        <v>39</v>
      </c>
      <c r="G604" s="6" t="s">
        <v>53</v>
      </c>
      <c r="H604" s="8">
        <v>6877</v>
      </c>
      <c r="I604" s="8">
        <f t="shared" si="38"/>
        <v>1031.55</v>
      </c>
      <c r="J604" s="8">
        <f t="shared" si="39"/>
        <v>5845.45</v>
      </c>
      <c r="K604" s="8">
        <v>20234</v>
      </c>
      <c r="L604" s="6">
        <v>0</v>
      </c>
      <c r="M604" s="22" t="str" cm="1">
        <f t="array" ref="M604">_xlfn.IFS(L604&gt;10,"Veteran",L604&gt;=6,"Experienced",L604&gt;=2,"Developing",L604&gt;=0,"New")</f>
        <v>New</v>
      </c>
    </row>
    <row r="605" spans="1:13">
      <c r="A605" s="21" t="str">
        <f t="shared" ca="1" si="36"/>
        <v>Re-Res-2025-604</v>
      </c>
      <c r="B605" s="6">
        <v>45</v>
      </c>
      <c r="C605" s="6" t="str">
        <f t="shared" si="37"/>
        <v>40-49</v>
      </c>
      <c r="D605" s="6" t="s">
        <v>43</v>
      </c>
      <c r="E605" s="6" t="s">
        <v>45</v>
      </c>
      <c r="F605" s="6" t="s">
        <v>39</v>
      </c>
      <c r="G605" s="6" t="s">
        <v>47</v>
      </c>
      <c r="H605" s="8">
        <v>2274</v>
      </c>
      <c r="I605" s="8">
        <f t="shared" si="38"/>
        <v>159.18</v>
      </c>
      <c r="J605" s="8">
        <f t="shared" si="39"/>
        <v>2114.8200000000002</v>
      </c>
      <c r="K605" s="8">
        <v>6153</v>
      </c>
      <c r="L605" s="6">
        <v>1</v>
      </c>
      <c r="M605" s="22" t="str" cm="1">
        <f t="array" ref="M605">_xlfn.IFS(L605&gt;10,"Veteran",L605&gt;=6,"Experienced",L605&gt;=2,"Developing",L605&gt;=0,"New")</f>
        <v>New</v>
      </c>
    </row>
    <row r="606" spans="1:13">
      <c r="A606" s="21" t="str">
        <f t="shared" ca="1" si="36"/>
        <v>Ma-Res-2017-605</v>
      </c>
      <c r="B606" s="6">
        <v>42</v>
      </c>
      <c r="C606" s="6" t="str">
        <f t="shared" si="37"/>
        <v>40-49</v>
      </c>
      <c r="D606" s="6" t="s">
        <v>43</v>
      </c>
      <c r="E606" s="6" t="s">
        <v>45</v>
      </c>
      <c r="F606" s="6" t="s">
        <v>46</v>
      </c>
      <c r="G606" s="6" t="s">
        <v>53</v>
      </c>
      <c r="H606" s="8">
        <v>4434</v>
      </c>
      <c r="I606" s="8">
        <f t="shared" si="38"/>
        <v>665.1</v>
      </c>
      <c r="J606" s="8">
        <f t="shared" si="39"/>
        <v>3768.9</v>
      </c>
      <c r="K606" s="8">
        <v>11806</v>
      </c>
      <c r="L606" s="6">
        <v>9</v>
      </c>
      <c r="M606" s="22" t="str" cm="1">
        <f t="array" ref="M606">_xlfn.IFS(L606&gt;10,"Veteran",L606&gt;=6,"Experienced",L606&gt;=2,"Developing",L606&gt;=0,"New")</f>
        <v>Experienced</v>
      </c>
    </row>
    <row r="607" spans="1:13">
      <c r="A607" s="21" t="str">
        <f t="shared" ca="1" si="36"/>
        <v>He-Res-2022-606</v>
      </c>
      <c r="B607" s="6">
        <v>38</v>
      </c>
      <c r="C607" s="6" t="str">
        <f t="shared" si="37"/>
        <v>30-39</v>
      </c>
      <c r="D607" s="6" t="s">
        <v>43</v>
      </c>
      <c r="E607" s="6" t="s">
        <v>45</v>
      </c>
      <c r="F607" s="6" t="s">
        <v>46</v>
      </c>
      <c r="G607" s="6" t="s">
        <v>54</v>
      </c>
      <c r="H607" s="8">
        <v>6288</v>
      </c>
      <c r="I607" s="8">
        <f t="shared" si="38"/>
        <v>943.19999999999993</v>
      </c>
      <c r="J607" s="8">
        <f t="shared" si="39"/>
        <v>5344.8</v>
      </c>
      <c r="K607" s="8">
        <v>4284</v>
      </c>
      <c r="L607" s="6">
        <v>4</v>
      </c>
      <c r="M607" s="22" t="str" cm="1">
        <f t="array" ref="M607">_xlfn.IFS(L607&gt;10,"Veteran",L607&gt;=6,"Experienced",L607&gt;=2,"Developing",L607&gt;=0,"New")</f>
        <v>Developing</v>
      </c>
    </row>
    <row r="608" spans="1:13">
      <c r="A608" s="21" t="str">
        <f t="shared" ca="1" si="36"/>
        <v>Re-Res-2021-607</v>
      </c>
      <c r="B608" s="6">
        <v>34</v>
      </c>
      <c r="C608" s="6" t="str">
        <f t="shared" si="37"/>
        <v>30-39</v>
      </c>
      <c r="D608" s="6" t="s">
        <v>43</v>
      </c>
      <c r="E608" s="6" t="s">
        <v>45</v>
      </c>
      <c r="F608" s="6" t="s">
        <v>39</v>
      </c>
      <c r="G608" s="6" t="s">
        <v>47</v>
      </c>
      <c r="H608" s="8">
        <v>2553</v>
      </c>
      <c r="I608" s="8">
        <f t="shared" si="38"/>
        <v>178.71</v>
      </c>
      <c r="J608" s="8">
        <f t="shared" si="39"/>
        <v>2374.29</v>
      </c>
      <c r="K608" s="8">
        <v>8306</v>
      </c>
      <c r="L608" s="6">
        <v>5</v>
      </c>
      <c r="M608" s="22" t="str" cm="1">
        <f t="array" ref="M608">_xlfn.IFS(L608&gt;10,"Veteran",L608&gt;=6,"Experienced",L608&gt;=2,"Developing",L608&gt;=0,"New")</f>
        <v>Developing</v>
      </c>
    </row>
    <row r="609" spans="1:13">
      <c r="A609" s="21" t="str">
        <f t="shared" ca="1" si="36"/>
        <v>Sa-Sal-2017-608</v>
      </c>
      <c r="B609" s="6">
        <v>49</v>
      </c>
      <c r="C609" s="6" t="str">
        <f t="shared" si="37"/>
        <v>40-49</v>
      </c>
      <c r="D609" s="6" t="s">
        <v>35</v>
      </c>
      <c r="E609" s="6" t="s">
        <v>37</v>
      </c>
      <c r="F609" s="6" t="s">
        <v>39</v>
      </c>
      <c r="G609" s="6" t="s">
        <v>40</v>
      </c>
      <c r="H609" s="8">
        <v>7654</v>
      </c>
      <c r="I609" s="8">
        <f t="shared" si="38"/>
        <v>1683.88</v>
      </c>
      <c r="J609" s="8">
        <f t="shared" si="39"/>
        <v>5970.12</v>
      </c>
      <c r="K609" s="8">
        <v>5860</v>
      </c>
      <c r="L609" s="6">
        <v>9</v>
      </c>
      <c r="M609" s="22" t="str" cm="1">
        <f t="array" ref="M609">_xlfn.IFS(L609&gt;10,"Veteran",L609&gt;=6,"Experienced",L609&gt;=2,"Developing",L609&gt;=0,"New")</f>
        <v>Experienced</v>
      </c>
    </row>
    <row r="610" spans="1:13">
      <c r="A610" s="21" t="str">
        <f t="shared" ca="1" si="36"/>
        <v>Sa-Sal-2017-609</v>
      </c>
      <c r="B610" s="6">
        <v>55</v>
      </c>
      <c r="C610" s="6" t="str">
        <f t="shared" si="37"/>
        <v>50+</v>
      </c>
      <c r="D610" s="6" t="s">
        <v>35</v>
      </c>
      <c r="E610" s="6" t="s">
        <v>37</v>
      </c>
      <c r="F610" s="6" t="s">
        <v>46</v>
      </c>
      <c r="G610" s="6" t="s">
        <v>40</v>
      </c>
      <c r="H610" s="8">
        <v>5160</v>
      </c>
      <c r="I610" s="8">
        <f t="shared" si="38"/>
        <v>774</v>
      </c>
      <c r="J610" s="8">
        <f t="shared" si="39"/>
        <v>4386</v>
      </c>
      <c r="K610" s="8">
        <v>21519</v>
      </c>
      <c r="L610" s="6">
        <v>9</v>
      </c>
      <c r="M610" s="22" t="str" cm="1">
        <f t="array" ref="M610">_xlfn.IFS(L610&gt;10,"Veteran",L610&gt;=6,"Experienced",L610&gt;=2,"Developing",L610&gt;=0,"New")</f>
        <v>Experienced</v>
      </c>
    </row>
    <row r="611" spans="1:13">
      <c r="A611" s="21" t="str">
        <f t="shared" ca="1" si="36"/>
        <v>Re-Res-2022-610</v>
      </c>
      <c r="B611" s="6">
        <v>43</v>
      </c>
      <c r="C611" s="6" t="str">
        <f t="shared" si="37"/>
        <v>40-49</v>
      </c>
      <c r="D611" s="6" t="s">
        <v>43</v>
      </c>
      <c r="E611" s="6" t="s">
        <v>45</v>
      </c>
      <c r="F611" s="6" t="s">
        <v>46</v>
      </c>
      <c r="G611" s="6" t="s">
        <v>58</v>
      </c>
      <c r="H611" s="8">
        <v>17159</v>
      </c>
      <c r="I611" s="8">
        <f t="shared" si="38"/>
        <v>5147.7</v>
      </c>
      <c r="J611" s="8">
        <f t="shared" si="39"/>
        <v>12011.3</v>
      </c>
      <c r="K611" s="8">
        <v>5200</v>
      </c>
      <c r="L611" s="6">
        <v>4</v>
      </c>
      <c r="M611" s="22" t="str" cm="1">
        <f t="array" ref="M611">_xlfn.IFS(L611&gt;10,"Veteran",L611&gt;=6,"Experienced",L611&gt;=2,"Developing",L611&gt;=0,"New")</f>
        <v>Developing</v>
      </c>
    </row>
    <row r="612" spans="1:13">
      <c r="A612" s="21" t="str">
        <f t="shared" ca="1" si="36"/>
        <v>Re-Res-2017-611</v>
      </c>
      <c r="B612" s="6">
        <v>27</v>
      </c>
      <c r="C612" s="6" t="str">
        <f t="shared" si="37"/>
        <v>20-29</v>
      </c>
      <c r="D612" s="6" t="s">
        <v>43</v>
      </c>
      <c r="E612" s="6" t="s">
        <v>45</v>
      </c>
      <c r="F612" s="6" t="s">
        <v>46</v>
      </c>
      <c r="G612" s="6" t="s">
        <v>58</v>
      </c>
      <c r="H612" s="8">
        <v>12808</v>
      </c>
      <c r="I612" s="8">
        <f t="shared" si="38"/>
        <v>2817.76</v>
      </c>
      <c r="J612" s="8">
        <f t="shared" si="39"/>
        <v>9990.24</v>
      </c>
      <c r="K612" s="8">
        <v>8842</v>
      </c>
      <c r="L612" s="6">
        <v>9</v>
      </c>
      <c r="M612" s="22" t="str" cm="1">
        <f t="array" ref="M612">_xlfn.IFS(L612&gt;10,"Veteran",L612&gt;=6,"Experienced",L612&gt;=2,"Developing",L612&gt;=0,"New")</f>
        <v>Experienced</v>
      </c>
    </row>
    <row r="613" spans="1:13">
      <c r="A613" s="21" t="str">
        <f t="shared" ca="1" si="36"/>
        <v>Ma-Res-2018-612</v>
      </c>
      <c r="B613" s="6">
        <v>35</v>
      </c>
      <c r="C613" s="6" t="str">
        <f t="shared" si="37"/>
        <v>30-39</v>
      </c>
      <c r="D613" s="6" t="s">
        <v>43</v>
      </c>
      <c r="E613" s="6" t="s">
        <v>45</v>
      </c>
      <c r="F613" s="6" t="s">
        <v>46</v>
      </c>
      <c r="G613" s="6" t="s">
        <v>53</v>
      </c>
      <c r="H613" s="8">
        <v>10221</v>
      </c>
      <c r="I613" s="8">
        <f t="shared" si="38"/>
        <v>2248.62</v>
      </c>
      <c r="J613" s="8">
        <f t="shared" si="39"/>
        <v>7972.38</v>
      </c>
      <c r="K613" s="8">
        <v>18869</v>
      </c>
      <c r="L613" s="6">
        <v>8</v>
      </c>
      <c r="M613" s="22" t="str" cm="1">
        <f t="array" ref="M613">_xlfn.IFS(L613&gt;10,"Veteran",L613&gt;=6,"Experienced",L613&gt;=2,"Developing",L613&gt;=0,"New")</f>
        <v>Experienced</v>
      </c>
    </row>
    <row r="614" spans="1:13">
      <c r="A614" s="21" t="str">
        <f t="shared" ca="1" si="36"/>
        <v>Sa-Sal-2018-613</v>
      </c>
      <c r="B614" s="6">
        <v>28</v>
      </c>
      <c r="C614" s="6" t="str">
        <f t="shared" si="37"/>
        <v>20-29</v>
      </c>
      <c r="D614" s="6" t="s">
        <v>43</v>
      </c>
      <c r="E614" s="6" t="s">
        <v>37</v>
      </c>
      <c r="F614" s="6" t="s">
        <v>39</v>
      </c>
      <c r="G614" s="6" t="s">
        <v>40</v>
      </c>
      <c r="H614" s="8">
        <v>4779</v>
      </c>
      <c r="I614" s="8">
        <f t="shared" si="38"/>
        <v>716.85</v>
      </c>
      <c r="J614" s="8">
        <f t="shared" si="39"/>
        <v>4062.15</v>
      </c>
      <c r="K614" s="8">
        <v>3698</v>
      </c>
      <c r="L614" s="6">
        <v>8</v>
      </c>
      <c r="M614" s="22" t="str" cm="1">
        <f t="array" ref="M614">_xlfn.IFS(L614&gt;10,"Veteran",L614&gt;=6,"Experienced",L614&gt;=2,"Developing",L614&gt;=0,"New")</f>
        <v>Experienced</v>
      </c>
    </row>
    <row r="615" spans="1:13">
      <c r="A615" s="21" t="str">
        <f t="shared" ca="1" si="36"/>
        <v>Hu-Hum-2023-614</v>
      </c>
      <c r="B615" s="6">
        <v>34</v>
      </c>
      <c r="C615" s="6" t="str">
        <f t="shared" si="37"/>
        <v>30-39</v>
      </c>
      <c r="D615" s="6" t="s">
        <v>43</v>
      </c>
      <c r="E615" s="6" t="s">
        <v>61</v>
      </c>
      <c r="F615" s="6" t="s">
        <v>46</v>
      </c>
      <c r="G615" s="6" t="s">
        <v>61</v>
      </c>
      <c r="H615" s="8">
        <v>3737</v>
      </c>
      <c r="I615" s="8">
        <f t="shared" si="38"/>
        <v>560.54999999999995</v>
      </c>
      <c r="J615" s="8">
        <f t="shared" si="39"/>
        <v>3176.45</v>
      </c>
      <c r="K615" s="8">
        <v>2243</v>
      </c>
      <c r="L615" s="6">
        <v>3</v>
      </c>
      <c r="M615" s="22" t="str" cm="1">
        <f t="array" ref="M615">_xlfn.IFS(L615&gt;10,"Veteran",L615&gt;=6,"Experienced",L615&gt;=2,"Developing",L615&gt;=0,"New")</f>
        <v>Developing</v>
      </c>
    </row>
    <row r="616" spans="1:13">
      <c r="A616" s="21" t="str">
        <f t="shared" ca="1" si="36"/>
        <v>Re-Res-2018-615</v>
      </c>
      <c r="B616" s="6">
        <v>26</v>
      </c>
      <c r="C616" s="6" t="str">
        <f t="shared" si="37"/>
        <v>20-29</v>
      </c>
      <c r="D616" s="6" t="s">
        <v>35</v>
      </c>
      <c r="E616" s="6" t="s">
        <v>45</v>
      </c>
      <c r="F616" s="6" t="s">
        <v>39</v>
      </c>
      <c r="G616" s="6" t="s">
        <v>47</v>
      </c>
      <c r="H616" s="8">
        <v>2366</v>
      </c>
      <c r="I616" s="8">
        <f t="shared" si="38"/>
        <v>165.62</v>
      </c>
      <c r="J616" s="8">
        <f t="shared" si="39"/>
        <v>2200.38</v>
      </c>
      <c r="K616" s="8">
        <v>20898</v>
      </c>
      <c r="L616" s="6">
        <v>8</v>
      </c>
      <c r="M616" s="22" t="str" cm="1">
        <f t="array" ref="M616">_xlfn.IFS(L616&gt;10,"Veteran",L616&gt;=6,"Experienced",L616&gt;=2,"Developing",L616&gt;=0,"New")</f>
        <v>Experienced</v>
      </c>
    </row>
    <row r="617" spans="1:13">
      <c r="A617" s="21" t="str">
        <f t="shared" ca="1" si="36"/>
        <v>Re-Res-2026-616</v>
      </c>
      <c r="B617" s="6">
        <v>27</v>
      </c>
      <c r="C617" s="6" t="str">
        <f t="shared" si="37"/>
        <v>20-29</v>
      </c>
      <c r="D617" s="6" t="s">
        <v>43</v>
      </c>
      <c r="E617" s="6" t="s">
        <v>45</v>
      </c>
      <c r="F617" s="6" t="s">
        <v>46</v>
      </c>
      <c r="G617" s="6" t="s">
        <v>47</v>
      </c>
      <c r="H617" s="8">
        <v>1706</v>
      </c>
      <c r="I617" s="8">
        <f t="shared" si="38"/>
        <v>119.42000000000002</v>
      </c>
      <c r="J617" s="8">
        <f t="shared" si="39"/>
        <v>1586.58</v>
      </c>
      <c r="K617" s="8">
        <v>16571</v>
      </c>
      <c r="L617" s="6">
        <v>0</v>
      </c>
      <c r="M617" s="22" t="str" cm="1">
        <f t="array" ref="M617">_xlfn.IFS(L617&gt;10,"Veteran",L617&gt;=6,"Experienced",L617&gt;=2,"Developing",L617&gt;=0,"New")</f>
        <v>New</v>
      </c>
    </row>
    <row r="618" spans="1:13">
      <c r="A618" s="21" t="str">
        <f t="shared" ca="1" si="36"/>
        <v>Ma-Sal-2006-617</v>
      </c>
      <c r="B618" s="6">
        <v>51</v>
      </c>
      <c r="C618" s="6" t="str">
        <f t="shared" si="37"/>
        <v>50+</v>
      </c>
      <c r="D618" s="6" t="s">
        <v>43</v>
      </c>
      <c r="E618" s="6" t="s">
        <v>37</v>
      </c>
      <c r="F618" s="6" t="s">
        <v>39</v>
      </c>
      <c r="G618" s="6" t="s">
        <v>56</v>
      </c>
      <c r="H618" s="8">
        <v>16307</v>
      </c>
      <c r="I618" s="8">
        <f t="shared" si="38"/>
        <v>4892.0999999999995</v>
      </c>
      <c r="J618" s="8">
        <f t="shared" si="39"/>
        <v>11414.900000000001</v>
      </c>
      <c r="K618" s="8">
        <v>5594</v>
      </c>
      <c r="L618" s="6">
        <v>20</v>
      </c>
      <c r="M618" s="22" t="str" cm="1">
        <f t="array" ref="M618">_xlfn.IFS(L618&gt;10,"Veteran",L618&gt;=6,"Experienced",L618&gt;=2,"Developing",L618&gt;=0,"New")</f>
        <v>Veteran</v>
      </c>
    </row>
    <row r="619" spans="1:13">
      <c r="A619" s="21" t="str">
        <f t="shared" ca="1" si="36"/>
        <v>He-Res-2021-618</v>
      </c>
      <c r="B619" s="6">
        <v>44</v>
      </c>
      <c r="C619" s="6" t="str">
        <f t="shared" si="37"/>
        <v>40-49</v>
      </c>
      <c r="D619" s="6" t="s">
        <v>43</v>
      </c>
      <c r="E619" s="6" t="s">
        <v>45</v>
      </c>
      <c r="F619" s="6" t="s">
        <v>46</v>
      </c>
      <c r="G619" s="6" t="s">
        <v>54</v>
      </c>
      <c r="H619" s="8">
        <v>5933</v>
      </c>
      <c r="I619" s="8">
        <f t="shared" si="38"/>
        <v>889.94999999999993</v>
      </c>
      <c r="J619" s="8">
        <f t="shared" si="39"/>
        <v>5043.05</v>
      </c>
      <c r="K619" s="8">
        <v>5197</v>
      </c>
      <c r="L619" s="6">
        <v>5</v>
      </c>
      <c r="M619" s="22" t="str" cm="1">
        <f t="array" ref="M619">_xlfn.IFS(L619&gt;10,"Veteran",L619&gt;=6,"Experienced",L619&gt;=2,"Developing",L619&gt;=0,"New")</f>
        <v>Developing</v>
      </c>
    </row>
    <row r="620" spans="1:13">
      <c r="A620" s="21" t="str">
        <f t="shared" ca="1" si="36"/>
        <v>Re-Res-2022-619</v>
      </c>
      <c r="B620" s="6">
        <v>25</v>
      </c>
      <c r="C620" s="6" t="str">
        <f t="shared" si="37"/>
        <v>20-29</v>
      </c>
      <c r="D620" s="6" t="s">
        <v>43</v>
      </c>
      <c r="E620" s="6" t="s">
        <v>45</v>
      </c>
      <c r="F620" s="6" t="s">
        <v>46</v>
      </c>
      <c r="G620" s="6" t="s">
        <v>47</v>
      </c>
      <c r="H620" s="8">
        <v>3424</v>
      </c>
      <c r="I620" s="8">
        <f t="shared" si="38"/>
        <v>513.6</v>
      </c>
      <c r="J620" s="8">
        <f t="shared" si="39"/>
        <v>2910.4</v>
      </c>
      <c r="K620" s="8">
        <v>21632</v>
      </c>
      <c r="L620" s="6">
        <v>4</v>
      </c>
      <c r="M620" s="22" t="str" cm="1">
        <f t="array" ref="M620">_xlfn.IFS(L620&gt;10,"Veteran",L620&gt;=6,"Experienced",L620&gt;=2,"Developing",L620&gt;=0,"New")</f>
        <v>Developing</v>
      </c>
    </row>
    <row r="621" spans="1:13">
      <c r="A621" s="21" t="str">
        <f t="shared" ca="1" si="36"/>
        <v>Sa-Sal-2017-620</v>
      </c>
      <c r="B621" s="6">
        <v>33</v>
      </c>
      <c r="C621" s="6" t="str">
        <f t="shared" si="37"/>
        <v>30-39</v>
      </c>
      <c r="D621" s="6" t="s">
        <v>43</v>
      </c>
      <c r="E621" s="6" t="s">
        <v>37</v>
      </c>
      <c r="F621" s="6" t="s">
        <v>46</v>
      </c>
      <c r="G621" s="6" t="s">
        <v>40</v>
      </c>
      <c r="H621" s="8">
        <v>4037</v>
      </c>
      <c r="I621" s="8">
        <f t="shared" si="38"/>
        <v>605.54999999999995</v>
      </c>
      <c r="J621" s="8">
        <f t="shared" si="39"/>
        <v>3431.45</v>
      </c>
      <c r="K621" s="8">
        <v>21816</v>
      </c>
      <c r="L621" s="6">
        <v>9</v>
      </c>
      <c r="M621" s="22" t="str" cm="1">
        <f t="array" ref="M621">_xlfn.IFS(L621&gt;10,"Veteran",L621&gt;=6,"Experienced",L621&gt;=2,"Developing",L621&gt;=0,"New")</f>
        <v>Experienced</v>
      </c>
    </row>
    <row r="622" spans="1:13">
      <c r="A622" s="21" t="str">
        <f t="shared" ca="1" si="36"/>
        <v>Re-Res-2020-621</v>
      </c>
      <c r="B622" s="6">
        <v>35</v>
      </c>
      <c r="C622" s="6" t="str">
        <f t="shared" si="37"/>
        <v>30-39</v>
      </c>
      <c r="D622" s="6" t="s">
        <v>43</v>
      </c>
      <c r="E622" s="6" t="s">
        <v>45</v>
      </c>
      <c r="F622" s="6" t="s">
        <v>39</v>
      </c>
      <c r="G622" s="6" t="s">
        <v>47</v>
      </c>
      <c r="H622" s="8">
        <v>2559</v>
      </c>
      <c r="I622" s="8">
        <f t="shared" si="38"/>
        <v>179.13000000000002</v>
      </c>
      <c r="J622" s="8">
        <f t="shared" si="39"/>
        <v>2379.87</v>
      </c>
      <c r="K622" s="8">
        <v>17852</v>
      </c>
      <c r="L622" s="6">
        <v>6</v>
      </c>
      <c r="M622" s="22" t="str" cm="1">
        <f t="array" ref="M622">_xlfn.IFS(L622&gt;10,"Veteran",L622&gt;=6,"Experienced",L622&gt;=2,"Developing",L622&gt;=0,"New")</f>
        <v>Experienced</v>
      </c>
    </row>
    <row r="623" spans="1:13">
      <c r="A623" s="21" t="str">
        <f t="shared" ca="1" si="36"/>
        <v>Sa-Sal-2008-622</v>
      </c>
      <c r="B623" s="6">
        <v>36</v>
      </c>
      <c r="C623" s="6" t="str">
        <f t="shared" si="37"/>
        <v>30-39</v>
      </c>
      <c r="D623" s="6" t="s">
        <v>43</v>
      </c>
      <c r="E623" s="6" t="s">
        <v>37</v>
      </c>
      <c r="F623" s="6" t="s">
        <v>46</v>
      </c>
      <c r="G623" s="6" t="s">
        <v>40</v>
      </c>
      <c r="H623" s="8">
        <v>6201</v>
      </c>
      <c r="I623" s="8">
        <f t="shared" si="38"/>
        <v>930.15</v>
      </c>
      <c r="J623" s="8">
        <f t="shared" si="39"/>
        <v>5270.85</v>
      </c>
      <c r="K623" s="8">
        <v>2823</v>
      </c>
      <c r="L623" s="6">
        <v>18</v>
      </c>
      <c r="M623" s="22" t="str" cm="1">
        <f t="array" ref="M623">_xlfn.IFS(L623&gt;10,"Veteran",L623&gt;=6,"Experienced",L623&gt;=2,"Developing",L623&gt;=0,"New")</f>
        <v>Veteran</v>
      </c>
    </row>
    <row r="624" spans="1:13">
      <c r="A624" s="21" t="str">
        <f t="shared" ca="1" si="36"/>
        <v>Sa-Sal-2021-623</v>
      </c>
      <c r="B624" s="6">
        <v>32</v>
      </c>
      <c r="C624" s="6" t="str">
        <f t="shared" si="37"/>
        <v>30-39</v>
      </c>
      <c r="D624" s="6" t="s">
        <v>43</v>
      </c>
      <c r="E624" s="6" t="s">
        <v>37</v>
      </c>
      <c r="F624" s="6" t="s">
        <v>46</v>
      </c>
      <c r="G624" s="6" t="s">
        <v>40</v>
      </c>
      <c r="H624" s="8">
        <v>4403</v>
      </c>
      <c r="I624" s="8">
        <f t="shared" si="38"/>
        <v>660.44999999999993</v>
      </c>
      <c r="J624" s="8">
        <f t="shared" si="39"/>
        <v>3742.55</v>
      </c>
      <c r="K624" s="8">
        <v>9250</v>
      </c>
      <c r="L624" s="6">
        <v>5</v>
      </c>
      <c r="M624" s="22" t="str" cm="1">
        <f t="array" ref="M624">_xlfn.IFS(L624&gt;10,"Veteran",L624&gt;=6,"Experienced",L624&gt;=2,"Developing",L624&gt;=0,"New")</f>
        <v>Developing</v>
      </c>
    </row>
    <row r="625" spans="1:13">
      <c r="A625" s="21" t="str">
        <f t="shared" ca="1" si="36"/>
        <v>Re-Res-2021-624</v>
      </c>
      <c r="B625" s="6">
        <v>30</v>
      </c>
      <c r="C625" s="6" t="str">
        <f t="shared" si="37"/>
        <v>30-39</v>
      </c>
      <c r="D625" s="6" t="s">
        <v>43</v>
      </c>
      <c r="E625" s="6" t="s">
        <v>45</v>
      </c>
      <c r="F625" s="6" t="s">
        <v>46</v>
      </c>
      <c r="G625" s="6" t="s">
        <v>47</v>
      </c>
      <c r="H625" s="8">
        <v>3761</v>
      </c>
      <c r="I625" s="8">
        <f t="shared" si="38"/>
        <v>564.15</v>
      </c>
      <c r="J625" s="8">
        <f t="shared" si="39"/>
        <v>3196.85</v>
      </c>
      <c r="K625" s="8">
        <v>2373</v>
      </c>
      <c r="L625" s="6">
        <v>5</v>
      </c>
      <c r="M625" s="22" t="str" cm="1">
        <f t="array" ref="M625">_xlfn.IFS(L625&gt;10,"Veteran",L625&gt;=6,"Experienced",L625&gt;=2,"Developing",L625&gt;=0,"New")</f>
        <v>Developing</v>
      </c>
    </row>
    <row r="626" spans="1:13">
      <c r="A626" s="21" t="str">
        <f t="shared" ca="1" si="36"/>
        <v>Sa-Sal-2021-625</v>
      </c>
      <c r="B626" s="6">
        <v>53</v>
      </c>
      <c r="C626" s="6" t="str">
        <f t="shared" si="37"/>
        <v>50+</v>
      </c>
      <c r="D626" s="6" t="s">
        <v>43</v>
      </c>
      <c r="E626" s="6" t="s">
        <v>37</v>
      </c>
      <c r="F626" s="6" t="s">
        <v>39</v>
      </c>
      <c r="G626" s="6" t="s">
        <v>40</v>
      </c>
      <c r="H626" s="8">
        <v>10934</v>
      </c>
      <c r="I626" s="8">
        <f t="shared" si="38"/>
        <v>2405.48</v>
      </c>
      <c r="J626" s="8">
        <f t="shared" si="39"/>
        <v>8528.52</v>
      </c>
      <c r="K626" s="8">
        <v>20715</v>
      </c>
      <c r="L626" s="6">
        <v>5</v>
      </c>
      <c r="M626" s="22" t="str" cm="1">
        <f t="array" ref="M626">_xlfn.IFS(L626&gt;10,"Veteran",L626&gt;=6,"Experienced",L626&gt;=2,"Developing",L626&gt;=0,"New")</f>
        <v>Developing</v>
      </c>
    </row>
    <row r="627" spans="1:13">
      <c r="A627" s="21" t="str">
        <f t="shared" ca="1" si="36"/>
        <v>Sa-Sal-2021-626</v>
      </c>
      <c r="B627" s="6">
        <v>45</v>
      </c>
      <c r="C627" s="6" t="str">
        <f t="shared" si="37"/>
        <v>40-49</v>
      </c>
      <c r="D627" s="6" t="s">
        <v>43</v>
      </c>
      <c r="E627" s="6" t="s">
        <v>37</v>
      </c>
      <c r="F627" s="6" t="s">
        <v>46</v>
      </c>
      <c r="G627" s="6" t="s">
        <v>40</v>
      </c>
      <c r="H627" s="8">
        <v>10761</v>
      </c>
      <c r="I627" s="8">
        <f t="shared" si="38"/>
        <v>2367.42</v>
      </c>
      <c r="J627" s="8">
        <f t="shared" si="39"/>
        <v>8393.58</v>
      </c>
      <c r="K627" s="8">
        <v>19239</v>
      </c>
      <c r="L627" s="6">
        <v>5</v>
      </c>
      <c r="M627" s="22" t="str" cm="1">
        <f t="array" ref="M627">_xlfn.IFS(L627&gt;10,"Veteran",L627&gt;=6,"Experienced",L627&gt;=2,"Developing",L627&gt;=0,"New")</f>
        <v>Developing</v>
      </c>
    </row>
    <row r="628" spans="1:13">
      <c r="A628" s="21" t="str">
        <f t="shared" ca="1" si="36"/>
        <v>Re-Res-2021-627</v>
      </c>
      <c r="B628" s="6">
        <v>32</v>
      </c>
      <c r="C628" s="6" t="str">
        <f t="shared" si="37"/>
        <v>30-39</v>
      </c>
      <c r="D628" s="6" t="s">
        <v>43</v>
      </c>
      <c r="E628" s="6" t="s">
        <v>45</v>
      </c>
      <c r="F628" s="6" t="s">
        <v>39</v>
      </c>
      <c r="G628" s="6" t="s">
        <v>47</v>
      </c>
      <c r="H628" s="8">
        <v>5175</v>
      </c>
      <c r="I628" s="8">
        <f t="shared" si="38"/>
        <v>776.25</v>
      </c>
      <c r="J628" s="8">
        <f t="shared" si="39"/>
        <v>4398.75</v>
      </c>
      <c r="K628" s="8">
        <v>22162</v>
      </c>
      <c r="L628" s="6">
        <v>5</v>
      </c>
      <c r="M628" s="22" t="str" cm="1">
        <f t="array" ref="M628">_xlfn.IFS(L628&gt;10,"Veteran",L628&gt;=6,"Experienced",L628&gt;=2,"Developing",L628&gt;=0,"New")</f>
        <v>Developing</v>
      </c>
    </row>
    <row r="629" spans="1:13">
      <c r="A629" s="21" t="str">
        <f t="shared" ca="1" si="36"/>
        <v>Ma-Res-2017-628</v>
      </c>
      <c r="B629" s="6">
        <v>52</v>
      </c>
      <c r="C629" s="6" t="str">
        <f t="shared" si="37"/>
        <v>50+</v>
      </c>
      <c r="D629" s="6" t="s">
        <v>43</v>
      </c>
      <c r="E629" s="6" t="s">
        <v>45</v>
      </c>
      <c r="F629" s="6" t="s">
        <v>39</v>
      </c>
      <c r="G629" s="6" t="s">
        <v>53</v>
      </c>
      <c r="H629" s="8">
        <v>13826</v>
      </c>
      <c r="I629" s="8">
        <f t="shared" si="38"/>
        <v>4147.8</v>
      </c>
      <c r="J629" s="8">
        <f t="shared" si="39"/>
        <v>9678.2000000000007</v>
      </c>
      <c r="K629" s="8">
        <v>19028</v>
      </c>
      <c r="L629" s="6">
        <v>9</v>
      </c>
      <c r="M629" s="22" t="str" cm="1">
        <f t="array" ref="M629">_xlfn.IFS(L629&gt;10,"Veteran",L629&gt;=6,"Experienced",L629&gt;=2,"Developing",L629&gt;=0,"New")</f>
        <v>Experienced</v>
      </c>
    </row>
    <row r="630" spans="1:13">
      <c r="A630" s="21" t="str">
        <f t="shared" ca="1" si="36"/>
        <v>Sa-Sal-2025-629</v>
      </c>
      <c r="B630" s="6">
        <v>37</v>
      </c>
      <c r="C630" s="6" t="str">
        <f t="shared" si="37"/>
        <v>30-39</v>
      </c>
      <c r="D630" s="6" t="s">
        <v>43</v>
      </c>
      <c r="E630" s="6" t="s">
        <v>37</v>
      </c>
      <c r="F630" s="6" t="s">
        <v>46</v>
      </c>
      <c r="G630" s="6" t="s">
        <v>40</v>
      </c>
      <c r="H630" s="8">
        <v>6334</v>
      </c>
      <c r="I630" s="8">
        <f t="shared" si="38"/>
        <v>950.09999999999991</v>
      </c>
      <c r="J630" s="8">
        <f t="shared" si="39"/>
        <v>5383.9</v>
      </c>
      <c r="K630" s="8">
        <v>24558</v>
      </c>
      <c r="L630" s="6">
        <v>1</v>
      </c>
      <c r="M630" s="22" t="str" cm="1">
        <f t="array" ref="M630">_xlfn.IFS(L630&gt;10,"Veteran",L630&gt;=6,"Experienced",L630&gt;=2,"Developing",L630&gt;=0,"New")</f>
        <v>New</v>
      </c>
    </row>
    <row r="631" spans="1:13">
      <c r="A631" s="21" t="str">
        <f t="shared" ca="1" si="36"/>
        <v>Hu-Hum-2021-630</v>
      </c>
      <c r="B631" s="6">
        <v>28</v>
      </c>
      <c r="C631" s="6" t="str">
        <f t="shared" si="37"/>
        <v>20-29</v>
      </c>
      <c r="D631" s="6" t="s">
        <v>43</v>
      </c>
      <c r="E631" s="6" t="s">
        <v>61</v>
      </c>
      <c r="F631" s="6" t="s">
        <v>46</v>
      </c>
      <c r="G631" s="6" t="s">
        <v>61</v>
      </c>
      <c r="H631" s="8">
        <v>4936</v>
      </c>
      <c r="I631" s="8">
        <f t="shared" si="38"/>
        <v>740.4</v>
      </c>
      <c r="J631" s="8">
        <f t="shared" si="39"/>
        <v>4195.6000000000004</v>
      </c>
      <c r="K631" s="8">
        <v>23965</v>
      </c>
      <c r="L631" s="6">
        <v>5</v>
      </c>
      <c r="M631" s="22" t="str" cm="1">
        <f t="array" ref="M631">_xlfn.IFS(L631&gt;10,"Veteran",L631&gt;=6,"Experienced",L631&gt;=2,"Developing",L631&gt;=0,"New")</f>
        <v>Developing</v>
      </c>
    </row>
    <row r="632" spans="1:13">
      <c r="A632" s="21" t="str">
        <f t="shared" ca="1" si="36"/>
        <v>Ma-Res-2024-631</v>
      </c>
      <c r="B632" s="6">
        <v>22</v>
      </c>
      <c r="C632" s="6" t="str">
        <f t="shared" si="37"/>
        <v>20-29</v>
      </c>
      <c r="D632" s="6" t="s">
        <v>43</v>
      </c>
      <c r="E632" s="6" t="s">
        <v>45</v>
      </c>
      <c r="F632" s="6" t="s">
        <v>46</v>
      </c>
      <c r="G632" s="6" t="s">
        <v>53</v>
      </c>
      <c r="H632" s="8">
        <v>4775</v>
      </c>
      <c r="I632" s="8">
        <f t="shared" si="38"/>
        <v>716.25</v>
      </c>
      <c r="J632" s="8">
        <f t="shared" si="39"/>
        <v>4058.75</v>
      </c>
      <c r="K632" s="8">
        <v>19146</v>
      </c>
      <c r="L632" s="6">
        <v>2</v>
      </c>
      <c r="M632" s="22" t="str" cm="1">
        <f t="array" ref="M632">_xlfn.IFS(L632&gt;10,"Veteran",L632&gt;=6,"Experienced",L632&gt;=2,"Developing",L632&gt;=0,"New")</f>
        <v>Developing</v>
      </c>
    </row>
    <row r="633" spans="1:13">
      <c r="A633" s="21" t="str">
        <f t="shared" ca="1" si="36"/>
        <v>La-Res-2023-632</v>
      </c>
      <c r="B633" s="6">
        <v>44</v>
      </c>
      <c r="C633" s="6" t="str">
        <f t="shared" si="37"/>
        <v>40-49</v>
      </c>
      <c r="D633" s="6" t="s">
        <v>43</v>
      </c>
      <c r="E633" s="6" t="s">
        <v>45</v>
      </c>
      <c r="F633" s="6" t="s">
        <v>46</v>
      </c>
      <c r="G633" s="6" t="s">
        <v>50</v>
      </c>
      <c r="H633" s="8">
        <v>2818</v>
      </c>
      <c r="I633" s="8">
        <f t="shared" si="38"/>
        <v>197.26000000000002</v>
      </c>
      <c r="J633" s="8">
        <f t="shared" si="39"/>
        <v>2620.7399999999998</v>
      </c>
      <c r="K633" s="8">
        <v>5044</v>
      </c>
      <c r="L633" s="6">
        <v>3</v>
      </c>
      <c r="M633" s="22" t="str" cm="1">
        <f t="array" ref="M633">_xlfn.IFS(L633&gt;10,"Veteran",L633&gt;=6,"Experienced",L633&gt;=2,"Developing",L633&gt;=0,"New")</f>
        <v>Developing</v>
      </c>
    </row>
    <row r="634" spans="1:13">
      <c r="A634" s="21" t="str">
        <f t="shared" ca="1" si="36"/>
        <v>Re-Res-2024-633</v>
      </c>
      <c r="B634" s="6">
        <v>42</v>
      </c>
      <c r="C634" s="6" t="str">
        <f t="shared" si="37"/>
        <v>40-49</v>
      </c>
      <c r="D634" s="6" t="s">
        <v>43</v>
      </c>
      <c r="E634" s="6" t="s">
        <v>45</v>
      </c>
      <c r="F634" s="6" t="s">
        <v>46</v>
      </c>
      <c r="G634" s="6" t="s">
        <v>47</v>
      </c>
      <c r="H634" s="8">
        <v>2515</v>
      </c>
      <c r="I634" s="8">
        <f t="shared" si="38"/>
        <v>176.05</v>
      </c>
      <c r="J634" s="8">
        <f t="shared" si="39"/>
        <v>2338.9499999999998</v>
      </c>
      <c r="K634" s="8">
        <v>9068</v>
      </c>
      <c r="L634" s="6">
        <v>2</v>
      </c>
      <c r="M634" s="22" t="str" cm="1">
        <f t="array" ref="M634">_xlfn.IFS(L634&gt;10,"Veteran",L634&gt;=6,"Experienced",L634&gt;=2,"Developing",L634&gt;=0,"New")</f>
        <v>Developing</v>
      </c>
    </row>
    <row r="635" spans="1:13">
      <c r="A635" s="21" t="str">
        <f t="shared" ca="1" si="36"/>
        <v>Hu-Hum-2021-634</v>
      </c>
      <c r="B635" s="6">
        <v>36</v>
      </c>
      <c r="C635" s="6" t="str">
        <f t="shared" si="37"/>
        <v>30-39</v>
      </c>
      <c r="D635" s="6" t="s">
        <v>43</v>
      </c>
      <c r="E635" s="6" t="s">
        <v>61</v>
      </c>
      <c r="F635" s="6" t="s">
        <v>46</v>
      </c>
      <c r="G635" s="6" t="s">
        <v>61</v>
      </c>
      <c r="H635" s="8">
        <v>2342</v>
      </c>
      <c r="I635" s="8">
        <f t="shared" si="38"/>
        <v>163.94000000000003</v>
      </c>
      <c r="J635" s="8">
        <f t="shared" si="39"/>
        <v>2178.06</v>
      </c>
      <c r="K635" s="8">
        <v>8635</v>
      </c>
      <c r="L635" s="6">
        <v>5</v>
      </c>
      <c r="M635" s="22" t="str" cm="1">
        <f t="array" ref="M635">_xlfn.IFS(L635&gt;10,"Veteran",L635&gt;=6,"Experienced",L635&gt;=2,"Developing",L635&gt;=0,"New")</f>
        <v>Developing</v>
      </c>
    </row>
    <row r="636" spans="1:13">
      <c r="A636" s="21" t="str">
        <f t="shared" ca="1" si="36"/>
        <v>Sa-Sal-2021-635</v>
      </c>
      <c r="B636" s="6">
        <v>25</v>
      </c>
      <c r="C636" s="6" t="str">
        <f t="shared" si="37"/>
        <v>20-29</v>
      </c>
      <c r="D636" s="6" t="s">
        <v>43</v>
      </c>
      <c r="E636" s="6" t="s">
        <v>37</v>
      </c>
      <c r="F636" s="6" t="s">
        <v>46</v>
      </c>
      <c r="G636" s="6" t="s">
        <v>40</v>
      </c>
      <c r="H636" s="8">
        <v>4194</v>
      </c>
      <c r="I636" s="8">
        <f t="shared" si="38"/>
        <v>629.1</v>
      </c>
      <c r="J636" s="8">
        <f t="shared" si="39"/>
        <v>3564.9</v>
      </c>
      <c r="K636" s="8">
        <v>14363</v>
      </c>
      <c r="L636" s="6">
        <v>5</v>
      </c>
      <c r="M636" s="22" t="str" cm="1">
        <f t="array" ref="M636">_xlfn.IFS(L636&gt;10,"Veteran",L636&gt;=6,"Experienced",L636&gt;=2,"Developing",L636&gt;=0,"New")</f>
        <v>Developing</v>
      </c>
    </row>
    <row r="637" spans="1:13">
      <c r="A637" s="21" t="str">
        <f t="shared" ca="1" si="36"/>
        <v>Ma-Res-2009-636</v>
      </c>
      <c r="B637" s="6">
        <v>35</v>
      </c>
      <c r="C637" s="6" t="str">
        <f t="shared" si="37"/>
        <v>30-39</v>
      </c>
      <c r="D637" s="6" t="s">
        <v>43</v>
      </c>
      <c r="E637" s="6" t="s">
        <v>45</v>
      </c>
      <c r="F637" s="6" t="s">
        <v>39</v>
      </c>
      <c r="G637" s="6" t="s">
        <v>53</v>
      </c>
      <c r="H637" s="8">
        <v>10685</v>
      </c>
      <c r="I637" s="8">
        <f t="shared" si="38"/>
        <v>2350.6999999999998</v>
      </c>
      <c r="J637" s="8">
        <f t="shared" si="39"/>
        <v>8334.2999999999993</v>
      </c>
      <c r="K637" s="8">
        <v>23457</v>
      </c>
      <c r="L637" s="6">
        <v>17</v>
      </c>
      <c r="M637" s="22" t="str" cm="1">
        <f t="array" ref="M637">_xlfn.IFS(L637&gt;10,"Veteran",L637&gt;=6,"Experienced",L637&gt;=2,"Developing",L637&gt;=0,"New")</f>
        <v>Veteran</v>
      </c>
    </row>
    <row r="638" spans="1:13">
      <c r="A638" s="21" t="str">
        <f t="shared" ca="1" si="36"/>
        <v>Re-Res-2016-637</v>
      </c>
      <c r="B638" s="6">
        <v>35</v>
      </c>
      <c r="C638" s="6" t="str">
        <f t="shared" si="37"/>
        <v>30-39</v>
      </c>
      <c r="D638" s="6" t="s">
        <v>35</v>
      </c>
      <c r="E638" s="6" t="s">
        <v>45</v>
      </c>
      <c r="F638" s="6" t="s">
        <v>39</v>
      </c>
      <c r="G638" s="6" t="s">
        <v>47</v>
      </c>
      <c r="H638" s="8">
        <v>2022</v>
      </c>
      <c r="I638" s="8">
        <f t="shared" si="38"/>
        <v>141.54000000000002</v>
      </c>
      <c r="J638" s="8">
        <f t="shared" si="39"/>
        <v>1880.46</v>
      </c>
      <c r="K638" s="8">
        <v>16612</v>
      </c>
      <c r="L638" s="6">
        <v>10</v>
      </c>
      <c r="M638" s="22" t="str" cm="1">
        <f t="array" ref="M638">_xlfn.IFS(L638&gt;10,"Veteran",L638&gt;=6,"Experienced",L638&gt;=2,"Developing",L638&gt;=0,"New")</f>
        <v>Experienced</v>
      </c>
    </row>
    <row r="639" spans="1:13">
      <c r="A639" s="21" t="str">
        <f t="shared" ca="1" si="36"/>
        <v>La-Res-2023-638</v>
      </c>
      <c r="B639" s="6">
        <v>32</v>
      </c>
      <c r="C639" s="6" t="str">
        <f t="shared" si="37"/>
        <v>30-39</v>
      </c>
      <c r="D639" s="6" t="s">
        <v>43</v>
      </c>
      <c r="E639" s="6" t="s">
        <v>45</v>
      </c>
      <c r="F639" s="6" t="s">
        <v>46</v>
      </c>
      <c r="G639" s="6" t="s">
        <v>50</v>
      </c>
      <c r="H639" s="8">
        <v>2314</v>
      </c>
      <c r="I639" s="8">
        <f t="shared" si="38"/>
        <v>161.98000000000002</v>
      </c>
      <c r="J639" s="8">
        <f t="shared" si="39"/>
        <v>2152.02</v>
      </c>
      <c r="K639" s="8">
        <v>9148</v>
      </c>
      <c r="L639" s="6">
        <v>3</v>
      </c>
      <c r="M639" s="22" t="str" cm="1">
        <f t="array" ref="M639">_xlfn.IFS(L639&gt;10,"Veteran",L639&gt;=6,"Experienced",L639&gt;=2,"Developing",L639&gt;=0,"New")</f>
        <v>Developing</v>
      </c>
    </row>
    <row r="640" spans="1:13">
      <c r="A640" s="21" t="str">
        <f t="shared" ca="1" si="36"/>
        <v>Sa-Sal-2021-639</v>
      </c>
      <c r="B640" s="6">
        <v>25</v>
      </c>
      <c r="C640" s="6" t="str">
        <f t="shared" si="37"/>
        <v>20-29</v>
      </c>
      <c r="D640" s="6" t="s">
        <v>43</v>
      </c>
      <c r="E640" s="6" t="s">
        <v>37</v>
      </c>
      <c r="F640" s="6" t="s">
        <v>46</v>
      </c>
      <c r="G640" s="6" t="s">
        <v>40</v>
      </c>
      <c r="H640" s="8">
        <v>4256</v>
      </c>
      <c r="I640" s="8">
        <f t="shared" si="38"/>
        <v>638.4</v>
      </c>
      <c r="J640" s="8">
        <f t="shared" si="39"/>
        <v>3617.6</v>
      </c>
      <c r="K640" s="8">
        <v>18154</v>
      </c>
      <c r="L640" s="6">
        <v>5</v>
      </c>
      <c r="M640" s="22" t="str" cm="1">
        <f t="array" ref="M640">_xlfn.IFS(L640&gt;10,"Veteran",L640&gt;=6,"Experienced",L640&gt;=2,"Developing",L640&gt;=0,"New")</f>
        <v>Developing</v>
      </c>
    </row>
    <row r="641" spans="1:13">
      <c r="A641" s="21" t="str">
        <f t="shared" ca="1" si="36"/>
        <v>Re-Res-2022-640</v>
      </c>
      <c r="B641" s="6">
        <v>49</v>
      </c>
      <c r="C641" s="6" t="str">
        <f t="shared" si="37"/>
        <v>40-49</v>
      </c>
      <c r="D641" s="6" t="s">
        <v>43</v>
      </c>
      <c r="E641" s="6" t="s">
        <v>45</v>
      </c>
      <c r="F641" s="6" t="s">
        <v>39</v>
      </c>
      <c r="G641" s="6" t="s">
        <v>47</v>
      </c>
      <c r="H641" s="8">
        <v>3580</v>
      </c>
      <c r="I641" s="8">
        <f t="shared" si="38"/>
        <v>537</v>
      </c>
      <c r="J641" s="8">
        <f t="shared" si="39"/>
        <v>3043</v>
      </c>
      <c r="K641" s="8">
        <v>10554</v>
      </c>
      <c r="L641" s="6">
        <v>4</v>
      </c>
      <c r="M641" s="22" t="str" cm="1">
        <f t="array" ref="M641">_xlfn.IFS(L641&gt;10,"Veteran",L641&gt;=6,"Experienced",L641&gt;=2,"Developing",L641&gt;=0,"New")</f>
        <v>Developing</v>
      </c>
    </row>
    <row r="642" spans="1:13">
      <c r="A642" s="21" t="str">
        <f t="shared" ca="1" si="36"/>
        <v>La-Res-2021-641</v>
      </c>
      <c r="B642" s="6">
        <v>24</v>
      </c>
      <c r="C642" s="6" t="str">
        <f t="shared" si="37"/>
        <v>20-29</v>
      </c>
      <c r="D642" s="6" t="s">
        <v>43</v>
      </c>
      <c r="E642" s="6" t="s">
        <v>45</v>
      </c>
      <c r="F642" s="6" t="s">
        <v>46</v>
      </c>
      <c r="G642" s="6" t="s">
        <v>50</v>
      </c>
      <c r="H642" s="8">
        <v>3162</v>
      </c>
      <c r="I642" s="8">
        <f t="shared" si="38"/>
        <v>474.29999999999995</v>
      </c>
      <c r="J642" s="8">
        <f t="shared" si="39"/>
        <v>2687.7</v>
      </c>
      <c r="K642" s="8">
        <v>10778</v>
      </c>
      <c r="L642" s="6">
        <v>5</v>
      </c>
      <c r="M642" s="22" t="str" cm="1">
        <f t="array" ref="M642">_xlfn.IFS(L642&gt;10,"Veteran",L642&gt;=6,"Experienced",L642&gt;=2,"Developing",L642&gt;=0,"New")</f>
        <v>Developing</v>
      </c>
    </row>
    <row r="643" spans="1:13">
      <c r="A643" s="21" t="str">
        <f t="shared" ref="A643:A706" ca="1" si="40">LEFT(G643,2)&amp;"-"&amp;LEFT(E643,3)&amp;"-"&amp;YEAR(TODAY())-L643&amp;"-"&amp;TEXT(ROW()-1,"000")</f>
        <v>Sa-Sal-2016-642</v>
      </c>
      <c r="B643" s="6">
        <v>32</v>
      </c>
      <c r="C643" s="6" t="str">
        <f t="shared" ref="C643:C706" si="41">IF(B643&lt;=29,"20-29",IF(B643&lt;=39,"30-39",IF(B643&lt;=49,"40-49","50+")))</f>
        <v>30-39</v>
      </c>
      <c r="D643" s="6" t="s">
        <v>43</v>
      </c>
      <c r="E643" s="6" t="s">
        <v>37</v>
      </c>
      <c r="F643" s="6" t="s">
        <v>46</v>
      </c>
      <c r="G643" s="6" t="s">
        <v>40</v>
      </c>
      <c r="H643" s="8">
        <v>6524</v>
      </c>
      <c r="I643" s="8">
        <f t="shared" ref="I643:I706" si="42">IF(H643&gt;13000,H643*30%,IF(H643&gt;7000,H643*22%,IF(H643&gt;3000,H643*15%,H643*7%)))</f>
        <v>978.59999999999991</v>
      </c>
      <c r="J643" s="8">
        <f t="shared" ref="J643:J706" si="43">H643-I643</f>
        <v>5545.4</v>
      </c>
      <c r="K643" s="8">
        <v>8891</v>
      </c>
      <c r="L643" s="6">
        <v>10</v>
      </c>
      <c r="M643" s="22" t="str" cm="1">
        <f t="array" ref="M643">_xlfn.IFS(L643&gt;10,"Veteran",L643&gt;=6,"Experienced",L643&gt;=2,"Developing",L643&gt;=0,"New")</f>
        <v>Experienced</v>
      </c>
    </row>
    <row r="644" spans="1:13">
      <c r="A644" s="21" t="str">
        <f t="shared" ca="1" si="40"/>
        <v>Sa-Sal-2024-643</v>
      </c>
      <c r="B644" s="6">
        <v>38</v>
      </c>
      <c r="C644" s="6" t="str">
        <f t="shared" si="41"/>
        <v>30-39</v>
      </c>
      <c r="D644" s="6" t="s">
        <v>43</v>
      </c>
      <c r="E644" s="6" t="s">
        <v>37</v>
      </c>
      <c r="F644" s="6" t="s">
        <v>46</v>
      </c>
      <c r="G644" s="6" t="s">
        <v>57</v>
      </c>
      <c r="H644" s="8">
        <v>2899</v>
      </c>
      <c r="I644" s="8">
        <f t="shared" si="42"/>
        <v>202.93</v>
      </c>
      <c r="J644" s="8">
        <f t="shared" si="43"/>
        <v>2696.07</v>
      </c>
      <c r="K644" s="8">
        <v>12102</v>
      </c>
      <c r="L644" s="6">
        <v>2</v>
      </c>
      <c r="M644" s="22" t="str" cm="1">
        <f t="array" ref="M644">_xlfn.IFS(L644&gt;10,"Veteran",L644&gt;=6,"Experienced",L644&gt;=2,"Developing",L644&gt;=0,"New")</f>
        <v>Developing</v>
      </c>
    </row>
    <row r="645" spans="1:13">
      <c r="A645" s="21" t="str">
        <f t="shared" ca="1" si="40"/>
        <v>La-Res-2021-644</v>
      </c>
      <c r="B645" s="6">
        <v>42</v>
      </c>
      <c r="C645" s="6" t="str">
        <f t="shared" si="41"/>
        <v>40-49</v>
      </c>
      <c r="D645" s="6" t="s">
        <v>43</v>
      </c>
      <c r="E645" s="6" t="s">
        <v>45</v>
      </c>
      <c r="F645" s="6" t="s">
        <v>39</v>
      </c>
      <c r="G645" s="6" t="s">
        <v>50</v>
      </c>
      <c r="H645" s="8">
        <v>5231</v>
      </c>
      <c r="I645" s="8">
        <f t="shared" si="42"/>
        <v>784.65</v>
      </c>
      <c r="J645" s="8">
        <f t="shared" si="43"/>
        <v>4446.3500000000004</v>
      </c>
      <c r="K645" s="8">
        <v>23726</v>
      </c>
      <c r="L645" s="6">
        <v>5</v>
      </c>
      <c r="M645" s="22" t="str" cm="1">
        <f t="array" ref="M645">_xlfn.IFS(L645&gt;10,"Veteran",L645&gt;=6,"Experienced",L645&gt;=2,"Developing",L645&gt;=0,"New")</f>
        <v>Developing</v>
      </c>
    </row>
    <row r="646" spans="1:13">
      <c r="A646" s="21" t="str">
        <f t="shared" ca="1" si="40"/>
        <v>Re-Res-2020-645</v>
      </c>
      <c r="B646" s="6">
        <v>31</v>
      </c>
      <c r="C646" s="6" t="str">
        <f t="shared" si="41"/>
        <v>30-39</v>
      </c>
      <c r="D646" s="6" t="s">
        <v>43</v>
      </c>
      <c r="E646" s="6" t="s">
        <v>45</v>
      </c>
      <c r="F646" s="6" t="s">
        <v>46</v>
      </c>
      <c r="G646" s="6" t="s">
        <v>47</v>
      </c>
      <c r="H646" s="8">
        <v>2356</v>
      </c>
      <c r="I646" s="8">
        <f t="shared" si="42"/>
        <v>164.92000000000002</v>
      </c>
      <c r="J646" s="8">
        <f t="shared" si="43"/>
        <v>2191.08</v>
      </c>
      <c r="K646" s="8">
        <v>14871</v>
      </c>
      <c r="L646" s="6">
        <v>6</v>
      </c>
      <c r="M646" s="22" t="str" cm="1">
        <f t="array" ref="M646">_xlfn.IFS(L646&gt;10,"Veteran",L646&gt;=6,"Experienced",L646&gt;=2,"Developing",L646&gt;=0,"New")</f>
        <v>Experienced</v>
      </c>
    </row>
    <row r="647" spans="1:13">
      <c r="A647" s="21" t="str">
        <f t="shared" ca="1" si="40"/>
        <v>Sa-Sal-2023-646</v>
      </c>
      <c r="B647" s="6">
        <v>29</v>
      </c>
      <c r="C647" s="6" t="str">
        <f t="shared" si="41"/>
        <v>20-29</v>
      </c>
      <c r="D647" s="6" t="s">
        <v>35</v>
      </c>
      <c r="E647" s="6" t="s">
        <v>37</v>
      </c>
      <c r="F647" s="6" t="s">
        <v>39</v>
      </c>
      <c r="G647" s="6" t="s">
        <v>57</v>
      </c>
      <c r="H647" s="8">
        <v>2800</v>
      </c>
      <c r="I647" s="8">
        <f t="shared" si="42"/>
        <v>196.00000000000003</v>
      </c>
      <c r="J647" s="8">
        <f t="shared" si="43"/>
        <v>2604</v>
      </c>
      <c r="K647" s="8">
        <v>23522</v>
      </c>
      <c r="L647" s="6">
        <v>3</v>
      </c>
      <c r="M647" s="22" t="str" cm="1">
        <f t="array" ref="M647">_xlfn.IFS(L647&gt;10,"Veteran",L647&gt;=6,"Experienced",L647&gt;=2,"Developing",L647&gt;=0,"New")</f>
        <v>Developing</v>
      </c>
    </row>
    <row r="648" spans="1:13">
      <c r="A648" s="21" t="str">
        <f t="shared" ca="1" si="40"/>
        <v>Sa-Sal-2024-647</v>
      </c>
      <c r="B648" s="6">
        <v>53</v>
      </c>
      <c r="C648" s="6" t="str">
        <f t="shared" si="41"/>
        <v>50+</v>
      </c>
      <c r="D648" s="6" t="s">
        <v>43</v>
      </c>
      <c r="E648" s="6" t="s">
        <v>37</v>
      </c>
      <c r="F648" s="6" t="s">
        <v>46</v>
      </c>
      <c r="G648" s="6" t="s">
        <v>40</v>
      </c>
      <c r="H648" s="8">
        <v>11836</v>
      </c>
      <c r="I648" s="8">
        <f t="shared" si="42"/>
        <v>2603.92</v>
      </c>
      <c r="J648" s="8">
        <f t="shared" si="43"/>
        <v>9232.08</v>
      </c>
      <c r="K648" s="8">
        <v>22789</v>
      </c>
      <c r="L648" s="6">
        <v>2</v>
      </c>
      <c r="M648" s="22" t="str" cm="1">
        <f t="array" ref="M648">_xlfn.IFS(L648&gt;10,"Veteran",L648&gt;=6,"Experienced",L648&gt;=2,"Developing",L648&gt;=0,"New")</f>
        <v>Developing</v>
      </c>
    </row>
    <row r="649" spans="1:13">
      <c r="A649" s="21" t="str">
        <f t="shared" ca="1" si="40"/>
        <v>Ma-Res-2013-648</v>
      </c>
      <c r="B649" s="6">
        <v>35</v>
      </c>
      <c r="C649" s="6" t="str">
        <f t="shared" si="41"/>
        <v>30-39</v>
      </c>
      <c r="D649" s="6" t="s">
        <v>43</v>
      </c>
      <c r="E649" s="6" t="s">
        <v>45</v>
      </c>
      <c r="F649" s="6" t="s">
        <v>46</v>
      </c>
      <c r="G649" s="6" t="s">
        <v>53</v>
      </c>
      <c r="H649" s="8">
        <v>10903</v>
      </c>
      <c r="I649" s="8">
        <f t="shared" si="42"/>
        <v>2398.66</v>
      </c>
      <c r="J649" s="8">
        <f t="shared" si="43"/>
        <v>8504.34</v>
      </c>
      <c r="K649" s="8">
        <v>9129</v>
      </c>
      <c r="L649" s="6">
        <v>13</v>
      </c>
      <c r="M649" s="22" t="str" cm="1">
        <f t="array" ref="M649">_xlfn.IFS(L649&gt;10,"Veteran",L649&gt;=6,"Experienced",L649&gt;=2,"Developing",L649&gt;=0,"New")</f>
        <v>Veteran</v>
      </c>
    </row>
    <row r="650" spans="1:13">
      <c r="A650" s="21" t="str">
        <f t="shared" ca="1" si="40"/>
        <v>Sa-Sal-2021-649</v>
      </c>
      <c r="B650" s="6">
        <v>37</v>
      </c>
      <c r="C650" s="6" t="str">
        <f t="shared" si="41"/>
        <v>30-39</v>
      </c>
      <c r="D650" s="6" t="s">
        <v>43</v>
      </c>
      <c r="E650" s="6" t="s">
        <v>37</v>
      </c>
      <c r="F650" s="6" t="s">
        <v>39</v>
      </c>
      <c r="G650" s="6" t="s">
        <v>57</v>
      </c>
      <c r="H650" s="8">
        <v>2973</v>
      </c>
      <c r="I650" s="8">
        <f t="shared" si="42"/>
        <v>208.11</v>
      </c>
      <c r="J650" s="8">
        <f t="shared" si="43"/>
        <v>2764.89</v>
      </c>
      <c r="K650" s="8">
        <v>21222</v>
      </c>
      <c r="L650" s="6">
        <v>5</v>
      </c>
      <c r="M650" s="22" t="str" cm="1">
        <f t="array" ref="M650">_xlfn.IFS(L650&gt;10,"Veteran",L650&gt;=6,"Experienced",L650&gt;=2,"Developing",L650&gt;=0,"New")</f>
        <v>Developing</v>
      </c>
    </row>
    <row r="651" spans="1:13">
      <c r="A651" s="21" t="str">
        <f t="shared" ca="1" si="40"/>
        <v>Re-Res-2014-650</v>
      </c>
      <c r="B651" s="6">
        <v>53</v>
      </c>
      <c r="C651" s="6" t="str">
        <f t="shared" si="41"/>
        <v>50+</v>
      </c>
      <c r="D651" s="6" t="s">
        <v>43</v>
      </c>
      <c r="E651" s="6" t="s">
        <v>45</v>
      </c>
      <c r="F651" s="6" t="s">
        <v>39</v>
      </c>
      <c r="G651" s="6" t="s">
        <v>58</v>
      </c>
      <c r="H651" s="8">
        <v>14275</v>
      </c>
      <c r="I651" s="8">
        <f t="shared" si="42"/>
        <v>4282.5</v>
      </c>
      <c r="J651" s="8">
        <f t="shared" si="43"/>
        <v>9992.5</v>
      </c>
      <c r="K651" s="8">
        <v>20206</v>
      </c>
      <c r="L651" s="6">
        <v>12</v>
      </c>
      <c r="M651" s="22" t="str" cm="1">
        <f t="array" ref="M651">_xlfn.IFS(L651&gt;10,"Veteran",L651&gt;=6,"Experienced",L651&gt;=2,"Developing",L651&gt;=0,"New")</f>
        <v>Veteran</v>
      </c>
    </row>
    <row r="652" spans="1:13">
      <c r="A652" s="21" t="str">
        <f t="shared" ca="1" si="40"/>
        <v>He-Res-2021-651</v>
      </c>
      <c r="B652" s="6">
        <v>43</v>
      </c>
      <c r="C652" s="6" t="str">
        <f t="shared" si="41"/>
        <v>40-49</v>
      </c>
      <c r="D652" s="6" t="s">
        <v>43</v>
      </c>
      <c r="E652" s="6" t="s">
        <v>45</v>
      </c>
      <c r="F652" s="6" t="s">
        <v>39</v>
      </c>
      <c r="G652" s="6" t="s">
        <v>54</v>
      </c>
      <c r="H652" s="8">
        <v>5562</v>
      </c>
      <c r="I652" s="8">
        <f t="shared" si="42"/>
        <v>834.3</v>
      </c>
      <c r="J652" s="8">
        <f t="shared" si="43"/>
        <v>4727.7</v>
      </c>
      <c r="K652" s="8">
        <v>21782</v>
      </c>
      <c r="L652" s="6">
        <v>5</v>
      </c>
      <c r="M652" s="22" t="str" cm="1">
        <f t="array" ref="M652">_xlfn.IFS(L652&gt;10,"Veteran",L652&gt;=6,"Experienced",L652&gt;=2,"Developing",L652&gt;=0,"New")</f>
        <v>Developing</v>
      </c>
    </row>
    <row r="653" spans="1:13">
      <c r="A653" s="21" t="str">
        <f t="shared" ca="1" si="40"/>
        <v>Sa-Sal-2019-652</v>
      </c>
      <c r="B653" s="6">
        <v>47</v>
      </c>
      <c r="C653" s="6" t="str">
        <f t="shared" si="41"/>
        <v>40-49</v>
      </c>
      <c r="D653" s="6" t="s">
        <v>43</v>
      </c>
      <c r="E653" s="6" t="s">
        <v>37</v>
      </c>
      <c r="F653" s="6" t="s">
        <v>39</v>
      </c>
      <c r="G653" s="6" t="s">
        <v>40</v>
      </c>
      <c r="H653" s="8">
        <v>4537</v>
      </c>
      <c r="I653" s="8">
        <f t="shared" si="42"/>
        <v>680.55</v>
      </c>
      <c r="J653" s="8">
        <f t="shared" si="43"/>
        <v>3856.45</v>
      </c>
      <c r="K653" s="8">
        <v>17783</v>
      </c>
      <c r="L653" s="6">
        <v>7</v>
      </c>
      <c r="M653" s="22" t="str" cm="1">
        <f t="array" ref="M653">_xlfn.IFS(L653&gt;10,"Veteran",L653&gt;=6,"Experienced",L653&gt;=2,"Developing",L653&gt;=0,"New")</f>
        <v>Experienced</v>
      </c>
    </row>
    <row r="654" spans="1:13">
      <c r="A654" s="21" t="str">
        <f t="shared" ca="1" si="40"/>
        <v>Sa-Sal-2016-653</v>
      </c>
      <c r="B654" s="6">
        <v>37</v>
      </c>
      <c r="C654" s="6" t="str">
        <f t="shared" si="41"/>
        <v>30-39</v>
      </c>
      <c r="D654" s="6" t="s">
        <v>43</v>
      </c>
      <c r="E654" s="6" t="s">
        <v>37</v>
      </c>
      <c r="F654" s="6" t="s">
        <v>46</v>
      </c>
      <c r="G654" s="6" t="s">
        <v>40</v>
      </c>
      <c r="H654" s="8">
        <v>7642</v>
      </c>
      <c r="I654" s="8">
        <f t="shared" si="42"/>
        <v>1681.24</v>
      </c>
      <c r="J654" s="8">
        <f t="shared" si="43"/>
        <v>5960.76</v>
      </c>
      <c r="K654" s="8">
        <v>4814</v>
      </c>
      <c r="L654" s="6">
        <v>10</v>
      </c>
      <c r="M654" s="22" t="str" cm="1">
        <f t="array" ref="M654">_xlfn.IFS(L654&gt;10,"Veteran",L654&gt;=6,"Experienced",L654&gt;=2,"Developing",L654&gt;=0,"New")</f>
        <v>Experienced</v>
      </c>
    </row>
    <row r="655" spans="1:13">
      <c r="A655" s="21" t="str">
        <f t="shared" ca="1" si="40"/>
        <v>Ma-Res-1995-654</v>
      </c>
      <c r="B655" s="6">
        <v>50</v>
      </c>
      <c r="C655" s="6" t="str">
        <f t="shared" si="41"/>
        <v>50+</v>
      </c>
      <c r="D655" s="6" t="s">
        <v>43</v>
      </c>
      <c r="E655" s="6" t="s">
        <v>45</v>
      </c>
      <c r="F655" s="6" t="s">
        <v>46</v>
      </c>
      <c r="G655" s="6" t="s">
        <v>56</v>
      </c>
      <c r="H655" s="8">
        <v>17924</v>
      </c>
      <c r="I655" s="8">
        <f t="shared" si="42"/>
        <v>5377.2</v>
      </c>
      <c r="J655" s="8">
        <f t="shared" si="43"/>
        <v>12546.8</v>
      </c>
      <c r="K655" s="8">
        <v>4544</v>
      </c>
      <c r="L655" s="6">
        <v>31</v>
      </c>
      <c r="M655" s="22" t="str" cm="1">
        <f t="array" ref="M655">_xlfn.IFS(L655&gt;10,"Veteran",L655&gt;=6,"Experienced",L655&gt;=2,"Developing",L655&gt;=0,"New")</f>
        <v>Veteran</v>
      </c>
    </row>
    <row r="656" spans="1:13">
      <c r="A656" s="21" t="str">
        <f t="shared" ca="1" si="40"/>
        <v>Hu-Hum-2021-655</v>
      </c>
      <c r="B656" s="6">
        <v>39</v>
      </c>
      <c r="C656" s="6" t="str">
        <f t="shared" si="41"/>
        <v>30-39</v>
      </c>
      <c r="D656" s="6" t="s">
        <v>43</v>
      </c>
      <c r="E656" s="6" t="s">
        <v>61</v>
      </c>
      <c r="F656" s="6" t="s">
        <v>39</v>
      </c>
      <c r="G656" s="6" t="s">
        <v>61</v>
      </c>
      <c r="H656" s="8">
        <v>5204</v>
      </c>
      <c r="I656" s="8">
        <f t="shared" si="42"/>
        <v>780.6</v>
      </c>
      <c r="J656" s="8">
        <f t="shared" si="43"/>
        <v>4423.3999999999996</v>
      </c>
      <c r="K656" s="8">
        <v>7790</v>
      </c>
      <c r="L656" s="6">
        <v>5</v>
      </c>
      <c r="M656" s="22" t="str" cm="1">
        <f t="array" ref="M656">_xlfn.IFS(L656&gt;10,"Veteran",L656&gt;=6,"Experienced",L656&gt;=2,"Developing",L656&gt;=0,"New")</f>
        <v>Developing</v>
      </c>
    </row>
    <row r="657" spans="1:13">
      <c r="A657" s="21" t="str">
        <f t="shared" ca="1" si="40"/>
        <v>Hu-Hum-2022-656</v>
      </c>
      <c r="B657" s="6">
        <v>33</v>
      </c>
      <c r="C657" s="6" t="str">
        <f t="shared" si="41"/>
        <v>30-39</v>
      </c>
      <c r="D657" s="6" t="s">
        <v>43</v>
      </c>
      <c r="E657" s="6" t="s">
        <v>61</v>
      </c>
      <c r="F657" s="6" t="s">
        <v>46</v>
      </c>
      <c r="G657" s="6" t="s">
        <v>61</v>
      </c>
      <c r="H657" s="8">
        <v>2277</v>
      </c>
      <c r="I657" s="8">
        <f t="shared" si="42"/>
        <v>159.39000000000001</v>
      </c>
      <c r="J657" s="8">
        <f t="shared" si="43"/>
        <v>2117.61</v>
      </c>
      <c r="K657" s="8">
        <v>22650</v>
      </c>
      <c r="L657" s="6">
        <v>4</v>
      </c>
      <c r="M657" s="22" t="str" cm="1">
        <f t="array" ref="M657">_xlfn.IFS(L657&gt;10,"Veteran",L657&gt;=6,"Experienced",L657&gt;=2,"Developing",L657&gt;=0,"New")</f>
        <v>Developing</v>
      </c>
    </row>
    <row r="658" spans="1:13">
      <c r="A658" s="21" t="str">
        <f t="shared" ca="1" si="40"/>
        <v>La-Res-2025-657</v>
      </c>
      <c r="B658" s="6">
        <v>32</v>
      </c>
      <c r="C658" s="6" t="str">
        <f t="shared" si="41"/>
        <v>30-39</v>
      </c>
      <c r="D658" s="6" t="s">
        <v>35</v>
      </c>
      <c r="E658" s="6" t="s">
        <v>45</v>
      </c>
      <c r="F658" s="6" t="s">
        <v>46</v>
      </c>
      <c r="G658" s="6" t="s">
        <v>50</v>
      </c>
      <c r="H658" s="8">
        <v>2795</v>
      </c>
      <c r="I658" s="8">
        <f t="shared" si="42"/>
        <v>195.65</v>
      </c>
      <c r="J658" s="8">
        <f t="shared" si="43"/>
        <v>2599.35</v>
      </c>
      <c r="K658" s="8">
        <v>18016</v>
      </c>
      <c r="L658" s="6">
        <v>1</v>
      </c>
      <c r="M658" s="22" t="str" cm="1">
        <f t="array" ref="M658">_xlfn.IFS(L658&gt;10,"Veteran",L658&gt;=6,"Experienced",L658&gt;=2,"Developing",L658&gt;=0,"New")</f>
        <v>New</v>
      </c>
    </row>
    <row r="659" spans="1:13">
      <c r="A659" s="21" t="str">
        <f t="shared" ca="1" si="40"/>
        <v>La-Res-2022-658</v>
      </c>
      <c r="B659" s="6">
        <v>29</v>
      </c>
      <c r="C659" s="6" t="str">
        <f t="shared" si="41"/>
        <v>20-29</v>
      </c>
      <c r="D659" s="6" t="s">
        <v>43</v>
      </c>
      <c r="E659" s="6" t="s">
        <v>45</v>
      </c>
      <c r="F659" s="6" t="s">
        <v>39</v>
      </c>
      <c r="G659" s="6" t="s">
        <v>50</v>
      </c>
      <c r="H659" s="8">
        <v>2532</v>
      </c>
      <c r="I659" s="8">
        <f t="shared" si="42"/>
        <v>177.24</v>
      </c>
      <c r="J659" s="8">
        <f t="shared" si="43"/>
        <v>2354.7600000000002</v>
      </c>
      <c r="K659" s="8">
        <v>6054</v>
      </c>
      <c r="L659" s="6">
        <v>4</v>
      </c>
      <c r="M659" s="22" t="str" cm="1">
        <f t="array" ref="M659">_xlfn.IFS(L659&gt;10,"Veteran",L659&gt;=6,"Experienced",L659&gt;=2,"Developing",L659&gt;=0,"New")</f>
        <v>Developing</v>
      </c>
    </row>
    <row r="660" spans="1:13">
      <c r="A660" s="21" t="str">
        <f t="shared" ca="1" si="40"/>
        <v>Re-Res-2018-659</v>
      </c>
      <c r="B660" s="6">
        <v>44</v>
      </c>
      <c r="C660" s="6" t="str">
        <f t="shared" si="41"/>
        <v>40-49</v>
      </c>
      <c r="D660" s="6" t="s">
        <v>43</v>
      </c>
      <c r="E660" s="6" t="s">
        <v>45</v>
      </c>
      <c r="F660" s="6" t="s">
        <v>46</v>
      </c>
      <c r="G660" s="6" t="s">
        <v>47</v>
      </c>
      <c r="H660" s="8">
        <v>2559</v>
      </c>
      <c r="I660" s="8">
        <f t="shared" si="42"/>
        <v>179.13000000000002</v>
      </c>
      <c r="J660" s="8">
        <f t="shared" si="43"/>
        <v>2379.87</v>
      </c>
      <c r="K660" s="8">
        <v>7508</v>
      </c>
      <c r="L660" s="6">
        <v>8</v>
      </c>
      <c r="M660" s="22" t="str" cm="1">
        <f t="array" ref="M660">_xlfn.IFS(L660&gt;10,"Veteran",L660&gt;=6,"Experienced",L660&gt;=2,"Developing",L660&gt;=0,"New")</f>
        <v>Experienced</v>
      </c>
    </row>
    <row r="661" spans="1:13">
      <c r="A661" s="21" t="str">
        <f t="shared" ca="1" si="40"/>
        <v>Sa-Sal-2022-660</v>
      </c>
      <c r="B661" s="6">
        <v>28</v>
      </c>
      <c r="C661" s="6" t="str">
        <f t="shared" si="41"/>
        <v>20-29</v>
      </c>
      <c r="D661" s="6" t="s">
        <v>43</v>
      </c>
      <c r="E661" s="6" t="s">
        <v>37</v>
      </c>
      <c r="F661" s="6" t="s">
        <v>46</v>
      </c>
      <c r="G661" s="6" t="s">
        <v>40</v>
      </c>
      <c r="H661" s="8">
        <v>4908</v>
      </c>
      <c r="I661" s="8">
        <f t="shared" si="42"/>
        <v>736.19999999999993</v>
      </c>
      <c r="J661" s="8">
        <f t="shared" si="43"/>
        <v>4171.8</v>
      </c>
      <c r="K661" s="8">
        <v>24252</v>
      </c>
      <c r="L661" s="6">
        <v>4</v>
      </c>
      <c r="M661" s="22" t="str" cm="1">
        <f t="array" ref="M661">_xlfn.IFS(L661&gt;10,"Veteran",L661&gt;=6,"Experienced",L661&gt;=2,"Developing",L661&gt;=0,"New")</f>
        <v>Developing</v>
      </c>
    </row>
    <row r="662" spans="1:13">
      <c r="A662" s="21" t="str">
        <f t="shared" ca="1" si="40"/>
        <v>La-Res-2025-661</v>
      </c>
      <c r="B662" s="6">
        <v>58</v>
      </c>
      <c r="C662" s="6" t="str">
        <f t="shared" si="41"/>
        <v>50+</v>
      </c>
      <c r="D662" s="6" t="s">
        <v>35</v>
      </c>
      <c r="E662" s="6" t="s">
        <v>45</v>
      </c>
      <c r="F662" s="6" t="s">
        <v>46</v>
      </c>
      <c r="G662" s="6" t="s">
        <v>50</v>
      </c>
      <c r="H662" s="8">
        <v>2380</v>
      </c>
      <c r="I662" s="8">
        <f t="shared" si="42"/>
        <v>166.60000000000002</v>
      </c>
      <c r="J662" s="8">
        <f t="shared" si="43"/>
        <v>2213.4</v>
      </c>
      <c r="K662" s="8">
        <v>13384</v>
      </c>
      <c r="L662" s="6">
        <v>1</v>
      </c>
      <c r="M662" s="22" t="str" cm="1">
        <f t="array" ref="M662">_xlfn.IFS(L662&gt;10,"Veteran",L662&gt;=6,"Experienced",L662&gt;=2,"Developing",L662&gt;=0,"New")</f>
        <v>New</v>
      </c>
    </row>
    <row r="663" spans="1:13">
      <c r="A663" s="21" t="str">
        <f t="shared" ca="1" si="40"/>
        <v>Ma-Res-2025-662</v>
      </c>
      <c r="B663" s="6">
        <v>43</v>
      </c>
      <c r="C663" s="6" t="str">
        <f t="shared" si="41"/>
        <v>40-49</v>
      </c>
      <c r="D663" s="6" t="s">
        <v>43</v>
      </c>
      <c r="E663" s="6" t="s">
        <v>45</v>
      </c>
      <c r="F663" s="6" t="s">
        <v>39</v>
      </c>
      <c r="G663" s="6" t="s">
        <v>53</v>
      </c>
      <c r="H663" s="8">
        <v>4765</v>
      </c>
      <c r="I663" s="8">
        <f t="shared" si="42"/>
        <v>714.75</v>
      </c>
      <c r="J663" s="8">
        <f t="shared" si="43"/>
        <v>4050.25</v>
      </c>
      <c r="K663" s="8">
        <v>23814</v>
      </c>
      <c r="L663" s="6">
        <v>1</v>
      </c>
      <c r="M663" s="22" t="str" cm="1">
        <f t="array" ref="M663">_xlfn.IFS(L663&gt;10,"Veteran",L663&gt;=6,"Experienced",L663&gt;=2,"Developing",L663&gt;=0,"New")</f>
        <v>New</v>
      </c>
    </row>
    <row r="664" spans="1:13">
      <c r="A664" s="21" t="str">
        <f t="shared" ca="1" si="40"/>
        <v>Sa-Sal-2024-663</v>
      </c>
      <c r="B664" s="6">
        <v>20</v>
      </c>
      <c r="C664" s="6" t="str">
        <f t="shared" si="41"/>
        <v>20-29</v>
      </c>
      <c r="D664" s="6" t="s">
        <v>35</v>
      </c>
      <c r="E664" s="6" t="s">
        <v>37</v>
      </c>
      <c r="F664" s="6" t="s">
        <v>39</v>
      </c>
      <c r="G664" s="6" t="s">
        <v>57</v>
      </c>
      <c r="H664" s="8">
        <v>2044</v>
      </c>
      <c r="I664" s="8">
        <f t="shared" si="42"/>
        <v>143.08000000000001</v>
      </c>
      <c r="J664" s="8">
        <f t="shared" si="43"/>
        <v>1900.92</v>
      </c>
      <c r="K664" s="8">
        <v>22052</v>
      </c>
      <c r="L664" s="6">
        <v>2</v>
      </c>
      <c r="M664" s="22" t="str" cm="1">
        <f t="array" ref="M664">_xlfn.IFS(L664&gt;10,"Veteran",L664&gt;=6,"Experienced",L664&gt;=2,"Developing",L664&gt;=0,"New")</f>
        <v>Developing</v>
      </c>
    </row>
    <row r="665" spans="1:13">
      <c r="A665" s="21" t="str">
        <f t="shared" ca="1" si="40"/>
        <v>Re-Res-2025-664</v>
      </c>
      <c r="B665" s="6">
        <v>21</v>
      </c>
      <c r="C665" s="6" t="str">
        <f t="shared" si="41"/>
        <v>20-29</v>
      </c>
      <c r="D665" s="6" t="s">
        <v>35</v>
      </c>
      <c r="E665" s="6" t="s">
        <v>45</v>
      </c>
      <c r="F665" s="6" t="s">
        <v>39</v>
      </c>
      <c r="G665" s="6" t="s">
        <v>47</v>
      </c>
      <c r="H665" s="8">
        <v>2693</v>
      </c>
      <c r="I665" s="8">
        <f t="shared" si="42"/>
        <v>188.51000000000002</v>
      </c>
      <c r="J665" s="8">
        <f t="shared" si="43"/>
        <v>2504.4899999999998</v>
      </c>
      <c r="K665" s="8">
        <v>8870</v>
      </c>
      <c r="L665" s="6">
        <v>1</v>
      </c>
      <c r="M665" s="22" t="str" cm="1">
        <f t="array" ref="M665">_xlfn.IFS(L665&gt;10,"Veteran",L665&gt;=6,"Experienced",L665&gt;=2,"Developing",L665&gt;=0,"New")</f>
        <v>New</v>
      </c>
    </row>
    <row r="666" spans="1:13">
      <c r="A666" s="21" t="str">
        <f t="shared" ca="1" si="40"/>
        <v>He-Res-2010-665</v>
      </c>
      <c r="B666" s="6">
        <v>36</v>
      </c>
      <c r="C666" s="6" t="str">
        <f t="shared" si="41"/>
        <v>30-39</v>
      </c>
      <c r="D666" s="6" t="s">
        <v>43</v>
      </c>
      <c r="E666" s="6" t="s">
        <v>45</v>
      </c>
      <c r="F666" s="6" t="s">
        <v>46</v>
      </c>
      <c r="G666" s="6" t="s">
        <v>54</v>
      </c>
      <c r="H666" s="8">
        <v>6586</v>
      </c>
      <c r="I666" s="8">
        <f t="shared" si="42"/>
        <v>987.9</v>
      </c>
      <c r="J666" s="8">
        <f t="shared" si="43"/>
        <v>5598.1</v>
      </c>
      <c r="K666" s="8">
        <v>4821</v>
      </c>
      <c r="L666" s="6">
        <v>16</v>
      </c>
      <c r="M666" s="22" t="str" cm="1">
        <f t="array" ref="M666">_xlfn.IFS(L666&gt;10,"Veteran",L666&gt;=6,"Experienced",L666&gt;=2,"Developing",L666&gt;=0,"New")</f>
        <v>Veteran</v>
      </c>
    </row>
    <row r="667" spans="1:13">
      <c r="A667" s="21" t="str">
        <f t="shared" ca="1" si="40"/>
        <v>Sa-Sal-2023-666</v>
      </c>
      <c r="B667" s="6">
        <v>47</v>
      </c>
      <c r="C667" s="6" t="str">
        <f t="shared" si="41"/>
        <v>40-49</v>
      </c>
      <c r="D667" s="6" t="s">
        <v>43</v>
      </c>
      <c r="E667" s="6" t="s">
        <v>37</v>
      </c>
      <c r="F667" s="6" t="s">
        <v>39</v>
      </c>
      <c r="G667" s="6" t="s">
        <v>57</v>
      </c>
      <c r="H667" s="8">
        <v>3294</v>
      </c>
      <c r="I667" s="8">
        <f t="shared" si="42"/>
        <v>494.09999999999997</v>
      </c>
      <c r="J667" s="8">
        <f t="shared" si="43"/>
        <v>2799.9</v>
      </c>
      <c r="K667" s="8">
        <v>13137</v>
      </c>
      <c r="L667" s="6">
        <v>3</v>
      </c>
      <c r="M667" s="22" t="str" cm="1">
        <f t="array" ref="M667">_xlfn.IFS(L667&gt;10,"Veteran",L667&gt;=6,"Experienced",L667&gt;=2,"Developing",L667&gt;=0,"New")</f>
        <v>Developing</v>
      </c>
    </row>
    <row r="668" spans="1:13">
      <c r="A668" s="21" t="str">
        <f t="shared" ca="1" si="40"/>
        <v>Ma-Res-2023-667</v>
      </c>
      <c r="B668" s="6">
        <v>22</v>
      </c>
      <c r="C668" s="6" t="str">
        <f t="shared" si="41"/>
        <v>20-29</v>
      </c>
      <c r="D668" s="6" t="s">
        <v>35</v>
      </c>
      <c r="E668" s="6" t="s">
        <v>45</v>
      </c>
      <c r="F668" s="6" t="s">
        <v>39</v>
      </c>
      <c r="G668" s="6" t="s">
        <v>53</v>
      </c>
      <c r="H668" s="8">
        <v>4171</v>
      </c>
      <c r="I668" s="8">
        <f t="shared" si="42"/>
        <v>625.65</v>
      </c>
      <c r="J668" s="8">
        <f t="shared" si="43"/>
        <v>3545.35</v>
      </c>
      <c r="K668" s="8">
        <v>10022</v>
      </c>
      <c r="L668" s="6">
        <v>3</v>
      </c>
      <c r="M668" s="22" t="str" cm="1">
        <f t="array" ref="M668">_xlfn.IFS(L668&gt;10,"Veteran",L668&gt;=6,"Experienced",L668&gt;=2,"Developing",L668&gt;=0,"New")</f>
        <v>Developing</v>
      </c>
    </row>
    <row r="669" spans="1:13">
      <c r="A669" s="21" t="str">
        <f t="shared" ca="1" si="40"/>
        <v>La-Res-2019-668</v>
      </c>
      <c r="B669" s="6">
        <v>41</v>
      </c>
      <c r="C669" s="6" t="str">
        <f t="shared" si="41"/>
        <v>40-49</v>
      </c>
      <c r="D669" s="6" t="s">
        <v>35</v>
      </c>
      <c r="E669" s="6" t="s">
        <v>45</v>
      </c>
      <c r="F669" s="6" t="s">
        <v>39</v>
      </c>
      <c r="G669" s="6" t="s">
        <v>50</v>
      </c>
      <c r="H669" s="8">
        <v>2778</v>
      </c>
      <c r="I669" s="8">
        <f t="shared" si="42"/>
        <v>194.46</v>
      </c>
      <c r="J669" s="8">
        <f t="shared" si="43"/>
        <v>2583.54</v>
      </c>
      <c r="K669" s="8">
        <v>17725</v>
      </c>
      <c r="L669" s="6">
        <v>7</v>
      </c>
      <c r="M669" s="22" t="str" cm="1">
        <f t="array" ref="M669">_xlfn.IFS(L669&gt;10,"Veteran",L669&gt;=6,"Experienced",L669&gt;=2,"Developing",L669&gt;=0,"New")</f>
        <v>Experienced</v>
      </c>
    </row>
    <row r="670" spans="1:13">
      <c r="A670" s="21" t="str">
        <f t="shared" ca="1" si="40"/>
        <v>Re-Res-2024-669</v>
      </c>
      <c r="B670" s="6">
        <v>28</v>
      </c>
      <c r="C670" s="6" t="str">
        <f t="shared" si="41"/>
        <v>20-29</v>
      </c>
      <c r="D670" s="6" t="s">
        <v>43</v>
      </c>
      <c r="E670" s="6" t="s">
        <v>45</v>
      </c>
      <c r="F670" s="6" t="s">
        <v>39</v>
      </c>
      <c r="G670" s="6" t="s">
        <v>47</v>
      </c>
      <c r="H670" s="8">
        <v>2377</v>
      </c>
      <c r="I670" s="8">
        <f t="shared" si="42"/>
        <v>166.39000000000001</v>
      </c>
      <c r="J670" s="8">
        <f t="shared" si="43"/>
        <v>2210.61</v>
      </c>
      <c r="K670" s="8">
        <v>9834</v>
      </c>
      <c r="L670" s="6">
        <v>2</v>
      </c>
      <c r="M670" s="22" t="str" cm="1">
        <f t="array" ref="M670">_xlfn.IFS(L670&gt;10,"Veteran",L670&gt;=6,"Experienced",L670&gt;=2,"Developing",L670&gt;=0,"New")</f>
        <v>Developing</v>
      </c>
    </row>
    <row r="671" spans="1:13">
      <c r="A671" s="21" t="str">
        <f t="shared" ca="1" si="40"/>
        <v>La-Res-2024-670</v>
      </c>
      <c r="B671" s="6">
        <v>39</v>
      </c>
      <c r="C671" s="6" t="str">
        <f t="shared" si="41"/>
        <v>30-39</v>
      </c>
      <c r="D671" s="6" t="s">
        <v>35</v>
      </c>
      <c r="E671" s="6" t="s">
        <v>45</v>
      </c>
      <c r="F671" s="6" t="s">
        <v>46</v>
      </c>
      <c r="G671" s="6" t="s">
        <v>50</v>
      </c>
      <c r="H671" s="8">
        <v>2404</v>
      </c>
      <c r="I671" s="8">
        <f t="shared" si="42"/>
        <v>168.28000000000003</v>
      </c>
      <c r="J671" s="8">
        <f t="shared" si="43"/>
        <v>2235.7199999999998</v>
      </c>
      <c r="K671" s="8">
        <v>4303</v>
      </c>
      <c r="L671" s="6">
        <v>2</v>
      </c>
      <c r="M671" s="22" t="str" cm="1">
        <f t="array" ref="M671">_xlfn.IFS(L671&gt;10,"Veteran",L671&gt;=6,"Experienced",L671&gt;=2,"Developing",L671&gt;=0,"New")</f>
        <v>Developing</v>
      </c>
    </row>
    <row r="672" spans="1:13">
      <c r="A672" s="21" t="str">
        <f t="shared" ca="1" si="40"/>
        <v>Re-Res-2025-671</v>
      </c>
      <c r="B672" s="6">
        <v>27</v>
      </c>
      <c r="C672" s="6" t="str">
        <f t="shared" si="41"/>
        <v>20-29</v>
      </c>
      <c r="D672" s="6" t="s">
        <v>43</v>
      </c>
      <c r="E672" s="6" t="s">
        <v>45</v>
      </c>
      <c r="F672" s="6" t="s">
        <v>39</v>
      </c>
      <c r="G672" s="6" t="s">
        <v>47</v>
      </c>
      <c r="H672" s="8">
        <v>2318</v>
      </c>
      <c r="I672" s="8">
        <f t="shared" si="42"/>
        <v>162.26000000000002</v>
      </c>
      <c r="J672" s="8">
        <f t="shared" si="43"/>
        <v>2155.7399999999998</v>
      </c>
      <c r="K672" s="8">
        <v>17808</v>
      </c>
      <c r="L672" s="6">
        <v>1</v>
      </c>
      <c r="M672" s="22" t="str" cm="1">
        <f t="array" ref="M672">_xlfn.IFS(L672&gt;10,"Veteran",L672&gt;=6,"Experienced",L672&gt;=2,"Developing",L672&gt;=0,"New")</f>
        <v>New</v>
      </c>
    </row>
    <row r="673" spans="1:13">
      <c r="A673" s="21" t="str">
        <f t="shared" ca="1" si="40"/>
        <v>La-Res-2025-672</v>
      </c>
      <c r="B673" s="6">
        <v>34</v>
      </c>
      <c r="C673" s="6" t="str">
        <f t="shared" si="41"/>
        <v>30-39</v>
      </c>
      <c r="D673" s="6" t="s">
        <v>43</v>
      </c>
      <c r="E673" s="6" t="s">
        <v>45</v>
      </c>
      <c r="F673" s="6" t="s">
        <v>46</v>
      </c>
      <c r="G673" s="6" t="s">
        <v>50</v>
      </c>
      <c r="H673" s="8">
        <v>2008</v>
      </c>
      <c r="I673" s="8">
        <f t="shared" si="42"/>
        <v>140.56</v>
      </c>
      <c r="J673" s="8">
        <f t="shared" si="43"/>
        <v>1867.44</v>
      </c>
      <c r="K673" s="8">
        <v>6896</v>
      </c>
      <c r="L673" s="6">
        <v>1</v>
      </c>
      <c r="M673" s="22" t="str" cm="1">
        <f t="array" ref="M673">_xlfn.IFS(L673&gt;10,"Veteran",L673&gt;=6,"Experienced",L673&gt;=2,"Developing",L673&gt;=0,"New")</f>
        <v>New</v>
      </c>
    </row>
    <row r="674" spans="1:13">
      <c r="A674" s="21" t="str">
        <f t="shared" ca="1" si="40"/>
        <v>Sa-Sal-2021-673</v>
      </c>
      <c r="B674" s="6">
        <v>42</v>
      </c>
      <c r="C674" s="6" t="str">
        <f t="shared" si="41"/>
        <v>40-49</v>
      </c>
      <c r="D674" s="6" t="s">
        <v>43</v>
      </c>
      <c r="E674" s="6" t="s">
        <v>37</v>
      </c>
      <c r="F674" s="6" t="s">
        <v>39</v>
      </c>
      <c r="G674" s="6" t="s">
        <v>40</v>
      </c>
      <c r="H674" s="8">
        <v>6244</v>
      </c>
      <c r="I674" s="8">
        <f t="shared" si="42"/>
        <v>936.59999999999991</v>
      </c>
      <c r="J674" s="8">
        <f t="shared" si="43"/>
        <v>5307.4</v>
      </c>
      <c r="K674" s="8">
        <v>7824</v>
      </c>
      <c r="L674" s="6">
        <v>5</v>
      </c>
      <c r="M674" s="22" t="str" cm="1">
        <f t="array" ref="M674">_xlfn.IFS(L674&gt;10,"Veteran",L674&gt;=6,"Experienced",L674&gt;=2,"Developing",L674&gt;=0,"New")</f>
        <v>Developing</v>
      </c>
    </row>
    <row r="675" spans="1:13">
      <c r="A675" s="21" t="str">
        <f t="shared" ca="1" si="40"/>
        <v>Re-Res-2023-674</v>
      </c>
      <c r="B675" s="6">
        <v>33</v>
      </c>
      <c r="C675" s="6" t="str">
        <f t="shared" si="41"/>
        <v>30-39</v>
      </c>
      <c r="D675" s="6" t="s">
        <v>43</v>
      </c>
      <c r="E675" s="6" t="s">
        <v>45</v>
      </c>
      <c r="F675" s="6" t="s">
        <v>46</v>
      </c>
      <c r="G675" s="6" t="s">
        <v>47</v>
      </c>
      <c r="H675" s="8">
        <v>2799</v>
      </c>
      <c r="I675" s="8">
        <f t="shared" si="42"/>
        <v>195.93</v>
      </c>
      <c r="J675" s="8">
        <f t="shared" si="43"/>
        <v>2603.0700000000002</v>
      </c>
      <c r="K675" s="8">
        <v>3339</v>
      </c>
      <c r="L675" s="6">
        <v>3</v>
      </c>
      <c r="M675" s="22" t="str" cm="1">
        <f t="array" ref="M675">_xlfn.IFS(L675&gt;10,"Veteran",L675&gt;=6,"Experienced",L675&gt;=2,"Developing",L675&gt;=0,"New")</f>
        <v>Developing</v>
      </c>
    </row>
    <row r="676" spans="1:13">
      <c r="A676" s="21" t="str">
        <f t="shared" ca="1" si="40"/>
        <v>He-Res-2020-675</v>
      </c>
      <c r="B676" s="6">
        <v>58</v>
      </c>
      <c r="C676" s="6" t="str">
        <f t="shared" si="41"/>
        <v>50+</v>
      </c>
      <c r="D676" s="6" t="s">
        <v>43</v>
      </c>
      <c r="E676" s="6" t="s">
        <v>45</v>
      </c>
      <c r="F676" s="6" t="s">
        <v>39</v>
      </c>
      <c r="G676" s="6" t="s">
        <v>54</v>
      </c>
      <c r="H676" s="8">
        <v>10552</v>
      </c>
      <c r="I676" s="8">
        <f t="shared" si="42"/>
        <v>2321.44</v>
      </c>
      <c r="J676" s="8">
        <f t="shared" si="43"/>
        <v>8230.56</v>
      </c>
      <c r="K676" s="8">
        <v>9255</v>
      </c>
      <c r="L676" s="6">
        <v>6</v>
      </c>
      <c r="M676" s="22" t="str" cm="1">
        <f t="array" ref="M676">_xlfn.IFS(L676&gt;10,"Veteran",L676&gt;=6,"Experienced",L676&gt;=2,"Developing",L676&gt;=0,"New")</f>
        <v>Experienced</v>
      </c>
    </row>
    <row r="677" spans="1:13">
      <c r="A677" s="21" t="str">
        <f t="shared" ca="1" si="40"/>
        <v>Sa-Sal-2019-676</v>
      </c>
      <c r="B677" s="6">
        <v>31</v>
      </c>
      <c r="C677" s="6" t="str">
        <f t="shared" si="41"/>
        <v>30-39</v>
      </c>
      <c r="D677" s="6" t="s">
        <v>43</v>
      </c>
      <c r="E677" s="6" t="s">
        <v>37</v>
      </c>
      <c r="F677" s="6" t="s">
        <v>46</v>
      </c>
      <c r="G677" s="6" t="s">
        <v>57</v>
      </c>
      <c r="H677" s="8">
        <v>2329</v>
      </c>
      <c r="I677" s="8">
        <f t="shared" si="42"/>
        <v>163.03000000000003</v>
      </c>
      <c r="J677" s="8">
        <f t="shared" si="43"/>
        <v>2165.9699999999998</v>
      </c>
      <c r="K677" s="8">
        <v>11737</v>
      </c>
      <c r="L677" s="6">
        <v>7</v>
      </c>
      <c r="M677" s="22" t="str" cm="1">
        <f t="array" ref="M677">_xlfn.IFS(L677&gt;10,"Veteran",L677&gt;=6,"Experienced",L677&gt;=2,"Developing",L677&gt;=0,"New")</f>
        <v>Experienced</v>
      </c>
    </row>
    <row r="678" spans="1:13">
      <c r="A678" s="21" t="str">
        <f t="shared" ca="1" si="40"/>
        <v>He-Res-2016-677</v>
      </c>
      <c r="B678" s="6">
        <v>35</v>
      </c>
      <c r="C678" s="6" t="str">
        <f t="shared" si="41"/>
        <v>30-39</v>
      </c>
      <c r="D678" s="6" t="s">
        <v>43</v>
      </c>
      <c r="E678" s="6" t="s">
        <v>45</v>
      </c>
      <c r="F678" s="6" t="s">
        <v>39</v>
      </c>
      <c r="G678" s="6" t="s">
        <v>54</v>
      </c>
      <c r="H678" s="8">
        <v>4014</v>
      </c>
      <c r="I678" s="8">
        <f t="shared" si="42"/>
        <v>602.1</v>
      </c>
      <c r="J678" s="8">
        <f t="shared" si="43"/>
        <v>3411.9</v>
      </c>
      <c r="K678" s="8">
        <v>19170</v>
      </c>
      <c r="L678" s="6">
        <v>10</v>
      </c>
      <c r="M678" s="22" t="str" cm="1">
        <f t="array" ref="M678">_xlfn.IFS(L678&gt;10,"Veteran",L678&gt;=6,"Experienced",L678&gt;=2,"Developing",L678&gt;=0,"New")</f>
        <v>Experienced</v>
      </c>
    </row>
    <row r="679" spans="1:13">
      <c r="A679" s="21" t="str">
        <f t="shared" ca="1" si="40"/>
        <v>La-Res-2000-678</v>
      </c>
      <c r="B679" s="6">
        <v>49</v>
      </c>
      <c r="C679" s="6" t="str">
        <f t="shared" si="41"/>
        <v>40-49</v>
      </c>
      <c r="D679" s="6" t="s">
        <v>43</v>
      </c>
      <c r="E679" s="6" t="s">
        <v>45</v>
      </c>
      <c r="F679" s="6" t="s">
        <v>39</v>
      </c>
      <c r="G679" s="6" t="s">
        <v>50</v>
      </c>
      <c r="H679" s="8">
        <v>7403</v>
      </c>
      <c r="I679" s="8">
        <f t="shared" si="42"/>
        <v>1628.66</v>
      </c>
      <c r="J679" s="8">
        <f t="shared" si="43"/>
        <v>5774.34</v>
      </c>
      <c r="K679" s="8">
        <v>22477</v>
      </c>
      <c r="L679" s="6">
        <v>26</v>
      </c>
      <c r="M679" s="22" t="str" cm="1">
        <f t="array" ref="M679">_xlfn.IFS(L679&gt;10,"Veteran",L679&gt;=6,"Experienced",L679&gt;=2,"Developing",L679&gt;=0,"New")</f>
        <v>Veteran</v>
      </c>
    </row>
    <row r="680" spans="1:13">
      <c r="A680" s="21" t="str">
        <f t="shared" ca="1" si="40"/>
        <v>Re-Res-2026-679</v>
      </c>
      <c r="B680" s="6">
        <v>48</v>
      </c>
      <c r="C680" s="6" t="str">
        <f t="shared" si="41"/>
        <v>40-49</v>
      </c>
      <c r="D680" s="6" t="s">
        <v>43</v>
      </c>
      <c r="E680" s="6" t="s">
        <v>45</v>
      </c>
      <c r="F680" s="6" t="s">
        <v>46</v>
      </c>
      <c r="G680" s="6" t="s">
        <v>47</v>
      </c>
      <c r="H680" s="8">
        <v>2259</v>
      </c>
      <c r="I680" s="8">
        <f t="shared" si="42"/>
        <v>158.13000000000002</v>
      </c>
      <c r="J680" s="8">
        <f t="shared" si="43"/>
        <v>2100.87</v>
      </c>
      <c r="K680" s="8">
        <v>5543</v>
      </c>
      <c r="L680" s="6">
        <v>0</v>
      </c>
      <c r="M680" s="22" t="str" cm="1">
        <f t="array" ref="M680">_xlfn.IFS(L680&gt;10,"Veteran",L680&gt;=6,"Experienced",L680&gt;=2,"Developing",L680&gt;=0,"New")</f>
        <v>New</v>
      </c>
    </row>
    <row r="681" spans="1:13">
      <c r="A681" s="21" t="str">
        <f t="shared" ca="1" si="40"/>
        <v>Sa-Sal-2017-680</v>
      </c>
      <c r="B681" s="6">
        <v>31</v>
      </c>
      <c r="C681" s="6" t="str">
        <f t="shared" si="41"/>
        <v>30-39</v>
      </c>
      <c r="D681" s="6" t="s">
        <v>43</v>
      </c>
      <c r="E681" s="6" t="s">
        <v>37</v>
      </c>
      <c r="F681" s="6" t="s">
        <v>39</v>
      </c>
      <c r="G681" s="6" t="s">
        <v>40</v>
      </c>
      <c r="H681" s="8">
        <v>6932</v>
      </c>
      <c r="I681" s="8">
        <f t="shared" si="42"/>
        <v>1039.8</v>
      </c>
      <c r="J681" s="8">
        <f t="shared" si="43"/>
        <v>5892.2</v>
      </c>
      <c r="K681" s="8">
        <v>24406</v>
      </c>
      <c r="L681" s="6">
        <v>9</v>
      </c>
      <c r="M681" s="22" t="str" cm="1">
        <f t="array" ref="M681">_xlfn.IFS(L681&gt;10,"Veteran",L681&gt;=6,"Experienced",L681&gt;=2,"Developing",L681&gt;=0,"New")</f>
        <v>Experienced</v>
      </c>
    </row>
    <row r="682" spans="1:13">
      <c r="A682" s="21" t="str">
        <f t="shared" ca="1" si="40"/>
        <v>Re-Res-2020-681</v>
      </c>
      <c r="B682" s="6">
        <v>36</v>
      </c>
      <c r="C682" s="6" t="str">
        <f t="shared" si="41"/>
        <v>30-39</v>
      </c>
      <c r="D682" s="6" t="s">
        <v>43</v>
      </c>
      <c r="E682" s="6" t="s">
        <v>45</v>
      </c>
      <c r="F682" s="6" t="s">
        <v>46</v>
      </c>
      <c r="G682" s="6" t="s">
        <v>47</v>
      </c>
      <c r="H682" s="8">
        <v>4678</v>
      </c>
      <c r="I682" s="8">
        <f t="shared" si="42"/>
        <v>701.69999999999993</v>
      </c>
      <c r="J682" s="8">
        <f t="shared" si="43"/>
        <v>3976.3</v>
      </c>
      <c r="K682" s="8">
        <v>23293</v>
      </c>
      <c r="L682" s="6">
        <v>6</v>
      </c>
      <c r="M682" s="22" t="str" cm="1">
        <f t="array" ref="M682">_xlfn.IFS(L682&gt;10,"Veteran",L682&gt;=6,"Experienced",L682&gt;=2,"Developing",L682&gt;=0,"New")</f>
        <v>Experienced</v>
      </c>
    </row>
    <row r="683" spans="1:13">
      <c r="A683" s="21" t="str">
        <f t="shared" ca="1" si="40"/>
        <v>Re-Res-2011-682</v>
      </c>
      <c r="B683" s="6">
        <v>38</v>
      </c>
      <c r="C683" s="6" t="str">
        <f t="shared" si="41"/>
        <v>30-39</v>
      </c>
      <c r="D683" s="6" t="s">
        <v>43</v>
      </c>
      <c r="E683" s="6" t="s">
        <v>45</v>
      </c>
      <c r="F683" s="6" t="s">
        <v>39</v>
      </c>
      <c r="G683" s="6" t="s">
        <v>58</v>
      </c>
      <c r="H683" s="8">
        <v>13582</v>
      </c>
      <c r="I683" s="8">
        <f t="shared" si="42"/>
        <v>4074.6</v>
      </c>
      <c r="J683" s="8">
        <f t="shared" si="43"/>
        <v>9507.4</v>
      </c>
      <c r="K683" s="8">
        <v>16292</v>
      </c>
      <c r="L683" s="6">
        <v>15</v>
      </c>
      <c r="M683" s="22" t="str" cm="1">
        <f t="array" ref="M683">_xlfn.IFS(L683&gt;10,"Veteran",L683&gt;=6,"Experienced",L683&gt;=2,"Developing",L683&gt;=0,"New")</f>
        <v>Veteran</v>
      </c>
    </row>
    <row r="684" spans="1:13">
      <c r="A684" s="21" t="str">
        <f t="shared" ca="1" si="40"/>
        <v>La-Res-2023-683</v>
      </c>
      <c r="B684" s="6">
        <v>32</v>
      </c>
      <c r="C684" s="6" t="str">
        <f t="shared" si="41"/>
        <v>30-39</v>
      </c>
      <c r="D684" s="6" t="s">
        <v>43</v>
      </c>
      <c r="E684" s="6" t="s">
        <v>45</v>
      </c>
      <c r="F684" s="6" t="s">
        <v>39</v>
      </c>
      <c r="G684" s="6" t="s">
        <v>50</v>
      </c>
      <c r="H684" s="8">
        <v>2332</v>
      </c>
      <c r="I684" s="8">
        <f t="shared" si="42"/>
        <v>163.24</v>
      </c>
      <c r="J684" s="8">
        <f t="shared" si="43"/>
        <v>2168.7600000000002</v>
      </c>
      <c r="K684" s="8">
        <v>3974</v>
      </c>
      <c r="L684" s="6">
        <v>3</v>
      </c>
      <c r="M684" s="22" t="str" cm="1">
        <f t="array" ref="M684">_xlfn.IFS(L684&gt;10,"Veteran",L684&gt;=6,"Experienced",L684&gt;=2,"Developing",L684&gt;=0,"New")</f>
        <v>Developing</v>
      </c>
    </row>
    <row r="685" spans="1:13">
      <c r="A685" s="21" t="str">
        <f t="shared" ca="1" si="40"/>
        <v>Sa-Sal-2025-684</v>
      </c>
      <c r="B685" s="6">
        <v>25</v>
      </c>
      <c r="C685" s="6" t="str">
        <f t="shared" si="41"/>
        <v>20-29</v>
      </c>
      <c r="D685" s="6" t="s">
        <v>35</v>
      </c>
      <c r="E685" s="6" t="s">
        <v>37</v>
      </c>
      <c r="F685" s="6" t="s">
        <v>46</v>
      </c>
      <c r="G685" s="6" t="s">
        <v>57</v>
      </c>
      <c r="H685" s="8">
        <v>2413</v>
      </c>
      <c r="I685" s="8">
        <f t="shared" si="42"/>
        <v>168.91000000000003</v>
      </c>
      <c r="J685" s="8">
        <f t="shared" si="43"/>
        <v>2244.09</v>
      </c>
      <c r="K685" s="8">
        <v>18798</v>
      </c>
      <c r="L685" s="6">
        <v>1</v>
      </c>
      <c r="M685" s="22" t="str" cm="1">
        <f t="array" ref="M685">_xlfn.IFS(L685&gt;10,"Veteran",L685&gt;=6,"Experienced",L685&gt;=2,"Developing",L685&gt;=0,"New")</f>
        <v>New</v>
      </c>
    </row>
    <row r="686" spans="1:13">
      <c r="A686" s="21" t="str">
        <f t="shared" ca="1" si="40"/>
        <v>Sa-Sal-2025-685</v>
      </c>
      <c r="B686" s="6">
        <v>40</v>
      </c>
      <c r="C686" s="6" t="str">
        <f t="shared" si="41"/>
        <v>40-49</v>
      </c>
      <c r="D686" s="6" t="s">
        <v>43</v>
      </c>
      <c r="E686" s="6" t="s">
        <v>37</v>
      </c>
      <c r="F686" s="6" t="s">
        <v>46</v>
      </c>
      <c r="G686" s="6" t="s">
        <v>40</v>
      </c>
      <c r="H686" s="8">
        <v>9705</v>
      </c>
      <c r="I686" s="8">
        <f t="shared" si="42"/>
        <v>2135.1</v>
      </c>
      <c r="J686" s="8">
        <f t="shared" si="43"/>
        <v>7569.9</v>
      </c>
      <c r="K686" s="8">
        <v>20652</v>
      </c>
      <c r="L686" s="6">
        <v>1</v>
      </c>
      <c r="M686" s="22" t="str" cm="1">
        <f t="array" ref="M686">_xlfn.IFS(L686&gt;10,"Veteran",L686&gt;=6,"Experienced",L686&gt;=2,"Developing",L686&gt;=0,"New")</f>
        <v>New</v>
      </c>
    </row>
    <row r="687" spans="1:13">
      <c r="A687" s="21" t="str">
        <f t="shared" ca="1" si="40"/>
        <v>Sa-Sal-2019-686</v>
      </c>
      <c r="B687" s="6">
        <v>26</v>
      </c>
      <c r="C687" s="6" t="str">
        <f t="shared" si="41"/>
        <v>20-29</v>
      </c>
      <c r="D687" s="6" t="s">
        <v>43</v>
      </c>
      <c r="E687" s="6" t="s">
        <v>37</v>
      </c>
      <c r="F687" s="6" t="s">
        <v>46</v>
      </c>
      <c r="G687" s="6" t="s">
        <v>40</v>
      </c>
      <c r="H687" s="8">
        <v>4294</v>
      </c>
      <c r="I687" s="8">
        <f t="shared" si="42"/>
        <v>644.1</v>
      </c>
      <c r="J687" s="8">
        <f t="shared" si="43"/>
        <v>3649.9</v>
      </c>
      <c r="K687" s="8">
        <v>11148</v>
      </c>
      <c r="L687" s="6">
        <v>7</v>
      </c>
      <c r="M687" s="22" t="str" cm="1">
        <f t="array" ref="M687">_xlfn.IFS(L687&gt;10,"Veteran",L687&gt;=6,"Experienced",L687&gt;=2,"Developing",L687&gt;=0,"New")</f>
        <v>Experienced</v>
      </c>
    </row>
    <row r="688" spans="1:13">
      <c r="A688" s="21" t="str">
        <f t="shared" ca="1" si="40"/>
        <v>La-Res-2008-687</v>
      </c>
      <c r="B688" s="6">
        <v>41</v>
      </c>
      <c r="C688" s="6" t="str">
        <f t="shared" si="41"/>
        <v>40-49</v>
      </c>
      <c r="D688" s="6" t="s">
        <v>43</v>
      </c>
      <c r="E688" s="6" t="s">
        <v>45</v>
      </c>
      <c r="F688" s="6" t="s">
        <v>46</v>
      </c>
      <c r="G688" s="6" t="s">
        <v>50</v>
      </c>
      <c r="H688" s="8">
        <v>4721</v>
      </c>
      <c r="I688" s="8">
        <f t="shared" si="42"/>
        <v>708.15</v>
      </c>
      <c r="J688" s="8">
        <f t="shared" si="43"/>
        <v>4012.85</v>
      </c>
      <c r="K688" s="8">
        <v>3119</v>
      </c>
      <c r="L688" s="6">
        <v>18</v>
      </c>
      <c r="M688" s="22" t="str" cm="1">
        <f t="array" ref="M688">_xlfn.IFS(L688&gt;10,"Veteran",L688&gt;=6,"Experienced",L688&gt;=2,"Developing",L688&gt;=0,"New")</f>
        <v>Veteran</v>
      </c>
    </row>
    <row r="689" spans="1:13">
      <c r="A689" s="21" t="str">
        <f t="shared" ca="1" si="40"/>
        <v>La-Res-2015-688</v>
      </c>
      <c r="B689" s="6">
        <v>36</v>
      </c>
      <c r="C689" s="6" t="str">
        <f t="shared" si="41"/>
        <v>30-39</v>
      </c>
      <c r="D689" s="6" t="s">
        <v>43</v>
      </c>
      <c r="E689" s="6" t="s">
        <v>45</v>
      </c>
      <c r="F689" s="6" t="s">
        <v>46</v>
      </c>
      <c r="G689" s="6" t="s">
        <v>50</v>
      </c>
      <c r="H689" s="8">
        <v>2519</v>
      </c>
      <c r="I689" s="8">
        <f t="shared" si="42"/>
        <v>176.33</v>
      </c>
      <c r="J689" s="8">
        <f t="shared" si="43"/>
        <v>2342.67</v>
      </c>
      <c r="K689" s="8">
        <v>12287</v>
      </c>
      <c r="L689" s="6">
        <v>11</v>
      </c>
      <c r="M689" s="22" t="str" cm="1">
        <f t="array" ref="M689">_xlfn.IFS(L689&gt;10,"Veteran",L689&gt;=6,"Experienced",L689&gt;=2,"Developing",L689&gt;=0,"New")</f>
        <v>Veteran</v>
      </c>
    </row>
    <row r="690" spans="1:13">
      <c r="A690" s="21" t="str">
        <f t="shared" ca="1" si="40"/>
        <v>Sa-Sal-2025-689</v>
      </c>
      <c r="B690" s="6">
        <v>19</v>
      </c>
      <c r="C690" s="6" t="str">
        <f t="shared" si="41"/>
        <v>20-29</v>
      </c>
      <c r="D690" s="6" t="s">
        <v>35</v>
      </c>
      <c r="E690" s="6" t="s">
        <v>37</v>
      </c>
      <c r="F690" s="6" t="s">
        <v>46</v>
      </c>
      <c r="G690" s="6" t="s">
        <v>57</v>
      </c>
      <c r="H690" s="8">
        <v>2121</v>
      </c>
      <c r="I690" s="8">
        <f t="shared" si="42"/>
        <v>148.47000000000003</v>
      </c>
      <c r="J690" s="8">
        <f t="shared" si="43"/>
        <v>1972.53</v>
      </c>
      <c r="K690" s="8">
        <v>9947</v>
      </c>
      <c r="L690" s="6">
        <v>1</v>
      </c>
      <c r="M690" s="22" t="str" cm="1">
        <f t="array" ref="M690">_xlfn.IFS(L690&gt;10,"Veteran",L690&gt;=6,"Experienced",L690&gt;=2,"Developing",L690&gt;=0,"New")</f>
        <v>New</v>
      </c>
    </row>
    <row r="691" spans="1:13">
      <c r="A691" s="21" t="str">
        <f t="shared" ca="1" si="40"/>
        <v>La-Res-2025-690</v>
      </c>
      <c r="B691" s="6">
        <v>20</v>
      </c>
      <c r="C691" s="6" t="str">
        <f t="shared" si="41"/>
        <v>20-29</v>
      </c>
      <c r="D691" s="6" t="s">
        <v>35</v>
      </c>
      <c r="E691" s="6" t="s">
        <v>45</v>
      </c>
      <c r="F691" s="6" t="s">
        <v>46</v>
      </c>
      <c r="G691" s="6" t="s">
        <v>50</v>
      </c>
      <c r="H691" s="8">
        <v>2973</v>
      </c>
      <c r="I691" s="8">
        <f t="shared" si="42"/>
        <v>208.11</v>
      </c>
      <c r="J691" s="8">
        <f t="shared" si="43"/>
        <v>2764.89</v>
      </c>
      <c r="K691" s="8">
        <v>13008</v>
      </c>
      <c r="L691" s="6">
        <v>1</v>
      </c>
      <c r="M691" s="22" t="str" cm="1">
        <f t="array" ref="M691">_xlfn.IFS(L691&gt;10,"Veteran",L691&gt;=6,"Experienced",L691&gt;=2,"Developing",L691&gt;=0,"New")</f>
        <v>New</v>
      </c>
    </row>
    <row r="692" spans="1:13">
      <c r="A692" s="21" t="str">
        <f t="shared" ca="1" si="40"/>
        <v>He-Res-2017-691</v>
      </c>
      <c r="B692" s="6">
        <v>31</v>
      </c>
      <c r="C692" s="6" t="str">
        <f t="shared" si="41"/>
        <v>30-39</v>
      </c>
      <c r="D692" s="6" t="s">
        <v>43</v>
      </c>
      <c r="E692" s="6" t="s">
        <v>45</v>
      </c>
      <c r="F692" s="6" t="s">
        <v>39</v>
      </c>
      <c r="G692" s="6" t="s">
        <v>54</v>
      </c>
      <c r="H692" s="8">
        <v>5855</v>
      </c>
      <c r="I692" s="8">
        <f t="shared" si="42"/>
        <v>878.25</v>
      </c>
      <c r="J692" s="8">
        <f t="shared" si="43"/>
        <v>4976.75</v>
      </c>
      <c r="K692" s="8">
        <v>17369</v>
      </c>
      <c r="L692" s="6">
        <v>9</v>
      </c>
      <c r="M692" s="22" t="str" cm="1">
        <f t="array" ref="M692">_xlfn.IFS(L692&gt;10,"Veteran",L692&gt;=6,"Experienced",L692&gt;=2,"Developing",L692&gt;=0,"New")</f>
        <v>Experienced</v>
      </c>
    </row>
    <row r="693" spans="1:13">
      <c r="A693" s="21" t="str">
        <f t="shared" ca="1" si="40"/>
        <v>Re-Res-2025-692</v>
      </c>
      <c r="B693" s="6">
        <v>40</v>
      </c>
      <c r="C693" s="6" t="str">
        <f t="shared" si="41"/>
        <v>40-49</v>
      </c>
      <c r="D693" s="6" t="s">
        <v>43</v>
      </c>
      <c r="E693" s="6" t="s">
        <v>45</v>
      </c>
      <c r="F693" s="6" t="s">
        <v>46</v>
      </c>
      <c r="G693" s="6" t="s">
        <v>47</v>
      </c>
      <c r="H693" s="8">
        <v>3617</v>
      </c>
      <c r="I693" s="8">
        <f t="shared" si="42"/>
        <v>542.54999999999995</v>
      </c>
      <c r="J693" s="8">
        <f t="shared" si="43"/>
        <v>3074.45</v>
      </c>
      <c r="K693" s="8">
        <v>25063</v>
      </c>
      <c r="L693" s="6">
        <v>1</v>
      </c>
      <c r="M693" s="22" t="str" cm="1">
        <f t="array" ref="M693">_xlfn.IFS(L693&gt;10,"Veteran",L693&gt;=6,"Experienced",L693&gt;=2,"Developing",L693&gt;=0,"New")</f>
        <v>New</v>
      </c>
    </row>
    <row r="694" spans="1:13">
      <c r="A694" s="21" t="str">
        <f t="shared" ca="1" si="40"/>
        <v>Ma-Res-2018-693</v>
      </c>
      <c r="B694" s="6">
        <v>32</v>
      </c>
      <c r="C694" s="6" t="str">
        <f t="shared" si="41"/>
        <v>30-39</v>
      </c>
      <c r="D694" s="6" t="s">
        <v>43</v>
      </c>
      <c r="E694" s="6" t="s">
        <v>45</v>
      </c>
      <c r="F694" s="6" t="s">
        <v>39</v>
      </c>
      <c r="G694" s="6" t="s">
        <v>53</v>
      </c>
      <c r="H694" s="8">
        <v>6725</v>
      </c>
      <c r="I694" s="8">
        <f t="shared" si="42"/>
        <v>1008.75</v>
      </c>
      <c r="J694" s="8">
        <f t="shared" si="43"/>
        <v>5716.25</v>
      </c>
      <c r="K694" s="8">
        <v>13554</v>
      </c>
      <c r="L694" s="6">
        <v>8</v>
      </c>
      <c r="M694" s="22" t="str" cm="1">
        <f t="array" ref="M694">_xlfn.IFS(L694&gt;10,"Veteran",L694&gt;=6,"Experienced",L694&gt;=2,"Developing",L694&gt;=0,"New")</f>
        <v>Experienced</v>
      </c>
    </row>
    <row r="695" spans="1:13">
      <c r="A695" s="21" t="str">
        <f t="shared" ca="1" si="40"/>
        <v>Sa-Sal-2010-694</v>
      </c>
      <c r="B695" s="6">
        <v>36</v>
      </c>
      <c r="C695" s="6" t="str">
        <f t="shared" si="41"/>
        <v>30-39</v>
      </c>
      <c r="D695" s="6" t="s">
        <v>35</v>
      </c>
      <c r="E695" s="6" t="s">
        <v>37</v>
      </c>
      <c r="F695" s="6" t="s">
        <v>46</v>
      </c>
      <c r="G695" s="6" t="s">
        <v>40</v>
      </c>
      <c r="H695" s="8">
        <v>10325</v>
      </c>
      <c r="I695" s="8">
        <f t="shared" si="42"/>
        <v>2271.5</v>
      </c>
      <c r="J695" s="8">
        <f t="shared" si="43"/>
        <v>8053.5</v>
      </c>
      <c r="K695" s="8">
        <v>5518</v>
      </c>
      <c r="L695" s="6">
        <v>16</v>
      </c>
      <c r="M695" s="22" t="str" cm="1">
        <f t="array" ref="M695">_xlfn.IFS(L695&gt;10,"Veteran",L695&gt;=6,"Experienced",L695&gt;=2,"Developing",L695&gt;=0,"New")</f>
        <v>Veteran</v>
      </c>
    </row>
    <row r="696" spans="1:13">
      <c r="A696" s="21" t="str">
        <f t="shared" ca="1" si="40"/>
        <v>He-Res-2021-695</v>
      </c>
      <c r="B696" s="6">
        <v>33</v>
      </c>
      <c r="C696" s="6" t="str">
        <f t="shared" si="41"/>
        <v>30-39</v>
      </c>
      <c r="D696" s="6" t="s">
        <v>43</v>
      </c>
      <c r="E696" s="6" t="s">
        <v>45</v>
      </c>
      <c r="F696" s="6" t="s">
        <v>39</v>
      </c>
      <c r="G696" s="6" t="s">
        <v>54</v>
      </c>
      <c r="H696" s="8">
        <v>6949</v>
      </c>
      <c r="I696" s="8">
        <f t="shared" si="42"/>
        <v>1042.3499999999999</v>
      </c>
      <c r="J696" s="8">
        <f t="shared" si="43"/>
        <v>5906.65</v>
      </c>
      <c r="K696" s="8">
        <v>12291</v>
      </c>
      <c r="L696" s="6">
        <v>5</v>
      </c>
      <c r="M696" s="22" t="str" cm="1">
        <f t="array" ref="M696">_xlfn.IFS(L696&gt;10,"Veteran",L696&gt;=6,"Experienced",L696&gt;=2,"Developing",L696&gt;=0,"New")</f>
        <v>Developing</v>
      </c>
    </row>
    <row r="697" spans="1:13">
      <c r="A697" s="21" t="str">
        <f t="shared" ca="1" si="40"/>
        <v>Sa-Sal-2012-696</v>
      </c>
      <c r="B697" s="6">
        <v>37</v>
      </c>
      <c r="C697" s="6" t="str">
        <f t="shared" si="41"/>
        <v>30-39</v>
      </c>
      <c r="D697" s="6" t="s">
        <v>35</v>
      </c>
      <c r="E697" s="6" t="s">
        <v>37</v>
      </c>
      <c r="F697" s="6" t="s">
        <v>46</v>
      </c>
      <c r="G697" s="6" t="s">
        <v>40</v>
      </c>
      <c r="H697" s="8">
        <v>10609</v>
      </c>
      <c r="I697" s="8">
        <f t="shared" si="42"/>
        <v>2333.98</v>
      </c>
      <c r="J697" s="8">
        <f t="shared" si="43"/>
        <v>8275.02</v>
      </c>
      <c r="K697" s="8">
        <v>14922</v>
      </c>
      <c r="L697" s="6">
        <v>14</v>
      </c>
      <c r="M697" s="22" t="str" cm="1">
        <f t="array" ref="M697">_xlfn.IFS(L697&gt;10,"Veteran",L697&gt;=6,"Experienced",L697&gt;=2,"Developing",L697&gt;=0,"New")</f>
        <v>Veteran</v>
      </c>
    </row>
    <row r="698" spans="1:13">
      <c r="A698" s="21" t="str">
        <f t="shared" ca="1" si="40"/>
        <v>La-Res-2017-697</v>
      </c>
      <c r="B698" s="6">
        <v>45</v>
      </c>
      <c r="C698" s="6" t="str">
        <f t="shared" si="41"/>
        <v>40-49</v>
      </c>
      <c r="D698" s="6" t="s">
        <v>43</v>
      </c>
      <c r="E698" s="6" t="s">
        <v>45</v>
      </c>
      <c r="F698" s="6" t="s">
        <v>46</v>
      </c>
      <c r="G698" s="6" t="s">
        <v>50</v>
      </c>
      <c r="H698" s="8">
        <v>4447</v>
      </c>
      <c r="I698" s="8">
        <f t="shared" si="42"/>
        <v>667.05</v>
      </c>
      <c r="J698" s="8">
        <f t="shared" si="43"/>
        <v>3779.95</v>
      </c>
      <c r="K698" s="8">
        <v>23163</v>
      </c>
      <c r="L698" s="6">
        <v>9</v>
      </c>
      <c r="M698" s="22" t="str" cm="1">
        <f t="array" ref="M698">_xlfn.IFS(L698&gt;10,"Veteran",L698&gt;=6,"Experienced",L698&gt;=2,"Developing",L698&gt;=0,"New")</f>
        <v>Experienced</v>
      </c>
    </row>
    <row r="699" spans="1:13">
      <c r="A699" s="21" t="str">
        <f t="shared" ca="1" si="40"/>
        <v>Sa-Sal-2023-698</v>
      </c>
      <c r="B699" s="6">
        <v>29</v>
      </c>
      <c r="C699" s="6" t="str">
        <f t="shared" si="41"/>
        <v>20-29</v>
      </c>
      <c r="D699" s="6" t="s">
        <v>43</v>
      </c>
      <c r="E699" s="6" t="s">
        <v>37</v>
      </c>
      <c r="F699" s="6" t="s">
        <v>39</v>
      </c>
      <c r="G699" s="6" t="s">
        <v>57</v>
      </c>
      <c r="H699" s="8">
        <v>2157</v>
      </c>
      <c r="I699" s="8">
        <f t="shared" si="42"/>
        <v>150.99</v>
      </c>
      <c r="J699" s="8">
        <f t="shared" si="43"/>
        <v>2006.01</v>
      </c>
      <c r="K699" s="8">
        <v>18203</v>
      </c>
      <c r="L699" s="6">
        <v>3</v>
      </c>
      <c r="M699" s="22" t="str" cm="1">
        <f t="array" ref="M699">_xlfn.IFS(L699&gt;10,"Veteran",L699&gt;=6,"Experienced",L699&gt;=2,"Developing",L699&gt;=0,"New")</f>
        <v>Developing</v>
      </c>
    </row>
    <row r="700" spans="1:13">
      <c r="A700" s="21" t="str">
        <f t="shared" ca="1" si="40"/>
        <v>Sa-Sal-2021-699</v>
      </c>
      <c r="B700" s="6">
        <v>35</v>
      </c>
      <c r="C700" s="6" t="str">
        <f t="shared" si="41"/>
        <v>30-39</v>
      </c>
      <c r="D700" s="6" t="s">
        <v>43</v>
      </c>
      <c r="E700" s="6" t="s">
        <v>37</v>
      </c>
      <c r="F700" s="6" t="s">
        <v>39</v>
      </c>
      <c r="G700" s="6" t="s">
        <v>40</v>
      </c>
      <c r="H700" s="8">
        <v>4601</v>
      </c>
      <c r="I700" s="8">
        <f t="shared" si="42"/>
        <v>690.15</v>
      </c>
      <c r="J700" s="8">
        <f t="shared" si="43"/>
        <v>3910.85</v>
      </c>
      <c r="K700" s="8">
        <v>6179</v>
      </c>
      <c r="L700" s="6">
        <v>5</v>
      </c>
      <c r="M700" s="22" t="str" cm="1">
        <f t="array" ref="M700">_xlfn.IFS(L700&gt;10,"Veteran",L700&gt;=6,"Experienced",L700&gt;=2,"Developing",L700&gt;=0,"New")</f>
        <v>Developing</v>
      </c>
    </row>
    <row r="701" spans="1:13">
      <c r="A701" s="21" t="str">
        <f t="shared" ca="1" si="40"/>
        <v>Ma-Res-2017-700</v>
      </c>
      <c r="B701" s="6">
        <v>52</v>
      </c>
      <c r="C701" s="6" t="str">
        <f t="shared" si="41"/>
        <v>50+</v>
      </c>
      <c r="D701" s="6" t="s">
        <v>43</v>
      </c>
      <c r="E701" s="6" t="s">
        <v>45</v>
      </c>
      <c r="F701" s="6" t="s">
        <v>46</v>
      </c>
      <c r="G701" s="6" t="s">
        <v>56</v>
      </c>
      <c r="H701" s="8">
        <v>17099</v>
      </c>
      <c r="I701" s="8">
        <f t="shared" si="42"/>
        <v>5129.7</v>
      </c>
      <c r="J701" s="8">
        <f t="shared" si="43"/>
        <v>11969.3</v>
      </c>
      <c r="K701" s="8">
        <v>13829</v>
      </c>
      <c r="L701" s="6">
        <v>9</v>
      </c>
      <c r="M701" s="22" t="str" cm="1">
        <f t="array" ref="M701">_xlfn.IFS(L701&gt;10,"Veteran",L701&gt;=6,"Experienced",L701&gt;=2,"Developing",L701&gt;=0,"New")</f>
        <v>Experienced</v>
      </c>
    </row>
    <row r="702" spans="1:13">
      <c r="A702" s="21" t="str">
        <f t="shared" ca="1" si="40"/>
        <v>Re-Res-2025-701</v>
      </c>
      <c r="B702" s="6">
        <v>58</v>
      </c>
      <c r="C702" s="6" t="str">
        <f t="shared" si="41"/>
        <v>50+</v>
      </c>
      <c r="D702" s="6" t="s">
        <v>35</v>
      </c>
      <c r="E702" s="6" t="s">
        <v>45</v>
      </c>
      <c r="F702" s="6" t="s">
        <v>46</v>
      </c>
      <c r="G702" s="6" t="s">
        <v>47</v>
      </c>
      <c r="H702" s="8">
        <v>2479</v>
      </c>
      <c r="I702" s="8">
        <f t="shared" si="42"/>
        <v>173.53000000000003</v>
      </c>
      <c r="J702" s="8">
        <f t="shared" si="43"/>
        <v>2305.4699999999998</v>
      </c>
      <c r="K702" s="8">
        <v>26227</v>
      </c>
      <c r="L702" s="6">
        <v>1</v>
      </c>
      <c r="M702" s="22" t="str" cm="1">
        <f t="array" ref="M702">_xlfn.IFS(L702&gt;10,"Veteran",L702&gt;=6,"Experienced",L702&gt;=2,"Developing",L702&gt;=0,"New")</f>
        <v>New</v>
      </c>
    </row>
    <row r="703" spans="1:13">
      <c r="A703" s="21" t="str">
        <f t="shared" ca="1" si="40"/>
        <v>Ma-Sal-2009-702</v>
      </c>
      <c r="B703" s="6">
        <v>53</v>
      </c>
      <c r="C703" s="6" t="str">
        <f t="shared" si="41"/>
        <v>50+</v>
      </c>
      <c r="D703" s="6" t="s">
        <v>43</v>
      </c>
      <c r="E703" s="6" t="s">
        <v>37</v>
      </c>
      <c r="F703" s="6" t="s">
        <v>46</v>
      </c>
      <c r="G703" s="6" t="s">
        <v>56</v>
      </c>
      <c r="H703" s="8">
        <v>14852</v>
      </c>
      <c r="I703" s="8">
        <f t="shared" si="42"/>
        <v>4455.5999999999995</v>
      </c>
      <c r="J703" s="8">
        <f t="shared" si="43"/>
        <v>10396.400000000001</v>
      </c>
      <c r="K703" s="8">
        <v>13938</v>
      </c>
      <c r="L703" s="6">
        <v>17</v>
      </c>
      <c r="M703" s="22" t="str" cm="1">
        <f t="array" ref="M703">_xlfn.IFS(L703&gt;10,"Veteran",L703&gt;=6,"Experienced",L703&gt;=2,"Developing",L703&gt;=0,"New")</f>
        <v>Veteran</v>
      </c>
    </row>
    <row r="704" spans="1:13">
      <c r="A704" s="21" t="str">
        <f t="shared" ca="1" si="40"/>
        <v>Sa-Sal-2018-703</v>
      </c>
      <c r="B704" s="6">
        <v>30</v>
      </c>
      <c r="C704" s="6" t="str">
        <f t="shared" si="41"/>
        <v>30-39</v>
      </c>
      <c r="D704" s="6" t="s">
        <v>43</v>
      </c>
      <c r="E704" s="6" t="s">
        <v>37</v>
      </c>
      <c r="F704" s="6" t="s">
        <v>46</v>
      </c>
      <c r="G704" s="6" t="s">
        <v>40</v>
      </c>
      <c r="H704" s="8">
        <v>7264</v>
      </c>
      <c r="I704" s="8">
        <f t="shared" si="42"/>
        <v>1598.08</v>
      </c>
      <c r="J704" s="8">
        <f t="shared" si="43"/>
        <v>5665.92</v>
      </c>
      <c r="K704" s="8">
        <v>9977</v>
      </c>
      <c r="L704" s="6">
        <v>8</v>
      </c>
      <c r="M704" s="22" t="str" cm="1">
        <f t="array" ref="M704">_xlfn.IFS(L704&gt;10,"Veteran",L704&gt;=6,"Experienced",L704&gt;=2,"Developing",L704&gt;=0,"New")</f>
        <v>Experienced</v>
      </c>
    </row>
    <row r="705" spans="1:13">
      <c r="A705" s="21" t="str">
        <f t="shared" ca="1" si="40"/>
        <v>Sa-Sal-2021-704</v>
      </c>
      <c r="B705" s="6">
        <v>38</v>
      </c>
      <c r="C705" s="6" t="str">
        <f t="shared" si="41"/>
        <v>30-39</v>
      </c>
      <c r="D705" s="6" t="s">
        <v>43</v>
      </c>
      <c r="E705" s="6" t="s">
        <v>37</v>
      </c>
      <c r="F705" s="6" t="s">
        <v>39</v>
      </c>
      <c r="G705" s="6" t="s">
        <v>40</v>
      </c>
      <c r="H705" s="8">
        <v>5666</v>
      </c>
      <c r="I705" s="8">
        <f t="shared" si="42"/>
        <v>849.9</v>
      </c>
      <c r="J705" s="8">
        <f t="shared" si="43"/>
        <v>4816.1000000000004</v>
      </c>
      <c r="K705" s="8">
        <v>19899</v>
      </c>
      <c r="L705" s="6">
        <v>5</v>
      </c>
      <c r="M705" s="22" t="str" cm="1">
        <f t="array" ref="M705">_xlfn.IFS(L705&gt;10,"Veteran",L705&gt;=6,"Experienced",L705&gt;=2,"Developing",L705&gt;=0,"New")</f>
        <v>Developing</v>
      </c>
    </row>
    <row r="706" spans="1:13">
      <c r="A706" s="21" t="str">
        <f t="shared" ca="1" si="40"/>
        <v>Sa-Sal-2016-705</v>
      </c>
      <c r="B706" s="6">
        <v>35</v>
      </c>
      <c r="C706" s="6" t="str">
        <f t="shared" si="41"/>
        <v>30-39</v>
      </c>
      <c r="D706" s="6" t="s">
        <v>43</v>
      </c>
      <c r="E706" s="6" t="s">
        <v>37</v>
      </c>
      <c r="F706" s="6" t="s">
        <v>46</v>
      </c>
      <c r="G706" s="6" t="s">
        <v>40</v>
      </c>
      <c r="H706" s="8">
        <v>7823</v>
      </c>
      <c r="I706" s="8">
        <f t="shared" si="42"/>
        <v>1721.06</v>
      </c>
      <c r="J706" s="8">
        <f t="shared" si="43"/>
        <v>6101.9400000000005</v>
      </c>
      <c r="K706" s="8">
        <v>6812</v>
      </c>
      <c r="L706" s="6">
        <v>10</v>
      </c>
      <c r="M706" s="22" t="str" cm="1">
        <f t="array" ref="M706">_xlfn.IFS(L706&gt;10,"Veteran",L706&gt;=6,"Experienced",L706&gt;=2,"Developing",L706&gt;=0,"New")</f>
        <v>Experienced</v>
      </c>
    </row>
    <row r="707" spans="1:13">
      <c r="A707" s="21" t="str">
        <f t="shared" ref="A707:A770" ca="1" si="44">LEFT(G707,2)&amp;"-"&amp;LEFT(E707,3)&amp;"-"&amp;YEAR(TODAY())-L707&amp;"-"&amp;TEXT(ROW()-1,"000")</f>
        <v>Sa-Sal-2018-706</v>
      </c>
      <c r="B707" s="6">
        <v>39</v>
      </c>
      <c r="C707" s="6" t="str">
        <f t="shared" ref="C707:C770" si="45">IF(B707&lt;=29,"20-29",IF(B707&lt;=39,"30-39",IF(B707&lt;=49,"40-49","50+")))</f>
        <v>30-39</v>
      </c>
      <c r="D707" s="6" t="s">
        <v>43</v>
      </c>
      <c r="E707" s="6" t="s">
        <v>37</v>
      </c>
      <c r="F707" s="6" t="s">
        <v>46</v>
      </c>
      <c r="G707" s="6" t="s">
        <v>40</v>
      </c>
      <c r="H707" s="8">
        <v>7880</v>
      </c>
      <c r="I707" s="8">
        <f t="shared" ref="I707:I770" si="46">IF(H707&gt;13000,H707*30%,IF(H707&gt;7000,H707*22%,IF(H707&gt;3000,H707*15%,H707*7%)))</f>
        <v>1733.6</v>
      </c>
      <c r="J707" s="8">
        <f t="shared" ref="J707:J770" si="47">H707-I707</f>
        <v>6146.4</v>
      </c>
      <c r="K707" s="8">
        <v>2560</v>
      </c>
      <c r="L707" s="6">
        <v>8</v>
      </c>
      <c r="M707" s="22" t="str" cm="1">
        <f t="array" ref="M707">_xlfn.IFS(L707&gt;10,"Veteran",L707&gt;=6,"Experienced",L707&gt;=2,"Developing",L707&gt;=0,"New")</f>
        <v>Experienced</v>
      </c>
    </row>
    <row r="708" spans="1:13">
      <c r="A708" s="21" t="str">
        <f t="shared" ca="1" si="44"/>
        <v>Sa-Sal-2025-707</v>
      </c>
      <c r="B708" s="6">
        <v>40</v>
      </c>
      <c r="C708" s="6" t="str">
        <f t="shared" si="45"/>
        <v>40-49</v>
      </c>
      <c r="D708" s="6" t="s">
        <v>35</v>
      </c>
      <c r="E708" s="6" t="s">
        <v>37</v>
      </c>
      <c r="F708" s="6" t="s">
        <v>39</v>
      </c>
      <c r="G708" s="6" t="s">
        <v>40</v>
      </c>
      <c r="H708" s="8">
        <v>13194</v>
      </c>
      <c r="I708" s="8">
        <f t="shared" si="46"/>
        <v>3958.2</v>
      </c>
      <c r="J708" s="8">
        <f t="shared" si="47"/>
        <v>9235.7999999999993</v>
      </c>
      <c r="K708" s="8">
        <v>17071</v>
      </c>
      <c r="L708" s="6">
        <v>1</v>
      </c>
      <c r="M708" s="22" t="str" cm="1">
        <f t="array" ref="M708">_xlfn.IFS(L708&gt;10,"Veteran",L708&gt;=6,"Experienced",L708&gt;=2,"Developing",L708&gt;=0,"New")</f>
        <v>New</v>
      </c>
    </row>
    <row r="709" spans="1:13">
      <c r="A709" s="21" t="str">
        <f t="shared" ca="1" si="44"/>
        <v>Ma-Res-2007-708</v>
      </c>
      <c r="B709" s="6">
        <v>47</v>
      </c>
      <c r="C709" s="6" t="str">
        <f t="shared" si="45"/>
        <v>40-49</v>
      </c>
      <c r="D709" s="6" t="s">
        <v>43</v>
      </c>
      <c r="E709" s="6" t="s">
        <v>45</v>
      </c>
      <c r="F709" s="6" t="s">
        <v>46</v>
      </c>
      <c r="G709" s="6" t="s">
        <v>53</v>
      </c>
      <c r="H709" s="8">
        <v>5067</v>
      </c>
      <c r="I709" s="8">
        <f t="shared" si="46"/>
        <v>760.05</v>
      </c>
      <c r="J709" s="8">
        <f t="shared" si="47"/>
        <v>4306.95</v>
      </c>
      <c r="K709" s="8">
        <v>6759</v>
      </c>
      <c r="L709" s="6">
        <v>19</v>
      </c>
      <c r="M709" s="22" t="str" cm="1">
        <f t="array" ref="M709">_xlfn.IFS(L709&gt;10,"Veteran",L709&gt;=6,"Experienced",L709&gt;=2,"Developing",L709&gt;=0,"New")</f>
        <v>Veteran</v>
      </c>
    </row>
    <row r="710" spans="1:13">
      <c r="A710" s="21" t="str">
        <f t="shared" ca="1" si="44"/>
        <v>Sa-Sal-2019-709</v>
      </c>
      <c r="B710" s="6">
        <v>36</v>
      </c>
      <c r="C710" s="6" t="str">
        <f t="shared" si="45"/>
        <v>30-39</v>
      </c>
      <c r="D710" s="6" t="s">
        <v>43</v>
      </c>
      <c r="E710" s="6" t="s">
        <v>37</v>
      </c>
      <c r="F710" s="6" t="s">
        <v>46</v>
      </c>
      <c r="G710" s="6" t="s">
        <v>40</v>
      </c>
      <c r="H710" s="8">
        <v>5079</v>
      </c>
      <c r="I710" s="8">
        <f t="shared" si="46"/>
        <v>761.85</v>
      </c>
      <c r="J710" s="8">
        <f t="shared" si="47"/>
        <v>4317.1499999999996</v>
      </c>
      <c r="K710" s="8">
        <v>25952</v>
      </c>
      <c r="L710" s="6">
        <v>7</v>
      </c>
      <c r="M710" s="22" t="str" cm="1">
        <f t="array" ref="M710">_xlfn.IFS(L710&gt;10,"Veteran",L710&gt;=6,"Experienced",L710&gt;=2,"Developing",L710&gt;=0,"New")</f>
        <v>Experienced</v>
      </c>
    </row>
    <row r="711" spans="1:13">
      <c r="A711" s="21" t="str">
        <f t="shared" ca="1" si="44"/>
        <v>Re-Res-2023-710</v>
      </c>
      <c r="B711" s="6">
        <v>31</v>
      </c>
      <c r="C711" s="6" t="str">
        <f t="shared" si="45"/>
        <v>30-39</v>
      </c>
      <c r="D711" s="6" t="s">
        <v>35</v>
      </c>
      <c r="E711" s="6" t="s">
        <v>45</v>
      </c>
      <c r="F711" s="6" t="s">
        <v>46</v>
      </c>
      <c r="G711" s="6" t="s">
        <v>47</v>
      </c>
      <c r="H711" s="8">
        <v>2321</v>
      </c>
      <c r="I711" s="8">
        <f t="shared" si="46"/>
        <v>162.47000000000003</v>
      </c>
      <c r="J711" s="8">
        <f t="shared" si="47"/>
        <v>2158.5299999999997</v>
      </c>
      <c r="K711" s="8">
        <v>10322</v>
      </c>
      <c r="L711" s="6">
        <v>3</v>
      </c>
      <c r="M711" s="22" t="str" cm="1">
        <f t="array" ref="M711">_xlfn.IFS(L711&gt;10,"Veteran",L711&gt;=6,"Experienced",L711&gt;=2,"Developing",L711&gt;=0,"New")</f>
        <v>Developing</v>
      </c>
    </row>
    <row r="712" spans="1:13">
      <c r="A712" s="21" t="str">
        <f t="shared" ca="1" si="44"/>
        <v>Ma-Sal-2016-711</v>
      </c>
      <c r="B712" s="6">
        <v>33</v>
      </c>
      <c r="C712" s="6" t="str">
        <f t="shared" si="45"/>
        <v>30-39</v>
      </c>
      <c r="D712" s="6" t="s">
        <v>43</v>
      </c>
      <c r="E712" s="6" t="s">
        <v>37</v>
      </c>
      <c r="F712" s="6" t="s">
        <v>46</v>
      </c>
      <c r="G712" s="6" t="s">
        <v>56</v>
      </c>
      <c r="H712" s="8">
        <v>17444</v>
      </c>
      <c r="I712" s="8">
        <f t="shared" si="46"/>
        <v>5233.2</v>
      </c>
      <c r="J712" s="8">
        <f t="shared" si="47"/>
        <v>12210.8</v>
      </c>
      <c r="K712" s="8">
        <v>20489</v>
      </c>
      <c r="L712" s="6">
        <v>10</v>
      </c>
      <c r="M712" s="22" t="str" cm="1">
        <f t="array" ref="M712">_xlfn.IFS(L712&gt;10,"Veteran",L712&gt;=6,"Experienced",L712&gt;=2,"Developing",L712&gt;=0,"New")</f>
        <v>Experienced</v>
      </c>
    </row>
    <row r="713" spans="1:13">
      <c r="A713" s="21" t="str">
        <f t="shared" ca="1" si="44"/>
        <v>Re-Res-2026-712</v>
      </c>
      <c r="B713" s="6">
        <v>29</v>
      </c>
      <c r="C713" s="6" t="str">
        <f t="shared" si="45"/>
        <v>20-29</v>
      </c>
      <c r="D713" s="6" t="s">
        <v>35</v>
      </c>
      <c r="E713" s="6" t="s">
        <v>45</v>
      </c>
      <c r="F713" s="6" t="s">
        <v>39</v>
      </c>
      <c r="G713" s="6" t="s">
        <v>47</v>
      </c>
      <c r="H713" s="8">
        <v>2404</v>
      </c>
      <c r="I713" s="8">
        <f t="shared" si="46"/>
        <v>168.28000000000003</v>
      </c>
      <c r="J713" s="8">
        <f t="shared" si="47"/>
        <v>2235.7199999999998</v>
      </c>
      <c r="K713" s="8">
        <v>11479</v>
      </c>
      <c r="L713" s="6">
        <v>0</v>
      </c>
      <c r="M713" s="22" t="str" cm="1">
        <f t="array" ref="M713">_xlfn.IFS(L713&gt;10,"Veteran",L713&gt;=6,"Experienced",L713&gt;=2,"Developing",L713&gt;=0,"New")</f>
        <v>New</v>
      </c>
    </row>
    <row r="714" spans="1:13">
      <c r="A714" s="21" t="str">
        <f t="shared" ca="1" si="44"/>
        <v>Re-Res-2023-713</v>
      </c>
      <c r="B714" s="6">
        <v>33</v>
      </c>
      <c r="C714" s="6" t="str">
        <f t="shared" si="45"/>
        <v>30-39</v>
      </c>
      <c r="D714" s="6" t="s">
        <v>43</v>
      </c>
      <c r="E714" s="6" t="s">
        <v>45</v>
      </c>
      <c r="F714" s="6" t="s">
        <v>39</v>
      </c>
      <c r="G714" s="6" t="s">
        <v>47</v>
      </c>
      <c r="H714" s="8">
        <v>3452</v>
      </c>
      <c r="I714" s="8">
        <f t="shared" si="46"/>
        <v>517.79999999999995</v>
      </c>
      <c r="J714" s="8">
        <f t="shared" si="47"/>
        <v>2934.2</v>
      </c>
      <c r="K714" s="8">
        <v>17241</v>
      </c>
      <c r="L714" s="6">
        <v>3</v>
      </c>
      <c r="M714" s="22" t="str" cm="1">
        <f t="array" ref="M714">_xlfn.IFS(L714&gt;10,"Veteran",L714&gt;=6,"Experienced",L714&gt;=2,"Developing",L714&gt;=0,"New")</f>
        <v>Developing</v>
      </c>
    </row>
    <row r="715" spans="1:13">
      <c r="A715" s="21" t="str">
        <f t="shared" ca="1" si="44"/>
        <v>La-Res-2021-714</v>
      </c>
      <c r="B715" s="6">
        <v>45</v>
      </c>
      <c r="C715" s="6" t="str">
        <f t="shared" si="45"/>
        <v>40-49</v>
      </c>
      <c r="D715" s="6" t="s">
        <v>43</v>
      </c>
      <c r="E715" s="6" t="s">
        <v>45</v>
      </c>
      <c r="F715" s="6" t="s">
        <v>39</v>
      </c>
      <c r="G715" s="6" t="s">
        <v>50</v>
      </c>
      <c r="H715" s="8">
        <v>2270</v>
      </c>
      <c r="I715" s="8">
        <f t="shared" si="46"/>
        <v>158.9</v>
      </c>
      <c r="J715" s="8">
        <f t="shared" si="47"/>
        <v>2111.1</v>
      </c>
      <c r="K715" s="8">
        <v>11005</v>
      </c>
      <c r="L715" s="6">
        <v>5</v>
      </c>
      <c r="M715" s="22" t="str" cm="1">
        <f t="array" ref="M715">_xlfn.IFS(L715&gt;10,"Veteran",L715&gt;=6,"Experienced",L715&gt;=2,"Developing",L715&gt;=0,"New")</f>
        <v>Developing</v>
      </c>
    </row>
    <row r="716" spans="1:13">
      <c r="A716" s="21" t="str">
        <f t="shared" ca="1" si="44"/>
        <v>Re-Res-2021-715</v>
      </c>
      <c r="B716" s="6">
        <v>50</v>
      </c>
      <c r="C716" s="6" t="str">
        <f t="shared" si="45"/>
        <v>50+</v>
      </c>
      <c r="D716" s="6" t="s">
        <v>43</v>
      </c>
      <c r="E716" s="6" t="s">
        <v>45</v>
      </c>
      <c r="F716" s="6" t="s">
        <v>46</v>
      </c>
      <c r="G716" s="6" t="s">
        <v>58</v>
      </c>
      <c r="H716" s="8">
        <v>17399</v>
      </c>
      <c r="I716" s="8">
        <f t="shared" si="46"/>
        <v>5219.7</v>
      </c>
      <c r="J716" s="8">
        <f t="shared" si="47"/>
        <v>12179.3</v>
      </c>
      <c r="K716" s="8">
        <v>6615</v>
      </c>
      <c r="L716" s="6">
        <v>5</v>
      </c>
      <c r="M716" s="22" t="str" cm="1">
        <f t="array" ref="M716">_xlfn.IFS(L716&gt;10,"Veteran",L716&gt;=6,"Experienced",L716&gt;=2,"Developing",L716&gt;=0,"New")</f>
        <v>Developing</v>
      </c>
    </row>
    <row r="717" spans="1:13">
      <c r="A717" s="21" t="str">
        <f t="shared" ca="1" si="44"/>
        <v>He-Res-2020-716</v>
      </c>
      <c r="B717" s="6">
        <v>33</v>
      </c>
      <c r="C717" s="6" t="str">
        <f t="shared" si="45"/>
        <v>30-39</v>
      </c>
      <c r="D717" s="6" t="s">
        <v>43</v>
      </c>
      <c r="E717" s="6" t="s">
        <v>45</v>
      </c>
      <c r="F717" s="6" t="s">
        <v>39</v>
      </c>
      <c r="G717" s="6" t="s">
        <v>54</v>
      </c>
      <c r="H717" s="8">
        <v>5488</v>
      </c>
      <c r="I717" s="8">
        <f t="shared" si="46"/>
        <v>823.19999999999993</v>
      </c>
      <c r="J717" s="8">
        <f t="shared" si="47"/>
        <v>4664.8</v>
      </c>
      <c r="K717" s="8">
        <v>20161</v>
      </c>
      <c r="L717" s="6">
        <v>6</v>
      </c>
      <c r="M717" s="22" t="str" cm="1">
        <f t="array" ref="M717">_xlfn.IFS(L717&gt;10,"Veteran",L717&gt;=6,"Experienced",L717&gt;=2,"Developing",L717&gt;=0,"New")</f>
        <v>Experienced</v>
      </c>
    </row>
    <row r="718" spans="1:13">
      <c r="A718" s="21" t="str">
        <f t="shared" ca="1" si="44"/>
        <v>Re-Res-2008-717</v>
      </c>
      <c r="B718" s="6">
        <v>41</v>
      </c>
      <c r="C718" s="6" t="str">
        <f t="shared" si="45"/>
        <v>40-49</v>
      </c>
      <c r="D718" s="6" t="s">
        <v>43</v>
      </c>
      <c r="E718" s="6" t="s">
        <v>45</v>
      </c>
      <c r="F718" s="6" t="s">
        <v>46</v>
      </c>
      <c r="G718" s="6" t="s">
        <v>58</v>
      </c>
      <c r="H718" s="8">
        <v>19419</v>
      </c>
      <c r="I718" s="8">
        <f t="shared" si="46"/>
        <v>5825.7</v>
      </c>
      <c r="J718" s="8">
        <f t="shared" si="47"/>
        <v>13593.3</v>
      </c>
      <c r="K718" s="8">
        <v>3735</v>
      </c>
      <c r="L718" s="6">
        <v>18</v>
      </c>
      <c r="M718" s="22" t="str" cm="1">
        <f t="array" ref="M718">_xlfn.IFS(L718&gt;10,"Veteran",L718&gt;=6,"Experienced",L718&gt;=2,"Developing",L718&gt;=0,"New")</f>
        <v>Veteran</v>
      </c>
    </row>
    <row r="719" spans="1:13">
      <c r="A719" s="21" t="str">
        <f t="shared" ca="1" si="44"/>
        <v>La-Res-2024-718</v>
      </c>
      <c r="B719" s="6">
        <v>27</v>
      </c>
      <c r="C719" s="6" t="str">
        <f t="shared" si="45"/>
        <v>20-29</v>
      </c>
      <c r="D719" s="6" t="s">
        <v>43</v>
      </c>
      <c r="E719" s="6" t="s">
        <v>45</v>
      </c>
      <c r="F719" s="6" t="s">
        <v>39</v>
      </c>
      <c r="G719" s="6" t="s">
        <v>50</v>
      </c>
      <c r="H719" s="8">
        <v>2811</v>
      </c>
      <c r="I719" s="8">
        <f t="shared" si="46"/>
        <v>196.77</v>
      </c>
      <c r="J719" s="8">
        <f t="shared" si="47"/>
        <v>2614.23</v>
      </c>
      <c r="K719" s="8">
        <v>12086</v>
      </c>
      <c r="L719" s="6">
        <v>2</v>
      </c>
      <c r="M719" s="22" t="str" cm="1">
        <f t="array" ref="M719">_xlfn.IFS(L719&gt;10,"Veteran",L719&gt;=6,"Experienced",L719&gt;=2,"Developing",L719&gt;=0,"New")</f>
        <v>Developing</v>
      </c>
    </row>
    <row r="720" spans="1:13">
      <c r="A720" s="21" t="str">
        <f t="shared" ca="1" si="44"/>
        <v>La-Res-2017-719</v>
      </c>
      <c r="B720" s="6">
        <v>45</v>
      </c>
      <c r="C720" s="6" t="str">
        <f t="shared" si="45"/>
        <v>40-49</v>
      </c>
      <c r="D720" s="6" t="s">
        <v>43</v>
      </c>
      <c r="E720" s="6" t="s">
        <v>45</v>
      </c>
      <c r="F720" s="6" t="s">
        <v>46</v>
      </c>
      <c r="G720" s="6" t="s">
        <v>50</v>
      </c>
      <c r="H720" s="8">
        <v>3633</v>
      </c>
      <c r="I720" s="8">
        <f t="shared" si="46"/>
        <v>544.94999999999993</v>
      </c>
      <c r="J720" s="8">
        <f t="shared" si="47"/>
        <v>3088.05</v>
      </c>
      <c r="K720" s="8">
        <v>14039</v>
      </c>
      <c r="L720" s="6">
        <v>9</v>
      </c>
      <c r="M720" s="22" t="str" cm="1">
        <f t="array" ref="M720">_xlfn.IFS(L720&gt;10,"Veteran",L720&gt;=6,"Experienced",L720&gt;=2,"Developing",L720&gt;=0,"New")</f>
        <v>Experienced</v>
      </c>
    </row>
    <row r="721" spans="1:13">
      <c r="A721" s="21" t="str">
        <f t="shared" ca="1" si="44"/>
        <v>Sa-Sal-2017-720</v>
      </c>
      <c r="B721" s="6">
        <v>47</v>
      </c>
      <c r="C721" s="6" t="str">
        <f t="shared" si="45"/>
        <v>40-49</v>
      </c>
      <c r="D721" s="6" t="s">
        <v>43</v>
      </c>
      <c r="E721" s="6" t="s">
        <v>37</v>
      </c>
      <c r="F721" s="6" t="s">
        <v>39</v>
      </c>
      <c r="G721" s="6" t="s">
        <v>40</v>
      </c>
      <c r="H721" s="8">
        <v>4163</v>
      </c>
      <c r="I721" s="8">
        <f t="shared" si="46"/>
        <v>624.44999999999993</v>
      </c>
      <c r="J721" s="8">
        <f t="shared" si="47"/>
        <v>3538.55</v>
      </c>
      <c r="K721" s="8">
        <v>8571</v>
      </c>
      <c r="L721" s="6">
        <v>9</v>
      </c>
      <c r="M721" s="22" t="str" cm="1">
        <f t="array" ref="M721">_xlfn.IFS(L721&gt;10,"Veteran",L721&gt;=6,"Experienced",L721&gt;=2,"Developing",L721&gt;=0,"New")</f>
        <v>Experienced</v>
      </c>
    </row>
    <row r="722" spans="1:13">
      <c r="A722" s="21" t="str">
        <f t="shared" ca="1" si="44"/>
        <v>Re-Res-2021-721</v>
      </c>
      <c r="B722" s="6">
        <v>30</v>
      </c>
      <c r="C722" s="6" t="str">
        <f t="shared" si="45"/>
        <v>30-39</v>
      </c>
      <c r="D722" s="6" t="s">
        <v>35</v>
      </c>
      <c r="E722" s="6" t="s">
        <v>45</v>
      </c>
      <c r="F722" s="6" t="s">
        <v>39</v>
      </c>
      <c r="G722" s="6" t="s">
        <v>47</v>
      </c>
      <c r="H722" s="8">
        <v>2132</v>
      </c>
      <c r="I722" s="8">
        <f t="shared" si="46"/>
        <v>149.24</v>
      </c>
      <c r="J722" s="8">
        <f t="shared" si="47"/>
        <v>1982.76</v>
      </c>
      <c r="K722" s="8">
        <v>11539</v>
      </c>
      <c r="L722" s="6">
        <v>5</v>
      </c>
      <c r="M722" s="22" t="str" cm="1">
        <f t="array" ref="M722">_xlfn.IFS(L722&gt;10,"Veteran",L722&gt;=6,"Experienced",L722&gt;=2,"Developing",L722&gt;=0,"New")</f>
        <v>Developing</v>
      </c>
    </row>
    <row r="723" spans="1:13">
      <c r="A723" s="21" t="str">
        <f t="shared" ca="1" si="44"/>
        <v>Ma-Res-2014-722</v>
      </c>
      <c r="B723" s="6">
        <v>50</v>
      </c>
      <c r="C723" s="6" t="str">
        <f t="shared" si="45"/>
        <v>50+</v>
      </c>
      <c r="D723" s="6" t="s">
        <v>43</v>
      </c>
      <c r="E723" s="6" t="s">
        <v>45</v>
      </c>
      <c r="F723" s="6" t="s">
        <v>46</v>
      </c>
      <c r="G723" s="6" t="s">
        <v>53</v>
      </c>
      <c r="H723" s="8">
        <v>13973</v>
      </c>
      <c r="I723" s="8">
        <f t="shared" si="46"/>
        <v>4191.8999999999996</v>
      </c>
      <c r="J723" s="8">
        <f t="shared" si="47"/>
        <v>9781.1</v>
      </c>
      <c r="K723" s="8">
        <v>4161</v>
      </c>
      <c r="L723" s="6">
        <v>12</v>
      </c>
      <c r="M723" s="22" t="str" cm="1">
        <f t="array" ref="M723">_xlfn.IFS(L723&gt;10,"Veteran",L723&gt;=6,"Experienced",L723&gt;=2,"Developing",L723&gt;=0,"New")</f>
        <v>Veteran</v>
      </c>
    </row>
    <row r="724" spans="1:13">
      <c r="A724" s="21" t="str">
        <f t="shared" ca="1" si="44"/>
        <v>Re-Res-2024-723</v>
      </c>
      <c r="B724" s="6">
        <v>38</v>
      </c>
      <c r="C724" s="6" t="str">
        <f t="shared" si="45"/>
        <v>30-39</v>
      </c>
      <c r="D724" s="6" t="s">
        <v>43</v>
      </c>
      <c r="E724" s="6" t="s">
        <v>45</v>
      </c>
      <c r="F724" s="6" t="s">
        <v>46</v>
      </c>
      <c r="G724" s="6" t="s">
        <v>47</v>
      </c>
      <c r="H724" s="8">
        <v>2684</v>
      </c>
      <c r="I724" s="8">
        <f t="shared" si="46"/>
        <v>187.88000000000002</v>
      </c>
      <c r="J724" s="8">
        <f t="shared" si="47"/>
        <v>2496.12</v>
      </c>
      <c r="K724" s="8">
        <v>12127</v>
      </c>
      <c r="L724" s="6">
        <v>2</v>
      </c>
      <c r="M724" s="22" t="str" cm="1">
        <f t="array" ref="M724">_xlfn.IFS(L724&gt;10,"Veteran",L724&gt;=6,"Experienced",L724&gt;=2,"Developing",L724&gt;=0,"New")</f>
        <v>Developing</v>
      </c>
    </row>
    <row r="725" spans="1:13">
      <c r="A725" s="21" t="str">
        <f t="shared" ca="1" si="44"/>
        <v>Ma-Res-2018-724</v>
      </c>
      <c r="B725" s="6">
        <v>46</v>
      </c>
      <c r="C725" s="6" t="str">
        <f t="shared" si="45"/>
        <v>40-49</v>
      </c>
      <c r="D725" s="6" t="s">
        <v>43</v>
      </c>
      <c r="E725" s="6" t="s">
        <v>45</v>
      </c>
      <c r="F725" s="6" t="s">
        <v>46</v>
      </c>
      <c r="G725" s="6" t="s">
        <v>53</v>
      </c>
      <c r="H725" s="8">
        <v>10845</v>
      </c>
      <c r="I725" s="8">
        <f t="shared" si="46"/>
        <v>2385.9</v>
      </c>
      <c r="J725" s="8">
        <f t="shared" si="47"/>
        <v>8459.1</v>
      </c>
      <c r="K725" s="8">
        <v>24208</v>
      </c>
      <c r="L725" s="6">
        <v>8</v>
      </c>
      <c r="M725" s="22" t="str" cm="1">
        <f t="array" ref="M725">_xlfn.IFS(L725&gt;10,"Veteran",L725&gt;=6,"Experienced",L725&gt;=2,"Developing",L725&gt;=0,"New")</f>
        <v>Experienced</v>
      </c>
    </row>
    <row r="726" spans="1:13">
      <c r="A726" s="21" t="str">
        <f t="shared" ca="1" si="44"/>
        <v>Ma-Res-2022-725</v>
      </c>
      <c r="B726" s="6">
        <v>24</v>
      </c>
      <c r="C726" s="6" t="str">
        <f t="shared" si="45"/>
        <v>20-29</v>
      </c>
      <c r="D726" s="6" t="s">
        <v>43</v>
      </c>
      <c r="E726" s="6" t="s">
        <v>45</v>
      </c>
      <c r="F726" s="6" t="s">
        <v>39</v>
      </c>
      <c r="G726" s="6" t="s">
        <v>53</v>
      </c>
      <c r="H726" s="8">
        <v>4377</v>
      </c>
      <c r="I726" s="8">
        <f t="shared" si="46"/>
        <v>656.55</v>
      </c>
      <c r="J726" s="8">
        <f t="shared" si="47"/>
        <v>3720.45</v>
      </c>
      <c r="K726" s="8">
        <v>24117</v>
      </c>
      <c r="L726" s="6">
        <v>4</v>
      </c>
      <c r="M726" s="22" t="str" cm="1">
        <f t="array" ref="M726">_xlfn.IFS(L726&gt;10,"Veteran",L726&gt;=6,"Experienced",L726&gt;=2,"Developing",L726&gt;=0,"New")</f>
        <v>Developing</v>
      </c>
    </row>
    <row r="727" spans="1:13">
      <c r="A727" s="21" t="str">
        <f t="shared" ca="1" si="44"/>
        <v>La-Res-2022-726</v>
      </c>
      <c r="B727" s="6">
        <v>35</v>
      </c>
      <c r="C727" s="6" t="str">
        <f t="shared" si="45"/>
        <v>30-39</v>
      </c>
      <c r="D727" s="6" t="s">
        <v>35</v>
      </c>
      <c r="E727" s="6" t="s">
        <v>45</v>
      </c>
      <c r="F727" s="6" t="s">
        <v>46</v>
      </c>
      <c r="G727" s="6" t="s">
        <v>50</v>
      </c>
      <c r="H727" s="8">
        <v>3743</v>
      </c>
      <c r="I727" s="8">
        <f t="shared" si="46"/>
        <v>561.44999999999993</v>
      </c>
      <c r="J727" s="8">
        <f t="shared" si="47"/>
        <v>3181.55</v>
      </c>
      <c r="K727" s="8">
        <v>10074</v>
      </c>
      <c r="L727" s="6">
        <v>4</v>
      </c>
      <c r="M727" s="22" t="str" cm="1">
        <f t="array" ref="M727">_xlfn.IFS(L727&gt;10,"Veteran",L727&gt;=6,"Experienced",L727&gt;=2,"Developing",L727&gt;=0,"New")</f>
        <v>Developing</v>
      </c>
    </row>
    <row r="728" spans="1:13">
      <c r="A728" s="21" t="str">
        <f t="shared" ca="1" si="44"/>
        <v>Ma-Res-2022-727</v>
      </c>
      <c r="B728" s="6">
        <v>31</v>
      </c>
      <c r="C728" s="6" t="str">
        <f t="shared" si="45"/>
        <v>30-39</v>
      </c>
      <c r="D728" s="6" t="s">
        <v>43</v>
      </c>
      <c r="E728" s="6" t="s">
        <v>45</v>
      </c>
      <c r="F728" s="6" t="s">
        <v>39</v>
      </c>
      <c r="G728" s="6" t="s">
        <v>53</v>
      </c>
      <c r="H728" s="8">
        <v>4148</v>
      </c>
      <c r="I728" s="8">
        <f t="shared" si="46"/>
        <v>622.19999999999993</v>
      </c>
      <c r="J728" s="8">
        <f t="shared" si="47"/>
        <v>3525.8</v>
      </c>
      <c r="K728" s="8">
        <v>11275</v>
      </c>
      <c r="L728" s="6">
        <v>4</v>
      </c>
      <c r="M728" s="22" t="str" cm="1">
        <f t="array" ref="M728">_xlfn.IFS(L728&gt;10,"Veteran",L728&gt;=6,"Experienced",L728&gt;=2,"Developing",L728&gt;=0,"New")</f>
        <v>Developing</v>
      </c>
    </row>
    <row r="729" spans="1:13">
      <c r="A729" s="21" t="str">
        <f t="shared" ca="1" si="44"/>
        <v>Re-Res-2026-728</v>
      </c>
      <c r="B729" s="6">
        <v>18</v>
      </c>
      <c r="C729" s="6" t="str">
        <f t="shared" si="45"/>
        <v>20-29</v>
      </c>
      <c r="D729" s="6" t="s">
        <v>43</v>
      </c>
      <c r="E729" s="6" t="s">
        <v>45</v>
      </c>
      <c r="F729" s="6" t="s">
        <v>46</v>
      </c>
      <c r="G729" s="6" t="s">
        <v>47</v>
      </c>
      <c r="H729" s="8">
        <v>1051</v>
      </c>
      <c r="I729" s="8">
        <f t="shared" si="46"/>
        <v>73.570000000000007</v>
      </c>
      <c r="J729" s="8">
        <f t="shared" si="47"/>
        <v>977.43</v>
      </c>
      <c r="K729" s="8">
        <v>13493</v>
      </c>
      <c r="L729" s="6">
        <v>0</v>
      </c>
      <c r="M729" s="22" t="str" cm="1">
        <f t="array" ref="M729">_xlfn.IFS(L729&gt;10,"Veteran",L729&gt;=6,"Experienced",L729&gt;=2,"Developing",L729&gt;=0,"New")</f>
        <v>New</v>
      </c>
    </row>
    <row r="730" spans="1:13">
      <c r="A730" s="21" t="str">
        <f t="shared" ca="1" si="44"/>
        <v>Ma-Res-2016-729</v>
      </c>
      <c r="B730" s="6">
        <v>54</v>
      </c>
      <c r="C730" s="6" t="str">
        <f t="shared" si="45"/>
        <v>50+</v>
      </c>
      <c r="D730" s="6" t="s">
        <v>43</v>
      </c>
      <c r="E730" s="6" t="s">
        <v>45</v>
      </c>
      <c r="F730" s="6" t="s">
        <v>39</v>
      </c>
      <c r="G730" s="6" t="s">
        <v>53</v>
      </c>
      <c r="H730" s="8">
        <v>10739</v>
      </c>
      <c r="I730" s="8">
        <f t="shared" si="46"/>
        <v>2362.58</v>
      </c>
      <c r="J730" s="8">
        <f t="shared" si="47"/>
        <v>8376.42</v>
      </c>
      <c r="K730" s="8">
        <v>13943</v>
      </c>
      <c r="L730" s="6">
        <v>10</v>
      </c>
      <c r="M730" s="22" t="str" cm="1">
        <f t="array" ref="M730">_xlfn.IFS(L730&gt;10,"Veteran",L730&gt;=6,"Experienced",L730&gt;=2,"Developing",L730&gt;=0,"New")</f>
        <v>Experienced</v>
      </c>
    </row>
    <row r="731" spans="1:13">
      <c r="A731" s="21" t="str">
        <f t="shared" ca="1" si="44"/>
        <v>He-Res-2010-730</v>
      </c>
      <c r="B731" s="6">
        <v>35</v>
      </c>
      <c r="C731" s="6" t="str">
        <f t="shared" si="45"/>
        <v>30-39</v>
      </c>
      <c r="D731" s="6" t="s">
        <v>43</v>
      </c>
      <c r="E731" s="6" t="s">
        <v>45</v>
      </c>
      <c r="F731" s="6" t="s">
        <v>39</v>
      </c>
      <c r="G731" s="6" t="s">
        <v>54</v>
      </c>
      <c r="H731" s="8">
        <v>10388</v>
      </c>
      <c r="I731" s="8">
        <f t="shared" si="46"/>
        <v>2285.36</v>
      </c>
      <c r="J731" s="8">
        <f t="shared" si="47"/>
        <v>8102.6399999999994</v>
      </c>
      <c r="K731" s="8">
        <v>6975</v>
      </c>
      <c r="L731" s="6">
        <v>16</v>
      </c>
      <c r="M731" s="22" t="str" cm="1">
        <f t="array" ref="M731">_xlfn.IFS(L731&gt;10,"Veteran",L731&gt;=6,"Experienced",L731&gt;=2,"Developing",L731&gt;=0,"New")</f>
        <v>Veteran</v>
      </c>
    </row>
    <row r="732" spans="1:13">
      <c r="A732" s="21" t="str">
        <f t="shared" ca="1" si="44"/>
        <v>Re-Res-2018-731</v>
      </c>
      <c r="B732" s="6">
        <v>30</v>
      </c>
      <c r="C732" s="6" t="str">
        <f t="shared" si="45"/>
        <v>30-39</v>
      </c>
      <c r="D732" s="6" t="s">
        <v>43</v>
      </c>
      <c r="E732" s="6" t="s">
        <v>45</v>
      </c>
      <c r="F732" s="6" t="s">
        <v>39</v>
      </c>
      <c r="G732" s="6" t="s">
        <v>58</v>
      </c>
      <c r="H732" s="8">
        <v>11416</v>
      </c>
      <c r="I732" s="8">
        <f t="shared" si="46"/>
        <v>2511.52</v>
      </c>
      <c r="J732" s="8">
        <f t="shared" si="47"/>
        <v>8904.48</v>
      </c>
      <c r="K732" s="8">
        <v>17802</v>
      </c>
      <c r="L732" s="6">
        <v>8</v>
      </c>
      <c r="M732" s="22" t="str" cm="1">
        <f t="array" ref="M732">_xlfn.IFS(L732&gt;10,"Veteran",L732&gt;=6,"Experienced",L732&gt;=2,"Developing",L732&gt;=0,"New")</f>
        <v>Experienced</v>
      </c>
    </row>
    <row r="733" spans="1:13">
      <c r="A733" s="21" t="str">
        <f t="shared" ca="1" si="44"/>
        <v>Re-Res-2025-732</v>
      </c>
      <c r="B733" s="6">
        <v>20</v>
      </c>
      <c r="C733" s="6" t="str">
        <f t="shared" si="45"/>
        <v>20-29</v>
      </c>
      <c r="D733" s="6" t="s">
        <v>35</v>
      </c>
      <c r="E733" s="6" t="s">
        <v>45</v>
      </c>
      <c r="F733" s="6" t="s">
        <v>39</v>
      </c>
      <c r="G733" s="6" t="s">
        <v>47</v>
      </c>
      <c r="H733" s="8">
        <v>2600</v>
      </c>
      <c r="I733" s="8">
        <f t="shared" si="46"/>
        <v>182.00000000000003</v>
      </c>
      <c r="J733" s="8">
        <f t="shared" si="47"/>
        <v>2418</v>
      </c>
      <c r="K733" s="8">
        <v>18275</v>
      </c>
      <c r="L733" s="6">
        <v>1</v>
      </c>
      <c r="M733" s="22" t="str" cm="1">
        <f t="array" ref="M733">_xlfn.IFS(L733&gt;10,"Veteran",L733&gt;=6,"Experienced",L733&gt;=2,"Developing",L733&gt;=0,"New")</f>
        <v>New</v>
      </c>
    </row>
    <row r="734" spans="1:13">
      <c r="A734" s="21" t="str">
        <f t="shared" ca="1" si="44"/>
        <v>La-Res-2023-733</v>
      </c>
      <c r="B734" s="6">
        <v>30</v>
      </c>
      <c r="C734" s="6" t="str">
        <f t="shared" si="45"/>
        <v>30-39</v>
      </c>
      <c r="D734" s="6" t="s">
        <v>35</v>
      </c>
      <c r="E734" s="6" t="s">
        <v>45</v>
      </c>
      <c r="F734" s="6" t="s">
        <v>39</v>
      </c>
      <c r="G734" s="6" t="s">
        <v>50</v>
      </c>
      <c r="H734" s="8">
        <v>2422</v>
      </c>
      <c r="I734" s="8">
        <f t="shared" si="46"/>
        <v>169.54000000000002</v>
      </c>
      <c r="J734" s="8">
        <f t="shared" si="47"/>
        <v>2252.46</v>
      </c>
      <c r="K734" s="8">
        <v>25725</v>
      </c>
      <c r="L734" s="6">
        <v>3</v>
      </c>
      <c r="M734" s="22" t="str" cm="1">
        <f t="array" ref="M734">_xlfn.IFS(L734&gt;10,"Veteran",L734&gt;=6,"Experienced",L734&gt;=2,"Developing",L734&gt;=0,"New")</f>
        <v>Developing</v>
      </c>
    </row>
    <row r="735" spans="1:13">
      <c r="A735" s="21" t="str">
        <f t="shared" ca="1" si="44"/>
        <v>Ma-Res-2018-734</v>
      </c>
      <c r="B735" s="6">
        <v>26</v>
      </c>
      <c r="C735" s="6" t="str">
        <f t="shared" si="45"/>
        <v>20-29</v>
      </c>
      <c r="D735" s="6" t="s">
        <v>43</v>
      </c>
      <c r="E735" s="6" t="s">
        <v>45</v>
      </c>
      <c r="F735" s="6" t="s">
        <v>46</v>
      </c>
      <c r="G735" s="6" t="s">
        <v>53</v>
      </c>
      <c r="H735" s="8">
        <v>5472</v>
      </c>
      <c r="I735" s="8">
        <f t="shared" si="46"/>
        <v>820.8</v>
      </c>
      <c r="J735" s="8">
        <f t="shared" si="47"/>
        <v>4651.2</v>
      </c>
      <c r="K735" s="8">
        <v>3334</v>
      </c>
      <c r="L735" s="6">
        <v>8</v>
      </c>
      <c r="M735" s="22" t="str" cm="1">
        <f t="array" ref="M735">_xlfn.IFS(L735&gt;10,"Veteran",L735&gt;=6,"Experienced",L735&gt;=2,"Developing",L735&gt;=0,"New")</f>
        <v>Experienced</v>
      </c>
    </row>
    <row r="736" spans="1:13">
      <c r="A736" s="21" t="str">
        <f t="shared" ca="1" si="44"/>
        <v>La-Res-2022-735</v>
      </c>
      <c r="B736" s="6">
        <v>22</v>
      </c>
      <c r="C736" s="6" t="str">
        <f t="shared" si="45"/>
        <v>20-29</v>
      </c>
      <c r="D736" s="6" t="s">
        <v>43</v>
      </c>
      <c r="E736" s="6" t="s">
        <v>45</v>
      </c>
      <c r="F736" s="6" t="s">
        <v>46</v>
      </c>
      <c r="G736" s="6" t="s">
        <v>50</v>
      </c>
      <c r="H736" s="8">
        <v>2451</v>
      </c>
      <c r="I736" s="8">
        <f t="shared" si="46"/>
        <v>171.57000000000002</v>
      </c>
      <c r="J736" s="8">
        <f t="shared" si="47"/>
        <v>2279.4299999999998</v>
      </c>
      <c r="K736" s="8">
        <v>6881</v>
      </c>
      <c r="L736" s="6">
        <v>4</v>
      </c>
      <c r="M736" s="22" t="str" cm="1">
        <f t="array" ref="M736">_xlfn.IFS(L736&gt;10,"Veteran",L736&gt;=6,"Experienced",L736&gt;=2,"Developing",L736&gt;=0,"New")</f>
        <v>Developing</v>
      </c>
    </row>
    <row r="737" spans="1:13">
      <c r="A737" s="21" t="str">
        <f t="shared" ca="1" si="44"/>
        <v>He-Res-2024-736</v>
      </c>
      <c r="B737" s="6">
        <v>48</v>
      </c>
      <c r="C737" s="6" t="str">
        <f t="shared" si="45"/>
        <v>40-49</v>
      </c>
      <c r="D737" s="6" t="s">
        <v>43</v>
      </c>
      <c r="E737" s="6" t="s">
        <v>45</v>
      </c>
      <c r="F737" s="6" t="s">
        <v>46</v>
      </c>
      <c r="G737" s="6" t="s">
        <v>54</v>
      </c>
      <c r="H737" s="8">
        <v>4240</v>
      </c>
      <c r="I737" s="8">
        <f t="shared" si="46"/>
        <v>636</v>
      </c>
      <c r="J737" s="8">
        <f t="shared" si="47"/>
        <v>3604</v>
      </c>
      <c r="K737" s="8">
        <v>13119</v>
      </c>
      <c r="L737" s="6">
        <v>2</v>
      </c>
      <c r="M737" s="22" t="str" cm="1">
        <f t="array" ref="M737">_xlfn.IFS(L737&gt;10,"Veteran",L737&gt;=6,"Experienced",L737&gt;=2,"Developing",L737&gt;=0,"New")</f>
        <v>Developing</v>
      </c>
    </row>
    <row r="738" spans="1:13">
      <c r="A738" s="21" t="str">
        <f t="shared" ca="1" si="44"/>
        <v>He-Res-2011-737</v>
      </c>
      <c r="B738" s="6">
        <v>48</v>
      </c>
      <c r="C738" s="6" t="str">
        <f t="shared" si="45"/>
        <v>40-49</v>
      </c>
      <c r="D738" s="6" t="s">
        <v>43</v>
      </c>
      <c r="E738" s="6" t="s">
        <v>45</v>
      </c>
      <c r="F738" s="6" t="s">
        <v>46</v>
      </c>
      <c r="G738" s="6" t="s">
        <v>54</v>
      </c>
      <c r="H738" s="8">
        <v>10999</v>
      </c>
      <c r="I738" s="8">
        <f t="shared" si="46"/>
        <v>2419.7800000000002</v>
      </c>
      <c r="J738" s="8">
        <f t="shared" si="47"/>
        <v>8579.2199999999993</v>
      </c>
      <c r="K738" s="8">
        <v>22245</v>
      </c>
      <c r="L738" s="6">
        <v>15</v>
      </c>
      <c r="M738" s="22" t="str" cm="1">
        <f t="array" ref="M738">_xlfn.IFS(L738&gt;10,"Veteran",L738&gt;=6,"Experienced",L738&gt;=2,"Developing",L738&gt;=0,"New")</f>
        <v>Veteran</v>
      </c>
    </row>
    <row r="739" spans="1:13">
      <c r="A739" s="21" t="str">
        <f t="shared" ca="1" si="44"/>
        <v>Ma-Res-2024-738</v>
      </c>
      <c r="B739" s="6">
        <v>41</v>
      </c>
      <c r="C739" s="6" t="str">
        <f t="shared" si="45"/>
        <v>40-49</v>
      </c>
      <c r="D739" s="6" t="s">
        <v>43</v>
      </c>
      <c r="E739" s="6" t="s">
        <v>45</v>
      </c>
      <c r="F739" s="6" t="s">
        <v>39</v>
      </c>
      <c r="G739" s="6" t="s">
        <v>53</v>
      </c>
      <c r="H739" s="8">
        <v>5003</v>
      </c>
      <c r="I739" s="8">
        <f t="shared" si="46"/>
        <v>750.44999999999993</v>
      </c>
      <c r="J739" s="8">
        <f t="shared" si="47"/>
        <v>4252.55</v>
      </c>
      <c r="K739" s="8">
        <v>23371</v>
      </c>
      <c r="L739" s="6">
        <v>2</v>
      </c>
      <c r="M739" s="22" t="str" cm="1">
        <f t="array" ref="M739">_xlfn.IFS(L739&gt;10,"Veteran",L739&gt;=6,"Experienced",L739&gt;=2,"Developing",L739&gt;=0,"New")</f>
        <v>Developing</v>
      </c>
    </row>
    <row r="740" spans="1:13">
      <c r="A740" s="21" t="str">
        <f t="shared" ca="1" si="44"/>
        <v>Ma-Res-2005-739</v>
      </c>
      <c r="B740" s="6">
        <v>39</v>
      </c>
      <c r="C740" s="6" t="str">
        <f t="shared" si="45"/>
        <v>30-39</v>
      </c>
      <c r="D740" s="6" t="s">
        <v>43</v>
      </c>
      <c r="E740" s="6" t="s">
        <v>45</v>
      </c>
      <c r="F740" s="6" t="s">
        <v>39</v>
      </c>
      <c r="G740" s="6" t="s">
        <v>53</v>
      </c>
      <c r="H740" s="8">
        <v>12742</v>
      </c>
      <c r="I740" s="8">
        <f t="shared" si="46"/>
        <v>2803.2400000000002</v>
      </c>
      <c r="J740" s="8">
        <f t="shared" si="47"/>
        <v>9938.76</v>
      </c>
      <c r="K740" s="8">
        <v>7060</v>
      </c>
      <c r="L740" s="6">
        <v>21</v>
      </c>
      <c r="M740" s="22" t="str" cm="1">
        <f t="array" ref="M740">_xlfn.IFS(L740&gt;10,"Veteran",L740&gt;=6,"Experienced",L740&gt;=2,"Developing",L740&gt;=0,"New")</f>
        <v>Veteran</v>
      </c>
    </row>
    <row r="741" spans="1:13">
      <c r="A741" s="21" t="str">
        <f t="shared" ca="1" si="44"/>
        <v>Ma-Res-2023-740</v>
      </c>
      <c r="B741" s="6">
        <v>27</v>
      </c>
      <c r="C741" s="6" t="str">
        <f t="shared" si="45"/>
        <v>20-29</v>
      </c>
      <c r="D741" s="6" t="s">
        <v>43</v>
      </c>
      <c r="E741" s="6" t="s">
        <v>45</v>
      </c>
      <c r="F741" s="6" t="s">
        <v>39</v>
      </c>
      <c r="G741" s="6" t="s">
        <v>53</v>
      </c>
      <c r="H741" s="8">
        <v>4227</v>
      </c>
      <c r="I741" s="8">
        <f t="shared" si="46"/>
        <v>634.04999999999995</v>
      </c>
      <c r="J741" s="8">
        <f t="shared" si="47"/>
        <v>3592.95</v>
      </c>
      <c r="K741" s="8">
        <v>4658</v>
      </c>
      <c r="L741" s="6">
        <v>3</v>
      </c>
      <c r="M741" s="22" t="str" cm="1">
        <f t="array" ref="M741">_xlfn.IFS(L741&gt;10,"Veteran",L741&gt;=6,"Experienced",L741&gt;=2,"Developing",L741&gt;=0,"New")</f>
        <v>Developing</v>
      </c>
    </row>
    <row r="742" spans="1:13">
      <c r="A742" s="21" t="str">
        <f t="shared" ca="1" si="44"/>
        <v>La-Res-2023-741</v>
      </c>
      <c r="B742" s="6">
        <v>35</v>
      </c>
      <c r="C742" s="6" t="str">
        <f t="shared" si="45"/>
        <v>30-39</v>
      </c>
      <c r="D742" s="6" t="s">
        <v>43</v>
      </c>
      <c r="E742" s="6" t="s">
        <v>45</v>
      </c>
      <c r="F742" s="6" t="s">
        <v>46</v>
      </c>
      <c r="G742" s="6" t="s">
        <v>50</v>
      </c>
      <c r="H742" s="8">
        <v>3917</v>
      </c>
      <c r="I742" s="8">
        <f t="shared" si="46"/>
        <v>587.54999999999995</v>
      </c>
      <c r="J742" s="8">
        <f t="shared" si="47"/>
        <v>3329.45</v>
      </c>
      <c r="K742" s="8">
        <v>9541</v>
      </c>
      <c r="L742" s="6">
        <v>3</v>
      </c>
      <c r="M742" s="22" t="str" cm="1">
        <f t="array" ref="M742">_xlfn.IFS(L742&gt;10,"Veteran",L742&gt;=6,"Experienced",L742&gt;=2,"Developing",L742&gt;=0,"New")</f>
        <v>Developing</v>
      </c>
    </row>
    <row r="743" spans="1:13">
      <c r="A743" s="21" t="str">
        <f t="shared" ca="1" si="44"/>
        <v>Ma-Sal-2025-742</v>
      </c>
      <c r="B743" s="6">
        <v>42</v>
      </c>
      <c r="C743" s="6" t="str">
        <f t="shared" si="45"/>
        <v>40-49</v>
      </c>
      <c r="D743" s="6" t="s">
        <v>43</v>
      </c>
      <c r="E743" s="6" t="s">
        <v>37</v>
      </c>
      <c r="F743" s="6" t="s">
        <v>46</v>
      </c>
      <c r="G743" s="6" t="s">
        <v>56</v>
      </c>
      <c r="H743" s="8">
        <v>18303</v>
      </c>
      <c r="I743" s="8">
        <f t="shared" si="46"/>
        <v>5490.9</v>
      </c>
      <c r="J743" s="8">
        <f t="shared" si="47"/>
        <v>12812.1</v>
      </c>
      <c r="K743" s="8">
        <v>7770</v>
      </c>
      <c r="L743" s="6">
        <v>1</v>
      </c>
      <c r="M743" s="22" t="str" cm="1">
        <f t="array" ref="M743">_xlfn.IFS(L743&gt;10,"Veteran",L743&gt;=6,"Experienced",L743&gt;=2,"Developing",L743&gt;=0,"New")</f>
        <v>New</v>
      </c>
    </row>
    <row r="744" spans="1:13">
      <c r="A744" s="21" t="str">
        <f t="shared" ca="1" si="44"/>
        <v>La-Res-2025-743</v>
      </c>
      <c r="B744" s="6">
        <v>50</v>
      </c>
      <c r="C744" s="6" t="str">
        <f t="shared" si="45"/>
        <v>50+</v>
      </c>
      <c r="D744" s="6" t="s">
        <v>43</v>
      </c>
      <c r="E744" s="6" t="s">
        <v>45</v>
      </c>
      <c r="F744" s="6" t="s">
        <v>46</v>
      </c>
      <c r="G744" s="6" t="s">
        <v>50</v>
      </c>
      <c r="H744" s="8">
        <v>2380</v>
      </c>
      <c r="I744" s="8">
        <f t="shared" si="46"/>
        <v>166.60000000000002</v>
      </c>
      <c r="J744" s="8">
        <f t="shared" si="47"/>
        <v>2213.4</v>
      </c>
      <c r="K744" s="8">
        <v>20165</v>
      </c>
      <c r="L744" s="6">
        <v>1</v>
      </c>
      <c r="M744" s="22" t="str" cm="1">
        <f t="array" ref="M744">_xlfn.IFS(L744&gt;10,"Veteran",L744&gt;=6,"Experienced",L744&gt;=2,"Developing",L744&gt;=0,"New")</f>
        <v>New</v>
      </c>
    </row>
    <row r="745" spans="1:13">
      <c r="A745" s="21" t="str">
        <f t="shared" ca="1" si="44"/>
        <v>Ma-Res-2021-744</v>
      </c>
      <c r="B745" s="6">
        <v>59</v>
      </c>
      <c r="C745" s="6" t="str">
        <f t="shared" si="45"/>
        <v>50+</v>
      </c>
      <c r="D745" s="6" t="s">
        <v>43</v>
      </c>
      <c r="E745" s="6" t="s">
        <v>45</v>
      </c>
      <c r="F745" s="6" t="s">
        <v>39</v>
      </c>
      <c r="G745" s="6" t="s">
        <v>53</v>
      </c>
      <c r="H745" s="8">
        <v>13726</v>
      </c>
      <c r="I745" s="8">
        <f t="shared" si="46"/>
        <v>4117.8</v>
      </c>
      <c r="J745" s="8">
        <f t="shared" si="47"/>
        <v>9608.2000000000007</v>
      </c>
      <c r="K745" s="8">
        <v>21829</v>
      </c>
      <c r="L745" s="6">
        <v>5</v>
      </c>
      <c r="M745" s="22" t="str" cm="1">
        <f t="array" ref="M745">_xlfn.IFS(L745&gt;10,"Veteran",L745&gt;=6,"Experienced",L745&gt;=2,"Developing",L745&gt;=0,"New")</f>
        <v>Developing</v>
      </c>
    </row>
    <row r="746" spans="1:13">
      <c r="A746" s="21" t="str">
        <f t="shared" ca="1" si="44"/>
        <v>He-Res-2025-745</v>
      </c>
      <c r="B746" s="6">
        <v>37</v>
      </c>
      <c r="C746" s="6" t="str">
        <f t="shared" si="45"/>
        <v>30-39</v>
      </c>
      <c r="D746" s="6" t="s">
        <v>35</v>
      </c>
      <c r="E746" s="6" t="s">
        <v>45</v>
      </c>
      <c r="F746" s="6" t="s">
        <v>39</v>
      </c>
      <c r="G746" s="6" t="s">
        <v>54</v>
      </c>
      <c r="H746" s="8">
        <v>4777</v>
      </c>
      <c r="I746" s="8">
        <f t="shared" si="46"/>
        <v>716.55</v>
      </c>
      <c r="J746" s="8">
        <f t="shared" si="47"/>
        <v>4060.45</v>
      </c>
      <c r="K746" s="8">
        <v>14382</v>
      </c>
      <c r="L746" s="6">
        <v>1</v>
      </c>
      <c r="M746" s="22" t="str" cm="1">
        <f t="array" ref="M746">_xlfn.IFS(L746&gt;10,"Veteran",L746&gt;=6,"Experienced",L746&gt;=2,"Developing",L746&gt;=0,"New")</f>
        <v>New</v>
      </c>
    </row>
    <row r="747" spans="1:13">
      <c r="A747" s="21" t="str">
        <f t="shared" ca="1" si="44"/>
        <v>He-Res-2018-746</v>
      </c>
      <c r="B747" s="6">
        <v>55</v>
      </c>
      <c r="C747" s="6" t="str">
        <f t="shared" si="45"/>
        <v>50+</v>
      </c>
      <c r="D747" s="6" t="s">
        <v>43</v>
      </c>
      <c r="E747" s="6" t="s">
        <v>45</v>
      </c>
      <c r="F747" s="6" t="s">
        <v>46</v>
      </c>
      <c r="G747" s="6" t="s">
        <v>54</v>
      </c>
      <c r="H747" s="8">
        <v>6385</v>
      </c>
      <c r="I747" s="8">
        <f t="shared" si="46"/>
        <v>957.75</v>
      </c>
      <c r="J747" s="8">
        <f t="shared" si="47"/>
        <v>5427.25</v>
      </c>
      <c r="K747" s="8">
        <v>12992</v>
      </c>
      <c r="L747" s="6">
        <v>8</v>
      </c>
      <c r="M747" s="22" t="str" cm="1">
        <f t="array" ref="M747">_xlfn.IFS(L747&gt;10,"Veteran",L747&gt;=6,"Experienced",L747&gt;=2,"Developing",L747&gt;=0,"New")</f>
        <v>Experienced</v>
      </c>
    </row>
    <row r="748" spans="1:13">
      <c r="A748" s="21" t="str">
        <f t="shared" ca="1" si="44"/>
        <v>Re-Res-2005-747</v>
      </c>
      <c r="B748" s="6">
        <v>41</v>
      </c>
      <c r="C748" s="6" t="str">
        <f t="shared" si="45"/>
        <v>40-49</v>
      </c>
      <c r="D748" s="6" t="s">
        <v>43</v>
      </c>
      <c r="E748" s="6" t="s">
        <v>45</v>
      </c>
      <c r="F748" s="6" t="s">
        <v>39</v>
      </c>
      <c r="G748" s="6" t="s">
        <v>58</v>
      </c>
      <c r="H748" s="8">
        <v>19973</v>
      </c>
      <c r="I748" s="8">
        <f t="shared" si="46"/>
        <v>5991.9</v>
      </c>
      <c r="J748" s="8">
        <f t="shared" si="47"/>
        <v>13981.1</v>
      </c>
      <c r="K748" s="8">
        <v>20284</v>
      </c>
      <c r="L748" s="6">
        <v>21</v>
      </c>
      <c r="M748" s="22" t="str" cm="1">
        <f t="array" ref="M748">_xlfn.IFS(L748&gt;10,"Veteran",L748&gt;=6,"Experienced",L748&gt;=2,"Developing",L748&gt;=0,"New")</f>
        <v>Veteran</v>
      </c>
    </row>
    <row r="749" spans="1:13">
      <c r="A749" s="21" t="str">
        <f t="shared" ca="1" si="44"/>
        <v>Sa-Sal-2025-748</v>
      </c>
      <c r="B749" s="6">
        <v>38</v>
      </c>
      <c r="C749" s="6" t="str">
        <f t="shared" si="45"/>
        <v>30-39</v>
      </c>
      <c r="D749" s="6" t="s">
        <v>43</v>
      </c>
      <c r="E749" s="6" t="s">
        <v>37</v>
      </c>
      <c r="F749" s="6" t="s">
        <v>46</v>
      </c>
      <c r="G749" s="6" t="s">
        <v>40</v>
      </c>
      <c r="H749" s="8">
        <v>6861</v>
      </c>
      <c r="I749" s="8">
        <f t="shared" si="46"/>
        <v>1029.1499999999999</v>
      </c>
      <c r="J749" s="8">
        <f t="shared" si="47"/>
        <v>5831.85</v>
      </c>
      <c r="K749" s="8">
        <v>4981</v>
      </c>
      <c r="L749" s="6">
        <v>1</v>
      </c>
      <c r="M749" s="22" t="str" cm="1">
        <f t="array" ref="M749">_xlfn.IFS(L749&gt;10,"Veteran",L749&gt;=6,"Experienced",L749&gt;=2,"Developing",L749&gt;=0,"New")</f>
        <v>New</v>
      </c>
    </row>
    <row r="750" spans="1:13">
      <c r="A750" s="21" t="str">
        <f t="shared" ca="1" si="44"/>
        <v>Sa-Sal-2024-749</v>
      </c>
      <c r="B750" s="6">
        <v>26</v>
      </c>
      <c r="C750" s="6" t="str">
        <f t="shared" si="45"/>
        <v>20-29</v>
      </c>
      <c r="D750" s="6" t="s">
        <v>35</v>
      </c>
      <c r="E750" s="6" t="s">
        <v>37</v>
      </c>
      <c r="F750" s="6" t="s">
        <v>46</v>
      </c>
      <c r="G750" s="6" t="s">
        <v>40</v>
      </c>
      <c r="H750" s="8">
        <v>4969</v>
      </c>
      <c r="I750" s="8">
        <f t="shared" si="46"/>
        <v>745.35</v>
      </c>
      <c r="J750" s="8">
        <f t="shared" si="47"/>
        <v>4223.6499999999996</v>
      </c>
      <c r="K750" s="8">
        <v>21813</v>
      </c>
      <c r="L750" s="6">
        <v>2</v>
      </c>
      <c r="M750" s="22" t="str" cm="1">
        <f t="array" ref="M750">_xlfn.IFS(L750&gt;10,"Veteran",L750&gt;=6,"Experienced",L750&gt;=2,"Developing",L750&gt;=0,"New")</f>
        <v>Developing</v>
      </c>
    </row>
    <row r="751" spans="1:13">
      <c r="A751" s="21" t="str">
        <f t="shared" ca="1" si="44"/>
        <v>Ma-Sal-1994-750</v>
      </c>
      <c r="B751" s="6">
        <v>52</v>
      </c>
      <c r="C751" s="6" t="str">
        <f t="shared" si="45"/>
        <v>50+</v>
      </c>
      <c r="D751" s="6" t="s">
        <v>35</v>
      </c>
      <c r="E751" s="6" t="s">
        <v>37</v>
      </c>
      <c r="F751" s="6" t="s">
        <v>39</v>
      </c>
      <c r="G751" s="6" t="s">
        <v>56</v>
      </c>
      <c r="H751" s="8">
        <v>19845</v>
      </c>
      <c r="I751" s="8">
        <f t="shared" si="46"/>
        <v>5953.5</v>
      </c>
      <c r="J751" s="8">
        <f t="shared" si="47"/>
        <v>13891.5</v>
      </c>
      <c r="K751" s="8">
        <v>25846</v>
      </c>
      <c r="L751" s="6">
        <v>32</v>
      </c>
      <c r="M751" s="22" t="str" cm="1">
        <f t="array" ref="M751">_xlfn.IFS(L751&gt;10,"Veteran",L751&gt;=6,"Experienced",L751&gt;=2,"Developing",L751&gt;=0,"New")</f>
        <v>Veteran</v>
      </c>
    </row>
    <row r="752" spans="1:13">
      <c r="A752" s="21" t="str">
        <f t="shared" ca="1" si="44"/>
        <v>Sa-Sal-2014-751</v>
      </c>
      <c r="B752" s="6">
        <v>44</v>
      </c>
      <c r="C752" s="6" t="str">
        <f t="shared" si="45"/>
        <v>40-49</v>
      </c>
      <c r="D752" s="6" t="s">
        <v>43</v>
      </c>
      <c r="E752" s="6" t="s">
        <v>37</v>
      </c>
      <c r="F752" s="6" t="s">
        <v>39</v>
      </c>
      <c r="G752" s="6" t="s">
        <v>40</v>
      </c>
      <c r="H752" s="8">
        <v>13320</v>
      </c>
      <c r="I752" s="8">
        <f t="shared" si="46"/>
        <v>3996</v>
      </c>
      <c r="J752" s="8">
        <f t="shared" si="47"/>
        <v>9324</v>
      </c>
      <c r="K752" s="8">
        <v>11737</v>
      </c>
      <c r="L752" s="6">
        <v>12</v>
      </c>
      <c r="M752" s="22" t="str" cm="1">
        <f t="array" ref="M752">_xlfn.IFS(L752&gt;10,"Veteran",L752&gt;=6,"Experienced",L752&gt;=2,"Developing",L752&gt;=0,"New")</f>
        <v>Veteran</v>
      </c>
    </row>
    <row r="753" spans="1:13">
      <c r="A753" s="21" t="str">
        <f t="shared" ca="1" si="44"/>
        <v>Sa-Sal-2008-752</v>
      </c>
      <c r="B753" s="6">
        <v>50</v>
      </c>
      <c r="C753" s="6" t="str">
        <f t="shared" si="45"/>
        <v>50+</v>
      </c>
      <c r="D753" s="6" t="s">
        <v>43</v>
      </c>
      <c r="E753" s="6" t="s">
        <v>37</v>
      </c>
      <c r="F753" s="6" t="s">
        <v>39</v>
      </c>
      <c r="G753" s="6" t="s">
        <v>40</v>
      </c>
      <c r="H753" s="8">
        <v>6347</v>
      </c>
      <c r="I753" s="8">
        <f t="shared" si="46"/>
        <v>952.05</v>
      </c>
      <c r="J753" s="8">
        <f t="shared" si="47"/>
        <v>5394.95</v>
      </c>
      <c r="K753" s="8">
        <v>24920</v>
      </c>
      <c r="L753" s="6">
        <v>18</v>
      </c>
      <c r="M753" s="22" t="str" cm="1">
        <f t="array" ref="M753">_xlfn.IFS(L753&gt;10,"Veteran",L753&gt;=6,"Experienced",L753&gt;=2,"Developing",L753&gt;=0,"New")</f>
        <v>Veteran</v>
      </c>
    </row>
    <row r="754" spans="1:13">
      <c r="A754" s="21" t="str">
        <f t="shared" ca="1" si="44"/>
        <v>La-Res-2009-753</v>
      </c>
      <c r="B754" s="6">
        <v>36</v>
      </c>
      <c r="C754" s="6" t="str">
        <f t="shared" si="45"/>
        <v>30-39</v>
      </c>
      <c r="D754" s="6" t="s">
        <v>35</v>
      </c>
      <c r="E754" s="6" t="s">
        <v>45</v>
      </c>
      <c r="F754" s="6" t="s">
        <v>39</v>
      </c>
      <c r="G754" s="6" t="s">
        <v>50</v>
      </c>
      <c r="H754" s="8">
        <v>2743</v>
      </c>
      <c r="I754" s="8">
        <f t="shared" si="46"/>
        <v>192.01000000000002</v>
      </c>
      <c r="J754" s="8">
        <f t="shared" si="47"/>
        <v>2550.9899999999998</v>
      </c>
      <c r="K754" s="8">
        <v>8269</v>
      </c>
      <c r="L754" s="6">
        <v>17</v>
      </c>
      <c r="M754" s="22" t="str" cm="1">
        <f t="array" ref="M754">_xlfn.IFS(L754&gt;10,"Veteran",L754&gt;=6,"Experienced",L754&gt;=2,"Developing",L754&gt;=0,"New")</f>
        <v>Veteran</v>
      </c>
    </row>
    <row r="755" spans="1:13">
      <c r="A755" s="21" t="str">
        <f t="shared" ca="1" si="44"/>
        <v>Ma-Res-2005-754</v>
      </c>
      <c r="B755" s="6">
        <v>39</v>
      </c>
      <c r="C755" s="6" t="str">
        <f t="shared" si="45"/>
        <v>30-39</v>
      </c>
      <c r="D755" s="6" t="s">
        <v>43</v>
      </c>
      <c r="E755" s="6" t="s">
        <v>45</v>
      </c>
      <c r="F755" s="6" t="s">
        <v>39</v>
      </c>
      <c r="G755" s="6" t="s">
        <v>53</v>
      </c>
      <c r="H755" s="8">
        <v>10880</v>
      </c>
      <c r="I755" s="8">
        <f t="shared" si="46"/>
        <v>2393.6</v>
      </c>
      <c r="J755" s="8">
        <f t="shared" si="47"/>
        <v>8486.4</v>
      </c>
      <c r="K755" s="8">
        <v>5083</v>
      </c>
      <c r="L755" s="6">
        <v>21</v>
      </c>
      <c r="M755" s="22" t="str" cm="1">
        <f t="array" ref="M755">_xlfn.IFS(L755&gt;10,"Veteran",L755&gt;=6,"Experienced",L755&gt;=2,"Developing",L755&gt;=0,"New")</f>
        <v>Veteran</v>
      </c>
    </row>
    <row r="756" spans="1:13">
      <c r="A756" s="21" t="str">
        <f t="shared" ca="1" si="44"/>
        <v>Sa-Sal-2024-755</v>
      </c>
      <c r="B756" s="6">
        <v>33</v>
      </c>
      <c r="C756" s="6" t="str">
        <f t="shared" si="45"/>
        <v>30-39</v>
      </c>
      <c r="D756" s="6" t="s">
        <v>43</v>
      </c>
      <c r="E756" s="6" t="s">
        <v>37</v>
      </c>
      <c r="F756" s="6" t="s">
        <v>39</v>
      </c>
      <c r="G756" s="6" t="s">
        <v>57</v>
      </c>
      <c r="H756" s="8">
        <v>2342</v>
      </c>
      <c r="I756" s="8">
        <f t="shared" si="46"/>
        <v>163.94000000000003</v>
      </c>
      <c r="J756" s="8">
        <f t="shared" si="47"/>
        <v>2178.06</v>
      </c>
      <c r="K756" s="8">
        <v>21437</v>
      </c>
      <c r="L756" s="6">
        <v>2</v>
      </c>
      <c r="M756" s="22" t="str" cm="1">
        <f t="array" ref="M756">_xlfn.IFS(L756&gt;10,"Veteran",L756&gt;=6,"Experienced",L756&gt;=2,"Developing",L756&gt;=0,"New")</f>
        <v>Developing</v>
      </c>
    </row>
    <row r="757" spans="1:13">
      <c r="A757" s="21" t="str">
        <f t="shared" ca="1" si="44"/>
        <v>Ma-Sal-2017-756</v>
      </c>
      <c r="B757" s="6">
        <v>45</v>
      </c>
      <c r="C757" s="6" t="str">
        <f t="shared" si="45"/>
        <v>40-49</v>
      </c>
      <c r="D757" s="6" t="s">
        <v>43</v>
      </c>
      <c r="E757" s="6" t="s">
        <v>37</v>
      </c>
      <c r="F757" s="6" t="s">
        <v>39</v>
      </c>
      <c r="G757" s="6" t="s">
        <v>56</v>
      </c>
      <c r="H757" s="8">
        <v>17650</v>
      </c>
      <c r="I757" s="8">
        <f t="shared" si="46"/>
        <v>5295</v>
      </c>
      <c r="J757" s="8">
        <f t="shared" si="47"/>
        <v>12355</v>
      </c>
      <c r="K757" s="8">
        <v>5404</v>
      </c>
      <c r="L757" s="6">
        <v>9</v>
      </c>
      <c r="M757" s="22" t="str" cm="1">
        <f t="array" ref="M757">_xlfn.IFS(L757&gt;10,"Veteran",L757&gt;=6,"Experienced",L757&gt;=2,"Developing",L757&gt;=0,"New")</f>
        <v>Experienced</v>
      </c>
    </row>
    <row r="758" spans="1:13">
      <c r="A758" s="21" t="str">
        <f t="shared" ca="1" si="44"/>
        <v>La-Res-2018-757</v>
      </c>
      <c r="B758" s="6">
        <v>32</v>
      </c>
      <c r="C758" s="6" t="str">
        <f t="shared" si="45"/>
        <v>30-39</v>
      </c>
      <c r="D758" s="6" t="s">
        <v>43</v>
      </c>
      <c r="E758" s="6" t="s">
        <v>45</v>
      </c>
      <c r="F758" s="6" t="s">
        <v>39</v>
      </c>
      <c r="G758" s="6" t="s">
        <v>50</v>
      </c>
      <c r="H758" s="8">
        <v>4025</v>
      </c>
      <c r="I758" s="8">
        <f t="shared" si="46"/>
        <v>603.75</v>
      </c>
      <c r="J758" s="8">
        <f t="shared" si="47"/>
        <v>3421.25</v>
      </c>
      <c r="K758" s="8">
        <v>11135</v>
      </c>
      <c r="L758" s="6">
        <v>8</v>
      </c>
      <c r="M758" s="22" t="str" cm="1">
        <f t="array" ref="M758">_xlfn.IFS(L758&gt;10,"Veteran",L758&gt;=6,"Experienced",L758&gt;=2,"Developing",L758&gt;=0,"New")</f>
        <v>Experienced</v>
      </c>
    </row>
    <row r="759" spans="1:13">
      <c r="A759" s="21" t="str">
        <f t="shared" ca="1" si="44"/>
        <v>Sa-Sal-2011-758</v>
      </c>
      <c r="B759" s="6">
        <v>34</v>
      </c>
      <c r="C759" s="6" t="str">
        <f t="shared" si="45"/>
        <v>30-39</v>
      </c>
      <c r="D759" s="6" t="s">
        <v>43</v>
      </c>
      <c r="E759" s="6" t="s">
        <v>37</v>
      </c>
      <c r="F759" s="6" t="s">
        <v>46</v>
      </c>
      <c r="G759" s="6" t="s">
        <v>40</v>
      </c>
      <c r="H759" s="8">
        <v>9725</v>
      </c>
      <c r="I759" s="8">
        <f t="shared" si="46"/>
        <v>2139.5</v>
      </c>
      <c r="J759" s="8">
        <f t="shared" si="47"/>
        <v>7585.5</v>
      </c>
      <c r="K759" s="8">
        <v>12278</v>
      </c>
      <c r="L759" s="6">
        <v>15</v>
      </c>
      <c r="M759" s="22" t="str" cm="1">
        <f t="array" ref="M759">_xlfn.IFS(L759&gt;10,"Veteran",L759&gt;=6,"Experienced",L759&gt;=2,"Developing",L759&gt;=0,"New")</f>
        <v>Veteran</v>
      </c>
    </row>
    <row r="760" spans="1:13">
      <c r="A760" s="21" t="str">
        <f t="shared" ca="1" si="44"/>
        <v>Ma-Sal-2020-759</v>
      </c>
      <c r="B760" s="6">
        <v>59</v>
      </c>
      <c r="C760" s="6" t="str">
        <f t="shared" si="45"/>
        <v>50+</v>
      </c>
      <c r="D760" s="6" t="s">
        <v>43</v>
      </c>
      <c r="E760" s="6" t="s">
        <v>37</v>
      </c>
      <c r="F760" s="6" t="s">
        <v>46</v>
      </c>
      <c r="G760" s="6" t="s">
        <v>56</v>
      </c>
      <c r="H760" s="8">
        <v>11904</v>
      </c>
      <c r="I760" s="8">
        <f t="shared" si="46"/>
        <v>2618.88</v>
      </c>
      <c r="J760" s="8">
        <f t="shared" si="47"/>
        <v>9285.119999999999</v>
      </c>
      <c r="K760" s="8">
        <v>11038</v>
      </c>
      <c r="L760" s="6">
        <v>6</v>
      </c>
      <c r="M760" s="22" t="str" cm="1">
        <f t="array" ref="M760">_xlfn.IFS(L760&gt;10,"Veteran",L760&gt;=6,"Experienced",L760&gt;=2,"Developing",L760&gt;=0,"New")</f>
        <v>Experienced</v>
      </c>
    </row>
    <row r="761" spans="1:13">
      <c r="A761" s="21" t="str">
        <f t="shared" ca="1" si="44"/>
        <v>Hu-Hum-2020-760</v>
      </c>
      <c r="B761" s="6">
        <v>45</v>
      </c>
      <c r="C761" s="6" t="str">
        <f t="shared" si="45"/>
        <v>40-49</v>
      </c>
      <c r="D761" s="6" t="s">
        <v>43</v>
      </c>
      <c r="E761" s="6" t="s">
        <v>61</v>
      </c>
      <c r="F761" s="6" t="s">
        <v>46</v>
      </c>
      <c r="G761" s="6" t="s">
        <v>61</v>
      </c>
      <c r="H761" s="8">
        <v>2177</v>
      </c>
      <c r="I761" s="8">
        <f t="shared" si="46"/>
        <v>152.39000000000001</v>
      </c>
      <c r="J761" s="8">
        <f t="shared" si="47"/>
        <v>2024.61</v>
      </c>
      <c r="K761" s="8">
        <v>8318</v>
      </c>
      <c r="L761" s="6">
        <v>6</v>
      </c>
      <c r="M761" s="22" t="str" cm="1">
        <f t="array" ref="M761">_xlfn.IFS(L761&gt;10,"Veteran",L761&gt;=6,"Experienced",L761&gt;=2,"Developing",L761&gt;=0,"New")</f>
        <v>Experienced</v>
      </c>
    </row>
    <row r="762" spans="1:13">
      <c r="A762" s="21" t="str">
        <f t="shared" ca="1" si="44"/>
        <v>Sa-Sal-2011-761</v>
      </c>
      <c r="B762" s="6">
        <v>53</v>
      </c>
      <c r="C762" s="6" t="str">
        <f t="shared" si="45"/>
        <v>50+</v>
      </c>
      <c r="D762" s="6" t="s">
        <v>43</v>
      </c>
      <c r="E762" s="6" t="s">
        <v>37</v>
      </c>
      <c r="F762" s="6" t="s">
        <v>39</v>
      </c>
      <c r="G762" s="6" t="s">
        <v>40</v>
      </c>
      <c r="H762" s="8">
        <v>7525</v>
      </c>
      <c r="I762" s="8">
        <f t="shared" si="46"/>
        <v>1655.5</v>
      </c>
      <c r="J762" s="8">
        <f t="shared" si="47"/>
        <v>5869.5</v>
      </c>
      <c r="K762" s="8">
        <v>23537</v>
      </c>
      <c r="L762" s="6">
        <v>15</v>
      </c>
      <c r="M762" s="22" t="str" cm="1">
        <f t="array" ref="M762">_xlfn.IFS(L762&gt;10,"Veteran",L762&gt;=6,"Experienced",L762&gt;=2,"Developing",L762&gt;=0,"New")</f>
        <v>Veteran</v>
      </c>
    </row>
    <row r="763" spans="1:13">
      <c r="A763" s="21" t="str">
        <f t="shared" ca="1" si="44"/>
        <v>La-Res-2025-762</v>
      </c>
      <c r="B763" s="6">
        <v>36</v>
      </c>
      <c r="C763" s="6" t="str">
        <f t="shared" si="45"/>
        <v>30-39</v>
      </c>
      <c r="D763" s="6" t="s">
        <v>35</v>
      </c>
      <c r="E763" s="6" t="s">
        <v>45</v>
      </c>
      <c r="F763" s="6" t="s">
        <v>46</v>
      </c>
      <c r="G763" s="6" t="s">
        <v>50</v>
      </c>
      <c r="H763" s="8">
        <v>4834</v>
      </c>
      <c r="I763" s="8">
        <f t="shared" si="46"/>
        <v>725.1</v>
      </c>
      <c r="J763" s="8">
        <f t="shared" si="47"/>
        <v>4108.8999999999996</v>
      </c>
      <c r="K763" s="8">
        <v>7858</v>
      </c>
      <c r="L763" s="6">
        <v>1</v>
      </c>
      <c r="M763" s="22" t="str" cm="1">
        <f t="array" ref="M763">_xlfn.IFS(L763&gt;10,"Veteran",L763&gt;=6,"Experienced",L763&gt;=2,"Developing",L763&gt;=0,"New")</f>
        <v>New</v>
      </c>
    </row>
    <row r="764" spans="1:13">
      <c r="A764" s="21" t="str">
        <f t="shared" ca="1" si="44"/>
        <v>Re-Res-2023-763</v>
      </c>
      <c r="B764" s="6">
        <v>26</v>
      </c>
      <c r="C764" s="6" t="str">
        <f t="shared" si="45"/>
        <v>20-29</v>
      </c>
      <c r="D764" s="6" t="s">
        <v>35</v>
      </c>
      <c r="E764" s="6" t="s">
        <v>45</v>
      </c>
      <c r="F764" s="6" t="s">
        <v>46</v>
      </c>
      <c r="G764" s="6" t="s">
        <v>47</v>
      </c>
      <c r="H764" s="8">
        <v>2042</v>
      </c>
      <c r="I764" s="8">
        <f t="shared" si="46"/>
        <v>142.94000000000003</v>
      </c>
      <c r="J764" s="8">
        <f t="shared" si="47"/>
        <v>1899.06</v>
      </c>
      <c r="K764" s="8">
        <v>15346</v>
      </c>
      <c r="L764" s="6">
        <v>3</v>
      </c>
      <c r="M764" s="22" t="str" cm="1">
        <f t="array" ref="M764">_xlfn.IFS(L764&gt;10,"Veteran",L764&gt;=6,"Experienced",L764&gt;=2,"Developing",L764&gt;=0,"New")</f>
        <v>Developing</v>
      </c>
    </row>
    <row r="765" spans="1:13">
      <c r="A765" s="21" t="str">
        <f t="shared" ca="1" si="44"/>
        <v>Sa-Sal-2025-764</v>
      </c>
      <c r="B765" s="6">
        <v>34</v>
      </c>
      <c r="C765" s="6" t="str">
        <f t="shared" si="45"/>
        <v>30-39</v>
      </c>
      <c r="D765" s="6" t="s">
        <v>43</v>
      </c>
      <c r="E765" s="6" t="s">
        <v>37</v>
      </c>
      <c r="F765" s="6" t="s">
        <v>39</v>
      </c>
      <c r="G765" s="6" t="s">
        <v>57</v>
      </c>
      <c r="H765" s="8">
        <v>2220</v>
      </c>
      <c r="I765" s="8">
        <f t="shared" si="46"/>
        <v>155.4</v>
      </c>
      <c r="J765" s="8">
        <f t="shared" si="47"/>
        <v>2064.6</v>
      </c>
      <c r="K765" s="8">
        <v>18410</v>
      </c>
      <c r="L765" s="6">
        <v>1</v>
      </c>
      <c r="M765" s="22" t="str" cm="1">
        <f t="array" ref="M765">_xlfn.IFS(L765&gt;10,"Veteran",L765&gt;=6,"Experienced",L765&gt;=2,"Developing",L765&gt;=0,"New")</f>
        <v>New</v>
      </c>
    </row>
    <row r="766" spans="1:13">
      <c r="A766" s="21" t="str">
        <f t="shared" ca="1" si="44"/>
        <v>Sa-Sal-2025-765</v>
      </c>
      <c r="B766" s="6">
        <v>28</v>
      </c>
      <c r="C766" s="6" t="str">
        <f t="shared" si="45"/>
        <v>20-29</v>
      </c>
      <c r="D766" s="6" t="s">
        <v>43</v>
      </c>
      <c r="E766" s="6" t="s">
        <v>37</v>
      </c>
      <c r="F766" s="6" t="s">
        <v>46</v>
      </c>
      <c r="G766" s="6" t="s">
        <v>57</v>
      </c>
      <c r="H766" s="8">
        <v>1052</v>
      </c>
      <c r="I766" s="8">
        <f t="shared" si="46"/>
        <v>73.64</v>
      </c>
      <c r="J766" s="8">
        <f t="shared" si="47"/>
        <v>978.36</v>
      </c>
      <c r="K766" s="8">
        <v>23384</v>
      </c>
      <c r="L766" s="6">
        <v>1</v>
      </c>
      <c r="M766" s="22" t="str" cm="1">
        <f t="array" ref="M766">_xlfn.IFS(L766&gt;10,"Veteran",L766&gt;=6,"Experienced",L766&gt;=2,"Developing",L766&gt;=0,"New")</f>
        <v>New</v>
      </c>
    </row>
    <row r="767" spans="1:13">
      <c r="A767" s="21" t="str">
        <f t="shared" ca="1" si="44"/>
        <v>Re-Res-2024-766</v>
      </c>
      <c r="B767" s="6">
        <v>38</v>
      </c>
      <c r="C767" s="6" t="str">
        <f t="shared" si="45"/>
        <v>30-39</v>
      </c>
      <c r="D767" s="6" t="s">
        <v>43</v>
      </c>
      <c r="E767" s="6" t="s">
        <v>45</v>
      </c>
      <c r="F767" s="6" t="s">
        <v>46</v>
      </c>
      <c r="G767" s="6" t="s">
        <v>47</v>
      </c>
      <c r="H767" s="8">
        <v>2821</v>
      </c>
      <c r="I767" s="8">
        <f t="shared" si="46"/>
        <v>197.47000000000003</v>
      </c>
      <c r="J767" s="8">
        <f t="shared" si="47"/>
        <v>2623.5299999999997</v>
      </c>
      <c r="K767" s="8">
        <v>2997</v>
      </c>
      <c r="L767" s="6">
        <v>2</v>
      </c>
      <c r="M767" s="22" t="str" cm="1">
        <f t="array" ref="M767">_xlfn.IFS(L767&gt;10,"Veteran",L767&gt;=6,"Experienced",L767&gt;=2,"Developing",L767&gt;=0,"New")</f>
        <v>Developing</v>
      </c>
    </row>
    <row r="768" spans="1:13">
      <c r="A768" s="21" t="str">
        <f t="shared" ca="1" si="44"/>
        <v>Re-Res-2018-767</v>
      </c>
      <c r="B768" s="6">
        <v>50</v>
      </c>
      <c r="C768" s="6" t="str">
        <f t="shared" si="45"/>
        <v>50+</v>
      </c>
      <c r="D768" s="6" t="s">
        <v>43</v>
      </c>
      <c r="E768" s="6" t="s">
        <v>45</v>
      </c>
      <c r="F768" s="6" t="s">
        <v>46</v>
      </c>
      <c r="G768" s="6" t="s">
        <v>58</v>
      </c>
      <c r="H768" s="8">
        <v>19237</v>
      </c>
      <c r="I768" s="8">
        <f t="shared" si="46"/>
        <v>5771.0999999999995</v>
      </c>
      <c r="J768" s="8">
        <f t="shared" si="47"/>
        <v>13465.900000000001</v>
      </c>
      <c r="K768" s="8">
        <v>12853</v>
      </c>
      <c r="L768" s="6">
        <v>8</v>
      </c>
      <c r="M768" s="22" t="str" cm="1">
        <f t="array" ref="M768">_xlfn.IFS(L768&gt;10,"Veteran",L768&gt;=6,"Experienced",L768&gt;=2,"Developing",L768&gt;=0,"New")</f>
        <v>Experienced</v>
      </c>
    </row>
    <row r="769" spans="1:13">
      <c r="A769" s="21" t="str">
        <f t="shared" ca="1" si="44"/>
        <v>He-Res-2022-768</v>
      </c>
      <c r="B769" s="6">
        <v>37</v>
      </c>
      <c r="C769" s="6" t="str">
        <f t="shared" si="45"/>
        <v>30-39</v>
      </c>
      <c r="D769" s="6" t="s">
        <v>43</v>
      </c>
      <c r="E769" s="6" t="s">
        <v>45</v>
      </c>
      <c r="F769" s="6" t="s">
        <v>39</v>
      </c>
      <c r="G769" s="6" t="s">
        <v>54</v>
      </c>
      <c r="H769" s="8">
        <v>4107</v>
      </c>
      <c r="I769" s="8">
        <f t="shared" si="46"/>
        <v>616.04999999999995</v>
      </c>
      <c r="J769" s="8">
        <f t="shared" si="47"/>
        <v>3490.95</v>
      </c>
      <c r="K769" s="8">
        <v>13848</v>
      </c>
      <c r="L769" s="6">
        <v>4</v>
      </c>
      <c r="M769" s="22" t="str" cm="1">
        <f t="array" ref="M769">_xlfn.IFS(L769&gt;10,"Veteran",L769&gt;=6,"Experienced",L769&gt;=2,"Developing",L769&gt;=0,"New")</f>
        <v>Developing</v>
      </c>
    </row>
    <row r="770" spans="1:13">
      <c r="A770" s="21" t="str">
        <f t="shared" ca="1" si="44"/>
        <v>Sa-Sal-2019-769</v>
      </c>
      <c r="B770" s="6">
        <v>40</v>
      </c>
      <c r="C770" s="6" t="str">
        <f t="shared" si="45"/>
        <v>40-49</v>
      </c>
      <c r="D770" s="6" t="s">
        <v>43</v>
      </c>
      <c r="E770" s="6" t="s">
        <v>37</v>
      </c>
      <c r="F770" s="6" t="s">
        <v>46</v>
      </c>
      <c r="G770" s="6" t="s">
        <v>40</v>
      </c>
      <c r="H770" s="8">
        <v>8396</v>
      </c>
      <c r="I770" s="8">
        <f t="shared" si="46"/>
        <v>1847.1200000000001</v>
      </c>
      <c r="J770" s="8">
        <f t="shared" si="47"/>
        <v>6548.88</v>
      </c>
      <c r="K770" s="8">
        <v>22217</v>
      </c>
      <c r="L770" s="6">
        <v>7</v>
      </c>
      <c r="M770" s="22" t="str" cm="1">
        <f t="array" ref="M770">_xlfn.IFS(L770&gt;10,"Veteran",L770&gt;=6,"Experienced",L770&gt;=2,"Developing",L770&gt;=0,"New")</f>
        <v>Experienced</v>
      </c>
    </row>
    <row r="771" spans="1:13">
      <c r="A771" s="21" t="str">
        <f t="shared" ref="A771:A834" ca="1" si="48">LEFT(G771,2)&amp;"-"&amp;LEFT(E771,3)&amp;"-"&amp;YEAR(TODAY())-L771&amp;"-"&amp;TEXT(ROW()-1,"000")</f>
        <v>Re-Res-2021-770</v>
      </c>
      <c r="B771" s="6">
        <v>26</v>
      </c>
      <c r="C771" s="6" t="str">
        <f t="shared" ref="C771:C834" si="49">IF(B771&lt;=29,"20-29",IF(B771&lt;=39,"30-39",IF(B771&lt;=49,"40-49","50+")))</f>
        <v>20-29</v>
      </c>
      <c r="D771" s="6" t="s">
        <v>43</v>
      </c>
      <c r="E771" s="6" t="s">
        <v>45</v>
      </c>
      <c r="F771" s="6" t="s">
        <v>39</v>
      </c>
      <c r="G771" s="6" t="s">
        <v>47</v>
      </c>
      <c r="H771" s="8">
        <v>2007</v>
      </c>
      <c r="I771" s="8">
        <f t="shared" ref="I771:I834" si="50">IF(H771&gt;13000,H771*30%,IF(H771&gt;7000,H771*22%,IF(H771&gt;3000,H771*15%,H771*7%)))</f>
        <v>140.49</v>
      </c>
      <c r="J771" s="8">
        <f t="shared" ref="J771:J834" si="51">H771-I771</f>
        <v>1866.51</v>
      </c>
      <c r="K771" s="8">
        <v>25265</v>
      </c>
      <c r="L771" s="6">
        <v>5</v>
      </c>
      <c r="M771" s="22" t="str" cm="1">
        <f t="array" ref="M771">_xlfn.IFS(L771&gt;10,"Veteran",L771&gt;=6,"Experienced",L771&gt;=2,"Developing",L771&gt;=0,"New")</f>
        <v>Developing</v>
      </c>
    </row>
    <row r="772" spans="1:13">
      <c r="A772" s="21" t="str">
        <f t="shared" ca="1" si="48"/>
        <v>Re-Res-2024-771</v>
      </c>
      <c r="B772" s="6">
        <v>46</v>
      </c>
      <c r="C772" s="6" t="str">
        <f t="shared" si="49"/>
        <v>40-49</v>
      </c>
      <c r="D772" s="6" t="s">
        <v>43</v>
      </c>
      <c r="E772" s="6" t="s">
        <v>45</v>
      </c>
      <c r="F772" s="6" t="s">
        <v>46</v>
      </c>
      <c r="G772" s="6" t="s">
        <v>58</v>
      </c>
      <c r="H772" s="8">
        <v>19627</v>
      </c>
      <c r="I772" s="8">
        <f t="shared" si="50"/>
        <v>5888.0999999999995</v>
      </c>
      <c r="J772" s="8">
        <f t="shared" si="51"/>
        <v>13738.900000000001</v>
      </c>
      <c r="K772" s="8">
        <v>21445</v>
      </c>
      <c r="L772" s="6">
        <v>2</v>
      </c>
      <c r="M772" s="22" t="str" cm="1">
        <f t="array" ref="M772">_xlfn.IFS(L772&gt;10,"Veteran",L772&gt;=6,"Experienced",L772&gt;=2,"Developing",L772&gt;=0,"New")</f>
        <v>Developing</v>
      </c>
    </row>
    <row r="773" spans="1:13">
      <c r="A773" s="21" t="str">
        <f t="shared" ca="1" si="48"/>
        <v>Sa-Sal-2017-772</v>
      </c>
      <c r="B773" s="6">
        <v>54</v>
      </c>
      <c r="C773" s="6" t="str">
        <f t="shared" si="49"/>
        <v>50+</v>
      </c>
      <c r="D773" s="6" t="s">
        <v>43</v>
      </c>
      <c r="E773" s="6" t="s">
        <v>37</v>
      </c>
      <c r="F773" s="6" t="s">
        <v>39</v>
      </c>
      <c r="G773" s="6" t="s">
        <v>40</v>
      </c>
      <c r="H773" s="8">
        <v>10686</v>
      </c>
      <c r="I773" s="8">
        <f t="shared" si="50"/>
        <v>2350.92</v>
      </c>
      <c r="J773" s="8">
        <f t="shared" si="51"/>
        <v>8335.08</v>
      </c>
      <c r="K773" s="8">
        <v>8392</v>
      </c>
      <c r="L773" s="6">
        <v>9</v>
      </c>
      <c r="M773" s="22" t="str" cm="1">
        <f t="array" ref="M773">_xlfn.IFS(L773&gt;10,"Veteran",L773&gt;=6,"Experienced",L773&gt;=2,"Developing",L773&gt;=0,"New")</f>
        <v>Experienced</v>
      </c>
    </row>
    <row r="774" spans="1:13">
      <c r="A774" s="21" t="str">
        <f t="shared" ca="1" si="48"/>
        <v>Re-Res-2021-773</v>
      </c>
      <c r="B774" s="6">
        <v>56</v>
      </c>
      <c r="C774" s="6" t="str">
        <f t="shared" si="49"/>
        <v>50+</v>
      </c>
      <c r="D774" s="6" t="s">
        <v>43</v>
      </c>
      <c r="E774" s="6" t="s">
        <v>45</v>
      </c>
      <c r="F774" s="6" t="s">
        <v>39</v>
      </c>
      <c r="G774" s="6" t="s">
        <v>47</v>
      </c>
      <c r="H774" s="8">
        <v>2942</v>
      </c>
      <c r="I774" s="8">
        <f t="shared" si="50"/>
        <v>205.94000000000003</v>
      </c>
      <c r="J774" s="8">
        <f t="shared" si="51"/>
        <v>2736.06</v>
      </c>
      <c r="K774" s="8">
        <v>12154</v>
      </c>
      <c r="L774" s="6">
        <v>5</v>
      </c>
      <c r="M774" s="22" t="str" cm="1">
        <f t="array" ref="M774">_xlfn.IFS(L774&gt;10,"Veteran",L774&gt;=6,"Experienced",L774&gt;=2,"Developing",L774&gt;=0,"New")</f>
        <v>Developing</v>
      </c>
    </row>
    <row r="775" spans="1:13">
      <c r="A775" s="21" t="str">
        <f t="shared" ca="1" si="48"/>
        <v>Ma-Res-2012-774</v>
      </c>
      <c r="B775" s="6">
        <v>36</v>
      </c>
      <c r="C775" s="6" t="str">
        <f t="shared" si="49"/>
        <v>30-39</v>
      </c>
      <c r="D775" s="6" t="s">
        <v>43</v>
      </c>
      <c r="E775" s="6" t="s">
        <v>45</v>
      </c>
      <c r="F775" s="6" t="s">
        <v>39</v>
      </c>
      <c r="G775" s="6" t="s">
        <v>53</v>
      </c>
      <c r="H775" s="8">
        <v>8858</v>
      </c>
      <c r="I775" s="8">
        <f t="shared" si="50"/>
        <v>1948.76</v>
      </c>
      <c r="J775" s="8">
        <f t="shared" si="51"/>
        <v>6909.24</v>
      </c>
      <c r="K775" s="8">
        <v>15669</v>
      </c>
      <c r="L775" s="6">
        <v>14</v>
      </c>
      <c r="M775" s="22" t="str" cm="1">
        <f t="array" ref="M775">_xlfn.IFS(L775&gt;10,"Veteran",L775&gt;=6,"Experienced",L775&gt;=2,"Developing",L775&gt;=0,"New")</f>
        <v>Veteran</v>
      </c>
    </row>
    <row r="776" spans="1:13">
      <c r="A776" s="21" t="str">
        <f t="shared" ca="1" si="48"/>
        <v>Ma-Res-2017-775</v>
      </c>
      <c r="B776" s="6">
        <v>55</v>
      </c>
      <c r="C776" s="6" t="str">
        <f t="shared" si="49"/>
        <v>50+</v>
      </c>
      <c r="D776" s="6" t="s">
        <v>43</v>
      </c>
      <c r="E776" s="6" t="s">
        <v>45</v>
      </c>
      <c r="F776" s="6" t="s">
        <v>46</v>
      </c>
      <c r="G776" s="6" t="s">
        <v>56</v>
      </c>
      <c r="H776" s="8">
        <v>16756</v>
      </c>
      <c r="I776" s="8">
        <f t="shared" si="50"/>
        <v>5026.8</v>
      </c>
      <c r="J776" s="8">
        <f t="shared" si="51"/>
        <v>11729.2</v>
      </c>
      <c r="K776" s="8">
        <v>17323</v>
      </c>
      <c r="L776" s="6">
        <v>9</v>
      </c>
      <c r="M776" s="22" t="str" cm="1">
        <f t="array" ref="M776">_xlfn.IFS(L776&gt;10,"Veteran",L776&gt;=6,"Experienced",L776&gt;=2,"Developing",L776&gt;=0,"New")</f>
        <v>Experienced</v>
      </c>
    </row>
    <row r="777" spans="1:13">
      <c r="A777" s="21" t="str">
        <f t="shared" ca="1" si="48"/>
        <v>Sa-Sal-2025-776</v>
      </c>
      <c r="B777" s="6">
        <v>43</v>
      </c>
      <c r="C777" s="6" t="str">
        <f t="shared" si="49"/>
        <v>40-49</v>
      </c>
      <c r="D777" s="6" t="s">
        <v>43</v>
      </c>
      <c r="E777" s="6" t="s">
        <v>37</v>
      </c>
      <c r="F777" s="6" t="s">
        <v>46</v>
      </c>
      <c r="G777" s="6" t="s">
        <v>40</v>
      </c>
      <c r="H777" s="8">
        <v>10798</v>
      </c>
      <c r="I777" s="8">
        <f t="shared" si="50"/>
        <v>2375.56</v>
      </c>
      <c r="J777" s="8">
        <f t="shared" si="51"/>
        <v>8422.44</v>
      </c>
      <c r="K777" s="8">
        <v>5268</v>
      </c>
      <c r="L777" s="6">
        <v>1</v>
      </c>
      <c r="M777" s="22" t="str" cm="1">
        <f t="array" ref="M777">_xlfn.IFS(L777&gt;10,"Veteran",L777&gt;=6,"Experienced",L777&gt;=2,"Developing",L777&gt;=0,"New")</f>
        <v>New</v>
      </c>
    </row>
    <row r="778" spans="1:13">
      <c r="A778" s="21" t="str">
        <f t="shared" ca="1" si="48"/>
        <v>Sa-Sal-2024-777</v>
      </c>
      <c r="B778" s="6">
        <v>20</v>
      </c>
      <c r="C778" s="6" t="str">
        <f t="shared" si="49"/>
        <v>20-29</v>
      </c>
      <c r="D778" s="6" t="s">
        <v>35</v>
      </c>
      <c r="E778" s="6" t="s">
        <v>37</v>
      </c>
      <c r="F778" s="6" t="s">
        <v>39</v>
      </c>
      <c r="G778" s="6" t="s">
        <v>57</v>
      </c>
      <c r="H778" s="8">
        <v>2323</v>
      </c>
      <c r="I778" s="8">
        <f t="shared" si="50"/>
        <v>162.61000000000001</v>
      </c>
      <c r="J778" s="8">
        <f t="shared" si="51"/>
        <v>2160.39</v>
      </c>
      <c r="K778" s="8">
        <v>17205</v>
      </c>
      <c r="L778" s="6">
        <v>2</v>
      </c>
      <c r="M778" s="22" t="str" cm="1">
        <f t="array" ref="M778">_xlfn.IFS(L778&gt;10,"Veteran",L778&gt;=6,"Experienced",L778&gt;=2,"Developing",L778&gt;=0,"New")</f>
        <v>Developing</v>
      </c>
    </row>
    <row r="779" spans="1:13">
      <c r="A779" s="21" t="str">
        <f t="shared" ca="1" si="48"/>
        <v>La-Res-2025-778</v>
      </c>
      <c r="B779" s="6">
        <v>21</v>
      </c>
      <c r="C779" s="6" t="str">
        <f t="shared" si="49"/>
        <v>20-29</v>
      </c>
      <c r="D779" s="6" t="s">
        <v>35</v>
      </c>
      <c r="E779" s="6" t="s">
        <v>45</v>
      </c>
      <c r="F779" s="6" t="s">
        <v>39</v>
      </c>
      <c r="G779" s="6" t="s">
        <v>50</v>
      </c>
      <c r="H779" s="8">
        <v>1416</v>
      </c>
      <c r="I779" s="8">
        <f t="shared" si="50"/>
        <v>99.12</v>
      </c>
      <c r="J779" s="8">
        <f t="shared" si="51"/>
        <v>1316.88</v>
      </c>
      <c r="K779" s="8">
        <v>17258</v>
      </c>
      <c r="L779" s="6">
        <v>1</v>
      </c>
      <c r="M779" s="22" t="str" cm="1">
        <f t="array" ref="M779">_xlfn.IFS(L779&gt;10,"Veteran",L779&gt;=6,"Experienced",L779&gt;=2,"Developing",L779&gt;=0,"New")</f>
        <v>New</v>
      </c>
    </row>
    <row r="780" spans="1:13">
      <c r="A780" s="21" t="str">
        <f t="shared" ca="1" si="48"/>
        <v>Re-Res-2010-779</v>
      </c>
      <c r="B780" s="6">
        <v>46</v>
      </c>
      <c r="C780" s="6" t="str">
        <f t="shared" si="49"/>
        <v>40-49</v>
      </c>
      <c r="D780" s="6" t="s">
        <v>43</v>
      </c>
      <c r="E780" s="6" t="s">
        <v>45</v>
      </c>
      <c r="F780" s="6" t="s">
        <v>39</v>
      </c>
      <c r="G780" s="6" t="s">
        <v>47</v>
      </c>
      <c r="H780" s="8">
        <v>4615</v>
      </c>
      <c r="I780" s="8">
        <f t="shared" si="50"/>
        <v>692.25</v>
      </c>
      <c r="J780" s="8">
        <f t="shared" si="51"/>
        <v>3922.75</v>
      </c>
      <c r="K780" s="8">
        <v>21029</v>
      </c>
      <c r="L780" s="6">
        <v>16</v>
      </c>
      <c r="M780" s="22" t="str" cm="1">
        <f t="array" ref="M780">_xlfn.IFS(L780&gt;10,"Veteran",L780&gt;=6,"Experienced",L780&gt;=2,"Developing",L780&gt;=0,"New")</f>
        <v>Veteran</v>
      </c>
    </row>
    <row r="781" spans="1:13">
      <c r="A781" s="21" t="str">
        <f t="shared" ca="1" si="48"/>
        <v>Re-Res-2016-780</v>
      </c>
      <c r="B781" s="6">
        <v>51</v>
      </c>
      <c r="C781" s="6" t="str">
        <f t="shared" si="49"/>
        <v>50+</v>
      </c>
      <c r="D781" s="6" t="s">
        <v>35</v>
      </c>
      <c r="E781" s="6" t="s">
        <v>45</v>
      </c>
      <c r="F781" s="6" t="s">
        <v>46</v>
      </c>
      <c r="G781" s="6" t="s">
        <v>47</v>
      </c>
      <c r="H781" s="8">
        <v>2461</v>
      </c>
      <c r="I781" s="8">
        <f t="shared" si="50"/>
        <v>172.27</v>
      </c>
      <c r="J781" s="8">
        <f t="shared" si="51"/>
        <v>2288.73</v>
      </c>
      <c r="K781" s="8">
        <v>10332</v>
      </c>
      <c r="L781" s="6">
        <v>10</v>
      </c>
      <c r="M781" s="22" t="str" cm="1">
        <f t="array" ref="M781">_xlfn.IFS(L781&gt;10,"Veteran",L781&gt;=6,"Experienced",L781&gt;=2,"Developing",L781&gt;=0,"New")</f>
        <v>Experienced</v>
      </c>
    </row>
    <row r="782" spans="1:13">
      <c r="A782" s="21" t="str">
        <f t="shared" ca="1" si="48"/>
        <v>He-Res-2016-781</v>
      </c>
      <c r="B782" s="6">
        <v>28</v>
      </c>
      <c r="C782" s="6" t="str">
        <f t="shared" si="49"/>
        <v>20-29</v>
      </c>
      <c r="D782" s="6" t="s">
        <v>35</v>
      </c>
      <c r="E782" s="6" t="s">
        <v>45</v>
      </c>
      <c r="F782" s="6" t="s">
        <v>46</v>
      </c>
      <c r="G782" s="6" t="s">
        <v>54</v>
      </c>
      <c r="H782" s="8">
        <v>8722</v>
      </c>
      <c r="I782" s="8">
        <f t="shared" si="50"/>
        <v>1918.84</v>
      </c>
      <c r="J782" s="8">
        <f t="shared" si="51"/>
        <v>6803.16</v>
      </c>
      <c r="K782" s="8">
        <v>12355</v>
      </c>
      <c r="L782" s="6">
        <v>10</v>
      </c>
      <c r="M782" s="22" t="str" cm="1">
        <f t="array" ref="M782">_xlfn.IFS(L782&gt;10,"Veteran",L782&gt;=6,"Experienced",L782&gt;=2,"Developing",L782&gt;=0,"New")</f>
        <v>Experienced</v>
      </c>
    </row>
    <row r="783" spans="1:13">
      <c r="A783" s="21" t="str">
        <f t="shared" ca="1" si="48"/>
        <v>La-Res-2021-782</v>
      </c>
      <c r="B783" s="6">
        <v>26</v>
      </c>
      <c r="C783" s="6" t="str">
        <f t="shared" si="49"/>
        <v>20-29</v>
      </c>
      <c r="D783" s="6" t="s">
        <v>43</v>
      </c>
      <c r="E783" s="6" t="s">
        <v>45</v>
      </c>
      <c r="F783" s="6" t="s">
        <v>46</v>
      </c>
      <c r="G783" s="6" t="s">
        <v>50</v>
      </c>
      <c r="H783" s="8">
        <v>3955</v>
      </c>
      <c r="I783" s="8">
        <f t="shared" si="50"/>
        <v>593.25</v>
      </c>
      <c r="J783" s="8">
        <f t="shared" si="51"/>
        <v>3361.75</v>
      </c>
      <c r="K783" s="8">
        <v>11141</v>
      </c>
      <c r="L783" s="6">
        <v>5</v>
      </c>
      <c r="M783" s="22" t="str" cm="1">
        <f t="array" ref="M783">_xlfn.IFS(L783&gt;10,"Veteran",L783&gt;=6,"Experienced",L783&gt;=2,"Developing",L783&gt;=0,"New")</f>
        <v>Developing</v>
      </c>
    </row>
    <row r="784" spans="1:13">
      <c r="A784" s="21" t="str">
        <f t="shared" ca="1" si="48"/>
        <v>Ma-Res-2020-783</v>
      </c>
      <c r="B784" s="6">
        <v>30</v>
      </c>
      <c r="C784" s="6" t="str">
        <f t="shared" si="49"/>
        <v>30-39</v>
      </c>
      <c r="D784" s="6" t="s">
        <v>43</v>
      </c>
      <c r="E784" s="6" t="s">
        <v>45</v>
      </c>
      <c r="F784" s="6" t="s">
        <v>46</v>
      </c>
      <c r="G784" s="6" t="s">
        <v>53</v>
      </c>
      <c r="H784" s="8">
        <v>9957</v>
      </c>
      <c r="I784" s="8">
        <f t="shared" si="50"/>
        <v>2190.54</v>
      </c>
      <c r="J784" s="8">
        <f t="shared" si="51"/>
        <v>7766.46</v>
      </c>
      <c r="K784" s="8">
        <v>9096</v>
      </c>
      <c r="L784" s="6">
        <v>6</v>
      </c>
      <c r="M784" s="22" t="str" cm="1">
        <f t="array" ref="M784">_xlfn.IFS(L784&gt;10,"Veteran",L784&gt;=6,"Experienced",L784&gt;=2,"Developing",L784&gt;=0,"New")</f>
        <v>Experienced</v>
      </c>
    </row>
    <row r="785" spans="1:13">
      <c r="A785" s="21" t="str">
        <f t="shared" ca="1" si="48"/>
        <v>Re-Res-2016-784</v>
      </c>
      <c r="B785" s="6">
        <v>41</v>
      </c>
      <c r="C785" s="6" t="str">
        <f t="shared" si="49"/>
        <v>40-49</v>
      </c>
      <c r="D785" s="6" t="s">
        <v>43</v>
      </c>
      <c r="E785" s="6" t="s">
        <v>45</v>
      </c>
      <c r="F785" s="6" t="s">
        <v>39</v>
      </c>
      <c r="G785" s="6" t="s">
        <v>47</v>
      </c>
      <c r="H785" s="8">
        <v>3376</v>
      </c>
      <c r="I785" s="8">
        <f t="shared" si="50"/>
        <v>506.4</v>
      </c>
      <c r="J785" s="8">
        <f t="shared" si="51"/>
        <v>2869.6</v>
      </c>
      <c r="K785" s="8">
        <v>18863</v>
      </c>
      <c r="L785" s="6">
        <v>10</v>
      </c>
      <c r="M785" s="22" t="str" cm="1">
        <f t="array" ref="M785">_xlfn.IFS(L785&gt;10,"Veteran",L785&gt;=6,"Experienced",L785&gt;=2,"Developing",L785&gt;=0,"New")</f>
        <v>Experienced</v>
      </c>
    </row>
    <row r="786" spans="1:13">
      <c r="A786" s="21" t="str">
        <f t="shared" ca="1" si="48"/>
        <v>He-Res-2007-785</v>
      </c>
      <c r="B786" s="6">
        <v>38</v>
      </c>
      <c r="C786" s="6" t="str">
        <f t="shared" si="49"/>
        <v>30-39</v>
      </c>
      <c r="D786" s="6" t="s">
        <v>43</v>
      </c>
      <c r="E786" s="6" t="s">
        <v>45</v>
      </c>
      <c r="F786" s="6" t="s">
        <v>39</v>
      </c>
      <c r="G786" s="6" t="s">
        <v>54</v>
      </c>
      <c r="H786" s="8">
        <v>8823</v>
      </c>
      <c r="I786" s="8">
        <f t="shared" si="50"/>
        <v>1941.06</v>
      </c>
      <c r="J786" s="8">
        <f t="shared" si="51"/>
        <v>6881.9400000000005</v>
      </c>
      <c r="K786" s="8">
        <v>24608</v>
      </c>
      <c r="L786" s="6">
        <v>19</v>
      </c>
      <c r="M786" s="22" t="str" cm="1">
        <f t="array" ref="M786">_xlfn.IFS(L786&gt;10,"Veteran",L786&gt;=6,"Experienced",L786&gt;=2,"Developing",L786&gt;=0,"New")</f>
        <v>Veteran</v>
      </c>
    </row>
    <row r="787" spans="1:13">
      <c r="A787" s="21" t="str">
        <f t="shared" ca="1" si="48"/>
        <v>He-Res-2015-786</v>
      </c>
      <c r="B787" s="6">
        <v>40</v>
      </c>
      <c r="C787" s="6" t="str">
        <f t="shared" si="49"/>
        <v>40-49</v>
      </c>
      <c r="D787" s="6" t="s">
        <v>43</v>
      </c>
      <c r="E787" s="6" t="s">
        <v>45</v>
      </c>
      <c r="F787" s="6" t="s">
        <v>46</v>
      </c>
      <c r="G787" s="6" t="s">
        <v>54</v>
      </c>
      <c r="H787" s="8">
        <v>10322</v>
      </c>
      <c r="I787" s="8">
        <f t="shared" si="50"/>
        <v>2270.84</v>
      </c>
      <c r="J787" s="8">
        <f t="shared" si="51"/>
        <v>8051.16</v>
      </c>
      <c r="K787" s="8">
        <v>26542</v>
      </c>
      <c r="L787" s="6">
        <v>11</v>
      </c>
      <c r="M787" s="22" t="str" cm="1">
        <f t="array" ref="M787">_xlfn.IFS(L787&gt;10,"Veteran",L787&gt;=6,"Experienced",L787&gt;=2,"Developing",L787&gt;=0,"New")</f>
        <v>Veteran</v>
      </c>
    </row>
    <row r="788" spans="1:13">
      <c r="A788" s="21" t="str">
        <f t="shared" ca="1" si="48"/>
        <v>La-Res-2023-787</v>
      </c>
      <c r="B788" s="6">
        <v>27</v>
      </c>
      <c r="C788" s="6" t="str">
        <f t="shared" si="49"/>
        <v>20-29</v>
      </c>
      <c r="D788" s="6" t="s">
        <v>43</v>
      </c>
      <c r="E788" s="6" t="s">
        <v>45</v>
      </c>
      <c r="F788" s="6" t="s">
        <v>46</v>
      </c>
      <c r="G788" s="6" t="s">
        <v>50</v>
      </c>
      <c r="H788" s="8">
        <v>4621</v>
      </c>
      <c r="I788" s="8">
        <f t="shared" si="50"/>
        <v>693.15</v>
      </c>
      <c r="J788" s="8">
        <f t="shared" si="51"/>
        <v>3927.85</v>
      </c>
      <c r="K788" s="8">
        <v>5869</v>
      </c>
      <c r="L788" s="6">
        <v>3</v>
      </c>
      <c r="M788" s="22" t="str" cm="1">
        <f t="array" ref="M788">_xlfn.IFS(L788&gt;10,"Veteran",L788&gt;=6,"Experienced",L788&gt;=2,"Developing",L788&gt;=0,"New")</f>
        <v>Developing</v>
      </c>
    </row>
    <row r="789" spans="1:13">
      <c r="A789" s="21" t="str">
        <f t="shared" ca="1" si="48"/>
        <v>Ma-Res-2023-788</v>
      </c>
      <c r="B789" s="6">
        <v>55</v>
      </c>
      <c r="C789" s="6" t="str">
        <f t="shared" si="49"/>
        <v>50+</v>
      </c>
      <c r="D789" s="6" t="s">
        <v>43</v>
      </c>
      <c r="E789" s="6" t="s">
        <v>45</v>
      </c>
      <c r="F789" s="6" t="s">
        <v>46</v>
      </c>
      <c r="G789" s="6" t="s">
        <v>53</v>
      </c>
      <c r="H789" s="8">
        <v>10976</v>
      </c>
      <c r="I789" s="8">
        <f t="shared" si="50"/>
        <v>2414.7199999999998</v>
      </c>
      <c r="J789" s="8">
        <f t="shared" si="51"/>
        <v>8561.2800000000007</v>
      </c>
      <c r="K789" s="8">
        <v>15813</v>
      </c>
      <c r="L789" s="6">
        <v>3</v>
      </c>
      <c r="M789" s="22" t="str" cm="1">
        <f t="array" ref="M789">_xlfn.IFS(L789&gt;10,"Veteran",L789&gt;=6,"Experienced",L789&gt;=2,"Developing",L789&gt;=0,"New")</f>
        <v>Developing</v>
      </c>
    </row>
    <row r="790" spans="1:13">
      <c r="A790" s="21" t="str">
        <f t="shared" ca="1" si="48"/>
        <v>Re-Res-2018-789</v>
      </c>
      <c r="B790" s="6">
        <v>28</v>
      </c>
      <c r="C790" s="6" t="str">
        <f t="shared" si="49"/>
        <v>20-29</v>
      </c>
      <c r="D790" s="6" t="s">
        <v>43</v>
      </c>
      <c r="E790" s="6" t="s">
        <v>45</v>
      </c>
      <c r="F790" s="6" t="s">
        <v>39</v>
      </c>
      <c r="G790" s="6" t="s">
        <v>47</v>
      </c>
      <c r="H790" s="8">
        <v>3660</v>
      </c>
      <c r="I790" s="8">
        <f t="shared" si="50"/>
        <v>549</v>
      </c>
      <c r="J790" s="8">
        <f t="shared" si="51"/>
        <v>3111</v>
      </c>
      <c r="K790" s="8">
        <v>7909</v>
      </c>
      <c r="L790" s="6">
        <v>8</v>
      </c>
      <c r="M790" s="22" t="str" cm="1">
        <f t="array" ref="M790">_xlfn.IFS(L790&gt;10,"Veteran",L790&gt;=6,"Experienced",L790&gt;=2,"Developing",L790&gt;=0,"New")</f>
        <v>Experienced</v>
      </c>
    </row>
    <row r="791" spans="1:13">
      <c r="A791" s="21" t="str">
        <f t="shared" ca="1" si="48"/>
        <v>Hu-Hum-2006-790</v>
      </c>
      <c r="B791" s="6">
        <v>44</v>
      </c>
      <c r="C791" s="6" t="str">
        <f t="shared" si="49"/>
        <v>40-49</v>
      </c>
      <c r="D791" s="6" t="s">
        <v>35</v>
      </c>
      <c r="E791" s="6" t="s">
        <v>61</v>
      </c>
      <c r="F791" s="6" t="s">
        <v>46</v>
      </c>
      <c r="G791" s="6" t="s">
        <v>61</v>
      </c>
      <c r="H791" s="8">
        <v>10482</v>
      </c>
      <c r="I791" s="8">
        <f t="shared" si="50"/>
        <v>2306.04</v>
      </c>
      <c r="J791" s="8">
        <f t="shared" si="51"/>
        <v>8175.96</v>
      </c>
      <c r="K791" s="8">
        <v>2326</v>
      </c>
      <c r="L791" s="6">
        <v>20</v>
      </c>
      <c r="M791" s="22" t="str" cm="1">
        <f t="array" ref="M791">_xlfn.IFS(L791&gt;10,"Veteran",L791&gt;=6,"Experienced",L791&gt;=2,"Developing",L791&gt;=0,"New")</f>
        <v>Veteran</v>
      </c>
    </row>
    <row r="792" spans="1:13">
      <c r="A792" s="21" t="str">
        <f t="shared" ca="1" si="48"/>
        <v>He-Res-2023-791</v>
      </c>
      <c r="B792" s="6">
        <v>33</v>
      </c>
      <c r="C792" s="6" t="str">
        <f t="shared" si="49"/>
        <v>30-39</v>
      </c>
      <c r="D792" s="6" t="s">
        <v>43</v>
      </c>
      <c r="E792" s="6" t="s">
        <v>45</v>
      </c>
      <c r="F792" s="6" t="s">
        <v>46</v>
      </c>
      <c r="G792" s="6" t="s">
        <v>54</v>
      </c>
      <c r="H792" s="8">
        <v>7119</v>
      </c>
      <c r="I792" s="8">
        <f t="shared" si="50"/>
        <v>1566.18</v>
      </c>
      <c r="J792" s="8">
        <f t="shared" si="51"/>
        <v>5552.82</v>
      </c>
      <c r="K792" s="8">
        <v>21214</v>
      </c>
      <c r="L792" s="6">
        <v>3</v>
      </c>
      <c r="M792" s="22" t="str" cm="1">
        <f t="array" ref="M792">_xlfn.IFS(L792&gt;10,"Veteran",L792&gt;=6,"Experienced",L792&gt;=2,"Developing",L792&gt;=0,"New")</f>
        <v>Developing</v>
      </c>
    </row>
    <row r="793" spans="1:13">
      <c r="A793" s="21" t="str">
        <f t="shared" ca="1" si="48"/>
        <v>Sa-Sal-2018-792</v>
      </c>
      <c r="B793" s="6">
        <v>35</v>
      </c>
      <c r="C793" s="6" t="str">
        <f t="shared" si="49"/>
        <v>30-39</v>
      </c>
      <c r="D793" s="6" t="s">
        <v>35</v>
      </c>
      <c r="E793" s="6" t="s">
        <v>37</v>
      </c>
      <c r="F793" s="6" t="s">
        <v>46</v>
      </c>
      <c r="G793" s="6" t="s">
        <v>40</v>
      </c>
      <c r="H793" s="8">
        <v>9582</v>
      </c>
      <c r="I793" s="8">
        <f t="shared" si="50"/>
        <v>2108.04</v>
      </c>
      <c r="J793" s="8">
        <f t="shared" si="51"/>
        <v>7473.96</v>
      </c>
      <c r="K793" s="8">
        <v>10333</v>
      </c>
      <c r="L793" s="6">
        <v>8</v>
      </c>
      <c r="M793" s="22" t="str" cm="1">
        <f t="array" ref="M793">_xlfn.IFS(L793&gt;10,"Veteran",L793&gt;=6,"Experienced",L793&gt;=2,"Developing",L793&gt;=0,"New")</f>
        <v>Experienced</v>
      </c>
    </row>
    <row r="794" spans="1:13">
      <c r="A794" s="21" t="str">
        <f t="shared" ca="1" si="48"/>
        <v>Re-Res-2013-793</v>
      </c>
      <c r="B794" s="6">
        <v>33</v>
      </c>
      <c r="C794" s="6" t="str">
        <f t="shared" si="49"/>
        <v>30-39</v>
      </c>
      <c r="D794" s="6" t="s">
        <v>35</v>
      </c>
      <c r="E794" s="6" t="s">
        <v>45</v>
      </c>
      <c r="F794" s="6" t="s">
        <v>39</v>
      </c>
      <c r="G794" s="6" t="s">
        <v>47</v>
      </c>
      <c r="H794" s="8">
        <v>4508</v>
      </c>
      <c r="I794" s="8">
        <f t="shared" si="50"/>
        <v>676.19999999999993</v>
      </c>
      <c r="J794" s="8">
        <f t="shared" si="51"/>
        <v>3831.8</v>
      </c>
      <c r="K794" s="8">
        <v>3129</v>
      </c>
      <c r="L794" s="6">
        <v>13</v>
      </c>
      <c r="M794" s="22" t="str" cm="1">
        <f t="array" ref="M794">_xlfn.IFS(L794&gt;10,"Veteran",L794&gt;=6,"Experienced",L794&gt;=2,"Developing",L794&gt;=0,"New")</f>
        <v>Veteran</v>
      </c>
    </row>
    <row r="795" spans="1:13">
      <c r="A795" s="21" t="str">
        <f t="shared" ca="1" si="48"/>
        <v>La-Res-2022-794</v>
      </c>
      <c r="B795" s="6">
        <v>28</v>
      </c>
      <c r="C795" s="6" t="str">
        <f t="shared" si="49"/>
        <v>20-29</v>
      </c>
      <c r="D795" s="6" t="s">
        <v>43</v>
      </c>
      <c r="E795" s="6" t="s">
        <v>45</v>
      </c>
      <c r="F795" s="6" t="s">
        <v>46</v>
      </c>
      <c r="G795" s="6" t="s">
        <v>50</v>
      </c>
      <c r="H795" s="8">
        <v>2207</v>
      </c>
      <c r="I795" s="8">
        <f t="shared" si="50"/>
        <v>154.49</v>
      </c>
      <c r="J795" s="8">
        <f t="shared" si="51"/>
        <v>2052.5100000000002</v>
      </c>
      <c r="K795" s="8">
        <v>22482</v>
      </c>
      <c r="L795" s="6">
        <v>4</v>
      </c>
      <c r="M795" s="22" t="str" cm="1">
        <f t="array" ref="M795">_xlfn.IFS(L795&gt;10,"Veteran",L795&gt;=6,"Experienced",L795&gt;=2,"Developing",L795&gt;=0,"New")</f>
        <v>Developing</v>
      </c>
    </row>
    <row r="796" spans="1:13">
      <c r="A796" s="21" t="str">
        <f t="shared" ca="1" si="48"/>
        <v>He-Res-2020-795</v>
      </c>
      <c r="B796" s="6">
        <v>34</v>
      </c>
      <c r="C796" s="6" t="str">
        <f t="shared" si="49"/>
        <v>30-39</v>
      </c>
      <c r="D796" s="6" t="s">
        <v>43</v>
      </c>
      <c r="E796" s="6" t="s">
        <v>45</v>
      </c>
      <c r="F796" s="6" t="s">
        <v>46</v>
      </c>
      <c r="G796" s="6" t="s">
        <v>54</v>
      </c>
      <c r="H796" s="8">
        <v>7756</v>
      </c>
      <c r="I796" s="8">
        <f t="shared" si="50"/>
        <v>1706.32</v>
      </c>
      <c r="J796" s="8">
        <f t="shared" si="51"/>
        <v>6049.68</v>
      </c>
      <c r="K796" s="8">
        <v>22266</v>
      </c>
      <c r="L796" s="6">
        <v>6</v>
      </c>
      <c r="M796" s="22" t="str" cm="1">
        <f t="array" ref="M796">_xlfn.IFS(L796&gt;10,"Veteran",L796&gt;=6,"Experienced",L796&gt;=2,"Developing",L796&gt;=0,"New")</f>
        <v>Experienced</v>
      </c>
    </row>
    <row r="797" spans="1:13">
      <c r="A797" s="21" t="str">
        <f t="shared" ca="1" si="48"/>
        <v>Sa-Sal-2025-796</v>
      </c>
      <c r="B797" s="6">
        <v>37</v>
      </c>
      <c r="C797" s="6" t="str">
        <f t="shared" si="49"/>
        <v>30-39</v>
      </c>
      <c r="D797" s="6" t="s">
        <v>43</v>
      </c>
      <c r="E797" s="6" t="s">
        <v>37</v>
      </c>
      <c r="F797" s="6" t="s">
        <v>39</v>
      </c>
      <c r="G797" s="6" t="s">
        <v>40</v>
      </c>
      <c r="H797" s="8">
        <v>6694</v>
      </c>
      <c r="I797" s="8">
        <f t="shared" si="50"/>
        <v>1004.0999999999999</v>
      </c>
      <c r="J797" s="8">
        <f t="shared" si="51"/>
        <v>5689.9</v>
      </c>
      <c r="K797" s="8">
        <v>24223</v>
      </c>
      <c r="L797" s="6">
        <v>1</v>
      </c>
      <c r="M797" s="22" t="str" cm="1">
        <f t="array" ref="M797">_xlfn.IFS(L797&gt;10,"Veteran",L797&gt;=6,"Experienced",L797&gt;=2,"Developing",L797&gt;=0,"New")</f>
        <v>New</v>
      </c>
    </row>
    <row r="798" spans="1:13">
      <c r="A798" s="21" t="str">
        <f t="shared" ca="1" si="48"/>
        <v>La-Res-2019-797</v>
      </c>
      <c r="B798" s="6">
        <v>25</v>
      </c>
      <c r="C798" s="6" t="str">
        <f t="shared" si="49"/>
        <v>20-29</v>
      </c>
      <c r="D798" s="6" t="s">
        <v>35</v>
      </c>
      <c r="E798" s="6" t="s">
        <v>45</v>
      </c>
      <c r="F798" s="6" t="s">
        <v>46</v>
      </c>
      <c r="G798" s="6" t="s">
        <v>50</v>
      </c>
      <c r="H798" s="8">
        <v>3691</v>
      </c>
      <c r="I798" s="8">
        <f t="shared" si="50"/>
        <v>553.65</v>
      </c>
      <c r="J798" s="8">
        <f t="shared" si="51"/>
        <v>3137.35</v>
      </c>
      <c r="K798" s="8">
        <v>4605</v>
      </c>
      <c r="L798" s="6">
        <v>7</v>
      </c>
      <c r="M798" s="22" t="str" cm="1">
        <f t="array" ref="M798">_xlfn.IFS(L798&gt;10,"Veteran",L798&gt;=6,"Experienced",L798&gt;=2,"Developing",L798&gt;=0,"New")</f>
        <v>Experienced</v>
      </c>
    </row>
    <row r="799" spans="1:13">
      <c r="A799" s="21" t="str">
        <f t="shared" ca="1" si="48"/>
        <v>La-Res-2025-798</v>
      </c>
      <c r="B799" s="6">
        <v>26</v>
      </c>
      <c r="C799" s="6" t="str">
        <f t="shared" si="49"/>
        <v>20-29</v>
      </c>
      <c r="D799" s="6" t="s">
        <v>35</v>
      </c>
      <c r="E799" s="6" t="s">
        <v>45</v>
      </c>
      <c r="F799" s="6" t="s">
        <v>46</v>
      </c>
      <c r="G799" s="6" t="s">
        <v>50</v>
      </c>
      <c r="H799" s="8">
        <v>2377</v>
      </c>
      <c r="I799" s="8">
        <f t="shared" si="50"/>
        <v>166.39000000000001</v>
      </c>
      <c r="J799" s="8">
        <f t="shared" si="51"/>
        <v>2210.61</v>
      </c>
      <c r="K799" s="8">
        <v>19373</v>
      </c>
      <c r="L799" s="6">
        <v>1</v>
      </c>
      <c r="M799" s="22" t="str" cm="1">
        <f t="array" ref="M799">_xlfn.IFS(L799&gt;10,"Veteran",L799&gt;=6,"Experienced",L799&gt;=2,"Developing",L799&gt;=0,"New")</f>
        <v>New</v>
      </c>
    </row>
    <row r="800" spans="1:13">
      <c r="A800" s="21" t="str">
        <f t="shared" ca="1" si="48"/>
        <v>Re-Res-2024-799</v>
      </c>
      <c r="B800" s="6">
        <v>33</v>
      </c>
      <c r="C800" s="6" t="str">
        <f t="shared" si="49"/>
        <v>30-39</v>
      </c>
      <c r="D800" s="6" t="s">
        <v>35</v>
      </c>
      <c r="E800" s="6" t="s">
        <v>45</v>
      </c>
      <c r="F800" s="6" t="s">
        <v>46</v>
      </c>
      <c r="G800" s="6" t="s">
        <v>47</v>
      </c>
      <c r="H800" s="8">
        <v>2313</v>
      </c>
      <c r="I800" s="8">
        <f t="shared" si="50"/>
        <v>161.91000000000003</v>
      </c>
      <c r="J800" s="8">
        <f t="shared" si="51"/>
        <v>2151.09</v>
      </c>
      <c r="K800" s="8">
        <v>2993</v>
      </c>
      <c r="L800" s="6">
        <v>2</v>
      </c>
      <c r="M800" s="22" t="str" cm="1">
        <f t="array" ref="M800">_xlfn.IFS(L800&gt;10,"Veteran",L800&gt;=6,"Experienced",L800&gt;=2,"Developing",L800&gt;=0,"New")</f>
        <v>Developing</v>
      </c>
    </row>
    <row r="801" spans="1:13">
      <c r="A801" s="21" t="str">
        <f t="shared" ca="1" si="48"/>
        <v>Ma-Res-2004-800</v>
      </c>
      <c r="B801" s="6">
        <v>42</v>
      </c>
      <c r="C801" s="6" t="str">
        <f t="shared" si="49"/>
        <v>40-49</v>
      </c>
      <c r="D801" s="6" t="s">
        <v>43</v>
      </c>
      <c r="E801" s="6" t="s">
        <v>45</v>
      </c>
      <c r="F801" s="6" t="s">
        <v>46</v>
      </c>
      <c r="G801" s="6" t="s">
        <v>56</v>
      </c>
      <c r="H801" s="8">
        <v>17665</v>
      </c>
      <c r="I801" s="8">
        <f t="shared" si="50"/>
        <v>5299.5</v>
      </c>
      <c r="J801" s="8">
        <f t="shared" si="51"/>
        <v>12365.5</v>
      </c>
      <c r="K801" s="8">
        <v>14399</v>
      </c>
      <c r="L801" s="6">
        <v>22</v>
      </c>
      <c r="M801" s="22" t="str" cm="1">
        <f t="array" ref="M801">_xlfn.IFS(L801&gt;10,"Veteran",L801&gt;=6,"Experienced",L801&gt;=2,"Developing",L801&gt;=0,"New")</f>
        <v>Veteran</v>
      </c>
    </row>
    <row r="802" spans="1:13">
      <c r="A802" s="21" t="str">
        <f t="shared" ca="1" si="48"/>
        <v>La-Res-2025-801</v>
      </c>
      <c r="B802" s="6">
        <v>28</v>
      </c>
      <c r="C802" s="6" t="str">
        <f t="shared" si="49"/>
        <v>20-29</v>
      </c>
      <c r="D802" s="6" t="s">
        <v>35</v>
      </c>
      <c r="E802" s="6" t="s">
        <v>45</v>
      </c>
      <c r="F802" s="6" t="s">
        <v>46</v>
      </c>
      <c r="G802" s="6" t="s">
        <v>50</v>
      </c>
      <c r="H802" s="8">
        <v>2596</v>
      </c>
      <c r="I802" s="8">
        <f t="shared" si="50"/>
        <v>181.72000000000003</v>
      </c>
      <c r="J802" s="8">
        <f t="shared" si="51"/>
        <v>2414.2799999999997</v>
      </c>
      <c r="K802" s="8">
        <v>7160</v>
      </c>
      <c r="L802" s="6">
        <v>1</v>
      </c>
      <c r="M802" s="22" t="str" cm="1">
        <f t="array" ref="M802">_xlfn.IFS(L802&gt;10,"Veteran",L802&gt;=6,"Experienced",L802&gt;=2,"Developing",L802&gt;=0,"New")</f>
        <v>New</v>
      </c>
    </row>
    <row r="803" spans="1:13">
      <c r="A803" s="21" t="str">
        <f t="shared" ca="1" si="48"/>
        <v>Sa-Sal-2026-802</v>
      </c>
      <c r="B803" s="6">
        <v>50</v>
      </c>
      <c r="C803" s="6" t="str">
        <f t="shared" si="49"/>
        <v>50+</v>
      </c>
      <c r="D803" s="6" t="s">
        <v>35</v>
      </c>
      <c r="E803" s="6" t="s">
        <v>37</v>
      </c>
      <c r="F803" s="6" t="s">
        <v>46</v>
      </c>
      <c r="G803" s="6" t="s">
        <v>40</v>
      </c>
      <c r="H803" s="8">
        <v>4728</v>
      </c>
      <c r="I803" s="8">
        <f t="shared" si="50"/>
        <v>709.19999999999993</v>
      </c>
      <c r="J803" s="8">
        <f t="shared" si="51"/>
        <v>4018.8</v>
      </c>
      <c r="K803" s="8">
        <v>17251</v>
      </c>
      <c r="L803" s="6">
        <v>0</v>
      </c>
      <c r="M803" s="22" t="str" cm="1">
        <f t="array" ref="M803">_xlfn.IFS(L803&gt;10,"Veteran",L803&gt;=6,"Experienced",L803&gt;=2,"Developing",L803&gt;=0,"New")</f>
        <v>New</v>
      </c>
    </row>
    <row r="804" spans="1:13">
      <c r="A804" s="21" t="str">
        <f t="shared" ca="1" si="48"/>
        <v>Sa-Sal-2023-803</v>
      </c>
      <c r="B804" s="6">
        <v>33</v>
      </c>
      <c r="C804" s="6" t="str">
        <f t="shared" si="49"/>
        <v>30-39</v>
      </c>
      <c r="D804" s="6" t="s">
        <v>43</v>
      </c>
      <c r="E804" s="6" t="s">
        <v>37</v>
      </c>
      <c r="F804" s="6" t="s">
        <v>39</v>
      </c>
      <c r="G804" s="6" t="s">
        <v>40</v>
      </c>
      <c r="H804" s="8">
        <v>4302</v>
      </c>
      <c r="I804" s="8">
        <f t="shared" si="50"/>
        <v>645.29999999999995</v>
      </c>
      <c r="J804" s="8">
        <f t="shared" si="51"/>
        <v>3656.7</v>
      </c>
      <c r="K804" s="8">
        <v>13401</v>
      </c>
      <c r="L804" s="6">
        <v>3</v>
      </c>
      <c r="M804" s="22" t="str" cm="1">
        <f t="array" ref="M804">_xlfn.IFS(L804&gt;10,"Veteran",L804&gt;=6,"Experienced",L804&gt;=2,"Developing",L804&gt;=0,"New")</f>
        <v>Developing</v>
      </c>
    </row>
    <row r="805" spans="1:13">
      <c r="A805" s="21" t="str">
        <f t="shared" ca="1" si="48"/>
        <v>Re-Res-2026-804</v>
      </c>
      <c r="B805" s="6">
        <v>34</v>
      </c>
      <c r="C805" s="6" t="str">
        <f t="shared" si="49"/>
        <v>30-39</v>
      </c>
      <c r="D805" s="6" t="s">
        <v>43</v>
      </c>
      <c r="E805" s="6" t="s">
        <v>45</v>
      </c>
      <c r="F805" s="6" t="s">
        <v>46</v>
      </c>
      <c r="G805" s="6" t="s">
        <v>47</v>
      </c>
      <c r="H805" s="8">
        <v>2979</v>
      </c>
      <c r="I805" s="8">
        <f t="shared" si="50"/>
        <v>208.53000000000003</v>
      </c>
      <c r="J805" s="8">
        <f t="shared" si="51"/>
        <v>2770.47</v>
      </c>
      <c r="K805" s="8">
        <v>22478</v>
      </c>
      <c r="L805" s="6">
        <v>0</v>
      </c>
      <c r="M805" s="22" t="str" cm="1">
        <f t="array" ref="M805">_xlfn.IFS(L805&gt;10,"Veteran",L805&gt;=6,"Experienced",L805&gt;=2,"Developing",L805&gt;=0,"New")</f>
        <v>New</v>
      </c>
    </row>
    <row r="806" spans="1:13">
      <c r="A806" s="21" t="str">
        <f t="shared" ca="1" si="48"/>
        <v>Ma-Res-2021-805</v>
      </c>
      <c r="B806" s="6">
        <v>48</v>
      </c>
      <c r="C806" s="6" t="str">
        <f t="shared" si="49"/>
        <v>40-49</v>
      </c>
      <c r="D806" s="6" t="s">
        <v>43</v>
      </c>
      <c r="E806" s="6" t="s">
        <v>45</v>
      </c>
      <c r="F806" s="6" t="s">
        <v>46</v>
      </c>
      <c r="G806" s="6" t="s">
        <v>56</v>
      </c>
      <c r="H806" s="8">
        <v>16885</v>
      </c>
      <c r="I806" s="8">
        <f t="shared" si="50"/>
        <v>5065.5</v>
      </c>
      <c r="J806" s="8">
        <f t="shared" si="51"/>
        <v>11819.5</v>
      </c>
      <c r="K806" s="8">
        <v>16154</v>
      </c>
      <c r="L806" s="6">
        <v>5</v>
      </c>
      <c r="M806" s="22" t="str" cm="1">
        <f t="array" ref="M806">_xlfn.IFS(L806&gt;10,"Veteran",L806&gt;=6,"Experienced",L806&gt;=2,"Developing",L806&gt;=0,"New")</f>
        <v>Developing</v>
      </c>
    </row>
    <row r="807" spans="1:13">
      <c r="A807" s="21" t="str">
        <f t="shared" ca="1" si="48"/>
        <v>Sa-Sal-2011-806</v>
      </c>
      <c r="B807" s="6">
        <v>45</v>
      </c>
      <c r="C807" s="6" t="str">
        <f t="shared" si="49"/>
        <v>40-49</v>
      </c>
      <c r="D807" s="6" t="s">
        <v>43</v>
      </c>
      <c r="E807" s="6" t="s">
        <v>37</v>
      </c>
      <c r="F807" s="6" t="s">
        <v>39</v>
      </c>
      <c r="G807" s="6" t="s">
        <v>40</v>
      </c>
      <c r="H807" s="8">
        <v>5593</v>
      </c>
      <c r="I807" s="8">
        <f t="shared" si="50"/>
        <v>838.94999999999993</v>
      </c>
      <c r="J807" s="8">
        <f t="shared" si="51"/>
        <v>4754.05</v>
      </c>
      <c r="K807" s="8">
        <v>17970</v>
      </c>
      <c r="L807" s="6">
        <v>15</v>
      </c>
      <c r="M807" s="22" t="str" cm="1">
        <f t="array" ref="M807">_xlfn.IFS(L807&gt;10,"Veteran",L807&gt;=6,"Experienced",L807&gt;=2,"Developing",L807&gt;=0,"New")</f>
        <v>Veteran</v>
      </c>
    </row>
    <row r="808" spans="1:13">
      <c r="A808" s="21" t="str">
        <f t="shared" ca="1" si="48"/>
        <v>He-Res-2018-807</v>
      </c>
      <c r="B808" s="6">
        <v>52</v>
      </c>
      <c r="C808" s="6" t="str">
        <f t="shared" si="49"/>
        <v>50+</v>
      </c>
      <c r="D808" s="6" t="s">
        <v>43</v>
      </c>
      <c r="E808" s="6" t="s">
        <v>45</v>
      </c>
      <c r="F808" s="6" t="s">
        <v>46</v>
      </c>
      <c r="G808" s="6" t="s">
        <v>54</v>
      </c>
      <c r="H808" s="8">
        <v>10445</v>
      </c>
      <c r="I808" s="8">
        <f t="shared" si="50"/>
        <v>2297.9</v>
      </c>
      <c r="J808" s="8">
        <f t="shared" si="51"/>
        <v>8147.1</v>
      </c>
      <c r="K808" s="8">
        <v>15322</v>
      </c>
      <c r="L808" s="6">
        <v>8</v>
      </c>
      <c r="M808" s="22" t="str" cm="1">
        <f t="array" ref="M808">_xlfn.IFS(L808&gt;10,"Veteran",L808&gt;=6,"Experienced",L808&gt;=2,"Developing",L808&gt;=0,"New")</f>
        <v>Experienced</v>
      </c>
    </row>
    <row r="809" spans="1:13">
      <c r="A809" s="21" t="str">
        <f t="shared" ca="1" si="48"/>
        <v>Sa-Sal-2018-808</v>
      </c>
      <c r="B809" s="6">
        <v>38</v>
      </c>
      <c r="C809" s="6" t="str">
        <f t="shared" si="49"/>
        <v>30-39</v>
      </c>
      <c r="D809" s="6" t="s">
        <v>43</v>
      </c>
      <c r="E809" s="6" t="s">
        <v>37</v>
      </c>
      <c r="F809" s="6" t="s">
        <v>46</v>
      </c>
      <c r="G809" s="6" t="s">
        <v>40</v>
      </c>
      <c r="H809" s="8">
        <v>8740</v>
      </c>
      <c r="I809" s="8">
        <f t="shared" si="50"/>
        <v>1922.8</v>
      </c>
      <c r="J809" s="8">
        <f t="shared" si="51"/>
        <v>6817.2</v>
      </c>
      <c r="K809" s="8">
        <v>5569</v>
      </c>
      <c r="L809" s="6">
        <v>8</v>
      </c>
      <c r="M809" s="22" t="str" cm="1">
        <f t="array" ref="M809">_xlfn.IFS(L809&gt;10,"Veteran",L809&gt;=6,"Experienced",L809&gt;=2,"Developing",L809&gt;=0,"New")</f>
        <v>Experienced</v>
      </c>
    </row>
    <row r="810" spans="1:13">
      <c r="A810" s="21" t="str">
        <f t="shared" ca="1" si="48"/>
        <v>Re-Res-2019-809</v>
      </c>
      <c r="B810" s="6">
        <v>29</v>
      </c>
      <c r="C810" s="6" t="str">
        <f t="shared" si="49"/>
        <v>20-29</v>
      </c>
      <c r="D810" s="6" t="s">
        <v>43</v>
      </c>
      <c r="E810" s="6" t="s">
        <v>45</v>
      </c>
      <c r="F810" s="6" t="s">
        <v>39</v>
      </c>
      <c r="G810" s="6" t="s">
        <v>47</v>
      </c>
      <c r="H810" s="8">
        <v>2514</v>
      </c>
      <c r="I810" s="8">
        <f t="shared" si="50"/>
        <v>175.98000000000002</v>
      </c>
      <c r="J810" s="8">
        <f t="shared" si="51"/>
        <v>2338.02</v>
      </c>
      <c r="K810" s="8">
        <v>26968</v>
      </c>
      <c r="L810" s="6">
        <v>7</v>
      </c>
      <c r="M810" s="22" t="str" cm="1">
        <f t="array" ref="M810">_xlfn.IFS(L810&gt;10,"Veteran",L810&gt;=6,"Experienced",L810&gt;=2,"Developing",L810&gt;=0,"New")</f>
        <v>Experienced</v>
      </c>
    </row>
    <row r="811" spans="1:13">
      <c r="A811" s="21" t="str">
        <f t="shared" ca="1" si="48"/>
        <v>Ma-Res-2017-810</v>
      </c>
      <c r="B811" s="6">
        <v>28</v>
      </c>
      <c r="C811" s="6" t="str">
        <f t="shared" si="49"/>
        <v>20-29</v>
      </c>
      <c r="D811" s="6" t="s">
        <v>43</v>
      </c>
      <c r="E811" s="6" t="s">
        <v>45</v>
      </c>
      <c r="F811" s="6" t="s">
        <v>39</v>
      </c>
      <c r="G811" s="6" t="s">
        <v>53</v>
      </c>
      <c r="H811" s="8">
        <v>7655</v>
      </c>
      <c r="I811" s="8">
        <f t="shared" si="50"/>
        <v>1684.1</v>
      </c>
      <c r="J811" s="8">
        <f t="shared" si="51"/>
        <v>5970.9</v>
      </c>
      <c r="K811" s="8">
        <v>8039</v>
      </c>
      <c r="L811" s="6">
        <v>9</v>
      </c>
      <c r="M811" s="22" t="str" cm="1">
        <f t="array" ref="M811">_xlfn.IFS(L811&gt;10,"Veteran",L811&gt;=6,"Experienced",L811&gt;=2,"Developing",L811&gt;=0,"New")</f>
        <v>Experienced</v>
      </c>
    </row>
    <row r="812" spans="1:13">
      <c r="A812" s="21" t="str">
        <f t="shared" ca="1" si="48"/>
        <v>Ma-Sal-2014-811</v>
      </c>
      <c r="B812" s="6">
        <v>46</v>
      </c>
      <c r="C812" s="6" t="str">
        <f t="shared" si="49"/>
        <v>40-49</v>
      </c>
      <c r="D812" s="6" t="s">
        <v>43</v>
      </c>
      <c r="E812" s="6" t="s">
        <v>37</v>
      </c>
      <c r="F812" s="6" t="s">
        <v>46</v>
      </c>
      <c r="G812" s="6" t="s">
        <v>56</v>
      </c>
      <c r="H812" s="8">
        <v>17465</v>
      </c>
      <c r="I812" s="8">
        <f t="shared" si="50"/>
        <v>5239.5</v>
      </c>
      <c r="J812" s="8">
        <f t="shared" si="51"/>
        <v>12225.5</v>
      </c>
      <c r="K812" s="8">
        <v>15596</v>
      </c>
      <c r="L812" s="6">
        <v>12</v>
      </c>
      <c r="M812" s="22" t="str" cm="1">
        <f t="array" ref="M812">_xlfn.IFS(L812&gt;10,"Veteran",L812&gt;=6,"Experienced",L812&gt;=2,"Developing",L812&gt;=0,"New")</f>
        <v>Veteran</v>
      </c>
    </row>
    <row r="813" spans="1:13">
      <c r="A813" s="21" t="str">
        <f t="shared" ca="1" si="48"/>
        <v>Sa-Sal-2025-812</v>
      </c>
      <c r="B813" s="6">
        <v>38</v>
      </c>
      <c r="C813" s="6" t="str">
        <f t="shared" si="49"/>
        <v>30-39</v>
      </c>
      <c r="D813" s="6" t="s">
        <v>43</v>
      </c>
      <c r="E813" s="6" t="s">
        <v>37</v>
      </c>
      <c r="F813" s="6" t="s">
        <v>46</v>
      </c>
      <c r="G813" s="6" t="s">
        <v>40</v>
      </c>
      <c r="H813" s="8">
        <v>7351</v>
      </c>
      <c r="I813" s="8">
        <f t="shared" si="50"/>
        <v>1617.22</v>
      </c>
      <c r="J813" s="8">
        <f t="shared" si="51"/>
        <v>5733.78</v>
      </c>
      <c r="K813" s="8">
        <v>20619</v>
      </c>
      <c r="L813" s="6">
        <v>1</v>
      </c>
      <c r="M813" s="22" t="str" cm="1">
        <f t="array" ref="M813">_xlfn.IFS(L813&gt;10,"Veteran",L813&gt;=6,"Experienced",L813&gt;=2,"Developing",L813&gt;=0,"New")</f>
        <v>New</v>
      </c>
    </row>
    <row r="814" spans="1:13">
      <c r="A814" s="21" t="str">
        <f t="shared" ca="1" si="48"/>
        <v>Ma-Res-2018-813</v>
      </c>
      <c r="B814" s="6">
        <v>43</v>
      </c>
      <c r="C814" s="6" t="str">
        <f t="shared" si="49"/>
        <v>40-49</v>
      </c>
      <c r="D814" s="6" t="s">
        <v>43</v>
      </c>
      <c r="E814" s="6" t="s">
        <v>45</v>
      </c>
      <c r="F814" s="6" t="s">
        <v>39</v>
      </c>
      <c r="G814" s="6" t="s">
        <v>53</v>
      </c>
      <c r="H814" s="8">
        <v>10820</v>
      </c>
      <c r="I814" s="8">
        <f t="shared" si="50"/>
        <v>2380.4</v>
      </c>
      <c r="J814" s="8">
        <f t="shared" si="51"/>
        <v>8439.6</v>
      </c>
      <c r="K814" s="8">
        <v>11535</v>
      </c>
      <c r="L814" s="6">
        <v>8</v>
      </c>
      <c r="M814" s="22" t="str" cm="1">
        <f t="array" ref="M814">_xlfn.IFS(L814&gt;10,"Veteran",L814&gt;=6,"Experienced",L814&gt;=2,"Developing",L814&gt;=0,"New")</f>
        <v>Experienced</v>
      </c>
    </row>
    <row r="815" spans="1:13">
      <c r="A815" s="21" t="str">
        <f t="shared" ca="1" si="48"/>
        <v>He-Res-2008-814</v>
      </c>
      <c r="B815" s="6">
        <v>39</v>
      </c>
      <c r="C815" s="6" t="str">
        <f t="shared" si="49"/>
        <v>30-39</v>
      </c>
      <c r="D815" s="6" t="s">
        <v>35</v>
      </c>
      <c r="E815" s="6" t="s">
        <v>45</v>
      </c>
      <c r="F815" s="6" t="s">
        <v>46</v>
      </c>
      <c r="G815" s="6" t="s">
        <v>54</v>
      </c>
      <c r="H815" s="8">
        <v>12169</v>
      </c>
      <c r="I815" s="8">
        <f t="shared" si="50"/>
        <v>2677.18</v>
      </c>
      <c r="J815" s="8">
        <f t="shared" si="51"/>
        <v>9491.82</v>
      </c>
      <c r="K815" s="8">
        <v>13547</v>
      </c>
      <c r="L815" s="6">
        <v>18</v>
      </c>
      <c r="M815" s="22" t="str" cm="1">
        <f t="array" ref="M815">_xlfn.IFS(L815&gt;10,"Veteran",L815&gt;=6,"Experienced",L815&gt;=2,"Developing",L815&gt;=0,"New")</f>
        <v>Veteran</v>
      </c>
    </row>
    <row r="816" spans="1:13">
      <c r="A816" s="21" t="str">
        <f t="shared" ca="1" si="48"/>
        <v>Re-Res-2006-815</v>
      </c>
      <c r="B816" s="6">
        <v>40</v>
      </c>
      <c r="C816" s="6" t="str">
        <f t="shared" si="49"/>
        <v>40-49</v>
      </c>
      <c r="D816" s="6" t="s">
        <v>43</v>
      </c>
      <c r="E816" s="6" t="s">
        <v>45</v>
      </c>
      <c r="F816" s="6" t="s">
        <v>46</v>
      </c>
      <c r="G816" s="6" t="s">
        <v>58</v>
      </c>
      <c r="H816" s="8">
        <v>19626</v>
      </c>
      <c r="I816" s="8">
        <f t="shared" si="50"/>
        <v>5887.8</v>
      </c>
      <c r="J816" s="8">
        <f t="shared" si="51"/>
        <v>13738.2</v>
      </c>
      <c r="K816" s="8">
        <v>17544</v>
      </c>
      <c r="L816" s="6">
        <v>20</v>
      </c>
      <c r="M816" s="22" t="str" cm="1">
        <f t="array" ref="M816">_xlfn.IFS(L816&gt;10,"Veteran",L816&gt;=6,"Experienced",L816&gt;=2,"Developing",L816&gt;=0,"New")</f>
        <v>Veteran</v>
      </c>
    </row>
    <row r="817" spans="1:13">
      <c r="A817" s="21" t="str">
        <f t="shared" ca="1" si="48"/>
        <v>Re-Res-2024-816</v>
      </c>
      <c r="B817" s="6">
        <v>21</v>
      </c>
      <c r="C817" s="6" t="str">
        <f t="shared" si="49"/>
        <v>20-29</v>
      </c>
      <c r="D817" s="6" t="s">
        <v>43</v>
      </c>
      <c r="E817" s="6" t="s">
        <v>45</v>
      </c>
      <c r="F817" s="6" t="s">
        <v>39</v>
      </c>
      <c r="G817" s="6" t="s">
        <v>47</v>
      </c>
      <c r="H817" s="8">
        <v>2070</v>
      </c>
      <c r="I817" s="8">
        <f t="shared" si="50"/>
        <v>144.9</v>
      </c>
      <c r="J817" s="8">
        <f t="shared" si="51"/>
        <v>1925.1</v>
      </c>
      <c r="K817" s="8">
        <v>25326</v>
      </c>
      <c r="L817" s="6">
        <v>2</v>
      </c>
      <c r="M817" s="22" t="str" cm="1">
        <f t="array" ref="M817">_xlfn.IFS(L817&gt;10,"Veteran",L817&gt;=6,"Experienced",L817&gt;=2,"Developing",L817&gt;=0,"New")</f>
        <v>Developing</v>
      </c>
    </row>
    <row r="818" spans="1:13">
      <c r="A818" s="21" t="str">
        <f t="shared" ca="1" si="48"/>
        <v>La-Res-2021-817</v>
      </c>
      <c r="B818" s="6">
        <v>39</v>
      </c>
      <c r="C818" s="6" t="str">
        <f t="shared" si="49"/>
        <v>30-39</v>
      </c>
      <c r="D818" s="6" t="s">
        <v>43</v>
      </c>
      <c r="E818" s="6" t="s">
        <v>45</v>
      </c>
      <c r="F818" s="6" t="s">
        <v>46</v>
      </c>
      <c r="G818" s="6" t="s">
        <v>50</v>
      </c>
      <c r="H818" s="8">
        <v>6782</v>
      </c>
      <c r="I818" s="8">
        <f t="shared" si="50"/>
        <v>1017.3</v>
      </c>
      <c r="J818" s="8">
        <f t="shared" si="51"/>
        <v>5764.7</v>
      </c>
      <c r="K818" s="8">
        <v>8770</v>
      </c>
      <c r="L818" s="6">
        <v>5</v>
      </c>
      <c r="M818" s="22" t="str" cm="1">
        <f t="array" ref="M818">_xlfn.IFS(L818&gt;10,"Veteran",L818&gt;=6,"Experienced",L818&gt;=2,"Developing",L818&gt;=0,"New")</f>
        <v>Developing</v>
      </c>
    </row>
    <row r="819" spans="1:13">
      <c r="A819" s="21" t="str">
        <f t="shared" ca="1" si="48"/>
        <v>Ma-Res-2015-818</v>
      </c>
      <c r="B819" s="6">
        <v>36</v>
      </c>
      <c r="C819" s="6" t="str">
        <f t="shared" si="49"/>
        <v>30-39</v>
      </c>
      <c r="D819" s="6" t="s">
        <v>43</v>
      </c>
      <c r="E819" s="6" t="s">
        <v>45</v>
      </c>
      <c r="F819" s="6" t="s">
        <v>46</v>
      </c>
      <c r="G819" s="6" t="s">
        <v>53</v>
      </c>
      <c r="H819" s="8">
        <v>7779</v>
      </c>
      <c r="I819" s="8">
        <f t="shared" si="50"/>
        <v>1711.38</v>
      </c>
      <c r="J819" s="8">
        <f t="shared" si="51"/>
        <v>6067.62</v>
      </c>
      <c r="K819" s="8">
        <v>23238</v>
      </c>
      <c r="L819" s="6">
        <v>11</v>
      </c>
      <c r="M819" s="22" t="str" cm="1">
        <f t="array" ref="M819">_xlfn.IFS(L819&gt;10,"Veteran",L819&gt;=6,"Experienced",L819&gt;=2,"Developing",L819&gt;=0,"New")</f>
        <v>Veteran</v>
      </c>
    </row>
    <row r="820" spans="1:13">
      <c r="A820" s="21" t="str">
        <f t="shared" ca="1" si="48"/>
        <v>Sa-Sal-2024-819</v>
      </c>
      <c r="B820" s="6">
        <v>31</v>
      </c>
      <c r="C820" s="6" t="str">
        <f t="shared" si="49"/>
        <v>30-39</v>
      </c>
      <c r="D820" s="6" t="s">
        <v>43</v>
      </c>
      <c r="E820" s="6" t="s">
        <v>37</v>
      </c>
      <c r="F820" s="6" t="s">
        <v>46</v>
      </c>
      <c r="G820" s="6" t="s">
        <v>57</v>
      </c>
      <c r="H820" s="8">
        <v>2791</v>
      </c>
      <c r="I820" s="8">
        <f t="shared" si="50"/>
        <v>195.37</v>
      </c>
      <c r="J820" s="8">
        <f t="shared" si="51"/>
        <v>2595.63</v>
      </c>
      <c r="K820" s="8">
        <v>21981</v>
      </c>
      <c r="L820" s="6">
        <v>2</v>
      </c>
      <c r="M820" s="22" t="str" cm="1">
        <f t="array" ref="M820">_xlfn.IFS(L820&gt;10,"Veteran",L820&gt;=6,"Experienced",L820&gt;=2,"Developing",L820&gt;=0,"New")</f>
        <v>Developing</v>
      </c>
    </row>
    <row r="821" spans="1:13">
      <c r="A821" s="21" t="str">
        <f t="shared" ca="1" si="48"/>
        <v>Re-Res-2021-820</v>
      </c>
      <c r="B821" s="6">
        <v>28</v>
      </c>
      <c r="C821" s="6" t="str">
        <f t="shared" si="49"/>
        <v>20-29</v>
      </c>
      <c r="D821" s="6" t="s">
        <v>43</v>
      </c>
      <c r="E821" s="6" t="s">
        <v>45</v>
      </c>
      <c r="F821" s="6" t="s">
        <v>46</v>
      </c>
      <c r="G821" s="6" t="s">
        <v>47</v>
      </c>
      <c r="H821" s="8">
        <v>3201</v>
      </c>
      <c r="I821" s="8">
        <f t="shared" si="50"/>
        <v>480.15</v>
      </c>
      <c r="J821" s="8">
        <f t="shared" si="51"/>
        <v>2720.85</v>
      </c>
      <c r="K821" s="8">
        <v>19911</v>
      </c>
      <c r="L821" s="6">
        <v>5</v>
      </c>
      <c r="M821" s="22" t="str" cm="1">
        <f t="array" ref="M821">_xlfn.IFS(L821&gt;10,"Veteran",L821&gt;=6,"Experienced",L821&gt;=2,"Developing",L821&gt;=0,"New")</f>
        <v>Developing</v>
      </c>
    </row>
    <row r="822" spans="1:13">
      <c r="A822" s="21" t="str">
        <f t="shared" ca="1" si="48"/>
        <v>Sa-Sal-2021-821</v>
      </c>
      <c r="B822" s="6">
        <v>35</v>
      </c>
      <c r="C822" s="6" t="str">
        <f t="shared" si="49"/>
        <v>30-39</v>
      </c>
      <c r="D822" s="6" t="s">
        <v>43</v>
      </c>
      <c r="E822" s="6" t="s">
        <v>37</v>
      </c>
      <c r="F822" s="6" t="s">
        <v>46</v>
      </c>
      <c r="G822" s="6" t="s">
        <v>40</v>
      </c>
      <c r="H822" s="8">
        <v>4968</v>
      </c>
      <c r="I822" s="8">
        <f t="shared" si="50"/>
        <v>745.19999999999993</v>
      </c>
      <c r="J822" s="8">
        <f t="shared" si="51"/>
        <v>4222.8</v>
      </c>
      <c r="K822" s="8">
        <v>18500</v>
      </c>
      <c r="L822" s="6">
        <v>5</v>
      </c>
      <c r="M822" s="22" t="str" cm="1">
        <f t="array" ref="M822">_xlfn.IFS(L822&gt;10,"Veteran",L822&gt;=6,"Experienced",L822&gt;=2,"Developing",L822&gt;=0,"New")</f>
        <v>Developing</v>
      </c>
    </row>
    <row r="823" spans="1:13">
      <c r="A823" s="21" t="str">
        <f t="shared" ca="1" si="48"/>
        <v>Sa-Sal-2017-822</v>
      </c>
      <c r="B823" s="6">
        <v>49</v>
      </c>
      <c r="C823" s="6" t="str">
        <f t="shared" si="49"/>
        <v>40-49</v>
      </c>
      <c r="D823" s="6" t="s">
        <v>43</v>
      </c>
      <c r="E823" s="6" t="s">
        <v>37</v>
      </c>
      <c r="F823" s="6" t="s">
        <v>46</v>
      </c>
      <c r="G823" s="6" t="s">
        <v>40</v>
      </c>
      <c r="H823" s="8">
        <v>13120</v>
      </c>
      <c r="I823" s="8">
        <f t="shared" si="50"/>
        <v>3936</v>
      </c>
      <c r="J823" s="8">
        <f t="shared" si="51"/>
        <v>9184</v>
      </c>
      <c r="K823" s="8">
        <v>11879</v>
      </c>
      <c r="L823" s="6">
        <v>9</v>
      </c>
      <c r="M823" s="22" t="str" cm="1">
        <f t="array" ref="M823">_xlfn.IFS(L823&gt;10,"Veteran",L823&gt;=6,"Experienced",L823&gt;=2,"Developing",L823&gt;=0,"New")</f>
        <v>Experienced</v>
      </c>
    </row>
    <row r="824" spans="1:13">
      <c r="A824" s="21" t="str">
        <f t="shared" ca="1" si="48"/>
        <v>Ma-Res-2023-823</v>
      </c>
      <c r="B824" s="6">
        <v>34</v>
      </c>
      <c r="C824" s="6" t="str">
        <f t="shared" si="49"/>
        <v>30-39</v>
      </c>
      <c r="D824" s="6" t="s">
        <v>43</v>
      </c>
      <c r="E824" s="6" t="s">
        <v>45</v>
      </c>
      <c r="F824" s="6" t="s">
        <v>46</v>
      </c>
      <c r="G824" s="6" t="s">
        <v>53</v>
      </c>
      <c r="H824" s="8">
        <v>4033</v>
      </c>
      <c r="I824" s="8">
        <f t="shared" si="50"/>
        <v>604.94999999999993</v>
      </c>
      <c r="J824" s="8">
        <f t="shared" si="51"/>
        <v>3428.05</v>
      </c>
      <c r="K824" s="8">
        <v>15834</v>
      </c>
      <c r="L824" s="6">
        <v>3</v>
      </c>
      <c r="M824" s="22" t="str" cm="1">
        <f t="array" ref="M824">_xlfn.IFS(L824&gt;10,"Veteran",L824&gt;=6,"Experienced",L824&gt;=2,"Developing",L824&gt;=0,"New")</f>
        <v>Developing</v>
      </c>
    </row>
    <row r="825" spans="1:13">
      <c r="A825" s="21" t="str">
        <f t="shared" ca="1" si="48"/>
        <v>Re-Res-2019-824</v>
      </c>
      <c r="B825" s="6">
        <v>29</v>
      </c>
      <c r="C825" s="6" t="str">
        <f t="shared" si="49"/>
        <v>20-29</v>
      </c>
      <c r="D825" s="6" t="s">
        <v>43</v>
      </c>
      <c r="E825" s="6" t="s">
        <v>45</v>
      </c>
      <c r="F825" s="6" t="s">
        <v>39</v>
      </c>
      <c r="G825" s="6" t="s">
        <v>47</v>
      </c>
      <c r="H825" s="8">
        <v>3291</v>
      </c>
      <c r="I825" s="8">
        <f t="shared" si="50"/>
        <v>493.65</v>
      </c>
      <c r="J825" s="8">
        <f t="shared" si="51"/>
        <v>2797.35</v>
      </c>
      <c r="K825" s="8">
        <v>17940</v>
      </c>
      <c r="L825" s="6">
        <v>7</v>
      </c>
      <c r="M825" s="22" t="str" cm="1">
        <f t="array" ref="M825">_xlfn.IFS(L825&gt;10,"Veteran",L825&gt;=6,"Experienced",L825&gt;=2,"Developing",L825&gt;=0,"New")</f>
        <v>Experienced</v>
      </c>
    </row>
    <row r="826" spans="1:13">
      <c r="A826" s="21" t="str">
        <f t="shared" ca="1" si="48"/>
        <v>La-Res-2025-825</v>
      </c>
      <c r="B826" s="6">
        <v>42</v>
      </c>
      <c r="C826" s="6" t="str">
        <f t="shared" si="49"/>
        <v>40-49</v>
      </c>
      <c r="D826" s="6" t="s">
        <v>43</v>
      </c>
      <c r="E826" s="6" t="s">
        <v>45</v>
      </c>
      <c r="F826" s="6" t="s">
        <v>46</v>
      </c>
      <c r="G826" s="6" t="s">
        <v>50</v>
      </c>
      <c r="H826" s="8">
        <v>4272</v>
      </c>
      <c r="I826" s="8">
        <f t="shared" si="50"/>
        <v>640.79999999999995</v>
      </c>
      <c r="J826" s="8">
        <f t="shared" si="51"/>
        <v>3631.2</v>
      </c>
      <c r="K826" s="8">
        <v>9558</v>
      </c>
      <c r="L826" s="6">
        <v>1</v>
      </c>
      <c r="M826" s="22" t="str" cm="1">
        <f t="array" ref="M826">_xlfn.IFS(L826&gt;10,"Veteran",L826&gt;=6,"Experienced",L826&gt;=2,"Developing",L826&gt;=0,"New")</f>
        <v>New</v>
      </c>
    </row>
    <row r="827" spans="1:13">
      <c r="A827" s="21" t="str">
        <f t="shared" ca="1" si="48"/>
        <v>Ma-Res-2016-826</v>
      </c>
      <c r="B827" s="6">
        <v>29</v>
      </c>
      <c r="C827" s="6" t="str">
        <f t="shared" si="49"/>
        <v>20-29</v>
      </c>
      <c r="D827" s="6" t="s">
        <v>43</v>
      </c>
      <c r="E827" s="6" t="s">
        <v>45</v>
      </c>
      <c r="F827" s="6" t="s">
        <v>46</v>
      </c>
      <c r="G827" s="6" t="s">
        <v>53</v>
      </c>
      <c r="H827" s="8">
        <v>5056</v>
      </c>
      <c r="I827" s="8">
        <f t="shared" si="50"/>
        <v>758.4</v>
      </c>
      <c r="J827" s="8">
        <f t="shared" si="51"/>
        <v>4297.6000000000004</v>
      </c>
      <c r="K827" s="8">
        <v>17689</v>
      </c>
      <c r="L827" s="6">
        <v>10</v>
      </c>
      <c r="M827" s="22" t="str" cm="1">
        <f t="array" ref="M827">_xlfn.IFS(L827&gt;10,"Veteran",L827&gt;=6,"Experienced",L827&gt;=2,"Developing",L827&gt;=0,"New")</f>
        <v>Experienced</v>
      </c>
    </row>
    <row r="828" spans="1:13">
      <c r="A828" s="21" t="str">
        <f t="shared" ca="1" si="48"/>
        <v>Hu-Hum-2019-827</v>
      </c>
      <c r="B828" s="6">
        <v>38</v>
      </c>
      <c r="C828" s="6" t="str">
        <f t="shared" si="49"/>
        <v>30-39</v>
      </c>
      <c r="D828" s="6" t="s">
        <v>43</v>
      </c>
      <c r="E828" s="6" t="s">
        <v>61</v>
      </c>
      <c r="F828" s="6" t="s">
        <v>46</v>
      </c>
      <c r="G828" s="6" t="s">
        <v>61</v>
      </c>
      <c r="H828" s="8">
        <v>2844</v>
      </c>
      <c r="I828" s="8">
        <f t="shared" si="50"/>
        <v>199.08</v>
      </c>
      <c r="J828" s="8">
        <f t="shared" si="51"/>
        <v>2644.92</v>
      </c>
      <c r="K828" s="8">
        <v>6004</v>
      </c>
      <c r="L828" s="6">
        <v>7</v>
      </c>
      <c r="M828" s="22" t="str" cm="1">
        <f t="array" ref="M828">_xlfn.IFS(L828&gt;10,"Veteran",L828&gt;=6,"Experienced",L828&gt;=2,"Developing",L828&gt;=0,"New")</f>
        <v>Experienced</v>
      </c>
    </row>
    <row r="829" spans="1:13">
      <c r="A829" s="21" t="str">
        <f t="shared" ca="1" si="48"/>
        <v>Re-Res-2023-828</v>
      </c>
      <c r="B829" s="6">
        <v>28</v>
      </c>
      <c r="C829" s="6" t="str">
        <f t="shared" si="49"/>
        <v>20-29</v>
      </c>
      <c r="D829" s="6" t="s">
        <v>43</v>
      </c>
      <c r="E829" s="6" t="s">
        <v>45</v>
      </c>
      <c r="F829" s="6" t="s">
        <v>46</v>
      </c>
      <c r="G829" s="6" t="s">
        <v>47</v>
      </c>
      <c r="H829" s="8">
        <v>2703</v>
      </c>
      <c r="I829" s="8">
        <f t="shared" si="50"/>
        <v>189.21</v>
      </c>
      <c r="J829" s="8">
        <f t="shared" si="51"/>
        <v>2513.79</v>
      </c>
      <c r="K829" s="8">
        <v>22088</v>
      </c>
      <c r="L829" s="6">
        <v>3</v>
      </c>
      <c r="M829" s="22" t="str" cm="1">
        <f t="array" ref="M829">_xlfn.IFS(L829&gt;10,"Veteran",L829&gt;=6,"Experienced",L829&gt;=2,"Developing",L829&gt;=0,"New")</f>
        <v>Developing</v>
      </c>
    </row>
    <row r="830" spans="1:13">
      <c r="A830" s="21" t="str">
        <f t="shared" ca="1" si="48"/>
        <v>La-Res-2026-829</v>
      </c>
      <c r="B830" s="6">
        <v>18</v>
      </c>
      <c r="C830" s="6" t="str">
        <f t="shared" si="49"/>
        <v>20-29</v>
      </c>
      <c r="D830" s="6" t="s">
        <v>35</v>
      </c>
      <c r="E830" s="6" t="s">
        <v>45</v>
      </c>
      <c r="F830" s="6" t="s">
        <v>46</v>
      </c>
      <c r="G830" s="6" t="s">
        <v>50</v>
      </c>
      <c r="H830" s="8">
        <v>1904</v>
      </c>
      <c r="I830" s="8">
        <f t="shared" si="50"/>
        <v>133.28</v>
      </c>
      <c r="J830" s="8">
        <f t="shared" si="51"/>
        <v>1770.72</v>
      </c>
      <c r="K830" s="8">
        <v>13556</v>
      </c>
      <c r="L830" s="6">
        <v>0</v>
      </c>
      <c r="M830" s="22" t="str" cm="1">
        <f t="array" ref="M830">_xlfn.IFS(L830&gt;10,"Veteran",L830&gt;=6,"Experienced",L830&gt;=2,"Developing",L830&gt;=0,"New")</f>
        <v>New</v>
      </c>
    </row>
    <row r="831" spans="1:13">
      <c r="A831" s="21" t="str">
        <f t="shared" ca="1" si="48"/>
        <v>Sa-Sal-2021-830</v>
      </c>
      <c r="B831" s="6">
        <v>33</v>
      </c>
      <c r="C831" s="6" t="str">
        <f t="shared" si="49"/>
        <v>30-39</v>
      </c>
      <c r="D831" s="6" t="s">
        <v>35</v>
      </c>
      <c r="E831" s="6" t="s">
        <v>37</v>
      </c>
      <c r="F831" s="6" t="s">
        <v>39</v>
      </c>
      <c r="G831" s="6" t="s">
        <v>40</v>
      </c>
      <c r="H831" s="8">
        <v>8224</v>
      </c>
      <c r="I831" s="8">
        <f t="shared" si="50"/>
        <v>1809.28</v>
      </c>
      <c r="J831" s="8">
        <f t="shared" si="51"/>
        <v>6414.72</v>
      </c>
      <c r="K831" s="8">
        <v>18385</v>
      </c>
      <c r="L831" s="6">
        <v>5</v>
      </c>
      <c r="M831" s="22" t="str" cm="1">
        <f t="array" ref="M831">_xlfn.IFS(L831&gt;10,"Veteran",L831&gt;=6,"Experienced",L831&gt;=2,"Developing",L831&gt;=0,"New")</f>
        <v>Developing</v>
      </c>
    </row>
    <row r="832" spans="1:13">
      <c r="A832" s="21" t="str">
        <f t="shared" ca="1" si="48"/>
        <v>La-Res-2025-831</v>
      </c>
      <c r="B832" s="6">
        <v>41</v>
      </c>
      <c r="C832" s="6" t="str">
        <f t="shared" si="49"/>
        <v>40-49</v>
      </c>
      <c r="D832" s="6" t="s">
        <v>43</v>
      </c>
      <c r="E832" s="6" t="s">
        <v>45</v>
      </c>
      <c r="F832" s="6" t="s">
        <v>46</v>
      </c>
      <c r="G832" s="6" t="s">
        <v>50</v>
      </c>
      <c r="H832" s="8">
        <v>4766</v>
      </c>
      <c r="I832" s="8">
        <f t="shared" si="50"/>
        <v>714.9</v>
      </c>
      <c r="J832" s="8">
        <f t="shared" si="51"/>
        <v>4051.1</v>
      </c>
      <c r="K832" s="8">
        <v>9051</v>
      </c>
      <c r="L832" s="6">
        <v>1</v>
      </c>
      <c r="M832" s="22" t="str" cm="1">
        <f t="array" ref="M832">_xlfn.IFS(L832&gt;10,"Veteran",L832&gt;=6,"Experienced",L832&gt;=2,"Developing",L832&gt;=0,"New")</f>
        <v>New</v>
      </c>
    </row>
    <row r="833" spans="1:13">
      <c r="A833" s="21" t="str">
        <f t="shared" ca="1" si="48"/>
        <v>La-Res-2024-832</v>
      </c>
      <c r="B833" s="6">
        <v>31</v>
      </c>
      <c r="C833" s="6" t="str">
        <f t="shared" si="49"/>
        <v>30-39</v>
      </c>
      <c r="D833" s="6" t="s">
        <v>35</v>
      </c>
      <c r="E833" s="6" t="s">
        <v>45</v>
      </c>
      <c r="F833" s="6" t="s">
        <v>46</v>
      </c>
      <c r="G833" s="6" t="s">
        <v>50</v>
      </c>
      <c r="H833" s="8">
        <v>2610</v>
      </c>
      <c r="I833" s="8">
        <f t="shared" si="50"/>
        <v>182.70000000000002</v>
      </c>
      <c r="J833" s="8">
        <f t="shared" si="51"/>
        <v>2427.3000000000002</v>
      </c>
      <c r="K833" s="8">
        <v>6233</v>
      </c>
      <c r="L833" s="6">
        <v>2</v>
      </c>
      <c r="M833" s="22" t="str" cm="1">
        <f t="array" ref="M833">_xlfn.IFS(L833&gt;10,"Veteran",L833&gt;=6,"Experienced",L833&gt;=2,"Developing",L833&gt;=0,"New")</f>
        <v>Developing</v>
      </c>
    </row>
    <row r="834" spans="1:13">
      <c r="A834" s="21" t="str">
        <f t="shared" ca="1" si="48"/>
        <v>He-Res-2020-833</v>
      </c>
      <c r="B834" s="6">
        <v>37</v>
      </c>
      <c r="C834" s="6" t="str">
        <f t="shared" si="49"/>
        <v>30-39</v>
      </c>
      <c r="D834" s="6" t="s">
        <v>43</v>
      </c>
      <c r="E834" s="6" t="s">
        <v>45</v>
      </c>
      <c r="F834" s="6" t="s">
        <v>39</v>
      </c>
      <c r="G834" s="6" t="s">
        <v>54</v>
      </c>
      <c r="H834" s="8">
        <v>5731</v>
      </c>
      <c r="I834" s="8">
        <f t="shared" si="50"/>
        <v>859.65</v>
      </c>
      <c r="J834" s="8">
        <f t="shared" si="51"/>
        <v>4871.3500000000004</v>
      </c>
      <c r="K834" s="8">
        <v>17171</v>
      </c>
      <c r="L834" s="6">
        <v>6</v>
      </c>
      <c r="M834" s="22" t="str" cm="1">
        <f t="array" ref="M834">_xlfn.IFS(L834&gt;10,"Veteran",L834&gt;=6,"Experienced",L834&gt;=2,"Developing",L834&gt;=0,"New")</f>
        <v>Experienced</v>
      </c>
    </row>
    <row r="835" spans="1:13">
      <c r="A835" s="21" t="str">
        <f t="shared" ref="A835:A898" ca="1" si="52">LEFT(G835,2)&amp;"-"&amp;LEFT(E835,3)&amp;"-"&amp;YEAR(TODAY())-L835&amp;"-"&amp;TEXT(ROW()-1,"000")</f>
        <v>Re-Res-2022-834</v>
      </c>
      <c r="B835" s="6">
        <v>27</v>
      </c>
      <c r="C835" s="6" t="str">
        <f t="shared" ref="C835:C898" si="53">IF(B835&lt;=29,"20-29",IF(B835&lt;=39,"30-39",IF(B835&lt;=49,"40-49","50+")))</f>
        <v>20-29</v>
      </c>
      <c r="D835" s="6" t="s">
        <v>43</v>
      </c>
      <c r="E835" s="6" t="s">
        <v>45</v>
      </c>
      <c r="F835" s="6" t="s">
        <v>46</v>
      </c>
      <c r="G835" s="6" t="s">
        <v>47</v>
      </c>
      <c r="H835" s="8">
        <v>2539</v>
      </c>
      <c r="I835" s="8">
        <f t="shared" ref="I835:I898" si="54">IF(H835&gt;13000,H835*30%,IF(H835&gt;7000,H835*22%,IF(H835&gt;3000,H835*15%,H835*7%)))</f>
        <v>177.73000000000002</v>
      </c>
      <c r="J835" s="8">
        <f t="shared" ref="J835:J898" si="55">H835-I835</f>
        <v>2361.27</v>
      </c>
      <c r="K835" s="8">
        <v>7950</v>
      </c>
      <c r="L835" s="6">
        <v>4</v>
      </c>
      <c r="M835" s="22" t="str" cm="1">
        <f t="array" ref="M835">_xlfn.IFS(L835&gt;10,"Veteran",L835&gt;=6,"Experienced",L835&gt;=2,"Developing",L835&gt;=0,"New")</f>
        <v>Developing</v>
      </c>
    </row>
    <row r="836" spans="1:13">
      <c r="A836" s="21" t="str">
        <f t="shared" ca="1" si="52"/>
        <v>Sa-Sal-2020-835</v>
      </c>
      <c r="B836" s="6">
        <v>34</v>
      </c>
      <c r="C836" s="6" t="str">
        <f t="shared" si="53"/>
        <v>30-39</v>
      </c>
      <c r="D836" s="6" t="s">
        <v>43</v>
      </c>
      <c r="E836" s="6" t="s">
        <v>37</v>
      </c>
      <c r="F836" s="6" t="s">
        <v>39</v>
      </c>
      <c r="G836" s="6" t="s">
        <v>40</v>
      </c>
      <c r="H836" s="8">
        <v>5714</v>
      </c>
      <c r="I836" s="8">
        <f t="shared" si="54"/>
        <v>857.1</v>
      </c>
      <c r="J836" s="8">
        <f t="shared" si="55"/>
        <v>4856.8999999999996</v>
      </c>
      <c r="K836" s="8">
        <v>5829</v>
      </c>
      <c r="L836" s="6">
        <v>6</v>
      </c>
      <c r="M836" s="22" t="str" cm="1">
        <f t="array" ref="M836">_xlfn.IFS(L836&gt;10,"Veteran",L836&gt;=6,"Experienced",L836&gt;=2,"Developing",L836&gt;=0,"New")</f>
        <v>Experienced</v>
      </c>
    </row>
    <row r="837" spans="1:13">
      <c r="A837" s="21" t="str">
        <f t="shared" ca="1" si="52"/>
        <v>Hu-Hum-2021-836</v>
      </c>
      <c r="B837" s="6">
        <v>35</v>
      </c>
      <c r="C837" s="6" t="str">
        <f t="shared" si="53"/>
        <v>30-39</v>
      </c>
      <c r="D837" s="6" t="s">
        <v>43</v>
      </c>
      <c r="E837" s="6" t="s">
        <v>61</v>
      </c>
      <c r="F837" s="6" t="s">
        <v>46</v>
      </c>
      <c r="G837" s="6" t="s">
        <v>61</v>
      </c>
      <c r="H837" s="8">
        <v>4323</v>
      </c>
      <c r="I837" s="8">
        <f t="shared" si="54"/>
        <v>648.44999999999993</v>
      </c>
      <c r="J837" s="8">
        <f t="shared" si="55"/>
        <v>3674.55</v>
      </c>
      <c r="K837" s="8">
        <v>7108</v>
      </c>
      <c r="L837" s="6">
        <v>5</v>
      </c>
      <c r="M837" s="22" t="str" cm="1">
        <f t="array" ref="M837">_xlfn.IFS(L837&gt;10,"Veteran",L837&gt;=6,"Experienced",L837&gt;=2,"Developing",L837&gt;=0,"New")</f>
        <v>Developing</v>
      </c>
    </row>
    <row r="838" spans="1:13">
      <c r="A838" s="21" t="str">
        <f t="shared" ca="1" si="52"/>
        <v>Sa-Sal-2015-837</v>
      </c>
      <c r="B838" s="6">
        <v>29</v>
      </c>
      <c r="C838" s="6" t="str">
        <f t="shared" si="53"/>
        <v>20-29</v>
      </c>
      <c r="D838" s="6" t="s">
        <v>35</v>
      </c>
      <c r="E838" s="6" t="s">
        <v>37</v>
      </c>
      <c r="F838" s="6" t="s">
        <v>39</v>
      </c>
      <c r="G838" s="6" t="s">
        <v>40</v>
      </c>
      <c r="H838" s="8">
        <v>7336</v>
      </c>
      <c r="I838" s="8">
        <f t="shared" si="54"/>
        <v>1613.92</v>
      </c>
      <c r="J838" s="8">
        <f t="shared" si="55"/>
        <v>5722.08</v>
      </c>
      <c r="K838" s="8">
        <v>11162</v>
      </c>
      <c r="L838" s="6">
        <v>11</v>
      </c>
      <c r="M838" s="22" t="str" cm="1">
        <f t="array" ref="M838">_xlfn.IFS(L838&gt;10,"Veteran",L838&gt;=6,"Experienced",L838&gt;=2,"Developing",L838&gt;=0,"New")</f>
        <v>Veteran</v>
      </c>
    </row>
    <row r="839" spans="1:13">
      <c r="A839" s="21" t="str">
        <f t="shared" ca="1" si="52"/>
        <v>Re-Res-2008-838</v>
      </c>
      <c r="B839" s="6">
        <v>40</v>
      </c>
      <c r="C839" s="6" t="str">
        <f t="shared" si="53"/>
        <v>40-49</v>
      </c>
      <c r="D839" s="6" t="s">
        <v>43</v>
      </c>
      <c r="E839" s="6" t="s">
        <v>45</v>
      </c>
      <c r="F839" s="6" t="s">
        <v>39</v>
      </c>
      <c r="G839" s="6" t="s">
        <v>58</v>
      </c>
      <c r="H839" s="8">
        <v>13499</v>
      </c>
      <c r="I839" s="8">
        <f t="shared" si="54"/>
        <v>4049.7</v>
      </c>
      <c r="J839" s="8">
        <f t="shared" si="55"/>
        <v>9449.2999999999993</v>
      </c>
      <c r="K839" s="8">
        <v>13782</v>
      </c>
      <c r="L839" s="6">
        <v>18</v>
      </c>
      <c r="M839" s="22" t="str" cm="1">
        <f t="array" ref="M839">_xlfn.IFS(L839&gt;10,"Veteran",L839&gt;=6,"Experienced",L839&gt;=2,"Developing",L839&gt;=0,"New")</f>
        <v>Veteran</v>
      </c>
    </row>
    <row r="840" spans="1:13">
      <c r="A840" s="21" t="str">
        <f t="shared" ca="1" si="52"/>
        <v>Sa-Sal-2005-839</v>
      </c>
      <c r="B840" s="6">
        <v>42</v>
      </c>
      <c r="C840" s="6" t="str">
        <f t="shared" si="53"/>
        <v>40-49</v>
      </c>
      <c r="D840" s="6" t="s">
        <v>35</v>
      </c>
      <c r="E840" s="6" t="s">
        <v>37</v>
      </c>
      <c r="F840" s="6" t="s">
        <v>46</v>
      </c>
      <c r="G840" s="6" t="s">
        <v>40</v>
      </c>
      <c r="H840" s="8">
        <v>13758</v>
      </c>
      <c r="I840" s="8">
        <f t="shared" si="54"/>
        <v>4127.3999999999996</v>
      </c>
      <c r="J840" s="8">
        <f t="shared" si="55"/>
        <v>9630.6</v>
      </c>
      <c r="K840" s="8">
        <v>2447</v>
      </c>
      <c r="L840" s="6">
        <v>21</v>
      </c>
      <c r="M840" s="22" t="str" cm="1">
        <f t="array" ref="M840">_xlfn.IFS(L840&gt;10,"Veteran",L840&gt;=6,"Experienced",L840&gt;=2,"Developing",L840&gt;=0,"New")</f>
        <v>Veteran</v>
      </c>
    </row>
    <row r="841" spans="1:13">
      <c r="A841" s="21" t="str">
        <f t="shared" ca="1" si="52"/>
        <v>Sa-Sal-2020-840</v>
      </c>
      <c r="B841" s="6">
        <v>42</v>
      </c>
      <c r="C841" s="6" t="str">
        <f t="shared" si="53"/>
        <v>40-49</v>
      </c>
      <c r="D841" s="6" t="s">
        <v>43</v>
      </c>
      <c r="E841" s="6" t="s">
        <v>37</v>
      </c>
      <c r="F841" s="6" t="s">
        <v>46</v>
      </c>
      <c r="G841" s="6" t="s">
        <v>40</v>
      </c>
      <c r="H841" s="8">
        <v>5155</v>
      </c>
      <c r="I841" s="8">
        <f t="shared" si="54"/>
        <v>773.25</v>
      </c>
      <c r="J841" s="8">
        <f t="shared" si="55"/>
        <v>4381.75</v>
      </c>
      <c r="K841" s="8">
        <v>2253</v>
      </c>
      <c r="L841" s="6">
        <v>6</v>
      </c>
      <c r="M841" s="22" t="str" cm="1">
        <f t="array" ref="M841">_xlfn.IFS(L841&gt;10,"Veteran",L841&gt;=6,"Experienced",L841&gt;=2,"Developing",L841&gt;=0,"New")</f>
        <v>Experienced</v>
      </c>
    </row>
    <row r="842" spans="1:13">
      <c r="A842" s="21" t="str">
        <f t="shared" ca="1" si="52"/>
        <v>La-Res-2018-841</v>
      </c>
      <c r="B842" s="6">
        <v>35</v>
      </c>
      <c r="C842" s="6" t="str">
        <f t="shared" si="53"/>
        <v>30-39</v>
      </c>
      <c r="D842" s="6" t="s">
        <v>43</v>
      </c>
      <c r="E842" s="6" t="s">
        <v>45</v>
      </c>
      <c r="F842" s="6" t="s">
        <v>46</v>
      </c>
      <c r="G842" s="6" t="s">
        <v>50</v>
      </c>
      <c r="H842" s="8">
        <v>2258</v>
      </c>
      <c r="I842" s="8">
        <f t="shared" si="54"/>
        <v>158.06</v>
      </c>
      <c r="J842" s="8">
        <f t="shared" si="55"/>
        <v>2099.94</v>
      </c>
      <c r="K842" s="8">
        <v>16340</v>
      </c>
      <c r="L842" s="6">
        <v>8</v>
      </c>
      <c r="M842" s="22" t="str" cm="1">
        <f t="array" ref="M842">_xlfn.IFS(L842&gt;10,"Veteran",L842&gt;=6,"Experienced",L842&gt;=2,"Developing",L842&gt;=0,"New")</f>
        <v>Experienced</v>
      </c>
    </row>
    <row r="843" spans="1:13">
      <c r="A843" s="21" t="str">
        <f t="shared" ca="1" si="52"/>
        <v>La-Res-2022-842</v>
      </c>
      <c r="B843" s="6">
        <v>24</v>
      </c>
      <c r="C843" s="6" t="str">
        <f t="shared" si="53"/>
        <v>20-29</v>
      </c>
      <c r="D843" s="6" t="s">
        <v>43</v>
      </c>
      <c r="E843" s="6" t="s">
        <v>45</v>
      </c>
      <c r="F843" s="6" t="s">
        <v>46</v>
      </c>
      <c r="G843" s="6" t="s">
        <v>50</v>
      </c>
      <c r="H843" s="8">
        <v>3597</v>
      </c>
      <c r="I843" s="8">
        <f t="shared" si="54"/>
        <v>539.54999999999995</v>
      </c>
      <c r="J843" s="8">
        <f t="shared" si="55"/>
        <v>3057.45</v>
      </c>
      <c r="K843" s="8">
        <v>6409</v>
      </c>
      <c r="L843" s="6">
        <v>4</v>
      </c>
      <c r="M843" s="22" t="str" cm="1">
        <f t="array" ref="M843">_xlfn.IFS(L843&gt;10,"Veteran",L843&gt;=6,"Experienced",L843&gt;=2,"Developing",L843&gt;=0,"New")</f>
        <v>Developing</v>
      </c>
    </row>
    <row r="844" spans="1:13">
      <c r="A844" s="21" t="str">
        <f t="shared" ca="1" si="52"/>
        <v>La-Res-2025-843</v>
      </c>
      <c r="B844" s="6">
        <v>28</v>
      </c>
      <c r="C844" s="6" t="str">
        <f t="shared" si="53"/>
        <v>20-29</v>
      </c>
      <c r="D844" s="6" t="s">
        <v>35</v>
      </c>
      <c r="E844" s="6" t="s">
        <v>45</v>
      </c>
      <c r="F844" s="6" t="s">
        <v>39</v>
      </c>
      <c r="G844" s="6" t="s">
        <v>50</v>
      </c>
      <c r="H844" s="8">
        <v>2515</v>
      </c>
      <c r="I844" s="8">
        <f t="shared" si="54"/>
        <v>176.05</v>
      </c>
      <c r="J844" s="8">
        <f t="shared" si="55"/>
        <v>2338.9499999999998</v>
      </c>
      <c r="K844" s="8">
        <v>22955</v>
      </c>
      <c r="L844" s="6">
        <v>1</v>
      </c>
      <c r="M844" s="22" t="str" cm="1">
        <f t="array" ref="M844">_xlfn.IFS(L844&gt;10,"Veteran",L844&gt;=6,"Experienced",L844&gt;=2,"Developing",L844&gt;=0,"New")</f>
        <v>New</v>
      </c>
    </row>
    <row r="845" spans="1:13">
      <c r="A845" s="21" t="str">
        <f t="shared" ca="1" si="52"/>
        <v>La-Res-2018-844</v>
      </c>
      <c r="B845" s="6">
        <v>26</v>
      </c>
      <c r="C845" s="6" t="str">
        <f t="shared" si="53"/>
        <v>20-29</v>
      </c>
      <c r="D845" s="6" t="s">
        <v>43</v>
      </c>
      <c r="E845" s="6" t="s">
        <v>45</v>
      </c>
      <c r="F845" s="6" t="s">
        <v>46</v>
      </c>
      <c r="G845" s="6" t="s">
        <v>50</v>
      </c>
      <c r="H845" s="8">
        <v>4420</v>
      </c>
      <c r="I845" s="8">
        <f t="shared" si="54"/>
        <v>663</v>
      </c>
      <c r="J845" s="8">
        <f t="shared" si="55"/>
        <v>3757</v>
      </c>
      <c r="K845" s="8">
        <v>13421</v>
      </c>
      <c r="L845" s="6">
        <v>8</v>
      </c>
      <c r="M845" s="22" t="str" cm="1">
        <f t="array" ref="M845">_xlfn.IFS(L845&gt;10,"Veteran",L845&gt;=6,"Experienced",L845&gt;=2,"Developing",L845&gt;=0,"New")</f>
        <v>Experienced</v>
      </c>
    </row>
    <row r="846" spans="1:13">
      <c r="A846" s="21" t="str">
        <f t="shared" ca="1" si="52"/>
        <v>Sa-Sal-2016-845</v>
      </c>
      <c r="B846" s="6">
        <v>30</v>
      </c>
      <c r="C846" s="6" t="str">
        <f t="shared" si="53"/>
        <v>30-39</v>
      </c>
      <c r="D846" s="6" t="s">
        <v>43</v>
      </c>
      <c r="E846" s="6" t="s">
        <v>37</v>
      </c>
      <c r="F846" s="6" t="s">
        <v>46</v>
      </c>
      <c r="G846" s="6" t="s">
        <v>40</v>
      </c>
      <c r="H846" s="8">
        <v>6578</v>
      </c>
      <c r="I846" s="8">
        <f t="shared" si="54"/>
        <v>986.69999999999993</v>
      </c>
      <c r="J846" s="8">
        <f t="shared" si="55"/>
        <v>5591.3</v>
      </c>
      <c r="K846" s="8">
        <v>2706</v>
      </c>
      <c r="L846" s="6">
        <v>10</v>
      </c>
      <c r="M846" s="22" t="str" cm="1">
        <f t="array" ref="M846">_xlfn.IFS(L846&gt;10,"Veteran",L846&gt;=6,"Experienced",L846&gt;=2,"Developing",L846&gt;=0,"New")</f>
        <v>Experienced</v>
      </c>
    </row>
    <row r="847" spans="1:13">
      <c r="A847" s="21" t="str">
        <f t="shared" ca="1" si="52"/>
        <v>Re-Res-2025-846</v>
      </c>
      <c r="B847" s="6">
        <v>40</v>
      </c>
      <c r="C847" s="6" t="str">
        <f t="shared" si="53"/>
        <v>40-49</v>
      </c>
      <c r="D847" s="6" t="s">
        <v>43</v>
      </c>
      <c r="E847" s="6" t="s">
        <v>45</v>
      </c>
      <c r="F847" s="6" t="s">
        <v>39</v>
      </c>
      <c r="G847" s="6" t="s">
        <v>47</v>
      </c>
      <c r="H847" s="8">
        <v>4422</v>
      </c>
      <c r="I847" s="8">
        <f t="shared" si="54"/>
        <v>663.3</v>
      </c>
      <c r="J847" s="8">
        <f t="shared" si="55"/>
        <v>3758.7</v>
      </c>
      <c r="K847" s="8">
        <v>21203</v>
      </c>
      <c r="L847" s="6">
        <v>1</v>
      </c>
      <c r="M847" s="22" t="str" cm="1">
        <f t="array" ref="M847">_xlfn.IFS(L847&gt;10,"Veteran",L847&gt;=6,"Experienced",L847&gt;=2,"Developing",L847&gt;=0,"New")</f>
        <v>New</v>
      </c>
    </row>
    <row r="848" spans="1:13">
      <c r="A848" s="21" t="str">
        <f t="shared" ca="1" si="52"/>
        <v>Ma-Res-2019-847</v>
      </c>
      <c r="B848" s="6">
        <v>35</v>
      </c>
      <c r="C848" s="6" t="str">
        <f t="shared" si="53"/>
        <v>30-39</v>
      </c>
      <c r="D848" s="6" t="s">
        <v>43</v>
      </c>
      <c r="E848" s="6" t="s">
        <v>45</v>
      </c>
      <c r="F848" s="6" t="s">
        <v>46</v>
      </c>
      <c r="G848" s="6" t="s">
        <v>53</v>
      </c>
      <c r="H848" s="8">
        <v>10274</v>
      </c>
      <c r="I848" s="8">
        <f t="shared" si="54"/>
        <v>2260.2800000000002</v>
      </c>
      <c r="J848" s="8">
        <f t="shared" si="55"/>
        <v>8013.7199999999993</v>
      </c>
      <c r="K848" s="8">
        <v>19588</v>
      </c>
      <c r="L848" s="6">
        <v>7</v>
      </c>
      <c r="M848" s="22" t="str" cm="1">
        <f t="array" ref="M848">_xlfn.IFS(L848&gt;10,"Veteran",L848&gt;=6,"Experienced",L848&gt;=2,"Developing",L848&gt;=0,"New")</f>
        <v>Experienced</v>
      </c>
    </row>
    <row r="849" spans="1:13">
      <c r="A849" s="21" t="str">
        <f t="shared" ca="1" si="52"/>
        <v>He-Res-2013-848</v>
      </c>
      <c r="B849" s="6">
        <v>34</v>
      </c>
      <c r="C849" s="6" t="str">
        <f t="shared" si="53"/>
        <v>30-39</v>
      </c>
      <c r="D849" s="6" t="s">
        <v>43</v>
      </c>
      <c r="E849" s="6" t="s">
        <v>45</v>
      </c>
      <c r="F849" s="6" t="s">
        <v>46</v>
      </c>
      <c r="G849" s="6" t="s">
        <v>54</v>
      </c>
      <c r="H849" s="8">
        <v>5343</v>
      </c>
      <c r="I849" s="8">
        <f t="shared" si="54"/>
        <v>801.44999999999993</v>
      </c>
      <c r="J849" s="8">
        <f t="shared" si="55"/>
        <v>4541.55</v>
      </c>
      <c r="K849" s="8">
        <v>25755</v>
      </c>
      <c r="L849" s="6">
        <v>13</v>
      </c>
      <c r="M849" s="22" t="str" cm="1">
        <f t="array" ref="M849">_xlfn.IFS(L849&gt;10,"Veteran",L849&gt;=6,"Experienced",L849&gt;=2,"Developing",L849&gt;=0,"New")</f>
        <v>Veteran</v>
      </c>
    </row>
    <row r="850" spans="1:13">
      <c r="A850" s="21" t="str">
        <f t="shared" ca="1" si="52"/>
        <v>La-Res-2024-849</v>
      </c>
      <c r="B850" s="6">
        <v>35</v>
      </c>
      <c r="C850" s="6" t="str">
        <f t="shared" si="53"/>
        <v>30-39</v>
      </c>
      <c r="D850" s="6" t="s">
        <v>43</v>
      </c>
      <c r="E850" s="6" t="s">
        <v>45</v>
      </c>
      <c r="F850" s="6" t="s">
        <v>46</v>
      </c>
      <c r="G850" s="6" t="s">
        <v>50</v>
      </c>
      <c r="H850" s="8">
        <v>2376</v>
      </c>
      <c r="I850" s="8">
        <f t="shared" si="54"/>
        <v>166.32000000000002</v>
      </c>
      <c r="J850" s="8">
        <f t="shared" si="55"/>
        <v>2209.6799999999998</v>
      </c>
      <c r="K850" s="8">
        <v>26537</v>
      </c>
      <c r="L850" s="6">
        <v>2</v>
      </c>
      <c r="M850" s="22" t="str" cm="1">
        <f t="array" ref="M850">_xlfn.IFS(L850&gt;10,"Veteran",L850&gt;=6,"Experienced",L850&gt;=2,"Developing",L850&gt;=0,"New")</f>
        <v>Developing</v>
      </c>
    </row>
    <row r="851" spans="1:13">
      <c r="A851" s="21" t="str">
        <f t="shared" ca="1" si="52"/>
        <v>Sa-Sal-2022-850</v>
      </c>
      <c r="B851" s="6">
        <v>43</v>
      </c>
      <c r="C851" s="6" t="str">
        <f t="shared" si="53"/>
        <v>40-49</v>
      </c>
      <c r="D851" s="6" t="s">
        <v>35</v>
      </c>
      <c r="E851" s="6" t="s">
        <v>37</v>
      </c>
      <c r="F851" s="6" t="s">
        <v>39</v>
      </c>
      <c r="G851" s="6" t="s">
        <v>40</v>
      </c>
      <c r="H851" s="8">
        <v>5346</v>
      </c>
      <c r="I851" s="8">
        <f t="shared" si="54"/>
        <v>801.9</v>
      </c>
      <c r="J851" s="8">
        <f t="shared" si="55"/>
        <v>4544.1000000000004</v>
      </c>
      <c r="K851" s="8">
        <v>9489</v>
      </c>
      <c r="L851" s="6">
        <v>4</v>
      </c>
      <c r="M851" s="22" t="str" cm="1">
        <f t="array" ref="M851">_xlfn.IFS(L851&gt;10,"Veteran",L851&gt;=6,"Experienced",L851&gt;=2,"Developing",L851&gt;=0,"New")</f>
        <v>Developing</v>
      </c>
    </row>
    <row r="852" spans="1:13">
      <c r="A852" s="21" t="str">
        <f t="shared" ca="1" si="52"/>
        <v>Sa-Sal-2025-851</v>
      </c>
      <c r="B852" s="6">
        <v>32</v>
      </c>
      <c r="C852" s="6" t="str">
        <f t="shared" si="53"/>
        <v>30-39</v>
      </c>
      <c r="D852" s="6" t="s">
        <v>43</v>
      </c>
      <c r="E852" s="6" t="s">
        <v>37</v>
      </c>
      <c r="F852" s="6" t="s">
        <v>39</v>
      </c>
      <c r="G852" s="6" t="s">
        <v>57</v>
      </c>
      <c r="H852" s="8">
        <v>2827</v>
      </c>
      <c r="I852" s="8">
        <f t="shared" si="54"/>
        <v>197.89000000000001</v>
      </c>
      <c r="J852" s="8">
        <f t="shared" si="55"/>
        <v>2629.11</v>
      </c>
      <c r="K852" s="8">
        <v>14947</v>
      </c>
      <c r="L852" s="6">
        <v>1</v>
      </c>
      <c r="M852" s="22" t="str" cm="1">
        <f t="array" ref="M852">_xlfn.IFS(L852&gt;10,"Veteran",L852&gt;=6,"Experienced",L852&gt;=2,"Developing",L852&gt;=0,"New")</f>
        <v>New</v>
      </c>
    </row>
    <row r="853" spans="1:13">
      <c r="A853" s="21" t="str">
        <f t="shared" ca="1" si="52"/>
        <v>Ma-Res-2021-852</v>
      </c>
      <c r="B853" s="6">
        <v>56</v>
      </c>
      <c r="C853" s="6" t="str">
        <f t="shared" si="53"/>
        <v>50+</v>
      </c>
      <c r="D853" s="6" t="s">
        <v>43</v>
      </c>
      <c r="E853" s="6" t="s">
        <v>45</v>
      </c>
      <c r="F853" s="6" t="s">
        <v>39</v>
      </c>
      <c r="G853" s="6" t="s">
        <v>56</v>
      </c>
      <c r="H853" s="8">
        <v>19943</v>
      </c>
      <c r="I853" s="8">
        <f t="shared" si="54"/>
        <v>5982.9</v>
      </c>
      <c r="J853" s="8">
        <f t="shared" si="55"/>
        <v>13960.1</v>
      </c>
      <c r="K853" s="8">
        <v>18575</v>
      </c>
      <c r="L853" s="6">
        <v>5</v>
      </c>
      <c r="M853" s="22" t="str" cm="1">
        <f t="array" ref="M853">_xlfn.IFS(L853&gt;10,"Veteran",L853&gt;=6,"Experienced",L853&gt;=2,"Developing",L853&gt;=0,"New")</f>
        <v>Developing</v>
      </c>
    </row>
    <row r="854" spans="1:13">
      <c r="A854" s="21" t="str">
        <f t="shared" ca="1" si="52"/>
        <v>La-Res-2016-853</v>
      </c>
      <c r="B854" s="6">
        <v>29</v>
      </c>
      <c r="C854" s="6" t="str">
        <f t="shared" si="53"/>
        <v>20-29</v>
      </c>
      <c r="D854" s="6" t="s">
        <v>43</v>
      </c>
      <c r="E854" s="6" t="s">
        <v>45</v>
      </c>
      <c r="F854" s="6" t="s">
        <v>39</v>
      </c>
      <c r="G854" s="6" t="s">
        <v>50</v>
      </c>
      <c r="H854" s="8">
        <v>3131</v>
      </c>
      <c r="I854" s="8">
        <f t="shared" si="54"/>
        <v>469.65</v>
      </c>
      <c r="J854" s="8">
        <f t="shared" si="55"/>
        <v>2661.35</v>
      </c>
      <c r="K854" s="8">
        <v>26342</v>
      </c>
      <c r="L854" s="6">
        <v>10</v>
      </c>
      <c r="M854" s="22" t="str" cm="1">
        <f t="array" ref="M854">_xlfn.IFS(L854&gt;10,"Veteran",L854&gt;=6,"Experienced",L854&gt;=2,"Developing",L854&gt;=0,"New")</f>
        <v>Experienced</v>
      </c>
    </row>
    <row r="855" spans="1:13">
      <c r="A855" s="21" t="str">
        <f t="shared" ca="1" si="52"/>
        <v>Re-Res-2025-854</v>
      </c>
      <c r="B855" s="6">
        <v>19</v>
      </c>
      <c r="C855" s="6" t="str">
        <f t="shared" si="53"/>
        <v>20-29</v>
      </c>
      <c r="D855" s="6" t="s">
        <v>43</v>
      </c>
      <c r="E855" s="6" t="s">
        <v>45</v>
      </c>
      <c r="F855" s="6" t="s">
        <v>46</v>
      </c>
      <c r="G855" s="6" t="s">
        <v>47</v>
      </c>
      <c r="H855" s="8">
        <v>2552</v>
      </c>
      <c r="I855" s="8">
        <f t="shared" si="54"/>
        <v>178.64000000000001</v>
      </c>
      <c r="J855" s="8">
        <f t="shared" si="55"/>
        <v>2373.36</v>
      </c>
      <c r="K855" s="8">
        <v>7172</v>
      </c>
      <c r="L855" s="6">
        <v>1</v>
      </c>
      <c r="M855" s="22" t="str" cm="1">
        <f t="array" ref="M855">_xlfn.IFS(L855&gt;10,"Veteran",L855&gt;=6,"Experienced",L855&gt;=2,"Developing",L855&gt;=0,"New")</f>
        <v>New</v>
      </c>
    </row>
    <row r="856" spans="1:13">
      <c r="A856" s="21" t="str">
        <f t="shared" ca="1" si="52"/>
        <v>Re-Res-2023-855</v>
      </c>
      <c r="B856" s="6">
        <v>45</v>
      </c>
      <c r="C856" s="6" t="str">
        <f t="shared" si="53"/>
        <v>40-49</v>
      </c>
      <c r="D856" s="6" t="s">
        <v>43</v>
      </c>
      <c r="E856" s="6" t="s">
        <v>45</v>
      </c>
      <c r="F856" s="6" t="s">
        <v>39</v>
      </c>
      <c r="G856" s="6" t="s">
        <v>47</v>
      </c>
      <c r="H856" s="8">
        <v>4477</v>
      </c>
      <c r="I856" s="8">
        <f t="shared" si="54"/>
        <v>671.55</v>
      </c>
      <c r="J856" s="8">
        <f t="shared" si="55"/>
        <v>3805.45</v>
      </c>
      <c r="K856" s="8">
        <v>20100</v>
      </c>
      <c r="L856" s="6">
        <v>3</v>
      </c>
      <c r="M856" s="22" t="str" cm="1">
        <f t="array" ref="M856">_xlfn.IFS(L856&gt;10,"Veteran",L856&gt;=6,"Experienced",L856&gt;=2,"Developing",L856&gt;=0,"New")</f>
        <v>Developing</v>
      </c>
    </row>
    <row r="857" spans="1:13">
      <c r="A857" s="21" t="str">
        <f t="shared" ca="1" si="52"/>
        <v>Ma-Res-2012-856</v>
      </c>
      <c r="B857" s="6">
        <v>37</v>
      </c>
      <c r="C857" s="6" t="str">
        <f t="shared" si="53"/>
        <v>30-39</v>
      </c>
      <c r="D857" s="6" t="s">
        <v>43</v>
      </c>
      <c r="E857" s="6" t="s">
        <v>45</v>
      </c>
      <c r="F857" s="6" t="s">
        <v>39</v>
      </c>
      <c r="G857" s="6" t="s">
        <v>53</v>
      </c>
      <c r="H857" s="8">
        <v>6474</v>
      </c>
      <c r="I857" s="8">
        <f t="shared" si="54"/>
        <v>971.09999999999991</v>
      </c>
      <c r="J857" s="8">
        <f t="shared" si="55"/>
        <v>5502.9</v>
      </c>
      <c r="K857" s="8">
        <v>9961</v>
      </c>
      <c r="L857" s="6">
        <v>14</v>
      </c>
      <c r="M857" s="22" t="str" cm="1">
        <f t="array" ref="M857">_xlfn.IFS(L857&gt;10,"Veteran",L857&gt;=6,"Experienced",L857&gt;=2,"Developing",L857&gt;=0,"New")</f>
        <v>Veteran</v>
      </c>
    </row>
    <row r="858" spans="1:13">
      <c r="A858" s="21" t="str">
        <f t="shared" ca="1" si="52"/>
        <v>La-Res-2024-857</v>
      </c>
      <c r="B858" s="6">
        <v>20</v>
      </c>
      <c r="C858" s="6" t="str">
        <f t="shared" si="53"/>
        <v>20-29</v>
      </c>
      <c r="D858" s="6" t="s">
        <v>43</v>
      </c>
      <c r="E858" s="6" t="s">
        <v>45</v>
      </c>
      <c r="F858" s="6" t="s">
        <v>46</v>
      </c>
      <c r="G858" s="6" t="s">
        <v>50</v>
      </c>
      <c r="H858" s="8">
        <v>3033</v>
      </c>
      <c r="I858" s="8">
        <f t="shared" si="54"/>
        <v>454.95</v>
      </c>
      <c r="J858" s="8">
        <f t="shared" si="55"/>
        <v>2578.0500000000002</v>
      </c>
      <c r="K858" s="8">
        <v>12828</v>
      </c>
      <c r="L858" s="6">
        <v>2</v>
      </c>
      <c r="M858" s="22" t="str" cm="1">
        <f t="array" ref="M858">_xlfn.IFS(L858&gt;10,"Veteran",L858&gt;=6,"Experienced",L858&gt;=2,"Developing",L858&gt;=0,"New")</f>
        <v>Developing</v>
      </c>
    </row>
    <row r="859" spans="1:13">
      <c r="A859" s="21" t="str">
        <f t="shared" ca="1" si="52"/>
        <v>Re-Res-2020-858</v>
      </c>
      <c r="B859" s="6">
        <v>44</v>
      </c>
      <c r="C859" s="6" t="str">
        <f t="shared" si="53"/>
        <v>40-49</v>
      </c>
      <c r="D859" s="6" t="s">
        <v>35</v>
      </c>
      <c r="E859" s="6" t="s">
        <v>45</v>
      </c>
      <c r="F859" s="6" t="s">
        <v>46</v>
      </c>
      <c r="G859" s="6" t="s">
        <v>47</v>
      </c>
      <c r="H859" s="8">
        <v>2936</v>
      </c>
      <c r="I859" s="8">
        <f t="shared" si="54"/>
        <v>205.52</v>
      </c>
      <c r="J859" s="8">
        <f t="shared" si="55"/>
        <v>2730.48</v>
      </c>
      <c r="K859" s="8">
        <v>10826</v>
      </c>
      <c r="L859" s="6">
        <v>6</v>
      </c>
      <c r="M859" s="22" t="str" cm="1">
        <f t="array" ref="M859">_xlfn.IFS(L859&gt;10,"Veteran",L859&gt;=6,"Experienced",L859&gt;=2,"Developing",L859&gt;=0,"New")</f>
        <v>Experienced</v>
      </c>
    </row>
    <row r="860" spans="1:13">
      <c r="A860" s="21" t="str">
        <f t="shared" ca="1" si="52"/>
        <v>Ma-Res-2019-859</v>
      </c>
      <c r="B860" s="6">
        <v>53</v>
      </c>
      <c r="C860" s="6" t="str">
        <f t="shared" si="53"/>
        <v>50+</v>
      </c>
      <c r="D860" s="6" t="s">
        <v>43</v>
      </c>
      <c r="E860" s="6" t="s">
        <v>45</v>
      </c>
      <c r="F860" s="6" t="s">
        <v>39</v>
      </c>
      <c r="G860" s="6" t="s">
        <v>56</v>
      </c>
      <c r="H860" s="8">
        <v>18606</v>
      </c>
      <c r="I860" s="8">
        <f t="shared" si="54"/>
        <v>5581.8</v>
      </c>
      <c r="J860" s="8">
        <f t="shared" si="55"/>
        <v>13024.2</v>
      </c>
      <c r="K860" s="8">
        <v>18640</v>
      </c>
      <c r="L860" s="6">
        <v>7</v>
      </c>
      <c r="M860" s="22" t="str" cm="1">
        <f t="array" ref="M860">_xlfn.IFS(L860&gt;10,"Veteran",L860&gt;=6,"Experienced",L860&gt;=2,"Developing",L860&gt;=0,"New")</f>
        <v>Experienced</v>
      </c>
    </row>
    <row r="861" spans="1:13">
      <c r="A861" s="21" t="str">
        <f t="shared" ca="1" si="52"/>
        <v>Re-Res-2021-860</v>
      </c>
      <c r="B861" s="6">
        <v>29</v>
      </c>
      <c r="C861" s="6" t="str">
        <f t="shared" si="53"/>
        <v>20-29</v>
      </c>
      <c r="D861" s="6" t="s">
        <v>43</v>
      </c>
      <c r="E861" s="6" t="s">
        <v>45</v>
      </c>
      <c r="F861" s="6" t="s">
        <v>39</v>
      </c>
      <c r="G861" s="6" t="s">
        <v>47</v>
      </c>
      <c r="H861" s="8">
        <v>2168</v>
      </c>
      <c r="I861" s="8">
        <f t="shared" si="54"/>
        <v>151.76000000000002</v>
      </c>
      <c r="J861" s="8">
        <f t="shared" si="55"/>
        <v>2016.24</v>
      </c>
      <c r="K861" s="8">
        <v>26933</v>
      </c>
      <c r="L861" s="6">
        <v>5</v>
      </c>
      <c r="M861" s="22" t="str" cm="1">
        <f t="array" ref="M861">_xlfn.IFS(L861&gt;10,"Veteran",L861&gt;=6,"Experienced",L861&gt;=2,"Developing",L861&gt;=0,"New")</f>
        <v>Developing</v>
      </c>
    </row>
    <row r="862" spans="1:13">
      <c r="A862" s="21" t="str">
        <f t="shared" ca="1" si="52"/>
        <v>Re-Res-2026-861</v>
      </c>
      <c r="B862" s="6">
        <v>22</v>
      </c>
      <c r="C862" s="6" t="str">
        <f t="shared" si="53"/>
        <v>20-29</v>
      </c>
      <c r="D862" s="6" t="s">
        <v>35</v>
      </c>
      <c r="E862" s="6" t="s">
        <v>45</v>
      </c>
      <c r="F862" s="6" t="s">
        <v>46</v>
      </c>
      <c r="G862" s="6" t="s">
        <v>47</v>
      </c>
      <c r="H862" s="8">
        <v>2853</v>
      </c>
      <c r="I862" s="8">
        <f t="shared" si="54"/>
        <v>199.71</v>
      </c>
      <c r="J862" s="8">
        <f t="shared" si="55"/>
        <v>2653.29</v>
      </c>
      <c r="K862" s="8">
        <v>4223</v>
      </c>
      <c r="L862" s="6">
        <v>0</v>
      </c>
      <c r="M862" s="22" t="str" cm="1">
        <f t="array" ref="M862">_xlfn.IFS(L862&gt;10,"Veteran",L862&gt;=6,"Experienced",L862&gt;=2,"Developing",L862&gt;=0,"New")</f>
        <v>New</v>
      </c>
    </row>
    <row r="863" spans="1:13">
      <c r="A863" s="21" t="str">
        <f t="shared" ca="1" si="52"/>
        <v>Ma-Sal-2000-862</v>
      </c>
      <c r="B863" s="6">
        <v>46</v>
      </c>
      <c r="C863" s="6" t="str">
        <f t="shared" si="53"/>
        <v>40-49</v>
      </c>
      <c r="D863" s="6" t="s">
        <v>43</v>
      </c>
      <c r="E863" s="6" t="s">
        <v>37</v>
      </c>
      <c r="F863" s="6" t="s">
        <v>39</v>
      </c>
      <c r="G863" s="6" t="s">
        <v>56</v>
      </c>
      <c r="H863" s="8">
        <v>17048</v>
      </c>
      <c r="I863" s="8">
        <f t="shared" si="54"/>
        <v>5114.3999999999996</v>
      </c>
      <c r="J863" s="8">
        <f t="shared" si="55"/>
        <v>11933.6</v>
      </c>
      <c r="K863" s="8">
        <v>24097</v>
      </c>
      <c r="L863" s="6">
        <v>26</v>
      </c>
      <c r="M863" s="22" t="str" cm="1">
        <f t="array" ref="M863">_xlfn.IFS(L863&gt;10,"Veteran",L863&gt;=6,"Experienced",L863&gt;=2,"Developing",L863&gt;=0,"New")</f>
        <v>Veteran</v>
      </c>
    </row>
    <row r="864" spans="1:13">
      <c r="A864" s="21" t="str">
        <f t="shared" ca="1" si="52"/>
        <v>Re-Res-2026-863</v>
      </c>
      <c r="B864" s="6">
        <v>44</v>
      </c>
      <c r="C864" s="6" t="str">
        <f t="shared" si="53"/>
        <v>40-49</v>
      </c>
      <c r="D864" s="6" t="s">
        <v>43</v>
      </c>
      <c r="E864" s="6" t="s">
        <v>45</v>
      </c>
      <c r="F864" s="6" t="s">
        <v>46</v>
      </c>
      <c r="G864" s="6" t="s">
        <v>47</v>
      </c>
      <c r="H864" s="8">
        <v>2290</v>
      </c>
      <c r="I864" s="8">
        <f t="shared" si="54"/>
        <v>160.30000000000001</v>
      </c>
      <c r="J864" s="8">
        <f t="shared" si="55"/>
        <v>2129.6999999999998</v>
      </c>
      <c r="K864" s="8">
        <v>4279</v>
      </c>
      <c r="L864" s="6">
        <v>0</v>
      </c>
      <c r="M864" s="22" t="str" cm="1">
        <f t="array" ref="M864">_xlfn.IFS(L864&gt;10,"Veteran",L864&gt;=6,"Experienced",L864&gt;=2,"Developing",L864&gt;=0,"New")</f>
        <v>New</v>
      </c>
    </row>
    <row r="865" spans="1:13">
      <c r="A865" s="21" t="str">
        <f t="shared" ca="1" si="52"/>
        <v>Hu-Hum-2021-864</v>
      </c>
      <c r="B865" s="6">
        <v>33</v>
      </c>
      <c r="C865" s="6" t="str">
        <f t="shared" si="53"/>
        <v>30-39</v>
      </c>
      <c r="D865" s="6" t="s">
        <v>43</v>
      </c>
      <c r="E865" s="6" t="s">
        <v>61</v>
      </c>
      <c r="F865" s="6" t="s">
        <v>46</v>
      </c>
      <c r="G865" s="6" t="s">
        <v>61</v>
      </c>
      <c r="H865" s="8">
        <v>3600</v>
      </c>
      <c r="I865" s="8">
        <f t="shared" si="54"/>
        <v>540</v>
      </c>
      <c r="J865" s="8">
        <f t="shared" si="55"/>
        <v>3060</v>
      </c>
      <c r="K865" s="8">
        <v>8429</v>
      </c>
      <c r="L865" s="6">
        <v>5</v>
      </c>
      <c r="M865" s="22" t="str" cm="1">
        <f t="array" ref="M865">_xlfn.IFS(L865&gt;10,"Veteran",L865&gt;=6,"Experienced",L865&gt;=2,"Developing",L865&gt;=0,"New")</f>
        <v>Developing</v>
      </c>
    </row>
    <row r="866" spans="1:13">
      <c r="A866" s="21" t="str">
        <f t="shared" ca="1" si="52"/>
        <v>Re-Res-2025-865</v>
      </c>
      <c r="B866" s="6">
        <v>41</v>
      </c>
      <c r="C866" s="6" t="str">
        <f t="shared" si="53"/>
        <v>40-49</v>
      </c>
      <c r="D866" s="6" t="s">
        <v>35</v>
      </c>
      <c r="E866" s="6" t="s">
        <v>45</v>
      </c>
      <c r="F866" s="6" t="s">
        <v>46</v>
      </c>
      <c r="G866" s="6" t="s">
        <v>47</v>
      </c>
      <c r="H866" s="8">
        <v>2107</v>
      </c>
      <c r="I866" s="8">
        <f t="shared" si="54"/>
        <v>147.49</v>
      </c>
      <c r="J866" s="8">
        <f t="shared" si="55"/>
        <v>1959.51</v>
      </c>
      <c r="K866" s="8">
        <v>20293</v>
      </c>
      <c r="L866" s="6">
        <v>1</v>
      </c>
      <c r="M866" s="22" t="str" cm="1">
        <f t="array" ref="M866">_xlfn.IFS(L866&gt;10,"Veteran",L866&gt;=6,"Experienced",L866&gt;=2,"Developing",L866&gt;=0,"New")</f>
        <v>New</v>
      </c>
    </row>
    <row r="867" spans="1:13">
      <c r="A867" s="21" t="str">
        <f t="shared" ca="1" si="52"/>
        <v>Sa-Sal-2022-866</v>
      </c>
      <c r="B867" s="6">
        <v>30</v>
      </c>
      <c r="C867" s="6" t="str">
        <f t="shared" si="53"/>
        <v>30-39</v>
      </c>
      <c r="D867" s="6" t="s">
        <v>43</v>
      </c>
      <c r="E867" s="6" t="s">
        <v>37</v>
      </c>
      <c r="F867" s="6" t="s">
        <v>46</v>
      </c>
      <c r="G867" s="6" t="s">
        <v>40</v>
      </c>
      <c r="H867" s="8">
        <v>4115</v>
      </c>
      <c r="I867" s="8">
        <f t="shared" si="54"/>
        <v>617.25</v>
      </c>
      <c r="J867" s="8">
        <f t="shared" si="55"/>
        <v>3497.75</v>
      </c>
      <c r="K867" s="8">
        <v>13192</v>
      </c>
      <c r="L867" s="6">
        <v>4</v>
      </c>
      <c r="M867" s="22" t="str" cm="1">
        <f t="array" ref="M867">_xlfn.IFS(L867&gt;10,"Veteran",L867&gt;=6,"Experienced",L867&gt;=2,"Developing",L867&gt;=0,"New")</f>
        <v>Developing</v>
      </c>
    </row>
    <row r="868" spans="1:13">
      <c r="A868" s="21" t="str">
        <f t="shared" ca="1" si="52"/>
        <v>Sa-Sal-2026-867</v>
      </c>
      <c r="B868" s="6">
        <v>40</v>
      </c>
      <c r="C868" s="6" t="str">
        <f t="shared" si="53"/>
        <v>40-49</v>
      </c>
      <c r="D868" s="6" t="s">
        <v>43</v>
      </c>
      <c r="E868" s="6" t="s">
        <v>37</v>
      </c>
      <c r="F868" s="6" t="s">
        <v>46</v>
      </c>
      <c r="G868" s="6" t="s">
        <v>40</v>
      </c>
      <c r="H868" s="8">
        <v>4327</v>
      </c>
      <c r="I868" s="8">
        <f t="shared" si="54"/>
        <v>649.04999999999995</v>
      </c>
      <c r="J868" s="8">
        <f t="shared" si="55"/>
        <v>3677.95</v>
      </c>
      <c r="K868" s="8">
        <v>25440</v>
      </c>
      <c r="L868" s="6">
        <v>0</v>
      </c>
      <c r="M868" s="22" t="str" cm="1">
        <f t="array" ref="M868">_xlfn.IFS(L868&gt;10,"Veteran",L868&gt;=6,"Experienced",L868&gt;=2,"Developing",L868&gt;=0,"New")</f>
        <v>New</v>
      </c>
    </row>
    <row r="869" spans="1:13">
      <c r="A869" s="21" t="str">
        <f t="shared" ca="1" si="52"/>
        <v>Ma-Res-2024-868</v>
      </c>
      <c r="B869" s="6">
        <v>50</v>
      </c>
      <c r="C869" s="6" t="str">
        <f t="shared" si="53"/>
        <v>50+</v>
      </c>
      <c r="D869" s="6" t="s">
        <v>43</v>
      </c>
      <c r="E869" s="6" t="s">
        <v>45</v>
      </c>
      <c r="F869" s="6" t="s">
        <v>39</v>
      </c>
      <c r="G869" s="6" t="s">
        <v>56</v>
      </c>
      <c r="H869" s="8">
        <v>17856</v>
      </c>
      <c r="I869" s="8">
        <f t="shared" si="54"/>
        <v>5356.8</v>
      </c>
      <c r="J869" s="8">
        <f t="shared" si="55"/>
        <v>12499.2</v>
      </c>
      <c r="K869" s="8">
        <v>9490</v>
      </c>
      <c r="L869" s="6">
        <v>2</v>
      </c>
      <c r="M869" s="22" t="str" cm="1">
        <f t="array" ref="M869">_xlfn.IFS(L869&gt;10,"Veteran",L869&gt;=6,"Experienced",L869&gt;=2,"Developing",L869&gt;=0,"New")</f>
        <v>Developing</v>
      </c>
    </row>
    <row r="870" spans="1:13">
      <c r="A870" s="21" t="str">
        <f t="shared" ca="1" si="52"/>
        <v>La-Res-2020-869</v>
      </c>
      <c r="B870" s="6">
        <v>28</v>
      </c>
      <c r="C870" s="6" t="str">
        <f t="shared" si="53"/>
        <v>20-29</v>
      </c>
      <c r="D870" s="6" t="s">
        <v>43</v>
      </c>
      <c r="E870" s="6" t="s">
        <v>45</v>
      </c>
      <c r="F870" s="6" t="s">
        <v>46</v>
      </c>
      <c r="G870" s="6" t="s">
        <v>50</v>
      </c>
      <c r="H870" s="8">
        <v>3196</v>
      </c>
      <c r="I870" s="8">
        <f t="shared" si="54"/>
        <v>479.4</v>
      </c>
      <c r="J870" s="8">
        <f t="shared" si="55"/>
        <v>2716.6</v>
      </c>
      <c r="K870" s="8">
        <v>12449</v>
      </c>
      <c r="L870" s="6">
        <v>6</v>
      </c>
      <c r="M870" s="22" t="str" cm="1">
        <f t="array" ref="M870">_xlfn.IFS(L870&gt;10,"Veteran",L870&gt;=6,"Experienced",L870&gt;=2,"Developing",L870&gt;=0,"New")</f>
        <v>Experienced</v>
      </c>
    </row>
    <row r="871" spans="1:13">
      <c r="A871" s="21" t="str">
        <f t="shared" ca="1" si="52"/>
        <v>Re-Res-2022-870</v>
      </c>
      <c r="B871" s="6">
        <v>46</v>
      </c>
      <c r="C871" s="6" t="str">
        <f t="shared" si="53"/>
        <v>40-49</v>
      </c>
      <c r="D871" s="6" t="s">
        <v>43</v>
      </c>
      <c r="E871" s="6" t="s">
        <v>45</v>
      </c>
      <c r="F871" s="6" t="s">
        <v>46</v>
      </c>
      <c r="G871" s="6" t="s">
        <v>58</v>
      </c>
      <c r="H871" s="8">
        <v>19081</v>
      </c>
      <c r="I871" s="8">
        <f t="shared" si="54"/>
        <v>5724.3</v>
      </c>
      <c r="J871" s="8">
        <f t="shared" si="55"/>
        <v>13356.7</v>
      </c>
      <c r="K871" s="8">
        <v>10849</v>
      </c>
      <c r="L871" s="6">
        <v>4</v>
      </c>
      <c r="M871" s="22" t="str" cm="1">
        <f t="array" ref="M871">_xlfn.IFS(L871&gt;10,"Veteran",L871&gt;=6,"Experienced",L871&gt;=2,"Developing",L871&gt;=0,"New")</f>
        <v>Developing</v>
      </c>
    </row>
    <row r="872" spans="1:13">
      <c r="A872" s="21" t="str">
        <f t="shared" ca="1" si="52"/>
        <v>Sa-Sal-2019-871</v>
      </c>
      <c r="B872" s="6">
        <v>35</v>
      </c>
      <c r="C872" s="6" t="str">
        <f t="shared" si="53"/>
        <v>30-39</v>
      </c>
      <c r="D872" s="6" t="s">
        <v>43</v>
      </c>
      <c r="E872" s="6" t="s">
        <v>37</v>
      </c>
      <c r="F872" s="6" t="s">
        <v>46</v>
      </c>
      <c r="G872" s="6" t="s">
        <v>40</v>
      </c>
      <c r="H872" s="8">
        <v>8966</v>
      </c>
      <c r="I872" s="8">
        <f t="shared" si="54"/>
        <v>1972.52</v>
      </c>
      <c r="J872" s="8">
        <f t="shared" si="55"/>
        <v>6993.48</v>
      </c>
      <c r="K872" s="8">
        <v>21026</v>
      </c>
      <c r="L872" s="6">
        <v>7</v>
      </c>
      <c r="M872" s="22" t="str" cm="1">
        <f t="array" ref="M872">_xlfn.IFS(L872&gt;10,"Veteran",L872&gt;=6,"Experienced",L872&gt;=2,"Developing",L872&gt;=0,"New")</f>
        <v>Experienced</v>
      </c>
    </row>
    <row r="873" spans="1:13">
      <c r="A873" s="21" t="str">
        <f t="shared" ca="1" si="52"/>
        <v>La-Res-2025-872</v>
      </c>
      <c r="B873" s="6">
        <v>24</v>
      </c>
      <c r="C873" s="6" t="str">
        <f t="shared" si="53"/>
        <v>20-29</v>
      </c>
      <c r="D873" s="6" t="s">
        <v>35</v>
      </c>
      <c r="E873" s="6" t="s">
        <v>45</v>
      </c>
      <c r="F873" s="6" t="s">
        <v>39</v>
      </c>
      <c r="G873" s="6" t="s">
        <v>50</v>
      </c>
      <c r="H873" s="8">
        <v>2210</v>
      </c>
      <c r="I873" s="8">
        <f t="shared" si="54"/>
        <v>154.70000000000002</v>
      </c>
      <c r="J873" s="8">
        <f t="shared" si="55"/>
        <v>2055.3000000000002</v>
      </c>
      <c r="K873" s="8">
        <v>3372</v>
      </c>
      <c r="L873" s="6">
        <v>1</v>
      </c>
      <c r="M873" s="22" t="str" cm="1">
        <f t="array" ref="M873">_xlfn.IFS(L873&gt;10,"Veteran",L873&gt;=6,"Experienced",L873&gt;=2,"Developing",L873&gt;=0,"New")</f>
        <v>New</v>
      </c>
    </row>
    <row r="874" spans="1:13">
      <c r="A874" s="21" t="str">
        <f t="shared" ca="1" si="52"/>
        <v>Sa-Sal-2016-873</v>
      </c>
      <c r="B874" s="6">
        <v>33</v>
      </c>
      <c r="C874" s="6" t="str">
        <f t="shared" si="53"/>
        <v>30-39</v>
      </c>
      <c r="D874" s="6" t="s">
        <v>43</v>
      </c>
      <c r="E874" s="6" t="s">
        <v>37</v>
      </c>
      <c r="F874" s="6" t="s">
        <v>39</v>
      </c>
      <c r="G874" s="6" t="s">
        <v>40</v>
      </c>
      <c r="H874" s="8">
        <v>4539</v>
      </c>
      <c r="I874" s="8">
        <f t="shared" si="54"/>
        <v>680.85</v>
      </c>
      <c r="J874" s="8">
        <f t="shared" si="55"/>
        <v>3858.15</v>
      </c>
      <c r="K874" s="8">
        <v>4905</v>
      </c>
      <c r="L874" s="6">
        <v>10</v>
      </c>
      <c r="M874" s="22" t="str" cm="1">
        <f t="array" ref="M874">_xlfn.IFS(L874&gt;10,"Veteran",L874&gt;=6,"Experienced",L874&gt;=2,"Developing",L874&gt;=0,"New")</f>
        <v>Experienced</v>
      </c>
    </row>
    <row r="875" spans="1:13">
      <c r="A875" s="21" t="str">
        <f t="shared" ca="1" si="52"/>
        <v>La-Res-2019-874</v>
      </c>
      <c r="B875" s="6">
        <v>36</v>
      </c>
      <c r="C875" s="6" t="str">
        <f t="shared" si="53"/>
        <v>30-39</v>
      </c>
      <c r="D875" s="6" t="s">
        <v>43</v>
      </c>
      <c r="E875" s="6" t="s">
        <v>45</v>
      </c>
      <c r="F875" s="6" t="s">
        <v>46</v>
      </c>
      <c r="G875" s="6" t="s">
        <v>50</v>
      </c>
      <c r="H875" s="8">
        <v>2741</v>
      </c>
      <c r="I875" s="8">
        <f t="shared" si="54"/>
        <v>191.87</v>
      </c>
      <c r="J875" s="8">
        <f t="shared" si="55"/>
        <v>2549.13</v>
      </c>
      <c r="K875" s="8">
        <v>6865</v>
      </c>
      <c r="L875" s="6">
        <v>7</v>
      </c>
      <c r="M875" s="22" t="str" cm="1">
        <f t="array" ref="M875">_xlfn.IFS(L875&gt;10,"Veteran",L875&gt;=6,"Experienced",L875&gt;=2,"Developing",L875&gt;=0,"New")</f>
        <v>Experienced</v>
      </c>
    </row>
    <row r="876" spans="1:13">
      <c r="A876" s="21" t="str">
        <f t="shared" ca="1" si="52"/>
        <v>La-Res-2016-875</v>
      </c>
      <c r="B876" s="6">
        <v>30</v>
      </c>
      <c r="C876" s="6" t="str">
        <f t="shared" si="53"/>
        <v>30-39</v>
      </c>
      <c r="D876" s="6" t="s">
        <v>43</v>
      </c>
      <c r="E876" s="6" t="s">
        <v>45</v>
      </c>
      <c r="F876" s="6" t="s">
        <v>46</v>
      </c>
      <c r="G876" s="6" t="s">
        <v>50</v>
      </c>
      <c r="H876" s="8">
        <v>3491</v>
      </c>
      <c r="I876" s="8">
        <f t="shared" si="54"/>
        <v>523.65</v>
      </c>
      <c r="J876" s="8">
        <f t="shared" si="55"/>
        <v>2967.35</v>
      </c>
      <c r="K876" s="8">
        <v>11309</v>
      </c>
      <c r="L876" s="6">
        <v>10</v>
      </c>
      <c r="M876" s="22" t="str" cm="1">
        <f t="array" ref="M876">_xlfn.IFS(L876&gt;10,"Veteran",L876&gt;=6,"Experienced",L876&gt;=2,"Developing",L876&gt;=0,"New")</f>
        <v>Experienced</v>
      </c>
    </row>
    <row r="877" spans="1:13">
      <c r="A877" s="21" t="str">
        <f t="shared" ca="1" si="52"/>
        <v>Re-Res-2006-876</v>
      </c>
      <c r="B877" s="6">
        <v>44</v>
      </c>
      <c r="C877" s="6" t="str">
        <f t="shared" si="53"/>
        <v>40-49</v>
      </c>
      <c r="D877" s="6" t="s">
        <v>43</v>
      </c>
      <c r="E877" s="6" t="s">
        <v>45</v>
      </c>
      <c r="F877" s="6" t="s">
        <v>46</v>
      </c>
      <c r="G877" s="6" t="s">
        <v>47</v>
      </c>
      <c r="H877" s="8">
        <v>4541</v>
      </c>
      <c r="I877" s="8">
        <f t="shared" si="54"/>
        <v>681.15</v>
      </c>
      <c r="J877" s="8">
        <f t="shared" si="55"/>
        <v>3859.85</v>
      </c>
      <c r="K877" s="8">
        <v>7744</v>
      </c>
      <c r="L877" s="6">
        <v>20</v>
      </c>
      <c r="M877" s="22" t="str" cm="1">
        <f t="array" ref="M877">_xlfn.IFS(L877&gt;10,"Veteran",L877&gt;=6,"Experienced",L877&gt;=2,"Developing",L877&gt;=0,"New")</f>
        <v>Veteran</v>
      </c>
    </row>
    <row r="878" spans="1:13">
      <c r="A878" s="21" t="str">
        <f t="shared" ca="1" si="52"/>
        <v>Sa-Sal-2024-877</v>
      </c>
      <c r="B878" s="6">
        <v>20</v>
      </c>
      <c r="C878" s="6" t="str">
        <f t="shared" si="53"/>
        <v>20-29</v>
      </c>
      <c r="D878" s="6" t="s">
        <v>43</v>
      </c>
      <c r="E878" s="6" t="s">
        <v>37</v>
      </c>
      <c r="F878" s="6" t="s">
        <v>46</v>
      </c>
      <c r="G878" s="6" t="s">
        <v>57</v>
      </c>
      <c r="H878" s="8">
        <v>2678</v>
      </c>
      <c r="I878" s="8">
        <f t="shared" si="54"/>
        <v>187.46</v>
      </c>
      <c r="J878" s="8">
        <f t="shared" si="55"/>
        <v>2490.54</v>
      </c>
      <c r="K878" s="8">
        <v>5050</v>
      </c>
      <c r="L878" s="6">
        <v>2</v>
      </c>
      <c r="M878" s="22" t="str" cm="1">
        <f t="array" ref="M878">_xlfn.IFS(L878&gt;10,"Veteran",L878&gt;=6,"Experienced",L878&gt;=2,"Developing",L878&gt;=0,"New")</f>
        <v>Developing</v>
      </c>
    </row>
    <row r="879" spans="1:13">
      <c r="A879" s="21" t="str">
        <f t="shared" ca="1" si="52"/>
        <v>Ma-Res-2020-878</v>
      </c>
      <c r="B879" s="6">
        <v>46</v>
      </c>
      <c r="C879" s="6" t="str">
        <f t="shared" si="53"/>
        <v>40-49</v>
      </c>
      <c r="D879" s="6" t="s">
        <v>43</v>
      </c>
      <c r="E879" s="6" t="s">
        <v>45</v>
      </c>
      <c r="F879" s="6" t="s">
        <v>46</v>
      </c>
      <c r="G879" s="6" t="s">
        <v>53</v>
      </c>
      <c r="H879" s="8">
        <v>7379</v>
      </c>
      <c r="I879" s="8">
        <f t="shared" si="54"/>
        <v>1623.38</v>
      </c>
      <c r="J879" s="8">
        <f t="shared" si="55"/>
        <v>5755.62</v>
      </c>
      <c r="K879" s="8">
        <v>17433</v>
      </c>
      <c r="L879" s="6">
        <v>6</v>
      </c>
      <c r="M879" s="22" t="str" cm="1">
        <f t="array" ref="M879">_xlfn.IFS(L879&gt;10,"Veteran",L879&gt;=6,"Experienced",L879&gt;=2,"Developing",L879&gt;=0,"New")</f>
        <v>Experienced</v>
      </c>
    </row>
    <row r="880" spans="1:13">
      <c r="A880" s="21" t="str">
        <f t="shared" ca="1" si="52"/>
        <v>Hu-Hum-2022-879</v>
      </c>
      <c r="B880" s="6">
        <v>42</v>
      </c>
      <c r="C880" s="6" t="str">
        <f t="shared" si="53"/>
        <v>40-49</v>
      </c>
      <c r="D880" s="6" t="s">
        <v>43</v>
      </c>
      <c r="E880" s="6" t="s">
        <v>61</v>
      </c>
      <c r="F880" s="6" t="s">
        <v>46</v>
      </c>
      <c r="G880" s="6" t="s">
        <v>61</v>
      </c>
      <c r="H880" s="8">
        <v>6272</v>
      </c>
      <c r="I880" s="8">
        <f t="shared" si="54"/>
        <v>940.8</v>
      </c>
      <c r="J880" s="8">
        <f t="shared" si="55"/>
        <v>5331.2</v>
      </c>
      <c r="K880" s="8">
        <v>12858</v>
      </c>
      <c r="L880" s="6">
        <v>4</v>
      </c>
      <c r="M880" s="22" t="str" cm="1">
        <f t="array" ref="M880">_xlfn.IFS(L880&gt;10,"Veteran",L880&gt;=6,"Experienced",L880&gt;=2,"Developing",L880&gt;=0,"New")</f>
        <v>Developing</v>
      </c>
    </row>
    <row r="881" spans="1:13">
      <c r="A881" s="21" t="str">
        <f t="shared" ca="1" si="52"/>
        <v>Sa-Sal-2015-880</v>
      </c>
      <c r="B881" s="6">
        <v>60</v>
      </c>
      <c r="C881" s="6" t="str">
        <f t="shared" si="53"/>
        <v>50+</v>
      </c>
      <c r="D881" s="6" t="s">
        <v>43</v>
      </c>
      <c r="E881" s="6" t="s">
        <v>37</v>
      </c>
      <c r="F881" s="6" t="s">
        <v>46</v>
      </c>
      <c r="G881" s="6" t="s">
        <v>40</v>
      </c>
      <c r="H881" s="8">
        <v>5220</v>
      </c>
      <c r="I881" s="8">
        <f t="shared" si="54"/>
        <v>783</v>
      </c>
      <c r="J881" s="8">
        <f t="shared" si="55"/>
        <v>4437</v>
      </c>
      <c r="K881" s="8">
        <v>10893</v>
      </c>
      <c r="L881" s="6">
        <v>11</v>
      </c>
      <c r="M881" s="22" t="str" cm="1">
        <f t="array" ref="M881">_xlfn.IFS(L881&gt;10,"Veteran",L881&gt;=6,"Experienced",L881&gt;=2,"Developing",L881&gt;=0,"New")</f>
        <v>Veteran</v>
      </c>
    </row>
    <row r="882" spans="1:13">
      <c r="A882" s="21" t="str">
        <f t="shared" ca="1" si="52"/>
        <v>La-Res-2024-881</v>
      </c>
      <c r="B882" s="6">
        <v>32</v>
      </c>
      <c r="C882" s="6" t="str">
        <f t="shared" si="53"/>
        <v>30-39</v>
      </c>
      <c r="D882" s="6" t="s">
        <v>43</v>
      </c>
      <c r="E882" s="6" t="s">
        <v>45</v>
      </c>
      <c r="F882" s="6" t="s">
        <v>39</v>
      </c>
      <c r="G882" s="6" t="s">
        <v>50</v>
      </c>
      <c r="H882" s="8">
        <v>2743</v>
      </c>
      <c r="I882" s="8">
        <f t="shared" si="54"/>
        <v>192.01000000000002</v>
      </c>
      <c r="J882" s="8">
        <f t="shared" si="55"/>
        <v>2550.9899999999998</v>
      </c>
      <c r="K882" s="8">
        <v>7331</v>
      </c>
      <c r="L882" s="6">
        <v>2</v>
      </c>
      <c r="M882" s="22" t="str" cm="1">
        <f t="array" ref="M882">_xlfn.IFS(L882&gt;10,"Veteran",L882&gt;=6,"Experienced",L882&gt;=2,"Developing",L882&gt;=0,"New")</f>
        <v>Developing</v>
      </c>
    </row>
    <row r="883" spans="1:13">
      <c r="A883" s="21" t="str">
        <f t="shared" ca="1" si="52"/>
        <v>Re-Res-2018-882</v>
      </c>
      <c r="B883" s="6">
        <v>32</v>
      </c>
      <c r="C883" s="6" t="str">
        <f t="shared" si="53"/>
        <v>30-39</v>
      </c>
      <c r="D883" s="6" t="s">
        <v>43</v>
      </c>
      <c r="E883" s="6" t="s">
        <v>45</v>
      </c>
      <c r="F883" s="6" t="s">
        <v>39</v>
      </c>
      <c r="G883" s="6" t="s">
        <v>47</v>
      </c>
      <c r="H883" s="8">
        <v>4998</v>
      </c>
      <c r="I883" s="8">
        <f t="shared" si="54"/>
        <v>749.69999999999993</v>
      </c>
      <c r="J883" s="8">
        <f t="shared" si="55"/>
        <v>4248.3</v>
      </c>
      <c r="K883" s="8">
        <v>2338</v>
      </c>
      <c r="L883" s="6">
        <v>8</v>
      </c>
      <c r="M883" s="22" t="str" cm="1">
        <f t="array" ref="M883">_xlfn.IFS(L883&gt;10,"Veteran",L883&gt;=6,"Experienced",L883&gt;=2,"Developing",L883&gt;=0,"New")</f>
        <v>Experienced</v>
      </c>
    </row>
    <row r="884" spans="1:13">
      <c r="A884" s="21" t="str">
        <f t="shared" ca="1" si="52"/>
        <v>Ma-Res-2019-883</v>
      </c>
      <c r="B884" s="6">
        <v>36</v>
      </c>
      <c r="C884" s="6" t="str">
        <f t="shared" si="53"/>
        <v>30-39</v>
      </c>
      <c r="D884" s="6" t="s">
        <v>43</v>
      </c>
      <c r="E884" s="6" t="s">
        <v>45</v>
      </c>
      <c r="F884" s="6" t="s">
        <v>39</v>
      </c>
      <c r="G884" s="6" t="s">
        <v>53</v>
      </c>
      <c r="H884" s="8">
        <v>10252</v>
      </c>
      <c r="I884" s="8">
        <f t="shared" si="54"/>
        <v>2255.44</v>
      </c>
      <c r="J884" s="8">
        <f t="shared" si="55"/>
        <v>7996.5599999999995</v>
      </c>
      <c r="K884" s="8">
        <v>4235</v>
      </c>
      <c r="L884" s="6">
        <v>7</v>
      </c>
      <c r="M884" s="22" t="str" cm="1">
        <f t="array" ref="M884">_xlfn.IFS(L884&gt;10,"Veteran",L884&gt;=6,"Experienced",L884&gt;=2,"Developing",L884&gt;=0,"New")</f>
        <v>Experienced</v>
      </c>
    </row>
    <row r="885" spans="1:13">
      <c r="A885" s="21" t="str">
        <f t="shared" ca="1" si="52"/>
        <v>Re-Res-2012-884</v>
      </c>
      <c r="B885" s="6">
        <v>33</v>
      </c>
      <c r="C885" s="6" t="str">
        <f t="shared" si="53"/>
        <v>30-39</v>
      </c>
      <c r="D885" s="6" t="s">
        <v>43</v>
      </c>
      <c r="E885" s="6" t="s">
        <v>45</v>
      </c>
      <c r="F885" s="6" t="s">
        <v>46</v>
      </c>
      <c r="G885" s="6" t="s">
        <v>47</v>
      </c>
      <c r="H885" s="8">
        <v>2781</v>
      </c>
      <c r="I885" s="8">
        <f t="shared" si="54"/>
        <v>194.67000000000002</v>
      </c>
      <c r="J885" s="8">
        <f t="shared" si="55"/>
        <v>2586.33</v>
      </c>
      <c r="K885" s="8">
        <v>6311</v>
      </c>
      <c r="L885" s="6">
        <v>14</v>
      </c>
      <c r="M885" s="22" t="str" cm="1">
        <f t="array" ref="M885">_xlfn.IFS(L885&gt;10,"Veteran",L885&gt;=6,"Experienced",L885&gt;=2,"Developing",L885&gt;=0,"New")</f>
        <v>Veteran</v>
      </c>
    </row>
    <row r="886" spans="1:13">
      <c r="A886" s="21" t="str">
        <f t="shared" ca="1" si="52"/>
        <v>Sa-Sal-2021-885</v>
      </c>
      <c r="B886" s="6">
        <v>40</v>
      </c>
      <c r="C886" s="6" t="str">
        <f t="shared" si="53"/>
        <v>40-49</v>
      </c>
      <c r="D886" s="6" t="s">
        <v>43</v>
      </c>
      <c r="E886" s="6" t="s">
        <v>37</v>
      </c>
      <c r="F886" s="6" t="s">
        <v>39</v>
      </c>
      <c r="G886" s="6" t="s">
        <v>40</v>
      </c>
      <c r="H886" s="8">
        <v>6852</v>
      </c>
      <c r="I886" s="8">
        <f t="shared" si="54"/>
        <v>1027.8</v>
      </c>
      <c r="J886" s="8">
        <f t="shared" si="55"/>
        <v>5824.2</v>
      </c>
      <c r="K886" s="8">
        <v>11591</v>
      </c>
      <c r="L886" s="6">
        <v>5</v>
      </c>
      <c r="M886" s="22" t="str" cm="1">
        <f t="array" ref="M886">_xlfn.IFS(L886&gt;10,"Veteran",L886&gt;=6,"Experienced",L886&gt;=2,"Developing",L886&gt;=0,"New")</f>
        <v>Developing</v>
      </c>
    </row>
    <row r="887" spans="1:13">
      <c r="A887" s="21" t="str">
        <f t="shared" ca="1" si="52"/>
        <v>Sa-Sal-2022-886</v>
      </c>
      <c r="B887" s="6">
        <v>25</v>
      </c>
      <c r="C887" s="6" t="str">
        <f t="shared" si="53"/>
        <v>20-29</v>
      </c>
      <c r="D887" s="6" t="s">
        <v>43</v>
      </c>
      <c r="E887" s="6" t="s">
        <v>37</v>
      </c>
      <c r="F887" s="6" t="s">
        <v>46</v>
      </c>
      <c r="G887" s="6" t="s">
        <v>40</v>
      </c>
      <c r="H887" s="8">
        <v>4950</v>
      </c>
      <c r="I887" s="8">
        <f t="shared" si="54"/>
        <v>742.5</v>
      </c>
      <c r="J887" s="8">
        <f t="shared" si="55"/>
        <v>4207.5</v>
      </c>
      <c r="K887" s="8">
        <v>20623</v>
      </c>
      <c r="L887" s="6">
        <v>4</v>
      </c>
      <c r="M887" s="22" t="str" cm="1">
        <f t="array" ref="M887">_xlfn.IFS(L887&gt;10,"Veteran",L887&gt;=6,"Experienced",L887&gt;=2,"Developing",L887&gt;=0,"New")</f>
        <v>Developing</v>
      </c>
    </row>
    <row r="888" spans="1:13">
      <c r="A888" s="21" t="str">
        <f t="shared" ca="1" si="52"/>
        <v>Re-Res-2015-887</v>
      </c>
      <c r="B888" s="6">
        <v>30</v>
      </c>
      <c r="C888" s="6" t="str">
        <f t="shared" si="53"/>
        <v>30-39</v>
      </c>
      <c r="D888" s="6" t="s">
        <v>43</v>
      </c>
      <c r="E888" s="6" t="s">
        <v>45</v>
      </c>
      <c r="F888" s="6" t="s">
        <v>46</v>
      </c>
      <c r="G888" s="6" t="s">
        <v>47</v>
      </c>
      <c r="H888" s="8">
        <v>3579</v>
      </c>
      <c r="I888" s="8">
        <f t="shared" si="54"/>
        <v>536.85</v>
      </c>
      <c r="J888" s="8">
        <f t="shared" si="55"/>
        <v>3042.15</v>
      </c>
      <c r="K888" s="8">
        <v>9369</v>
      </c>
      <c r="L888" s="6">
        <v>11</v>
      </c>
      <c r="M888" s="22" t="str" cm="1">
        <f t="array" ref="M888">_xlfn.IFS(L888&gt;10,"Veteran",L888&gt;=6,"Experienced",L888&gt;=2,"Developing",L888&gt;=0,"New")</f>
        <v>Veteran</v>
      </c>
    </row>
    <row r="889" spans="1:13">
      <c r="A889" s="21" t="str">
        <f t="shared" ca="1" si="52"/>
        <v>Re-Res-2025-888</v>
      </c>
      <c r="B889" s="6">
        <v>42</v>
      </c>
      <c r="C889" s="6" t="str">
        <f t="shared" si="53"/>
        <v>40-49</v>
      </c>
      <c r="D889" s="6" t="s">
        <v>43</v>
      </c>
      <c r="E889" s="6" t="s">
        <v>45</v>
      </c>
      <c r="F889" s="6" t="s">
        <v>39</v>
      </c>
      <c r="G889" s="6" t="s">
        <v>58</v>
      </c>
      <c r="H889" s="8">
        <v>13191</v>
      </c>
      <c r="I889" s="8">
        <f t="shared" si="54"/>
        <v>3957.2999999999997</v>
      </c>
      <c r="J889" s="8">
        <f t="shared" si="55"/>
        <v>9233.7000000000007</v>
      </c>
      <c r="K889" s="8">
        <v>23281</v>
      </c>
      <c r="L889" s="6">
        <v>1</v>
      </c>
      <c r="M889" s="22" t="str" cm="1">
        <f t="array" ref="M889">_xlfn.IFS(L889&gt;10,"Veteran",L889&gt;=6,"Experienced",L889&gt;=2,"Developing",L889&gt;=0,"New")</f>
        <v>New</v>
      </c>
    </row>
    <row r="890" spans="1:13">
      <c r="A890" s="21" t="str">
        <f t="shared" ca="1" si="52"/>
        <v>Sa-Sal-2013-889</v>
      </c>
      <c r="B890" s="6">
        <v>35</v>
      </c>
      <c r="C890" s="6" t="str">
        <f t="shared" si="53"/>
        <v>30-39</v>
      </c>
      <c r="D890" s="6" t="s">
        <v>43</v>
      </c>
      <c r="E890" s="6" t="s">
        <v>37</v>
      </c>
      <c r="F890" s="6" t="s">
        <v>39</v>
      </c>
      <c r="G890" s="6" t="s">
        <v>40</v>
      </c>
      <c r="H890" s="8">
        <v>10377</v>
      </c>
      <c r="I890" s="8">
        <f t="shared" si="54"/>
        <v>2282.94</v>
      </c>
      <c r="J890" s="8">
        <f t="shared" si="55"/>
        <v>8094.0599999999995</v>
      </c>
      <c r="K890" s="8">
        <v>13755</v>
      </c>
      <c r="L890" s="6">
        <v>13</v>
      </c>
      <c r="M890" s="22" t="str" cm="1">
        <f t="array" ref="M890">_xlfn.IFS(L890&gt;10,"Veteran",L890&gt;=6,"Experienced",L890&gt;=2,"Developing",L890&gt;=0,"New")</f>
        <v>Veteran</v>
      </c>
    </row>
    <row r="891" spans="1:13">
      <c r="A891" s="21" t="str">
        <f t="shared" ca="1" si="52"/>
        <v>Re-Res-2017-890</v>
      </c>
      <c r="B891" s="6">
        <v>27</v>
      </c>
      <c r="C891" s="6" t="str">
        <f t="shared" si="53"/>
        <v>20-29</v>
      </c>
      <c r="D891" s="6" t="s">
        <v>43</v>
      </c>
      <c r="E891" s="6" t="s">
        <v>45</v>
      </c>
      <c r="F891" s="6" t="s">
        <v>46</v>
      </c>
      <c r="G891" s="6" t="s">
        <v>47</v>
      </c>
      <c r="H891" s="8">
        <v>2235</v>
      </c>
      <c r="I891" s="8">
        <f t="shared" si="54"/>
        <v>156.45000000000002</v>
      </c>
      <c r="J891" s="8">
        <f t="shared" si="55"/>
        <v>2078.5500000000002</v>
      </c>
      <c r="K891" s="8">
        <v>14377</v>
      </c>
      <c r="L891" s="6">
        <v>9</v>
      </c>
      <c r="M891" s="22" t="str" cm="1">
        <f t="array" ref="M891">_xlfn.IFS(L891&gt;10,"Veteran",L891&gt;=6,"Experienced",L891&gt;=2,"Developing",L891&gt;=0,"New")</f>
        <v>Experienced</v>
      </c>
    </row>
    <row r="892" spans="1:13">
      <c r="A892" s="21" t="str">
        <f t="shared" ca="1" si="52"/>
        <v>Ma-Res-2021-891</v>
      </c>
      <c r="B892" s="6">
        <v>54</v>
      </c>
      <c r="C892" s="6" t="str">
        <f t="shared" si="53"/>
        <v>50+</v>
      </c>
      <c r="D892" s="6" t="s">
        <v>43</v>
      </c>
      <c r="E892" s="6" t="s">
        <v>45</v>
      </c>
      <c r="F892" s="6" t="s">
        <v>39</v>
      </c>
      <c r="G892" s="6" t="s">
        <v>53</v>
      </c>
      <c r="H892" s="8">
        <v>10502</v>
      </c>
      <c r="I892" s="8">
        <f t="shared" si="54"/>
        <v>2310.44</v>
      </c>
      <c r="J892" s="8">
        <f t="shared" si="55"/>
        <v>8191.5599999999995</v>
      </c>
      <c r="K892" s="8">
        <v>9659</v>
      </c>
      <c r="L892" s="6">
        <v>5</v>
      </c>
      <c r="M892" s="22" t="str" cm="1">
        <f t="array" ref="M892">_xlfn.IFS(L892&gt;10,"Veteran",L892&gt;=6,"Experienced",L892&gt;=2,"Developing",L892&gt;=0,"New")</f>
        <v>Developing</v>
      </c>
    </row>
    <row r="893" spans="1:13">
      <c r="A893" s="21" t="str">
        <f t="shared" ca="1" si="52"/>
        <v>Re-Res-2016-892</v>
      </c>
      <c r="B893" s="6">
        <v>44</v>
      </c>
      <c r="C893" s="6" t="str">
        <f t="shared" si="53"/>
        <v>40-49</v>
      </c>
      <c r="D893" s="6" t="s">
        <v>43</v>
      </c>
      <c r="E893" s="6" t="s">
        <v>45</v>
      </c>
      <c r="F893" s="6" t="s">
        <v>39</v>
      </c>
      <c r="G893" s="6" t="s">
        <v>47</v>
      </c>
      <c r="H893" s="8">
        <v>2011</v>
      </c>
      <c r="I893" s="8">
        <f t="shared" si="54"/>
        <v>140.77000000000001</v>
      </c>
      <c r="J893" s="8">
        <f t="shared" si="55"/>
        <v>1870.23</v>
      </c>
      <c r="K893" s="8">
        <v>19982</v>
      </c>
      <c r="L893" s="6">
        <v>10</v>
      </c>
      <c r="M893" s="22" t="str" cm="1">
        <f t="array" ref="M893">_xlfn.IFS(L893&gt;10,"Veteran",L893&gt;=6,"Experienced",L893&gt;=2,"Developing",L893&gt;=0,"New")</f>
        <v>Experienced</v>
      </c>
    </row>
    <row r="894" spans="1:13">
      <c r="A894" s="21" t="str">
        <f t="shared" ca="1" si="52"/>
        <v>Re-Res-2025-893</v>
      </c>
      <c r="B894" s="6">
        <v>19</v>
      </c>
      <c r="C894" s="6" t="str">
        <f t="shared" si="53"/>
        <v>20-29</v>
      </c>
      <c r="D894" s="6" t="s">
        <v>35</v>
      </c>
      <c r="E894" s="6" t="s">
        <v>45</v>
      </c>
      <c r="F894" s="6" t="s">
        <v>39</v>
      </c>
      <c r="G894" s="6" t="s">
        <v>47</v>
      </c>
      <c r="H894" s="8">
        <v>1859</v>
      </c>
      <c r="I894" s="8">
        <f t="shared" si="54"/>
        <v>130.13000000000002</v>
      </c>
      <c r="J894" s="8">
        <f t="shared" si="55"/>
        <v>1728.87</v>
      </c>
      <c r="K894" s="8">
        <v>6148</v>
      </c>
      <c r="L894" s="6">
        <v>1</v>
      </c>
      <c r="M894" s="22" t="str" cm="1">
        <f t="array" ref="M894">_xlfn.IFS(L894&gt;10,"Veteran",L894&gt;=6,"Experienced",L894&gt;=2,"Developing",L894&gt;=0,"New")</f>
        <v>New</v>
      </c>
    </row>
    <row r="895" spans="1:13">
      <c r="A895" s="21" t="str">
        <f t="shared" ca="1" si="52"/>
        <v>Re-Res-2023-894</v>
      </c>
      <c r="B895" s="6">
        <v>29</v>
      </c>
      <c r="C895" s="6" t="str">
        <f t="shared" si="53"/>
        <v>20-29</v>
      </c>
      <c r="D895" s="6" t="s">
        <v>43</v>
      </c>
      <c r="E895" s="6" t="s">
        <v>45</v>
      </c>
      <c r="F895" s="6" t="s">
        <v>39</v>
      </c>
      <c r="G895" s="6" t="s">
        <v>47</v>
      </c>
      <c r="H895" s="8">
        <v>3760</v>
      </c>
      <c r="I895" s="8">
        <f t="shared" si="54"/>
        <v>564</v>
      </c>
      <c r="J895" s="8">
        <f t="shared" si="55"/>
        <v>3196</v>
      </c>
      <c r="K895" s="8">
        <v>5598</v>
      </c>
      <c r="L895" s="6">
        <v>3</v>
      </c>
      <c r="M895" s="22" t="str" cm="1">
        <f t="array" ref="M895">_xlfn.IFS(L895&gt;10,"Veteran",L895&gt;=6,"Experienced",L895&gt;=2,"Developing",L895&gt;=0,"New")</f>
        <v>Developing</v>
      </c>
    </row>
    <row r="896" spans="1:13">
      <c r="A896" s="21" t="str">
        <f t="shared" ca="1" si="52"/>
        <v>Re-Res-2016-895</v>
      </c>
      <c r="B896" s="6">
        <v>54</v>
      </c>
      <c r="C896" s="6" t="str">
        <f t="shared" si="53"/>
        <v>50+</v>
      </c>
      <c r="D896" s="6" t="s">
        <v>43</v>
      </c>
      <c r="E896" s="6" t="s">
        <v>45</v>
      </c>
      <c r="F896" s="6" t="s">
        <v>46</v>
      </c>
      <c r="G896" s="6" t="s">
        <v>58</v>
      </c>
      <c r="H896" s="8">
        <v>17779</v>
      </c>
      <c r="I896" s="8">
        <f t="shared" si="54"/>
        <v>5333.7</v>
      </c>
      <c r="J896" s="8">
        <f t="shared" si="55"/>
        <v>12445.3</v>
      </c>
      <c r="K896" s="8">
        <v>23474</v>
      </c>
      <c r="L896" s="6">
        <v>10</v>
      </c>
      <c r="M896" s="22" t="str" cm="1">
        <f t="array" ref="M896">_xlfn.IFS(L896&gt;10,"Veteran",L896&gt;=6,"Experienced",L896&gt;=2,"Developing",L896&gt;=0,"New")</f>
        <v>Experienced</v>
      </c>
    </row>
    <row r="897" spans="1:13">
      <c r="A897" s="21" t="str">
        <f t="shared" ca="1" si="52"/>
        <v>He-Res-2020-896</v>
      </c>
      <c r="B897" s="6">
        <v>31</v>
      </c>
      <c r="C897" s="6" t="str">
        <f t="shared" si="53"/>
        <v>30-39</v>
      </c>
      <c r="D897" s="6" t="s">
        <v>43</v>
      </c>
      <c r="E897" s="6" t="s">
        <v>45</v>
      </c>
      <c r="F897" s="6" t="s">
        <v>46</v>
      </c>
      <c r="G897" s="6" t="s">
        <v>54</v>
      </c>
      <c r="H897" s="8">
        <v>6833</v>
      </c>
      <c r="I897" s="8">
        <f t="shared" si="54"/>
        <v>1024.95</v>
      </c>
      <c r="J897" s="8">
        <f t="shared" si="55"/>
        <v>5808.05</v>
      </c>
      <c r="K897" s="8">
        <v>17089</v>
      </c>
      <c r="L897" s="6">
        <v>6</v>
      </c>
      <c r="M897" s="22" t="str" cm="1">
        <f t="array" ref="M897">_xlfn.IFS(L897&gt;10,"Veteran",L897&gt;=6,"Experienced",L897&gt;=2,"Developing",L897&gt;=0,"New")</f>
        <v>Experienced</v>
      </c>
    </row>
    <row r="898" spans="1:13">
      <c r="A898" s="21" t="str">
        <f t="shared" ca="1" si="52"/>
        <v>He-Res-2016-897</v>
      </c>
      <c r="B898" s="6">
        <v>31</v>
      </c>
      <c r="C898" s="6" t="str">
        <f t="shared" si="53"/>
        <v>30-39</v>
      </c>
      <c r="D898" s="6" t="s">
        <v>43</v>
      </c>
      <c r="E898" s="6" t="s">
        <v>45</v>
      </c>
      <c r="F898" s="6" t="s">
        <v>39</v>
      </c>
      <c r="G898" s="6" t="s">
        <v>54</v>
      </c>
      <c r="H898" s="8">
        <v>6812</v>
      </c>
      <c r="I898" s="8">
        <f t="shared" si="54"/>
        <v>1021.8</v>
      </c>
      <c r="J898" s="8">
        <f t="shared" si="55"/>
        <v>5790.2</v>
      </c>
      <c r="K898" s="8">
        <v>17198</v>
      </c>
      <c r="L898" s="6">
        <v>10</v>
      </c>
      <c r="M898" s="22" t="str" cm="1">
        <f t="array" ref="M898">_xlfn.IFS(L898&gt;10,"Veteran",L898&gt;=6,"Experienced",L898&gt;=2,"Developing",L898&gt;=0,"New")</f>
        <v>Experienced</v>
      </c>
    </row>
    <row r="899" spans="1:13">
      <c r="A899" s="21" t="str">
        <f t="shared" ref="A899:A962" ca="1" si="56">LEFT(G899,2)&amp;"-"&amp;LEFT(E899,3)&amp;"-"&amp;YEAR(TODAY())-L899&amp;"-"&amp;TEXT(ROW()-1,"000")</f>
        <v>Sa-Sal-2020-898</v>
      </c>
      <c r="B899" s="6">
        <v>59</v>
      </c>
      <c r="C899" s="6" t="str">
        <f t="shared" ref="C899:C962" si="57">IF(B899&lt;=29,"20-29",IF(B899&lt;=39,"30-39",IF(B899&lt;=49,"40-49","50+")))</f>
        <v>50+</v>
      </c>
      <c r="D899" s="6" t="s">
        <v>43</v>
      </c>
      <c r="E899" s="6" t="s">
        <v>37</v>
      </c>
      <c r="F899" s="6" t="s">
        <v>39</v>
      </c>
      <c r="G899" s="6" t="s">
        <v>40</v>
      </c>
      <c r="H899" s="8">
        <v>5171</v>
      </c>
      <c r="I899" s="8">
        <f t="shared" ref="I899:I962" si="58">IF(H899&gt;13000,H899*30%,IF(H899&gt;7000,H899*22%,IF(H899&gt;3000,H899*15%,H899*7%)))</f>
        <v>775.65</v>
      </c>
      <c r="J899" s="8">
        <f t="shared" ref="J899:J962" si="59">H899-I899</f>
        <v>4395.3500000000004</v>
      </c>
      <c r="K899" s="8">
        <v>16490</v>
      </c>
      <c r="L899" s="6">
        <v>6</v>
      </c>
      <c r="M899" s="22" t="str" cm="1">
        <f t="array" ref="M899">_xlfn.IFS(L899&gt;10,"Veteran",L899&gt;=6,"Experienced",L899&gt;=2,"Developing",L899&gt;=0,"New")</f>
        <v>Experienced</v>
      </c>
    </row>
    <row r="900" spans="1:13">
      <c r="A900" s="21" t="str">
        <f t="shared" ca="1" si="56"/>
        <v>Re-Res-2018-899</v>
      </c>
      <c r="B900" s="6">
        <v>43</v>
      </c>
      <c r="C900" s="6" t="str">
        <f t="shared" si="57"/>
        <v>40-49</v>
      </c>
      <c r="D900" s="6" t="s">
        <v>43</v>
      </c>
      <c r="E900" s="6" t="s">
        <v>45</v>
      </c>
      <c r="F900" s="6" t="s">
        <v>46</v>
      </c>
      <c r="G900" s="6" t="s">
        <v>58</v>
      </c>
      <c r="H900" s="8">
        <v>19740</v>
      </c>
      <c r="I900" s="8">
        <f t="shared" si="58"/>
        <v>5922</v>
      </c>
      <c r="J900" s="8">
        <f t="shared" si="59"/>
        <v>13818</v>
      </c>
      <c r="K900" s="8">
        <v>18625</v>
      </c>
      <c r="L900" s="6">
        <v>8</v>
      </c>
      <c r="M900" s="22" t="str" cm="1">
        <f t="array" ref="M900">_xlfn.IFS(L900&gt;10,"Veteran",L900&gt;=6,"Experienced",L900&gt;=2,"Developing",L900&gt;=0,"New")</f>
        <v>Experienced</v>
      </c>
    </row>
    <row r="901" spans="1:13">
      <c r="A901" s="21" t="str">
        <f t="shared" ca="1" si="56"/>
        <v>Ma-Res-2025-900</v>
      </c>
      <c r="B901" s="6">
        <v>49</v>
      </c>
      <c r="C901" s="6" t="str">
        <f t="shared" si="57"/>
        <v>40-49</v>
      </c>
      <c r="D901" s="6" t="s">
        <v>43</v>
      </c>
      <c r="E901" s="6" t="s">
        <v>45</v>
      </c>
      <c r="F901" s="6" t="s">
        <v>46</v>
      </c>
      <c r="G901" s="6" t="s">
        <v>56</v>
      </c>
      <c r="H901" s="8">
        <v>18711</v>
      </c>
      <c r="I901" s="8">
        <f t="shared" si="58"/>
        <v>5613.3</v>
      </c>
      <c r="J901" s="8">
        <f t="shared" si="59"/>
        <v>13097.7</v>
      </c>
      <c r="K901" s="8">
        <v>12124</v>
      </c>
      <c r="L901" s="6">
        <v>1</v>
      </c>
      <c r="M901" s="22" t="str" cm="1">
        <f t="array" ref="M901">_xlfn.IFS(L901&gt;10,"Veteran",L901&gt;=6,"Experienced",L901&gt;=2,"Developing",L901&gt;=0,"New")</f>
        <v>New</v>
      </c>
    </row>
    <row r="902" spans="1:13">
      <c r="A902" s="21" t="str">
        <f t="shared" ca="1" si="56"/>
        <v>Re-Res-2015-901</v>
      </c>
      <c r="B902" s="6">
        <v>36</v>
      </c>
      <c r="C902" s="6" t="str">
        <f t="shared" si="57"/>
        <v>30-39</v>
      </c>
      <c r="D902" s="6" t="s">
        <v>43</v>
      </c>
      <c r="E902" s="6" t="s">
        <v>45</v>
      </c>
      <c r="F902" s="6" t="s">
        <v>46</v>
      </c>
      <c r="G902" s="6" t="s">
        <v>47</v>
      </c>
      <c r="H902" s="8">
        <v>3692</v>
      </c>
      <c r="I902" s="8">
        <f t="shared" si="58"/>
        <v>553.79999999999995</v>
      </c>
      <c r="J902" s="8">
        <f t="shared" si="59"/>
        <v>3138.2</v>
      </c>
      <c r="K902" s="8">
        <v>9256</v>
      </c>
      <c r="L902" s="6">
        <v>11</v>
      </c>
      <c r="M902" s="22" t="str" cm="1">
        <f t="array" ref="M902">_xlfn.IFS(L902&gt;10,"Veteran",L902&gt;=6,"Experienced",L902&gt;=2,"Developing",L902&gt;=0,"New")</f>
        <v>Veteran</v>
      </c>
    </row>
    <row r="903" spans="1:13">
      <c r="A903" s="21" t="str">
        <f t="shared" ca="1" si="56"/>
        <v>La-Res-2025-902</v>
      </c>
      <c r="B903" s="6">
        <v>48</v>
      </c>
      <c r="C903" s="6" t="str">
        <f t="shared" si="57"/>
        <v>40-49</v>
      </c>
      <c r="D903" s="6" t="s">
        <v>43</v>
      </c>
      <c r="E903" s="6" t="s">
        <v>45</v>
      </c>
      <c r="F903" s="6" t="s">
        <v>46</v>
      </c>
      <c r="G903" s="6" t="s">
        <v>50</v>
      </c>
      <c r="H903" s="8">
        <v>2559</v>
      </c>
      <c r="I903" s="8">
        <f t="shared" si="58"/>
        <v>179.13000000000002</v>
      </c>
      <c r="J903" s="8">
        <f t="shared" si="59"/>
        <v>2379.87</v>
      </c>
      <c r="K903" s="8">
        <v>16620</v>
      </c>
      <c r="L903" s="6">
        <v>1</v>
      </c>
      <c r="M903" s="22" t="str" cm="1">
        <f t="array" ref="M903">_xlfn.IFS(L903&gt;10,"Veteran",L903&gt;=6,"Experienced",L903&gt;=2,"Developing",L903&gt;=0,"New")</f>
        <v>New</v>
      </c>
    </row>
    <row r="904" spans="1:13">
      <c r="A904" s="21" t="str">
        <f t="shared" ca="1" si="56"/>
        <v>Re-Res-2021-903</v>
      </c>
      <c r="B904" s="6">
        <v>27</v>
      </c>
      <c r="C904" s="6" t="str">
        <f t="shared" si="57"/>
        <v>20-29</v>
      </c>
      <c r="D904" s="6" t="s">
        <v>43</v>
      </c>
      <c r="E904" s="6" t="s">
        <v>45</v>
      </c>
      <c r="F904" s="6" t="s">
        <v>46</v>
      </c>
      <c r="G904" s="6" t="s">
        <v>47</v>
      </c>
      <c r="H904" s="8">
        <v>2517</v>
      </c>
      <c r="I904" s="8">
        <f t="shared" si="58"/>
        <v>176.19000000000003</v>
      </c>
      <c r="J904" s="8">
        <f t="shared" si="59"/>
        <v>2340.81</v>
      </c>
      <c r="K904" s="8">
        <v>3208</v>
      </c>
      <c r="L904" s="6">
        <v>5</v>
      </c>
      <c r="M904" s="22" t="str" cm="1">
        <f t="array" ref="M904">_xlfn.IFS(L904&gt;10,"Veteran",L904&gt;=6,"Experienced",L904&gt;=2,"Developing",L904&gt;=0,"New")</f>
        <v>Developing</v>
      </c>
    </row>
    <row r="905" spans="1:13">
      <c r="A905" s="21" t="str">
        <f t="shared" ca="1" si="56"/>
        <v>He-Res-2020-904</v>
      </c>
      <c r="B905" s="6">
        <v>29</v>
      </c>
      <c r="C905" s="6" t="str">
        <f t="shared" si="57"/>
        <v>20-29</v>
      </c>
      <c r="D905" s="6" t="s">
        <v>43</v>
      </c>
      <c r="E905" s="6" t="s">
        <v>45</v>
      </c>
      <c r="F905" s="6" t="s">
        <v>46</v>
      </c>
      <c r="G905" s="6" t="s">
        <v>54</v>
      </c>
      <c r="H905" s="8">
        <v>6623</v>
      </c>
      <c r="I905" s="8">
        <f t="shared" si="58"/>
        <v>993.44999999999993</v>
      </c>
      <c r="J905" s="8">
        <f t="shared" si="59"/>
        <v>5629.55</v>
      </c>
      <c r="K905" s="8">
        <v>4204</v>
      </c>
      <c r="L905" s="6">
        <v>6</v>
      </c>
      <c r="M905" s="22" t="str" cm="1">
        <f t="array" ref="M905">_xlfn.IFS(L905&gt;10,"Veteran",L905&gt;=6,"Experienced",L905&gt;=2,"Developing",L905&gt;=0,"New")</f>
        <v>Experienced</v>
      </c>
    </row>
    <row r="906" spans="1:13">
      <c r="A906" s="21" t="str">
        <f t="shared" ca="1" si="56"/>
        <v>Re-Res-2025-905</v>
      </c>
      <c r="B906" s="6">
        <v>48</v>
      </c>
      <c r="C906" s="6" t="str">
        <f t="shared" si="57"/>
        <v>40-49</v>
      </c>
      <c r="D906" s="6" t="s">
        <v>43</v>
      </c>
      <c r="E906" s="6" t="s">
        <v>45</v>
      </c>
      <c r="F906" s="6" t="s">
        <v>46</v>
      </c>
      <c r="G906" s="6" t="s">
        <v>58</v>
      </c>
      <c r="H906" s="8">
        <v>18265</v>
      </c>
      <c r="I906" s="8">
        <f t="shared" si="58"/>
        <v>5479.5</v>
      </c>
      <c r="J906" s="8">
        <f t="shared" si="59"/>
        <v>12785.5</v>
      </c>
      <c r="K906" s="8">
        <v>8733</v>
      </c>
      <c r="L906" s="6">
        <v>1</v>
      </c>
      <c r="M906" s="22" t="str" cm="1">
        <f t="array" ref="M906">_xlfn.IFS(L906&gt;10,"Veteran",L906&gt;=6,"Experienced",L906&gt;=2,"Developing",L906&gt;=0,"New")</f>
        <v>New</v>
      </c>
    </row>
    <row r="907" spans="1:13">
      <c r="A907" s="21" t="str">
        <f t="shared" ca="1" si="56"/>
        <v>Re-Res-2019-906</v>
      </c>
      <c r="B907" s="6">
        <v>29</v>
      </c>
      <c r="C907" s="6" t="str">
        <f t="shared" si="57"/>
        <v>20-29</v>
      </c>
      <c r="D907" s="6" t="s">
        <v>43</v>
      </c>
      <c r="E907" s="6" t="s">
        <v>45</v>
      </c>
      <c r="F907" s="6" t="s">
        <v>39</v>
      </c>
      <c r="G907" s="6" t="s">
        <v>58</v>
      </c>
      <c r="H907" s="8">
        <v>16124</v>
      </c>
      <c r="I907" s="8">
        <f t="shared" si="58"/>
        <v>4837.2</v>
      </c>
      <c r="J907" s="8">
        <f t="shared" si="59"/>
        <v>11286.8</v>
      </c>
      <c r="K907" s="8">
        <v>3423</v>
      </c>
      <c r="L907" s="6">
        <v>7</v>
      </c>
      <c r="M907" s="22" t="str" cm="1">
        <f t="array" ref="M907">_xlfn.IFS(L907&gt;10,"Veteran",L907&gt;=6,"Experienced",L907&gt;=2,"Developing",L907&gt;=0,"New")</f>
        <v>Experienced</v>
      </c>
    </row>
    <row r="908" spans="1:13">
      <c r="A908" s="21" t="str">
        <f t="shared" ca="1" si="56"/>
        <v>Re-Res-2025-907</v>
      </c>
      <c r="B908" s="6">
        <v>34</v>
      </c>
      <c r="C908" s="6" t="str">
        <f t="shared" si="57"/>
        <v>30-39</v>
      </c>
      <c r="D908" s="6" t="s">
        <v>43</v>
      </c>
      <c r="E908" s="6" t="s">
        <v>45</v>
      </c>
      <c r="F908" s="6" t="s">
        <v>39</v>
      </c>
      <c r="G908" s="6" t="s">
        <v>47</v>
      </c>
      <c r="H908" s="8">
        <v>2585</v>
      </c>
      <c r="I908" s="8">
        <f t="shared" si="58"/>
        <v>180.95000000000002</v>
      </c>
      <c r="J908" s="8">
        <f t="shared" si="59"/>
        <v>2404.0500000000002</v>
      </c>
      <c r="K908" s="8">
        <v>21643</v>
      </c>
      <c r="L908" s="6">
        <v>1</v>
      </c>
      <c r="M908" s="22" t="str" cm="1">
        <f t="array" ref="M908">_xlfn.IFS(L908&gt;10,"Veteran",L908&gt;=6,"Experienced",L908&gt;=2,"Developing",L908&gt;=0,"New")</f>
        <v>New</v>
      </c>
    </row>
    <row r="909" spans="1:13">
      <c r="A909" s="21" t="str">
        <f t="shared" ca="1" si="56"/>
        <v>Ma-Sal-2004-908</v>
      </c>
      <c r="B909" s="6">
        <v>44</v>
      </c>
      <c r="C909" s="6" t="str">
        <f t="shared" si="57"/>
        <v>40-49</v>
      </c>
      <c r="D909" s="6" t="s">
        <v>43</v>
      </c>
      <c r="E909" s="6" t="s">
        <v>37</v>
      </c>
      <c r="F909" s="6" t="s">
        <v>46</v>
      </c>
      <c r="G909" s="6" t="s">
        <v>56</v>
      </c>
      <c r="H909" s="8">
        <v>18213</v>
      </c>
      <c r="I909" s="8">
        <f t="shared" si="58"/>
        <v>5463.9</v>
      </c>
      <c r="J909" s="8">
        <f t="shared" si="59"/>
        <v>12749.1</v>
      </c>
      <c r="K909" s="8">
        <v>8751</v>
      </c>
      <c r="L909" s="6">
        <v>22</v>
      </c>
      <c r="M909" s="22" t="str" cm="1">
        <f t="array" ref="M909">_xlfn.IFS(L909&gt;10,"Veteran",L909&gt;=6,"Experienced",L909&gt;=2,"Developing",L909&gt;=0,"New")</f>
        <v>Veteran</v>
      </c>
    </row>
    <row r="910" spans="1:13">
      <c r="A910" s="21" t="str">
        <f t="shared" ca="1" si="56"/>
        <v>Sa-Sal-2017-909</v>
      </c>
      <c r="B910" s="6">
        <v>33</v>
      </c>
      <c r="C910" s="6" t="str">
        <f t="shared" si="57"/>
        <v>30-39</v>
      </c>
      <c r="D910" s="6" t="s">
        <v>43</v>
      </c>
      <c r="E910" s="6" t="s">
        <v>37</v>
      </c>
      <c r="F910" s="6" t="s">
        <v>46</v>
      </c>
      <c r="G910" s="6" t="s">
        <v>40</v>
      </c>
      <c r="H910" s="8">
        <v>8380</v>
      </c>
      <c r="I910" s="8">
        <f t="shared" si="58"/>
        <v>1843.6</v>
      </c>
      <c r="J910" s="8">
        <f t="shared" si="59"/>
        <v>6536.4</v>
      </c>
      <c r="K910" s="8">
        <v>21708</v>
      </c>
      <c r="L910" s="6">
        <v>9</v>
      </c>
      <c r="M910" s="22" t="str" cm="1">
        <f t="array" ref="M910">_xlfn.IFS(L910&gt;10,"Veteran",L910&gt;=6,"Experienced",L910&gt;=2,"Developing",L910&gt;=0,"New")</f>
        <v>Experienced</v>
      </c>
    </row>
    <row r="911" spans="1:13">
      <c r="A911" s="21" t="str">
        <f t="shared" ca="1" si="56"/>
        <v>Re-Res-2025-910</v>
      </c>
      <c r="B911" s="6">
        <v>19</v>
      </c>
      <c r="C911" s="6" t="str">
        <f t="shared" si="57"/>
        <v>20-29</v>
      </c>
      <c r="D911" s="6" t="s">
        <v>43</v>
      </c>
      <c r="E911" s="6" t="s">
        <v>45</v>
      </c>
      <c r="F911" s="6" t="s">
        <v>39</v>
      </c>
      <c r="G911" s="6" t="s">
        <v>47</v>
      </c>
      <c r="H911" s="8">
        <v>2994</v>
      </c>
      <c r="I911" s="8">
        <f t="shared" si="58"/>
        <v>209.58</v>
      </c>
      <c r="J911" s="8">
        <f t="shared" si="59"/>
        <v>2784.42</v>
      </c>
      <c r="K911" s="8">
        <v>21221</v>
      </c>
      <c r="L911" s="6">
        <v>1</v>
      </c>
      <c r="M911" s="22" t="str" cm="1">
        <f t="array" ref="M911">_xlfn.IFS(L911&gt;10,"Veteran",L911&gt;=6,"Experienced",L911&gt;=2,"Developing",L911&gt;=0,"New")</f>
        <v>New</v>
      </c>
    </row>
    <row r="912" spans="1:13">
      <c r="A912" s="21" t="str">
        <f t="shared" ca="1" si="56"/>
        <v>Re-Res-2025-911</v>
      </c>
      <c r="B912" s="6">
        <v>23</v>
      </c>
      <c r="C912" s="6" t="str">
        <f t="shared" si="57"/>
        <v>20-29</v>
      </c>
      <c r="D912" s="6" t="s">
        <v>43</v>
      </c>
      <c r="E912" s="6" t="s">
        <v>45</v>
      </c>
      <c r="F912" s="6" t="s">
        <v>46</v>
      </c>
      <c r="G912" s="6" t="s">
        <v>47</v>
      </c>
      <c r="H912" s="8">
        <v>1223</v>
      </c>
      <c r="I912" s="8">
        <f t="shared" si="58"/>
        <v>85.610000000000014</v>
      </c>
      <c r="J912" s="8">
        <f t="shared" si="59"/>
        <v>1137.3899999999999</v>
      </c>
      <c r="K912" s="8">
        <v>16901</v>
      </c>
      <c r="L912" s="6">
        <v>1</v>
      </c>
      <c r="M912" s="22" t="str" cm="1">
        <f t="array" ref="M912">_xlfn.IFS(L912&gt;10,"Veteran",L912&gt;=6,"Experienced",L912&gt;=2,"Developing",L912&gt;=0,"New")</f>
        <v>New</v>
      </c>
    </row>
    <row r="913" spans="1:13">
      <c r="A913" s="21" t="str">
        <f t="shared" ca="1" si="56"/>
        <v>Sa-Sal-2025-912</v>
      </c>
      <c r="B913" s="6">
        <v>25</v>
      </c>
      <c r="C913" s="6" t="str">
        <f t="shared" si="57"/>
        <v>20-29</v>
      </c>
      <c r="D913" s="6" t="s">
        <v>35</v>
      </c>
      <c r="E913" s="6" t="s">
        <v>37</v>
      </c>
      <c r="F913" s="6" t="s">
        <v>46</v>
      </c>
      <c r="G913" s="6" t="s">
        <v>57</v>
      </c>
      <c r="H913" s="8">
        <v>1118</v>
      </c>
      <c r="I913" s="8">
        <f t="shared" si="58"/>
        <v>78.260000000000005</v>
      </c>
      <c r="J913" s="8">
        <f t="shared" si="59"/>
        <v>1039.74</v>
      </c>
      <c r="K913" s="8">
        <v>8040</v>
      </c>
      <c r="L913" s="6">
        <v>1</v>
      </c>
      <c r="M913" s="22" t="str" cm="1">
        <f t="array" ref="M913">_xlfn.IFS(L913&gt;10,"Veteran",L913&gt;=6,"Experienced",L913&gt;=2,"Developing",L913&gt;=0,"New")</f>
        <v>New</v>
      </c>
    </row>
    <row r="914" spans="1:13">
      <c r="A914" s="21" t="str">
        <f t="shared" ca="1" si="56"/>
        <v>Re-Res-2018-913</v>
      </c>
      <c r="B914" s="6">
        <v>26</v>
      </c>
      <c r="C914" s="6" t="str">
        <f t="shared" si="57"/>
        <v>20-29</v>
      </c>
      <c r="D914" s="6" t="s">
        <v>43</v>
      </c>
      <c r="E914" s="6" t="s">
        <v>45</v>
      </c>
      <c r="F914" s="6" t="s">
        <v>46</v>
      </c>
      <c r="G914" s="6" t="s">
        <v>47</v>
      </c>
      <c r="H914" s="8">
        <v>2875</v>
      </c>
      <c r="I914" s="8">
        <f t="shared" si="58"/>
        <v>201.25000000000003</v>
      </c>
      <c r="J914" s="8">
        <f t="shared" si="59"/>
        <v>2673.75</v>
      </c>
      <c r="K914" s="8">
        <v>9973</v>
      </c>
      <c r="L914" s="6">
        <v>8</v>
      </c>
      <c r="M914" s="22" t="str" cm="1">
        <f t="array" ref="M914">_xlfn.IFS(L914&gt;10,"Veteran",L914&gt;=6,"Experienced",L914&gt;=2,"Developing",L914&gt;=0,"New")</f>
        <v>Experienced</v>
      </c>
    </row>
    <row r="915" spans="1:13">
      <c r="A915" s="21" t="str">
        <f t="shared" ca="1" si="56"/>
        <v>Ma-Sal-2002-914</v>
      </c>
      <c r="B915" s="6">
        <v>45</v>
      </c>
      <c r="C915" s="6" t="str">
        <f t="shared" si="57"/>
        <v>40-49</v>
      </c>
      <c r="D915" s="6" t="s">
        <v>35</v>
      </c>
      <c r="E915" s="6" t="s">
        <v>37</v>
      </c>
      <c r="F915" s="6" t="s">
        <v>39</v>
      </c>
      <c r="G915" s="6" t="s">
        <v>56</v>
      </c>
      <c r="H915" s="8">
        <v>18824</v>
      </c>
      <c r="I915" s="8">
        <f t="shared" si="58"/>
        <v>5647.2</v>
      </c>
      <c r="J915" s="8">
        <f t="shared" si="59"/>
        <v>13176.8</v>
      </c>
      <c r="K915" s="8">
        <v>2493</v>
      </c>
      <c r="L915" s="6">
        <v>24</v>
      </c>
      <c r="M915" s="22" t="str" cm="1">
        <f t="array" ref="M915">_xlfn.IFS(L915&gt;10,"Veteran",L915&gt;=6,"Experienced",L915&gt;=2,"Developing",L915&gt;=0,"New")</f>
        <v>Veteran</v>
      </c>
    </row>
    <row r="916" spans="1:13">
      <c r="A916" s="21" t="str">
        <f t="shared" ca="1" si="56"/>
        <v>He-Res-1993-915</v>
      </c>
      <c r="B916" s="6">
        <v>55</v>
      </c>
      <c r="C916" s="6" t="str">
        <f t="shared" si="57"/>
        <v>50+</v>
      </c>
      <c r="D916" s="6" t="s">
        <v>43</v>
      </c>
      <c r="E916" s="6" t="s">
        <v>45</v>
      </c>
      <c r="F916" s="6" t="s">
        <v>46</v>
      </c>
      <c r="G916" s="6" t="s">
        <v>54</v>
      </c>
      <c r="H916" s="8">
        <v>13577</v>
      </c>
      <c r="I916" s="8">
        <f t="shared" si="58"/>
        <v>4073.1</v>
      </c>
      <c r="J916" s="8">
        <f t="shared" si="59"/>
        <v>9503.9</v>
      </c>
      <c r="K916" s="8">
        <v>25592</v>
      </c>
      <c r="L916" s="6">
        <v>33</v>
      </c>
      <c r="M916" s="22" t="str" cm="1">
        <f t="array" ref="M916">_xlfn.IFS(L916&gt;10,"Veteran",L916&gt;=6,"Experienced",L916&gt;=2,"Developing",L916&gt;=0,"New")</f>
        <v>Veteran</v>
      </c>
    </row>
    <row r="917" spans="1:13">
      <c r="A917" s="21" t="str">
        <f t="shared" ca="1" si="56"/>
        <v>La-Res-2024-916</v>
      </c>
      <c r="B917" s="6">
        <v>21</v>
      </c>
      <c r="C917" s="6" t="str">
        <f t="shared" si="57"/>
        <v>20-29</v>
      </c>
      <c r="D917" s="6" t="s">
        <v>35</v>
      </c>
      <c r="E917" s="6" t="s">
        <v>45</v>
      </c>
      <c r="F917" s="6" t="s">
        <v>39</v>
      </c>
      <c r="G917" s="6" t="s">
        <v>50</v>
      </c>
      <c r="H917" s="8">
        <v>2625</v>
      </c>
      <c r="I917" s="8">
        <f t="shared" si="58"/>
        <v>183.75000000000003</v>
      </c>
      <c r="J917" s="8">
        <f t="shared" si="59"/>
        <v>2441.25</v>
      </c>
      <c r="K917" s="8">
        <v>25308</v>
      </c>
      <c r="L917" s="6">
        <v>2</v>
      </c>
      <c r="M917" s="22" t="str" cm="1">
        <f t="array" ref="M917">_xlfn.IFS(L917&gt;10,"Veteran",L917&gt;=6,"Experienced",L917&gt;=2,"Developing",L917&gt;=0,"New")</f>
        <v>Developing</v>
      </c>
    </row>
    <row r="918" spans="1:13">
      <c r="A918" s="21" t="str">
        <f t="shared" ca="1" si="56"/>
        <v>Ma-Sal-2015-917</v>
      </c>
      <c r="B918" s="6">
        <v>46</v>
      </c>
      <c r="C918" s="6" t="str">
        <f t="shared" si="57"/>
        <v>40-49</v>
      </c>
      <c r="D918" s="6" t="s">
        <v>43</v>
      </c>
      <c r="E918" s="6" t="s">
        <v>37</v>
      </c>
      <c r="F918" s="6" t="s">
        <v>39</v>
      </c>
      <c r="G918" s="6" t="s">
        <v>56</v>
      </c>
      <c r="H918" s="8">
        <v>18789</v>
      </c>
      <c r="I918" s="8">
        <f t="shared" si="58"/>
        <v>5636.7</v>
      </c>
      <c r="J918" s="8">
        <f t="shared" si="59"/>
        <v>13152.3</v>
      </c>
      <c r="K918" s="8">
        <v>9946</v>
      </c>
      <c r="L918" s="6">
        <v>11</v>
      </c>
      <c r="M918" s="22" t="str" cm="1">
        <f t="array" ref="M918">_xlfn.IFS(L918&gt;10,"Veteran",L918&gt;=6,"Experienced",L918&gt;=2,"Developing",L918&gt;=0,"New")</f>
        <v>Veteran</v>
      </c>
    </row>
    <row r="919" spans="1:13">
      <c r="A919" s="21" t="str">
        <f t="shared" ca="1" si="56"/>
        <v>Sa-Sal-2023-918</v>
      </c>
      <c r="B919" s="6">
        <v>34</v>
      </c>
      <c r="C919" s="6" t="str">
        <f t="shared" si="57"/>
        <v>30-39</v>
      </c>
      <c r="D919" s="6" t="s">
        <v>43</v>
      </c>
      <c r="E919" s="6" t="s">
        <v>37</v>
      </c>
      <c r="F919" s="6" t="s">
        <v>39</v>
      </c>
      <c r="G919" s="6" t="s">
        <v>40</v>
      </c>
      <c r="H919" s="8">
        <v>4538</v>
      </c>
      <c r="I919" s="8">
        <f t="shared" si="58"/>
        <v>680.69999999999993</v>
      </c>
      <c r="J919" s="8">
        <f t="shared" si="59"/>
        <v>3857.3</v>
      </c>
      <c r="K919" s="8">
        <v>6039</v>
      </c>
      <c r="L919" s="6">
        <v>3</v>
      </c>
      <c r="M919" s="22" t="str" cm="1">
        <f t="array" ref="M919">_xlfn.IFS(L919&gt;10,"Veteran",L919&gt;=6,"Experienced",L919&gt;=2,"Developing",L919&gt;=0,"New")</f>
        <v>Developing</v>
      </c>
    </row>
    <row r="920" spans="1:13">
      <c r="A920" s="21" t="str">
        <f t="shared" ca="1" si="56"/>
        <v>Ma-Sal-1997-919</v>
      </c>
      <c r="B920" s="6">
        <v>51</v>
      </c>
      <c r="C920" s="6" t="str">
        <f t="shared" si="57"/>
        <v>50+</v>
      </c>
      <c r="D920" s="6" t="s">
        <v>43</v>
      </c>
      <c r="E920" s="6" t="s">
        <v>37</v>
      </c>
      <c r="F920" s="6" t="s">
        <v>46</v>
      </c>
      <c r="G920" s="6" t="s">
        <v>56</v>
      </c>
      <c r="H920" s="8">
        <v>19847</v>
      </c>
      <c r="I920" s="8">
        <f t="shared" si="58"/>
        <v>5954.0999999999995</v>
      </c>
      <c r="J920" s="8">
        <f t="shared" si="59"/>
        <v>13892.900000000001</v>
      </c>
      <c r="K920" s="8">
        <v>19196</v>
      </c>
      <c r="L920" s="6">
        <v>29</v>
      </c>
      <c r="M920" s="22" t="str" cm="1">
        <f t="array" ref="M920">_xlfn.IFS(L920&gt;10,"Veteran",L920&gt;=6,"Experienced",L920&gt;=2,"Developing",L920&gt;=0,"New")</f>
        <v>Veteran</v>
      </c>
    </row>
    <row r="921" spans="1:13">
      <c r="A921" s="21" t="str">
        <f t="shared" ca="1" si="56"/>
        <v>Ma-Res-2017-920</v>
      </c>
      <c r="B921" s="6">
        <v>59</v>
      </c>
      <c r="C921" s="6" t="str">
        <f t="shared" si="57"/>
        <v>50+</v>
      </c>
      <c r="D921" s="6" t="s">
        <v>43</v>
      </c>
      <c r="E921" s="6" t="s">
        <v>45</v>
      </c>
      <c r="F921" s="6" t="s">
        <v>46</v>
      </c>
      <c r="G921" s="6" t="s">
        <v>53</v>
      </c>
      <c r="H921" s="8">
        <v>10512</v>
      </c>
      <c r="I921" s="8">
        <f t="shared" si="58"/>
        <v>2312.64</v>
      </c>
      <c r="J921" s="8">
        <f t="shared" si="59"/>
        <v>8199.36</v>
      </c>
      <c r="K921" s="8">
        <v>20002</v>
      </c>
      <c r="L921" s="6">
        <v>9</v>
      </c>
      <c r="M921" s="22" t="str" cm="1">
        <f t="array" ref="M921">_xlfn.IFS(L921&gt;10,"Veteran",L921&gt;=6,"Experienced",L921&gt;=2,"Developing",L921&gt;=0,"New")</f>
        <v>Experienced</v>
      </c>
    </row>
    <row r="922" spans="1:13">
      <c r="A922" s="21" t="str">
        <f t="shared" ca="1" si="56"/>
        <v>La-Res-2015-921</v>
      </c>
      <c r="B922" s="6">
        <v>34</v>
      </c>
      <c r="C922" s="6" t="str">
        <f t="shared" si="57"/>
        <v>30-39</v>
      </c>
      <c r="D922" s="6" t="s">
        <v>43</v>
      </c>
      <c r="E922" s="6" t="s">
        <v>45</v>
      </c>
      <c r="F922" s="6" t="s">
        <v>39</v>
      </c>
      <c r="G922" s="6" t="s">
        <v>50</v>
      </c>
      <c r="H922" s="8">
        <v>4444</v>
      </c>
      <c r="I922" s="8">
        <f t="shared" si="58"/>
        <v>666.6</v>
      </c>
      <c r="J922" s="8">
        <f t="shared" si="59"/>
        <v>3777.4</v>
      </c>
      <c r="K922" s="8">
        <v>22534</v>
      </c>
      <c r="L922" s="6">
        <v>11</v>
      </c>
      <c r="M922" s="22" t="str" cm="1">
        <f t="array" ref="M922">_xlfn.IFS(L922&gt;10,"Veteran",L922&gt;=6,"Experienced",L922&gt;=2,"Developing",L922&gt;=0,"New")</f>
        <v>Veteran</v>
      </c>
    </row>
    <row r="923" spans="1:13">
      <c r="A923" s="21" t="str">
        <f t="shared" ca="1" si="56"/>
        <v>La-Res-2022-922</v>
      </c>
      <c r="B923" s="6">
        <v>28</v>
      </c>
      <c r="C923" s="6" t="str">
        <f t="shared" si="57"/>
        <v>20-29</v>
      </c>
      <c r="D923" s="6" t="s">
        <v>43</v>
      </c>
      <c r="E923" s="6" t="s">
        <v>45</v>
      </c>
      <c r="F923" s="6" t="s">
        <v>46</v>
      </c>
      <c r="G923" s="6" t="s">
        <v>50</v>
      </c>
      <c r="H923" s="8">
        <v>2154</v>
      </c>
      <c r="I923" s="8">
        <f t="shared" si="58"/>
        <v>150.78</v>
      </c>
      <c r="J923" s="8">
        <f t="shared" si="59"/>
        <v>2003.22</v>
      </c>
      <c r="K923" s="8">
        <v>6842</v>
      </c>
      <c r="L923" s="6">
        <v>4</v>
      </c>
      <c r="M923" s="22" t="str" cm="1">
        <f t="array" ref="M923">_xlfn.IFS(L923&gt;10,"Veteran",L923&gt;=6,"Experienced",L923&gt;=2,"Developing",L923&gt;=0,"New")</f>
        <v>Developing</v>
      </c>
    </row>
    <row r="924" spans="1:13">
      <c r="A924" s="21" t="str">
        <f t="shared" ca="1" si="56"/>
        <v>Ma-Res-2001-923</v>
      </c>
      <c r="B924" s="6">
        <v>44</v>
      </c>
      <c r="C924" s="6" t="str">
        <f t="shared" si="57"/>
        <v>40-49</v>
      </c>
      <c r="D924" s="6" t="s">
        <v>43</v>
      </c>
      <c r="E924" s="6" t="s">
        <v>45</v>
      </c>
      <c r="F924" s="6" t="s">
        <v>46</v>
      </c>
      <c r="G924" s="6" t="s">
        <v>56</v>
      </c>
      <c r="H924" s="8">
        <v>19190</v>
      </c>
      <c r="I924" s="8">
        <f t="shared" si="58"/>
        <v>5757</v>
      </c>
      <c r="J924" s="8">
        <f t="shared" si="59"/>
        <v>13433</v>
      </c>
      <c r="K924" s="8">
        <v>17477</v>
      </c>
      <c r="L924" s="6">
        <v>25</v>
      </c>
      <c r="M924" s="22" t="str" cm="1">
        <f t="array" ref="M924">_xlfn.IFS(L924&gt;10,"Veteran",L924&gt;=6,"Experienced",L924&gt;=2,"Developing",L924&gt;=0,"New")</f>
        <v>Veteran</v>
      </c>
    </row>
    <row r="925" spans="1:13">
      <c r="A925" s="21" t="str">
        <f t="shared" ca="1" si="56"/>
        <v>Hu-Hum-2016-924</v>
      </c>
      <c r="B925" s="6">
        <v>34</v>
      </c>
      <c r="C925" s="6" t="str">
        <f t="shared" si="57"/>
        <v>30-39</v>
      </c>
      <c r="D925" s="6" t="s">
        <v>43</v>
      </c>
      <c r="E925" s="6" t="s">
        <v>61</v>
      </c>
      <c r="F925" s="6" t="s">
        <v>46</v>
      </c>
      <c r="G925" s="6" t="s">
        <v>61</v>
      </c>
      <c r="H925" s="8">
        <v>4490</v>
      </c>
      <c r="I925" s="8">
        <f t="shared" si="58"/>
        <v>673.5</v>
      </c>
      <c r="J925" s="8">
        <f t="shared" si="59"/>
        <v>3816.5</v>
      </c>
      <c r="K925" s="8">
        <v>21833</v>
      </c>
      <c r="L925" s="6">
        <v>10</v>
      </c>
      <c r="M925" s="22" t="str" cm="1">
        <f t="array" ref="M925">_xlfn.IFS(L925&gt;10,"Veteran",L925&gt;=6,"Experienced",L925&gt;=2,"Developing",L925&gt;=0,"New")</f>
        <v>Experienced</v>
      </c>
    </row>
    <row r="926" spans="1:13">
      <c r="A926" s="21" t="str">
        <f t="shared" ca="1" si="56"/>
        <v>Re-Res-2023-925</v>
      </c>
      <c r="B926" s="6">
        <v>35</v>
      </c>
      <c r="C926" s="6" t="str">
        <f t="shared" si="57"/>
        <v>30-39</v>
      </c>
      <c r="D926" s="6" t="s">
        <v>43</v>
      </c>
      <c r="E926" s="6" t="s">
        <v>45</v>
      </c>
      <c r="F926" s="6" t="s">
        <v>46</v>
      </c>
      <c r="G926" s="6" t="s">
        <v>47</v>
      </c>
      <c r="H926" s="8">
        <v>3506</v>
      </c>
      <c r="I926" s="8">
        <f t="shared" si="58"/>
        <v>525.9</v>
      </c>
      <c r="J926" s="8">
        <f t="shared" si="59"/>
        <v>2980.1</v>
      </c>
      <c r="K926" s="8">
        <v>6020</v>
      </c>
      <c r="L926" s="6">
        <v>3</v>
      </c>
      <c r="M926" s="22" t="str" cm="1">
        <f t="array" ref="M926">_xlfn.IFS(L926&gt;10,"Veteran",L926&gt;=6,"Experienced",L926&gt;=2,"Developing",L926&gt;=0,"New")</f>
        <v>Developing</v>
      </c>
    </row>
    <row r="927" spans="1:13">
      <c r="A927" s="21" t="str">
        <f t="shared" ca="1" si="56"/>
        <v>Re-Res-2025-926</v>
      </c>
      <c r="B927" s="6">
        <v>42</v>
      </c>
      <c r="C927" s="6" t="str">
        <f t="shared" si="57"/>
        <v>40-49</v>
      </c>
      <c r="D927" s="6" t="s">
        <v>43</v>
      </c>
      <c r="E927" s="6" t="s">
        <v>45</v>
      </c>
      <c r="F927" s="6" t="s">
        <v>39</v>
      </c>
      <c r="G927" s="6" t="s">
        <v>47</v>
      </c>
      <c r="H927" s="8">
        <v>2372</v>
      </c>
      <c r="I927" s="8">
        <f t="shared" si="58"/>
        <v>166.04000000000002</v>
      </c>
      <c r="J927" s="8">
        <f t="shared" si="59"/>
        <v>2205.96</v>
      </c>
      <c r="K927" s="8">
        <v>5628</v>
      </c>
      <c r="L927" s="6">
        <v>1</v>
      </c>
      <c r="M927" s="22" t="str" cm="1">
        <f t="array" ref="M927">_xlfn.IFS(L927&gt;10,"Veteran",L927&gt;=6,"Experienced",L927&gt;=2,"Developing",L927&gt;=0,"New")</f>
        <v>New</v>
      </c>
    </row>
    <row r="928" spans="1:13">
      <c r="A928" s="21" t="str">
        <f t="shared" ca="1" si="56"/>
        <v>Sa-Sal-2005-927</v>
      </c>
      <c r="B928" s="6">
        <v>43</v>
      </c>
      <c r="C928" s="6" t="str">
        <f t="shared" si="57"/>
        <v>40-49</v>
      </c>
      <c r="D928" s="6" t="s">
        <v>43</v>
      </c>
      <c r="E928" s="6" t="s">
        <v>37</v>
      </c>
      <c r="F928" s="6" t="s">
        <v>39</v>
      </c>
      <c r="G928" s="6" t="s">
        <v>40</v>
      </c>
      <c r="H928" s="8">
        <v>10231</v>
      </c>
      <c r="I928" s="8">
        <f t="shared" si="58"/>
        <v>2250.8200000000002</v>
      </c>
      <c r="J928" s="8">
        <f t="shared" si="59"/>
        <v>7980.18</v>
      </c>
      <c r="K928" s="8">
        <v>20364</v>
      </c>
      <c r="L928" s="6">
        <v>21</v>
      </c>
      <c r="M928" s="22" t="str" cm="1">
        <f t="array" ref="M928">_xlfn.IFS(L928&gt;10,"Veteran",L928&gt;=6,"Experienced",L928&gt;=2,"Developing",L928&gt;=0,"New")</f>
        <v>Veteran</v>
      </c>
    </row>
    <row r="929" spans="1:13">
      <c r="A929" s="21" t="str">
        <f t="shared" ca="1" si="56"/>
        <v>Ma-Res-2010-928</v>
      </c>
      <c r="B929" s="6">
        <v>36</v>
      </c>
      <c r="C929" s="6" t="str">
        <f t="shared" si="57"/>
        <v>30-39</v>
      </c>
      <c r="D929" s="6" t="s">
        <v>43</v>
      </c>
      <c r="E929" s="6" t="s">
        <v>45</v>
      </c>
      <c r="F929" s="6" t="s">
        <v>39</v>
      </c>
      <c r="G929" s="6" t="s">
        <v>53</v>
      </c>
      <c r="H929" s="8">
        <v>5410</v>
      </c>
      <c r="I929" s="8">
        <f t="shared" si="58"/>
        <v>811.5</v>
      </c>
      <c r="J929" s="8">
        <f t="shared" si="59"/>
        <v>4598.5</v>
      </c>
      <c r="K929" s="8">
        <v>2323</v>
      </c>
      <c r="L929" s="6">
        <v>16</v>
      </c>
      <c r="M929" s="22" t="str" cm="1">
        <f t="array" ref="M929">_xlfn.IFS(L929&gt;10,"Veteran",L929&gt;=6,"Experienced",L929&gt;=2,"Developing",L929&gt;=0,"New")</f>
        <v>Veteran</v>
      </c>
    </row>
    <row r="930" spans="1:13">
      <c r="A930" s="21" t="str">
        <f t="shared" ca="1" si="56"/>
        <v>He-Res-2016-929</v>
      </c>
      <c r="B930" s="6">
        <v>44</v>
      </c>
      <c r="C930" s="6" t="str">
        <f t="shared" si="57"/>
        <v>40-49</v>
      </c>
      <c r="D930" s="6" t="s">
        <v>35</v>
      </c>
      <c r="E930" s="6" t="s">
        <v>45</v>
      </c>
      <c r="F930" s="6" t="s">
        <v>39</v>
      </c>
      <c r="G930" s="6" t="s">
        <v>54</v>
      </c>
      <c r="H930" s="8">
        <v>7978</v>
      </c>
      <c r="I930" s="8">
        <f t="shared" si="58"/>
        <v>1755.16</v>
      </c>
      <c r="J930" s="8">
        <f t="shared" si="59"/>
        <v>6222.84</v>
      </c>
      <c r="K930" s="8">
        <v>14075</v>
      </c>
      <c r="L930" s="6">
        <v>10</v>
      </c>
      <c r="M930" s="22" t="str" cm="1">
        <f t="array" ref="M930">_xlfn.IFS(L930&gt;10,"Veteran",L930&gt;=6,"Experienced",L930&gt;=2,"Developing",L930&gt;=0,"New")</f>
        <v>Experienced</v>
      </c>
    </row>
    <row r="931" spans="1:13">
      <c r="A931" s="21" t="str">
        <f t="shared" ca="1" si="56"/>
        <v>La-Res-2024-930</v>
      </c>
      <c r="B931" s="6">
        <v>28</v>
      </c>
      <c r="C931" s="6" t="str">
        <f t="shared" si="57"/>
        <v>20-29</v>
      </c>
      <c r="D931" s="6" t="s">
        <v>43</v>
      </c>
      <c r="E931" s="6" t="s">
        <v>45</v>
      </c>
      <c r="F931" s="6" t="s">
        <v>46</v>
      </c>
      <c r="G931" s="6" t="s">
        <v>50</v>
      </c>
      <c r="H931" s="8">
        <v>3867</v>
      </c>
      <c r="I931" s="8">
        <f t="shared" si="58"/>
        <v>580.04999999999995</v>
      </c>
      <c r="J931" s="8">
        <f t="shared" si="59"/>
        <v>3286.95</v>
      </c>
      <c r="K931" s="8">
        <v>14222</v>
      </c>
      <c r="L931" s="6">
        <v>2</v>
      </c>
      <c r="M931" s="22" t="str" cm="1">
        <f t="array" ref="M931">_xlfn.IFS(L931&gt;10,"Veteran",L931&gt;=6,"Experienced",L931&gt;=2,"Developing",L931&gt;=0,"New")</f>
        <v>Developing</v>
      </c>
    </row>
    <row r="932" spans="1:13">
      <c r="A932" s="21" t="str">
        <f t="shared" ca="1" si="56"/>
        <v>La-Res-2019-931</v>
      </c>
      <c r="B932" s="6">
        <v>51</v>
      </c>
      <c r="C932" s="6" t="str">
        <f t="shared" si="57"/>
        <v>50+</v>
      </c>
      <c r="D932" s="6" t="s">
        <v>43</v>
      </c>
      <c r="E932" s="6" t="s">
        <v>45</v>
      </c>
      <c r="F932" s="6" t="s">
        <v>39</v>
      </c>
      <c r="G932" s="6" t="s">
        <v>50</v>
      </c>
      <c r="H932" s="8">
        <v>2838</v>
      </c>
      <c r="I932" s="8">
        <f t="shared" si="58"/>
        <v>198.66000000000003</v>
      </c>
      <c r="J932" s="8">
        <f t="shared" si="59"/>
        <v>2639.34</v>
      </c>
      <c r="K932" s="8">
        <v>4257</v>
      </c>
      <c r="L932" s="6">
        <v>7</v>
      </c>
      <c r="M932" s="22" t="str" cm="1">
        <f t="array" ref="M932">_xlfn.IFS(L932&gt;10,"Veteran",L932&gt;=6,"Experienced",L932&gt;=2,"Developing",L932&gt;=0,"New")</f>
        <v>Experienced</v>
      </c>
    </row>
    <row r="933" spans="1:13">
      <c r="A933" s="21" t="str">
        <f t="shared" ca="1" si="56"/>
        <v>Ma-Res-2018-932</v>
      </c>
      <c r="B933" s="6">
        <v>30</v>
      </c>
      <c r="C933" s="6" t="str">
        <f t="shared" si="57"/>
        <v>30-39</v>
      </c>
      <c r="D933" s="6" t="s">
        <v>43</v>
      </c>
      <c r="E933" s="6" t="s">
        <v>45</v>
      </c>
      <c r="F933" s="6" t="s">
        <v>39</v>
      </c>
      <c r="G933" s="6" t="s">
        <v>53</v>
      </c>
      <c r="H933" s="8">
        <v>4695</v>
      </c>
      <c r="I933" s="8">
        <f t="shared" si="58"/>
        <v>704.25</v>
      </c>
      <c r="J933" s="8">
        <f t="shared" si="59"/>
        <v>3990.75</v>
      </c>
      <c r="K933" s="8">
        <v>12858</v>
      </c>
      <c r="L933" s="6">
        <v>8</v>
      </c>
      <c r="M933" s="22" t="str" cm="1">
        <f t="array" ref="M933">_xlfn.IFS(L933&gt;10,"Veteran",L933&gt;=6,"Experienced",L933&gt;=2,"Developing",L933&gt;=0,"New")</f>
        <v>Experienced</v>
      </c>
    </row>
    <row r="934" spans="1:13">
      <c r="A934" s="21" t="str">
        <f t="shared" ca="1" si="56"/>
        <v>La-Res-2019-933</v>
      </c>
      <c r="B934" s="6">
        <v>29</v>
      </c>
      <c r="C934" s="6" t="str">
        <f t="shared" si="57"/>
        <v>20-29</v>
      </c>
      <c r="D934" s="6" t="s">
        <v>35</v>
      </c>
      <c r="E934" s="6" t="s">
        <v>45</v>
      </c>
      <c r="F934" s="6" t="s">
        <v>39</v>
      </c>
      <c r="G934" s="6" t="s">
        <v>50</v>
      </c>
      <c r="H934" s="8">
        <v>3339</v>
      </c>
      <c r="I934" s="8">
        <f t="shared" si="58"/>
        <v>500.84999999999997</v>
      </c>
      <c r="J934" s="8">
        <f t="shared" si="59"/>
        <v>2838.15</v>
      </c>
      <c r="K934" s="8">
        <v>17285</v>
      </c>
      <c r="L934" s="6">
        <v>7</v>
      </c>
      <c r="M934" s="22" t="str" cm="1">
        <f t="array" ref="M934">_xlfn.IFS(L934&gt;10,"Veteran",L934&gt;=6,"Experienced",L934&gt;=2,"Developing",L934&gt;=0,"New")</f>
        <v>Experienced</v>
      </c>
    </row>
    <row r="935" spans="1:13">
      <c r="A935" s="21" t="str">
        <f t="shared" ca="1" si="56"/>
        <v>Re-Res-2023-934</v>
      </c>
      <c r="B935" s="6">
        <v>28</v>
      </c>
      <c r="C935" s="6" t="str">
        <f t="shared" si="57"/>
        <v>20-29</v>
      </c>
      <c r="D935" s="6" t="s">
        <v>43</v>
      </c>
      <c r="E935" s="6" t="s">
        <v>45</v>
      </c>
      <c r="F935" s="6" t="s">
        <v>46</v>
      </c>
      <c r="G935" s="6" t="s">
        <v>47</v>
      </c>
      <c r="H935" s="8">
        <v>2080</v>
      </c>
      <c r="I935" s="8">
        <f t="shared" si="58"/>
        <v>145.60000000000002</v>
      </c>
      <c r="J935" s="8">
        <f t="shared" si="59"/>
        <v>1934.4</v>
      </c>
      <c r="K935" s="8">
        <v>4732</v>
      </c>
      <c r="L935" s="6">
        <v>3</v>
      </c>
      <c r="M935" s="22" t="str" cm="1">
        <f t="array" ref="M935">_xlfn.IFS(L935&gt;10,"Veteran",L935&gt;=6,"Experienced",L935&gt;=2,"Developing",L935&gt;=0,"New")</f>
        <v>Developing</v>
      </c>
    </row>
    <row r="936" spans="1:13">
      <c r="A936" s="21" t="str">
        <f t="shared" ca="1" si="56"/>
        <v>Re-Res-2024-935</v>
      </c>
      <c r="B936" s="6">
        <v>25</v>
      </c>
      <c r="C936" s="6" t="str">
        <f t="shared" si="57"/>
        <v>20-29</v>
      </c>
      <c r="D936" s="6" t="s">
        <v>43</v>
      </c>
      <c r="E936" s="6" t="s">
        <v>45</v>
      </c>
      <c r="F936" s="6" t="s">
        <v>39</v>
      </c>
      <c r="G936" s="6" t="s">
        <v>47</v>
      </c>
      <c r="H936" s="8">
        <v>2096</v>
      </c>
      <c r="I936" s="8">
        <f t="shared" si="58"/>
        <v>146.72000000000003</v>
      </c>
      <c r="J936" s="8">
        <f t="shared" si="59"/>
        <v>1949.28</v>
      </c>
      <c r="K936" s="8">
        <v>18830</v>
      </c>
      <c r="L936" s="6">
        <v>2</v>
      </c>
      <c r="M936" s="22" t="str" cm="1">
        <f t="array" ref="M936">_xlfn.IFS(L936&gt;10,"Veteran",L936&gt;=6,"Experienced",L936&gt;=2,"Developing",L936&gt;=0,"New")</f>
        <v>Developing</v>
      </c>
    </row>
    <row r="937" spans="1:13">
      <c r="A937" s="21" t="str">
        <f t="shared" ca="1" si="56"/>
        <v>Sa-Sal-2016-936</v>
      </c>
      <c r="B937" s="6">
        <v>32</v>
      </c>
      <c r="C937" s="6" t="str">
        <f t="shared" si="57"/>
        <v>30-39</v>
      </c>
      <c r="D937" s="6" t="s">
        <v>43</v>
      </c>
      <c r="E937" s="6" t="s">
        <v>37</v>
      </c>
      <c r="F937" s="6" t="s">
        <v>46</v>
      </c>
      <c r="G937" s="6" t="s">
        <v>40</v>
      </c>
      <c r="H937" s="8">
        <v>6209</v>
      </c>
      <c r="I937" s="8">
        <f t="shared" si="58"/>
        <v>931.34999999999991</v>
      </c>
      <c r="J937" s="8">
        <f t="shared" si="59"/>
        <v>5277.65</v>
      </c>
      <c r="K937" s="8">
        <v>11693</v>
      </c>
      <c r="L937" s="6">
        <v>10</v>
      </c>
      <c r="M937" s="22" t="str" cm="1">
        <f t="array" ref="M937">_xlfn.IFS(L937&gt;10,"Veteran",L937&gt;=6,"Experienced",L937&gt;=2,"Developing",L937&gt;=0,"New")</f>
        <v>Experienced</v>
      </c>
    </row>
    <row r="938" spans="1:13">
      <c r="A938" s="21" t="str">
        <f t="shared" ca="1" si="56"/>
        <v>Ma-Res-2026-937</v>
      </c>
      <c r="B938" s="6">
        <v>45</v>
      </c>
      <c r="C938" s="6" t="str">
        <f t="shared" si="57"/>
        <v>40-49</v>
      </c>
      <c r="D938" s="6" t="s">
        <v>43</v>
      </c>
      <c r="E938" s="6" t="s">
        <v>45</v>
      </c>
      <c r="F938" s="6" t="s">
        <v>39</v>
      </c>
      <c r="G938" s="6" t="s">
        <v>56</v>
      </c>
      <c r="H938" s="8">
        <v>18061</v>
      </c>
      <c r="I938" s="8">
        <f t="shared" si="58"/>
        <v>5418.3</v>
      </c>
      <c r="J938" s="8">
        <f t="shared" si="59"/>
        <v>12642.7</v>
      </c>
      <c r="K938" s="8">
        <v>13035</v>
      </c>
      <c r="L938" s="6">
        <v>0</v>
      </c>
      <c r="M938" s="22" t="str" cm="1">
        <f t="array" ref="M938">_xlfn.IFS(L938&gt;10,"Veteran",L938&gt;=6,"Experienced",L938&gt;=2,"Developing",L938&gt;=0,"New")</f>
        <v>New</v>
      </c>
    </row>
    <row r="939" spans="1:13">
      <c r="A939" s="21" t="str">
        <f t="shared" ca="1" si="56"/>
        <v>Ma-Res-2007-938</v>
      </c>
      <c r="B939" s="6">
        <v>39</v>
      </c>
      <c r="C939" s="6" t="str">
        <f t="shared" si="57"/>
        <v>30-39</v>
      </c>
      <c r="D939" s="6" t="s">
        <v>43</v>
      </c>
      <c r="E939" s="6" t="s">
        <v>45</v>
      </c>
      <c r="F939" s="6" t="s">
        <v>39</v>
      </c>
      <c r="G939" s="6" t="s">
        <v>56</v>
      </c>
      <c r="H939" s="8">
        <v>17123</v>
      </c>
      <c r="I939" s="8">
        <f t="shared" si="58"/>
        <v>5136.8999999999996</v>
      </c>
      <c r="J939" s="8">
        <f t="shared" si="59"/>
        <v>11986.1</v>
      </c>
      <c r="K939" s="8">
        <v>17334</v>
      </c>
      <c r="L939" s="6">
        <v>19</v>
      </c>
      <c r="M939" s="22" t="str" cm="1">
        <f t="array" ref="M939">_xlfn.IFS(L939&gt;10,"Veteran",L939&gt;=6,"Experienced",L939&gt;=2,"Developing",L939&gt;=0,"New")</f>
        <v>Veteran</v>
      </c>
    </row>
    <row r="940" spans="1:13">
      <c r="A940" s="21" t="str">
        <f t="shared" ca="1" si="56"/>
        <v>Re-Res-2024-939</v>
      </c>
      <c r="B940" s="6">
        <v>58</v>
      </c>
      <c r="C940" s="6" t="str">
        <f t="shared" si="57"/>
        <v>50+</v>
      </c>
      <c r="D940" s="6" t="s">
        <v>43</v>
      </c>
      <c r="E940" s="6" t="s">
        <v>45</v>
      </c>
      <c r="F940" s="6" t="s">
        <v>46</v>
      </c>
      <c r="G940" s="6" t="s">
        <v>47</v>
      </c>
      <c r="H940" s="8">
        <v>2372</v>
      </c>
      <c r="I940" s="8">
        <f t="shared" si="58"/>
        <v>166.04000000000002</v>
      </c>
      <c r="J940" s="8">
        <f t="shared" si="59"/>
        <v>2205.96</v>
      </c>
      <c r="K940" s="8">
        <v>26076</v>
      </c>
      <c r="L940" s="6">
        <v>2</v>
      </c>
      <c r="M940" s="22" t="str" cm="1">
        <f t="array" ref="M940">_xlfn.IFS(L940&gt;10,"Veteran",L940&gt;=6,"Experienced",L940&gt;=2,"Developing",L940&gt;=0,"New")</f>
        <v>Developing</v>
      </c>
    </row>
    <row r="941" spans="1:13">
      <c r="A941" s="21" t="str">
        <f t="shared" ca="1" si="56"/>
        <v>La-Res-2016-940</v>
      </c>
      <c r="B941" s="6">
        <v>32</v>
      </c>
      <c r="C941" s="6" t="str">
        <f t="shared" si="57"/>
        <v>30-39</v>
      </c>
      <c r="D941" s="6" t="s">
        <v>35</v>
      </c>
      <c r="E941" s="6" t="s">
        <v>45</v>
      </c>
      <c r="F941" s="6" t="s">
        <v>46</v>
      </c>
      <c r="G941" s="6" t="s">
        <v>50</v>
      </c>
      <c r="H941" s="8">
        <v>4883</v>
      </c>
      <c r="I941" s="8">
        <f t="shared" si="58"/>
        <v>732.44999999999993</v>
      </c>
      <c r="J941" s="8">
        <f t="shared" si="59"/>
        <v>4150.55</v>
      </c>
      <c r="K941" s="8">
        <v>22845</v>
      </c>
      <c r="L941" s="6">
        <v>10</v>
      </c>
      <c r="M941" s="22" t="str" cm="1">
        <f t="array" ref="M941">_xlfn.IFS(L941&gt;10,"Veteran",L941&gt;=6,"Experienced",L941&gt;=2,"Developing",L941&gt;=0,"New")</f>
        <v>Experienced</v>
      </c>
    </row>
    <row r="942" spans="1:13">
      <c r="A942" s="21" t="str">
        <f t="shared" ca="1" si="56"/>
        <v>Re-Res-2021-941</v>
      </c>
      <c r="B942" s="6">
        <v>39</v>
      </c>
      <c r="C942" s="6" t="str">
        <f t="shared" si="57"/>
        <v>30-39</v>
      </c>
      <c r="D942" s="6" t="s">
        <v>35</v>
      </c>
      <c r="E942" s="6" t="s">
        <v>45</v>
      </c>
      <c r="F942" s="6" t="s">
        <v>46</v>
      </c>
      <c r="G942" s="6" t="s">
        <v>47</v>
      </c>
      <c r="H942" s="8">
        <v>3904</v>
      </c>
      <c r="I942" s="8">
        <f t="shared" si="58"/>
        <v>585.6</v>
      </c>
      <c r="J942" s="8">
        <f t="shared" si="59"/>
        <v>3318.4</v>
      </c>
      <c r="K942" s="8">
        <v>22154</v>
      </c>
      <c r="L942" s="6">
        <v>5</v>
      </c>
      <c r="M942" s="22" t="str" cm="1">
        <f t="array" ref="M942">_xlfn.IFS(L942&gt;10,"Veteran",L942&gt;=6,"Experienced",L942&gt;=2,"Developing",L942&gt;=0,"New")</f>
        <v>Developing</v>
      </c>
    </row>
    <row r="943" spans="1:13">
      <c r="A943" s="21" t="str">
        <f t="shared" ca="1" si="56"/>
        <v>La-Res-2017-942</v>
      </c>
      <c r="B943" s="6">
        <v>30</v>
      </c>
      <c r="C943" s="6" t="str">
        <f t="shared" si="57"/>
        <v>30-39</v>
      </c>
      <c r="D943" s="6" t="s">
        <v>43</v>
      </c>
      <c r="E943" s="6" t="s">
        <v>45</v>
      </c>
      <c r="F943" s="6" t="s">
        <v>39</v>
      </c>
      <c r="G943" s="6" t="s">
        <v>50</v>
      </c>
      <c r="H943" s="8">
        <v>4627</v>
      </c>
      <c r="I943" s="8">
        <f t="shared" si="58"/>
        <v>694.05</v>
      </c>
      <c r="J943" s="8">
        <f t="shared" si="59"/>
        <v>3932.95</v>
      </c>
      <c r="K943" s="8">
        <v>23631</v>
      </c>
      <c r="L943" s="6">
        <v>9</v>
      </c>
      <c r="M943" s="22" t="str" cm="1">
        <f t="array" ref="M943">_xlfn.IFS(L943&gt;10,"Veteran",L943&gt;=6,"Experienced",L943&gt;=2,"Developing",L943&gt;=0,"New")</f>
        <v>Experienced</v>
      </c>
    </row>
    <row r="944" spans="1:13">
      <c r="A944" s="21" t="str">
        <f t="shared" ca="1" si="56"/>
        <v>He-Res-2019-943</v>
      </c>
      <c r="B944" s="6">
        <v>36</v>
      </c>
      <c r="C944" s="6" t="str">
        <f t="shared" si="57"/>
        <v>30-39</v>
      </c>
      <c r="D944" s="6" t="s">
        <v>43</v>
      </c>
      <c r="E944" s="6" t="s">
        <v>45</v>
      </c>
      <c r="F944" s="6" t="s">
        <v>39</v>
      </c>
      <c r="G944" s="6" t="s">
        <v>54</v>
      </c>
      <c r="H944" s="8">
        <v>7094</v>
      </c>
      <c r="I944" s="8">
        <f t="shared" si="58"/>
        <v>1560.68</v>
      </c>
      <c r="J944" s="8">
        <f t="shared" si="59"/>
        <v>5533.32</v>
      </c>
      <c r="K944" s="8">
        <v>5747</v>
      </c>
      <c r="L944" s="6">
        <v>7</v>
      </c>
      <c r="M944" s="22" t="str" cm="1">
        <f t="array" ref="M944">_xlfn.IFS(L944&gt;10,"Veteran",L944&gt;=6,"Experienced",L944&gt;=2,"Developing",L944&gt;=0,"New")</f>
        <v>Experienced</v>
      </c>
    </row>
    <row r="945" spans="1:13">
      <c r="A945" s="21" t="str">
        <f t="shared" ca="1" si="56"/>
        <v>Hu-Hum-2019-944</v>
      </c>
      <c r="B945" s="6">
        <v>46</v>
      </c>
      <c r="C945" s="6" t="str">
        <f t="shared" si="57"/>
        <v>40-49</v>
      </c>
      <c r="D945" s="6" t="s">
        <v>43</v>
      </c>
      <c r="E945" s="6" t="s">
        <v>61</v>
      </c>
      <c r="F945" s="6" t="s">
        <v>39</v>
      </c>
      <c r="G945" s="6" t="s">
        <v>61</v>
      </c>
      <c r="H945" s="8">
        <v>3423</v>
      </c>
      <c r="I945" s="8">
        <f t="shared" si="58"/>
        <v>513.44999999999993</v>
      </c>
      <c r="J945" s="8">
        <f t="shared" si="59"/>
        <v>2909.55</v>
      </c>
      <c r="K945" s="8">
        <v>22957</v>
      </c>
      <c r="L945" s="6">
        <v>7</v>
      </c>
      <c r="M945" s="22" t="str" cm="1">
        <f t="array" ref="M945">_xlfn.IFS(L945&gt;10,"Veteran",L945&gt;=6,"Experienced",L945&gt;=2,"Developing",L945&gt;=0,"New")</f>
        <v>Experienced</v>
      </c>
    </row>
    <row r="946" spans="1:13">
      <c r="A946" s="21" t="str">
        <f t="shared" ca="1" si="56"/>
        <v>La-Res-2017-945</v>
      </c>
      <c r="B946" s="6">
        <v>28</v>
      </c>
      <c r="C946" s="6" t="str">
        <f t="shared" si="57"/>
        <v>20-29</v>
      </c>
      <c r="D946" s="6" t="s">
        <v>43</v>
      </c>
      <c r="E946" s="6" t="s">
        <v>45</v>
      </c>
      <c r="F946" s="6" t="s">
        <v>39</v>
      </c>
      <c r="G946" s="6" t="s">
        <v>50</v>
      </c>
      <c r="H946" s="8">
        <v>6674</v>
      </c>
      <c r="I946" s="8">
        <f t="shared" si="58"/>
        <v>1001.0999999999999</v>
      </c>
      <c r="J946" s="8">
        <f t="shared" si="59"/>
        <v>5672.9</v>
      </c>
      <c r="K946" s="8">
        <v>16392</v>
      </c>
      <c r="L946" s="6">
        <v>9</v>
      </c>
      <c r="M946" s="22" t="str" cm="1">
        <f t="array" ref="M946">_xlfn.IFS(L946&gt;10,"Veteran",L946&gt;=6,"Experienced",L946&gt;=2,"Developing",L946&gt;=0,"New")</f>
        <v>Experienced</v>
      </c>
    </row>
    <row r="947" spans="1:13">
      <c r="A947" s="21" t="str">
        <f t="shared" ca="1" si="56"/>
        <v>Re-Res-2023-946</v>
      </c>
      <c r="B947" s="6">
        <v>50</v>
      </c>
      <c r="C947" s="6" t="str">
        <f t="shared" si="57"/>
        <v>50+</v>
      </c>
      <c r="D947" s="6" t="s">
        <v>43</v>
      </c>
      <c r="E947" s="6" t="s">
        <v>45</v>
      </c>
      <c r="F947" s="6" t="s">
        <v>39</v>
      </c>
      <c r="G947" s="6" t="s">
        <v>58</v>
      </c>
      <c r="H947" s="8">
        <v>16880</v>
      </c>
      <c r="I947" s="8">
        <f t="shared" si="58"/>
        <v>5064</v>
      </c>
      <c r="J947" s="8">
        <f t="shared" si="59"/>
        <v>11816</v>
      </c>
      <c r="K947" s="8">
        <v>22422</v>
      </c>
      <c r="L947" s="6">
        <v>3</v>
      </c>
      <c r="M947" s="22" t="str" cm="1">
        <f t="array" ref="M947">_xlfn.IFS(L947&gt;10,"Veteran",L947&gt;=6,"Experienced",L947&gt;=2,"Developing",L947&gt;=0,"New")</f>
        <v>Developing</v>
      </c>
    </row>
    <row r="948" spans="1:13">
      <c r="A948" s="21" t="str">
        <f t="shared" ca="1" si="56"/>
        <v>Sa-Sal-2021-947</v>
      </c>
      <c r="B948" s="6">
        <v>40</v>
      </c>
      <c r="C948" s="6" t="str">
        <f t="shared" si="57"/>
        <v>40-49</v>
      </c>
      <c r="D948" s="6" t="s">
        <v>35</v>
      </c>
      <c r="E948" s="6" t="s">
        <v>37</v>
      </c>
      <c r="F948" s="6" t="s">
        <v>46</v>
      </c>
      <c r="G948" s="6" t="s">
        <v>40</v>
      </c>
      <c r="H948" s="8">
        <v>9094</v>
      </c>
      <c r="I948" s="8">
        <f t="shared" si="58"/>
        <v>2000.68</v>
      </c>
      <c r="J948" s="8">
        <f t="shared" si="59"/>
        <v>7093.32</v>
      </c>
      <c r="K948" s="8">
        <v>17235</v>
      </c>
      <c r="L948" s="6">
        <v>5</v>
      </c>
      <c r="M948" s="22" t="str" cm="1">
        <f t="array" ref="M948">_xlfn.IFS(L948&gt;10,"Veteran",L948&gt;=6,"Experienced",L948&gt;=2,"Developing",L948&gt;=0,"New")</f>
        <v>Developing</v>
      </c>
    </row>
    <row r="949" spans="1:13">
      <c r="A949" s="21" t="str">
        <f t="shared" ca="1" si="56"/>
        <v>Sa-Sal-2018-948</v>
      </c>
      <c r="B949" s="6">
        <v>52</v>
      </c>
      <c r="C949" s="6" t="str">
        <f t="shared" si="57"/>
        <v>50+</v>
      </c>
      <c r="D949" s="6" t="s">
        <v>35</v>
      </c>
      <c r="E949" s="6" t="s">
        <v>37</v>
      </c>
      <c r="F949" s="6" t="s">
        <v>46</v>
      </c>
      <c r="G949" s="6" t="s">
        <v>40</v>
      </c>
      <c r="H949" s="8">
        <v>8446</v>
      </c>
      <c r="I949" s="8">
        <f t="shared" si="58"/>
        <v>1858.1200000000001</v>
      </c>
      <c r="J949" s="8">
        <f t="shared" si="59"/>
        <v>6587.88</v>
      </c>
      <c r="K949" s="8">
        <v>21534</v>
      </c>
      <c r="L949" s="6">
        <v>8</v>
      </c>
      <c r="M949" s="22" t="str" cm="1">
        <f t="array" ref="M949">_xlfn.IFS(L949&gt;10,"Veteran",L949&gt;=6,"Experienced",L949&gt;=2,"Developing",L949&gt;=0,"New")</f>
        <v>Experienced</v>
      </c>
    </row>
    <row r="950" spans="1:13">
      <c r="A950" s="21" t="str">
        <f t="shared" ca="1" si="56"/>
        <v>Ma-Res-2017-949</v>
      </c>
      <c r="B950" s="6">
        <v>30</v>
      </c>
      <c r="C950" s="6" t="str">
        <f t="shared" si="57"/>
        <v>30-39</v>
      </c>
      <c r="D950" s="6" t="s">
        <v>43</v>
      </c>
      <c r="E950" s="6" t="s">
        <v>45</v>
      </c>
      <c r="F950" s="6" t="s">
        <v>39</v>
      </c>
      <c r="G950" s="6" t="s">
        <v>56</v>
      </c>
      <c r="H950" s="8">
        <v>11916</v>
      </c>
      <c r="I950" s="8">
        <f t="shared" si="58"/>
        <v>2621.52</v>
      </c>
      <c r="J950" s="8">
        <f t="shared" si="59"/>
        <v>9294.48</v>
      </c>
      <c r="K950" s="8">
        <v>25927</v>
      </c>
      <c r="L950" s="6">
        <v>9</v>
      </c>
      <c r="M950" s="22" t="str" cm="1">
        <f t="array" ref="M950">_xlfn.IFS(L950&gt;10,"Veteran",L950&gt;=6,"Experienced",L950&gt;=2,"Developing",L950&gt;=0,"New")</f>
        <v>Experienced</v>
      </c>
    </row>
    <row r="951" spans="1:13">
      <c r="A951" s="21" t="str">
        <f t="shared" ca="1" si="56"/>
        <v>Ma-Res-2018-950</v>
      </c>
      <c r="B951" s="6">
        <v>39</v>
      </c>
      <c r="C951" s="6" t="str">
        <f t="shared" si="57"/>
        <v>30-39</v>
      </c>
      <c r="D951" s="6" t="s">
        <v>43</v>
      </c>
      <c r="E951" s="6" t="s">
        <v>45</v>
      </c>
      <c r="F951" s="6" t="s">
        <v>46</v>
      </c>
      <c r="G951" s="6" t="s">
        <v>53</v>
      </c>
      <c r="H951" s="8">
        <v>4534</v>
      </c>
      <c r="I951" s="8">
        <f t="shared" si="58"/>
        <v>680.1</v>
      </c>
      <c r="J951" s="8">
        <f t="shared" si="59"/>
        <v>3853.9</v>
      </c>
      <c r="K951" s="8">
        <v>13352</v>
      </c>
      <c r="L951" s="6">
        <v>8</v>
      </c>
      <c r="M951" s="22" t="str" cm="1">
        <f t="array" ref="M951">_xlfn.IFS(L951&gt;10,"Veteran",L951&gt;=6,"Experienced",L951&gt;=2,"Developing",L951&gt;=0,"New")</f>
        <v>Experienced</v>
      </c>
    </row>
    <row r="952" spans="1:13">
      <c r="A952" s="21" t="str">
        <f t="shared" ca="1" si="56"/>
        <v>Sa-Sal-2016-951</v>
      </c>
      <c r="B952" s="6">
        <v>31</v>
      </c>
      <c r="C952" s="6" t="str">
        <f t="shared" si="57"/>
        <v>30-39</v>
      </c>
      <c r="D952" s="6" t="s">
        <v>43</v>
      </c>
      <c r="E952" s="6" t="s">
        <v>37</v>
      </c>
      <c r="F952" s="6" t="s">
        <v>39</v>
      </c>
      <c r="G952" s="6" t="s">
        <v>40</v>
      </c>
      <c r="H952" s="8">
        <v>9852</v>
      </c>
      <c r="I952" s="8">
        <f t="shared" si="58"/>
        <v>2167.44</v>
      </c>
      <c r="J952" s="8">
        <f t="shared" si="59"/>
        <v>7684.5599999999995</v>
      </c>
      <c r="K952" s="8">
        <v>8935</v>
      </c>
      <c r="L952" s="6">
        <v>10</v>
      </c>
      <c r="M952" s="22" t="str" cm="1">
        <f t="array" ref="M952">_xlfn.IFS(L952&gt;10,"Veteran",L952&gt;=6,"Experienced",L952&gt;=2,"Developing",L952&gt;=0,"New")</f>
        <v>Experienced</v>
      </c>
    </row>
    <row r="953" spans="1:13">
      <c r="A953" s="21" t="str">
        <f t="shared" ca="1" si="56"/>
        <v>Sa-Sal-2007-952</v>
      </c>
      <c r="B953" s="6">
        <v>41</v>
      </c>
      <c r="C953" s="6" t="str">
        <f t="shared" si="57"/>
        <v>40-49</v>
      </c>
      <c r="D953" s="6" t="s">
        <v>43</v>
      </c>
      <c r="E953" s="6" t="s">
        <v>37</v>
      </c>
      <c r="F953" s="6" t="s">
        <v>46</v>
      </c>
      <c r="G953" s="6" t="s">
        <v>40</v>
      </c>
      <c r="H953" s="8">
        <v>6151</v>
      </c>
      <c r="I953" s="8">
        <f t="shared" si="58"/>
        <v>922.65</v>
      </c>
      <c r="J953" s="8">
        <f t="shared" si="59"/>
        <v>5228.3500000000004</v>
      </c>
      <c r="K953" s="8">
        <v>22074</v>
      </c>
      <c r="L953" s="6">
        <v>19</v>
      </c>
      <c r="M953" s="22" t="str" cm="1">
        <f t="array" ref="M953">_xlfn.IFS(L953&gt;10,"Veteran",L953&gt;=6,"Experienced",L953&gt;=2,"Developing",L953&gt;=0,"New")</f>
        <v>Veteran</v>
      </c>
    </row>
    <row r="954" spans="1:13">
      <c r="A954" s="21" t="str">
        <f t="shared" ca="1" si="56"/>
        <v>Sa-Sal-2023-953</v>
      </c>
      <c r="B954" s="6">
        <v>31</v>
      </c>
      <c r="C954" s="6" t="str">
        <f t="shared" si="57"/>
        <v>30-39</v>
      </c>
      <c r="D954" s="6" t="s">
        <v>35</v>
      </c>
      <c r="E954" s="6" t="s">
        <v>37</v>
      </c>
      <c r="F954" s="6" t="s">
        <v>39</v>
      </c>
      <c r="G954" s="6" t="s">
        <v>57</v>
      </c>
      <c r="H954" s="8">
        <v>2302</v>
      </c>
      <c r="I954" s="8">
        <f t="shared" si="58"/>
        <v>161.14000000000001</v>
      </c>
      <c r="J954" s="8">
        <f t="shared" si="59"/>
        <v>2140.86</v>
      </c>
      <c r="K954" s="8">
        <v>8319</v>
      </c>
      <c r="L954" s="6">
        <v>3</v>
      </c>
      <c r="M954" s="22" t="str" cm="1">
        <f t="array" ref="M954">_xlfn.IFS(L954&gt;10,"Veteran",L954&gt;=6,"Experienced",L954&gt;=2,"Developing",L954&gt;=0,"New")</f>
        <v>Developing</v>
      </c>
    </row>
    <row r="955" spans="1:13">
      <c r="A955" s="21" t="str">
        <f t="shared" ca="1" si="56"/>
        <v>La-Res-2023-954</v>
      </c>
      <c r="B955" s="6">
        <v>44</v>
      </c>
      <c r="C955" s="6" t="str">
        <f t="shared" si="57"/>
        <v>40-49</v>
      </c>
      <c r="D955" s="6" t="s">
        <v>35</v>
      </c>
      <c r="E955" s="6" t="s">
        <v>45</v>
      </c>
      <c r="F955" s="6" t="s">
        <v>46</v>
      </c>
      <c r="G955" s="6" t="s">
        <v>50</v>
      </c>
      <c r="H955" s="8">
        <v>2362</v>
      </c>
      <c r="I955" s="8">
        <f t="shared" si="58"/>
        <v>165.34</v>
      </c>
      <c r="J955" s="8">
        <f t="shared" si="59"/>
        <v>2196.66</v>
      </c>
      <c r="K955" s="8">
        <v>14669</v>
      </c>
      <c r="L955" s="6">
        <v>3</v>
      </c>
      <c r="M955" s="22" t="str" cm="1">
        <f t="array" ref="M955">_xlfn.IFS(L955&gt;10,"Veteran",L955&gt;=6,"Experienced",L955&gt;=2,"Developing",L955&gt;=0,"New")</f>
        <v>Developing</v>
      </c>
    </row>
    <row r="956" spans="1:13">
      <c r="A956" s="21" t="str">
        <f t="shared" ca="1" si="56"/>
        <v>Ma-Res-2006-955</v>
      </c>
      <c r="B956" s="6">
        <v>42</v>
      </c>
      <c r="C956" s="6" t="str">
        <f t="shared" si="57"/>
        <v>40-49</v>
      </c>
      <c r="D956" s="6" t="s">
        <v>43</v>
      </c>
      <c r="E956" s="6" t="s">
        <v>45</v>
      </c>
      <c r="F956" s="6" t="s">
        <v>46</v>
      </c>
      <c r="G956" s="6" t="s">
        <v>56</v>
      </c>
      <c r="H956" s="8">
        <v>17861</v>
      </c>
      <c r="I956" s="8">
        <f t="shared" si="58"/>
        <v>5358.3</v>
      </c>
      <c r="J956" s="8">
        <f t="shared" si="59"/>
        <v>12502.7</v>
      </c>
      <c r="K956" s="8">
        <v>26582</v>
      </c>
      <c r="L956" s="6">
        <v>20</v>
      </c>
      <c r="M956" s="22" t="str" cm="1">
        <f t="array" ref="M956">_xlfn.IFS(L956&gt;10,"Veteran",L956&gt;=6,"Experienced",L956&gt;=2,"Developing",L956&gt;=0,"New")</f>
        <v>Veteran</v>
      </c>
    </row>
    <row r="957" spans="1:13">
      <c r="A957" s="21" t="str">
        <f t="shared" ca="1" si="56"/>
        <v>Ma-Res-2007-956</v>
      </c>
      <c r="B957" s="6">
        <v>55</v>
      </c>
      <c r="C957" s="6" t="str">
        <f t="shared" si="57"/>
        <v>50+</v>
      </c>
      <c r="D957" s="6" t="s">
        <v>43</v>
      </c>
      <c r="E957" s="6" t="s">
        <v>45</v>
      </c>
      <c r="F957" s="6" t="s">
        <v>39</v>
      </c>
      <c r="G957" s="6" t="s">
        <v>56</v>
      </c>
      <c r="H957" s="8">
        <v>19187</v>
      </c>
      <c r="I957" s="8">
        <f t="shared" si="58"/>
        <v>5756.0999999999995</v>
      </c>
      <c r="J957" s="8">
        <f t="shared" si="59"/>
        <v>13430.900000000001</v>
      </c>
      <c r="K957" s="8">
        <v>6992</v>
      </c>
      <c r="L957" s="6">
        <v>19</v>
      </c>
      <c r="M957" s="22" t="str" cm="1">
        <f t="array" ref="M957">_xlfn.IFS(L957&gt;10,"Veteran",L957&gt;=6,"Experienced",L957&gt;=2,"Developing",L957&gt;=0,"New")</f>
        <v>Veteran</v>
      </c>
    </row>
    <row r="958" spans="1:13">
      <c r="A958" s="21" t="str">
        <f t="shared" ca="1" si="56"/>
        <v>Ma-Hum-2019-957</v>
      </c>
      <c r="B958" s="6">
        <v>56</v>
      </c>
      <c r="C958" s="6" t="str">
        <f t="shared" si="57"/>
        <v>50+</v>
      </c>
      <c r="D958" s="6" t="s">
        <v>43</v>
      </c>
      <c r="E958" s="6" t="s">
        <v>61</v>
      </c>
      <c r="F958" s="6" t="s">
        <v>46</v>
      </c>
      <c r="G958" s="6" t="s">
        <v>56</v>
      </c>
      <c r="H958" s="8">
        <v>19717</v>
      </c>
      <c r="I958" s="8">
        <f t="shared" si="58"/>
        <v>5915.0999999999995</v>
      </c>
      <c r="J958" s="8">
        <f t="shared" si="59"/>
        <v>13801.900000000001</v>
      </c>
      <c r="K958" s="8">
        <v>4022</v>
      </c>
      <c r="L958" s="6">
        <v>7</v>
      </c>
      <c r="M958" s="22" t="str" cm="1">
        <f t="array" ref="M958">_xlfn.IFS(L958&gt;10,"Veteran",L958&gt;=6,"Experienced",L958&gt;=2,"Developing",L958&gt;=0,"New")</f>
        <v>Experienced</v>
      </c>
    </row>
    <row r="959" spans="1:13">
      <c r="A959" s="21" t="str">
        <f t="shared" ca="1" si="56"/>
        <v>Re-Res-2022-958</v>
      </c>
      <c r="B959" s="6">
        <v>40</v>
      </c>
      <c r="C959" s="6" t="str">
        <f t="shared" si="57"/>
        <v>40-49</v>
      </c>
      <c r="D959" s="6" t="s">
        <v>43</v>
      </c>
      <c r="E959" s="6" t="s">
        <v>45</v>
      </c>
      <c r="F959" s="6" t="s">
        <v>46</v>
      </c>
      <c r="G959" s="6" t="s">
        <v>47</v>
      </c>
      <c r="H959" s="8">
        <v>3544</v>
      </c>
      <c r="I959" s="8">
        <f t="shared" si="58"/>
        <v>531.6</v>
      </c>
      <c r="J959" s="8">
        <f t="shared" si="59"/>
        <v>3012.4</v>
      </c>
      <c r="K959" s="8">
        <v>8532</v>
      </c>
      <c r="L959" s="6">
        <v>4</v>
      </c>
      <c r="M959" s="22" t="str" cm="1">
        <f t="array" ref="M959">_xlfn.IFS(L959&gt;10,"Veteran",L959&gt;=6,"Experienced",L959&gt;=2,"Developing",L959&gt;=0,"New")</f>
        <v>Developing</v>
      </c>
    </row>
    <row r="960" spans="1:13">
      <c r="A960" s="21" t="str">
        <f t="shared" ca="1" si="56"/>
        <v>He-Res-2017-959</v>
      </c>
      <c r="B960" s="6">
        <v>34</v>
      </c>
      <c r="C960" s="6" t="str">
        <f t="shared" si="57"/>
        <v>30-39</v>
      </c>
      <c r="D960" s="6" t="s">
        <v>43</v>
      </c>
      <c r="E960" s="6" t="s">
        <v>45</v>
      </c>
      <c r="F960" s="6" t="s">
        <v>46</v>
      </c>
      <c r="G960" s="6" t="s">
        <v>54</v>
      </c>
      <c r="H960" s="8">
        <v>8500</v>
      </c>
      <c r="I960" s="8">
        <f t="shared" si="58"/>
        <v>1870</v>
      </c>
      <c r="J960" s="8">
        <f t="shared" si="59"/>
        <v>6630</v>
      </c>
      <c r="K960" s="8">
        <v>5494</v>
      </c>
      <c r="L960" s="6">
        <v>9</v>
      </c>
      <c r="M960" s="22" t="str" cm="1">
        <f t="array" ref="M960">_xlfn.IFS(L960&gt;10,"Veteran",L960&gt;=6,"Experienced",L960&gt;=2,"Developing",L960&gt;=0,"New")</f>
        <v>Experienced</v>
      </c>
    </row>
    <row r="961" spans="1:13">
      <c r="A961" s="21" t="str">
        <f t="shared" ca="1" si="56"/>
        <v>Re-Res-2017-960</v>
      </c>
      <c r="B961" s="6">
        <v>40</v>
      </c>
      <c r="C961" s="6" t="str">
        <f t="shared" si="57"/>
        <v>40-49</v>
      </c>
      <c r="D961" s="6" t="s">
        <v>43</v>
      </c>
      <c r="E961" s="6" t="s">
        <v>45</v>
      </c>
      <c r="F961" s="6" t="s">
        <v>46</v>
      </c>
      <c r="G961" s="6" t="s">
        <v>47</v>
      </c>
      <c r="H961" s="8">
        <v>4661</v>
      </c>
      <c r="I961" s="8">
        <f t="shared" si="58"/>
        <v>699.15</v>
      </c>
      <c r="J961" s="8">
        <f t="shared" si="59"/>
        <v>3961.85</v>
      </c>
      <c r="K961" s="8">
        <v>22455</v>
      </c>
      <c r="L961" s="6">
        <v>9</v>
      </c>
      <c r="M961" s="22" t="str" cm="1">
        <f t="array" ref="M961">_xlfn.IFS(L961&gt;10,"Veteran",L961&gt;=6,"Experienced",L961&gt;=2,"Developing",L961&gt;=0,"New")</f>
        <v>Experienced</v>
      </c>
    </row>
    <row r="962" spans="1:13">
      <c r="A962" s="21" t="str">
        <f t="shared" ca="1" si="56"/>
        <v>Sa-Sal-2017-961</v>
      </c>
      <c r="B962" s="6">
        <v>41</v>
      </c>
      <c r="C962" s="6" t="str">
        <f t="shared" si="57"/>
        <v>40-49</v>
      </c>
      <c r="D962" s="6" t="s">
        <v>43</v>
      </c>
      <c r="E962" s="6" t="s">
        <v>37</v>
      </c>
      <c r="F962" s="6" t="s">
        <v>39</v>
      </c>
      <c r="G962" s="6" t="s">
        <v>40</v>
      </c>
      <c r="H962" s="8">
        <v>4103</v>
      </c>
      <c r="I962" s="8">
        <f t="shared" si="58"/>
        <v>615.44999999999993</v>
      </c>
      <c r="J962" s="8">
        <f t="shared" si="59"/>
        <v>3487.55</v>
      </c>
      <c r="K962" s="8">
        <v>4297</v>
      </c>
      <c r="L962" s="6">
        <v>9</v>
      </c>
      <c r="M962" s="22" t="str" cm="1">
        <f t="array" ref="M962">_xlfn.IFS(L962&gt;10,"Veteran",L962&gt;=6,"Experienced",L962&gt;=2,"Developing",L962&gt;=0,"New")</f>
        <v>Experienced</v>
      </c>
    </row>
    <row r="963" spans="1:13">
      <c r="A963" s="21" t="str">
        <f t="shared" ref="A963:A1026" ca="1" si="60">LEFT(G963,2)&amp;"-"&amp;LEFT(E963,3)&amp;"-"&amp;YEAR(TODAY())-L963&amp;"-"&amp;TEXT(ROW()-1,"000")</f>
        <v>Re-Res-2017-962</v>
      </c>
      <c r="B963" s="6">
        <v>35</v>
      </c>
      <c r="C963" s="6" t="str">
        <f t="shared" ref="C963:C1026" si="61">IF(B963&lt;=29,"20-29",IF(B963&lt;=39,"30-39",IF(B963&lt;=49,"40-49","50+")))</f>
        <v>30-39</v>
      </c>
      <c r="D963" s="6" t="s">
        <v>43</v>
      </c>
      <c r="E963" s="6" t="s">
        <v>45</v>
      </c>
      <c r="F963" s="6" t="s">
        <v>46</v>
      </c>
      <c r="G963" s="6" t="s">
        <v>47</v>
      </c>
      <c r="H963" s="8">
        <v>4249</v>
      </c>
      <c r="I963" s="8">
        <f t="shared" ref="I963:I1026" si="62">IF(H963&gt;13000,H963*30%,IF(H963&gt;7000,H963*22%,IF(H963&gt;3000,H963*15%,H963*7%)))</f>
        <v>637.35</v>
      </c>
      <c r="J963" s="8">
        <f t="shared" ref="J963:J1026" si="63">H963-I963</f>
        <v>3611.65</v>
      </c>
      <c r="K963" s="8">
        <v>2690</v>
      </c>
      <c r="L963" s="6">
        <v>9</v>
      </c>
      <c r="M963" s="22" t="str" cm="1">
        <f t="array" ref="M963">_xlfn.IFS(L963&gt;10,"Veteran",L963&gt;=6,"Experienced",L963&gt;=2,"Developing",L963&gt;=0,"New")</f>
        <v>Experienced</v>
      </c>
    </row>
    <row r="964" spans="1:13">
      <c r="A964" s="21" t="str">
        <f t="shared" ca="1" si="60"/>
        <v>Ma-Hum-1993-963</v>
      </c>
      <c r="B964" s="6">
        <v>51</v>
      </c>
      <c r="C964" s="6" t="str">
        <f t="shared" si="61"/>
        <v>50+</v>
      </c>
      <c r="D964" s="6" t="s">
        <v>43</v>
      </c>
      <c r="E964" s="6" t="s">
        <v>61</v>
      </c>
      <c r="F964" s="6" t="s">
        <v>46</v>
      </c>
      <c r="G964" s="6" t="s">
        <v>56</v>
      </c>
      <c r="H964" s="8">
        <v>14026</v>
      </c>
      <c r="I964" s="8">
        <f t="shared" si="62"/>
        <v>4207.8</v>
      </c>
      <c r="J964" s="8">
        <f t="shared" si="63"/>
        <v>9818.2000000000007</v>
      </c>
      <c r="K964" s="8">
        <v>17588</v>
      </c>
      <c r="L964" s="6">
        <v>33</v>
      </c>
      <c r="M964" s="22" t="str" cm="1">
        <f t="array" ref="M964">_xlfn.IFS(L964&gt;10,"Veteran",L964&gt;=6,"Experienced",L964&gt;=2,"Developing",L964&gt;=0,"New")</f>
        <v>Veteran</v>
      </c>
    </row>
    <row r="965" spans="1:13">
      <c r="A965" s="21" t="str">
        <f t="shared" ca="1" si="60"/>
        <v>Sa-Sal-2019-964</v>
      </c>
      <c r="B965" s="6">
        <v>38</v>
      </c>
      <c r="C965" s="6" t="str">
        <f t="shared" si="61"/>
        <v>30-39</v>
      </c>
      <c r="D965" s="6" t="s">
        <v>43</v>
      </c>
      <c r="E965" s="6" t="s">
        <v>37</v>
      </c>
      <c r="F965" s="6" t="s">
        <v>39</v>
      </c>
      <c r="G965" s="6" t="s">
        <v>40</v>
      </c>
      <c r="H965" s="8">
        <v>6893</v>
      </c>
      <c r="I965" s="8">
        <f t="shared" si="62"/>
        <v>1033.95</v>
      </c>
      <c r="J965" s="8">
        <f t="shared" si="63"/>
        <v>5859.05</v>
      </c>
      <c r="K965" s="8">
        <v>19461</v>
      </c>
      <c r="L965" s="6">
        <v>7</v>
      </c>
      <c r="M965" s="22" t="str" cm="1">
        <f t="array" ref="M965">_xlfn.IFS(L965&gt;10,"Veteran",L965&gt;=6,"Experienced",L965&gt;=2,"Developing",L965&gt;=0,"New")</f>
        <v>Experienced</v>
      </c>
    </row>
    <row r="966" spans="1:13">
      <c r="A966" s="21" t="str">
        <f t="shared" ca="1" si="60"/>
        <v>Sa-Sal-2016-965</v>
      </c>
      <c r="B966" s="6">
        <v>34</v>
      </c>
      <c r="C966" s="6" t="str">
        <f t="shared" si="61"/>
        <v>30-39</v>
      </c>
      <c r="D966" s="6" t="s">
        <v>43</v>
      </c>
      <c r="E966" s="6" t="s">
        <v>37</v>
      </c>
      <c r="F966" s="6" t="s">
        <v>39</v>
      </c>
      <c r="G966" s="6" t="s">
        <v>40</v>
      </c>
      <c r="H966" s="8">
        <v>6125</v>
      </c>
      <c r="I966" s="8">
        <f t="shared" si="62"/>
        <v>918.75</v>
      </c>
      <c r="J966" s="8">
        <f t="shared" si="63"/>
        <v>5206.25</v>
      </c>
      <c r="K966" s="8">
        <v>23553</v>
      </c>
      <c r="L966" s="6">
        <v>10</v>
      </c>
      <c r="M966" s="22" t="str" cm="1">
        <f t="array" ref="M966">_xlfn.IFS(L966&gt;10,"Veteran",L966&gt;=6,"Experienced",L966&gt;=2,"Developing",L966&gt;=0,"New")</f>
        <v>Experienced</v>
      </c>
    </row>
    <row r="967" spans="1:13">
      <c r="A967" s="21" t="str">
        <f t="shared" ca="1" si="60"/>
        <v>La-Res-2023-966</v>
      </c>
      <c r="B967" s="6">
        <v>25</v>
      </c>
      <c r="C967" s="6" t="str">
        <f t="shared" si="61"/>
        <v>20-29</v>
      </c>
      <c r="D967" s="6" t="s">
        <v>43</v>
      </c>
      <c r="E967" s="6" t="s">
        <v>45</v>
      </c>
      <c r="F967" s="6" t="s">
        <v>46</v>
      </c>
      <c r="G967" s="6" t="s">
        <v>50</v>
      </c>
      <c r="H967" s="8">
        <v>3669</v>
      </c>
      <c r="I967" s="8">
        <f t="shared" si="62"/>
        <v>550.35</v>
      </c>
      <c r="J967" s="8">
        <f t="shared" si="63"/>
        <v>3118.65</v>
      </c>
      <c r="K967" s="8">
        <v>9075</v>
      </c>
      <c r="L967" s="6">
        <v>3</v>
      </c>
      <c r="M967" s="22" t="str" cm="1">
        <f t="array" ref="M967">_xlfn.IFS(L967&gt;10,"Veteran",L967&gt;=6,"Experienced",L967&gt;=2,"Developing",L967&gt;=0,"New")</f>
        <v>Developing</v>
      </c>
    </row>
    <row r="968" spans="1:13">
      <c r="A968" s="21" t="str">
        <f t="shared" ca="1" si="60"/>
        <v>Ma-Res-2016-967</v>
      </c>
      <c r="B968" s="6">
        <v>58</v>
      </c>
      <c r="C968" s="6" t="str">
        <f t="shared" si="61"/>
        <v>50+</v>
      </c>
      <c r="D968" s="6" t="s">
        <v>35</v>
      </c>
      <c r="E968" s="6" t="s">
        <v>45</v>
      </c>
      <c r="F968" s="6" t="s">
        <v>39</v>
      </c>
      <c r="G968" s="6" t="s">
        <v>53</v>
      </c>
      <c r="H968" s="8">
        <v>10008</v>
      </c>
      <c r="I968" s="8">
        <f t="shared" si="62"/>
        <v>2201.7600000000002</v>
      </c>
      <c r="J968" s="8">
        <f t="shared" si="63"/>
        <v>7806.24</v>
      </c>
      <c r="K968" s="8">
        <v>12023</v>
      </c>
      <c r="L968" s="6">
        <v>10</v>
      </c>
      <c r="M968" s="22" t="str" cm="1">
        <f t="array" ref="M968">_xlfn.IFS(L968&gt;10,"Veteran",L968&gt;=6,"Experienced",L968&gt;=2,"Developing",L968&gt;=0,"New")</f>
        <v>Experienced</v>
      </c>
    </row>
    <row r="969" spans="1:13">
      <c r="A969" s="21" t="str">
        <f t="shared" ca="1" si="60"/>
        <v>La-Res-2022-968</v>
      </c>
      <c r="B969" s="6">
        <v>40</v>
      </c>
      <c r="C969" s="6" t="str">
        <f t="shared" si="61"/>
        <v>40-49</v>
      </c>
      <c r="D969" s="6" t="s">
        <v>43</v>
      </c>
      <c r="E969" s="6" t="s">
        <v>45</v>
      </c>
      <c r="F969" s="6" t="s">
        <v>46</v>
      </c>
      <c r="G969" s="6" t="s">
        <v>50</v>
      </c>
      <c r="H969" s="8">
        <v>2387</v>
      </c>
      <c r="I969" s="8">
        <f t="shared" si="62"/>
        <v>167.09</v>
      </c>
      <c r="J969" s="8">
        <f t="shared" si="63"/>
        <v>2219.91</v>
      </c>
      <c r="K969" s="8">
        <v>6762</v>
      </c>
      <c r="L969" s="6">
        <v>4</v>
      </c>
      <c r="M969" s="22" t="str" cm="1">
        <f t="array" ref="M969">_xlfn.IFS(L969&gt;10,"Veteran",L969&gt;=6,"Experienced",L969&gt;=2,"Developing",L969&gt;=0,"New")</f>
        <v>Developing</v>
      </c>
    </row>
    <row r="970" spans="1:13">
      <c r="A970" s="21" t="str">
        <f t="shared" ca="1" si="60"/>
        <v>Sa-Sal-2011-969</v>
      </c>
      <c r="B970" s="6">
        <v>36</v>
      </c>
      <c r="C970" s="6" t="str">
        <f t="shared" si="61"/>
        <v>30-39</v>
      </c>
      <c r="D970" s="6" t="s">
        <v>43</v>
      </c>
      <c r="E970" s="6" t="s">
        <v>37</v>
      </c>
      <c r="F970" s="6" t="s">
        <v>39</v>
      </c>
      <c r="G970" s="6" t="s">
        <v>40</v>
      </c>
      <c r="H970" s="8">
        <v>4639</v>
      </c>
      <c r="I970" s="8">
        <f t="shared" si="62"/>
        <v>695.85</v>
      </c>
      <c r="J970" s="8">
        <f t="shared" si="63"/>
        <v>3943.15</v>
      </c>
      <c r="K970" s="8">
        <v>2261</v>
      </c>
      <c r="L970" s="6">
        <v>15</v>
      </c>
      <c r="M970" s="22" t="str" cm="1">
        <f t="array" ref="M970">_xlfn.IFS(L970&gt;10,"Veteran",L970&gt;=6,"Experienced",L970&gt;=2,"Developing",L970&gt;=0,"New")</f>
        <v>Veteran</v>
      </c>
    </row>
    <row r="971" spans="1:13">
      <c r="A971" s="21" t="str">
        <f t="shared" ca="1" si="60"/>
        <v>Ma-Res-2016-970</v>
      </c>
      <c r="B971" s="6">
        <v>48</v>
      </c>
      <c r="C971" s="6" t="str">
        <f t="shared" si="61"/>
        <v>40-49</v>
      </c>
      <c r="D971" s="6" t="s">
        <v>43</v>
      </c>
      <c r="E971" s="6" t="s">
        <v>45</v>
      </c>
      <c r="F971" s="6" t="s">
        <v>46</v>
      </c>
      <c r="G971" s="6" t="s">
        <v>53</v>
      </c>
      <c r="H971" s="8">
        <v>7898</v>
      </c>
      <c r="I971" s="8">
        <f t="shared" si="62"/>
        <v>1737.56</v>
      </c>
      <c r="J971" s="8">
        <f t="shared" si="63"/>
        <v>6160.4400000000005</v>
      </c>
      <c r="K971" s="8">
        <v>18706</v>
      </c>
      <c r="L971" s="6">
        <v>10</v>
      </c>
      <c r="M971" s="22" t="str" cm="1">
        <f t="array" ref="M971">_xlfn.IFS(L971&gt;10,"Veteran",L971&gt;=6,"Experienced",L971&gt;=2,"Developing",L971&gt;=0,"New")</f>
        <v>Experienced</v>
      </c>
    </row>
    <row r="972" spans="1:13">
      <c r="A972" s="21" t="str">
        <f t="shared" ca="1" si="60"/>
        <v>Sa-Sal-2025-971</v>
      </c>
      <c r="B972" s="6">
        <v>27</v>
      </c>
      <c r="C972" s="6" t="str">
        <f t="shared" si="61"/>
        <v>20-29</v>
      </c>
      <c r="D972" s="6" t="s">
        <v>43</v>
      </c>
      <c r="E972" s="6" t="s">
        <v>37</v>
      </c>
      <c r="F972" s="6" t="s">
        <v>39</v>
      </c>
      <c r="G972" s="6" t="s">
        <v>57</v>
      </c>
      <c r="H972" s="8">
        <v>2534</v>
      </c>
      <c r="I972" s="8">
        <f t="shared" si="62"/>
        <v>177.38000000000002</v>
      </c>
      <c r="J972" s="8">
        <f t="shared" si="63"/>
        <v>2356.62</v>
      </c>
      <c r="K972" s="8">
        <v>6527</v>
      </c>
      <c r="L972" s="6">
        <v>1</v>
      </c>
      <c r="M972" s="22" t="str" cm="1">
        <f t="array" ref="M972">_xlfn.IFS(L972&gt;10,"Veteran",L972&gt;=6,"Experienced",L972&gt;=2,"Developing",L972&gt;=0,"New")</f>
        <v>New</v>
      </c>
    </row>
    <row r="973" spans="1:13">
      <c r="A973" s="21" t="str">
        <f t="shared" ca="1" si="60"/>
        <v>Ma-Res-2021-972</v>
      </c>
      <c r="B973" s="6">
        <v>51</v>
      </c>
      <c r="C973" s="6" t="str">
        <f t="shared" si="61"/>
        <v>50+</v>
      </c>
      <c r="D973" s="6" t="s">
        <v>43</v>
      </c>
      <c r="E973" s="6" t="s">
        <v>45</v>
      </c>
      <c r="F973" s="6" t="s">
        <v>39</v>
      </c>
      <c r="G973" s="6" t="s">
        <v>53</v>
      </c>
      <c r="H973" s="8">
        <v>13142</v>
      </c>
      <c r="I973" s="8">
        <f t="shared" si="62"/>
        <v>3942.6</v>
      </c>
      <c r="J973" s="8">
        <f t="shared" si="63"/>
        <v>9199.4</v>
      </c>
      <c r="K973" s="8">
        <v>24439</v>
      </c>
      <c r="L973" s="6">
        <v>5</v>
      </c>
      <c r="M973" s="22" t="str" cm="1">
        <f t="array" ref="M973">_xlfn.IFS(L973&gt;10,"Veteran",L973&gt;=6,"Experienced",L973&gt;=2,"Developing",L973&gt;=0,"New")</f>
        <v>Developing</v>
      </c>
    </row>
    <row r="974" spans="1:13">
      <c r="A974" s="21" t="str">
        <f t="shared" ca="1" si="60"/>
        <v>La-Res-2026-973</v>
      </c>
      <c r="B974" s="6">
        <v>18</v>
      </c>
      <c r="C974" s="6" t="str">
        <f t="shared" si="61"/>
        <v>20-29</v>
      </c>
      <c r="D974" s="6" t="s">
        <v>43</v>
      </c>
      <c r="E974" s="6" t="s">
        <v>45</v>
      </c>
      <c r="F974" s="6" t="s">
        <v>39</v>
      </c>
      <c r="G974" s="6" t="s">
        <v>50</v>
      </c>
      <c r="H974" s="8">
        <v>1611</v>
      </c>
      <c r="I974" s="8">
        <f t="shared" si="62"/>
        <v>112.77000000000001</v>
      </c>
      <c r="J974" s="8">
        <f t="shared" si="63"/>
        <v>1498.23</v>
      </c>
      <c r="K974" s="8">
        <v>19305</v>
      </c>
      <c r="L974" s="6">
        <v>0</v>
      </c>
      <c r="M974" s="22" t="str" cm="1">
        <f t="array" ref="M974">_xlfn.IFS(L974&gt;10,"Veteran",L974&gt;=6,"Experienced",L974&gt;=2,"Developing",L974&gt;=0,"New")</f>
        <v>New</v>
      </c>
    </row>
    <row r="975" spans="1:13">
      <c r="A975" s="21" t="str">
        <f t="shared" ca="1" si="60"/>
        <v>La-Res-2017-974</v>
      </c>
      <c r="B975" s="6">
        <v>35</v>
      </c>
      <c r="C975" s="6" t="str">
        <f t="shared" si="61"/>
        <v>30-39</v>
      </c>
      <c r="D975" s="6" t="s">
        <v>43</v>
      </c>
      <c r="E975" s="6" t="s">
        <v>45</v>
      </c>
      <c r="F975" s="6" t="s">
        <v>39</v>
      </c>
      <c r="G975" s="6" t="s">
        <v>50</v>
      </c>
      <c r="H975" s="8">
        <v>5363</v>
      </c>
      <c r="I975" s="8">
        <f t="shared" si="62"/>
        <v>804.44999999999993</v>
      </c>
      <c r="J975" s="8">
        <f t="shared" si="63"/>
        <v>4558.55</v>
      </c>
      <c r="K975" s="8">
        <v>10846</v>
      </c>
      <c r="L975" s="6">
        <v>9</v>
      </c>
      <c r="M975" s="22" t="str" cm="1">
        <f t="array" ref="M975">_xlfn.IFS(L975&gt;10,"Veteran",L975&gt;=6,"Experienced",L975&gt;=2,"Developing",L975&gt;=0,"New")</f>
        <v>Experienced</v>
      </c>
    </row>
    <row r="976" spans="1:13">
      <c r="A976" s="21" t="str">
        <f t="shared" ca="1" si="60"/>
        <v>Sa-Sal-2020-975</v>
      </c>
      <c r="B976" s="6">
        <v>27</v>
      </c>
      <c r="C976" s="6" t="str">
        <f t="shared" si="61"/>
        <v>20-29</v>
      </c>
      <c r="D976" s="6" t="s">
        <v>43</v>
      </c>
      <c r="E976" s="6" t="s">
        <v>37</v>
      </c>
      <c r="F976" s="6" t="s">
        <v>46</v>
      </c>
      <c r="G976" s="6" t="s">
        <v>40</v>
      </c>
      <c r="H976" s="8">
        <v>5071</v>
      </c>
      <c r="I976" s="8">
        <f t="shared" si="62"/>
        <v>760.65</v>
      </c>
      <c r="J976" s="8">
        <f t="shared" si="63"/>
        <v>4310.3500000000004</v>
      </c>
      <c r="K976" s="8">
        <v>20392</v>
      </c>
      <c r="L976" s="6">
        <v>6</v>
      </c>
      <c r="M976" s="22" t="str" cm="1">
        <f t="array" ref="M976">_xlfn.IFS(L976&gt;10,"Veteran",L976&gt;=6,"Experienced",L976&gt;=2,"Developing",L976&gt;=0,"New")</f>
        <v>Experienced</v>
      </c>
    </row>
    <row r="977" spans="1:13">
      <c r="A977" s="21" t="str">
        <f t="shared" ca="1" si="60"/>
        <v>Sa-Sal-2007-976</v>
      </c>
      <c r="B977" s="6">
        <v>55</v>
      </c>
      <c r="C977" s="6" t="str">
        <f t="shared" si="61"/>
        <v>50+</v>
      </c>
      <c r="D977" s="6" t="s">
        <v>35</v>
      </c>
      <c r="E977" s="6" t="s">
        <v>37</v>
      </c>
      <c r="F977" s="6" t="s">
        <v>46</v>
      </c>
      <c r="G977" s="6" t="s">
        <v>40</v>
      </c>
      <c r="H977" s="8">
        <v>13695</v>
      </c>
      <c r="I977" s="8">
        <f t="shared" si="62"/>
        <v>4108.5</v>
      </c>
      <c r="J977" s="8">
        <f t="shared" si="63"/>
        <v>9586.5</v>
      </c>
      <c r="K977" s="8">
        <v>9277</v>
      </c>
      <c r="L977" s="6">
        <v>19</v>
      </c>
      <c r="M977" s="22" t="str" cm="1">
        <f t="array" ref="M977">_xlfn.IFS(L977&gt;10,"Veteran",L977&gt;=6,"Experienced",L977&gt;=2,"Developing",L977&gt;=0,"New")</f>
        <v>Veteran</v>
      </c>
    </row>
    <row r="978" spans="1:13">
      <c r="A978" s="21" t="str">
        <f t="shared" ca="1" si="60"/>
        <v>Ma-Res-2007-977</v>
      </c>
      <c r="B978" s="6">
        <v>56</v>
      </c>
      <c r="C978" s="6" t="str">
        <f t="shared" si="61"/>
        <v>50+</v>
      </c>
      <c r="D978" s="6" t="s">
        <v>43</v>
      </c>
      <c r="E978" s="6" t="s">
        <v>45</v>
      </c>
      <c r="F978" s="6" t="s">
        <v>46</v>
      </c>
      <c r="G978" s="6" t="s">
        <v>53</v>
      </c>
      <c r="H978" s="8">
        <v>13402</v>
      </c>
      <c r="I978" s="8">
        <f t="shared" si="62"/>
        <v>4020.6</v>
      </c>
      <c r="J978" s="8">
        <f t="shared" si="63"/>
        <v>9381.4</v>
      </c>
      <c r="K978" s="8">
        <v>18235</v>
      </c>
      <c r="L978" s="6">
        <v>19</v>
      </c>
      <c r="M978" s="22" t="str" cm="1">
        <f t="array" ref="M978">_xlfn.IFS(L978&gt;10,"Veteran",L978&gt;=6,"Experienced",L978&gt;=2,"Developing",L978&gt;=0,"New")</f>
        <v>Veteran</v>
      </c>
    </row>
    <row r="979" spans="1:13">
      <c r="A979" s="21" t="str">
        <f t="shared" ca="1" si="60"/>
        <v>Re-Res-2021-978</v>
      </c>
      <c r="B979" s="6">
        <v>34</v>
      </c>
      <c r="C979" s="6" t="str">
        <f t="shared" si="61"/>
        <v>30-39</v>
      </c>
      <c r="D979" s="6" t="s">
        <v>43</v>
      </c>
      <c r="E979" s="6" t="s">
        <v>45</v>
      </c>
      <c r="F979" s="6" t="s">
        <v>39</v>
      </c>
      <c r="G979" s="6" t="s">
        <v>47</v>
      </c>
      <c r="H979" s="8">
        <v>2029</v>
      </c>
      <c r="I979" s="8">
        <f t="shared" si="62"/>
        <v>142.03</v>
      </c>
      <c r="J979" s="8">
        <f t="shared" si="63"/>
        <v>1886.97</v>
      </c>
      <c r="K979" s="8">
        <v>15891</v>
      </c>
      <c r="L979" s="6">
        <v>5</v>
      </c>
      <c r="M979" s="22" t="str" cm="1">
        <f t="array" ref="M979">_xlfn.IFS(L979&gt;10,"Veteran",L979&gt;=6,"Experienced",L979&gt;=2,"Developing",L979&gt;=0,"New")</f>
        <v>Developing</v>
      </c>
    </row>
    <row r="980" spans="1:13">
      <c r="A980" s="21" t="str">
        <f t="shared" ca="1" si="60"/>
        <v>He-Res-2014-979</v>
      </c>
      <c r="B980" s="6">
        <v>40</v>
      </c>
      <c r="C980" s="6" t="str">
        <f t="shared" si="61"/>
        <v>40-49</v>
      </c>
      <c r="D980" s="6" t="s">
        <v>43</v>
      </c>
      <c r="E980" s="6" t="s">
        <v>45</v>
      </c>
      <c r="F980" s="6" t="s">
        <v>39</v>
      </c>
      <c r="G980" s="6" t="s">
        <v>54</v>
      </c>
      <c r="H980" s="8">
        <v>6377</v>
      </c>
      <c r="I980" s="8">
        <f t="shared" si="62"/>
        <v>956.55</v>
      </c>
      <c r="J980" s="8">
        <f t="shared" si="63"/>
        <v>5420.45</v>
      </c>
      <c r="K980" s="8">
        <v>13888</v>
      </c>
      <c r="L980" s="6">
        <v>12</v>
      </c>
      <c r="M980" s="22" t="str" cm="1">
        <f t="array" ref="M980">_xlfn.IFS(L980&gt;10,"Veteran",L980&gt;=6,"Experienced",L980&gt;=2,"Developing",L980&gt;=0,"New")</f>
        <v>Veteran</v>
      </c>
    </row>
    <row r="981" spans="1:13">
      <c r="A981" s="21" t="str">
        <f t="shared" ca="1" si="60"/>
        <v>La-Res-2018-980</v>
      </c>
      <c r="B981" s="6">
        <v>34</v>
      </c>
      <c r="C981" s="6" t="str">
        <f t="shared" si="61"/>
        <v>30-39</v>
      </c>
      <c r="D981" s="6" t="s">
        <v>43</v>
      </c>
      <c r="E981" s="6" t="s">
        <v>45</v>
      </c>
      <c r="F981" s="6" t="s">
        <v>46</v>
      </c>
      <c r="G981" s="6" t="s">
        <v>50</v>
      </c>
      <c r="H981" s="8">
        <v>5429</v>
      </c>
      <c r="I981" s="8">
        <f t="shared" si="62"/>
        <v>814.35</v>
      </c>
      <c r="J981" s="8">
        <f t="shared" si="63"/>
        <v>4614.6499999999996</v>
      </c>
      <c r="K981" s="8">
        <v>17491</v>
      </c>
      <c r="L981" s="6">
        <v>8</v>
      </c>
      <c r="M981" s="22" t="str" cm="1">
        <f t="array" ref="M981">_xlfn.IFS(L981&gt;10,"Veteran",L981&gt;=6,"Experienced",L981&gt;=2,"Developing",L981&gt;=0,"New")</f>
        <v>Experienced</v>
      </c>
    </row>
    <row r="982" spans="1:13">
      <c r="A982" s="21" t="str">
        <f t="shared" ca="1" si="60"/>
        <v>Sa-Sal-2025-981</v>
      </c>
      <c r="B982" s="6">
        <v>31</v>
      </c>
      <c r="C982" s="6" t="str">
        <f t="shared" si="61"/>
        <v>30-39</v>
      </c>
      <c r="D982" s="6" t="s">
        <v>35</v>
      </c>
      <c r="E982" s="6" t="s">
        <v>37</v>
      </c>
      <c r="F982" s="6" t="s">
        <v>39</v>
      </c>
      <c r="G982" s="6" t="s">
        <v>57</v>
      </c>
      <c r="H982" s="8">
        <v>2785</v>
      </c>
      <c r="I982" s="8">
        <f t="shared" si="62"/>
        <v>194.95000000000002</v>
      </c>
      <c r="J982" s="8">
        <f t="shared" si="63"/>
        <v>2590.0500000000002</v>
      </c>
      <c r="K982" s="8">
        <v>11882</v>
      </c>
      <c r="L982" s="6">
        <v>1</v>
      </c>
      <c r="M982" s="22" t="str" cm="1">
        <f t="array" ref="M982">_xlfn.IFS(L982&gt;10,"Veteran",L982&gt;=6,"Experienced",L982&gt;=2,"Developing",L982&gt;=0,"New")</f>
        <v>New</v>
      </c>
    </row>
    <row r="983" spans="1:13">
      <c r="A983" s="21" t="str">
        <f t="shared" ca="1" si="60"/>
        <v>Sa-Sal-2022-982</v>
      </c>
      <c r="B983" s="6">
        <v>35</v>
      </c>
      <c r="C983" s="6" t="str">
        <f t="shared" si="61"/>
        <v>30-39</v>
      </c>
      <c r="D983" s="6" t="s">
        <v>35</v>
      </c>
      <c r="E983" s="6" t="s">
        <v>37</v>
      </c>
      <c r="F983" s="6" t="s">
        <v>39</v>
      </c>
      <c r="G983" s="6" t="s">
        <v>40</v>
      </c>
      <c r="H983" s="8">
        <v>4614</v>
      </c>
      <c r="I983" s="8">
        <f t="shared" si="62"/>
        <v>692.1</v>
      </c>
      <c r="J983" s="8">
        <f t="shared" si="63"/>
        <v>3921.9</v>
      </c>
      <c r="K983" s="8">
        <v>23288</v>
      </c>
      <c r="L983" s="6">
        <v>4</v>
      </c>
      <c r="M983" s="22" t="str" cm="1">
        <f t="array" ref="M983">_xlfn.IFS(L983&gt;10,"Veteran",L983&gt;=6,"Experienced",L983&gt;=2,"Developing",L983&gt;=0,"New")</f>
        <v>Developing</v>
      </c>
    </row>
    <row r="984" spans="1:13">
      <c r="A984" s="21" t="str">
        <f t="shared" ca="1" si="60"/>
        <v>Re-Res-2022-983</v>
      </c>
      <c r="B984" s="6">
        <v>38</v>
      </c>
      <c r="C984" s="6" t="str">
        <f t="shared" si="61"/>
        <v>30-39</v>
      </c>
      <c r="D984" s="6" t="s">
        <v>43</v>
      </c>
      <c r="E984" s="6" t="s">
        <v>45</v>
      </c>
      <c r="F984" s="6" t="s">
        <v>46</v>
      </c>
      <c r="G984" s="6" t="s">
        <v>47</v>
      </c>
      <c r="H984" s="8">
        <v>2610</v>
      </c>
      <c r="I984" s="8">
        <f t="shared" si="62"/>
        <v>182.70000000000002</v>
      </c>
      <c r="J984" s="8">
        <f t="shared" si="63"/>
        <v>2427.3000000000002</v>
      </c>
      <c r="K984" s="8">
        <v>15748</v>
      </c>
      <c r="L984" s="6">
        <v>4</v>
      </c>
      <c r="M984" s="22" t="str" cm="1">
        <f t="array" ref="M984">_xlfn.IFS(L984&gt;10,"Veteran",L984&gt;=6,"Experienced",L984&gt;=2,"Developing",L984&gt;=0,"New")</f>
        <v>Developing</v>
      </c>
    </row>
    <row r="985" spans="1:13">
      <c r="A985" s="21" t="str">
        <f t="shared" ca="1" si="60"/>
        <v>He-Res-2012-984</v>
      </c>
      <c r="B985" s="6">
        <v>34</v>
      </c>
      <c r="C985" s="6" t="str">
        <f t="shared" si="61"/>
        <v>30-39</v>
      </c>
      <c r="D985" s="6" t="s">
        <v>43</v>
      </c>
      <c r="E985" s="6" t="s">
        <v>45</v>
      </c>
      <c r="F985" s="6" t="s">
        <v>39</v>
      </c>
      <c r="G985" s="6" t="s">
        <v>54</v>
      </c>
      <c r="H985" s="8">
        <v>6687</v>
      </c>
      <c r="I985" s="8">
        <f t="shared" si="62"/>
        <v>1003.05</v>
      </c>
      <c r="J985" s="8">
        <f t="shared" si="63"/>
        <v>5683.95</v>
      </c>
      <c r="K985" s="8">
        <v>6163</v>
      </c>
      <c r="L985" s="6">
        <v>14</v>
      </c>
      <c r="M985" s="22" t="str" cm="1">
        <f t="array" ref="M985">_xlfn.IFS(L985&gt;10,"Veteran",L985&gt;=6,"Experienced",L985&gt;=2,"Developing",L985&gt;=0,"New")</f>
        <v>Veteran</v>
      </c>
    </row>
    <row r="986" spans="1:13">
      <c r="A986" s="21" t="str">
        <f t="shared" ca="1" si="60"/>
        <v>Sa-Sal-2021-985</v>
      </c>
      <c r="B986" s="6">
        <v>28</v>
      </c>
      <c r="C986" s="6" t="str">
        <f t="shared" si="61"/>
        <v>20-29</v>
      </c>
      <c r="D986" s="6" t="s">
        <v>43</v>
      </c>
      <c r="E986" s="6" t="s">
        <v>37</v>
      </c>
      <c r="F986" s="6" t="s">
        <v>46</v>
      </c>
      <c r="G986" s="6" t="s">
        <v>40</v>
      </c>
      <c r="H986" s="8">
        <v>4724</v>
      </c>
      <c r="I986" s="8">
        <f t="shared" si="62"/>
        <v>708.6</v>
      </c>
      <c r="J986" s="8">
        <f t="shared" si="63"/>
        <v>4015.4</v>
      </c>
      <c r="K986" s="8">
        <v>24232</v>
      </c>
      <c r="L986" s="6">
        <v>5</v>
      </c>
      <c r="M986" s="22" t="str" cm="1">
        <f t="array" ref="M986">_xlfn.IFS(L986&gt;10,"Veteran",L986&gt;=6,"Experienced",L986&gt;=2,"Developing",L986&gt;=0,"New")</f>
        <v>Developing</v>
      </c>
    </row>
    <row r="987" spans="1:13">
      <c r="A987" s="21" t="str">
        <f t="shared" ca="1" si="60"/>
        <v>Ma-Res-2016-986</v>
      </c>
      <c r="B987" s="6">
        <v>31</v>
      </c>
      <c r="C987" s="6" t="str">
        <f t="shared" si="61"/>
        <v>30-39</v>
      </c>
      <c r="D987" s="6" t="s">
        <v>35</v>
      </c>
      <c r="E987" s="6" t="s">
        <v>45</v>
      </c>
      <c r="F987" s="6" t="s">
        <v>46</v>
      </c>
      <c r="G987" s="6" t="s">
        <v>53</v>
      </c>
      <c r="H987" s="8">
        <v>6179</v>
      </c>
      <c r="I987" s="8">
        <f t="shared" si="62"/>
        <v>926.84999999999991</v>
      </c>
      <c r="J987" s="8">
        <f t="shared" si="63"/>
        <v>5252.15</v>
      </c>
      <c r="K987" s="8">
        <v>21057</v>
      </c>
      <c r="L987" s="6">
        <v>10</v>
      </c>
      <c r="M987" s="22" t="str" cm="1">
        <f t="array" ref="M987">_xlfn.IFS(L987&gt;10,"Veteran",L987&gt;=6,"Experienced",L987&gt;=2,"Developing",L987&gt;=0,"New")</f>
        <v>Experienced</v>
      </c>
    </row>
    <row r="988" spans="1:13">
      <c r="A988" s="21" t="str">
        <f t="shared" ca="1" si="60"/>
        <v>Sa-Sal-2021-987</v>
      </c>
      <c r="B988" s="6">
        <v>39</v>
      </c>
      <c r="C988" s="6" t="str">
        <f t="shared" si="61"/>
        <v>30-39</v>
      </c>
      <c r="D988" s="6" t="s">
        <v>43</v>
      </c>
      <c r="E988" s="6" t="s">
        <v>37</v>
      </c>
      <c r="F988" s="6" t="s">
        <v>46</v>
      </c>
      <c r="G988" s="6" t="s">
        <v>40</v>
      </c>
      <c r="H988" s="8">
        <v>6120</v>
      </c>
      <c r="I988" s="8">
        <f t="shared" si="62"/>
        <v>918</v>
      </c>
      <c r="J988" s="8">
        <f t="shared" si="63"/>
        <v>5202</v>
      </c>
      <c r="K988" s="8">
        <v>3567</v>
      </c>
      <c r="L988" s="6">
        <v>5</v>
      </c>
      <c r="M988" s="22" t="str" cm="1">
        <f t="array" ref="M988">_xlfn.IFS(L988&gt;10,"Veteran",L988&gt;=6,"Experienced",L988&gt;=2,"Developing",L988&gt;=0,"New")</f>
        <v>Developing</v>
      </c>
    </row>
    <row r="989" spans="1:13">
      <c r="A989" s="21" t="str">
        <f t="shared" ca="1" si="60"/>
        <v>Sa-Sal-2022-988</v>
      </c>
      <c r="B989" s="6">
        <v>51</v>
      </c>
      <c r="C989" s="6" t="str">
        <f t="shared" si="61"/>
        <v>50+</v>
      </c>
      <c r="D989" s="6" t="s">
        <v>43</v>
      </c>
      <c r="E989" s="6" t="s">
        <v>37</v>
      </c>
      <c r="F989" s="6" t="s">
        <v>46</v>
      </c>
      <c r="G989" s="6" t="s">
        <v>40</v>
      </c>
      <c r="H989" s="8">
        <v>10596</v>
      </c>
      <c r="I989" s="8">
        <f t="shared" si="62"/>
        <v>2331.12</v>
      </c>
      <c r="J989" s="8">
        <f t="shared" si="63"/>
        <v>8264.880000000001</v>
      </c>
      <c r="K989" s="8">
        <v>15395</v>
      </c>
      <c r="L989" s="6">
        <v>4</v>
      </c>
      <c r="M989" s="22" t="str" cm="1">
        <f t="array" ref="M989">_xlfn.IFS(L989&gt;10,"Veteran",L989&gt;=6,"Experienced",L989&gt;=2,"Developing",L989&gt;=0,"New")</f>
        <v>Developing</v>
      </c>
    </row>
    <row r="990" spans="1:13">
      <c r="A990" s="21" t="str">
        <f t="shared" ca="1" si="60"/>
        <v>Re-Res-2020-989</v>
      </c>
      <c r="B990" s="6">
        <v>41</v>
      </c>
      <c r="C990" s="6" t="str">
        <f t="shared" si="61"/>
        <v>40-49</v>
      </c>
      <c r="D990" s="6" t="s">
        <v>43</v>
      </c>
      <c r="E990" s="6" t="s">
        <v>45</v>
      </c>
      <c r="F990" s="6" t="s">
        <v>39</v>
      </c>
      <c r="G990" s="6" t="s">
        <v>47</v>
      </c>
      <c r="H990" s="8">
        <v>5467</v>
      </c>
      <c r="I990" s="8">
        <f t="shared" si="62"/>
        <v>820.05</v>
      </c>
      <c r="J990" s="8">
        <f t="shared" si="63"/>
        <v>4646.95</v>
      </c>
      <c r="K990" s="8">
        <v>13953</v>
      </c>
      <c r="L990" s="6">
        <v>6</v>
      </c>
      <c r="M990" s="22" t="str" cm="1">
        <f t="array" ref="M990">_xlfn.IFS(L990&gt;10,"Veteran",L990&gt;=6,"Experienced",L990&gt;=2,"Developing",L990&gt;=0,"New")</f>
        <v>Experienced</v>
      </c>
    </row>
    <row r="991" spans="1:13">
      <c r="A991" s="21" t="str">
        <f t="shared" ca="1" si="60"/>
        <v>Re-Res-2020-990</v>
      </c>
      <c r="B991" s="6">
        <v>37</v>
      </c>
      <c r="C991" s="6" t="str">
        <f t="shared" si="61"/>
        <v>30-39</v>
      </c>
      <c r="D991" s="6" t="s">
        <v>43</v>
      </c>
      <c r="E991" s="6" t="s">
        <v>45</v>
      </c>
      <c r="F991" s="6" t="s">
        <v>46</v>
      </c>
      <c r="G991" s="6" t="s">
        <v>47</v>
      </c>
      <c r="H991" s="8">
        <v>2996</v>
      </c>
      <c r="I991" s="8">
        <f t="shared" si="62"/>
        <v>209.72000000000003</v>
      </c>
      <c r="J991" s="8">
        <f t="shared" si="63"/>
        <v>2786.2799999999997</v>
      </c>
      <c r="K991" s="8">
        <v>5182</v>
      </c>
      <c r="L991" s="6">
        <v>6</v>
      </c>
      <c r="M991" s="22" t="str" cm="1">
        <f t="array" ref="M991">_xlfn.IFS(L991&gt;10,"Veteran",L991&gt;=6,"Experienced",L991&gt;=2,"Developing",L991&gt;=0,"New")</f>
        <v>Experienced</v>
      </c>
    </row>
    <row r="992" spans="1:13">
      <c r="A992" s="21" t="str">
        <f t="shared" ca="1" si="60"/>
        <v>Sa-Sal-2021-991</v>
      </c>
      <c r="B992" s="6">
        <v>33</v>
      </c>
      <c r="C992" s="6" t="str">
        <f t="shared" si="61"/>
        <v>30-39</v>
      </c>
      <c r="D992" s="6" t="s">
        <v>43</v>
      </c>
      <c r="E992" s="6" t="s">
        <v>37</v>
      </c>
      <c r="F992" s="6" t="s">
        <v>46</v>
      </c>
      <c r="G992" s="6" t="s">
        <v>40</v>
      </c>
      <c r="H992" s="8">
        <v>9998</v>
      </c>
      <c r="I992" s="8">
        <f t="shared" si="62"/>
        <v>2199.56</v>
      </c>
      <c r="J992" s="8">
        <f t="shared" si="63"/>
        <v>7798.4400000000005</v>
      </c>
      <c r="K992" s="8">
        <v>19293</v>
      </c>
      <c r="L992" s="6">
        <v>5</v>
      </c>
      <c r="M992" s="22" t="str" cm="1">
        <f t="array" ref="M992">_xlfn.IFS(L992&gt;10,"Veteran",L992&gt;=6,"Experienced",L992&gt;=2,"Developing",L992&gt;=0,"New")</f>
        <v>Developing</v>
      </c>
    </row>
    <row r="993" spans="1:13">
      <c r="A993" s="21" t="str">
        <f t="shared" ca="1" si="60"/>
        <v>Sa-Sal-2023-992</v>
      </c>
      <c r="B993" s="6">
        <v>32</v>
      </c>
      <c r="C993" s="6" t="str">
        <f t="shared" si="61"/>
        <v>30-39</v>
      </c>
      <c r="D993" s="6" t="s">
        <v>43</v>
      </c>
      <c r="E993" s="6" t="s">
        <v>37</v>
      </c>
      <c r="F993" s="6" t="s">
        <v>46</v>
      </c>
      <c r="G993" s="6" t="s">
        <v>40</v>
      </c>
      <c r="H993" s="8">
        <v>4078</v>
      </c>
      <c r="I993" s="8">
        <f t="shared" si="62"/>
        <v>611.69999999999993</v>
      </c>
      <c r="J993" s="8">
        <f t="shared" si="63"/>
        <v>3466.3</v>
      </c>
      <c r="K993" s="8">
        <v>20497</v>
      </c>
      <c r="L993" s="6">
        <v>3</v>
      </c>
      <c r="M993" s="22" t="str" cm="1">
        <f t="array" ref="M993">_xlfn.IFS(L993&gt;10,"Veteran",L993&gt;=6,"Experienced",L993&gt;=2,"Developing",L993&gt;=0,"New")</f>
        <v>Developing</v>
      </c>
    </row>
    <row r="994" spans="1:13">
      <c r="A994" s="21" t="str">
        <f t="shared" ca="1" si="60"/>
        <v>He-Res-2020-993</v>
      </c>
      <c r="B994" s="6">
        <v>39</v>
      </c>
      <c r="C994" s="6" t="str">
        <f t="shared" si="61"/>
        <v>30-39</v>
      </c>
      <c r="D994" s="6" t="s">
        <v>43</v>
      </c>
      <c r="E994" s="6" t="s">
        <v>45</v>
      </c>
      <c r="F994" s="6" t="s">
        <v>46</v>
      </c>
      <c r="G994" s="6" t="s">
        <v>54</v>
      </c>
      <c r="H994" s="8">
        <v>10920</v>
      </c>
      <c r="I994" s="8">
        <f t="shared" si="62"/>
        <v>2402.4</v>
      </c>
      <c r="J994" s="8">
        <f t="shared" si="63"/>
        <v>8517.6</v>
      </c>
      <c r="K994" s="8">
        <v>3449</v>
      </c>
      <c r="L994" s="6">
        <v>6</v>
      </c>
      <c r="M994" s="22" t="str" cm="1">
        <f t="array" ref="M994">_xlfn.IFS(L994&gt;10,"Veteran",L994&gt;=6,"Experienced",L994&gt;=2,"Developing",L994&gt;=0,"New")</f>
        <v>Experienced</v>
      </c>
    </row>
    <row r="995" spans="1:13">
      <c r="A995" s="21" t="str">
        <f t="shared" ca="1" si="60"/>
        <v>Sa-Sal-2023-994</v>
      </c>
      <c r="B995" s="6">
        <v>25</v>
      </c>
      <c r="C995" s="6" t="str">
        <f t="shared" si="61"/>
        <v>20-29</v>
      </c>
      <c r="D995" s="6" t="s">
        <v>43</v>
      </c>
      <c r="E995" s="6" t="s">
        <v>37</v>
      </c>
      <c r="F995" s="6" t="s">
        <v>46</v>
      </c>
      <c r="G995" s="6" t="s">
        <v>40</v>
      </c>
      <c r="H995" s="8">
        <v>6232</v>
      </c>
      <c r="I995" s="8">
        <f t="shared" si="62"/>
        <v>934.8</v>
      </c>
      <c r="J995" s="8">
        <f t="shared" si="63"/>
        <v>5297.2</v>
      </c>
      <c r="K995" s="8">
        <v>12477</v>
      </c>
      <c r="L995" s="6">
        <v>3</v>
      </c>
      <c r="M995" s="22" t="str" cm="1">
        <f t="array" ref="M995">_xlfn.IFS(L995&gt;10,"Veteran",L995&gt;=6,"Experienced",L995&gt;=2,"Developing",L995&gt;=0,"New")</f>
        <v>Developing</v>
      </c>
    </row>
    <row r="996" spans="1:13">
      <c r="A996" s="21" t="str">
        <f t="shared" ca="1" si="60"/>
        <v>Ma-Res-2021-995</v>
      </c>
      <c r="B996" s="6">
        <v>52</v>
      </c>
      <c r="C996" s="6" t="str">
        <f t="shared" si="61"/>
        <v>50+</v>
      </c>
      <c r="D996" s="6" t="s">
        <v>43</v>
      </c>
      <c r="E996" s="6" t="s">
        <v>45</v>
      </c>
      <c r="F996" s="6" t="s">
        <v>39</v>
      </c>
      <c r="G996" s="6" t="s">
        <v>53</v>
      </c>
      <c r="H996" s="8">
        <v>13247</v>
      </c>
      <c r="I996" s="8">
        <f t="shared" si="62"/>
        <v>3974.1</v>
      </c>
      <c r="J996" s="8">
        <f t="shared" si="63"/>
        <v>9272.9</v>
      </c>
      <c r="K996" s="8">
        <v>9731</v>
      </c>
      <c r="L996" s="6">
        <v>5</v>
      </c>
      <c r="M996" s="22" t="str" cm="1">
        <f t="array" ref="M996">_xlfn.IFS(L996&gt;10,"Veteran",L996&gt;=6,"Experienced",L996&gt;=2,"Developing",L996&gt;=0,"New")</f>
        <v>Developing</v>
      </c>
    </row>
    <row r="997" spans="1:13">
      <c r="A997" s="21" t="str">
        <f t="shared" ca="1" si="60"/>
        <v>Re-Res-2006-996</v>
      </c>
      <c r="B997" s="6">
        <v>43</v>
      </c>
      <c r="C997" s="6" t="str">
        <f t="shared" si="61"/>
        <v>40-49</v>
      </c>
      <c r="D997" s="6" t="s">
        <v>43</v>
      </c>
      <c r="E997" s="6" t="s">
        <v>45</v>
      </c>
      <c r="F997" s="6" t="s">
        <v>39</v>
      </c>
      <c r="G997" s="6" t="s">
        <v>47</v>
      </c>
      <c r="H997" s="8">
        <v>4081</v>
      </c>
      <c r="I997" s="8">
        <f t="shared" si="62"/>
        <v>612.15</v>
      </c>
      <c r="J997" s="8">
        <f t="shared" si="63"/>
        <v>3468.85</v>
      </c>
      <c r="K997" s="8">
        <v>20003</v>
      </c>
      <c r="L997" s="6">
        <v>20</v>
      </c>
      <c r="M997" s="22" t="str" cm="1">
        <f t="array" ref="M997">_xlfn.IFS(L997&gt;10,"Veteran",L997&gt;=6,"Experienced",L997&gt;=2,"Developing",L997&gt;=0,"New")</f>
        <v>Veteran</v>
      </c>
    </row>
    <row r="998" spans="1:13">
      <c r="A998" s="21" t="str">
        <f t="shared" ca="1" si="60"/>
        <v>Sa-Sal-2020-997</v>
      </c>
      <c r="B998" s="6">
        <v>27</v>
      </c>
      <c r="C998" s="6" t="str">
        <f t="shared" si="61"/>
        <v>20-29</v>
      </c>
      <c r="D998" s="6" t="s">
        <v>43</v>
      </c>
      <c r="E998" s="6" t="s">
        <v>37</v>
      </c>
      <c r="F998" s="6" t="s">
        <v>39</v>
      </c>
      <c r="G998" s="6" t="s">
        <v>40</v>
      </c>
      <c r="H998" s="8">
        <v>5769</v>
      </c>
      <c r="I998" s="8">
        <f t="shared" si="62"/>
        <v>865.35</v>
      </c>
      <c r="J998" s="8">
        <f t="shared" si="63"/>
        <v>4903.6499999999996</v>
      </c>
      <c r="K998" s="8">
        <v>7100</v>
      </c>
      <c r="L998" s="6">
        <v>6</v>
      </c>
      <c r="M998" s="22" t="str" cm="1">
        <f t="array" ref="M998">_xlfn.IFS(L998&gt;10,"Veteran",L998&gt;=6,"Experienced",L998&gt;=2,"Developing",L998&gt;=0,"New")</f>
        <v>Experienced</v>
      </c>
    </row>
    <row r="999" spans="1:13">
      <c r="A999" s="21" t="str">
        <f t="shared" ca="1" si="60"/>
        <v>Re-Res-2018-998</v>
      </c>
      <c r="B999" s="6">
        <v>27</v>
      </c>
      <c r="C999" s="6" t="str">
        <f t="shared" si="61"/>
        <v>20-29</v>
      </c>
      <c r="D999" s="6" t="s">
        <v>35</v>
      </c>
      <c r="E999" s="6" t="s">
        <v>45</v>
      </c>
      <c r="F999" s="6" t="s">
        <v>39</v>
      </c>
      <c r="G999" s="6" t="s">
        <v>47</v>
      </c>
      <c r="H999" s="8">
        <v>2394</v>
      </c>
      <c r="I999" s="8">
        <f t="shared" si="62"/>
        <v>167.58</v>
      </c>
      <c r="J999" s="8">
        <f t="shared" si="63"/>
        <v>2226.42</v>
      </c>
      <c r="K999" s="8">
        <v>25681</v>
      </c>
      <c r="L999" s="6">
        <v>8</v>
      </c>
      <c r="M999" s="22" t="str" cm="1">
        <f t="array" ref="M999">_xlfn.IFS(L999&gt;10,"Veteran",L999&gt;=6,"Experienced",L999&gt;=2,"Developing",L999&gt;=0,"New")</f>
        <v>Experienced</v>
      </c>
    </row>
    <row r="1000" spans="1:13">
      <c r="A1000" s="21" t="str">
        <f t="shared" ca="1" si="60"/>
        <v>Re-Res-2022-999</v>
      </c>
      <c r="B1000" s="6">
        <v>26</v>
      </c>
      <c r="C1000" s="6" t="str">
        <f t="shared" si="61"/>
        <v>20-29</v>
      </c>
      <c r="D1000" s="6" t="s">
        <v>43</v>
      </c>
      <c r="E1000" s="6" t="s">
        <v>45</v>
      </c>
      <c r="F1000" s="6" t="s">
        <v>46</v>
      </c>
      <c r="G1000" s="6" t="s">
        <v>47</v>
      </c>
      <c r="H1000" s="8">
        <v>3904</v>
      </c>
      <c r="I1000" s="8">
        <f t="shared" si="62"/>
        <v>585.6</v>
      </c>
      <c r="J1000" s="8">
        <f t="shared" si="63"/>
        <v>3318.4</v>
      </c>
      <c r="K1000" s="8">
        <v>4050</v>
      </c>
      <c r="L1000" s="6">
        <v>4</v>
      </c>
      <c r="M1000" s="22" t="str" cm="1">
        <f t="array" ref="M1000">_xlfn.IFS(L1000&gt;10,"Veteran",L1000&gt;=6,"Experienced",L1000&gt;=2,"Developing",L1000&gt;=0,"New")</f>
        <v>Developing</v>
      </c>
    </row>
    <row r="1001" spans="1:13">
      <c r="A1001" s="21" t="str">
        <f t="shared" ca="1" si="60"/>
        <v>Ma-Hum-2006-1000</v>
      </c>
      <c r="B1001" s="6">
        <v>42</v>
      </c>
      <c r="C1001" s="6" t="str">
        <f t="shared" si="61"/>
        <v>40-49</v>
      </c>
      <c r="D1001" s="6" t="s">
        <v>43</v>
      </c>
      <c r="E1001" s="6" t="s">
        <v>61</v>
      </c>
      <c r="F1001" s="6" t="s">
        <v>39</v>
      </c>
      <c r="G1001" s="6" t="s">
        <v>56</v>
      </c>
      <c r="H1001" s="8">
        <v>16799</v>
      </c>
      <c r="I1001" s="8">
        <f t="shared" si="62"/>
        <v>5039.7</v>
      </c>
      <c r="J1001" s="8">
        <f t="shared" si="63"/>
        <v>11759.3</v>
      </c>
      <c r="K1001" s="8">
        <v>16616</v>
      </c>
      <c r="L1001" s="6">
        <v>20</v>
      </c>
      <c r="M1001" s="22" t="str" cm="1">
        <f t="array" ref="M1001">_xlfn.IFS(L1001&gt;10,"Veteran",L1001&gt;=6,"Experienced",L1001&gt;=2,"Developing",L1001&gt;=0,"New")</f>
        <v>Veteran</v>
      </c>
    </row>
    <row r="1002" spans="1:13">
      <c r="A1002" s="21" t="str">
        <f t="shared" ca="1" si="60"/>
        <v>La-Res-2021-1001</v>
      </c>
      <c r="B1002" s="6">
        <v>52</v>
      </c>
      <c r="C1002" s="6" t="str">
        <f t="shared" si="61"/>
        <v>50+</v>
      </c>
      <c r="D1002" s="6" t="s">
        <v>43</v>
      </c>
      <c r="E1002" s="6" t="s">
        <v>45</v>
      </c>
      <c r="F1002" s="6" t="s">
        <v>39</v>
      </c>
      <c r="G1002" s="6" t="s">
        <v>50</v>
      </c>
      <c r="H1002" s="8">
        <v>2950</v>
      </c>
      <c r="I1002" s="8">
        <f t="shared" si="62"/>
        <v>206.50000000000003</v>
      </c>
      <c r="J1002" s="8">
        <f t="shared" si="63"/>
        <v>2743.5</v>
      </c>
      <c r="K1002" s="8">
        <v>17363</v>
      </c>
      <c r="L1002" s="6">
        <v>5</v>
      </c>
      <c r="M1002" s="22" t="str" cm="1">
        <f t="array" ref="M1002">_xlfn.IFS(L1002&gt;10,"Veteran",L1002&gt;=6,"Experienced",L1002&gt;=2,"Developing",L1002&gt;=0,"New")</f>
        <v>Developing</v>
      </c>
    </row>
    <row r="1003" spans="1:13">
      <c r="A1003" s="21" t="str">
        <f t="shared" ca="1" si="60"/>
        <v>La-Res-2023-1002</v>
      </c>
      <c r="B1003" s="6">
        <v>37</v>
      </c>
      <c r="C1003" s="6" t="str">
        <f t="shared" si="61"/>
        <v>30-39</v>
      </c>
      <c r="D1003" s="6" t="s">
        <v>43</v>
      </c>
      <c r="E1003" s="6" t="s">
        <v>45</v>
      </c>
      <c r="F1003" s="6" t="s">
        <v>39</v>
      </c>
      <c r="G1003" s="6" t="s">
        <v>50</v>
      </c>
      <c r="H1003" s="8">
        <v>3629</v>
      </c>
      <c r="I1003" s="8">
        <f t="shared" si="62"/>
        <v>544.35</v>
      </c>
      <c r="J1003" s="8">
        <f t="shared" si="63"/>
        <v>3084.65</v>
      </c>
      <c r="K1003" s="8">
        <v>19106</v>
      </c>
      <c r="L1003" s="6">
        <v>3</v>
      </c>
      <c r="M1003" s="22" t="str" cm="1">
        <f t="array" ref="M1003">_xlfn.IFS(L1003&gt;10,"Veteran",L1003&gt;=6,"Experienced",L1003&gt;=2,"Developing",L1003&gt;=0,"New")</f>
        <v>Developing</v>
      </c>
    </row>
    <row r="1004" spans="1:13">
      <c r="A1004" s="21" t="str">
        <f t="shared" ca="1" si="60"/>
        <v>Ma-Res-2024-1003</v>
      </c>
      <c r="B1004" s="6">
        <v>35</v>
      </c>
      <c r="C1004" s="6" t="str">
        <f t="shared" si="61"/>
        <v>30-39</v>
      </c>
      <c r="D1004" s="6" t="s">
        <v>43</v>
      </c>
      <c r="E1004" s="6" t="s">
        <v>45</v>
      </c>
      <c r="F1004" s="6" t="s">
        <v>46</v>
      </c>
      <c r="G1004" s="6" t="s">
        <v>53</v>
      </c>
      <c r="H1004" s="8">
        <v>9362</v>
      </c>
      <c r="I1004" s="8">
        <f t="shared" si="62"/>
        <v>2059.64</v>
      </c>
      <c r="J1004" s="8">
        <f t="shared" si="63"/>
        <v>7302.3600000000006</v>
      </c>
      <c r="K1004" s="8">
        <v>19944</v>
      </c>
      <c r="L1004" s="6">
        <v>2</v>
      </c>
      <c r="M1004" s="22" t="str" cm="1">
        <f t="array" ref="M1004">_xlfn.IFS(L1004&gt;10,"Veteran",L1004&gt;=6,"Experienced",L1004&gt;=2,"Developing",L1004&gt;=0,"New")</f>
        <v>Developing</v>
      </c>
    </row>
    <row r="1005" spans="1:13">
      <c r="A1005" s="21" t="str">
        <f t="shared" ca="1" si="60"/>
        <v>La-Res-2023-1004</v>
      </c>
      <c r="B1005" s="6">
        <v>25</v>
      </c>
      <c r="C1005" s="6" t="str">
        <f t="shared" si="61"/>
        <v>20-29</v>
      </c>
      <c r="D1005" s="6" t="s">
        <v>43</v>
      </c>
      <c r="E1005" s="6" t="s">
        <v>45</v>
      </c>
      <c r="F1005" s="6" t="s">
        <v>46</v>
      </c>
      <c r="G1005" s="6" t="s">
        <v>50</v>
      </c>
      <c r="H1005" s="8">
        <v>3229</v>
      </c>
      <c r="I1005" s="8">
        <f t="shared" si="62"/>
        <v>484.34999999999997</v>
      </c>
      <c r="J1005" s="8">
        <f t="shared" si="63"/>
        <v>2744.65</v>
      </c>
      <c r="K1005" s="8">
        <v>4910</v>
      </c>
      <c r="L1005" s="6">
        <v>3</v>
      </c>
      <c r="M1005" s="22" t="str" cm="1">
        <f t="array" ref="M1005">_xlfn.IFS(L1005&gt;10,"Veteran",L1005&gt;=6,"Experienced",L1005&gt;=2,"Developing",L1005&gt;=0,"New")</f>
        <v>Developing</v>
      </c>
    </row>
    <row r="1006" spans="1:13">
      <c r="A1006" s="21" t="str">
        <f t="shared" ca="1" si="60"/>
        <v>La-Res-2019-1005</v>
      </c>
      <c r="B1006" s="6">
        <v>26</v>
      </c>
      <c r="C1006" s="6" t="str">
        <f t="shared" si="61"/>
        <v>20-29</v>
      </c>
      <c r="D1006" s="6" t="s">
        <v>43</v>
      </c>
      <c r="E1006" s="6" t="s">
        <v>45</v>
      </c>
      <c r="F1006" s="6" t="s">
        <v>46</v>
      </c>
      <c r="G1006" s="6" t="s">
        <v>50</v>
      </c>
      <c r="H1006" s="8">
        <v>3578</v>
      </c>
      <c r="I1006" s="8">
        <f t="shared" si="62"/>
        <v>536.69999999999993</v>
      </c>
      <c r="J1006" s="8">
        <f t="shared" si="63"/>
        <v>3041.3</v>
      </c>
      <c r="K1006" s="8">
        <v>23577</v>
      </c>
      <c r="L1006" s="6">
        <v>7</v>
      </c>
      <c r="M1006" s="22" t="str" cm="1">
        <f t="array" ref="M1006">_xlfn.IFS(L1006&gt;10,"Veteran",L1006&gt;=6,"Experienced",L1006&gt;=2,"Developing",L1006&gt;=0,"New")</f>
        <v>Experienced</v>
      </c>
    </row>
    <row r="1007" spans="1:13">
      <c r="A1007" s="21" t="str">
        <f t="shared" ca="1" si="60"/>
        <v>Hu-Hum-2016-1006</v>
      </c>
      <c r="B1007" s="6">
        <v>29</v>
      </c>
      <c r="C1007" s="6" t="str">
        <f t="shared" si="61"/>
        <v>20-29</v>
      </c>
      <c r="D1007" s="6" t="s">
        <v>43</v>
      </c>
      <c r="E1007" s="6" t="s">
        <v>61</v>
      </c>
      <c r="F1007" s="6" t="s">
        <v>46</v>
      </c>
      <c r="G1007" s="6" t="s">
        <v>61</v>
      </c>
      <c r="H1007" s="8">
        <v>7988</v>
      </c>
      <c r="I1007" s="8">
        <f t="shared" si="62"/>
        <v>1757.36</v>
      </c>
      <c r="J1007" s="8">
        <f t="shared" si="63"/>
        <v>6230.64</v>
      </c>
      <c r="K1007" s="8">
        <v>9769</v>
      </c>
      <c r="L1007" s="6">
        <v>10</v>
      </c>
      <c r="M1007" s="22" t="str" cm="1">
        <f t="array" ref="M1007">_xlfn.IFS(L1007&gt;10,"Veteran",L1007&gt;=6,"Experienced",L1007&gt;=2,"Developing",L1007&gt;=0,"New")</f>
        <v>Experienced</v>
      </c>
    </row>
    <row r="1008" spans="1:13">
      <c r="A1008" s="21" t="str">
        <f t="shared" ca="1" si="60"/>
        <v>La-Res-2022-1007</v>
      </c>
      <c r="B1008" s="6">
        <v>49</v>
      </c>
      <c r="C1008" s="6" t="str">
        <f t="shared" si="61"/>
        <v>40-49</v>
      </c>
      <c r="D1008" s="6" t="s">
        <v>35</v>
      </c>
      <c r="E1008" s="6" t="s">
        <v>45</v>
      </c>
      <c r="F1008" s="6" t="s">
        <v>46</v>
      </c>
      <c r="G1008" s="6" t="s">
        <v>50</v>
      </c>
      <c r="H1008" s="8">
        <v>4284</v>
      </c>
      <c r="I1008" s="8">
        <f t="shared" si="62"/>
        <v>642.6</v>
      </c>
      <c r="J1008" s="8">
        <f t="shared" si="63"/>
        <v>3641.4</v>
      </c>
      <c r="K1008" s="8">
        <v>22710</v>
      </c>
      <c r="L1008" s="6">
        <v>4</v>
      </c>
      <c r="M1008" s="22" t="str" cm="1">
        <f t="array" ref="M1008">_xlfn.IFS(L1008&gt;10,"Veteran",L1008&gt;=6,"Experienced",L1008&gt;=2,"Developing",L1008&gt;=0,"New")</f>
        <v>Developing</v>
      </c>
    </row>
    <row r="1009" spans="1:13">
      <c r="A1009" s="21" t="str">
        <f t="shared" ca="1" si="60"/>
        <v>He-Res-2018-1008</v>
      </c>
      <c r="B1009" s="6">
        <v>29</v>
      </c>
      <c r="C1009" s="6" t="str">
        <f t="shared" si="61"/>
        <v>20-29</v>
      </c>
      <c r="D1009" s="6" t="s">
        <v>35</v>
      </c>
      <c r="E1009" s="6" t="s">
        <v>45</v>
      </c>
      <c r="F1009" s="6" t="s">
        <v>39</v>
      </c>
      <c r="G1009" s="6" t="s">
        <v>54</v>
      </c>
      <c r="H1009" s="8">
        <v>7553</v>
      </c>
      <c r="I1009" s="8">
        <f t="shared" si="62"/>
        <v>1661.66</v>
      </c>
      <c r="J1009" s="8">
        <f t="shared" si="63"/>
        <v>5891.34</v>
      </c>
      <c r="K1009" s="8">
        <v>22930</v>
      </c>
      <c r="L1009" s="6">
        <v>8</v>
      </c>
      <c r="M1009" s="22" t="str" cm="1">
        <f t="array" ref="M1009">_xlfn.IFS(L1009&gt;10,"Veteran",L1009&gt;=6,"Experienced",L1009&gt;=2,"Developing",L1009&gt;=0,"New")</f>
        <v>Experienced</v>
      </c>
    </row>
    <row r="1010" spans="1:13">
      <c r="A1010" s="21" t="str">
        <f t="shared" ca="1" si="60"/>
        <v>Re-Res-2006-1009</v>
      </c>
      <c r="B1010" s="6">
        <v>54</v>
      </c>
      <c r="C1010" s="6" t="str">
        <f t="shared" si="61"/>
        <v>50+</v>
      </c>
      <c r="D1010" s="6" t="s">
        <v>43</v>
      </c>
      <c r="E1010" s="6" t="s">
        <v>45</v>
      </c>
      <c r="F1010" s="6" t="s">
        <v>39</v>
      </c>
      <c r="G1010" s="6" t="s">
        <v>58</v>
      </c>
      <c r="H1010" s="8">
        <v>17328</v>
      </c>
      <c r="I1010" s="8">
        <f t="shared" si="62"/>
        <v>5198.3999999999996</v>
      </c>
      <c r="J1010" s="8">
        <f t="shared" si="63"/>
        <v>12129.6</v>
      </c>
      <c r="K1010" s="8">
        <v>5652</v>
      </c>
      <c r="L1010" s="6">
        <v>20</v>
      </c>
      <c r="M1010" s="22" t="str" cm="1">
        <f t="array" ref="M1010">_xlfn.IFS(L1010&gt;10,"Veteran",L1010&gt;=6,"Experienced",L1010&gt;=2,"Developing",L1010&gt;=0,"New")</f>
        <v>Veteran</v>
      </c>
    </row>
    <row r="1011" spans="1:13">
      <c r="A1011" s="21" t="str">
        <f t="shared" ca="1" si="60"/>
        <v>Re-Res-2017-1010</v>
      </c>
      <c r="B1011" s="6">
        <v>58</v>
      </c>
      <c r="C1011" s="6" t="str">
        <f t="shared" si="61"/>
        <v>50+</v>
      </c>
      <c r="D1011" s="6" t="s">
        <v>43</v>
      </c>
      <c r="E1011" s="6" t="s">
        <v>45</v>
      </c>
      <c r="F1011" s="6" t="s">
        <v>39</v>
      </c>
      <c r="G1011" s="6" t="s">
        <v>58</v>
      </c>
      <c r="H1011" s="8">
        <v>19701</v>
      </c>
      <c r="I1011" s="8">
        <f t="shared" si="62"/>
        <v>5910.3</v>
      </c>
      <c r="J1011" s="8">
        <f t="shared" si="63"/>
        <v>13790.7</v>
      </c>
      <c r="K1011" s="8">
        <v>22456</v>
      </c>
      <c r="L1011" s="6">
        <v>9</v>
      </c>
      <c r="M1011" s="22" t="str" cm="1">
        <f t="array" ref="M1011">_xlfn.IFS(L1011&gt;10,"Veteran",L1011&gt;=6,"Experienced",L1011&gt;=2,"Developing",L1011&gt;=0,"New")</f>
        <v>Experienced</v>
      </c>
    </row>
    <row r="1012" spans="1:13">
      <c r="A1012" s="21" t="str">
        <f t="shared" ca="1" si="60"/>
        <v>Re-Res-2019-1011</v>
      </c>
      <c r="B1012" s="6">
        <v>55</v>
      </c>
      <c r="C1012" s="6" t="str">
        <f t="shared" si="61"/>
        <v>50+</v>
      </c>
      <c r="D1012" s="6" t="s">
        <v>43</v>
      </c>
      <c r="E1012" s="6" t="s">
        <v>45</v>
      </c>
      <c r="F1012" s="6" t="s">
        <v>46</v>
      </c>
      <c r="G1012" s="6" t="s">
        <v>58</v>
      </c>
      <c r="H1012" s="8">
        <v>14732</v>
      </c>
      <c r="I1012" s="8">
        <f t="shared" si="62"/>
        <v>4419.5999999999995</v>
      </c>
      <c r="J1012" s="8">
        <f t="shared" si="63"/>
        <v>10312.400000000001</v>
      </c>
      <c r="K1012" s="8">
        <v>12414</v>
      </c>
      <c r="L1012" s="6">
        <v>7</v>
      </c>
      <c r="M1012" s="22" t="str" cm="1">
        <f t="array" ref="M1012">_xlfn.IFS(L1012&gt;10,"Veteran",L1012&gt;=6,"Experienced",L1012&gt;=2,"Developing",L1012&gt;=0,"New")</f>
        <v>Experienced</v>
      </c>
    </row>
    <row r="1013" spans="1:13">
      <c r="A1013" s="21" t="str">
        <f t="shared" ca="1" si="60"/>
        <v>Sa-Sal-2021-1012</v>
      </c>
      <c r="B1013" s="6">
        <v>36</v>
      </c>
      <c r="C1013" s="6" t="str">
        <f t="shared" si="61"/>
        <v>30-39</v>
      </c>
      <c r="D1013" s="6" t="s">
        <v>43</v>
      </c>
      <c r="E1013" s="6" t="s">
        <v>37</v>
      </c>
      <c r="F1013" s="6" t="s">
        <v>39</v>
      </c>
      <c r="G1013" s="6" t="s">
        <v>40</v>
      </c>
      <c r="H1013" s="8">
        <v>9278</v>
      </c>
      <c r="I1013" s="8">
        <f t="shared" si="62"/>
        <v>2041.16</v>
      </c>
      <c r="J1013" s="8">
        <f t="shared" si="63"/>
        <v>7236.84</v>
      </c>
      <c r="K1013" s="8">
        <v>20763</v>
      </c>
      <c r="L1013" s="6">
        <v>5</v>
      </c>
      <c r="M1013" s="22" t="str" cm="1">
        <f t="array" ref="M1013">_xlfn.IFS(L1013&gt;10,"Veteran",L1013&gt;=6,"Experienced",L1013&gt;=2,"Developing",L1013&gt;=0,"New")</f>
        <v>Developing</v>
      </c>
    </row>
    <row r="1014" spans="1:13">
      <c r="A1014" s="21" t="str">
        <f t="shared" ca="1" si="60"/>
        <v>Sa-Sal-2025-1013</v>
      </c>
      <c r="B1014" s="6">
        <v>31</v>
      </c>
      <c r="C1014" s="6" t="str">
        <f t="shared" si="61"/>
        <v>30-39</v>
      </c>
      <c r="D1014" s="6" t="s">
        <v>35</v>
      </c>
      <c r="E1014" s="6" t="s">
        <v>37</v>
      </c>
      <c r="F1014" s="6" t="s">
        <v>39</v>
      </c>
      <c r="G1014" s="6" t="s">
        <v>57</v>
      </c>
      <c r="H1014" s="8">
        <v>1359</v>
      </c>
      <c r="I1014" s="8">
        <f t="shared" si="62"/>
        <v>95.13000000000001</v>
      </c>
      <c r="J1014" s="8">
        <f t="shared" si="63"/>
        <v>1263.8699999999999</v>
      </c>
      <c r="K1014" s="8">
        <v>16154</v>
      </c>
      <c r="L1014" s="6">
        <v>1</v>
      </c>
      <c r="M1014" s="22" t="str" cm="1">
        <f t="array" ref="M1014">_xlfn.IFS(L1014&gt;10,"Veteran",L1014&gt;=6,"Experienced",L1014&gt;=2,"Developing",L1014&gt;=0,"New")</f>
        <v>New</v>
      </c>
    </row>
    <row r="1015" spans="1:13">
      <c r="A1015" s="21" t="str">
        <f t="shared" ca="1" si="60"/>
        <v>Sa-Sal-2023-1014</v>
      </c>
      <c r="B1015" s="6">
        <v>30</v>
      </c>
      <c r="C1015" s="6" t="str">
        <f t="shared" si="61"/>
        <v>30-39</v>
      </c>
      <c r="D1015" s="6" t="s">
        <v>43</v>
      </c>
      <c r="E1015" s="6" t="s">
        <v>37</v>
      </c>
      <c r="F1015" s="6" t="s">
        <v>39</v>
      </c>
      <c r="G1015" s="6" t="s">
        <v>40</v>
      </c>
      <c r="H1015" s="8">
        <v>4779</v>
      </c>
      <c r="I1015" s="8">
        <f t="shared" si="62"/>
        <v>716.85</v>
      </c>
      <c r="J1015" s="8">
        <f t="shared" si="63"/>
        <v>4062.15</v>
      </c>
      <c r="K1015" s="8">
        <v>12761</v>
      </c>
      <c r="L1015" s="6">
        <v>3</v>
      </c>
      <c r="M1015" s="22" t="str" cm="1">
        <f t="array" ref="M1015">_xlfn.IFS(L1015&gt;10,"Veteran",L1015&gt;=6,"Experienced",L1015&gt;=2,"Developing",L1015&gt;=0,"New")</f>
        <v>Developing</v>
      </c>
    </row>
    <row r="1016" spans="1:13">
      <c r="A1016" s="21" t="str">
        <f t="shared" ca="1" si="60"/>
        <v>Re-Res-2023-1015</v>
      </c>
      <c r="B1016" s="6">
        <v>31</v>
      </c>
      <c r="C1016" s="6" t="str">
        <f t="shared" si="61"/>
        <v>30-39</v>
      </c>
      <c r="D1016" s="6" t="s">
        <v>43</v>
      </c>
      <c r="E1016" s="6" t="s">
        <v>45</v>
      </c>
      <c r="F1016" s="6" t="s">
        <v>39</v>
      </c>
      <c r="G1016" s="6" t="s">
        <v>58</v>
      </c>
      <c r="H1016" s="8">
        <v>16422</v>
      </c>
      <c r="I1016" s="8">
        <f t="shared" si="62"/>
        <v>4926.5999999999995</v>
      </c>
      <c r="J1016" s="8">
        <f t="shared" si="63"/>
        <v>11495.400000000001</v>
      </c>
      <c r="K1016" s="8">
        <v>8847</v>
      </c>
      <c r="L1016" s="6">
        <v>3</v>
      </c>
      <c r="M1016" s="22" t="str" cm="1">
        <f t="array" ref="M1016">_xlfn.IFS(L1016&gt;10,"Veteran",L1016&gt;=6,"Experienced",L1016&gt;=2,"Developing",L1016&gt;=0,"New")</f>
        <v>Developing</v>
      </c>
    </row>
    <row r="1017" spans="1:13">
      <c r="A1017" s="21" t="str">
        <f t="shared" ca="1" si="60"/>
        <v>Re-Res-2022-1016</v>
      </c>
      <c r="B1017" s="6">
        <v>34</v>
      </c>
      <c r="C1017" s="6" t="str">
        <f t="shared" si="61"/>
        <v>30-39</v>
      </c>
      <c r="D1017" s="6" t="s">
        <v>43</v>
      </c>
      <c r="E1017" s="6" t="s">
        <v>45</v>
      </c>
      <c r="F1017" s="6" t="s">
        <v>46</v>
      </c>
      <c r="G1017" s="6" t="s">
        <v>47</v>
      </c>
      <c r="H1017" s="8">
        <v>2996</v>
      </c>
      <c r="I1017" s="8">
        <f t="shared" si="62"/>
        <v>209.72000000000003</v>
      </c>
      <c r="J1017" s="8">
        <f t="shared" si="63"/>
        <v>2786.2799999999997</v>
      </c>
      <c r="K1017" s="8">
        <v>20284</v>
      </c>
      <c r="L1017" s="6">
        <v>4</v>
      </c>
      <c r="M1017" s="22" t="str" cm="1">
        <f t="array" ref="M1017">_xlfn.IFS(L1017&gt;10,"Veteran",L1017&gt;=6,"Experienced",L1017&gt;=2,"Developing",L1017&gt;=0,"New")</f>
        <v>Developing</v>
      </c>
    </row>
    <row r="1018" spans="1:13">
      <c r="A1018" s="21" t="str">
        <f t="shared" ca="1" si="60"/>
        <v>Re-Res-2025-1017</v>
      </c>
      <c r="B1018" s="6">
        <v>31</v>
      </c>
      <c r="C1018" s="6" t="str">
        <f t="shared" si="61"/>
        <v>30-39</v>
      </c>
      <c r="D1018" s="6" t="s">
        <v>35</v>
      </c>
      <c r="E1018" s="6" t="s">
        <v>45</v>
      </c>
      <c r="F1018" s="6" t="s">
        <v>39</v>
      </c>
      <c r="G1018" s="6" t="s">
        <v>47</v>
      </c>
      <c r="H1018" s="8">
        <v>1261</v>
      </c>
      <c r="I1018" s="8">
        <f t="shared" si="62"/>
        <v>88.27000000000001</v>
      </c>
      <c r="J1018" s="8">
        <f t="shared" si="63"/>
        <v>1172.73</v>
      </c>
      <c r="K1018" s="8">
        <v>22262</v>
      </c>
      <c r="L1018" s="6">
        <v>1</v>
      </c>
      <c r="M1018" s="22" t="str" cm="1">
        <f t="array" ref="M1018">_xlfn.IFS(L1018&gt;10,"Veteran",L1018&gt;=6,"Experienced",L1018&gt;=2,"Developing",L1018&gt;=0,"New")</f>
        <v>New</v>
      </c>
    </row>
    <row r="1019" spans="1:13">
      <c r="A1019" s="21" t="str">
        <f t="shared" ca="1" si="60"/>
        <v>La-Res-2021-1018</v>
      </c>
      <c r="B1019" s="6">
        <v>27</v>
      </c>
      <c r="C1019" s="6" t="str">
        <f t="shared" si="61"/>
        <v>20-29</v>
      </c>
      <c r="D1019" s="6" t="s">
        <v>43</v>
      </c>
      <c r="E1019" s="6" t="s">
        <v>45</v>
      </c>
      <c r="F1019" s="6" t="s">
        <v>46</v>
      </c>
      <c r="G1019" s="6" t="s">
        <v>50</v>
      </c>
      <c r="H1019" s="8">
        <v>2099</v>
      </c>
      <c r="I1019" s="8">
        <f t="shared" si="62"/>
        <v>146.93</v>
      </c>
      <c r="J1019" s="8">
        <f t="shared" si="63"/>
        <v>1952.07</v>
      </c>
      <c r="K1019" s="8">
        <v>7679</v>
      </c>
      <c r="L1019" s="6">
        <v>5</v>
      </c>
      <c r="M1019" s="22" t="str" cm="1">
        <f t="array" ref="M1019">_xlfn.IFS(L1019&gt;10,"Veteran",L1019&gt;=6,"Experienced",L1019&gt;=2,"Developing",L1019&gt;=0,"New")</f>
        <v>Developing</v>
      </c>
    </row>
    <row r="1020" spans="1:13">
      <c r="A1020" s="21" t="str">
        <f t="shared" ca="1" si="60"/>
        <v>La-Res-2016-1019</v>
      </c>
      <c r="B1020" s="6">
        <v>36</v>
      </c>
      <c r="C1020" s="6" t="str">
        <f t="shared" si="61"/>
        <v>30-39</v>
      </c>
      <c r="D1020" s="6" t="s">
        <v>43</v>
      </c>
      <c r="E1020" s="6" t="s">
        <v>45</v>
      </c>
      <c r="F1020" s="6" t="s">
        <v>46</v>
      </c>
      <c r="G1020" s="6" t="s">
        <v>50</v>
      </c>
      <c r="H1020" s="8">
        <v>5810</v>
      </c>
      <c r="I1020" s="8">
        <f t="shared" si="62"/>
        <v>871.5</v>
      </c>
      <c r="J1020" s="8">
        <f t="shared" si="63"/>
        <v>4938.5</v>
      </c>
      <c r="K1020" s="8">
        <v>22604</v>
      </c>
      <c r="L1020" s="6">
        <v>10</v>
      </c>
      <c r="M1020" s="22" t="str" cm="1">
        <f t="array" ref="M1020">_xlfn.IFS(L1020&gt;10,"Veteran",L1020&gt;=6,"Experienced",L1020&gt;=2,"Developing",L1020&gt;=0,"New")</f>
        <v>Experienced</v>
      </c>
    </row>
    <row r="1021" spans="1:13">
      <c r="A1021" s="21" t="str">
        <f t="shared" ca="1" si="60"/>
        <v>Sa-Sal-2023-1020</v>
      </c>
      <c r="B1021" s="6">
        <v>36</v>
      </c>
      <c r="C1021" s="6" t="str">
        <f t="shared" si="61"/>
        <v>30-39</v>
      </c>
      <c r="D1021" s="6" t="s">
        <v>43</v>
      </c>
      <c r="E1021" s="6" t="s">
        <v>37</v>
      </c>
      <c r="F1021" s="6" t="s">
        <v>39</v>
      </c>
      <c r="G1021" s="6" t="s">
        <v>40</v>
      </c>
      <c r="H1021" s="8">
        <v>5647</v>
      </c>
      <c r="I1021" s="8">
        <f t="shared" si="62"/>
        <v>847.05</v>
      </c>
      <c r="J1021" s="8">
        <f t="shared" si="63"/>
        <v>4799.95</v>
      </c>
      <c r="K1021" s="8">
        <v>13494</v>
      </c>
      <c r="L1021" s="6">
        <v>3</v>
      </c>
      <c r="M1021" s="22" t="str" cm="1">
        <f t="array" ref="M1021">_xlfn.IFS(L1021&gt;10,"Veteran",L1021&gt;=6,"Experienced",L1021&gt;=2,"Developing",L1021&gt;=0,"New")</f>
        <v>Developing</v>
      </c>
    </row>
    <row r="1022" spans="1:13">
      <c r="A1022" s="21" t="str">
        <f t="shared" ca="1" si="60"/>
        <v>Re-Res-2020-1021</v>
      </c>
      <c r="B1022" s="6">
        <v>47</v>
      </c>
      <c r="C1022" s="6" t="str">
        <f t="shared" si="61"/>
        <v>40-49</v>
      </c>
      <c r="D1022" s="6" t="s">
        <v>43</v>
      </c>
      <c r="E1022" s="6" t="s">
        <v>45</v>
      </c>
      <c r="F1022" s="6" t="s">
        <v>46</v>
      </c>
      <c r="G1022" s="6" t="s">
        <v>47</v>
      </c>
      <c r="H1022" s="8">
        <v>3420</v>
      </c>
      <c r="I1022" s="8">
        <f t="shared" si="62"/>
        <v>513</v>
      </c>
      <c r="J1022" s="8">
        <f t="shared" si="63"/>
        <v>2907</v>
      </c>
      <c r="K1022" s="8">
        <v>10205</v>
      </c>
      <c r="L1022" s="6">
        <v>6</v>
      </c>
      <c r="M1022" s="22" t="str" cm="1">
        <f t="array" ref="M1022">_xlfn.IFS(L1022&gt;10,"Veteran",L1022&gt;=6,"Experienced",L1022&gt;=2,"Developing",L1022&gt;=0,"New")</f>
        <v>Experienced</v>
      </c>
    </row>
    <row r="1023" spans="1:13">
      <c r="A1023" s="21" t="str">
        <f t="shared" ca="1" si="60"/>
        <v>Sa-Sal-2023-1022</v>
      </c>
      <c r="B1023" s="6">
        <v>25</v>
      </c>
      <c r="C1023" s="6" t="str">
        <f t="shared" si="61"/>
        <v>20-29</v>
      </c>
      <c r="D1023" s="6" t="s">
        <v>35</v>
      </c>
      <c r="E1023" s="6" t="s">
        <v>37</v>
      </c>
      <c r="F1023" s="6" t="s">
        <v>46</v>
      </c>
      <c r="G1023" s="6" t="s">
        <v>57</v>
      </c>
      <c r="H1023" s="8">
        <v>4400</v>
      </c>
      <c r="I1023" s="8">
        <f t="shared" si="62"/>
        <v>660</v>
      </c>
      <c r="J1023" s="8">
        <f t="shared" si="63"/>
        <v>3740</v>
      </c>
      <c r="K1023" s="8">
        <v>15182</v>
      </c>
      <c r="L1023" s="6">
        <v>3</v>
      </c>
      <c r="M1023" s="22" t="str" cm="1">
        <f t="array" ref="M1023">_xlfn.IFS(L1023&gt;10,"Veteran",L1023&gt;=6,"Experienced",L1023&gt;=2,"Developing",L1023&gt;=0,"New")</f>
        <v>Developing</v>
      </c>
    </row>
    <row r="1024" spans="1:13">
      <c r="A1024" s="21" t="str">
        <f t="shared" ca="1" si="60"/>
        <v>La-Res-2020-1023</v>
      </c>
      <c r="B1024" s="6">
        <v>37</v>
      </c>
      <c r="C1024" s="6" t="str">
        <f t="shared" si="61"/>
        <v>30-39</v>
      </c>
      <c r="D1024" s="6" t="s">
        <v>43</v>
      </c>
      <c r="E1024" s="6" t="s">
        <v>45</v>
      </c>
      <c r="F1024" s="6" t="s">
        <v>46</v>
      </c>
      <c r="G1024" s="6" t="s">
        <v>50</v>
      </c>
      <c r="H1024" s="8">
        <v>3500</v>
      </c>
      <c r="I1024" s="8">
        <f t="shared" si="62"/>
        <v>525</v>
      </c>
      <c r="J1024" s="8">
        <f t="shared" si="63"/>
        <v>2975</v>
      </c>
      <c r="K1024" s="8">
        <v>25470</v>
      </c>
      <c r="L1024" s="6">
        <v>6</v>
      </c>
      <c r="M1024" s="22" t="str" cm="1">
        <f t="array" ref="M1024">_xlfn.IFS(L1024&gt;10,"Veteran",L1024&gt;=6,"Experienced",L1024&gt;=2,"Developing",L1024&gt;=0,"New")</f>
        <v>Experienced</v>
      </c>
    </row>
    <row r="1025" spans="1:13">
      <c r="A1025" s="21" t="str">
        <f t="shared" ca="1" si="60"/>
        <v>Re-Res-2023-1024</v>
      </c>
      <c r="B1025" s="6">
        <v>56</v>
      </c>
      <c r="C1025" s="6" t="str">
        <f t="shared" si="61"/>
        <v>50+</v>
      </c>
      <c r="D1025" s="6" t="s">
        <v>43</v>
      </c>
      <c r="E1025" s="6" t="s">
        <v>45</v>
      </c>
      <c r="F1025" s="6" t="s">
        <v>39</v>
      </c>
      <c r="G1025" s="6" t="s">
        <v>47</v>
      </c>
      <c r="H1025" s="8">
        <v>2066</v>
      </c>
      <c r="I1025" s="8">
        <f t="shared" si="62"/>
        <v>144.62</v>
      </c>
      <c r="J1025" s="8">
        <f t="shared" si="63"/>
        <v>1921.38</v>
      </c>
      <c r="K1025" s="8">
        <v>10494</v>
      </c>
      <c r="L1025" s="6">
        <v>3</v>
      </c>
      <c r="M1025" s="22" t="str" cm="1">
        <f t="array" ref="M1025">_xlfn.IFS(L1025&gt;10,"Veteran",L1025&gt;=6,"Experienced",L1025&gt;=2,"Developing",L1025&gt;=0,"New")</f>
        <v>Developing</v>
      </c>
    </row>
    <row r="1026" spans="1:13">
      <c r="A1026" s="21" t="str">
        <f t="shared" ca="1" si="60"/>
        <v>Re-Res-2006-1025</v>
      </c>
      <c r="B1026" s="6">
        <v>47</v>
      </c>
      <c r="C1026" s="6" t="str">
        <f t="shared" si="61"/>
        <v>40-49</v>
      </c>
      <c r="D1026" s="6" t="s">
        <v>43</v>
      </c>
      <c r="E1026" s="6" t="s">
        <v>45</v>
      </c>
      <c r="F1026" s="6" t="s">
        <v>39</v>
      </c>
      <c r="G1026" s="6" t="s">
        <v>58</v>
      </c>
      <c r="H1026" s="8">
        <v>17169</v>
      </c>
      <c r="I1026" s="8">
        <f t="shared" si="62"/>
        <v>5150.7</v>
      </c>
      <c r="J1026" s="8">
        <f t="shared" si="63"/>
        <v>12018.3</v>
      </c>
      <c r="K1026" s="8">
        <v>26703</v>
      </c>
      <c r="L1026" s="6">
        <v>20</v>
      </c>
      <c r="M1026" s="22" t="str" cm="1">
        <f t="array" ref="M1026">_xlfn.IFS(L1026&gt;10,"Veteran",L1026&gt;=6,"Experienced",L1026&gt;=2,"Developing",L1026&gt;=0,"New")</f>
        <v>Veteran</v>
      </c>
    </row>
    <row r="1027" spans="1:13">
      <c r="A1027" s="21" t="str">
        <f t="shared" ref="A1027:A1090" ca="1" si="64">LEFT(G1027,2)&amp;"-"&amp;LEFT(E1027,3)&amp;"-"&amp;YEAR(TODAY())-L1027&amp;"-"&amp;TEXT(ROW()-1,"000")</f>
        <v>Sa-Sal-2021-1026</v>
      </c>
      <c r="B1027" s="6">
        <v>24</v>
      </c>
      <c r="C1027" s="6" t="str">
        <f t="shared" ref="C1027:C1090" si="65">IF(B1027&lt;=29,"20-29",IF(B1027&lt;=39,"30-39",IF(B1027&lt;=49,"40-49","50+")))</f>
        <v>20-29</v>
      </c>
      <c r="D1027" s="6" t="s">
        <v>43</v>
      </c>
      <c r="E1027" s="6" t="s">
        <v>37</v>
      </c>
      <c r="F1027" s="6" t="s">
        <v>39</v>
      </c>
      <c r="G1027" s="6" t="s">
        <v>40</v>
      </c>
      <c r="H1027" s="8">
        <v>4162</v>
      </c>
      <c r="I1027" s="8">
        <f t="shared" ref="I1027:I1090" si="66">IF(H1027&gt;13000,H1027*30%,IF(H1027&gt;7000,H1027*22%,IF(H1027&gt;3000,H1027*15%,H1027*7%)))</f>
        <v>624.29999999999995</v>
      </c>
      <c r="J1027" s="8">
        <f t="shared" ref="J1027:J1090" si="67">H1027-I1027</f>
        <v>3537.7</v>
      </c>
      <c r="K1027" s="8">
        <v>15211</v>
      </c>
      <c r="L1027" s="6">
        <v>5</v>
      </c>
      <c r="M1027" s="22" t="str" cm="1">
        <f t="array" ref="M1027">_xlfn.IFS(L1027&gt;10,"Veteran",L1027&gt;=6,"Experienced",L1027&gt;=2,"Developing",L1027&gt;=0,"New")</f>
        <v>Developing</v>
      </c>
    </row>
    <row r="1028" spans="1:13">
      <c r="A1028" s="21" t="str">
        <f t="shared" ca="1" si="64"/>
        <v>Sa-Sal-2022-1027</v>
      </c>
      <c r="B1028" s="6">
        <v>32</v>
      </c>
      <c r="C1028" s="6" t="str">
        <f t="shared" si="65"/>
        <v>30-39</v>
      </c>
      <c r="D1028" s="6" t="s">
        <v>43</v>
      </c>
      <c r="E1028" s="6" t="s">
        <v>37</v>
      </c>
      <c r="F1028" s="6" t="s">
        <v>46</v>
      </c>
      <c r="G1028" s="6" t="s">
        <v>40</v>
      </c>
      <c r="H1028" s="8">
        <v>9204</v>
      </c>
      <c r="I1028" s="8">
        <f t="shared" si="66"/>
        <v>2024.88</v>
      </c>
      <c r="J1028" s="8">
        <f t="shared" si="67"/>
        <v>7179.12</v>
      </c>
      <c r="K1028" s="8">
        <v>23343</v>
      </c>
      <c r="L1028" s="6">
        <v>4</v>
      </c>
      <c r="M1028" s="22" t="str" cm="1">
        <f t="array" ref="M1028">_xlfn.IFS(L1028&gt;10,"Veteran",L1028&gt;=6,"Experienced",L1028&gt;=2,"Developing",L1028&gt;=0,"New")</f>
        <v>Developing</v>
      </c>
    </row>
    <row r="1029" spans="1:13">
      <c r="A1029" s="21" t="str">
        <f t="shared" ca="1" si="64"/>
        <v>La-Res-2021-1028</v>
      </c>
      <c r="B1029" s="6">
        <v>34</v>
      </c>
      <c r="C1029" s="6" t="str">
        <f t="shared" si="65"/>
        <v>30-39</v>
      </c>
      <c r="D1029" s="6" t="s">
        <v>43</v>
      </c>
      <c r="E1029" s="6" t="s">
        <v>45</v>
      </c>
      <c r="F1029" s="6" t="s">
        <v>39</v>
      </c>
      <c r="G1029" s="6" t="s">
        <v>50</v>
      </c>
      <c r="H1029" s="8">
        <v>3294</v>
      </c>
      <c r="I1029" s="8">
        <f t="shared" si="66"/>
        <v>494.09999999999997</v>
      </c>
      <c r="J1029" s="8">
        <f t="shared" si="67"/>
        <v>2799.9</v>
      </c>
      <c r="K1029" s="8">
        <v>3708</v>
      </c>
      <c r="L1029" s="6">
        <v>5</v>
      </c>
      <c r="M1029" s="22" t="str" cm="1">
        <f t="array" ref="M1029">_xlfn.IFS(L1029&gt;10,"Veteran",L1029&gt;=6,"Experienced",L1029&gt;=2,"Developing",L1029&gt;=0,"New")</f>
        <v>Developing</v>
      </c>
    </row>
    <row r="1030" spans="1:13">
      <c r="A1030" s="21" t="str">
        <f t="shared" ca="1" si="64"/>
        <v>Re-Res-2022-1029</v>
      </c>
      <c r="B1030" s="6">
        <v>41</v>
      </c>
      <c r="C1030" s="6" t="str">
        <f t="shared" si="65"/>
        <v>40-49</v>
      </c>
      <c r="D1030" s="6" t="s">
        <v>43</v>
      </c>
      <c r="E1030" s="6" t="s">
        <v>45</v>
      </c>
      <c r="F1030" s="6" t="s">
        <v>46</v>
      </c>
      <c r="G1030" s="6" t="s">
        <v>47</v>
      </c>
      <c r="H1030" s="8">
        <v>2127</v>
      </c>
      <c r="I1030" s="8">
        <f t="shared" si="66"/>
        <v>148.89000000000001</v>
      </c>
      <c r="J1030" s="8">
        <f t="shared" si="67"/>
        <v>1978.11</v>
      </c>
      <c r="K1030" s="8">
        <v>5561</v>
      </c>
      <c r="L1030" s="6">
        <v>4</v>
      </c>
      <c r="M1030" s="22" t="str" cm="1">
        <f t="array" ref="M1030">_xlfn.IFS(L1030&gt;10,"Veteran",L1030&gt;=6,"Experienced",L1030&gt;=2,"Developing",L1030&gt;=0,"New")</f>
        <v>Developing</v>
      </c>
    </row>
    <row r="1031" spans="1:13">
      <c r="A1031" s="21" t="str">
        <f t="shared" ca="1" si="64"/>
        <v>La-Res-2018-1030</v>
      </c>
      <c r="B1031" s="6">
        <v>40</v>
      </c>
      <c r="C1031" s="6" t="str">
        <f t="shared" si="65"/>
        <v>40-49</v>
      </c>
      <c r="D1031" s="6" t="s">
        <v>43</v>
      </c>
      <c r="E1031" s="6" t="s">
        <v>45</v>
      </c>
      <c r="F1031" s="6" t="s">
        <v>46</v>
      </c>
      <c r="G1031" s="6" t="s">
        <v>50</v>
      </c>
      <c r="H1031" s="8">
        <v>3975</v>
      </c>
      <c r="I1031" s="8">
        <f t="shared" si="66"/>
        <v>596.25</v>
      </c>
      <c r="J1031" s="8">
        <f t="shared" si="67"/>
        <v>3378.75</v>
      </c>
      <c r="K1031" s="8">
        <v>23099</v>
      </c>
      <c r="L1031" s="6">
        <v>8</v>
      </c>
      <c r="M1031" s="22" t="str" cm="1">
        <f t="array" ref="M1031">_xlfn.IFS(L1031&gt;10,"Veteran",L1031&gt;=6,"Experienced",L1031&gt;=2,"Developing",L1031&gt;=0,"New")</f>
        <v>Experienced</v>
      </c>
    </row>
    <row r="1032" spans="1:13">
      <c r="A1032" s="21" t="str">
        <f t="shared" ca="1" si="64"/>
        <v>Sa-Sal-2013-1031</v>
      </c>
      <c r="B1032" s="6">
        <v>31</v>
      </c>
      <c r="C1032" s="6" t="str">
        <f t="shared" si="65"/>
        <v>30-39</v>
      </c>
      <c r="D1032" s="6" t="s">
        <v>43</v>
      </c>
      <c r="E1032" s="6" t="s">
        <v>37</v>
      </c>
      <c r="F1032" s="6" t="s">
        <v>46</v>
      </c>
      <c r="G1032" s="6" t="s">
        <v>40</v>
      </c>
      <c r="H1032" s="8">
        <v>10793</v>
      </c>
      <c r="I1032" s="8">
        <f t="shared" si="66"/>
        <v>2374.46</v>
      </c>
      <c r="J1032" s="8">
        <f t="shared" si="67"/>
        <v>8418.5400000000009</v>
      </c>
      <c r="K1032" s="8">
        <v>8386</v>
      </c>
      <c r="L1032" s="6">
        <v>13</v>
      </c>
      <c r="M1032" s="22" t="str" cm="1">
        <f t="array" ref="M1032">_xlfn.IFS(L1032&gt;10,"Veteran",L1032&gt;=6,"Experienced",L1032&gt;=2,"Developing",L1032&gt;=0,"New")</f>
        <v>Veteran</v>
      </c>
    </row>
    <row r="1033" spans="1:13">
      <c r="A1033" s="21" t="str">
        <f t="shared" ca="1" si="64"/>
        <v>Sa-Sal-2019-1032</v>
      </c>
      <c r="B1033" s="6">
        <v>46</v>
      </c>
      <c r="C1033" s="6" t="str">
        <f t="shared" si="65"/>
        <v>40-49</v>
      </c>
      <c r="D1033" s="6" t="s">
        <v>35</v>
      </c>
      <c r="E1033" s="6" t="s">
        <v>37</v>
      </c>
      <c r="F1033" s="6" t="s">
        <v>46</v>
      </c>
      <c r="G1033" s="6" t="s">
        <v>40</v>
      </c>
      <c r="H1033" s="8">
        <v>10096</v>
      </c>
      <c r="I1033" s="8">
        <f t="shared" si="66"/>
        <v>2221.12</v>
      </c>
      <c r="J1033" s="8">
        <f t="shared" si="67"/>
        <v>7874.88</v>
      </c>
      <c r="K1033" s="8">
        <v>15986</v>
      </c>
      <c r="L1033" s="6">
        <v>7</v>
      </c>
      <c r="M1033" s="22" t="str" cm="1">
        <f t="array" ref="M1033">_xlfn.IFS(L1033&gt;10,"Veteran",L1033&gt;=6,"Experienced",L1033&gt;=2,"Developing",L1033&gt;=0,"New")</f>
        <v>Experienced</v>
      </c>
    </row>
    <row r="1034" spans="1:13">
      <c r="A1034" s="21" t="str">
        <f t="shared" ca="1" si="64"/>
        <v>La-Res-2025-1033</v>
      </c>
      <c r="B1034" s="6">
        <v>39</v>
      </c>
      <c r="C1034" s="6" t="str">
        <f t="shared" si="65"/>
        <v>30-39</v>
      </c>
      <c r="D1034" s="6" t="s">
        <v>35</v>
      </c>
      <c r="E1034" s="6" t="s">
        <v>45</v>
      </c>
      <c r="F1034" s="6" t="s">
        <v>39</v>
      </c>
      <c r="G1034" s="6" t="s">
        <v>50</v>
      </c>
      <c r="H1034" s="8">
        <v>3646</v>
      </c>
      <c r="I1034" s="8">
        <f t="shared" si="66"/>
        <v>546.9</v>
      </c>
      <c r="J1034" s="8">
        <f t="shared" si="67"/>
        <v>3099.1</v>
      </c>
      <c r="K1034" s="8">
        <v>17181</v>
      </c>
      <c r="L1034" s="6">
        <v>1</v>
      </c>
      <c r="M1034" s="22" t="str" cm="1">
        <f t="array" ref="M1034">_xlfn.IFS(L1034&gt;10,"Veteran",L1034&gt;=6,"Experienced",L1034&gt;=2,"Developing",L1034&gt;=0,"New")</f>
        <v>New</v>
      </c>
    </row>
    <row r="1035" spans="1:13">
      <c r="A1035" s="21" t="str">
        <f t="shared" ca="1" si="64"/>
        <v>Ma-Res-2016-1034</v>
      </c>
      <c r="B1035" s="6">
        <v>31</v>
      </c>
      <c r="C1035" s="6" t="str">
        <f t="shared" si="65"/>
        <v>30-39</v>
      </c>
      <c r="D1035" s="6" t="s">
        <v>35</v>
      </c>
      <c r="E1035" s="6" t="s">
        <v>45</v>
      </c>
      <c r="F1035" s="6" t="s">
        <v>39</v>
      </c>
      <c r="G1035" s="6" t="s">
        <v>53</v>
      </c>
      <c r="H1035" s="8">
        <v>7446</v>
      </c>
      <c r="I1035" s="8">
        <f t="shared" si="66"/>
        <v>1638.1200000000001</v>
      </c>
      <c r="J1035" s="8">
        <f t="shared" si="67"/>
        <v>5807.88</v>
      </c>
      <c r="K1035" s="8">
        <v>8931</v>
      </c>
      <c r="L1035" s="6">
        <v>10</v>
      </c>
      <c r="M1035" s="22" t="str" cm="1">
        <f t="array" ref="M1035">_xlfn.IFS(L1035&gt;10,"Veteran",L1035&gt;=6,"Experienced",L1035&gt;=2,"Developing",L1035&gt;=0,"New")</f>
        <v>Experienced</v>
      </c>
    </row>
    <row r="1036" spans="1:13">
      <c r="A1036" s="21" t="str">
        <f t="shared" ca="1" si="64"/>
        <v>He-Res-2019-1035</v>
      </c>
      <c r="B1036" s="6">
        <v>45</v>
      </c>
      <c r="C1036" s="6" t="str">
        <f t="shared" si="65"/>
        <v>40-49</v>
      </c>
      <c r="D1036" s="6" t="s">
        <v>43</v>
      </c>
      <c r="E1036" s="6" t="s">
        <v>45</v>
      </c>
      <c r="F1036" s="6" t="s">
        <v>46</v>
      </c>
      <c r="G1036" s="6" t="s">
        <v>54</v>
      </c>
      <c r="H1036" s="8">
        <v>10851</v>
      </c>
      <c r="I1036" s="8">
        <f t="shared" si="66"/>
        <v>2387.2199999999998</v>
      </c>
      <c r="J1036" s="8">
        <f t="shared" si="67"/>
        <v>8463.7800000000007</v>
      </c>
      <c r="K1036" s="8">
        <v>19863</v>
      </c>
      <c r="L1036" s="6">
        <v>7</v>
      </c>
      <c r="M1036" s="22" t="str" cm="1">
        <f t="array" ref="M1036">_xlfn.IFS(L1036&gt;10,"Veteran",L1036&gt;=6,"Experienced",L1036&gt;=2,"Developing",L1036&gt;=0,"New")</f>
        <v>Experienced</v>
      </c>
    </row>
    <row r="1037" spans="1:13">
      <c r="A1037" s="21" t="str">
        <f t="shared" ca="1" si="64"/>
        <v>Hu-Hum-2023-1036</v>
      </c>
      <c r="B1037" s="6">
        <v>31</v>
      </c>
      <c r="C1037" s="6" t="str">
        <f t="shared" si="65"/>
        <v>30-39</v>
      </c>
      <c r="D1037" s="6" t="s">
        <v>43</v>
      </c>
      <c r="E1037" s="6" t="s">
        <v>61</v>
      </c>
      <c r="F1037" s="6" t="s">
        <v>39</v>
      </c>
      <c r="G1037" s="6" t="s">
        <v>61</v>
      </c>
      <c r="H1037" s="8">
        <v>2109</v>
      </c>
      <c r="I1037" s="8">
        <f t="shared" si="66"/>
        <v>147.63000000000002</v>
      </c>
      <c r="J1037" s="8">
        <f t="shared" si="67"/>
        <v>1961.37</v>
      </c>
      <c r="K1037" s="8">
        <v>24609</v>
      </c>
      <c r="L1037" s="6">
        <v>3</v>
      </c>
      <c r="M1037" s="22" t="str" cm="1">
        <f t="array" ref="M1037">_xlfn.IFS(L1037&gt;10,"Veteran",L1037&gt;=6,"Experienced",L1037&gt;=2,"Developing",L1037&gt;=0,"New")</f>
        <v>Developing</v>
      </c>
    </row>
    <row r="1038" spans="1:13">
      <c r="A1038" s="21" t="str">
        <f t="shared" ca="1" si="64"/>
        <v>La-Res-2024-1037</v>
      </c>
      <c r="B1038" s="6">
        <v>31</v>
      </c>
      <c r="C1038" s="6" t="str">
        <f t="shared" si="65"/>
        <v>30-39</v>
      </c>
      <c r="D1038" s="6" t="s">
        <v>35</v>
      </c>
      <c r="E1038" s="6" t="s">
        <v>45</v>
      </c>
      <c r="F1038" s="6" t="s">
        <v>46</v>
      </c>
      <c r="G1038" s="6" t="s">
        <v>50</v>
      </c>
      <c r="H1038" s="8">
        <v>3722</v>
      </c>
      <c r="I1038" s="8">
        <f t="shared" si="66"/>
        <v>558.29999999999995</v>
      </c>
      <c r="J1038" s="8">
        <f t="shared" si="67"/>
        <v>3163.7</v>
      </c>
      <c r="K1038" s="8">
        <v>21081</v>
      </c>
      <c r="L1038" s="6">
        <v>2</v>
      </c>
      <c r="M1038" s="22" t="str" cm="1">
        <f t="array" ref="M1038">_xlfn.IFS(L1038&gt;10,"Veteran",L1038&gt;=6,"Experienced",L1038&gt;=2,"Developing",L1038&gt;=0,"New")</f>
        <v>Developing</v>
      </c>
    </row>
    <row r="1039" spans="1:13">
      <c r="A1039" s="21" t="str">
        <f t="shared" ca="1" si="64"/>
        <v>Ma-Res-2023-1038</v>
      </c>
      <c r="B1039" s="6">
        <v>45</v>
      </c>
      <c r="C1039" s="6" t="str">
        <f t="shared" si="65"/>
        <v>40-49</v>
      </c>
      <c r="D1039" s="6" t="s">
        <v>43</v>
      </c>
      <c r="E1039" s="6" t="s">
        <v>45</v>
      </c>
      <c r="F1039" s="6" t="s">
        <v>46</v>
      </c>
      <c r="G1039" s="6" t="s">
        <v>53</v>
      </c>
      <c r="H1039" s="8">
        <v>9380</v>
      </c>
      <c r="I1039" s="8">
        <f t="shared" si="66"/>
        <v>2063.6</v>
      </c>
      <c r="J1039" s="8">
        <f t="shared" si="67"/>
        <v>7316.4</v>
      </c>
      <c r="K1039" s="8">
        <v>14720</v>
      </c>
      <c r="L1039" s="6">
        <v>3</v>
      </c>
      <c r="M1039" s="22" t="str" cm="1">
        <f t="array" ref="M1039">_xlfn.IFS(L1039&gt;10,"Veteran",L1039&gt;=6,"Experienced",L1039&gt;=2,"Developing",L1039&gt;=0,"New")</f>
        <v>Developing</v>
      </c>
    </row>
    <row r="1040" spans="1:13">
      <c r="A1040" s="21" t="str">
        <f t="shared" ca="1" si="64"/>
        <v>Sa-Sal-2024-1039</v>
      </c>
      <c r="B1040" s="6">
        <v>48</v>
      </c>
      <c r="C1040" s="6" t="str">
        <f t="shared" si="65"/>
        <v>40-49</v>
      </c>
      <c r="D1040" s="6" t="s">
        <v>43</v>
      </c>
      <c r="E1040" s="6" t="s">
        <v>37</v>
      </c>
      <c r="F1040" s="6" t="s">
        <v>46</v>
      </c>
      <c r="G1040" s="6" t="s">
        <v>40</v>
      </c>
      <c r="H1040" s="8">
        <v>5486</v>
      </c>
      <c r="I1040" s="8">
        <f t="shared" si="66"/>
        <v>822.9</v>
      </c>
      <c r="J1040" s="8">
        <f t="shared" si="67"/>
        <v>4663.1000000000004</v>
      </c>
      <c r="K1040" s="8">
        <v>24795</v>
      </c>
      <c r="L1040" s="6">
        <v>2</v>
      </c>
      <c r="M1040" s="22" t="str" cm="1">
        <f t="array" ref="M1040">_xlfn.IFS(L1040&gt;10,"Veteran",L1040&gt;=6,"Experienced",L1040&gt;=2,"Developing",L1040&gt;=0,"New")</f>
        <v>Developing</v>
      </c>
    </row>
    <row r="1041" spans="1:13">
      <c r="A1041" s="21" t="str">
        <f t="shared" ca="1" si="64"/>
        <v>Hu-Hum-2024-1040</v>
      </c>
      <c r="B1041" s="6">
        <v>34</v>
      </c>
      <c r="C1041" s="6" t="str">
        <f t="shared" si="65"/>
        <v>30-39</v>
      </c>
      <c r="D1041" s="6" t="s">
        <v>35</v>
      </c>
      <c r="E1041" s="6" t="s">
        <v>61</v>
      </c>
      <c r="F1041" s="6" t="s">
        <v>39</v>
      </c>
      <c r="G1041" s="6" t="s">
        <v>61</v>
      </c>
      <c r="H1041" s="8">
        <v>2742</v>
      </c>
      <c r="I1041" s="8">
        <f t="shared" si="66"/>
        <v>191.94000000000003</v>
      </c>
      <c r="J1041" s="8">
        <f t="shared" si="67"/>
        <v>2550.06</v>
      </c>
      <c r="K1041" s="8">
        <v>3072</v>
      </c>
      <c r="L1041" s="6">
        <v>2</v>
      </c>
      <c r="M1041" s="22" t="str" cm="1">
        <f t="array" ref="M1041">_xlfn.IFS(L1041&gt;10,"Veteran",L1041&gt;=6,"Experienced",L1041&gt;=2,"Developing",L1041&gt;=0,"New")</f>
        <v>Developing</v>
      </c>
    </row>
    <row r="1042" spans="1:13">
      <c r="A1042" s="21" t="str">
        <f t="shared" ca="1" si="64"/>
        <v>Re-Res-2017-1041</v>
      </c>
      <c r="B1042" s="6">
        <v>40</v>
      </c>
      <c r="C1042" s="6" t="str">
        <f t="shared" si="65"/>
        <v>40-49</v>
      </c>
      <c r="D1042" s="6" t="s">
        <v>43</v>
      </c>
      <c r="E1042" s="6" t="s">
        <v>45</v>
      </c>
      <c r="F1042" s="6" t="s">
        <v>46</v>
      </c>
      <c r="G1042" s="6" t="s">
        <v>58</v>
      </c>
      <c r="H1042" s="8">
        <v>13757</v>
      </c>
      <c r="I1042" s="8">
        <f t="shared" si="66"/>
        <v>4127.0999999999995</v>
      </c>
      <c r="J1042" s="8">
        <f t="shared" si="67"/>
        <v>9629.9000000000015</v>
      </c>
      <c r="K1042" s="8">
        <v>25178</v>
      </c>
      <c r="L1042" s="6">
        <v>9</v>
      </c>
      <c r="M1042" s="22" t="str" cm="1">
        <f t="array" ref="M1042">_xlfn.IFS(L1042&gt;10,"Veteran",L1042&gt;=6,"Experienced",L1042&gt;=2,"Developing",L1042&gt;=0,"New")</f>
        <v>Experienced</v>
      </c>
    </row>
    <row r="1043" spans="1:13">
      <c r="A1043" s="21" t="str">
        <f t="shared" ca="1" si="64"/>
        <v>Sa-Sal-2021-1042</v>
      </c>
      <c r="B1043" s="6">
        <v>28</v>
      </c>
      <c r="C1043" s="6" t="str">
        <f t="shared" si="65"/>
        <v>20-29</v>
      </c>
      <c r="D1043" s="6" t="s">
        <v>43</v>
      </c>
      <c r="E1043" s="6" t="s">
        <v>37</v>
      </c>
      <c r="F1043" s="6" t="s">
        <v>46</v>
      </c>
      <c r="G1043" s="6" t="s">
        <v>40</v>
      </c>
      <c r="H1043" s="8">
        <v>8463</v>
      </c>
      <c r="I1043" s="8">
        <f t="shared" si="66"/>
        <v>1861.86</v>
      </c>
      <c r="J1043" s="8">
        <f t="shared" si="67"/>
        <v>6601.14</v>
      </c>
      <c r="K1043" s="8">
        <v>23490</v>
      </c>
      <c r="L1043" s="6">
        <v>5</v>
      </c>
      <c r="M1043" s="22" t="str" cm="1">
        <f t="array" ref="M1043">_xlfn.IFS(L1043&gt;10,"Veteran",L1043&gt;=6,"Experienced",L1043&gt;=2,"Developing",L1043&gt;=0,"New")</f>
        <v>Developing</v>
      </c>
    </row>
    <row r="1044" spans="1:13">
      <c r="A1044" s="21" t="str">
        <f t="shared" ca="1" si="64"/>
        <v>La-Res-2021-1043</v>
      </c>
      <c r="B1044" s="6">
        <v>44</v>
      </c>
      <c r="C1044" s="6" t="str">
        <f t="shared" si="65"/>
        <v>40-49</v>
      </c>
      <c r="D1044" s="6" t="s">
        <v>43</v>
      </c>
      <c r="E1044" s="6" t="s">
        <v>45</v>
      </c>
      <c r="F1044" s="6" t="s">
        <v>46</v>
      </c>
      <c r="G1044" s="6" t="s">
        <v>50</v>
      </c>
      <c r="H1044" s="8">
        <v>3162</v>
      </c>
      <c r="I1044" s="8">
        <f t="shared" si="66"/>
        <v>474.29999999999995</v>
      </c>
      <c r="J1044" s="8">
        <f t="shared" si="67"/>
        <v>2687.7</v>
      </c>
      <c r="K1044" s="8">
        <v>7973</v>
      </c>
      <c r="L1044" s="6">
        <v>5</v>
      </c>
      <c r="M1044" s="22" t="str" cm="1">
        <f t="array" ref="M1044">_xlfn.IFS(L1044&gt;10,"Veteran",L1044&gt;=6,"Experienced",L1044&gt;=2,"Developing",L1044&gt;=0,"New")</f>
        <v>Developing</v>
      </c>
    </row>
    <row r="1045" spans="1:13">
      <c r="A1045" s="21" t="str">
        <f t="shared" ca="1" si="64"/>
        <v>Re-Res-2017-1044</v>
      </c>
      <c r="B1045" s="6">
        <v>53</v>
      </c>
      <c r="C1045" s="6" t="str">
        <f t="shared" si="65"/>
        <v>50+</v>
      </c>
      <c r="D1045" s="6" t="s">
        <v>43</v>
      </c>
      <c r="E1045" s="6" t="s">
        <v>45</v>
      </c>
      <c r="F1045" s="6" t="s">
        <v>46</v>
      </c>
      <c r="G1045" s="6" t="s">
        <v>58</v>
      </c>
      <c r="H1045" s="8">
        <v>16598</v>
      </c>
      <c r="I1045" s="8">
        <f t="shared" si="66"/>
        <v>4979.3999999999996</v>
      </c>
      <c r="J1045" s="8">
        <f t="shared" si="67"/>
        <v>11618.6</v>
      </c>
      <c r="K1045" s="8">
        <v>19764</v>
      </c>
      <c r="L1045" s="6">
        <v>9</v>
      </c>
      <c r="M1045" s="22" t="str" cm="1">
        <f t="array" ref="M1045">_xlfn.IFS(L1045&gt;10,"Veteran",L1045&gt;=6,"Experienced",L1045&gt;=2,"Developing",L1045&gt;=0,"New")</f>
        <v>Experienced</v>
      </c>
    </row>
    <row r="1046" spans="1:13">
      <c r="A1046" s="21" t="str">
        <f t="shared" ca="1" si="64"/>
        <v>He-Res-2023-1045</v>
      </c>
      <c r="B1046" s="6">
        <v>49</v>
      </c>
      <c r="C1046" s="6" t="str">
        <f t="shared" si="65"/>
        <v>40-49</v>
      </c>
      <c r="D1046" s="6" t="s">
        <v>43</v>
      </c>
      <c r="E1046" s="6" t="s">
        <v>45</v>
      </c>
      <c r="F1046" s="6" t="s">
        <v>46</v>
      </c>
      <c r="G1046" s="6" t="s">
        <v>54</v>
      </c>
      <c r="H1046" s="8">
        <v>6651</v>
      </c>
      <c r="I1046" s="8">
        <f t="shared" si="66"/>
        <v>997.65</v>
      </c>
      <c r="J1046" s="8">
        <f t="shared" si="67"/>
        <v>5653.35</v>
      </c>
      <c r="K1046" s="8">
        <v>21534</v>
      </c>
      <c r="L1046" s="6">
        <v>3</v>
      </c>
      <c r="M1046" s="22" t="str" cm="1">
        <f t="array" ref="M1046">_xlfn.IFS(L1046&gt;10,"Veteran",L1046&gt;=6,"Experienced",L1046&gt;=2,"Developing",L1046&gt;=0,"New")</f>
        <v>Developing</v>
      </c>
    </row>
    <row r="1047" spans="1:13">
      <c r="A1047" s="21" t="str">
        <f t="shared" ca="1" si="64"/>
        <v>Re-Res-2023-1046</v>
      </c>
      <c r="B1047" s="6">
        <v>40</v>
      </c>
      <c r="C1047" s="6" t="str">
        <f t="shared" si="65"/>
        <v>40-49</v>
      </c>
      <c r="D1047" s="6" t="s">
        <v>43</v>
      </c>
      <c r="E1047" s="6" t="s">
        <v>45</v>
      </c>
      <c r="F1047" s="6" t="s">
        <v>46</v>
      </c>
      <c r="G1047" s="6" t="s">
        <v>47</v>
      </c>
      <c r="H1047" s="8">
        <v>2345</v>
      </c>
      <c r="I1047" s="8">
        <f t="shared" si="66"/>
        <v>164.15</v>
      </c>
      <c r="J1047" s="8">
        <f t="shared" si="67"/>
        <v>2180.85</v>
      </c>
      <c r="K1047" s="8">
        <v>8045</v>
      </c>
      <c r="L1047" s="6">
        <v>3</v>
      </c>
      <c r="M1047" s="22" t="str" cm="1">
        <f t="array" ref="M1047">_xlfn.IFS(L1047&gt;10,"Veteran",L1047&gt;=6,"Experienced",L1047&gt;=2,"Developing",L1047&gt;=0,"New")</f>
        <v>Developing</v>
      </c>
    </row>
    <row r="1048" spans="1:13">
      <c r="A1048" s="21" t="str">
        <f t="shared" ca="1" si="64"/>
        <v>Re-Res-2021-1047</v>
      </c>
      <c r="B1048" s="6">
        <v>44</v>
      </c>
      <c r="C1048" s="6" t="str">
        <f t="shared" si="65"/>
        <v>40-49</v>
      </c>
      <c r="D1048" s="6" t="s">
        <v>43</v>
      </c>
      <c r="E1048" s="6" t="s">
        <v>45</v>
      </c>
      <c r="F1048" s="6" t="s">
        <v>46</v>
      </c>
      <c r="G1048" s="6" t="s">
        <v>47</v>
      </c>
      <c r="H1048" s="8">
        <v>3420</v>
      </c>
      <c r="I1048" s="8">
        <f t="shared" si="66"/>
        <v>513</v>
      </c>
      <c r="J1048" s="8">
        <f t="shared" si="67"/>
        <v>2907</v>
      </c>
      <c r="K1048" s="8">
        <v>21158</v>
      </c>
      <c r="L1048" s="6">
        <v>5</v>
      </c>
      <c r="M1048" s="22" t="str" cm="1">
        <f t="array" ref="M1048">_xlfn.IFS(L1048&gt;10,"Veteran",L1048&gt;=6,"Experienced",L1048&gt;=2,"Developing",L1048&gt;=0,"New")</f>
        <v>Developing</v>
      </c>
    </row>
    <row r="1049" spans="1:13">
      <c r="A1049" s="21" t="str">
        <f t="shared" ca="1" si="64"/>
        <v>Sa-Sal-2022-1048</v>
      </c>
      <c r="B1049" s="6">
        <v>33</v>
      </c>
      <c r="C1049" s="6" t="str">
        <f t="shared" si="65"/>
        <v>30-39</v>
      </c>
      <c r="D1049" s="6" t="s">
        <v>43</v>
      </c>
      <c r="E1049" s="6" t="s">
        <v>37</v>
      </c>
      <c r="F1049" s="6" t="s">
        <v>46</v>
      </c>
      <c r="G1049" s="6" t="s">
        <v>40</v>
      </c>
      <c r="H1049" s="8">
        <v>4373</v>
      </c>
      <c r="I1049" s="8">
        <f t="shared" si="66"/>
        <v>655.94999999999993</v>
      </c>
      <c r="J1049" s="8">
        <f t="shared" si="67"/>
        <v>3717.05</v>
      </c>
      <c r="K1049" s="8">
        <v>17456</v>
      </c>
      <c r="L1049" s="6">
        <v>4</v>
      </c>
      <c r="M1049" s="22" t="str" cm="1">
        <f t="array" ref="M1049">_xlfn.IFS(L1049&gt;10,"Veteran",L1049&gt;=6,"Experienced",L1049&gt;=2,"Developing",L1049&gt;=0,"New")</f>
        <v>Developing</v>
      </c>
    </row>
    <row r="1050" spans="1:13">
      <c r="A1050" s="21" t="str">
        <f t="shared" ca="1" si="64"/>
        <v>Sa-Sal-2013-1049</v>
      </c>
      <c r="B1050" s="6">
        <v>34</v>
      </c>
      <c r="C1050" s="6" t="str">
        <f t="shared" si="65"/>
        <v>30-39</v>
      </c>
      <c r="D1050" s="6" t="s">
        <v>43</v>
      </c>
      <c r="E1050" s="6" t="s">
        <v>37</v>
      </c>
      <c r="F1050" s="6" t="s">
        <v>46</v>
      </c>
      <c r="G1050" s="6" t="s">
        <v>40</v>
      </c>
      <c r="H1050" s="8">
        <v>4759</v>
      </c>
      <c r="I1050" s="8">
        <f t="shared" si="66"/>
        <v>713.85</v>
      </c>
      <c r="J1050" s="8">
        <f t="shared" si="67"/>
        <v>4045.15</v>
      </c>
      <c r="K1050" s="8">
        <v>15891</v>
      </c>
      <c r="L1050" s="6">
        <v>13</v>
      </c>
      <c r="M1050" s="22" t="str" cm="1">
        <f t="array" ref="M1050">_xlfn.IFS(L1050&gt;10,"Veteran",L1050&gt;=6,"Experienced",L1050&gt;=2,"Developing",L1050&gt;=0,"New")</f>
        <v>Veteran</v>
      </c>
    </row>
    <row r="1051" spans="1:13">
      <c r="A1051" s="21" t="str">
        <f t="shared" ca="1" si="64"/>
        <v>Sa-Sal-2024-1050</v>
      </c>
      <c r="B1051" s="6">
        <v>30</v>
      </c>
      <c r="C1051" s="6" t="str">
        <f t="shared" si="65"/>
        <v>30-39</v>
      </c>
      <c r="D1051" s="6" t="s">
        <v>43</v>
      </c>
      <c r="E1051" s="6" t="s">
        <v>37</v>
      </c>
      <c r="F1051" s="6" t="s">
        <v>46</v>
      </c>
      <c r="G1051" s="6" t="s">
        <v>40</v>
      </c>
      <c r="H1051" s="8">
        <v>5301</v>
      </c>
      <c r="I1051" s="8">
        <f t="shared" si="66"/>
        <v>795.15</v>
      </c>
      <c r="J1051" s="8">
        <f t="shared" si="67"/>
        <v>4505.8500000000004</v>
      </c>
      <c r="K1051" s="8">
        <v>2939</v>
      </c>
      <c r="L1051" s="6">
        <v>2</v>
      </c>
      <c r="M1051" s="22" t="str" cm="1">
        <f t="array" ref="M1051">_xlfn.IFS(L1051&gt;10,"Veteran",L1051&gt;=6,"Experienced",L1051&gt;=2,"Developing",L1051&gt;=0,"New")</f>
        <v>Developing</v>
      </c>
    </row>
    <row r="1052" spans="1:13">
      <c r="A1052" s="21" t="str">
        <f t="shared" ca="1" si="64"/>
        <v>La-Res-2014-1051</v>
      </c>
      <c r="B1052" s="6">
        <v>42</v>
      </c>
      <c r="C1052" s="6" t="str">
        <f t="shared" si="65"/>
        <v>40-49</v>
      </c>
      <c r="D1052" s="6" t="s">
        <v>43</v>
      </c>
      <c r="E1052" s="6" t="s">
        <v>45</v>
      </c>
      <c r="F1052" s="6" t="s">
        <v>39</v>
      </c>
      <c r="G1052" s="6" t="s">
        <v>50</v>
      </c>
      <c r="H1052" s="8">
        <v>3673</v>
      </c>
      <c r="I1052" s="8">
        <f t="shared" si="66"/>
        <v>550.94999999999993</v>
      </c>
      <c r="J1052" s="8">
        <f t="shared" si="67"/>
        <v>3122.05</v>
      </c>
      <c r="K1052" s="8">
        <v>16458</v>
      </c>
      <c r="L1052" s="6">
        <v>12</v>
      </c>
      <c r="M1052" s="22" t="str" cm="1">
        <f t="array" ref="M1052">_xlfn.IFS(L1052&gt;10,"Veteran",L1052&gt;=6,"Experienced",L1052&gt;=2,"Developing",L1052&gt;=0,"New")</f>
        <v>Veteran</v>
      </c>
    </row>
    <row r="1053" spans="1:13">
      <c r="A1053" s="21" t="str">
        <f t="shared" ca="1" si="64"/>
        <v>Sa-Sal-2025-1052</v>
      </c>
      <c r="B1053" s="6">
        <v>44</v>
      </c>
      <c r="C1053" s="6" t="str">
        <f t="shared" si="65"/>
        <v>40-49</v>
      </c>
      <c r="D1053" s="6" t="s">
        <v>43</v>
      </c>
      <c r="E1053" s="6" t="s">
        <v>37</v>
      </c>
      <c r="F1053" s="6" t="s">
        <v>39</v>
      </c>
      <c r="G1053" s="6" t="s">
        <v>40</v>
      </c>
      <c r="H1053" s="8">
        <v>4768</v>
      </c>
      <c r="I1053" s="8">
        <f t="shared" si="66"/>
        <v>715.19999999999993</v>
      </c>
      <c r="J1053" s="8">
        <f t="shared" si="67"/>
        <v>4052.8</v>
      </c>
      <c r="K1053" s="8">
        <v>9282</v>
      </c>
      <c r="L1053" s="6">
        <v>1</v>
      </c>
      <c r="M1053" s="22" t="str" cm="1">
        <f t="array" ref="M1053">_xlfn.IFS(L1053&gt;10,"Veteran",L1053&gt;=6,"Experienced",L1053&gt;=2,"Developing",L1053&gt;=0,"New")</f>
        <v>New</v>
      </c>
    </row>
    <row r="1054" spans="1:13">
      <c r="A1054" s="21" t="str">
        <f t="shared" ca="1" si="64"/>
        <v>Re-Res-2025-1053</v>
      </c>
      <c r="B1054" s="6">
        <v>30</v>
      </c>
      <c r="C1054" s="6" t="str">
        <f t="shared" si="65"/>
        <v>30-39</v>
      </c>
      <c r="D1054" s="6" t="s">
        <v>43</v>
      </c>
      <c r="E1054" s="6" t="s">
        <v>45</v>
      </c>
      <c r="F1054" s="6" t="s">
        <v>46</v>
      </c>
      <c r="G1054" s="6" t="s">
        <v>47</v>
      </c>
      <c r="H1054" s="8">
        <v>1274</v>
      </c>
      <c r="I1054" s="8">
        <f t="shared" si="66"/>
        <v>89.18</v>
      </c>
      <c r="J1054" s="8">
        <f t="shared" si="67"/>
        <v>1184.82</v>
      </c>
      <c r="K1054" s="8">
        <v>7152</v>
      </c>
      <c r="L1054" s="6">
        <v>1</v>
      </c>
      <c r="M1054" s="22" t="str" cm="1">
        <f t="array" ref="M1054">_xlfn.IFS(L1054&gt;10,"Veteran",L1054&gt;=6,"Experienced",L1054&gt;=2,"Developing",L1054&gt;=0,"New")</f>
        <v>New</v>
      </c>
    </row>
    <row r="1055" spans="1:13">
      <c r="A1055" s="21" t="str">
        <f t="shared" ca="1" si="64"/>
        <v>Re-Res-2014-1054</v>
      </c>
      <c r="B1055" s="6">
        <v>57</v>
      </c>
      <c r="C1055" s="6" t="str">
        <f t="shared" si="65"/>
        <v>50+</v>
      </c>
      <c r="D1055" s="6" t="s">
        <v>43</v>
      </c>
      <c r="E1055" s="6" t="s">
        <v>45</v>
      </c>
      <c r="F1055" s="6" t="s">
        <v>46</v>
      </c>
      <c r="G1055" s="6" t="s">
        <v>47</v>
      </c>
      <c r="H1055" s="8">
        <v>4900</v>
      </c>
      <c r="I1055" s="8">
        <f t="shared" si="66"/>
        <v>735</v>
      </c>
      <c r="J1055" s="8">
        <f t="shared" si="67"/>
        <v>4165</v>
      </c>
      <c r="K1055" s="8">
        <v>2721</v>
      </c>
      <c r="L1055" s="6">
        <v>12</v>
      </c>
      <c r="M1055" s="22" t="str" cm="1">
        <f t="array" ref="M1055">_xlfn.IFS(L1055&gt;10,"Veteran",L1055&gt;=6,"Experienced",L1055&gt;=2,"Developing",L1055&gt;=0,"New")</f>
        <v>Veteran</v>
      </c>
    </row>
    <row r="1056" spans="1:13">
      <c r="A1056" s="21" t="str">
        <f t="shared" ca="1" si="64"/>
        <v>He-Res-2018-1055</v>
      </c>
      <c r="B1056" s="6">
        <v>49</v>
      </c>
      <c r="C1056" s="6" t="str">
        <f t="shared" si="65"/>
        <v>40-49</v>
      </c>
      <c r="D1056" s="6" t="s">
        <v>43</v>
      </c>
      <c r="E1056" s="6" t="s">
        <v>45</v>
      </c>
      <c r="F1056" s="6" t="s">
        <v>46</v>
      </c>
      <c r="G1056" s="6" t="s">
        <v>54</v>
      </c>
      <c r="H1056" s="8">
        <v>10466</v>
      </c>
      <c r="I1056" s="8">
        <f t="shared" si="66"/>
        <v>2302.52</v>
      </c>
      <c r="J1056" s="8">
        <f t="shared" si="67"/>
        <v>8163.48</v>
      </c>
      <c r="K1056" s="8">
        <v>20948</v>
      </c>
      <c r="L1056" s="6">
        <v>8</v>
      </c>
      <c r="M1056" s="22" t="str" cm="1">
        <f t="array" ref="M1056">_xlfn.IFS(L1056&gt;10,"Veteran",L1056&gt;=6,"Experienced",L1056&gt;=2,"Developing",L1056&gt;=0,"New")</f>
        <v>Experienced</v>
      </c>
    </row>
    <row r="1057" spans="1:13">
      <c r="A1057" s="21" t="str">
        <f t="shared" ca="1" si="64"/>
        <v>Re-Res-2012-1056</v>
      </c>
      <c r="B1057" s="6">
        <v>34</v>
      </c>
      <c r="C1057" s="6" t="str">
        <f t="shared" si="65"/>
        <v>30-39</v>
      </c>
      <c r="D1057" s="6" t="s">
        <v>43</v>
      </c>
      <c r="E1057" s="6" t="s">
        <v>45</v>
      </c>
      <c r="F1057" s="6" t="s">
        <v>46</v>
      </c>
      <c r="G1057" s="6" t="s">
        <v>58</v>
      </c>
      <c r="H1057" s="8">
        <v>17007</v>
      </c>
      <c r="I1057" s="8">
        <f t="shared" si="66"/>
        <v>5102.0999999999995</v>
      </c>
      <c r="J1057" s="8">
        <f t="shared" si="67"/>
        <v>11904.900000000001</v>
      </c>
      <c r="K1057" s="8">
        <v>11929</v>
      </c>
      <c r="L1057" s="6">
        <v>14</v>
      </c>
      <c r="M1057" s="22" t="str" cm="1">
        <f t="array" ref="M1057">_xlfn.IFS(L1057&gt;10,"Veteran",L1057&gt;=6,"Experienced",L1057&gt;=2,"Developing",L1057&gt;=0,"New")</f>
        <v>Veteran</v>
      </c>
    </row>
    <row r="1058" spans="1:13">
      <c r="A1058" s="21" t="str">
        <f t="shared" ca="1" si="64"/>
        <v>Sa-Sal-2023-1057</v>
      </c>
      <c r="B1058" s="6">
        <v>28</v>
      </c>
      <c r="C1058" s="6" t="str">
        <f t="shared" si="65"/>
        <v>20-29</v>
      </c>
      <c r="D1058" s="6" t="s">
        <v>35</v>
      </c>
      <c r="E1058" s="6" t="s">
        <v>37</v>
      </c>
      <c r="F1058" s="6" t="s">
        <v>46</v>
      </c>
      <c r="G1058" s="6" t="s">
        <v>57</v>
      </c>
      <c r="H1058" s="8">
        <v>2909</v>
      </c>
      <c r="I1058" s="8">
        <f t="shared" si="66"/>
        <v>203.63000000000002</v>
      </c>
      <c r="J1058" s="8">
        <f t="shared" si="67"/>
        <v>2705.37</v>
      </c>
      <c r="K1058" s="8">
        <v>15747</v>
      </c>
      <c r="L1058" s="6">
        <v>3</v>
      </c>
      <c r="M1058" s="22" t="str" cm="1">
        <f t="array" ref="M1058">_xlfn.IFS(L1058&gt;10,"Veteran",L1058&gt;=6,"Experienced",L1058&gt;=2,"Developing",L1058&gt;=0,"New")</f>
        <v>Developing</v>
      </c>
    </row>
    <row r="1059" spans="1:13">
      <c r="A1059" s="21" t="str">
        <f t="shared" ca="1" si="64"/>
        <v>Sa-Sal-2021-1058</v>
      </c>
      <c r="B1059" s="6">
        <v>29</v>
      </c>
      <c r="C1059" s="6" t="str">
        <f t="shared" si="65"/>
        <v>20-29</v>
      </c>
      <c r="D1059" s="6" t="s">
        <v>35</v>
      </c>
      <c r="E1059" s="6" t="s">
        <v>37</v>
      </c>
      <c r="F1059" s="6" t="s">
        <v>39</v>
      </c>
      <c r="G1059" s="6" t="s">
        <v>40</v>
      </c>
      <c r="H1059" s="8">
        <v>5765</v>
      </c>
      <c r="I1059" s="8">
        <f t="shared" si="66"/>
        <v>864.75</v>
      </c>
      <c r="J1059" s="8">
        <f t="shared" si="67"/>
        <v>4900.25</v>
      </c>
      <c r="K1059" s="8">
        <v>17485</v>
      </c>
      <c r="L1059" s="6">
        <v>5</v>
      </c>
      <c r="M1059" s="22" t="str" cm="1">
        <f t="array" ref="M1059">_xlfn.IFS(L1059&gt;10,"Veteran",L1059&gt;=6,"Experienced",L1059&gt;=2,"Developing",L1059&gt;=0,"New")</f>
        <v>Developing</v>
      </c>
    </row>
    <row r="1060" spans="1:13">
      <c r="A1060" s="21" t="str">
        <f t="shared" ca="1" si="64"/>
        <v>Sa-Sal-2011-1059</v>
      </c>
      <c r="B1060" s="6">
        <v>34</v>
      </c>
      <c r="C1060" s="6" t="str">
        <f t="shared" si="65"/>
        <v>30-39</v>
      </c>
      <c r="D1060" s="6" t="s">
        <v>35</v>
      </c>
      <c r="E1060" s="6" t="s">
        <v>37</v>
      </c>
      <c r="F1060" s="6" t="s">
        <v>39</v>
      </c>
      <c r="G1060" s="6" t="s">
        <v>40</v>
      </c>
      <c r="H1060" s="8">
        <v>4599</v>
      </c>
      <c r="I1060" s="8">
        <f t="shared" si="66"/>
        <v>689.85</v>
      </c>
      <c r="J1060" s="8">
        <f t="shared" si="67"/>
        <v>3909.15</v>
      </c>
      <c r="K1060" s="8">
        <v>7815</v>
      </c>
      <c r="L1060" s="6">
        <v>15</v>
      </c>
      <c r="M1060" s="22" t="str" cm="1">
        <f t="array" ref="M1060">_xlfn.IFS(L1060&gt;10,"Veteran",L1060&gt;=6,"Experienced",L1060&gt;=2,"Developing",L1060&gt;=0,"New")</f>
        <v>Veteran</v>
      </c>
    </row>
    <row r="1061" spans="1:13">
      <c r="A1061" s="21" t="str">
        <f t="shared" ca="1" si="64"/>
        <v>Sa-Sal-2025-1060</v>
      </c>
      <c r="B1061" s="6">
        <v>35</v>
      </c>
      <c r="C1061" s="6" t="str">
        <f t="shared" si="65"/>
        <v>30-39</v>
      </c>
      <c r="D1061" s="6" t="s">
        <v>43</v>
      </c>
      <c r="E1061" s="6" t="s">
        <v>37</v>
      </c>
      <c r="F1061" s="6" t="s">
        <v>46</v>
      </c>
      <c r="G1061" s="6" t="s">
        <v>57</v>
      </c>
      <c r="H1061" s="8">
        <v>2404</v>
      </c>
      <c r="I1061" s="8">
        <f t="shared" si="66"/>
        <v>168.28000000000003</v>
      </c>
      <c r="J1061" s="8">
        <f t="shared" si="67"/>
        <v>2235.7199999999998</v>
      </c>
      <c r="K1061" s="8">
        <v>16192</v>
      </c>
      <c r="L1061" s="6">
        <v>1</v>
      </c>
      <c r="M1061" s="22" t="str" cm="1">
        <f t="array" ref="M1061">_xlfn.IFS(L1061&gt;10,"Veteran",L1061&gt;=6,"Experienced",L1061&gt;=2,"Developing",L1061&gt;=0,"New")</f>
        <v>New</v>
      </c>
    </row>
    <row r="1062" spans="1:13">
      <c r="A1062" s="21" t="str">
        <f t="shared" ca="1" si="64"/>
        <v>La-Res-2026-1061</v>
      </c>
      <c r="B1062" s="6">
        <v>24</v>
      </c>
      <c r="C1062" s="6" t="str">
        <f t="shared" si="65"/>
        <v>20-29</v>
      </c>
      <c r="D1062" s="6" t="s">
        <v>35</v>
      </c>
      <c r="E1062" s="6" t="s">
        <v>45</v>
      </c>
      <c r="F1062" s="6" t="s">
        <v>46</v>
      </c>
      <c r="G1062" s="6" t="s">
        <v>50</v>
      </c>
      <c r="H1062" s="8">
        <v>3172</v>
      </c>
      <c r="I1062" s="8">
        <f t="shared" si="66"/>
        <v>475.79999999999995</v>
      </c>
      <c r="J1062" s="8">
        <f t="shared" si="67"/>
        <v>2696.2</v>
      </c>
      <c r="K1062" s="8">
        <v>16998</v>
      </c>
      <c r="L1062" s="6">
        <v>0</v>
      </c>
      <c r="M1062" s="22" t="str" cm="1">
        <f t="array" ref="M1062">_xlfn.IFS(L1062&gt;10,"Veteran",L1062&gt;=6,"Experienced",L1062&gt;=2,"Developing",L1062&gt;=0,"New")</f>
        <v>New</v>
      </c>
    </row>
    <row r="1063" spans="1:13">
      <c r="A1063" s="21" t="str">
        <f t="shared" ca="1" si="64"/>
        <v>Sa-Sal-2025-1062</v>
      </c>
      <c r="B1063" s="6">
        <v>24</v>
      </c>
      <c r="C1063" s="6" t="str">
        <f t="shared" si="65"/>
        <v>20-29</v>
      </c>
      <c r="D1063" s="6" t="s">
        <v>43</v>
      </c>
      <c r="E1063" s="6" t="s">
        <v>37</v>
      </c>
      <c r="F1063" s="6" t="s">
        <v>39</v>
      </c>
      <c r="G1063" s="6" t="s">
        <v>57</v>
      </c>
      <c r="H1063" s="8">
        <v>2033</v>
      </c>
      <c r="I1063" s="8">
        <f t="shared" si="66"/>
        <v>142.31</v>
      </c>
      <c r="J1063" s="8">
        <f t="shared" si="67"/>
        <v>1890.69</v>
      </c>
      <c r="K1063" s="8">
        <v>7103</v>
      </c>
      <c r="L1063" s="6">
        <v>1</v>
      </c>
      <c r="M1063" s="22" t="str" cm="1">
        <f t="array" ref="M1063">_xlfn.IFS(L1063&gt;10,"Veteran",L1063&gt;=6,"Experienced",L1063&gt;=2,"Developing",L1063&gt;=0,"New")</f>
        <v>New</v>
      </c>
    </row>
    <row r="1064" spans="1:13">
      <c r="A1064" s="21" t="str">
        <f t="shared" ca="1" si="64"/>
        <v>Ma-Res-2024-1063</v>
      </c>
      <c r="B1064" s="6">
        <v>44</v>
      </c>
      <c r="C1064" s="6" t="str">
        <f t="shared" si="65"/>
        <v>40-49</v>
      </c>
      <c r="D1064" s="6" t="s">
        <v>43</v>
      </c>
      <c r="E1064" s="6" t="s">
        <v>45</v>
      </c>
      <c r="F1064" s="6" t="s">
        <v>46</v>
      </c>
      <c r="G1064" s="6" t="s">
        <v>53</v>
      </c>
      <c r="H1064" s="8">
        <v>10209</v>
      </c>
      <c r="I1064" s="8">
        <f t="shared" si="66"/>
        <v>2245.98</v>
      </c>
      <c r="J1064" s="8">
        <f t="shared" si="67"/>
        <v>7963.02</v>
      </c>
      <c r="K1064" s="8">
        <v>19719</v>
      </c>
      <c r="L1064" s="6">
        <v>2</v>
      </c>
      <c r="M1064" s="22" t="str" cm="1">
        <f t="array" ref="M1064">_xlfn.IFS(L1064&gt;10,"Veteran",L1064&gt;=6,"Experienced",L1064&gt;=2,"Developing",L1064&gt;=0,"New")</f>
        <v>Developing</v>
      </c>
    </row>
    <row r="1065" spans="1:13">
      <c r="A1065" s="21" t="str">
        <f t="shared" ca="1" si="64"/>
        <v>Sa-Sal-2016-1064</v>
      </c>
      <c r="B1065" s="6">
        <v>29</v>
      </c>
      <c r="C1065" s="6" t="str">
        <f t="shared" si="65"/>
        <v>20-29</v>
      </c>
      <c r="D1065" s="6" t="s">
        <v>43</v>
      </c>
      <c r="E1065" s="6" t="s">
        <v>37</v>
      </c>
      <c r="F1065" s="6" t="s">
        <v>46</v>
      </c>
      <c r="G1065" s="6" t="s">
        <v>40</v>
      </c>
      <c r="H1065" s="8">
        <v>8620</v>
      </c>
      <c r="I1065" s="8">
        <f t="shared" si="66"/>
        <v>1896.4</v>
      </c>
      <c r="J1065" s="8">
        <f t="shared" si="67"/>
        <v>6723.6</v>
      </c>
      <c r="K1065" s="8">
        <v>23757</v>
      </c>
      <c r="L1065" s="6">
        <v>10</v>
      </c>
      <c r="M1065" s="22" t="str" cm="1">
        <f t="array" ref="M1065">_xlfn.IFS(L1065&gt;10,"Veteran",L1065&gt;=6,"Experienced",L1065&gt;=2,"Developing",L1065&gt;=0,"New")</f>
        <v>Experienced</v>
      </c>
    </row>
    <row r="1066" spans="1:13">
      <c r="A1066" s="21" t="str">
        <f t="shared" ca="1" si="64"/>
        <v>Hu-Hum-2021-1065</v>
      </c>
      <c r="B1066" s="6">
        <v>30</v>
      </c>
      <c r="C1066" s="6" t="str">
        <f t="shared" si="65"/>
        <v>30-39</v>
      </c>
      <c r="D1066" s="6" t="s">
        <v>43</v>
      </c>
      <c r="E1066" s="6" t="s">
        <v>61</v>
      </c>
      <c r="F1066" s="6" t="s">
        <v>46</v>
      </c>
      <c r="G1066" s="6" t="s">
        <v>61</v>
      </c>
      <c r="H1066" s="8">
        <v>2064</v>
      </c>
      <c r="I1066" s="8">
        <f t="shared" si="66"/>
        <v>144.48000000000002</v>
      </c>
      <c r="J1066" s="8">
        <f t="shared" si="67"/>
        <v>1919.52</v>
      </c>
      <c r="K1066" s="8">
        <v>15428</v>
      </c>
      <c r="L1066" s="6">
        <v>5</v>
      </c>
      <c r="M1066" s="22" t="str" cm="1">
        <f t="array" ref="M1066">_xlfn.IFS(L1066&gt;10,"Veteran",L1066&gt;=6,"Experienced",L1066&gt;=2,"Developing",L1066&gt;=0,"New")</f>
        <v>Developing</v>
      </c>
    </row>
    <row r="1067" spans="1:13">
      <c r="A1067" s="21" t="str">
        <f t="shared" ca="1" si="64"/>
        <v>He-Res-2023-1066</v>
      </c>
      <c r="B1067" s="6">
        <v>55</v>
      </c>
      <c r="C1067" s="6" t="str">
        <f t="shared" si="65"/>
        <v>50+</v>
      </c>
      <c r="D1067" s="6" t="s">
        <v>43</v>
      </c>
      <c r="E1067" s="6" t="s">
        <v>45</v>
      </c>
      <c r="F1067" s="6" t="s">
        <v>46</v>
      </c>
      <c r="G1067" s="6" t="s">
        <v>54</v>
      </c>
      <c r="H1067" s="8">
        <v>4035</v>
      </c>
      <c r="I1067" s="8">
        <f t="shared" si="66"/>
        <v>605.25</v>
      </c>
      <c r="J1067" s="8">
        <f t="shared" si="67"/>
        <v>3429.75</v>
      </c>
      <c r="K1067" s="8">
        <v>16143</v>
      </c>
      <c r="L1067" s="6">
        <v>3</v>
      </c>
      <c r="M1067" s="22" t="str" cm="1">
        <f t="array" ref="M1067">_xlfn.IFS(L1067&gt;10,"Veteran",L1067&gt;=6,"Experienced",L1067&gt;=2,"Developing",L1067&gt;=0,"New")</f>
        <v>Developing</v>
      </c>
    </row>
    <row r="1068" spans="1:13">
      <c r="A1068" s="21" t="str">
        <f t="shared" ca="1" si="64"/>
        <v>La-Res-2021-1067</v>
      </c>
      <c r="B1068" s="6">
        <v>33</v>
      </c>
      <c r="C1068" s="6" t="str">
        <f t="shared" si="65"/>
        <v>30-39</v>
      </c>
      <c r="D1068" s="6" t="s">
        <v>43</v>
      </c>
      <c r="E1068" s="6" t="s">
        <v>45</v>
      </c>
      <c r="F1068" s="6" t="s">
        <v>39</v>
      </c>
      <c r="G1068" s="6" t="s">
        <v>50</v>
      </c>
      <c r="H1068" s="8">
        <v>3838</v>
      </c>
      <c r="I1068" s="8">
        <f t="shared" si="66"/>
        <v>575.69999999999993</v>
      </c>
      <c r="J1068" s="8">
        <f t="shared" si="67"/>
        <v>3262.3</v>
      </c>
      <c r="K1068" s="8">
        <v>8192</v>
      </c>
      <c r="L1068" s="6">
        <v>5</v>
      </c>
      <c r="M1068" s="22" t="str" cm="1">
        <f t="array" ref="M1068">_xlfn.IFS(L1068&gt;10,"Veteran",L1068&gt;=6,"Experienced",L1068&gt;=2,"Developing",L1068&gt;=0,"New")</f>
        <v>Developing</v>
      </c>
    </row>
    <row r="1069" spans="1:13">
      <c r="A1069" s="21" t="str">
        <f t="shared" ca="1" si="64"/>
        <v>Sa-Sal-2021-1068</v>
      </c>
      <c r="B1069" s="6">
        <v>47</v>
      </c>
      <c r="C1069" s="6" t="str">
        <f t="shared" si="65"/>
        <v>40-49</v>
      </c>
      <c r="D1069" s="6" t="s">
        <v>43</v>
      </c>
      <c r="E1069" s="6" t="s">
        <v>37</v>
      </c>
      <c r="F1069" s="6" t="s">
        <v>39</v>
      </c>
      <c r="G1069" s="6" t="s">
        <v>40</v>
      </c>
      <c r="H1069" s="8">
        <v>4591</v>
      </c>
      <c r="I1069" s="8">
        <f t="shared" si="66"/>
        <v>688.65</v>
      </c>
      <c r="J1069" s="8">
        <f t="shared" si="67"/>
        <v>3902.35</v>
      </c>
      <c r="K1069" s="8">
        <v>24200</v>
      </c>
      <c r="L1069" s="6">
        <v>5</v>
      </c>
      <c r="M1069" s="22" t="str" cm="1">
        <f t="array" ref="M1069">_xlfn.IFS(L1069&gt;10,"Veteran",L1069&gt;=6,"Experienced",L1069&gt;=2,"Developing",L1069&gt;=0,"New")</f>
        <v>Developing</v>
      </c>
    </row>
    <row r="1070" spans="1:13">
      <c r="A1070" s="21" t="str">
        <f t="shared" ca="1" si="64"/>
        <v>La-Res-2026-1069</v>
      </c>
      <c r="B1070" s="6">
        <v>28</v>
      </c>
      <c r="C1070" s="6" t="str">
        <f t="shared" si="65"/>
        <v>20-29</v>
      </c>
      <c r="D1070" s="6" t="s">
        <v>35</v>
      </c>
      <c r="E1070" s="6" t="s">
        <v>45</v>
      </c>
      <c r="F1070" s="6" t="s">
        <v>46</v>
      </c>
      <c r="G1070" s="6" t="s">
        <v>50</v>
      </c>
      <c r="H1070" s="8">
        <v>2561</v>
      </c>
      <c r="I1070" s="8">
        <f t="shared" si="66"/>
        <v>179.27</v>
      </c>
      <c r="J1070" s="8">
        <f t="shared" si="67"/>
        <v>2381.73</v>
      </c>
      <c r="K1070" s="8">
        <v>5355</v>
      </c>
      <c r="L1070" s="6">
        <v>0</v>
      </c>
      <c r="M1070" s="22" t="str" cm="1">
        <f t="array" ref="M1070">_xlfn.IFS(L1070&gt;10,"Veteran",L1070&gt;=6,"Experienced",L1070&gt;=2,"Developing",L1070&gt;=0,"New")</f>
        <v>New</v>
      </c>
    </row>
    <row r="1071" spans="1:13">
      <c r="A1071" s="21" t="str">
        <f t="shared" ca="1" si="64"/>
        <v>Re-Res-2025-1070</v>
      </c>
      <c r="B1071" s="6">
        <v>28</v>
      </c>
      <c r="C1071" s="6" t="str">
        <f t="shared" si="65"/>
        <v>20-29</v>
      </c>
      <c r="D1071" s="6" t="s">
        <v>43</v>
      </c>
      <c r="E1071" s="6" t="s">
        <v>45</v>
      </c>
      <c r="F1071" s="6" t="s">
        <v>46</v>
      </c>
      <c r="G1071" s="6" t="s">
        <v>47</v>
      </c>
      <c r="H1071" s="8">
        <v>1563</v>
      </c>
      <c r="I1071" s="8">
        <f t="shared" si="66"/>
        <v>109.41000000000001</v>
      </c>
      <c r="J1071" s="8">
        <f t="shared" si="67"/>
        <v>1453.59</v>
      </c>
      <c r="K1071" s="8">
        <v>12530</v>
      </c>
      <c r="L1071" s="6">
        <v>1</v>
      </c>
      <c r="M1071" s="22" t="str" cm="1">
        <f t="array" ref="M1071">_xlfn.IFS(L1071&gt;10,"Veteran",L1071&gt;=6,"Experienced",L1071&gt;=2,"Developing",L1071&gt;=0,"New")</f>
        <v>New</v>
      </c>
    </row>
    <row r="1072" spans="1:13">
      <c r="A1072" s="21" t="str">
        <f t="shared" ca="1" si="64"/>
        <v>Sa-Sal-2022-1071</v>
      </c>
      <c r="B1072" s="6">
        <v>28</v>
      </c>
      <c r="C1072" s="6" t="str">
        <f t="shared" si="65"/>
        <v>20-29</v>
      </c>
      <c r="D1072" s="6" t="s">
        <v>43</v>
      </c>
      <c r="E1072" s="6" t="s">
        <v>37</v>
      </c>
      <c r="F1072" s="6" t="s">
        <v>46</v>
      </c>
      <c r="G1072" s="6" t="s">
        <v>40</v>
      </c>
      <c r="H1072" s="8">
        <v>4898</v>
      </c>
      <c r="I1072" s="8">
        <f t="shared" si="66"/>
        <v>734.69999999999993</v>
      </c>
      <c r="J1072" s="8">
        <f t="shared" si="67"/>
        <v>4163.3</v>
      </c>
      <c r="K1072" s="8">
        <v>11827</v>
      </c>
      <c r="L1072" s="6">
        <v>4</v>
      </c>
      <c r="M1072" s="22" t="str" cm="1">
        <f t="array" ref="M1072">_xlfn.IFS(L1072&gt;10,"Veteran",L1072&gt;=6,"Experienced",L1072&gt;=2,"Developing",L1072&gt;=0,"New")</f>
        <v>Developing</v>
      </c>
    </row>
    <row r="1073" spans="1:13">
      <c r="A1073" s="21" t="str">
        <f t="shared" ca="1" si="64"/>
        <v>La-Res-2023-1072</v>
      </c>
      <c r="B1073" s="6">
        <v>49</v>
      </c>
      <c r="C1073" s="6" t="str">
        <f t="shared" si="65"/>
        <v>40-49</v>
      </c>
      <c r="D1073" s="6" t="s">
        <v>43</v>
      </c>
      <c r="E1073" s="6" t="s">
        <v>45</v>
      </c>
      <c r="F1073" s="6" t="s">
        <v>39</v>
      </c>
      <c r="G1073" s="6" t="s">
        <v>50</v>
      </c>
      <c r="H1073" s="8">
        <v>4789</v>
      </c>
      <c r="I1073" s="8">
        <f t="shared" si="66"/>
        <v>718.35</v>
      </c>
      <c r="J1073" s="8">
        <f t="shared" si="67"/>
        <v>4070.65</v>
      </c>
      <c r="K1073" s="8">
        <v>23070</v>
      </c>
      <c r="L1073" s="6">
        <v>3</v>
      </c>
      <c r="M1073" s="22" t="str" cm="1">
        <f t="array" ref="M1073">_xlfn.IFS(L1073&gt;10,"Veteran",L1073&gt;=6,"Experienced",L1073&gt;=2,"Developing",L1073&gt;=0,"New")</f>
        <v>Developing</v>
      </c>
    </row>
    <row r="1074" spans="1:13">
      <c r="A1074" s="21" t="str">
        <f t="shared" ca="1" si="64"/>
        <v>La-Res-2023-1073</v>
      </c>
      <c r="B1074" s="6">
        <v>29</v>
      </c>
      <c r="C1074" s="6" t="str">
        <f t="shared" si="65"/>
        <v>20-29</v>
      </c>
      <c r="D1074" s="6" t="s">
        <v>43</v>
      </c>
      <c r="E1074" s="6" t="s">
        <v>45</v>
      </c>
      <c r="F1074" s="6" t="s">
        <v>39</v>
      </c>
      <c r="G1074" s="6" t="s">
        <v>50</v>
      </c>
      <c r="H1074" s="8">
        <v>3180</v>
      </c>
      <c r="I1074" s="8">
        <f t="shared" si="66"/>
        <v>477</v>
      </c>
      <c r="J1074" s="8">
        <f t="shared" si="67"/>
        <v>2703</v>
      </c>
      <c r="K1074" s="8">
        <v>4668</v>
      </c>
      <c r="L1074" s="6">
        <v>3</v>
      </c>
      <c r="M1074" s="22" t="str" cm="1">
        <f t="array" ref="M1074">_xlfn.IFS(L1074&gt;10,"Veteran",L1074&gt;=6,"Experienced",L1074&gt;=2,"Developing",L1074&gt;=0,"New")</f>
        <v>Developing</v>
      </c>
    </row>
    <row r="1075" spans="1:13">
      <c r="A1075" s="21" t="str">
        <f t="shared" ca="1" si="64"/>
        <v>Ma-Res-2018-1074</v>
      </c>
      <c r="B1075" s="6">
        <v>28</v>
      </c>
      <c r="C1075" s="6" t="str">
        <f t="shared" si="65"/>
        <v>20-29</v>
      </c>
      <c r="D1075" s="6" t="s">
        <v>43</v>
      </c>
      <c r="E1075" s="6" t="s">
        <v>45</v>
      </c>
      <c r="F1075" s="6" t="s">
        <v>46</v>
      </c>
      <c r="G1075" s="6" t="s">
        <v>53</v>
      </c>
      <c r="H1075" s="8">
        <v>6549</v>
      </c>
      <c r="I1075" s="8">
        <f t="shared" si="66"/>
        <v>982.34999999999991</v>
      </c>
      <c r="J1075" s="8">
        <f t="shared" si="67"/>
        <v>5566.65</v>
      </c>
      <c r="K1075" s="8">
        <v>3173</v>
      </c>
      <c r="L1075" s="6">
        <v>8</v>
      </c>
      <c r="M1075" s="22" t="str" cm="1">
        <f t="array" ref="M1075">_xlfn.IFS(L1075&gt;10,"Veteran",L1075&gt;=6,"Experienced",L1075&gt;=2,"Developing",L1075&gt;=0,"New")</f>
        <v>Experienced</v>
      </c>
    </row>
    <row r="1076" spans="1:13">
      <c r="A1076" s="21" t="str">
        <f t="shared" ca="1" si="64"/>
        <v>He-Res-2026-1075</v>
      </c>
      <c r="B1076" s="6">
        <v>33</v>
      </c>
      <c r="C1076" s="6" t="str">
        <f t="shared" si="65"/>
        <v>30-39</v>
      </c>
      <c r="D1076" s="6" t="s">
        <v>43</v>
      </c>
      <c r="E1076" s="6" t="s">
        <v>45</v>
      </c>
      <c r="F1076" s="6" t="s">
        <v>46</v>
      </c>
      <c r="G1076" s="6" t="s">
        <v>54</v>
      </c>
      <c r="H1076" s="8">
        <v>6388</v>
      </c>
      <c r="I1076" s="8">
        <f t="shared" si="66"/>
        <v>958.19999999999993</v>
      </c>
      <c r="J1076" s="8">
        <f t="shared" si="67"/>
        <v>5429.8</v>
      </c>
      <c r="K1076" s="8">
        <v>22049</v>
      </c>
      <c r="L1076" s="6">
        <v>0</v>
      </c>
      <c r="M1076" s="22" t="str" cm="1">
        <f t="array" ref="M1076">_xlfn.IFS(L1076&gt;10,"Veteran",L1076&gt;=6,"Experienced",L1076&gt;=2,"Developing",L1076&gt;=0,"New")</f>
        <v>New</v>
      </c>
    </row>
    <row r="1077" spans="1:13">
      <c r="A1077" s="21" t="str">
        <f t="shared" ca="1" si="64"/>
        <v>Ma-Res-2021-1076</v>
      </c>
      <c r="B1077" s="6">
        <v>32</v>
      </c>
      <c r="C1077" s="6" t="str">
        <f t="shared" si="65"/>
        <v>30-39</v>
      </c>
      <c r="D1077" s="6" t="s">
        <v>43</v>
      </c>
      <c r="E1077" s="6" t="s">
        <v>45</v>
      </c>
      <c r="F1077" s="6" t="s">
        <v>46</v>
      </c>
      <c r="G1077" s="6" t="s">
        <v>56</v>
      </c>
      <c r="H1077" s="8">
        <v>11244</v>
      </c>
      <c r="I1077" s="8">
        <f t="shared" si="66"/>
        <v>2473.6799999999998</v>
      </c>
      <c r="J1077" s="8">
        <f t="shared" si="67"/>
        <v>8770.32</v>
      </c>
      <c r="K1077" s="8">
        <v>21072</v>
      </c>
      <c r="L1077" s="6">
        <v>5</v>
      </c>
      <c r="M1077" s="22" t="str" cm="1">
        <f t="array" ref="M1077">_xlfn.IFS(L1077&gt;10,"Veteran",L1077&gt;=6,"Experienced",L1077&gt;=2,"Developing",L1077&gt;=0,"New")</f>
        <v>Developing</v>
      </c>
    </row>
    <row r="1078" spans="1:13">
      <c r="A1078" s="21" t="str">
        <f t="shared" ca="1" si="64"/>
        <v>Ma-Res-2012-1077</v>
      </c>
      <c r="B1078" s="6">
        <v>54</v>
      </c>
      <c r="C1078" s="6" t="str">
        <f t="shared" si="65"/>
        <v>50+</v>
      </c>
      <c r="D1078" s="6" t="s">
        <v>43</v>
      </c>
      <c r="E1078" s="6" t="s">
        <v>45</v>
      </c>
      <c r="F1078" s="6" t="s">
        <v>39</v>
      </c>
      <c r="G1078" s="6" t="s">
        <v>56</v>
      </c>
      <c r="H1078" s="8">
        <v>16032</v>
      </c>
      <c r="I1078" s="8">
        <f t="shared" si="66"/>
        <v>4809.5999999999995</v>
      </c>
      <c r="J1078" s="8">
        <f t="shared" si="67"/>
        <v>11222.400000000001</v>
      </c>
      <c r="K1078" s="8">
        <v>24456</v>
      </c>
      <c r="L1078" s="6">
        <v>14</v>
      </c>
      <c r="M1078" s="22" t="str" cm="1">
        <f t="array" ref="M1078">_xlfn.IFS(L1078&gt;10,"Veteran",L1078&gt;=6,"Experienced",L1078&gt;=2,"Developing",L1078&gt;=0,"New")</f>
        <v>Veteran</v>
      </c>
    </row>
    <row r="1079" spans="1:13">
      <c r="A1079" s="21" t="str">
        <f t="shared" ca="1" si="64"/>
        <v>Re-Res-2017-1078</v>
      </c>
      <c r="B1079" s="6">
        <v>29</v>
      </c>
      <c r="C1079" s="6" t="str">
        <f t="shared" si="65"/>
        <v>20-29</v>
      </c>
      <c r="D1079" s="6" t="s">
        <v>35</v>
      </c>
      <c r="E1079" s="6" t="s">
        <v>45</v>
      </c>
      <c r="F1079" s="6" t="s">
        <v>46</v>
      </c>
      <c r="G1079" s="6" t="s">
        <v>47</v>
      </c>
      <c r="H1079" s="8">
        <v>2362</v>
      </c>
      <c r="I1079" s="8">
        <f t="shared" si="66"/>
        <v>165.34</v>
      </c>
      <c r="J1079" s="8">
        <f t="shared" si="67"/>
        <v>2196.66</v>
      </c>
      <c r="K1079" s="8">
        <v>7568</v>
      </c>
      <c r="L1079" s="6">
        <v>9</v>
      </c>
      <c r="M1079" s="22" t="str" cm="1">
        <f t="array" ref="M1079">_xlfn.IFS(L1079&gt;10,"Veteran",L1079&gt;=6,"Experienced",L1079&gt;=2,"Developing",L1079&gt;=0,"New")</f>
        <v>Experienced</v>
      </c>
    </row>
    <row r="1080" spans="1:13">
      <c r="A1080" s="21" t="str">
        <f t="shared" ca="1" si="64"/>
        <v>Re-Res-2006-1079</v>
      </c>
      <c r="B1080" s="6">
        <v>44</v>
      </c>
      <c r="C1080" s="6" t="str">
        <f t="shared" si="65"/>
        <v>40-49</v>
      </c>
      <c r="D1080" s="6" t="s">
        <v>43</v>
      </c>
      <c r="E1080" s="6" t="s">
        <v>45</v>
      </c>
      <c r="F1080" s="6" t="s">
        <v>46</v>
      </c>
      <c r="G1080" s="6" t="s">
        <v>58</v>
      </c>
      <c r="H1080" s="8">
        <v>16328</v>
      </c>
      <c r="I1080" s="8">
        <f t="shared" si="66"/>
        <v>4898.3999999999996</v>
      </c>
      <c r="J1080" s="8">
        <f t="shared" si="67"/>
        <v>11429.6</v>
      </c>
      <c r="K1080" s="8">
        <v>22074</v>
      </c>
      <c r="L1080" s="6">
        <v>20</v>
      </c>
      <c r="M1080" s="22" t="str" cm="1">
        <f t="array" ref="M1080">_xlfn.IFS(L1080&gt;10,"Veteran",L1080&gt;=6,"Experienced",L1080&gt;=2,"Developing",L1080&gt;=0,"New")</f>
        <v>Veteran</v>
      </c>
    </row>
    <row r="1081" spans="1:13">
      <c r="A1081" s="21" t="str">
        <f t="shared" ca="1" si="64"/>
        <v>Ma-Res-2024-1080</v>
      </c>
      <c r="B1081" s="6">
        <v>39</v>
      </c>
      <c r="C1081" s="6" t="str">
        <f t="shared" si="65"/>
        <v>30-39</v>
      </c>
      <c r="D1081" s="6" t="s">
        <v>43</v>
      </c>
      <c r="E1081" s="6" t="s">
        <v>45</v>
      </c>
      <c r="F1081" s="6" t="s">
        <v>39</v>
      </c>
      <c r="G1081" s="6" t="s">
        <v>53</v>
      </c>
      <c r="H1081" s="8">
        <v>8376</v>
      </c>
      <c r="I1081" s="8">
        <f t="shared" si="66"/>
        <v>1842.72</v>
      </c>
      <c r="J1081" s="8">
        <f t="shared" si="67"/>
        <v>6533.28</v>
      </c>
      <c r="K1081" s="8">
        <v>9150</v>
      </c>
      <c r="L1081" s="6">
        <v>2</v>
      </c>
      <c r="M1081" s="22" t="str" cm="1">
        <f t="array" ref="M1081">_xlfn.IFS(L1081&gt;10,"Veteran",L1081&gt;=6,"Experienced",L1081&gt;=2,"Developing",L1081&gt;=0,"New")</f>
        <v>Developing</v>
      </c>
    </row>
    <row r="1082" spans="1:13">
      <c r="A1082" s="21" t="str">
        <f t="shared" ca="1" si="64"/>
        <v>Ma-Sal-2013-1081</v>
      </c>
      <c r="B1082" s="6">
        <v>46</v>
      </c>
      <c r="C1082" s="6" t="str">
        <f t="shared" si="65"/>
        <v>40-49</v>
      </c>
      <c r="D1082" s="6" t="s">
        <v>43</v>
      </c>
      <c r="E1082" s="6" t="s">
        <v>37</v>
      </c>
      <c r="F1082" s="6" t="s">
        <v>39</v>
      </c>
      <c r="G1082" s="6" t="s">
        <v>56</v>
      </c>
      <c r="H1082" s="8">
        <v>16606</v>
      </c>
      <c r="I1082" s="8">
        <f t="shared" si="66"/>
        <v>4981.8</v>
      </c>
      <c r="J1082" s="8">
        <f t="shared" si="67"/>
        <v>11624.2</v>
      </c>
      <c r="K1082" s="8">
        <v>11380</v>
      </c>
      <c r="L1082" s="6">
        <v>13</v>
      </c>
      <c r="M1082" s="22" t="str" cm="1">
        <f t="array" ref="M1082">_xlfn.IFS(L1082&gt;10,"Veteran",L1082&gt;=6,"Experienced",L1082&gt;=2,"Developing",L1082&gt;=0,"New")</f>
        <v>Veteran</v>
      </c>
    </row>
    <row r="1083" spans="1:13">
      <c r="A1083" s="21" t="str">
        <f t="shared" ca="1" si="64"/>
        <v>He-Res-2015-1082</v>
      </c>
      <c r="B1083" s="6">
        <v>35</v>
      </c>
      <c r="C1083" s="6" t="str">
        <f t="shared" si="65"/>
        <v>30-39</v>
      </c>
      <c r="D1083" s="6" t="s">
        <v>43</v>
      </c>
      <c r="E1083" s="6" t="s">
        <v>45</v>
      </c>
      <c r="F1083" s="6" t="s">
        <v>39</v>
      </c>
      <c r="G1083" s="6" t="s">
        <v>54</v>
      </c>
      <c r="H1083" s="8">
        <v>8606</v>
      </c>
      <c r="I1083" s="8">
        <f t="shared" si="66"/>
        <v>1893.32</v>
      </c>
      <c r="J1083" s="8">
        <f t="shared" si="67"/>
        <v>6712.68</v>
      </c>
      <c r="K1083" s="8">
        <v>21195</v>
      </c>
      <c r="L1083" s="6">
        <v>11</v>
      </c>
      <c r="M1083" s="22" t="str" cm="1">
        <f t="array" ref="M1083">_xlfn.IFS(L1083&gt;10,"Veteran",L1083&gt;=6,"Experienced",L1083&gt;=2,"Developing",L1083&gt;=0,"New")</f>
        <v>Veteran</v>
      </c>
    </row>
    <row r="1084" spans="1:13">
      <c r="A1084" s="21" t="str">
        <f t="shared" ca="1" si="64"/>
        <v>La-Res-2022-1083</v>
      </c>
      <c r="B1084" s="6">
        <v>23</v>
      </c>
      <c r="C1084" s="6" t="str">
        <f t="shared" si="65"/>
        <v>20-29</v>
      </c>
      <c r="D1084" s="6" t="s">
        <v>43</v>
      </c>
      <c r="E1084" s="6" t="s">
        <v>45</v>
      </c>
      <c r="F1084" s="6" t="s">
        <v>46</v>
      </c>
      <c r="G1084" s="6" t="s">
        <v>50</v>
      </c>
      <c r="H1084" s="8">
        <v>2272</v>
      </c>
      <c r="I1084" s="8">
        <f t="shared" si="66"/>
        <v>159.04000000000002</v>
      </c>
      <c r="J1084" s="8">
        <f t="shared" si="67"/>
        <v>2112.96</v>
      </c>
      <c r="K1084" s="8">
        <v>24812</v>
      </c>
      <c r="L1084" s="6">
        <v>4</v>
      </c>
      <c r="M1084" s="22" t="str" cm="1">
        <f t="array" ref="M1084">_xlfn.IFS(L1084&gt;10,"Veteran",L1084&gt;=6,"Experienced",L1084&gt;=2,"Developing",L1084&gt;=0,"New")</f>
        <v>Developing</v>
      </c>
    </row>
    <row r="1085" spans="1:13">
      <c r="A1085" s="21" t="str">
        <f t="shared" ca="1" si="64"/>
        <v>La-Res-2021-1084</v>
      </c>
      <c r="B1085" s="6">
        <v>40</v>
      </c>
      <c r="C1085" s="6" t="str">
        <f t="shared" si="65"/>
        <v>40-49</v>
      </c>
      <c r="D1085" s="6" t="s">
        <v>35</v>
      </c>
      <c r="E1085" s="6" t="s">
        <v>45</v>
      </c>
      <c r="F1085" s="6" t="s">
        <v>46</v>
      </c>
      <c r="G1085" s="6" t="s">
        <v>50</v>
      </c>
      <c r="H1085" s="8">
        <v>2018</v>
      </c>
      <c r="I1085" s="8">
        <f t="shared" si="66"/>
        <v>141.26000000000002</v>
      </c>
      <c r="J1085" s="8">
        <f t="shared" si="67"/>
        <v>1876.74</v>
      </c>
      <c r="K1085" s="8">
        <v>21831</v>
      </c>
      <c r="L1085" s="6">
        <v>5</v>
      </c>
      <c r="M1085" s="22" t="str" cm="1">
        <f t="array" ref="M1085">_xlfn.IFS(L1085&gt;10,"Veteran",L1085&gt;=6,"Experienced",L1085&gt;=2,"Developing",L1085&gt;=0,"New")</f>
        <v>Developing</v>
      </c>
    </row>
    <row r="1086" spans="1:13">
      <c r="A1086" s="21" t="str">
        <f t="shared" ca="1" si="64"/>
        <v>Sa-Sal-2016-1085</v>
      </c>
      <c r="B1086" s="6">
        <v>34</v>
      </c>
      <c r="C1086" s="6" t="str">
        <f t="shared" si="65"/>
        <v>30-39</v>
      </c>
      <c r="D1086" s="6" t="s">
        <v>43</v>
      </c>
      <c r="E1086" s="6" t="s">
        <v>37</v>
      </c>
      <c r="F1086" s="6" t="s">
        <v>46</v>
      </c>
      <c r="G1086" s="6" t="s">
        <v>40</v>
      </c>
      <c r="H1086" s="8">
        <v>7083</v>
      </c>
      <c r="I1086" s="8">
        <f t="shared" si="66"/>
        <v>1558.26</v>
      </c>
      <c r="J1086" s="8">
        <f t="shared" si="67"/>
        <v>5524.74</v>
      </c>
      <c r="K1086" s="8">
        <v>12288</v>
      </c>
      <c r="L1086" s="6">
        <v>10</v>
      </c>
      <c r="M1086" s="22" t="str" cm="1">
        <f t="array" ref="M1086">_xlfn.IFS(L1086&gt;10,"Veteran",L1086&gt;=6,"Experienced",L1086&gt;=2,"Developing",L1086&gt;=0,"New")</f>
        <v>Experienced</v>
      </c>
    </row>
    <row r="1087" spans="1:13">
      <c r="A1087" s="21" t="str">
        <f t="shared" ca="1" si="64"/>
        <v>Re-Res-2019-1086</v>
      </c>
      <c r="B1087" s="6">
        <v>31</v>
      </c>
      <c r="C1087" s="6" t="str">
        <f t="shared" si="65"/>
        <v>30-39</v>
      </c>
      <c r="D1087" s="6" t="s">
        <v>35</v>
      </c>
      <c r="E1087" s="6" t="s">
        <v>45</v>
      </c>
      <c r="F1087" s="6" t="s">
        <v>39</v>
      </c>
      <c r="G1087" s="6" t="s">
        <v>47</v>
      </c>
      <c r="H1087" s="8">
        <v>4084</v>
      </c>
      <c r="I1087" s="8">
        <f t="shared" si="66"/>
        <v>612.6</v>
      </c>
      <c r="J1087" s="8">
        <f t="shared" si="67"/>
        <v>3471.4</v>
      </c>
      <c r="K1087" s="8">
        <v>4156</v>
      </c>
      <c r="L1087" s="6">
        <v>7</v>
      </c>
      <c r="M1087" s="22" t="str" cm="1">
        <f t="array" ref="M1087">_xlfn.IFS(L1087&gt;10,"Veteran",L1087&gt;=6,"Experienced",L1087&gt;=2,"Developing",L1087&gt;=0,"New")</f>
        <v>Experienced</v>
      </c>
    </row>
    <row r="1088" spans="1:13">
      <c r="A1088" s="21" t="str">
        <f t="shared" ca="1" si="64"/>
        <v>Re-Res-1994-1087</v>
      </c>
      <c r="B1088" s="6">
        <v>50</v>
      </c>
      <c r="C1088" s="6" t="str">
        <f t="shared" si="65"/>
        <v>50+</v>
      </c>
      <c r="D1088" s="6" t="s">
        <v>43</v>
      </c>
      <c r="E1088" s="6" t="s">
        <v>45</v>
      </c>
      <c r="F1088" s="6" t="s">
        <v>46</v>
      </c>
      <c r="G1088" s="6" t="s">
        <v>58</v>
      </c>
      <c r="H1088" s="8">
        <v>14411</v>
      </c>
      <c r="I1088" s="8">
        <f t="shared" si="66"/>
        <v>4323.3</v>
      </c>
      <c r="J1088" s="8">
        <f t="shared" si="67"/>
        <v>10087.700000000001</v>
      </c>
      <c r="K1088" s="8">
        <v>24450</v>
      </c>
      <c r="L1088" s="6">
        <v>32</v>
      </c>
      <c r="M1088" s="22" t="str" cm="1">
        <f t="array" ref="M1088">_xlfn.IFS(L1088&gt;10,"Veteran",L1088&gt;=6,"Experienced",L1088&gt;=2,"Developing",L1088&gt;=0,"New")</f>
        <v>Veteran</v>
      </c>
    </row>
    <row r="1089" spans="1:13">
      <c r="A1089" s="21" t="str">
        <f t="shared" ca="1" si="64"/>
        <v>Sa-Sal-2015-1088</v>
      </c>
      <c r="B1089" s="6">
        <v>34</v>
      </c>
      <c r="C1089" s="6" t="str">
        <f t="shared" si="65"/>
        <v>30-39</v>
      </c>
      <c r="D1089" s="6" t="s">
        <v>43</v>
      </c>
      <c r="E1089" s="6" t="s">
        <v>37</v>
      </c>
      <c r="F1089" s="6" t="s">
        <v>46</v>
      </c>
      <c r="G1089" s="6" t="s">
        <v>57</v>
      </c>
      <c r="H1089" s="8">
        <v>2308</v>
      </c>
      <c r="I1089" s="8">
        <f t="shared" si="66"/>
        <v>161.56</v>
      </c>
      <c r="J1089" s="8">
        <f t="shared" si="67"/>
        <v>2146.44</v>
      </c>
      <c r="K1089" s="8">
        <v>4944</v>
      </c>
      <c r="L1089" s="6">
        <v>11</v>
      </c>
      <c r="M1089" s="22" t="str" cm="1">
        <f t="array" ref="M1089">_xlfn.IFS(L1089&gt;10,"Veteran",L1089&gt;=6,"Experienced",L1089&gt;=2,"Developing",L1089&gt;=0,"New")</f>
        <v>Veteran</v>
      </c>
    </row>
    <row r="1090" spans="1:13">
      <c r="A1090" s="21" t="str">
        <f t="shared" ca="1" si="64"/>
        <v>La-Res-2025-1089</v>
      </c>
      <c r="B1090" s="6">
        <v>42</v>
      </c>
      <c r="C1090" s="6" t="str">
        <f t="shared" si="65"/>
        <v>40-49</v>
      </c>
      <c r="D1090" s="6" t="s">
        <v>43</v>
      </c>
      <c r="E1090" s="6" t="s">
        <v>45</v>
      </c>
      <c r="F1090" s="6" t="s">
        <v>46</v>
      </c>
      <c r="G1090" s="6" t="s">
        <v>50</v>
      </c>
      <c r="H1090" s="8">
        <v>4841</v>
      </c>
      <c r="I1090" s="8">
        <f t="shared" si="66"/>
        <v>726.15</v>
      </c>
      <c r="J1090" s="8">
        <f t="shared" si="67"/>
        <v>4114.8500000000004</v>
      </c>
      <c r="K1090" s="8">
        <v>24052</v>
      </c>
      <c r="L1090" s="6">
        <v>1</v>
      </c>
      <c r="M1090" s="22" t="str" cm="1">
        <f t="array" ref="M1090">_xlfn.IFS(L1090&gt;10,"Veteran",L1090&gt;=6,"Experienced",L1090&gt;=2,"Developing",L1090&gt;=0,"New")</f>
        <v>New</v>
      </c>
    </row>
    <row r="1091" spans="1:13">
      <c r="A1091" s="21" t="str">
        <f t="shared" ref="A1091:A1154" ca="1" si="68">LEFT(G1091,2)&amp;"-"&amp;LEFT(E1091,3)&amp;"-"&amp;YEAR(TODAY())-L1091&amp;"-"&amp;TEXT(ROW()-1,"000")</f>
        <v>Re-Res-2016-1090</v>
      </c>
      <c r="B1091" s="6">
        <v>37</v>
      </c>
      <c r="C1091" s="6" t="str">
        <f t="shared" ref="C1091:C1154" si="69">IF(B1091&lt;=29,"20-29",IF(B1091&lt;=39,"30-39",IF(B1091&lt;=49,"40-49","50+")))</f>
        <v>30-39</v>
      </c>
      <c r="D1091" s="6" t="s">
        <v>43</v>
      </c>
      <c r="E1091" s="6" t="s">
        <v>45</v>
      </c>
      <c r="F1091" s="6" t="s">
        <v>46</v>
      </c>
      <c r="G1091" s="6" t="s">
        <v>47</v>
      </c>
      <c r="H1091" s="8">
        <v>4285</v>
      </c>
      <c r="I1091" s="8">
        <f t="shared" ref="I1091:I1154" si="70">IF(H1091&gt;13000,H1091*30%,IF(H1091&gt;7000,H1091*22%,IF(H1091&gt;3000,H1091*15%,H1091*7%)))</f>
        <v>642.75</v>
      </c>
      <c r="J1091" s="8">
        <f t="shared" ref="J1091:J1154" si="71">H1091-I1091</f>
        <v>3642.25</v>
      </c>
      <c r="K1091" s="8">
        <v>3031</v>
      </c>
      <c r="L1091" s="6">
        <v>10</v>
      </c>
      <c r="M1091" s="22" t="str" cm="1">
        <f t="array" ref="M1091">_xlfn.IFS(L1091&gt;10,"Veteran",L1091&gt;=6,"Experienced",L1091&gt;=2,"Developing",L1091&gt;=0,"New")</f>
        <v>Experienced</v>
      </c>
    </row>
    <row r="1092" spans="1:13">
      <c r="A1092" s="21" t="str">
        <f t="shared" ca="1" si="68"/>
        <v>He-Res-2019-1091</v>
      </c>
      <c r="B1092" s="6">
        <v>29</v>
      </c>
      <c r="C1092" s="6" t="str">
        <f t="shared" si="69"/>
        <v>20-29</v>
      </c>
      <c r="D1092" s="6" t="s">
        <v>43</v>
      </c>
      <c r="E1092" s="6" t="s">
        <v>45</v>
      </c>
      <c r="F1092" s="6" t="s">
        <v>39</v>
      </c>
      <c r="G1092" s="6" t="s">
        <v>54</v>
      </c>
      <c r="H1092" s="8">
        <v>9715</v>
      </c>
      <c r="I1092" s="8">
        <f t="shared" si="70"/>
        <v>2137.3000000000002</v>
      </c>
      <c r="J1092" s="8">
        <f t="shared" si="71"/>
        <v>7577.7</v>
      </c>
      <c r="K1092" s="8">
        <v>7288</v>
      </c>
      <c r="L1092" s="6">
        <v>7</v>
      </c>
      <c r="M1092" s="22" t="str" cm="1">
        <f t="array" ref="M1092">_xlfn.IFS(L1092&gt;10,"Veteran",L1092&gt;=6,"Experienced",L1092&gt;=2,"Developing",L1092&gt;=0,"New")</f>
        <v>Experienced</v>
      </c>
    </row>
    <row r="1093" spans="1:13">
      <c r="A1093" s="21" t="str">
        <f t="shared" ca="1" si="68"/>
        <v>Ma-Res-2021-1092</v>
      </c>
      <c r="B1093" s="6">
        <v>33</v>
      </c>
      <c r="C1093" s="6" t="str">
        <f t="shared" si="69"/>
        <v>30-39</v>
      </c>
      <c r="D1093" s="6" t="s">
        <v>43</v>
      </c>
      <c r="E1093" s="6" t="s">
        <v>45</v>
      </c>
      <c r="F1093" s="6" t="s">
        <v>46</v>
      </c>
      <c r="G1093" s="6" t="s">
        <v>53</v>
      </c>
      <c r="H1093" s="8">
        <v>4320</v>
      </c>
      <c r="I1093" s="8">
        <f t="shared" si="70"/>
        <v>648</v>
      </c>
      <c r="J1093" s="8">
        <f t="shared" si="71"/>
        <v>3672</v>
      </c>
      <c r="K1093" s="8">
        <v>24152</v>
      </c>
      <c r="L1093" s="6">
        <v>5</v>
      </c>
      <c r="M1093" s="22" t="str" cm="1">
        <f t="array" ref="M1093">_xlfn.IFS(L1093&gt;10,"Veteran",L1093&gt;=6,"Experienced",L1093&gt;=2,"Developing",L1093&gt;=0,"New")</f>
        <v>Developing</v>
      </c>
    </row>
    <row r="1094" spans="1:13">
      <c r="A1094" s="21" t="str">
        <f t="shared" ca="1" si="68"/>
        <v>Re-Res-2021-1093</v>
      </c>
      <c r="B1094" s="6">
        <v>45</v>
      </c>
      <c r="C1094" s="6" t="str">
        <f t="shared" si="69"/>
        <v>40-49</v>
      </c>
      <c r="D1094" s="6" t="s">
        <v>43</v>
      </c>
      <c r="E1094" s="6" t="s">
        <v>45</v>
      </c>
      <c r="F1094" s="6" t="s">
        <v>46</v>
      </c>
      <c r="G1094" s="6" t="s">
        <v>47</v>
      </c>
      <c r="H1094" s="8">
        <v>2132</v>
      </c>
      <c r="I1094" s="8">
        <f t="shared" si="70"/>
        <v>149.24</v>
      </c>
      <c r="J1094" s="8">
        <f t="shared" si="71"/>
        <v>1982.76</v>
      </c>
      <c r="K1094" s="8">
        <v>4585</v>
      </c>
      <c r="L1094" s="6">
        <v>5</v>
      </c>
      <c r="M1094" s="22" t="str" cm="1">
        <f t="array" ref="M1094">_xlfn.IFS(L1094&gt;10,"Veteran",L1094&gt;=6,"Experienced",L1094&gt;=2,"Developing",L1094&gt;=0,"New")</f>
        <v>Developing</v>
      </c>
    </row>
    <row r="1095" spans="1:13">
      <c r="A1095" s="21" t="str">
        <f t="shared" ca="1" si="68"/>
        <v>He-Res-2006-1094</v>
      </c>
      <c r="B1095" s="6">
        <v>42</v>
      </c>
      <c r="C1095" s="6" t="str">
        <f t="shared" si="69"/>
        <v>40-49</v>
      </c>
      <c r="D1095" s="6" t="s">
        <v>43</v>
      </c>
      <c r="E1095" s="6" t="s">
        <v>45</v>
      </c>
      <c r="F1095" s="6" t="s">
        <v>46</v>
      </c>
      <c r="G1095" s="6" t="s">
        <v>54</v>
      </c>
      <c r="H1095" s="8">
        <v>10124</v>
      </c>
      <c r="I1095" s="8">
        <f t="shared" si="70"/>
        <v>2227.2800000000002</v>
      </c>
      <c r="J1095" s="8">
        <f t="shared" si="71"/>
        <v>7896.7199999999993</v>
      </c>
      <c r="K1095" s="8">
        <v>18611</v>
      </c>
      <c r="L1095" s="6">
        <v>20</v>
      </c>
      <c r="M1095" s="22" t="str" cm="1">
        <f t="array" ref="M1095">_xlfn.IFS(L1095&gt;10,"Veteran",L1095&gt;=6,"Experienced",L1095&gt;=2,"Developing",L1095&gt;=0,"New")</f>
        <v>Veteran</v>
      </c>
    </row>
    <row r="1096" spans="1:13">
      <c r="A1096" s="21" t="str">
        <f t="shared" ca="1" si="68"/>
        <v>Sa-Sal-2018-1095</v>
      </c>
      <c r="B1096" s="6">
        <v>40</v>
      </c>
      <c r="C1096" s="6" t="str">
        <f t="shared" si="69"/>
        <v>40-49</v>
      </c>
      <c r="D1096" s="6" t="s">
        <v>43</v>
      </c>
      <c r="E1096" s="6" t="s">
        <v>37</v>
      </c>
      <c r="F1096" s="6" t="s">
        <v>46</v>
      </c>
      <c r="G1096" s="6" t="s">
        <v>40</v>
      </c>
      <c r="H1096" s="8">
        <v>5473</v>
      </c>
      <c r="I1096" s="8">
        <f t="shared" si="70"/>
        <v>820.94999999999993</v>
      </c>
      <c r="J1096" s="8">
        <f t="shared" si="71"/>
        <v>4652.05</v>
      </c>
      <c r="K1096" s="8">
        <v>19345</v>
      </c>
      <c r="L1096" s="6">
        <v>8</v>
      </c>
      <c r="M1096" s="22" t="str" cm="1">
        <f t="array" ref="M1096">_xlfn.IFS(L1096&gt;10,"Veteran",L1096&gt;=6,"Experienced",L1096&gt;=2,"Developing",L1096&gt;=0,"New")</f>
        <v>Experienced</v>
      </c>
    </row>
    <row r="1097" spans="1:13">
      <c r="A1097" s="21" t="str">
        <f t="shared" ca="1" si="68"/>
        <v>La-Res-2011-1096</v>
      </c>
      <c r="B1097" s="6">
        <v>33</v>
      </c>
      <c r="C1097" s="6" t="str">
        <f t="shared" si="69"/>
        <v>30-39</v>
      </c>
      <c r="D1097" s="6" t="s">
        <v>43</v>
      </c>
      <c r="E1097" s="6" t="s">
        <v>45</v>
      </c>
      <c r="F1097" s="6" t="s">
        <v>46</v>
      </c>
      <c r="G1097" s="6" t="s">
        <v>50</v>
      </c>
      <c r="H1097" s="8">
        <v>5207</v>
      </c>
      <c r="I1097" s="8">
        <f t="shared" si="70"/>
        <v>781.05</v>
      </c>
      <c r="J1097" s="8">
        <f t="shared" si="71"/>
        <v>4425.95</v>
      </c>
      <c r="K1097" s="8">
        <v>22949</v>
      </c>
      <c r="L1097" s="6">
        <v>15</v>
      </c>
      <c r="M1097" s="22" t="str" cm="1">
        <f t="array" ref="M1097">_xlfn.IFS(L1097&gt;10,"Veteran",L1097&gt;=6,"Experienced",L1097&gt;=2,"Developing",L1097&gt;=0,"New")</f>
        <v>Veteran</v>
      </c>
    </row>
    <row r="1098" spans="1:13">
      <c r="A1098" s="21" t="str">
        <f t="shared" ca="1" si="68"/>
        <v>Ma-Hum-2005-1097</v>
      </c>
      <c r="B1098" s="6">
        <v>40</v>
      </c>
      <c r="C1098" s="6" t="str">
        <f t="shared" si="69"/>
        <v>40-49</v>
      </c>
      <c r="D1098" s="6" t="s">
        <v>43</v>
      </c>
      <c r="E1098" s="6" t="s">
        <v>61</v>
      </c>
      <c r="F1098" s="6" t="s">
        <v>46</v>
      </c>
      <c r="G1098" s="6" t="s">
        <v>56</v>
      </c>
      <c r="H1098" s="8">
        <v>16437</v>
      </c>
      <c r="I1098" s="8">
        <f t="shared" si="70"/>
        <v>4931.0999999999995</v>
      </c>
      <c r="J1098" s="8">
        <f t="shared" si="71"/>
        <v>11505.900000000001</v>
      </c>
      <c r="K1098" s="8">
        <v>17381</v>
      </c>
      <c r="L1098" s="6">
        <v>21</v>
      </c>
      <c r="M1098" s="22" t="str" cm="1">
        <f t="array" ref="M1098">_xlfn.IFS(L1098&gt;10,"Veteran",L1098&gt;=6,"Experienced",L1098&gt;=2,"Developing",L1098&gt;=0,"New")</f>
        <v>Veteran</v>
      </c>
    </row>
    <row r="1099" spans="1:13">
      <c r="A1099" s="21" t="str">
        <f t="shared" ca="1" si="68"/>
        <v>La-Res-2025-1098</v>
      </c>
      <c r="B1099" s="6">
        <v>24</v>
      </c>
      <c r="C1099" s="6" t="str">
        <f t="shared" si="69"/>
        <v>20-29</v>
      </c>
      <c r="D1099" s="6" t="s">
        <v>43</v>
      </c>
      <c r="E1099" s="6" t="s">
        <v>45</v>
      </c>
      <c r="F1099" s="6" t="s">
        <v>46</v>
      </c>
      <c r="G1099" s="6" t="s">
        <v>50</v>
      </c>
      <c r="H1099" s="8">
        <v>2296</v>
      </c>
      <c r="I1099" s="8">
        <f t="shared" si="70"/>
        <v>160.72000000000003</v>
      </c>
      <c r="J1099" s="8">
        <f t="shared" si="71"/>
        <v>2135.2799999999997</v>
      </c>
      <c r="K1099" s="8">
        <v>10036</v>
      </c>
      <c r="L1099" s="6">
        <v>1</v>
      </c>
      <c r="M1099" s="22" t="str" cm="1">
        <f t="array" ref="M1099">_xlfn.IFS(L1099&gt;10,"Veteran",L1099&gt;=6,"Experienced",L1099&gt;=2,"Developing",L1099&gt;=0,"New")</f>
        <v>New</v>
      </c>
    </row>
    <row r="1100" spans="1:13">
      <c r="A1100" s="21" t="str">
        <f t="shared" ca="1" si="68"/>
        <v>He-Res-2024-1099</v>
      </c>
      <c r="B1100" s="6">
        <v>40</v>
      </c>
      <c r="C1100" s="6" t="str">
        <f t="shared" si="69"/>
        <v>40-49</v>
      </c>
      <c r="D1100" s="6" t="s">
        <v>43</v>
      </c>
      <c r="E1100" s="6" t="s">
        <v>45</v>
      </c>
      <c r="F1100" s="6" t="s">
        <v>46</v>
      </c>
      <c r="G1100" s="6" t="s">
        <v>54</v>
      </c>
      <c r="H1100" s="8">
        <v>4069</v>
      </c>
      <c r="I1100" s="8">
        <f t="shared" si="70"/>
        <v>610.35</v>
      </c>
      <c r="J1100" s="8">
        <f t="shared" si="71"/>
        <v>3458.65</v>
      </c>
      <c r="K1100" s="8">
        <v>8841</v>
      </c>
      <c r="L1100" s="6">
        <v>2</v>
      </c>
      <c r="M1100" s="22" t="str" cm="1">
        <f t="array" ref="M1100">_xlfn.IFS(L1100&gt;10,"Veteran",L1100&gt;=6,"Experienced",L1100&gt;=2,"Developing",L1100&gt;=0,"New")</f>
        <v>Developing</v>
      </c>
    </row>
    <row r="1101" spans="1:13">
      <c r="A1101" s="21" t="str">
        <f t="shared" ca="1" si="68"/>
        <v>He-Res-2016-1100</v>
      </c>
      <c r="B1101" s="6">
        <v>45</v>
      </c>
      <c r="C1101" s="6" t="str">
        <f t="shared" si="69"/>
        <v>40-49</v>
      </c>
      <c r="D1101" s="6" t="s">
        <v>43</v>
      </c>
      <c r="E1101" s="6" t="s">
        <v>45</v>
      </c>
      <c r="F1101" s="6" t="s">
        <v>46</v>
      </c>
      <c r="G1101" s="6" t="s">
        <v>54</v>
      </c>
      <c r="H1101" s="8">
        <v>7441</v>
      </c>
      <c r="I1101" s="8">
        <f t="shared" si="70"/>
        <v>1637.02</v>
      </c>
      <c r="J1101" s="8">
        <f t="shared" si="71"/>
        <v>5803.98</v>
      </c>
      <c r="K1101" s="8">
        <v>20933</v>
      </c>
      <c r="L1101" s="6">
        <v>10</v>
      </c>
      <c r="M1101" s="22" t="str" cm="1">
        <f t="array" ref="M1101">_xlfn.IFS(L1101&gt;10,"Veteran",L1101&gt;=6,"Experienced",L1101&gt;=2,"Developing",L1101&gt;=0,"New")</f>
        <v>Experienced</v>
      </c>
    </row>
    <row r="1102" spans="1:13">
      <c r="A1102" s="21" t="str">
        <f t="shared" ca="1" si="68"/>
        <v>Sa-Sal-2021-1101</v>
      </c>
      <c r="B1102" s="6">
        <v>35</v>
      </c>
      <c r="C1102" s="6" t="str">
        <f t="shared" si="69"/>
        <v>30-39</v>
      </c>
      <c r="D1102" s="6" t="s">
        <v>43</v>
      </c>
      <c r="E1102" s="6" t="s">
        <v>37</v>
      </c>
      <c r="F1102" s="6" t="s">
        <v>39</v>
      </c>
      <c r="G1102" s="6" t="s">
        <v>57</v>
      </c>
      <c r="H1102" s="8">
        <v>2430</v>
      </c>
      <c r="I1102" s="8">
        <f t="shared" si="70"/>
        <v>170.10000000000002</v>
      </c>
      <c r="J1102" s="8">
        <f t="shared" si="71"/>
        <v>2259.9</v>
      </c>
      <c r="K1102" s="8">
        <v>26204</v>
      </c>
      <c r="L1102" s="6">
        <v>5</v>
      </c>
      <c r="M1102" s="22" t="str" cm="1">
        <f t="array" ref="M1102">_xlfn.IFS(L1102&gt;10,"Veteran",L1102&gt;=6,"Experienced",L1102&gt;=2,"Developing",L1102&gt;=0,"New")</f>
        <v>Developing</v>
      </c>
    </row>
    <row r="1103" spans="1:13">
      <c r="A1103" s="21" t="str">
        <f t="shared" ca="1" si="68"/>
        <v>Re-Res-2019-1102</v>
      </c>
      <c r="B1103" s="6">
        <v>32</v>
      </c>
      <c r="C1103" s="6" t="str">
        <f t="shared" si="69"/>
        <v>30-39</v>
      </c>
      <c r="D1103" s="6" t="s">
        <v>43</v>
      </c>
      <c r="E1103" s="6" t="s">
        <v>45</v>
      </c>
      <c r="F1103" s="6" t="s">
        <v>39</v>
      </c>
      <c r="G1103" s="6" t="s">
        <v>47</v>
      </c>
      <c r="H1103" s="8">
        <v>5878</v>
      </c>
      <c r="I1103" s="8">
        <f t="shared" si="70"/>
        <v>881.69999999999993</v>
      </c>
      <c r="J1103" s="8">
        <f t="shared" si="71"/>
        <v>4996.3</v>
      </c>
      <c r="K1103" s="8">
        <v>15624</v>
      </c>
      <c r="L1103" s="6">
        <v>7</v>
      </c>
      <c r="M1103" s="22" t="str" cm="1">
        <f t="array" ref="M1103">_xlfn.IFS(L1103&gt;10,"Veteran",L1103&gt;=6,"Experienced",L1103&gt;=2,"Developing",L1103&gt;=0,"New")</f>
        <v>Experienced</v>
      </c>
    </row>
    <row r="1104" spans="1:13">
      <c r="A1104" s="21" t="str">
        <f t="shared" ca="1" si="68"/>
        <v>Sa-Sal-2023-1103</v>
      </c>
      <c r="B1104" s="6">
        <v>36</v>
      </c>
      <c r="C1104" s="6" t="str">
        <f t="shared" si="69"/>
        <v>30-39</v>
      </c>
      <c r="D1104" s="6" t="s">
        <v>43</v>
      </c>
      <c r="E1104" s="6" t="s">
        <v>37</v>
      </c>
      <c r="F1104" s="6" t="s">
        <v>46</v>
      </c>
      <c r="G1104" s="6" t="s">
        <v>57</v>
      </c>
      <c r="H1104" s="8">
        <v>2644</v>
      </c>
      <c r="I1104" s="8">
        <f t="shared" si="70"/>
        <v>185.08</v>
      </c>
      <c r="J1104" s="8">
        <f t="shared" si="71"/>
        <v>2458.92</v>
      </c>
      <c r="K1104" s="8">
        <v>17001</v>
      </c>
      <c r="L1104" s="6">
        <v>3</v>
      </c>
      <c r="M1104" s="22" t="str" cm="1">
        <f t="array" ref="M1104">_xlfn.IFS(L1104&gt;10,"Veteran",L1104&gt;=6,"Experienced",L1104&gt;=2,"Developing",L1104&gt;=0,"New")</f>
        <v>Developing</v>
      </c>
    </row>
    <row r="1105" spans="1:13">
      <c r="A1105" s="21" t="str">
        <f t="shared" ca="1" si="68"/>
        <v>Sa-Sal-2018-1104</v>
      </c>
      <c r="B1105" s="6">
        <v>48</v>
      </c>
      <c r="C1105" s="6" t="str">
        <f t="shared" si="69"/>
        <v>40-49</v>
      </c>
      <c r="D1105" s="6" t="s">
        <v>43</v>
      </c>
      <c r="E1105" s="6" t="s">
        <v>37</v>
      </c>
      <c r="F1105" s="6" t="s">
        <v>39</v>
      </c>
      <c r="G1105" s="6" t="s">
        <v>40</v>
      </c>
      <c r="H1105" s="8">
        <v>6439</v>
      </c>
      <c r="I1105" s="8">
        <f t="shared" si="70"/>
        <v>965.84999999999991</v>
      </c>
      <c r="J1105" s="8">
        <f t="shared" si="71"/>
        <v>5473.15</v>
      </c>
      <c r="K1105" s="8">
        <v>13693</v>
      </c>
      <c r="L1105" s="6">
        <v>8</v>
      </c>
      <c r="M1105" s="22" t="str" cm="1">
        <f t="array" ref="M1105">_xlfn.IFS(L1105&gt;10,"Veteran",L1105&gt;=6,"Experienced",L1105&gt;=2,"Developing",L1105&gt;=0,"New")</f>
        <v>Experienced</v>
      </c>
    </row>
    <row r="1106" spans="1:13">
      <c r="A1106" s="21" t="str">
        <f t="shared" ca="1" si="68"/>
        <v>Re-Res-2025-1105</v>
      </c>
      <c r="B1106" s="6">
        <v>29</v>
      </c>
      <c r="C1106" s="6" t="str">
        <f t="shared" si="69"/>
        <v>20-29</v>
      </c>
      <c r="D1106" s="6" t="s">
        <v>43</v>
      </c>
      <c r="E1106" s="6" t="s">
        <v>45</v>
      </c>
      <c r="F1106" s="6" t="s">
        <v>46</v>
      </c>
      <c r="G1106" s="6" t="s">
        <v>47</v>
      </c>
      <c r="H1106" s="8">
        <v>2451</v>
      </c>
      <c r="I1106" s="8">
        <f t="shared" si="70"/>
        <v>171.57000000000002</v>
      </c>
      <c r="J1106" s="8">
        <f t="shared" si="71"/>
        <v>2279.4299999999998</v>
      </c>
      <c r="K1106" s="8">
        <v>22376</v>
      </c>
      <c r="L1106" s="6">
        <v>1</v>
      </c>
      <c r="M1106" s="22" t="str" cm="1">
        <f t="array" ref="M1106">_xlfn.IFS(L1106&gt;10,"Veteran",L1106&gt;=6,"Experienced",L1106&gt;=2,"Developing",L1106&gt;=0,"New")</f>
        <v>New</v>
      </c>
    </row>
    <row r="1107" spans="1:13">
      <c r="A1107" s="21" t="str">
        <f t="shared" ca="1" si="68"/>
        <v>Sa-Sal-2024-1106</v>
      </c>
      <c r="B1107" s="6">
        <v>33</v>
      </c>
      <c r="C1107" s="6" t="str">
        <f t="shared" si="69"/>
        <v>30-39</v>
      </c>
      <c r="D1107" s="6" t="s">
        <v>43</v>
      </c>
      <c r="E1107" s="6" t="s">
        <v>37</v>
      </c>
      <c r="F1107" s="6" t="s">
        <v>46</v>
      </c>
      <c r="G1107" s="6" t="s">
        <v>40</v>
      </c>
      <c r="H1107" s="8">
        <v>6392</v>
      </c>
      <c r="I1107" s="8">
        <f t="shared" si="70"/>
        <v>958.8</v>
      </c>
      <c r="J1107" s="8">
        <f t="shared" si="71"/>
        <v>5433.2</v>
      </c>
      <c r="K1107" s="8">
        <v>10589</v>
      </c>
      <c r="L1107" s="6">
        <v>2</v>
      </c>
      <c r="M1107" s="22" t="str" cm="1">
        <f t="array" ref="M1107">_xlfn.IFS(L1107&gt;10,"Veteran",L1107&gt;=6,"Experienced",L1107&gt;=2,"Developing",L1107&gt;=0,"New")</f>
        <v>Developing</v>
      </c>
    </row>
    <row r="1108" spans="1:13">
      <c r="A1108" s="21" t="str">
        <f t="shared" ca="1" si="68"/>
        <v>Sa-Sal-2016-1107</v>
      </c>
      <c r="B1108" s="6">
        <v>30</v>
      </c>
      <c r="C1108" s="6" t="str">
        <f t="shared" si="69"/>
        <v>30-39</v>
      </c>
      <c r="D1108" s="6" t="s">
        <v>35</v>
      </c>
      <c r="E1108" s="6" t="s">
        <v>37</v>
      </c>
      <c r="F1108" s="6" t="s">
        <v>46</v>
      </c>
      <c r="G1108" s="6" t="s">
        <v>40</v>
      </c>
      <c r="H1108" s="8">
        <v>9714</v>
      </c>
      <c r="I1108" s="8">
        <f t="shared" si="70"/>
        <v>2137.08</v>
      </c>
      <c r="J1108" s="8">
        <f t="shared" si="71"/>
        <v>7576.92</v>
      </c>
      <c r="K1108" s="8">
        <v>5323</v>
      </c>
      <c r="L1108" s="6">
        <v>10</v>
      </c>
      <c r="M1108" s="22" t="str" cm="1">
        <f t="array" ref="M1108">_xlfn.IFS(L1108&gt;10,"Veteran",L1108&gt;=6,"Experienced",L1108&gt;=2,"Developing",L1108&gt;=0,"New")</f>
        <v>Experienced</v>
      </c>
    </row>
    <row r="1109" spans="1:13">
      <c r="A1109" s="21" t="str">
        <f t="shared" ca="1" si="68"/>
        <v>Hu-Hum-2020-1108</v>
      </c>
      <c r="B1109" s="6">
        <v>38</v>
      </c>
      <c r="C1109" s="6" t="str">
        <f t="shared" si="69"/>
        <v>30-39</v>
      </c>
      <c r="D1109" s="6" t="s">
        <v>43</v>
      </c>
      <c r="E1109" s="6" t="s">
        <v>61</v>
      </c>
      <c r="F1109" s="6" t="s">
        <v>46</v>
      </c>
      <c r="G1109" s="6" t="s">
        <v>61</v>
      </c>
      <c r="H1109" s="8">
        <v>6077</v>
      </c>
      <c r="I1109" s="8">
        <f t="shared" si="70"/>
        <v>911.55</v>
      </c>
      <c r="J1109" s="8">
        <f t="shared" si="71"/>
        <v>5165.45</v>
      </c>
      <c r="K1109" s="8">
        <v>14814</v>
      </c>
      <c r="L1109" s="6">
        <v>6</v>
      </c>
      <c r="M1109" s="22" t="str" cm="1">
        <f t="array" ref="M1109">_xlfn.IFS(L1109&gt;10,"Veteran",L1109&gt;=6,"Experienced",L1109&gt;=2,"Developing",L1109&gt;=0,"New")</f>
        <v>Experienced</v>
      </c>
    </row>
    <row r="1110" spans="1:13">
      <c r="A1110" s="21" t="str">
        <f t="shared" ca="1" si="68"/>
        <v>La-Res-2023-1109</v>
      </c>
      <c r="B1110" s="6">
        <v>35</v>
      </c>
      <c r="C1110" s="6" t="str">
        <f t="shared" si="69"/>
        <v>30-39</v>
      </c>
      <c r="D1110" s="6" t="s">
        <v>43</v>
      </c>
      <c r="E1110" s="6" t="s">
        <v>45</v>
      </c>
      <c r="F1110" s="6" t="s">
        <v>46</v>
      </c>
      <c r="G1110" s="6" t="s">
        <v>50</v>
      </c>
      <c r="H1110" s="8">
        <v>2450</v>
      </c>
      <c r="I1110" s="8">
        <f t="shared" si="70"/>
        <v>171.50000000000003</v>
      </c>
      <c r="J1110" s="8">
        <f t="shared" si="71"/>
        <v>2278.5</v>
      </c>
      <c r="K1110" s="8">
        <v>21731</v>
      </c>
      <c r="L1110" s="6">
        <v>3</v>
      </c>
      <c r="M1110" s="22" t="str" cm="1">
        <f t="array" ref="M1110">_xlfn.IFS(L1110&gt;10,"Veteran",L1110&gt;=6,"Experienced",L1110&gt;=2,"Developing",L1110&gt;=0,"New")</f>
        <v>Developing</v>
      </c>
    </row>
    <row r="1111" spans="1:13">
      <c r="A1111" s="21" t="str">
        <f t="shared" ca="1" si="68"/>
        <v>Sa-Sal-2022-1110</v>
      </c>
      <c r="B1111" s="6">
        <v>30</v>
      </c>
      <c r="C1111" s="6" t="str">
        <f t="shared" si="69"/>
        <v>30-39</v>
      </c>
      <c r="D1111" s="6" t="s">
        <v>43</v>
      </c>
      <c r="E1111" s="6" t="s">
        <v>37</v>
      </c>
      <c r="F1111" s="6" t="s">
        <v>46</v>
      </c>
      <c r="G1111" s="6" t="s">
        <v>40</v>
      </c>
      <c r="H1111" s="8">
        <v>9250</v>
      </c>
      <c r="I1111" s="8">
        <f t="shared" si="70"/>
        <v>2035</v>
      </c>
      <c r="J1111" s="8">
        <f t="shared" si="71"/>
        <v>7215</v>
      </c>
      <c r="K1111" s="8">
        <v>17799</v>
      </c>
      <c r="L1111" s="6">
        <v>4</v>
      </c>
      <c r="M1111" s="22" t="str" cm="1">
        <f t="array" ref="M1111">_xlfn.IFS(L1111&gt;10,"Veteran",L1111&gt;=6,"Experienced",L1111&gt;=2,"Developing",L1111&gt;=0,"New")</f>
        <v>Developing</v>
      </c>
    </row>
    <row r="1112" spans="1:13">
      <c r="A1112" s="21" t="str">
        <f t="shared" ca="1" si="68"/>
        <v>La-Res-2025-1111</v>
      </c>
      <c r="B1112" s="6">
        <v>35</v>
      </c>
      <c r="C1112" s="6" t="str">
        <f t="shared" si="69"/>
        <v>30-39</v>
      </c>
      <c r="D1112" s="6" t="s">
        <v>35</v>
      </c>
      <c r="E1112" s="6" t="s">
        <v>45</v>
      </c>
      <c r="F1112" s="6" t="s">
        <v>39</v>
      </c>
      <c r="G1112" s="6" t="s">
        <v>50</v>
      </c>
      <c r="H1112" s="8">
        <v>2074</v>
      </c>
      <c r="I1112" s="8">
        <f t="shared" si="70"/>
        <v>145.18</v>
      </c>
      <c r="J1112" s="8">
        <f t="shared" si="71"/>
        <v>1928.82</v>
      </c>
      <c r="K1112" s="8">
        <v>26619</v>
      </c>
      <c r="L1112" s="6">
        <v>1</v>
      </c>
      <c r="M1112" s="22" t="str" cm="1">
        <f t="array" ref="M1112">_xlfn.IFS(L1112&gt;10,"Veteran",L1112&gt;=6,"Experienced",L1112&gt;=2,"Developing",L1112&gt;=0,"New")</f>
        <v>New</v>
      </c>
    </row>
    <row r="1113" spans="1:13">
      <c r="A1113" s="21" t="str">
        <f t="shared" ca="1" si="68"/>
        <v>Ma-Res-1993-1112</v>
      </c>
      <c r="B1113" s="6">
        <v>53</v>
      </c>
      <c r="C1113" s="6" t="str">
        <f t="shared" si="69"/>
        <v>50+</v>
      </c>
      <c r="D1113" s="6" t="s">
        <v>35</v>
      </c>
      <c r="E1113" s="6" t="s">
        <v>45</v>
      </c>
      <c r="F1113" s="6" t="s">
        <v>39</v>
      </c>
      <c r="G1113" s="6" t="s">
        <v>53</v>
      </c>
      <c r="H1113" s="8">
        <v>10169</v>
      </c>
      <c r="I1113" s="8">
        <f t="shared" si="70"/>
        <v>2237.1799999999998</v>
      </c>
      <c r="J1113" s="8">
        <f t="shared" si="71"/>
        <v>7931.82</v>
      </c>
      <c r="K1113" s="8">
        <v>14618</v>
      </c>
      <c r="L1113" s="6">
        <v>33</v>
      </c>
      <c r="M1113" s="22" t="str" cm="1">
        <f t="array" ref="M1113">_xlfn.IFS(L1113&gt;10,"Veteran",L1113&gt;=6,"Experienced",L1113&gt;=2,"Developing",L1113&gt;=0,"New")</f>
        <v>Veteran</v>
      </c>
    </row>
    <row r="1114" spans="1:13">
      <c r="A1114" s="21" t="str">
        <f t="shared" ca="1" si="68"/>
        <v>Ma-Res-2021-1113</v>
      </c>
      <c r="B1114" s="6">
        <v>38</v>
      </c>
      <c r="C1114" s="6" t="str">
        <f t="shared" si="69"/>
        <v>30-39</v>
      </c>
      <c r="D1114" s="6" t="s">
        <v>35</v>
      </c>
      <c r="E1114" s="6" t="s">
        <v>45</v>
      </c>
      <c r="F1114" s="6" t="s">
        <v>46</v>
      </c>
      <c r="G1114" s="6" t="s">
        <v>53</v>
      </c>
      <c r="H1114" s="8">
        <v>4855</v>
      </c>
      <c r="I1114" s="8">
        <f t="shared" si="70"/>
        <v>728.25</v>
      </c>
      <c r="J1114" s="8">
        <f t="shared" si="71"/>
        <v>4126.75</v>
      </c>
      <c r="K1114" s="8">
        <v>7653</v>
      </c>
      <c r="L1114" s="6">
        <v>5</v>
      </c>
      <c r="M1114" s="22" t="str" cm="1">
        <f t="array" ref="M1114">_xlfn.IFS(L1114&gt;10,"Veteran",L1114&gt;=6,"Experienced",L1114&gt;=2,"Developing",L1114&gt;=0,"New")</f>
        <v>Developing</v>
      </c>
    </row>
    <row r="1115" spans="1:13">
      <c r="A1115" s="21" t="str">
        <f t="shared" ca="1" si="68"/>
        <v>Re-Res-2020-1114</v>
      </c>
      <c r="B1115" s="6">
        <v>32</v>
      </c>
      <c r="C1115" s="6" t="str">
        <f t="shared" si="69"/>
        <v>30-39</v>
      </c>
      <c r="D1115" s="6" t="s">
        <v>43</v>
      </c>
      <c r="E1115" s="6" t="s">
        <v>45</v>
      </c>
      <c r="F1115" s="6" t="s">
        <v>46</v>
      </c>
      <c r="G1115" s="6" t="s">
        <v>47</v>
      </c>
      <c r="H1115" s="8">
        <v>4087</v>
      </c>
      <c r="I1115" s="8">
        <f t="shared" si="70"/>
        <v>613.04999999999995</v>
      </c>
      <c r="J1115" s="8">
        <f t="shared" si="71"/>
        <v>3473.95</v>
      </c>
      <c r="K1115" s="8">
        <v>25174</v>
      </c>
      <c r="L1115" s="6">
        <v>6</v>
      </c>
      <c r="M1115" s="22" t="str" cm="1">
        <f t="array" ref="M1115">_xlfn.IFS(L1115&gt;10,"Veteran",L1115&gt;=6,"Experienced",L1115&gt;=2,"Developing",L1115&gt;=0,"New")</f>
        <v>Experienced</v>
      </c>
    </row>
    <row r="1116" spans="1:13">
      <c r="A1116" s="21" t="str">
        <f t="shared" ca="1" si="68"/>
        <v>Re-Res-2018-1115</v>
      </c>
      <c r="B1116" s="6">
        <v>48</v>
      </c>
      <c r="C1116" s="6" t="str">
        <f t="shared" si="69"/>
        <v>40-49</v>
      </c>
      <c r="D1116" s="6" t="s">
        <v>43</v>
      </c>
      <c r="E1116" s="6" t="s">
        <v>45</v>
      </c>
      <c r="F1116" s="6" t="s">
        <v>39</v>
      </c>
      <c r="G1116" s="6" t="s">
        <v>47</v>
      </c>
      <c r="H1116" s="8">
        <v>2367</v>
      </c>
      <c r="I1116" s="8">
        <f t="shared" si="70"/>
        <v>165.69000000000003</v>
      </c>
      <c r="J1116" s="8">
        <f t="shared" si="71"/>
        <v>2201.31</v>
      </c>
      <c r="K1116" s="8">
        <v>16530</v>
      </c>
      <c r="L1116" s="6">
        <v>8</v>
      </c>
      <c r="M1116" s="22" t="str" cm="1">
        <f t="array" ref="M1116">_xlfn.IFS(L1116&gt;10,"Veteran",L1116&gt;=6,"Experienced",L1116&gt;=2,"Developing",L1116&gt;=0,"New")</f>
        <v>Experienced</v>
      </c>
    </row>
    <row r="1117" spans="1:13">
      <c r="A1117" s="21" t="str">
        <f t="shared" ca="1" si="68"/>
        <v>Re-Res-2025-1116</v>
      </c>
      <c r="B1117" s="6">
        <v>34</v>
      </c>
      <c r="C1117" s="6" t="str">
        <f t="shared" si="69"/>
        <v>30-39</v>
      </c>
      <c r="D1117" s="6" t="s">
        <v>43</v>
      </c>
      <c r="E1117" s="6" t="s">
        <v>45</v>
      </c>
      <c r="F1117" s="6" t="s">
        <v>46</v>
      </c>
      <c r="G1117" s="6" t="s">
        <v>47</v>
      </c>
      <c r="H1117" s="8">
        <v>2972</v>
      </c>
      <c r="I1117" s="8">
        <f t="shared" si="70"/>
        <v>208.04000000000002</v>
      </c>
      <c r="J1117" s="8">
        <f t="shared" si="71"/>
        <v>2763.96</v>
      </c>
      <c r="K1117" s="8">
        <v>22061</v>
      </c>
      <c r="L1117" s="6">
        <v>1</v>
      </c>
      <c r="M1117" s="22" t="str" cm="1">
        <f t="array" ref="M1117">_xlfn.IFS(L1117&gt;10,"Veteran",L1117&gt;=6,"Experienced",L1117&gt;=2,"Developing",L1117&gt;=0,"New")</f>
        <v>New</v>
      </c>
    </row>
    <row r="1118" spans="1:13">
      <c r="A1118" s="21" t="str">
        <f t="shared" ca="1" si="68"/>
        <v>Ma-Sal-1990-1117</v>
      </c>
      <c r="B1118" s="6">
        <v>55</v>
      </c>
      <c r="C1118" s="6" t="str">
        <f t="shared" si="69"/>
        <v>50+</v>
      </c>
      <c r="D1118" s="6" t="s">
        <v>43</v>
      </c>
      <c r="E1118" s="6" t="s">
        <v>37</v>
      </c>
      <c r="F1118" s="6" t="s">
        <v>46</v>
      </c>
      <c r="G1118" s="6" t="s">
        <v>56</v>
      </c>
      <c r="H1118" s="8">
        <v>19586</v>
      </c>
      <c r="I1118" s="8">
        <f t="shared" si="70"/>
        <v>5875.8</v>
      </c>
      <c r="J1118" s="8">
        <f t="shared" si="71"/>
        <v>13710.2</v>
      </c>
      <c r="K1118" s="8">
        <v>23037</v>
      </c>
      <c r="L1118" s="6">
        <v>36</v>
      </c>
      <c r="M1118" s="22" t="str" cm="1">
        <f t="array" ref="M1118">_xlfn.IFS(L1118&gt;10,"Veteran",L1118&gt;=6,"Experienced",L1118&gt;=2,"Developing",L1118&gt;=0,"New")</f>
        <v>Veteran</v>
      </c>
    </row>
    <row r="1119" spans="1:13">
      <c r="A1119" s="21" t="str">
        <f t="shared" ca="1" si="68"/>
        <v>Re-Res-2024-1118</v>
      </c>
      <c r="B1119" s="6">
        <v>34</v>
      </c>
      <c r="C1119" s="6" t="str">
        <f t="shared" si="69"/>
        <v>30-39</v>
      </c>
      <c r="D1119" s="6" t="s">
        <v>43</v>
      </c>
      <c r="E1119" s="6" t="s">
        <v>45</v>
      </c>
      <c r="F1119" s="6" t="s">
        <v>46</v>
      </c>
      <c r="G1119" s="6" t="s">
        <v>47</v>
      </c>
      <c r="H1119" s="8">
        <v>5484</v>
      </c>
      <c r="I1119" s="8">
        <f t="shared" si="70"/>
        <v>822.6</v>
      </c>
      <c r="J1119" s="8">
        <f t="shared" si="71"/>
        <v>4661.3999999999996</v>
      </c>
      <c r="K1119" s="8">
        <v>13008</v>
      </c>
      <c r="L1119" s="6">
        <v>2</v>
      </c>
      <c r="M1119" s="22" t="str" cm="1">
        <f t="array" ref="M1119">_xlfn.IFS(L1119&gt;10,"Veteran",L1119&gt;=6,"Experienced",L1119&gt;=2,"Developing",L1119&gt;=0,"New")</f>
        <v>Developing</v>
      </c>
    </row>
    <row r="1120" spans="1:13">
      <c r="A1120" s="21" t="str">
        <f t="shared" ca="1" si="68"/>
        <v>Re-Res-2025-1119</v>
      </c>
      <c r="B1120" s="6">
        <v>26</v>
      </c>
      <c r="C1120" s="6" t="str">
        <f t="shared" si="69"/>
        <v>20-29</v>
      </c>
      <c r="D1120" s="6" t="s">
        <v>43</v>
      </c>
      <c r="E1120" s="6" t="s">
        <v>45</v>
      </c>
      <c r="F1120" s="6" t="s">
        <v>39</v>
      </c>
      <c r="G1120" s="6" t="s">
        <v>47</v>
      </c>
      <c r="H1120" s="8">
        <v>2061</v>
      </c>
      <c r="I1120" s="8">
        <f t="shared" si="70"/>
        <v>144.27000000000001</v>
      </c>
      <c r="J1120" s="8">
        <f t="shared" si="71"/>
        <v>1916.73</v>
      </c>
      <c r="K1120" s="8">
        <v>11133</v>
      </c>
      <c r="L1120" s="6">
        <v>1</v>
      </c>
      <c r="M1120" s="22" t="str" cm="1">
        <f t="array" ref="M1120">_xlfn.IFS(L1120&gt;10,"Veteran",L1120&gt;=6,"Experienced",L1120&gt;=2,"Developing",L1120&gt;=0,"New")</f>
        <v>New</v>
      </c>
    </row>
    <row r="1121" spans="1:13">
      <c r="A1121" s="21" t="str">
        <f t="shared" ca="1" si="68"/>
        <v>Sa-Sal-2017-1120</v>
      </c>
      <c r="B1121" s="6">
        <v>38</v>
      </c>
      <c r="C1121" s="6" t="str">
        <f t="shared" si="69"/>
        <v>30-39</v>
      </c>
      <c r="D1121" s="6" t="s">
        <v>43</v>
      </c>
      <c r="E1121" s="6" t="s">
        <v>37</v>
      </c>
      <c r="F1121" s="6" t="s">
        <v>46</v>
      </c>
      <c r="G1121" s="6" t="s">
        <v>40</v>
      </c>
      <c r="H1121" s="8">
        <v>9924</v>
      </c>
      <c r="I1121" s="8">
        <f t="shared" si="70"/>
        <v>2183.2800000000002</v>
      </c>
      <c r="J1121" s="8">
        <f t="shared" si="71"/>
        <v>7740.7199999999993</v>
      </c>
      <c r="K1121" s="8">
        <v>12355</v>
      </c>
      <c r="L1121" s="6">
        <v>9</v>
      </c>
      <c r="M1121" s="22" t="str" cm="1">
        <f t="array" ref="M1121">_xlfn.IFS(L1121&gt;10,"Veteran",L1121&gt;=6,"Experienced",L1121&gt;=2,"Developing",L1121&gt;=0,"New")</f>
        <v>Experienced</v>
      </c>
    </row>
    <row r="1122" spans="1:13">
      <c r="A1122" s="21" t="str">
        <f t="shared" ca="1" si="68"/>
        <v>Sa-Sal-2023-1121</v>
      </c>
      <c r="B1122" s="6">
        <v>38</v>
      </c>
      <c r="C1122" s="6" t="str">
        <f t="shared" si="69"/>
        <v>30-39</v>
      </c>
      <c r="D1122" s="6" t="s">
        <v>43</v>
      </c>
      <c r="E1122" s="6" t="s">
        <v>37</v>
      </c>
      <c r="F1122" s="6" t="s">
        <v>39</v>
      </c>
      <c r="G1122" s="6" t="s">
        <v>40</v>
      </c>
      <c r="H1122" s="8">
        <v>4198</v>
      </c>
      <c r="I1122" s="8">
        <f t="shared" si="70"/>
        <v>629.69999999999993</v>
      </c>
      <c r="J1122" s="8">
        <f t="shared" si="71"/>
        <v>3568.3</v>
      </c>
      <c r="K1122" s="8">
        <v>16379</v>
      </c>
      <c r="L1122" s="6">
        <v>3</v>
      </c>
      <c r="M1122" s="22" t="str" cm="1">
        <f t="array" ref="M1122">_xlfn.IFS(L1122&gt;10,"Veteran",L1122&gt;=6,"Experienced",L1122&gt;=2,"Developing",L1122&gt;=0,"New")</f>
        <v>Developing</v>
      </c>
    </row>
    <row r="1123" spans="1:13">
      <c r="A1123" s="21" t="str">
        <f t="shared" ca="1" si="68"/>
        <v>Sa-Sal-2025-1122</v>
      </c>
      <c r="B1123" s="6">
        <v>36</v>
      </c>
      <c r="C1123" s="6" t="str">
        <f t="shared" si="69"/>
        <v>30-39</v>
      </c>
      <c r="D1123" s="6" t="s">
        <v>43</v>
      </c>
      <c r="E1123" s="6" t="s">
        <v>37</v>
      </c>
      <c r="F1123" s="6" t="s">
        <v>39</v>
      </c>
      <c r="G1123" s="6" t="s">
        <v>40</v>
      </c>
      <c r="H1123" s="8">
        <v>6815</v>
      </c>
      <c r="I1123" s="8">
        <f t="shared" si="70"/>
        <v>1022.25</v>
      </c>
      <c r="J1123" s="8">
        <f t="shared" si="71"/>
        <v>5792.75</v>
      </c>
      <c r="K1123" s="8">
        <v>21447</v>
      </c>
      <c r="L1123" s="6">
        <v>1</v>
      </c>
      <c r="M1123" s="22" t="str" cm="1">
        <f t="array" ref="M1123">_xlfn.IFS(L1123&gt;10,"Veteran",L1123&gt;=6,"Experienced",L1123&gt;=2,"Developing",L1123&gt;=0,"New")</f>
        <v>New</v>
      </c>
    </row>
    <row r="1124" spans="1:13">
      <c r="A1124" s="21" t="str">
        <f t="shared" ca="1" si="68"/>
        <v>La-Res-2016-1123</v>
      </c>
      <c r="B1124" s="6">
        <v>29</v>
      </c>
      <c r="C1124" s="6" t="str">
        <f t="shared" si="69"/>
        <v>20-29</v>
      </c>
      <c r="D1124" s="6" t="s">
        <v>43</v>
      </c>
      <c r="E1124" s="6" t="s">
        <v>45</v>
      </c>
      <c r="F1124" s="6" t="s">
        <v>46</v>
      </c>
      <c r="G1124" s="6" t="s">
        <v>50</v>
      </c>
      <c r="H1124" s="8">
        <v>4723</v>
      </c>
      <c r="I1124" s="8">
        <f t="shared" si="70"/>
        <v>708.44999999999993</v>
      </c>
      <c r="J1124" s="8">
        <f t="shared" si="71"/>
        <v>4014.55</v>
      </c>
      <c r="K1124" s="8">
        <v>16213</v>
      </c>
      <c r="L1124" s="6">
        <v>10</v>
      </c>
      <c r="M1124" s="22" t="str" cm="1">
        <f t="array" ref="M1124">_xlfn.IFS(L1124&gt;10,"Veteran",L1124&gt;=6,"Experienced",L1124&gt;=2,"Developing",L1124&gt;=0,"New")</f>
        <v>Experienced</v>
      </c>
    </row>
    <row r="1125" spans="1:13">
      <c r="A1125" s="21" t="str">
        <f t="shared" ca="1" si="68"/>
        <v>He-Res-2021-1124</v>
      </c>
      <c r="B1125" s="6">
        <v>35</v>
      </c>
      <c r="C1125" s="6" t="str">
        <f t="shared" si="69"/>
        <v>30-39</v>
      </c>
      <c r="D1125" s="6" t="s">
        <v>43</v>
      </c>
      <c r="E1125" s="6" t="s">
        <v>45</v>
      </c>
      <c r="F1125" s="6" t="s">
        <v>39</v>
      </c>
      <c r="G1125" s="6" t="s">
        <v>54</v>
      </c>
      <c r="H1125" s="8">
        <v>6142</v>
      </c>
      <c r="I1125" s="8">
        <f t="shared" si="70"/>
        <v>921.3</v>
      </c>
      <c r="J1125" s="8">
        <f t="shared" si="71"/>
        <v>5220.7</v>
      </c>
      <c r="K1125" s="8">
        <v>4223</v>
      </c>
      <c r="L1125" s="6">
        <v>5</v>
      </c>
      <c r="M1125" s="22" t="str" cm="1">
        <f t="array" ref="M1125">_xlfn.IFS(L1125&gt;10,"Veteran",L1125&gt;=6,"Experienced",L1125&gt;=2,"Developing",L1125&gt;=0,"New")</f>
        <v>Developing</v>
      </c>
    </row>
    <row r="1126" spans="1:13">
      <c r="A1126" s="21" t="str">
        <f t="shared" ca="1" si="68"/>
        <v>Sa-Sal-2019-1125</v>
      </c>
      <c r="B1126" s="6">
        <v>39</v>
      </c>
      <c r="C1126" s="6" t="str">
        <f t="shared" si="69"/>
        <v>30-39</v>
      </c>
      <c r="D1126" s="6" t="s">
        <v>43</v>
      </c>
      <c r="E1126" s="6" t="s">
        <v>37</v>
      </c>
      <c r="F1126" s="6" t="s">
        <v>46</v>
      </c>
      <c r="G1126" s="6" t="s">
        <v>40</v>
      </c>
      <c r="H1126" s="8">
        <v>8237</v>
      </c>
      <c r="I1126" s="8">
        <f t="shared" si="70"/>
        <v>1812.14</v>
      </c>
      <c r="J1126" s="8">
        <f t="shared" si="71"/>
        <v>6424.86</v>
      </c>
      <c r="K1126" s="8">
        <v>4658</v>
      </c>
      <c r="L1126" s="6">
        <v>7</v>
      </c>
      <c r="M1126" s="22" t="str" cm="1">
        <f t="array" ref="M1126">_xlfn.IFS(L1126&gt;10,"Veteran",L1126&gt;=6,"Experienced",L1126&gt;=2,"Developing",L1126&gt;=0,"New")</f>
        <v>Experienced</v>
      </c>
    </row>
    <row r="1127" spans="1:13">
      <c r="A1127" s="21" t="str">
        <f t="shared" ca="1" si="68"/>
        <v>He-Res-2020-1126</v>
      </c>
      <c r="B1127" s="6">
        <v>29</v>
      </c>
      <c r="C1127" s="6" t="str">
        <f t="shared" si="69"/>
        <v>20-29</v>
      </c>
      <c r="D1127" s="6" t="s">
        <v>43</v>
      </c>
      <c r="E1127" s="6" t="s">
        <v>45</v>
      </c>
      <c r="F1127" s="6" t="s">
        <v>46</v>
      </c>
      <c r="G1127" s="6" t="s">
        <v>54</v>
      </c>
      <c r="H1127" s="8">
        <v>8853</v>
      </c>
      <c r="I1127" s="8">
        <f t="shared" si="70"/>
        <v>1947.66</v>
      </c>
      <c r="J1127" s="8">
        <f t="shared" si="71"/>
        <v>6905.34</v>
      </c>
      <c r="K1127" s="8">
        <v>24483</v>
      </c>
      <c r="L1127" s="6">
        <v>6</v>
      </c>
      <c r="M1127" s="22" t="str" cm="1">
        <f t="array" ref="M1127">_xlfn.IFS(L1127&gt;10,"Veteran",L1127&gt;=6,"Experienced",L1127&gt;=2,"Developing",L1127&gt;=0,"New")</f>
        <v>Experienced</v>
      </c>
    </row>
    <row r="1128" spans="1:13">
      <c r="A1128" s="21" t="str">
        <f t="shared" ca="1" si="68"/>
        <v>Ma-Sal-2025-1127</v>
      </c>
      <c r="B1128" s="6">
        <v>50</v>
      </c>
      <c r="C1128" s="6" t="str">
        <f t="shared" si="69"/>
        <v>50+</v>
      </c>
      <c r="D1128" s="6" t="s">
        <v>43</v>
      </c>
      <c r="E1128" s="6" t="s">
        <v>37</v>
      </c>
      <c r="F1128" s="6" t="s">
        <v>46</v>
      </c>
      <c r="G1128" s="6" t="s">
        <v>56</v>
      </c>
      <c r="H1128" s="8">
        <v>19331</v>
      </c>
      <c r="I1128" s="8">
        <f t="shared" si="70"/>
        <v>5799.3</v>
      </c>
      <c r="J1128" s="8">
        <f t="shared" si="71"/>
        <v>13531.7</v>
      </c>
      <c r="K1128" s="8">
        <v>19519</v>
      </c>
      <c r="L1128" s="6">
        <v>1</v>
      </c>
      <c r="M1128" s="22" t="str" cm="1">
        <f t="array" ref="M1128">_xlfn.IFS(L1128&gt;10,"Veteran",L1128&gt;=6,"Experienced",L1128&gt;=2,"Developing",L1128&gt;=0,"New")</f>
        <v>New</v>
      </c>
    </row>
    <row r="1129" spans="1:13">
      <c r="A1129" s="21" t="str">
        <f t="shared" ca="1" si="68"/>
        <v>Re-Res-2024-1128</v>
      </c>
      <c r="B1129" s="6">
        <v>23</v>
      </c>
      <c r="C1129" s="6" t="str">
        <f t="shared" si="69"/>
        <v>20-29</v>
      </c>
      <c r="D1129" s="6" t="s">
        <v>43</v>
      </c>
      <c r="E1129" s="6" t="s">
        <v>45</v>
      </c>
      <c r="F1129" s="6" t="s">
        <v>46</v>
      </c>
      <c r="G1129" s="6" t="s">
        <v>47</v>
      </c>
      <c r="H1129" s="8">
        <v>2073</v>
      </c>
      <c r="I1129" s="8">
        <f t="shared" si="70"/>
        <v>145.11000000000001</v>
      </c>
      <c r="J1129" s="8">
        <f t="shared" si="71"/>
        <v>1927.8899999999999</v>
      </c>
      <c r="K1129" s="8">
        <v>12826</v>
      </c>
      <c r="L1129" s="6">
        <v>2</v>
      </c>
      <c r="M1129" s="22" t="str" cm="1">
        <f t="array" ref="M1129">_xlfn.IFS(L1129&gt;10,"Veteran",L1129&gt;=6,"Experienced",L1129&gt;=2,"Developing",L1129&gt;=0,"New")</f>
        <v>Developing</v>
      </c>
    </row>
    <row r="1130" spans="1:13">
      <c r="A1130" s="21" t="str">
        <f t="shared" ca="1" si="68"/>
        <v>La-Res-2023-1129</v>
      </c>
      <c r="B1130" s="6">
        <v>36</v>
      </c>
      <c r="C1130" s="6" t="str">
        <f t="shared" si="69"/>
        <v>30-39</v>
      </c>
      <c r="D1130" s="6" t="s">
        <v>43</v>
      </c>
      <c r="E1130" s="6" t="s">
        <v>45</v>
      </c>
      <c r="F1130" s="6" t="s">
        <v>46</v>
      </c>
      <c r="G1130" s="6" t="s">
        <v>50</v>
      </c>
      <c r="H1130" s="8">
        <v>5562</v>
      </c>
      <c r="I1130" s="8">
        <f t="shared" si="70"/>
        <v>834.3</v>
      </c>
      <c r="J1130" s="8">
        <f t="shared" si="71"/>
        <v>4727.7</v>
      </c>
      <c r="K1130" s="8">
        <v>19711</v>
      </c>
      <c r="L1130" s="6">
        <v>3</v>
      </c>
      <c r="M1130" s="22" t="str" cm="1">
        <f t="array" ref="M1130">_xlfn.IFS(L1130&gt;10,"Veteran",L1130&gt;=6,"Experienced",L1130&gt;=2,"Developing",L1130&gt;=0,"New")</f>
        <v>Developing</v>
      </c>
    </row>
    <row r="1131" spans="1:13">
      <c r="A1131" s="21" t="str">
        <f t="shared" ca="1" si="68"/>
        <v>Ma-Res-2025-1130</v>
      </c>
      <c r="B1131" s="6">
        <v>42</v>
      </c>
      <c r="C1131" s="6" t="str">
        <f t="shared" si="69"/>
        <v>40-49</v>
      </c>
      <c r="D1131" s="6" t="s">
        <v>43</v>
      </c>
      <c r="E1131" s="6" t="s">
        <v>45</v>
      </c>
      <c r="F1131" s="6" t="s">
        <v>46</v>
      </c>
      <c r="G1131" s="6" t="s">
        <v>56</v>
      </c>
      <c r="H1131" s="8">
        <v>19613</v>
      </c>
      <c r="I1131" s="8">
        <f t="shared" si="70"/>
        <v>5883.9</v>
      </c>
      <c r="J1131" s="8">
        <f t="shared" si="71"/>
        <v>13729.1</v>
      </c>
      <c r="K1131" s="8">
        <v>26362</v>
      </c>
      <c r="L1131" s="6">
        <v>1</v>
      </c>
      <c r="M1131" s="22" t="str" cm="1">
        <f t="array" ref="M1131">_xlfn.IFS(L1131&gt;10,"Veteran",L1131&gt;=6,"Experienced",L1131&gt;=2,"Developing",L1131&gt;=0,"New")</f>
        <v>New</v>
      </c>
    </row>
    <row r="1132" spans="1:13">
      <c r="A1132" s="21" t="str">
        <f t="shared" ca="1" si="68"/>
        <v>La-Res-2016-1131</v>
      </c>
      <c r="B1132" s="6">
        <v>35</v>
      </c>
      <c r="C1132" s="6" t="str">
        <f t="shared" si="69"/>
        <v>30-39</v>
      </c>
      <c r="D1132" s="6" t="s">
        <v>43</v>
      </c>
      <c r="E1132" s="6" t="s">
        <v>45</v>
      </c>
      <c r="F1132" s="6" t="s">
        <v>46</v>
      </c>
      <c r="G1132" s="6" t="s">
        <v>50</v>
      </c>
      <c r="H1132" s="8">
        <v>3407</v>
      </c>
      <c r="I1132" s="8">
        <f t="shared" si="70"/>
        <v>511.04999999999995</v>
      </c>
      <c r="J1132" s="8">
        <f t="shared" si="71"/>
        <v>2895.95</v>
      </c>
      <c r="K1132" s="8">
        <v>25348</v>
      </c>
      <c r="L1132" s="6">
        <v>10</v>
      </c>
      <c r="M1132" s="22" t="str" cm="1">
        <f t="array" ref="M1132">_xlfn.IFS(L1132&gt;10,"Veteran",L1132&gt;=6,"Experienced",L1132&gt;=2,"Developing",L1132&gt;=0,"New")</f>
        <v>Experienced</v>
      </c>
    </row>
    <row r="1133" spans="1:13">
      <c r="A1133" s="21" t="str">
        <f t="shared" ca="1" si="68"/>
        <v>He-Res-2018-1132</v>
      </c>
      <c r="B1133" s="6">
        <v>34</v>
      </c>
      <c r="C1133" s="6" t="str">
        <f t="shared" si="69"/>
        <v>30-39</v>
      </c>
      <c r="D1133" s="6" t="s">
        <v>43</v>
      </c>
      <c r="E1133" s="6" t="s">
        <v>45</v>
      </c>
      <c r="F1133" s="6" t="s">
        <v>46</v>
      </c>
      <c r="G1133" s="6" t="s">
        <v>54</v>
      </c>
      <c r="H1133" s="8">
        <v>5063</v>
      </c>
      <c r="I1133" s="8">
        <f t="shared" si="70"/>
        <v>759.44999999999993</v>
      </c>
      <c r="J1133" s="8">
        <f t="shared" si="71"/>
        <v>4303.55</v>
      </c>
      <c r="K1133" s="8">
        <v>15332</v>
      </c>
      <c r="L1133" s="6">
        <v>8</v>
      </c>
      <c r="M1133" s="22" t="str" cm="1">
        <f t="array" ref="M1133">_xlfn.IFS(L1133&gt;10,"Veteran",L1133&gt;=6,"Experienced",L1133&gt;=2,"Developing",L1133&gt;=0,"New")</f>
        <v>Experienced</v>
      </c>
    </row>
    <row r="1134" spans="1:13">
      <c r="A1134" s="21" t="str">
        <f t="shared" ca="1" si="68"/>
        <v>Sa-Sal-2021-1133</v>
      </c>
      <c r="B1134" s="6">
        <v>40</v>
      </c>
      <c r="C1134" s="6" t="str">
        <f t="shared" si="69"/>
        <v>40-49</v>
      </c>
      <c r="D1134" s="6" t="s">
        <v>43</v>
      </c>
      <c r="E1134" s="6" t="s">
        <v>37</v>
      </c>
      <c r="F1134" s="6" t="s">
        <v>39</v>
      </c>
      <c r="G1134" s="6" t="s">
        <v>40</v>
      </c>
      <c r="H1134" s="8">
        <v>4639</v>
      </c>
      <c r="I1134" s="8">
        <f t="shared" si="70"/>
        <v>695.85</v>
      </c>
      <c r="J1134" s="8">
        <f t="shared" si="71"/>
        <v>3943.15</v>
      </c>
      <c r="K1134" s="8">
        <v>11262</v>
      </c>
      <c r="L1134" s="6">
        <v>5</v>
      </c>
      <c r="M1134" s="22" t="str" cm="1">
        <f t="array" ref="M1134">_xlfn.IFS(L1134&gt;10,"Veteran",L1134&gt;=6,"Experienced",L1134&gt;=2,"Developing",L1134&gt;=0,"New")</f>
        <v>Developing</v>
      </c>
    </row>
    <row r="1135" spans="1:13">
      <c r="A1135" s="21" t="str">
        <f t="shared" ca="1" si="68"/>
        <v>La-Res-2020-1134</v>
      </c>
      <c r="B1135" s="6">
        <v>43</v>
      </c>
      <c r="C1135" s="6" t="str">
        <f t="shared" si="69"/>
        <v>40-49</v>
      </c>
      <c r="D1135" s="6" t="s">
        <v>43</v>
      </c>
      <c r="E1135" s="6" t="s">
        <v>45</v>
      </c>
      <c r="F1135" s="6" t="s">
        <v>46</v>
      </c>
      <c r="G1135" s="6" t="s">
        <v>50</v>
      </c>
      <c r="H1135" s="8">
        <v>4876</v>
      </c>
      <c r="I1135" s="8">
        <f t="shared" si="70"/>
        <v>731.4</v>
      </c>
      <c r="J1135" s="8">
        <f t="shared" si="71"/>
        <v>4144.6000000000004</v>
      </c>
      <c r="K1135" s="8">
        <v>5855</v>
      </c>
      <c r="L1135" s="6">
        <v>6</v>
      </c>
      <c r="M1135" s="22" t="str" cm="1">
        <f t="array" ref="M1135">_xlfn.IFS(L1135&gt;10,"Veteran",L1135&gt;=6,"Experienced",L1135&gt;=2,"Developing",L1135&gt;=0,"New")</f>
        <v>Experienced</v>
      </c>
    </row>
    <row r="1136" spans="1:13">
      <c r="A1136" s="21" t="str">
        <f t="shared" ca="1" si="68"/>
        <v>La-Res-2025-1135</v>
      </c>
      <c r="B1136" s="6">
        <v>35</v>
      </c>
      <c r="C1136" s="6" t="str">
        <f t="shared" si="69"/>
        <v>30-39</v>
      </c>
      <c r="D1136" s="6" t="s">
        <v>43</v>
      </c>
      <c r="E1136" s="6" t="s">
        <v>45</v>
      </c>
      <c r="F1136" s="6" t="s">
        <v>46</v>
      </c>
      <c r="G1136" s="6" t="s">
        <v>50</v>
      </c>
      <c r="H1136" s="8">
        <v>2690</v>
      </c>
      <c r="I1136" s="8">
        <f t="shared" si="70"/>
        <v>188.3</v>
      </c>
      <c r="J1136" s="8">
        <f t="shared" si="71"/>
        <v>2501.6999999999998</v>
      </c>
      <c r="K1136" s="8">
        <v>7713</v>
      </c>
      <c r="L1136" s="6">
        <v>1</v>
      </c>
      <c r="M1136" s="22" t="str" cm="1">
        <f t="array" ref="M1136">_xlfn.IFS(L1136&gt;10,"Veteran",L1136&gt;=6,"Experienced",L1136&gt;=2,"Developing",L1136&gt;=0,"New")</f>
        <v>New</v>
      </c>
    </row>
    <row r="1137" spans="1:13">
      <c r="A1137" s="21" t="str">
        <f t="shared" ca="1" si="68"/>
        <v>Ma-Sal-2000-1136</v>
      </c>
      <c r="B1137" s="6">
        <v>46</v>
      </c>
      <c r="C1137" s="6" t="str">
        <f t="shared" si="69"/>
        <v>40-49</v>
      </c>
      <c r="D1137" s="6" t="s">
        <v>43</v>
      </c>
      <c r="E1137" s="6" t="s">
        <v>37</v>
      </c>
      <c r="F1137" s="6" t="s">
        <v>46</v>
      </c>
      <c r="G1137" s="6" t="s">
        <v>56</v>
      </c>
      <c r="H1137" s="8">
        <v>17567</v>
      </c>
      <c r="I1137" s="8">
        <f t="shared" si="70"/>
        <v>5270.0999999999995</v>
      </c>
      <c r="J1137" s="8">
        <f t="shared" si="71"/>
        <v>12296.900000000001</v>
      </c>
      <c r="K1137" s="8">
        <v>3156</v>
      </c>
      <c r="L1137" s="6">
        <v>26</v>
      </c>
      <c r="M1137" s="22" t="str" cm="1">
        <f t="array" ref="M1137">_xlfn.IFS(L1137&gt;10,"Veteran",L1137&gt;=6,"Experienced",L1137&gt;=2,"Developing",L1137&gt;=0,"New")</f>
        <v>Veteran</v>
      </c>
    </row>
    <row r="1138" spans="1:13">
      <c r="A1138" s="21" t="str">
        <f t="shared" ca="1" si="68"/>
        <v>La-Res-2025-1137</v>
      </c>
      <c r="B1138" s="6">
        <v>28</v>
      </c>
      <c r="C1138" s="6" t="str">
        <f t="shared" si="69"/>
        <v>20-29</v>
      </c>
      <c r="D1138" s="6" t="s">
        <v>35</v>
      </c>
      <c r="E1138" s="6" t="s">
        <v>45</v>
      </c>
      <c r="F1138" s="6" t="s">
        <v>46</v>
      </c>
      <c r="G1138" s="6" t="s">
        <v>50</v>
      </c>
      <c r="H1138" s="8">
        <v>2408</v>
      </c>
      <c r="I1138" s="8">
        <f t="shared" si="70"/>
        <v>168.56</v>
      </c>
      <c r="J1138" s="8">
        <f t="shared" si="71"/>
        <v>2239.44</v>
      </c>
      <c r="K1138" s="8">
        <v>7324</v>
      </c>
      <c r="L1138" s="6">
        <v>1</v>
      </c>
      <c r="M1138" s="22" t="str" cm="1">
        <f t="array" ref="M1138">_xlfn.IFS(L1138&gt;10,"Veteran",L1138&gt;=6,"Experienced",L1138&gt;=2,"Developing",L1138&gt;=0,"New")</f>
        <v>New</v>
      </c>
    </row>
    <row r="1139" spans="1:13">
      <c r="A1139" s="21" t="str">
        <f t="shared" ca="1" si="68"/>
        <v>Re-Res-2022-1138</v>
      </c>
      <c r="B1139" s="6">
        <v>22</v>
      </c>
      <c r="C1139" s="6" t="str">
        <f t="shared" si="69"/>
        <v>20-29</v>
      </c>
      <c r="D1139" s="6" t="s">
        <v>43</v>
      </c>
      <c r="E1139" s="6" t="s">
        <v>45</v>
      </c>
      <c r="F1139" s="6" t="s">
        <v>39</v>
      </c>
      <c r="G1139" s="6" t="s">
        <v>47</v>
      </c>
      <c r="H1139" s="8">
        <v>2814</v>
      </c>
      <c r="I1139" s="8">
        <f t="shared" si="70"/>
        <v>196.98000000000002</v>
      </c>
      <c r="J1139" s="8">
        <f t="shared" si="71"/>
        <v>2617.02</v>
      </c>
      <c r="K1139" s="8">
        <v>10293</v>
      </c>
      <c r="L1139" s="6">
        <v>4</v>
      </c>
      <c r="M1139" s="22" t="str" cm="1">
        <f t="array" ref="M1139">_xlfn.IFS(L1139&gt;10,"Veteran",L1139&gt;=6,"Experienced",L1139&gt;=2,"Developing",L1139&gt;=0,"New")</f>
        <v>Developing</v>
      </c>
    </row>
    <row r="1140" spans="1:13">
      <c r="A1140" s="21" t="str">
        <f t="shared" ca="1" si="68"/>
        <v>He-Res-1996-1139</v>
      </c>
      <c r="B1140" s="6">
        <v>50</v>
      </c>
      <c r="C1140" s="6" t="str">
        <f t="shared" si="69"/>
        <v>50+</v>
      </c>
      <c r="D1140" s="6" t="s">
        <v>43</v>
      </c>
      <c r="E1140" s="6" t="s">
        <v>45</v>
      </c>
      <c r="F1140" s="6" t="s">
        <v>46</v>
      </c>
      <c r="G1140" s="6" t="s">
        <v>54</v>
      </c>
      <c r="H1140" s="8">
        <v>11245</v>
      </c>
      <c r="I1140" s="8">
        <f t="shared" si="70"/>
        <v>2473.9</v>
      </c>
      <c r="J1140" s="8">
        <f t="shared" si="71"/>
        <v>8771.1</v>
      </c>
      <c r="K1140" s="8">
        <v>20689</v>
      </c>
      <c r="L1140" s="6">
        <v>30</v>
      </c>
      <c r="M1140" s="22" t="str" cm="1">
        <f t="array" ref="M1140">_xlfn.IFS(L1140&gt;10,"Veteran",L1140&gt;=6,"Experienced",L1140&gt;=2,"Developing",L1140&gt;=0,"New")</f>
        <v>Veteran</v>
      </c>
    </row>
    <row r="1141" spans="1:13">
      <c r="A1141" s="21" t="str">
        <f t="shared" ca="1" si="68"/>
        <v>Re-Res-2023-1140</v>
      </c>
      <c r="B1141" s="6">
        <v>32</v>
      </c>
      <c r="C1141" s="6" t="str">
        <f t="shared" si="69"/>
        <v>30-39</v>
      </c>
      <c r="D1141" s="6" t="s">
        <v>43</v>
      </c>
      <c r="E1141" s="6" t="s">
        <v>45</v>
      </c>
      <c r="F1141" s="6" t="s">
        <v>39</v>
      </c>
      <c r="G1141" s="6" t="s">
        <v>47</v>
      </c>
      <c r="H1141" s="8">
        <v>3312</v>
      </c>
      <c r="I1141" s="8">
        <f t="shared" si="70"/>
        <v>496.79999999999995</v>
      </c>
      <c r="J1141" s="8">
        <f t="shared" si="71"/>
        <v>2815.2</v>
      </c>
      <c r="K1141" s="8">
        <v>18783</v>
      </c>
      <c r="L1141" s="6">
        <v>3</v>
      </c>
      <c r="M1141" s="22" t="str" cm="1">
        <f t="array" ref="M1141">_xlfn.IFS(L1141&gt;10,"Veteran",L1141&gt;=6,"Experienced",L1141&gt;=2,"Developing",L1141&gt;=0,"New")</f>
        <v>Developing</v>
      </c>
    </row>
    <row r="1142" spans="1:13">
      <c r="A1142" s="21" t="str">
        <f t="shared" ca="1" si="68"/>
        <v>Re-Res-2004-1141</v>
      </c>
      <c r="B1142" s="6">
        <v>44</v>
      </c>
      <c r="C1142" s="6" t="str">
        <f t="shared" si="69"/>
        <v>40-49</v>
      </c>
      <c r="D1142" s="6" t="s">
        <v>43</v>
      </c>
      <c r="E1142" s="6" t="s">
        <v>45</v>
      </c>
      <c r="F1142" s="6" t="s">
        <v>39</v>
      </c>
      <c r="G1142" s="6" t="s">
        <v>58</v>
      </c>
      <c r="H1142" s="8">
        <v>19049</v>
      </c>
      <c r="I1142" s="8">
        <f t="shared" si="70"/>
        <v>5714.7</v>
      </c>
      <c r="J1142" s="8">
        <f t="shared" si="71"/>
        <v>13334.3</v>
      </c>
      <c r="K1142" s="8">
        <v>3549</v>
      </c>
      <c r="L1142" s="6">
        <v>22</v>
      </c>
      <c r="M1142" s="22" t="str" cm="1">
        <f t="array" ref="M1142">_xlfn.IFS(L1142&gt;10,"Veteran",L1142&gt;=6,"Experienced",L1142&gt;=2,"Developing",L1142&gt;=0,"New")</f>
        <v>Veteran</v>
      </c>
    </row>
    <row r="1143" spans="1:13">
      <c r="A1143" s="21" t="str">
        <f t="shared" ca="1" si="68"/>
        <v>Re-Res-2020-1142</v>
      </c>
      <c r="B1143" s="6">
        <v>30</v>
      </c>
      <c r="C1143" s="6" t="str">
        <f t="shared" si="69"/>
        <v>30-39</v>
      </c>
      <c r="D1143" s="6" t="s">
        <v>43</v>
      </c>
      <c r="E1143" s="6" t="s">
        <v>45</v>
      </c>
      <c r="F1143" s="6" t="s">
        <v>46</v>
      </c>
      <c r="G1143" s="6" t="s">
        <v>47</v>
      </c>
      <c r="H1143" s="8">
        <v>2141</v>
      </c>
      <c r="I1143" s="8">
        <f t="shared" si="70"/>
        <v>149.87</v>
      </c>
      <c r="J1143" s="8">
        <f t="shared" si="71"/>
        <v>1991.13</v>
      </c>
      <c r="K1143" s="8">
        <v>5348</v>
      </c>
      <c r="L1143" s="6">
        <v>6</v>
      </c>
      <c r="M1143" s="22" t="str" cm="1">
        <f t="array" ref="M1143">_xlfn.IFS(L1143&gt;10,"Veteran",L1143&gt;=6,"Experienced",L1143&gt;=2,"Developing",L1143&gt;=0,"New")</f>
        <v>Experienced</v>
      </c>
    </row>
    <row r="1144" spans="1:13">
      <c r="A1144" s="21" t="str">
        <f t="shared" ca="1" si="68"/>
        <v>La-Res-2016-1143</v>
      </c>
      <c r="B1144" s="6">
        <v>45</v>
      </c>
      <c r="C1144" s="6" t="str">
        <f t="shared" si="69"/>
        <v>40-49</v>
      </c>
      <c r="D1144" s="6" t="s">
        <v>43</v>
      </c>
      <c r="E1144" s="6" t="s">
        <v>45</v>
      </c>
      <c r="F1144" s="6" t="s">
        <v>39</v>
      </c>
      <c r="G1144" s="6" t="s">
        <v>50</v>
      </c>
      <c r="H1144" s="8">
        <v>5769</v>
      </c>
      <c r="I1144" s="8">
        <f t="shared" si="70"/>
        <v>865.35</v>
      </c>
      <c r="J1144" s="8">
        <f t="shared" si="71"/>
        <v>4903.6499999999996</v>
      </c>
      <c r="K1144" s="8">
        <v>23447</v>
      </c>
      <c r="L1144" s="6">
        <v>10</v>
      </c>
      <c r="M1144" s="22" t="str" cm="1">
        <f t="array" ref="M1144">_xlfn.IFS(L1144&gt;10,"Veteran",L1144&gt;=6,"Experienced",L1144&gt;=2,"Developing",L1144&gt;=0,"New")</f>
        <v>Experienced</v>
      </c>
    </row>
    <row r="1145" spans="1:13">
      <c r="A1145" s="21" t="str">
        <f t="shared" ca="1" si="68"/>
        <v>Sa-Sal-2016-1144</v>
      </c>
      <c r="B1145" s="6">
        <v>45</v>
      </c>
      <c r="C1145" s="6" t="str">
        <f t="shared" si="69"/>
        <v>40-49</v>
      </c>
      <c r="D1145" s="6" t="s">
        <v>43</v>
      </c>
      <c r="E1145" s="6" t="s">
        <v>37</v>
      </c>
      <c r="F1145" s="6" t="s">
        <v>46</v>
      </c>
      <c r="G1145" s="6" t="s">
        <v>40</v>
      </c>
      <c r="H1145" s="8">
        <v>4385</v>
      </c>
      <c r="I1145" s="8">
        <f t="shared" si="70"/>
        <v>657.75</v>
      </c>
      <c r="J1145" s="8">
        <f t="shared" si="71"/>
        <v>3727.25</v>
      </c>
      <c r="K1145" s="8">
        <v>24162</v>
      </c>
      <c r="L1145" s="6">
        <v>10</v>
      </c>
      <c r="M1145" s="22" t="str" cm="1">
        <f t="array" ref="M1145">_xlfn.IFS(L1145&gt;10,"Veteran",L1145&gt;=6,"Experienced",L1145&gt;=2,"Developing",L1145&gt;=0,"New")</f>
        <v>Experienced</v>
      </c>
    </row>
    <row r="1146" spans="1:13">
      <c r="A1146" s="21" t="str">
        <f t="shared" ca="1" si="68"/>
        <v>Sa-Sal-2021-1145</v>
      </c>
      <c r="B1146" s="6">
        <v>31</v>
      </c>
      <c r="C1146" s="6" t="str">
        <f t="shared" si="69"/>
        <v>30-39</v>
      </c>
      <c r="D1146" s="6" t="s">
        <v>43</v>
      </c>
      <c r="E1146" s="6" t="s">
        <v>37</v>
      </c>
      <c r="F1146" s="6" t="s">
        <v>46</v>
      </c>
      <c r="G1146" s="6" t="s">
        <v>40</v>
      </c>
      <c r="H1146" s="8">
        <v>5332</v>
      </c>
      <c r="I1146" s="8">
        <f t="shared" si="70"/>
        <v>799.8</v>
      </c>
      <c r="J1146" s="8">
        <f t="shared" si="71"/>
        <v>4532.2</v>
      </c>
      <c r="K1146" s="8">
        <v>21602</v>
      </c>
      <c r="L1146" s="6">
        <v>5</v>
      </c>
      <c r="M1146" s="22" t="str" cm="1">
        <f t="array" ref="M1146">_xlfn.IFS(L1146&gt;10,"Veteran",L1146&gt;=6,"Experienced",L1146&gt;=2,"Developing",L1146&gt;=0,"New")</f>
        <v>Developing</v>
      </c>
    </row>
    <row r="1147" spans="1:13">
      <c r="A1147" s="21" t="str">
        <f t="shared" ca="1" si="68"/>
        <v>Ma-Res-2023-1146</v>
      </c>
      <c r="B1147" s="6">
        <v>36</v>
      </c>
      <c r="C1147" s="6" t="str">
        <f t="shared" si="69"/>
        <v>30-39</v>
      </c>
      <c r="D1147" s="6" t="s">
        <v>43</v>
      </c>
      <c r="E1147" s="6" t="s">
        <v>45</v>
      </c>
      <c r="F1147" s="6" t="s">
        <v>39</v>
      </c>
      <c r="G1147" s="6" t="s">
        <v>53</v>
      </c>
      <c r="H1147" s="8">
        <v>4663</v>
      </c>
      <c r="I1147" s="8">
        <f t="shared" si="70"/>
        <v>699.44999999999993</v>
      </c>
      <c r="J1147" s="8">
        <f t="shared" si="71"/>
        <v>3963.55</v>
      </c>
      <c r="K1147" s="8">
        <v>12421</v>
      </c>
      <c r="L1147" s="6">
        <v>3</v>
      </c>
      <c r="M1147" s="22" t="str" cm="1">
        <f t="array" ref="M1147">_xlfn.IFS(L1147&gt;10,"Veteran",L1147&gt;=6,"Experienced",L1147&gt;=2,"Developing",L1147&gt;=0,"New")</f>
        <v>Developing</v>
      </c>
    </row>
    <row r="1148" spans="1:13">
      <c r="A1148" s="21" t="str">
        <f t="shared" ca="1" si="68"/>
        <v>Ma-Res-2017-1147</v>
      </c>
      <c r="B1148" s="6">
        <v>34</v>
      </c>
      <c r="C1148" s="6" t="str">
        <f t="shared" si="69"/>
        <v>30-39</v>
      </c>
      <c r="D1148" s="6" t="s">
        <v>43</v>
      </c>
      <c r="E1148" s="6" t="s">
        <v>45</v>
      </c>
      <c r="F1148" s="6" t="s">
        <v>46</v>
      </c>
      <c r="G1148" s="6" t="s">
        <v>53</v>
      </c>
      <c r="H1148" s="8">
        <v>4724</v>
      </c>
      <c r="I1148" s="8">
        <f t="shared" si="70"/>
        <v>708.6</v>
      </c>
      <c r="J1148" s="8">
        <f t="shared" si="71"/>
        <v>4015.4</v>
      </c>
      <c r="K1148" s="8">
        <v>17000</v>
      </c>
      <c r="L1148" s="6">
        <v>9</v>
      </c>
      <c r="M1148" s="22" t="str" cm="1">
        <f t="array" ref="M1148">_xlfn.IFS(L1148&gt;10,"Veteran",L1148&gt;=6,"Experienced",L1148&gt;=2,"Developing",L1148&gt;=0,"New")</f>
        <v>Experienced</v>
      </c>
    </row>
    <row r="1149" spans="1:13">
      <c r="A1149" s="21" t="str">
        <f t="shared" ca="1" si="68"/>
        <v>La-Res-2017-1148</v>
      </c>
      <c r="B1149" s="6">
        <v>49</v>
      </c>
      <c r="C1149" s="6" t="str">
        <f t="shared" si="69"/>
        <v>40-49</v>
      </c>
      <c r="D1149" s="6" t="s">
        <v>43</v>
      </c>
      <c r="E1149" s="6" t="s">
        <v>45</v>
      </c>
      <c r="F1149" s="6" t="s">
        <v>39</v>
      </c>
      <c r="G1149" s="6" t="s">
        <v>50</v>
      </c>
      <c r="H1149" s="8">
        <v>3211</v>
      </c>
      <c r="I1149" s="8">
        <f t="shared" si="70"/>
        <v>481.65</v>
      </c>
      <c r="J1149" s="8">
        <f t="shared" si="71"/>
        <v>2729.35</v>
      </c>
      <c r="K1149" s="8">
        <v>22102</v>
      </c>
      <c r="L1149" s="6">
        <v>9</v>
      </c>
      <c r="M1149" s="22" t="str" cm="1">
        <f t="array" ref="M1149">_xlfn.IFS(L1149&gt;10,"Veteran",L1149&gt;=6,"Experienced",L1149&gt;=2,"Developing",L1149&gt;=0,"New")</f>
        <v>Experienced</v>
      </c>
    </row>
    <row r="1150" spans="1:13">
      <c r="A1150" s="21" t="str">
        <f t="shared" ca="1" si="68"/>
        <v>Ma-Res-2019-1149</v>
      </c>
      <c r="B1150" s="6">
        <v>39</v>
      </c>
      <c r="C1150" s="6" t="str">
        <f t="shared" si="69"/>
        <v>30-39</v>
      </c>
      <c r="D1150" s="6" t="s">
        <v>43</v>
      </c>
      <c r="E1150" s="6" t="s">
        <v>45</v>
      </c>
      <c r="F1150" s="6" t="s">
        <v>46</v>
      </c>
      <c r="G1150" s="6" t="s">
        <v>53</v>
      </c>
      <c r="H1150" s="8">
        <v>5377</v>
      </c>
      <c r="I1150" s="8">
        <f t="shared" si="70"/>
        <v>806.55</v>
      </c>
      <c r="J1150" s="8">
        <f t="shared" si="71"/>
        <v>4570.45</v>
      </c>
      <c r="K1150" s="8">
        <v>3835</v>
      </c>
      <c r="L1150" s="6">
        <v>7</v>
      </c>
      <c r="M1150" s="22" t="str" cm="1">
        <f t="array" ref="M1150">_xlfn.IFS(L1150&gt;10,"Veteran",L1150&gt;=6,"Experienced",L1150&gt;=2,"Developing",L1150&gt;=0,"New")</f>
        <v>Experienced</v>
      </c>
    </row>
    <row r="1151" spans="1:13">
      <c r="A1151" s="21" t="str">
        <f t="shared" ca="1" si="68"/>
        <v>La-Res-2019-1150</v>
      </c>
      <c r="B1151" s="6">
        <v>27</v>
      </c>
      <c r="C1151" s="6" t="str">
        <f t="shared" si="69"/>
        <v>20-29</v>
      </c>
      <c r="D1151" s="6" t="s">
        <v>43</v>
      </c>
      <c r="E1151" s="6" t="s">
        <v>45</v>
      </c>
      <c r="F1151" s="6" t="s">
        <v>46</v>
      </c>
      <c r="G1151" s="6" t="s">
        <v>50</v>
      </c>
      <c r="H1151" s="8">
        <v>4066</v>
      </c>
      <c r="I1151" s="8">
        <f t="shared" si="70"/>
        <v>609.9</v>
      </c>
      <c r="J1151" s="8">
        <f t="shared" si="71"/>
        <v>3456.1</v>
      </c>
      <c r="K1151" s="8">
        <v>16290</v>
      </c>
      <c r="L1151" s="6">
        <v>7</v>
      </c>
      <c r="M1151" s="22" t="str" cm="1">
        <f t="array" ref="M1151">_xlfn.IFS(L1151&gt;10,"Veteran",L1151&gt;=6,"Experienced",L1151&gt;=2,"Developing",L1151&gt;=0,"New")</f>
        <v>Experienced</v>
      </c>
    </row>
    <row r="1152" spans="1:13">
      <c r="A1152" s="21" t="str">
        <f t="shared" ca="1" si="68"/>
        <v>Re-Res-2010-1151</v>
      </c>
      <c r="B1152" s="6">
        <v>35</v>
      </c>
      <c r="C1152" s="6" t="str">
        <f t="shared" si="69"/>
        <v>30-39</v>
      </c>
      <c r="D1152" s="6" t="s">
        <v>43</v>
      </c>
      <c r="E1152" s="6" t="s">
        <v>45</v>
      </c>
      <c r="F1152" s="6" t="s">
        <v>46</v>
      </c>
      <c r="G1152" s="6" t="s">
        <v>47</v>
      </c>
      <c r="H1152" s="8">
        <v>5208</v>
      </c>
      <c r="I1152" s="8">
        <f t="shared" si="70"/>
        <v>781.19999999999993</v>
      </c>
      <c r="J1152" s="8">
        <f t="shared" si="71"/>
        <v>4426.8</v>
      </c>
      <c r="K1152" s="8">
        <v>26312</v>
      </c>
      <c r="L1152" s="6">
        <v>16</v>
      </c>
      <c r="M1152" s="22" t="str" cm="1">
        <f t="array" ref="M1152">_xlfn.IFS(L1152&gt;10,"Veteran",L1152&gt;=6,"Experienced",L1152&gt;=2,"Developing",L1152&gt;=0,"New")</f>
        <v>Veteran</v>
      </c>
    </row>
    <row r="1153" spans="1:13">
      <c r="A1153" s="21" t="str">
        <f t="shared" ca="1" si="68"/>
        <v>Ma-Res-2021-1152</v>
      </c>
      <c r="B1153" s="6">
        <v>28</v>
      </c>
      <c r="C1153" s="6" t="str">
        <f t="shared" si="69"/>
        <v>20-29</v>
      </c>
      <c r="D1153" s="6" t="s">
        <v>43</v>
      </c>
      <c r="E1153" s="6" t="s">
        <v>45</v>
      </c>
      <c r="F1153" s="6" t="s">
        <v>39</v>
      </c>
      <c r="G1153" s="6" t="s">
        <v>53</v>
      </c>
      <c r="H1153" s="8">
        <v>4877</v>
      </c>
      <c r="I1153" s="8">
        <f t="shared" si="70"/>
        <v>731.55</v>
      </c>
      <c r="J1153" s="8">
        <f t="shared" si="71"/>
        <v>4145.45</v>
      </c>
      <c r="K1153" s="8">
        <v>20460</v>
      </c>
      <c r="L1153" s="6">
        <v>5</v>
      </c>
      <c r="M1153" s="22" t="str" cm="1">
        <f t="array" ref="M1153">_xlfn.IFS(L1153&gt;10,"Veteran",L1153&gt;=6,"Experienced",L1153&gt;=2,"Developing",L1153&gt;=0,"New")</f>
        <v>Developing</v>
      </c>
    </row>
    <row r="1154" spans="1:13">
      <c r="A1154" s="21" t="str">
        <f t="shared" ca="1" si="68"/>
        <v>Re-Res-2024-1153</v>
      </c>
      <c r="B1154" s="6">
        <v>21</v>
      </c>
      <c r="C1154" s="6" t="str">
        <f t="shared" si="69"/>
        <v>20-29</v>
      </c>
      <c r="D1154" s="6" t="s">
        <v>43</v>
      </c>
      <c r="E1154" s="6" t="s">
        <v>45</v>
      </c>
      <c r="F1154" s="6" t="s">
        <v>46</v>
      </c>
      <c r="G1154" s="6" t="s">
        <v>47</v>
      </c>
      <c r="H1154" s="8">
        <v>3117</v>
      </c>
      <c r="I1154" s="8">
        <f t="shared" si="70"/>
        <v>467.54999999999995</v>
      </c>
      <c r="J1154" s="8">
        <f t="shared" si="71"/>
        <v>2649.45</v>
      </c>
      <c r="K1154" s="8">
        <v>26009</v>
      </c>
      <c r="L1154" s="6">
        <v>2</v>
      </c>
      <c r="M1154" s="22" t="str" cm="1">
        <f t="array" ref="M1154">_xlfn.IFS(L1154&gt;10,"Veteran",L1154&gt;=6,"Experienced",L1154&gt;=2,"Developing",L1154&gt;=0,"New")</f>
        <v>Developing</v>
      </c>
    </row>
    <row r="1155" spans="1:13">
      <c r="A1155" s="21" t="str">
        <f t="shared" ref="A1155:A1218" ca="1" si="72">LEFT(G1155,2)&amp;"-"&amp;LEFT(E1155,3)&amp;"-"&amp;YEAR(TODAY())-L1155&amp;"-"&amp;TEXT(ROW()-1,"000")</f>
        <v>Sa-Sal-2026-1154</v>
      </c>
      <c r="B1155" s="6">
        <v>18</v>
      </c>
      <c r="C1155" s="6" t="str">
        <f t="shared" ref="C1155:C1218" si="73">IF(B1155&lt;=29,"20-29",IF(B1155&lt;=39,"30-39",IF(B1155&lt;=49,"40-49","50+")))</f>
        <v>20-29</v>
      </c>
      <c r="D1155" s="6" t="s">
        <v>35</v>
      </c>
      <c r="E1155" s="6" t="s">
        <v>37</v>
      </c>
      <c r="F1155" s="6" t="s">
        <v>39</v>
      </c>
      <c r="G1155" s="6" t="s">
        <v>57</v>
      </c>
      <c r="H1155" s="8">
        <v>1569</v>
      </c>
      <c r="I1155" s="8">
        <f t="shared" ref="I1155:I1218" si="74">IF(H1155&gt;13000,H1155*30%,IF(H1155&gt;7000,H1155*22%,IF(H1155&gt;3000,H1155*15%,H1155*7%)))</f>
        <v>109.83000000000001</v>
      </c>
      <c r="J1155" s="8">
        <f t="shared" ref="J1155:J1218" si="75">H1155-I1155</f>
        <v>1459.17</v>
      </c>
      <c r="K1155" s="8">
        <v>18420</v>
      </c>
      <c r="L1155" s="6">
        <v>0</v>
      </c>
      <c r="M1155" s="22" t="str" cm="1">
        <f t="array" ref="M1155">_xlfn.IFS(L1155&gt;10,"Veteran",L1155&gt;=6,"Experienced",L1155&gt;=2,"Developing",L1155&gt;=0,"New")</f>
        <v>New</v>
      </c>
    </row>
    <row r="1156" spans="1:13">
      <c r="A1156" s="21" t="str">
        <f t="shared" ca="1" si="72"/>
        <v>Ma-Hum-2021-1155</v>
      </c>
      <c r="B1156" s="6">
        <v>47</v>
      </c>
      <c r="C1156" s="6" t="str">
        <f t="shared" si="73"/>
        <v>40-49</v>
      </c>
      <c r="D1156" s="6" t="s">
        <v>43</v>
      </c>
      <c r="E1156" s="6" t="s">
        <v>61</v>
      </c>
      <c r="F1156" s="6" t="s">
        <v>39</v>
      </c>
      <c r="G1156" s="6" t="s">
        <v>56</v>
      </c>
      <c r="H1156" s="8">
        <v>19658</v>
      </c>
      <c r="I1156" s="8">
        <f t="shared" si="74"/>
        <v>5897.4</v>
      </c>
      <c r="J1156" s="8">
        <f t="shared" si="75"/>
        <v>13760.6</v>
      </c>
      <c r="K1156" s="8">
        <v>5220</v>
      </c>
      <c r="L1156" s="6">
        <v>5</v>
      </c>
      <c r="M1156" s="22" t="str" cm="1">
        <f t="array" ref="M1156">_xlfn.IFS(L1156&gt;10,"Veteran",L1156&gt;=6,"Experienced",L1156&gt;=2,"Developing",L1156&gt;=0,"New")</f>
        <v>Developing</v>
      </c>
    </row>
    <row r="1157" spans="1:13">
      <c r="A1157" s="21" t="str">
        <f t="shared" ca="1" si="72"/>
        <v>La-Res-2016-1156</v>
      </c>
      <c r="B1157" s="6">
        <v>39</v>
      </c>
      <c r="C1157" s="6" t="str">
        <f t="shared" si="73"/>
        <v>30-39</v>
      </c>
      <c r="D1157" s="6" t="s">
        <v>43</v>
      </c>
      <c r="E1157" s="6" t="s">
        <v>45</v>
      </c>
      <c r="F1157" s="6" t="s">
        <v>46</v>
      </c>
      <c r="G1157" s="6" t="s">
        <v>50</v>
      </c>
      <c r="H1157" s="8">
        <v>3069</v>
      </c>
      <c r="I1157" s="8">
        <f t="shared" si="74"/>
        <v>460.34999999999997</v>
      </c>
      <c r="J1157" s="8">
        <f t="shared" si="75"/>
        <v>2608.65</v>
      </c>
      <c r="K1157" s="8">
        <v>10302</v>
      </c>
      <c r="L1157" s="6">
        <v>10</v>
      </c>
      <c r="M1157" s="22" t="str" cm="1">
        <f t="array" ref="M1157">_xlfn.IFS(L1157&gt;10,"Veteran",L1157&gt;=6,"Experienced",L1157&gt;=2,"Developing",L1157&gt;=0,"New")</f>
        <v>Experienced</v>
      </c>
    </row>
    <row r="1158" spans="1:13">
      <c r="A1158" s="21" t="str">
        <f t="shared" ca="1" si="72"/>
        <v>Ma-Res-2008-1157</v>
      </c>
      <c r="B1158" s="6">
        <v>40</v>
      </c>
      <c r="C1158" s="6" t="str">
        <f t="shared" si="73"/>
        <v>40-49</v>
      </c>
      <c r="D1158" s="6" t="s">
        <v>43</v>
      </c>
      <c r="E1158" s="6" t="s">
        <v>45</v>
      </c>
      <c r="F1158" s="6" t="s">
        <v>39</v>
      </c>
      <c r="G1158" s="6" t="s">
        <v>53</v>
      </c>
      <c r="H1158" s="8">
        <v>10435</v>
      </c>
      <c r="I1158" s="8">
        <f t="shared" si="74"/>
        <v>2295.6999999999998</v>
      </c>
      <c r="J1158" s="8">
        <f t="shared" si="75"/>
        <v>8139.3</v>
      </c>
      <c r="K1158" s="8">
        <v>25800</v>
      </c>
      <c r="L1158" s="6">
        <v>18</v>
      </c>
      <c r="M1158" s="22" t="str" cm="1">
        <f t="array" ref="M1158">_xlfn.IFS(L1158&gt;10,"Veteran",L1158&gt;=6,"Experienced",L1158&gt;=2,"Developing",L1158&gt;=0,"New")</f>
        <v>Veteran</v>
      </c>
    </row>
    <row r="1159" spans="1:13">
      <c r="A1159" s="21" t="str">
        <f t="shared" ca="1" si="72"/>
        <v>He-Res-2012-1158</v>
      </c>
      <c r="B1159" s="6">
        <v>35</v>
      </c>
      <c r="C1159" s="6" t="str">
        <f t="shared" si="73"/>
        <v>30-39</v>
      </c>
      <c r="D1159" s="6" t="s">
        <v>43</v>
      </c>
      <c r="E1159" s="6" t="s">
        <v>45</v>
      </c>
      <c r="F1159" s="6" t="s">
        <v>39</v>
      </c>
      <c r="G1159" s="6" t="s">
        <v>54</v>
      </c>
      <c r="H1159" s="8">
        <v>4148</v>
      </c>
      <c r="I1159" s="8">
        <f t="shared" si="74"/>
        <v>622.19999999999993</v>
      </c>
      <c r="J1159" s="8">
        <f t="shared" si="75"/>
        <v>3525.8</v>
      </c>
      <c r="K1159" s="8">
        <v>12250</v>
      </c>
      <c r="L1159" s="6">
        <v>14</v>
      </c>
      <c r="M1159" s="22" t="str" cm="1">
        <f t="array" ref="M1159">_xlfn.IFS(L1159&gt;10,"Veteran",L1159&gt;=6,"Experienced",L1159&gt;=2,"Developing",L1159&gt;=0,"New")</f>
        <v>Veteran</v>
      </c>
    </row>
    <row r="1160" spans="1:13">
      <c r="A1160" s="21" t="str">
        <f t="shared" ca="1" si="72"/>
        <v>Ma-Res-2022-1159</v>
      </c>
      <c r="B1160" s="6">
        <v>37</v>
      </c>
      <c r="C1160" s="6" t="str">
        <f t="shared" si="73"/>
        <v>30-39</v>
      </c>
      <c r="D1160" s="6" t="s">
        <v>43</v>
      </c>
      <c r="E1160" s="6" t="s">
        <v>45</v>
      </c>
      <c r="F1160" s="6" t="s">
        <v>46</v>
      </c>
      <c r="G1160" s="6" t="s">
        <v>53</v>
      </c>
      <c r="H1160" s="8">
        <v>5768</v>
      </c>
      <c r="I1160" s="8">
        <f t="shared" si="74"/>
        <v>865.19999999999993</v>
      </c>
      <c r="J1160" s="8">
        <f t="shared" si="75"/>
        <v>4902.8</v>
      </c>
      <c r="K1160" s="8">
        <v>26493</v>
      </c>
      <c r="L1160" s="6">
        <v>4</v>
      </c>
      <c r="M1160" s="22" t="str" cm="1">
        <f t="array" ref="M1160">_xlfn.IFS(L1160&gt;10,"Veteran",L1160&gt;=6,"Experienced",L1160&gt;=2,"Developing",L1160&gt;=0,"New")</f>
        <v>Developing</v>
      </c>
    </row>
    <row r="1161" spans="1:13">
      <c r="A1161" s="21" t="str">
        <f t="shared" ca="1" si="72"/>
        <v>Ma-Res-2017-1160</v>
      </c>
      <c r="B1161" s="6">
        <v>39</v>
      </c>
      <c r="C1161" s="6" t="str">
        <f t="shared" si="73"/>
        <v>30-39</v>
      </c>
      <c r="D1161" s="6" t="s">
        <v>43</v>
      </c>
      <c r="E1161" s="6" t="s">
        <v>45</v>
      </c>
      <c r="F1161" s="6" t="s">
        <v>39</v>
      </c>
      <c r="G1161" s="6" t="s">
        <v>53</v>
      </c>
      <c r="H1161" s="8">
        <v>5042</v>
      </c>
      <c r="I1161" s="8">
        <f t="shared" si="74"/>
        <v>756.3</v>
      </c>
      <c r="J1161" s="8">
        <f t="shared" si="75"/>
        <v>4285.7</v>
      </c>
      <c r="K1161" s="8">
        <v>3140</v>
      </c>
      <c r="L1161" s="6">
        <v>9</v>
      </c>
      <c r="M1161" s="22" t="str" cm="1">
        <f t="array" ref="M1161">_xlfn.IFS(L1161&gt;10,"Veteran",L1161&gt;=6,"Experienced",L1161&gt;=2,"Developing",L1161&gt;=0,"New")</f>
        <v>Experienced</v>
      </c>
    </row>
    <row r="1162" spans="1:13">
      <c r="A1162" s="21" t="str">
        <f t="shared" ca="1" si="72"/>
        <v>Ma-Res-2016-1161</v>
      </c>
      <c r="B1162" s="6">
        <v>45</v>
      </c>
      <c r="C1162" s="6" t="str">
        <f t="shared" si="73"/>
        <v>40-49</v>
      </c>
      <c r="D1162" s="6" t="s">
        <v>43</v>
      </c>
      <c r="E1162" s="6" t="s">
        <v>45</v>
      </c>
      <c r="F1162" s="6" t="s">
        <v>39</v>
      </c>
      <c r="G1162" s="6" t="s">
        <v>53</v>
      </c>
      <c r="H1162" s="8">
        <v>5770</v>
      </c>
      <c r="I1162" s="8">
        <f t="shared" si="74"/>
        <v>865.5</v>
      </c>
      <c r="J1162" s="8">
        <f t="shared" si="75"/>
        <v>4904.5</v>
      </c>
      <c r="K1162" s="8">
        <v>5388</v>
      </c>
      <c r="L1162" s="6">
        <v>10</v>
      </c>
      <c r="M1162" s="22" t="str" cm="1">
        <f t="array" ref="M1162">_xlfn.IFS(L1162&gt;10,"Veteran",L1162&gt;=6,"Experienced",L1162&gt;=2,"Developing",L1162&gt;=0,"New")</f>
        <v>Experienced</v>
      </c>
    </row>
    <row r="1163" spans="1:13">
      <c r="A1163" s="21" t="str">
        <f t="shared" ca="1" si="72"/>
        <v>Ma-Res-2021-1162</v>
      </c>
      <c r="B1163" s="6">
        <v>38</v>
      </c>
      <c r="C1163" s="6" t="str">
        <f t="shared" si="73"/>
        <v>30-39</v>
      </c>
      <c r="D1163" s="6" t="s">
        <v>43</v>
      </c>
      <c r="E1163" s="6" t="s">
        <v>45</v>
      </c>
      <c r="F1163" s="6" t="s">
        <v>39</v>
      </c>
      <c r="G1163" s="6" t="s">
        <v>53</v>
      </c>
      <c r="H1163" s="8">
        <v>7756</v>
      </c>
      <c r="I1163" s="8">
        <f t="shared" si="74"/>
        <v>1706.32</v>
      </c>
      <c r="J1163" s="8">
        <f t="shared" si="75"/>
        <v>6049.68</v>
      </c>
      <c r="K1163" s="8">
        <v>14199</v>
      </c>
      <c r="L1163" s="6">
        <v>5</v>
      </c>
      <c r="M1163" s="22" t="str" cm="1">
        <f t="array" ref="M1163">_xlfn.IFS(L1163&gt;10,"Veteran",L1163&gt;=6,"Experienced",L1163&gt;=2,"Developing",L1163&gt;=0,"New")</f>
        <v>Developing</v>
      </c>
    </row>
    <row r="1164" spans="1:13">
      <c r="A1164" s="21" t="str">
        <f t="shared" ca="1" si="72"/>
        <v>Sa-Sal-2013-1163</v>
      </c>
      <c r="B1164" s="6">
        <v>35</v>
      </c>
      <c r="C1164" s="6" t="str">
        <f t="shared" si="73"/>
        <v>30-39</v>
      </c>
      <c r="D1164" s="6" t="s">
        <v>35</v>
      </c>
      <c r="E1164" s="6" t="s">
        <v>37</v>
      </c>
      <c r="F1164" s="6" t="s">
        <v>46</v>
      </c>
      <c r="G1164" s="6" t="s">
        <v>40</v>
      </c>
      <c r="H1164" s="8">
        <v>10306</v>
      </c>
      <c r="I1164" s="8">
        <f t="shared" si="74"/>
        <v>2267.3200000000002</v>
      </c>
      <c r="J1164" s="8">
        <f t="shared" si="75"/>
        <v>8038.68</v>
      </c>
      <c r="K1164" s="8">
        <v>21530</v>
      </c>
      <c r="L1164" s="6">
        <v>13</v>
      </c>
      <c r="M1164" s="22" t="str" cm="1">
        <f t="array" ref="M1164">_xlfn.IFS(L1164&gt;10,"Veteran",L1164&gt;=6,"Experienced",L1164&gt;=2,"Developing",L1164&gt;=0,"New")</f>
        <v>Veteran</v>
      </c>
    </row>
    <row r="1165" spans="1:13">
      <c r="A1165" s="21" t="str">
        <f t="shared" ca="1" si="72"/>
        <v>Re-Res-2018-1164</v>
      </c>
      <c r="B1165" s="6">
        <v>37</v>
      </c>
      <c r="C1165" s="6" t="str">
        <f t="shared" si="73"/>
        <v>30-39</v>
      </c>
      <c r="D1165" s="6" t="s">
        <v>43</v>
      </c>
      <c r="E1165" s="6" t="s">
        <v>45</v>
      </c>
      <c r="F1165" s="6" t="s">
        <v>39</v>
      </c>
      <c r="G1165" s="6" t="s">
        <v>47</v>
      </c>
      <c r="H1165" s="8">
        <v>3936</v>
      </c>
      <c r="I1165" s="8">
        <f t="shared" si="74"/>
        <v>590.4</v>
      </c>
      <c r="J1165" s="8">
        <f t="shared" si="75"/>
        <v>3345.6</v>
      </c>
      <c r="K1165" s="8">
        <v>9953</v>
      </c>
      <c r="L1165" s="6">
        <v>8</v>
      </c>
      <c r="M1165" s="22" t="str" cm="1">
        <f t="array" ref="M1165">_xlfn.IFS(L1165&gt;10,"Veteran",L1165&gt;=6,"Experienced",L1165&gt;=2,"Developing",L1165&gt;=0,"New")</f>
        <v>Experienced</v>
      </c>
    </row>
    <row r="1166" spans="1:13">
      <c r="A1166" s="21" t="str">
        <f t="shared" ca="1" si="72"/>
        <v>Ma-Res-2022-1165</v>
      </c>
      <c r="B1166" s="6">
        <v>40</v>
      </c>
      <c r="C1166" s="6" t="str">
        <f t="shared" si="73"/>
        <v>40-49</v>
      </c>
      <c r="D1166" s="6" t="s">
        <v>43</v>
      </c>
      <c r="E1166" s="6" t="s">
        <v>45</v>
      </c>
      <c r="F1166" s="6" t="s">
        <v>39</v>
      </c>
      <c r="G1166" s="6" t="s">
        <v>53</v>
      </c>
      <c r="H1166" s="8">
        <v>7945</v>
      </c>
      <c r="I1166" s="8">
        <f t="shared" si="74"/>
        <v>1747.9</v>
      </c>
      <c r="J1166" s="8">
        <f t="shared" si="75"/>
        <v>6197.1</v>
      </c>
      <c r="K1166" s="8">
        <v>19948</v>
      </c>
      <c r="L1166" s="6">
        <v>4</v>
      </c>
      <c r="M1166" s="22" t="str" cm="1">
        <f t="array" ref="M1166">_xlfn.IFS(L1166&gt;10,"Veteran",L1166&gt;=6,"Experienced",L1166&gt;=2,"Developing",L1166&gt;=0,"New")</f>
        <v>Developing</v>
      </c>
    </row>
    <row r="1167" spans="1:13">
      <c r="A1167" s="21" t="str">
        <f t="shared" ca="1" si="72"/>
        <v>Hu-Hum-2016-1166</v>
      </c>
      <c r="B1167" s="6">
        <v>44</v>
      </c>
      <c r="C1167" s="6" t="str">
        <f t="shared" si="73"/>
        <v>40-49</v>
      </c>
      <c r="D1167" s="6" t="s">
        <v>43</v>
      </c>
      <c r="E1167" s="6" t="s">
        <v>61</v>
      </c>
      <c r="F1167" s="6" t="s">
        <v>46</v>
      </c>
      <c r="G1167" s="6" t="s">
        <v>61</v>
      </c>
      <c r="H1167" s="8">
        <v>5743</v>
      </c>
      <c r="I1167" s="8">
        <f t="shared" si="74"/>
        <v>861.44999999999993</v>
      </c>
      <c r="J1167" s="8">
        <f t="shared" si="75"/>
        <v>4881.55</v>
      </c>
      <c r="K1167" s="8">
        <v>10503</v>
      </c>
      <c r="L1167" s="6">
        <v>10</v>
      </c>
      <c r="M1167" s="22" t="str" cm="1">
        <f t="array" ref="M1167">_xlfn.IFS(L1167&gt;10,"Veteran",L1167&gt;=6,"Experienced",L1167&gt;=2,"Developing",L1167&gt;=0,"New")</f>
        <v>Experienced</v>
      </c>
    </row>
    <row r="1168" spans="1:13">
      <c r="A1168" s="21" t="str">
        <f t="shared" ca="1" si="72"/>
        <v>Ma-Res-2024-1167</v>
      </c>
      <c r="B1168" s="6">
        <v>48</v>
      </c>
      <c r="C1168" s="6" t="str">
        <f t="shared" si="73"/>
        <v>40-49</v>
      </c>
      <c r="D1168" s="6" t="s">
        <v>43</v>
      </c>
      <c r="E1168" s="6" t="s">
        <v>45</v>
      </c>
      <c r="F1168" s="6" t="s">
        <v>46</v>
      </c>
      <c r="G1168" s="6" t="s">
        <v>56</v>
      </c>
      <c r="H1168" s="8">
        <v>15202</v>
      </c>
      <c r="I1168" s="8">
        <f t="shared" si="74"/>
        <v>4560.5999999999995</v>
      </c>
      <c r="J1168" s="8">
        <f t="shared" si="75"/>
        <v>10641.400000000001</v>
      </c>
      <c r="K1168" s="8">
        <v>5602</v>
      </c>
      <c r="L1168" s="6">
        <v>2</v>
      </c>
      <c r="M1168" s="22" t="str" cm="1">
        <f t="array" ref="M1168">_xlfn.IFS(L1168&gt;10,"Veteran",L1168&gt;=6,"Experienced",L1168&gt;=2,"Developing",L1168&gt;=0,"New")</f>
        <v>Developing</v>
      </c>
    </row>
    <row r="1169" spans="1:13">
      <c r="A1169" s="21" t="str">
        <f t="shared" ca="1" si="72"/>
        <v>Sa-Sal-2024-1168</v>
      </c>
      <c r="B1169" s="6">
        <v>35</v>
      </c>
      <c r="C1169" s="6" t="str">
        <f t="shared" si="73"/>
        <v>30-39</v>
      </c>
      <c r="D1169" s="6" t="s">
        <v>35</v>
      </c>
      <c r="E1169" s="6" t="s">
        <v>37</v>
      </c>
      <c r="F1169" s="6" t="s">
        <v>46</v>
      </c>
      <c r="G1169" s="6" t="s">
        <v>40</v>
      </c>
      <c r="H1169" s="8">
        <v>5440</v>
      </c>
      <c r="I1169" s="8">
        <f t="shared" si="74"/>
        <v>816</v>
      </c>
      <c r="J1169" s="8">
        <f t="shared" si="75"/>
        <v>4624</v>
      </c>
      <c r="K1169" s="8">
        <v>22098</v>
      </c>
      <c r="L1169" s="6">
        <v>2</v>
      </c>
      <c r="M1169" s="22" t="str" cm="1">
        <f t="array" ref="M1169">_xlfn.IFS(L1169&gt;10,"Veteran",L1169&gt;=6,"Experienced",L1169&gt;=2,"Developing",L1169&gt;=0,"New")</f>
        <v>Developing</v>
      </c>
    </row>
    <row r="1170" spans="1:13">
      <c r="A1170" s="21" t="str">
        <f t="shared" ca="1" si="72"/>
        <v>Re-Res-2020-1169</v>
      </c>
      <c r="B1170" s="6">
        <v>24</v>
      </c>
      <c r="C1170" s="6" t="str">
        <f t="shared" si="73"/>
        <v>20-29</v>
      </c>
      <c r="D1170" s="6" t="s">
        <v>43</v>
      </c>
      <c r="E1170" s="6" t="s">
        <v>45</v>
      </c>
      <c r="F1170" s="6" t="s">
        <v>39</v>
      </c>
      <c r="G1170" s="6" t="s">
        <v>47</v>
      </c>
      <c r="H1170" s="8">
        <v>3760</v>
      </c>
      <c r="I1170" s="8">
        <f t="shared" si="74"/>
        <v>564</v>
      </c>
      <c r="J1170" s="8">
        <f t="shared" si="75"/>
        <v>3196</v>
      </c>
      <c r="K1170" s="8">
        <v>17218</v>
      </c>
      <c r="L1170" s="6">
        <v>6</v>
      </c>
      <c r="M1170" s="22" t="str" cm="1">
        <f t="array" ref="M1170">_xlfn.IFS(L1170&gt;10,"Veteran",L1170&gt;=6,"Experienced",L1170&gt;=2,"Developing",L1170&gt;=0,"New")</f>
        <v>Experienced</v>
      </c>
    </row>
    <row r="1171" spans="1:13">
      <c r="A1171" s="21" t="str">
        <f t="shared" ca="1" si="72"/>
        <v>Re-Res-2023-1170</v>
      </c>
      <c r="B1171" s="6">
        <v>27</v>
      </c>
      <c r="C1171" s="6" t="str">
        <f t="shared" si="73"/>
        <v>20-29</v>
      </c>
      <c r="D1171" s="6" t="s">
        <v>43</v>
      </c>
      <c r="E1171" s="6" t="s">
        <v>45</v>
      </c>
      <c r="F1171" s="6" t="s">
        <v>39</v>
      </c>
      <c r="G1171" s="6" t="s">
        <v>47</v>
      </c>
      <c r="H1171" s="8">
        <v>3517</v>
      </c>
      <c r="I1171" s="8">
        <f t="shared" si="74"/>
        <v>527.54999999999995</v>
      </c>
      <c r="J1171" s="8">
        <f t="shared" si="75"/>
        <v>2989.45</v>
      </c>
      <c r="K1171" s="8">
        <v>22490</v>
      </c>
      <c r="L1171" s="6">
        <v>3</v>
      </c>
      <c r="M1171" s="22" t="str" cm="1">
        <f t="array" ref="M1171">_xlfn.IFS(L1171&gt;10,"Veteran",L1171&gt;=6,"Experienced",L1171&gt;=2,"Developing",L1171&gt;=0,"New")</f>
        <v>Developing</v>
      </c>
    </row>
    <row r="1172" spans="1:13">
      <c r="A1172" s="21" t="str">
        <f t="shared" ca="1" si="72"/>
        <v>Re-Res-2022-1171</v>
      </c>
      <c r="B1172" s="6">
        <v>27</v>
      </c>
      <c r="C1172" s="6" t="str">
        <f t="shared" si="73"/>
        <v>20-29</v>
      </c>
      <c r="D1172" s="6" t="s">
        <v>43</v>
      </c>
      <c r="E1172" s="6" t="s">
        <v>45</v>
      </c>
      <c r="F1172" s="6" t="s">
        <v>46</v>
      </c>
      <c r="G1172" s="6" t="s">
        <v>47</v>
      </c>
      <c r="H1172" s="8">
        <v>2580</v>
      </c>
      <c r="I1172" s="8">
        <f t="shared" si="74"/>
        <v>180.60000000000002</v>
      </c>
      <c r="J1172" s="8">
        <f t="shared" si="75"/>
        <v>2399.4</v>
      </c>
      <c r="K1172" s="8">
        <v>6297</v>
      </c>
      <c r="L1172" s="6">
        <v>4</v>
      </c>
      <c r="M1172" s="22" t="str" cm="1">
        <f t="array" ref="M1172">_xlfn.IFS(L1172&gt;10,"Veteran",L1172&gt;=6,"Experienced",L1172&gt;=2,"Developing",L1172&gt;=0,"New")</f>
        <v>Developing</v>
      </c>
    </row>
    <row r="1173" spans="1:13">
      <c r="A1173" s="21" t="str">
        <f t="shared" ca="1" si="72"/>
        <v>La-Res-2022-1172</v>
      </c>
      <c r="B1173" s="6">
        <v>40</v>
      </c>
      <c r="C1173" s="6" t="str">
        <f t="shared" si="73"/>
        <v>40-49</v>
      </c>
      <c r="D1173" s="6" t="s">
        <v>35</v>
      </c>
      <c r="E1173" s="6" t="s">
        <v>45</v>
      </c>
      <c r="F1173" s="6" t="s">
        <v>46</v>
      </c>
      <c r="G1173" s="6" t="s">
        <v>50</v>
      </c>
      <c r="H1173" s="8">
        <v>2166</v>
      </c>
      <c r="I1173" s="8">
        <f t="shared" si="74"/>
        <v>151.62</v>
      </c>
      <c r="J1173" s="8">
        <f t="shared" si="75"/>
        <v>2014.38</v>
      </c>
      <c r="K1173" s="8">
        <v>3339</v>
      </c>
      <c r="L1173" s="6">
        <v>4</v>
      </c>
      <c r="M1173" s="22" t="str" cm="1">
        <f t="array" ref="M1173">_xlfn.IFS(L1173&gt;10,"Veteran",L1173&gt;=6,"Experienced",L1173&gt;=2,"Developing",L1173&gt;=0,"New")</f>
        <v>Developing</v>
      </c>
    </row>
    <row r="1174" spans="1:13">
      <c r="A1174" s="21" t="str">
        <f t="shared" ca="1" si="72"/>
        <v>Sa-Sal-2021-1173</v>
      </c>
      <c r="B1174" s="6">
        <v>29</v>
      </c>
      <c r="C1174" s="6" t="str">
        <f t="shared" si="73"/>
        <v>20-29</v>
      </c>
      <c r="D1174" s="6" t="s">
        <v>43</v>
      </c>
      <c r="E1174" s="6" t="s">
        <v>37</v>
      </c>
      <c r="F1174" s="6" t="s">
        <v>46</v>
      </c>
      <c r="G1174" s="6" t="s">
        <v>40</v>
      </c>
      <c r="H1174" s="8">
        <v>5869</v>
      </c>
      <c r="I1174" s="8">
        <f t="shared" si="74"/>
        <v>880.35</v>
      </c>
      <c r="J1174" s="8">
        <f t="shared" si="75"/>
        <v>4988.6499999999996</v>
      </c>
      <c r="K1174" s="8">
        <v>23413</v>
      </c>
      <c r="L1174" s="6">
        <v>5</v>
      </c>
      <c r="M1174" s="22" t="str" cm="1">
        <f t="array" ref="M1174">_xlfn.IFS(L1174&gt;10,"Veteran",L1174&gt;=6,"Experienced",L1174&gt;=2,"Developing",L1174&gt;=0,"New")</f>
        <v>Developing</v>
      </c>
    </row>
    <row r="1175" spans="1:13">
      <c r="A1175" s="21" t="str">
        <f t="shared" ca="1" si="72"/>
        <v>He-Res-2023-1174</v>
      </c>
      <c r="B1175" s="6">
        <v>36</v>
      </c>
      <c r="C1175" s="6" t="str">
        <f t="shared" si="73"/>
        <v>30-39</v>
      </c>
      <c r="D1175" s="6" t="s">
        <v>43</v>
      </c>
      <c r="E1175" s="6" t="s">
        <v>45</v>
      </c>
      <c r="F1175" s="6" t="s">
        <v>39</v>
      </c>
      <c r="G1175" s="6" t="s">
        <v>54</v>
      </c>
      <c r="H1175" s="8">
        <v>8008</v>
      </c>
      <c r="I1175" s="8">
        <f t="shared" si="74"/>
        <v>1761.76</v>
      </c>
      <c r="J1175" s="8">
        <f t="shared" si="75"/>
        <v>6246.24</v>
      </c>
      <c r="K1175" s="8">
        <v>22792</v>
      </c>
      <c r="L1175" s="6">
        <v>3</v>
      </c>
      <c r="M1175" s="22" t="str" cm="1">
        <f t="array" ref="M1175">_xlfn.IFS(L1175&gt;10,"Veteran",L1175&gt;=6,"Experienced",L1175&gt;=2,"Developing",L1175&gt;=0,"New")</f>
        <v>Developing</v>
      </c>
    </row>
    <row r="1176" spans="1:13">
      <c r="A1176" s="21" t="str">
        <f t="shared" ca="1" si="72"/>
        <v>Ma-Res-2019-1175</v>
      </c>
      <c r="B1176" s="6">
        <v>25</v>
      </c>
      <c r="C1176" s="6" t="str">
        <f t="shared" si="73"/>
        <v>20-29</v>
      </c>
      <c r="D1176" s="6" t="s">
        <v>43</v>
      </c>
      <c r="E1176" s="6" t="s">
        <v>45</v>
      </c>
      <c r="F1176" s="6" t="s">
        <v>46</v>
      </c>
      <c r="G1176" s="6" t="s">
        <v>53</v>
      </c>
      <c r="H1176" s="8">
        <v>5206</v>
      </c>
      <c r="I1176" s="8">
        <f t="shared" si="74"/>
        <v>780.9</v>
      </c>
      <c r="J1176" s="8">
        <f t="shared" si="75"/>
        <v>4425.1000000000004</v>
      </c>
      <c r="K1176" s="8">
        <v>4973</v>
      </c>
      <c r="L1176" s="6">
        <v>7</v>
      </c>
      <c r="M1176" s="22" t="str" cm="1">
        <f t="array" ref="M1176">_xlfn.IFS(L1176&gt;10,"Veteran",L1176&gt;=6,"Experienced",L1176&gt;=2,"Developing",L1176&gt;=0,"New")</f>
        <v>Experienced</v>
      </c>
    </row>
    <row r="1177" spans="1:13">
      <c r="A1177" s="21" t="str">
        <f t="shared" ca="1" si="72"/>
        <v>Ma-Res-2021-1176</v>
      </c>
      <c r="B1177" s="6">
        <v>39</v>
      </c>
      <c r="C1177" s="6" t="str">
        <f t="shared" si="73"/>
        <v>30-39</v>
      </c>
      <c r="D1177" s="6" t="s">
        <v>43</v>
      </c>
      <c r="E1177" s="6" t="s">
        <v>45</v>
      </c>
      <c r="F1177" s="6" t="s">
        <v>46</v>
      </c>
      <c r="G1177" s="6" t="s">
        <v>53</v>
      </c>
      <c r="H1177" s="8">
        <v>5295</v>
      </c>
      <c r="I1177" s="8">
        <f t="shared" si="74"/>
        <v>794.25</v>
      </c>
      <c r="J1177" s="8">
        <f t="shared" si="75"/>
        <v>4500.75</v>
      </c>
      <c r="K1177" s="8">
        <v>7693</v>
      </c>
      <c r="L1177" s="6">
        <v>5</v>
      </c>
      <c r="M1177" s="22" t="str" cm="1">
        <f t="array" ref="M1177">_xlfn.IFS(L1177&gt;10,"Veteran",L1177&gt;=6,"Experienced",L1177&gt;=2,"Developing",L1177&gt;=0,"New")</f>
        <v>Developing</v>
      </c>
    </row>
    <row r="1178" spans="1:13">
      <c r="A1178" s="21" t="str">
        <f t="shared" ca="1" si="72"/>
        <v>Re-Res-2022-1177</v>
      </c>
      <c r="B1178" s="6">
        <v>49</v>
      </c>
      <c r="C1178" s="6" t="str">
        <f t="shared" si="73"/>
        <v>40-49</v>
      </c>
      <c r="D1178" s="6" t="s">
        <v>43</v>
      </c>
      <c r="E1178" s="6" t="s">
        <v>45</v>
      </c>
      <c r="F1178" s="6" t="s">
        <v>39</v>
      </c>
      <c r="G1178" s="6" t="s">
        <v>58</v>
      </c>
      <c r="H1178" s="8">
        <v>16413</v>
      </c>
      <c r="I1178" s="8">
        <f t="shared" si="74"/>
        <v>4923.8999999999996</v>
      </c>
      <c r="J1178" s="8">
        <f t="shared" si="75"/>
        <v>11489.1</v>
      </c>
      <c r="K1178" s="8">
        <v>3498</v>
      </c>
      <c r="L1178" s="6">
        <v>4</v>
      </c>
      <c r="M1178" s="22" t="str" cm="1">
        <f t="array" ref="M1178">_xlfn.IFS(L1178&gt;10,"Veteran",L1178&gt;=6,"Experienced",L1178&gt;=2,"Developing",L1178&gt;=0,"New")</f>
        <v>Developing</v>
      </c>
    </row>
    <row r="1179" spans="1:13">
      <c r="A1179" s="21" t="str">
        <f t="shared" ca="1" si="72"/>
        <v>Re-Res-2012-1178</v>
      </c>
      <c r="B1179" s="6">
        <v>50</v>
      </c>
      <c r="C1179" s="6" t="str">
        <f t="shared" si="73"/>
        <v>50+</v>
      </c>
      <c r="D1179" s="6" t="s">
        <v>43</v>
      </c>
      <c r="E1179" s="6" t="s">
        <v>45</v>
      </c>
      <c r="F1179" s="6" t="s">
        <v>39</v>
      </c>
      <c r="G1179" s="6" t="s">
        <v>58</v>
      </c>
      <c r="H1179" s="8">
        <v>13269</v>
      </c>
      <c r="I1179" s="8">
        <f t="shared" si="74"/>
        <v>3980.7</v>
      </c>
      <c r="J1179" s="8">
        <f t="shared" si="75"/>
        <v>9288.2999999999993</v>
      </c>
      <c r="K1179" s="8">
        <v>21981</v>
      </c>
      <c r="L1179" s="6">
        <v>14</v>
      </c>
      <c r="M1179" s="22" t="str" cm="1">
        <f t="array" ref="M1179">_xlfn.IFS(L1179&gt;10,"Veteran",L1179&gt;=6,"Experienced",L1179&gt;=2,"Developing",L1179&gt;=0,"New")</f>
        <v>Veteran</v>
      </c>
    </row>
    <row r="1180" spans="1:13">
      <c r="A1180" s="21" t="str">
        <f t="shared" ca="1" si="72"/>
        <v>Sa-Sal-2024-1179</v>
      </c>
      <c r="B1180" s="6">
        <v>20</v>
      </c>
      <c r="C1180" s="6" t="str">
        <f t="shared" si="73"/>
        <v>20-29</v>
      </c>
      <c r="D1180" s="6" t="s">
        <v>43</v>
      </c>
      <c r="E1180" s="6" t="s">
        <v>37</v>
      </c>
      <c r="F1180" s="6" t="s">
        <v>39</v>
      </c>
      <c r="G1180" s="6" t="s">
        <v>57</v>
      </c>
      <c r="H1180" s="8">
        <v>2783</v>
      </c>
      <c r="I1180" s="8">
        <f t="shared" si="74"/>
        <v>194.81000000000003</v>
      </c>
      <c r="J1180" s="8">
        <f t="shared" si="75"/>
        <v>2588.19</v>
      </c>
      <c r="K1180" s="8">
        <v>13251</v>
      </c>
      <c r="L1180" s="6">
        <v>2</v>
      </c>
      <c r="M1180" s="22" t="str" cm="1">
        <f t="array" ref="M1180">_xlfn.IFS(L1180&gt;10,"Veteran",L1180&gt;=6,"Experienced",L1180&gt;=2,"Developing",L1180&gt;=0,"New")</f>
        <v>Developing</v>
      </c>
    </row>
    <row r="1181" spans="1:13">
      <c r="A1181" s="21" t="str">
        <f t="shared" ca="1" si="72"/>
        <v>Re-Res-2015-1180</v>
      </c>
      <c r="B1181" s="6">
        <v>34</v>
      </c>
      <c r="C1181" s="6" t="str">
        <f t="shared" si="73"/>
        <v>30-39</v>
      </c>
      <c r="D1181" s="6" t="s">
        <v>43</v>
      </c>
      <c r="E1181" s="6" t="s">
        <v>45</v>
      </c>
      <c r="F1181" s="6" t="s">
        <v>39</v>
      </c>
      <c r="G1181" s="6" t="s">
        <v>47</v>
      </c>
      <c r="H1181" s="8">
        <v>5433</v>
      </c>
      <c r="I1181" s="8">
        <f t="shared" si="74"/>
        <v>814.94999999999993</v>
      </c>
      <c r="J1181" s="8">
        <f t="shared" si="75"/>
        <v>4618.05</v>
      </c>
      <c r="K1181" s="8">
        <v>19332</v>
      </c>
      <c r="L1181" s="6">
        <v>11</v>
      </c>
      <c r="M1181" s="22" t="str" cm="1">
        <f t="array" ref="M1181">_xlfn.IFS(L1181&gt;10,"Veteran",L1181&gt;=6,"Experienced",L1181&gt;=2,"Developing",L1181&gt;=0,"New")</f>
        <v>Veteran</v>
      </c>
    </row>
    <row r="1182" spans="1:13">
      <c r="A1182" s="21" t="str">
        <f t="shared" ca="1" si="72"/>
        <v>La-Res-2022-1181</v>
      </c>
      <c r="B1182" s="6">
        <v>36</v>
      </c>
      <c r="C1182" s="6" t="str">
        <f t="shared" si="73"/>
        <v>30-39</v>
      </c>
      <c r="D1182" s="6" t="s">
        <v>43</v>
      </c>
      <c r="E1182" s="6" t="s">
        <v>45</v>
      </c>
      <c r="F1182" s="6" t="s">
        <v>46</v>
      </c>
      <c r="G1182" s="6" t="s">
        <v>50</v>
      </c>
      <c r="H1182" s="8">
        <v>2013</v>
      </c>
      <c r="I1182" s="8">
        <f t="shared" si="74"/>
        <v>140.91000000000003</v>
      </c>
      <c r="J1182" s="8">
        <f t="shared" si="75"/>
        <v>1872.09</v>
      </c>
      <c r="K1182" s="8">
        <v>10950</v>
      </c>
      <c r="L1182" s="6">
        <v>4</v>
      </c>
      <c r="M1182" s="22" t="str" cm="1">
        <f t="array" ref="M1182">_xlfn.IFS(L1182&gt;10,"Veteran",L1182&gt;=6,"Experienced",L1182&gt;=2,"Developing",L1182&gt;=0,"New")</f>
        <v>Developing</v>
      </c>
    </row>
    <row r="1183" spans="1:13">
      <c r="A1183" s="21" t="str">
        <f t="shared" ca="1" si="72"/>
        <v>He-Res-2011-1182</v>
      </c>
      <c r="B1183" s="6">
        <v>49</v>
      </c>
      <c r="C1183" s="6" t="str">
        <f t="shared" si="73"/>
        <v>40-49</v>
      </c>
      <c r="D1183" s="6" t="s">
        <v>43</v>
      </c>
      <c r="E1183" s="6" t="s">
        <v>45</v>
      </c>
      <c r="F1183" s="6" t="s">
        <v>39</v>
      </c>
      <c r="G1183" s="6" t="s">
        <v>54</v>
      </c>
      <c r="H1183" s="8">
        <v>13966</v>
      </c>
      <c r="I1183" s="8">
        <f t="shared" si="74"/>
        <v>4189.8</v>
      </c>
      <c r="J1183" s="8">
        <f t="shared" si="75"/>
        <v>9776.2000000000007</v>
      </c>
      <c r="K1183" s="8">
        <v>11652</v>
      </c>
      <c r="L1183" s="6">
        <v>15</v>
      </c>
      <c r="M1183" s="22" t="str" cm="1">
        <f t="array" ref="M1183">_xlfn.IFS(L1183&gt;10,"Veteran",L1183&gt;=6,"Experienced",L1183&gt;=2,"Developing",L1183&gt;=0,"New")</f>
        <v>Veteran</v>
      </c>
    </row>
    <row r="1184" spans="1:13">
      <c r="A1184" s="21" t="str">
        <f t="shared" ca="1" si="72"/>
        <v>Ma-Res-2023-1183</v>
      </c>
      <c r="B1184" s="6">
        <v>36</v>
      </c>
      <c r="C1184" s="6" t="str">
        <f t="shared" si="73"/>
        <v>30-39</v>
      </c>
      <c r="D1184" s="6" t="s">
        <v>43</v>
      </c>
      <c r="E1184" s="6" t="s">
        <v>45</v>
      </c>
      <c r="F1184" s="6" t="s">
        <v>39</v>
      </c>
      <c r="G1184" s="6" t="s">
        <v>53</v>
      </c>
      <c r="H1184" s="8">
        <v>4374</v>
      </c>
      <c r="I1184" s="8">
        <f t="shared" si="74"/>
        <v>656.1</v>
      </c>
      <c r="J1184" s="8">
        <f t="shared" si="75"/>
        <v>3717.9</v>
      </c>
      <c r="K1184" s="8">
        <v>15411</v>
      </c>
      <c r="L1184" s="6">
        <v>3</v>
      </c>
      <c r="M1184" s="22" t="str" cm="1">
        <f t="array" ref="M1184">_xlfn.IFS(L1184&gt;10,"Veteran",L1184&gt;=6,"Experienced",L1184&gt;=2,"Developing",L1184&gt;=0,"New")</f>
        <v>Developing</v>
      </c>
    </row>
    <row r="1185" spans="1:13">
      <c r="A1185" s="21" t="str">
        <f t="shared" ca="1" si="72"/>
        <v>He-Res-2021-1184</v>
      </c>
      <c r="B1185" s="6">
        <v>36</v>
      </c>
      <c r="C1185" s="6" t="str">
        <f t="shared" si="73"/>
        <v>30-39</v>
      </c>
      <c r="D1185" s="6" t="s">
        <v>43</v>
      </c>
      <c r="E1185" s="6" t="s">
        <v>45</v>
      </c>
      <c r="F1185" s="6" t="s">
        <v>46</v>
      </c>
      <c r="G1185" s="6" t="s">
        <v>54</v>
      </c>
      <c r="H1185" s="8">
        <v>6842</v>
      </c>
      <c r="I1185" s="8">
        <f t="shared" si="74"/>
        <v>1026.3</v>
      </c>
      <c r="J1185" s="8">
        <f t="shared" si="75"/>
        <v>5815.7</v>
      </c>
      <c r="K1185" s="8">
        <v>26308</v>
      </c>
      <c r="L1185" s="6">
        <v>5</v>
      </c>
      <c r="M1185" s="22" t="str" cm="1">
        <f t="array" ref="M1185">_xlfn.IFS(L1185&gt;10,"Veteran",L1185&gt;=6,"Experienced",L1185&gt;=2,"Developing",L1185&gt;=0,"New")</f>
        <v>Developing</v>
      </c>
    </row>
    <row r="1186" spans="1:13">
      <c r="A1186" s="21" t="str">
        <f t="shared" ca="1" si="72"/>
        <v>Ma-Res-2016-1185</v>
      </c>
      <c r="B1186" s="6">
        <v>54</v>
      </c>
      <c r="C1186" s="6" t="str">
        <f t="shared" si="73"/>
        <v>50+</v>
      </c>
      <c r="D1186" s="6" t="s">
        <v>43</v>
      </c>
      <c r="E1186" s="6" t="s">
        <v>45</v>
      </c>
      <c r="F1186" s="6" t="s">
        <v>39</v>
      </c>
      <c r="G1186" s="6" t="s">
        <v>56</v>
      </c>
      <c r="H1186" s="8">
        <v>17426</v>
      </c>
      <c r="I1186" s="8">
        <f t="shared" si="74"/>
        <v>5227.8</v>
      </c>
      <c r="J1186" s="8">
        <f t="shared" si="75"/>
        <v>12198.2</v>
      </c>
      <c r="K1186" s="8">
        <v>18685</v>
      </c>
      <c r="L1186" s="6">
        <v>10</v>
      </c>
      <c r="M1186" s="22" t="str" cm="1">
        <f t="array" ref="M1186">_xlfn.IFS(L1186&gt;10,"Veteran",L1186&gt;=6,"Experienced",L1186&gt;=2,"Developing",L1186&gt;=0,"New")</f>
        <v>Experienced</v>
      </c>
    </row>
    <row r="1187" spans="1:13">
      <c r="A1187" s="21" t="str">
        <f t="shared" ca="1" si="72"/>
        <v>Re-Res-2012-1186</v>
      </c>
      <c r="B1187" s="6">
        <v>43</v>
      </c>
      <c r="C1187" s="6" t="str">
        <f t="shared" si="73"/>
        <v>40-49</v>
      </c>
      <c r="D1187" s="6" t="s">
        <v>43</v>
      </c>
      <c r="E1187" s="6" t="s">
        <v>45</v>
      </c>
      <c r="F1187" s="6" t="s">
        <v>46</v>
      </c>
      <c r="G1187" s="6" t="s">
        <v>58</v>
      </c>
      <c r="H1187" s="8">
        <v>17603</v>
      </c>
      <c r="I1187" s="8">
        <f t="shared" si="74"/>
        <v>5280.9</v>
      </c>
      <c r="J1187" s="8">
        <f t="shared" si="75"/>
        <v>12322.1</v>
      </c>
      <c r="K1187" s="8">
        <v>3525</v>
      </c>
      <c r="L1187" s="6">
        <v>14</v>
      </c>
      <c r="M1187" s="22" t="str" cm="1">
        <f t="array" ref="M1187">_xlfn.IFS(L1187&gt;10,"Veteran",L1187&gt;=6,"Experienced",L1187&gt;=2,"Developing",L1187&gt;=0,"New")</f>
        <v>Veteran</v>
      </c>
    </row>
    <row r="1188" spans="1:13">
      <c r="A1188" s="21" t="str">
        <f t="shared" ca="1" si="72"/>
        <v>Sa-Sal-2015-1187</v>
      </c>
      <c r="B1188" s="6">
        <v>35</v>
      </c>
      <c r="C1188" s="6" t="str">
        <f t="shared" si="73"/>
        <v>30-39</v>
      </c>
      <c r="D1188" s="6" t="s">
        <v>35</v>
      </c>
      <c r="E1188" s="6" t="s">
        <v>37</v>
      </c>
      <c r="F1188" s="6" t="s">
        <v>46</v>
      </c>
      <c r="G1188" s="6" t="s">
        <v>40</v>
      </c>
      <c r="H1188" s="8">
        <v>4581</v>
      </c>
      <c r="I1188" s="8">
        <f t="shared" si="74"/>
        <v>687.15</v>
      </c>
      <c r="J1188" s="8">
        <f t="shared" si="75"/>
        <v>3893.85</v>
      </c>
      <c r="K1188" s="8">
        <v>10414</v>
      </c>
      <c r="L1188" s="6">
        <v>11</v>
      </c>
      <c r="M1188" s="22" t="str" cm="1">
        <f t="array" ref="M1188">_xlfn.IFS(L1188&gt;10,"Veteran",L1188&gt;=6,"Experienced",L1188&gt;=2,"Developing",L1188&gt;=0,"New")</f>
        <v>Veteran</v>
      </c>
    </row>
    <row r="1189" spans="1:13">
      <c r="A1189" s="21" t="str">
        <f t="shared" ca="1" si="72"/>
        <v>Re-Res-2013-1188</v>
      </c>
      <c r="B1189" s="6">
        <v>38</v>
      </c>
      <c r="C1189" s="6" t="str">
        <f t="shared" si="73"/>
        <v>30-39</v>
      </c>
      <c r="D1189" s="6" t="s">
        <v>43</v>
      </c>
      <c r="E1189" s="6" t="s">
        <v>45</v>
      </c>
      <c r="F1189" s="6" t="s">
        <v>46</v>
      </c>
      <c r="G1189" s="6" t="s">
        <v>47</v>
      </c>
      <c r="H1189" s="8">
        <v>4735</v>
      </c>
      <c r="I1189" s="8">
        <f t="shared" si="74"/>
        <v>710.25</v>
      </c>
      <c r="J1189" s="8">
        <f t="shared" si="75"/>
        <v>4024.75</v>
      </c>
      <c r="K1189" s="8">
        <v>9867</v>
      </c>
      <c r="L1189" s="6">
        <v>13</v>
      </c>
      <c r="M1189" s="22" t="str" cm="1">
        <f t="array" ref="M1189">_xlfn.IFS(L1189&gt;10,"Veteran",L1189&gt;=6,"Experienced",L1189&gt;=2,"Developing",L1189&gt;=0,"New")</f>
        <v>Veteran</v>
      </c>
    </row>
    <row r="1190" spans="1:13">
      <c r="A1190" s="21" t="str">
        <f t="shared" ca="1" si="72"/>
        <v>Sa-Sal-2016-1189</v>
      </c>
      <c r="B1190" s="6">
        <v>29</v>
      </c>
      <c r="C1190" s="6" t="str">
        <f t="shared" si="73"/>
        <v>20-29</v>
      </c>
      <c r="D1190" s="6" t="s">
        <v>43</v>
      </c>
      <c r="E1190" s="6" t="s">
        <v>37</v>
      </c>
      <c r="F1190" s="6" t="s">
        <v>46</v>
      </c>
      <c r="G1190" s="6" t="s">
        <v>40</v>
      </c>
      <c r="H1190" s="8">
        <v>4187</v>
      </c>
      <c r="I1190" s="8">
        <f t="shared" si="74"/>
        <v>628.04999999999995</v>
      </c>
      <c r="J1190" s="8">
        <f t="shared" si="75"/>
        <v>3558.95</v>
      </c>
      <c r="K1190" s="8">
        <v>3356</v>
      </c>
      <c r="L1190" s="6">
        <v>10</v>
      </c>
      <c r="M1190" s="22" t="str" cm="1">
        <f t="array" ref="M1190">_xlfn.IFS(L1190&gt;10,"Veteran",L1190&gt;=6,"Experienced",L1190&gt;=2,"Developing",L1190&gt;=0,"New")</f>
        <v>Experienced</v>
      </c>
    </row>
    <row r="1191" spans="1:13">
      <c r="A1191" s="21" t="str">
        <f t="shared" ca="1" si="72"/>
        <v>Sa-Sal-2020-1190</v>
      </c>
      <c r="B1191" s="6">
        <v>33</v>
      </c>
      <c r="C1191" s="6" t="str">
        <f t="shared" si="73"/>
        <v>30-39</v>
      </c>
      <c r="D1191" s="6" t="s">
        <v>43</v>
      </c>
      <c r="E1191" s="6" t="s">
        <v>37</v>
      </c>
      <c r="F1191" s="6" t="s">
        <v>46</v>
      </c>
      <c r="G1191" s="6" t="s">
        <v>40</v>
      </c>
      <c r="H1191" s="8">
        <v>5505</v>
      </c>
      <c r="I1191" s="8">
        <f t="shared" si="74"/>
        <v>825.75</v>
      </c>
      <c r="J1191" s="8">
        <f t="shared" si="75"/>
        <v>4679.25</v>
      </c>
      <c r="K1191" s="8">
        <v>3921</v>
      </c>
      <c r="L1191" s="6">
        <v>6</v>
      </c>
      <c r="M1191" s="22" t="str" cm="1">
        <f t="array" ref="M1191">_xlfn.IFS(L1191&gt;10,"Veteran",L1191&gt;=6,"Experienced",L1191&gt;=2,"Developing",L1191&gt;=0,"New")</f>
        <v>Experienced</v>
      </c>
    </row>
    <row r="1192" spans="1:13">
      <c r="A1192" s="21" t="str">
        <f t="shared" ca="1" si="72"/>
        <v>Re-Res-2017-1191</v>
      </c>
      <c r="B1192" s="6">
        <v>32</v>
      </c>
      <c r="C1192" s="6" t="str">
        <f t="shared" si="73"/>
        <v>30-39</v>
      </c>
      <c r="D1192" s="6" t="s">
        <v>43</v>
      </c>
      <c r="E1192" s="6" t="s">
        <v>45</v>
      </c>
      <c r="F1192" s="6" t="s">
        <v>46</v>
      </c>
      <c r="G1192" s="6" t="s">
        <v>47</v>
      </c>
      <c r="H1192" s="8">
        <v>5470</v>
      </c>
      <c r="I1192" s="8">
        <f t="shared" si="74"/>
        <v>820.5</v>
      </c>
      <c r="J1192" s="8">
        <f t="shared" si="75"/>
        <v>4649.5</v>
      </c>
      <c r="K1192" s="8">
        <v>25518</v>
      </c>
      <c r="L1192" s="6">
        <v>9</v>
      </c>
      <c r="M1192" s="22" t="str" cm="1">
        <f t="array" ref="M1192">_xlfn.IFS(L1192&gt;10,"Veteran",L1192&gt;=6,"Experienced",L1192&gt;=2,"Developing",L1192&gt;=0,"New")</f>
        <v>Experienced</v>
      </c>
    </row>
    <row r="1193" spans="1:13">
      <c r="A1193" s="21" t="str">
        <f t="shared" ca="1" si="72"/>
        <v>Sa-Sal-2016-1192</v>
      </c>
      <c r="B1193" s="6">
        <v>31</v>
      </c>
      <c r="C1193" s="6" t="str">
        <f t="shared" si="73"/>
        <v>30-39</v>
      </c>
      <c r="D1193" s="6" t="s">
        <v>43</v>
      </c>
      <c r="E1193" s="6" t="s">
        <v>37</v>
      </c>
      <c r="F1193" s="6" t="s">
        <v>39</v>
      </c>
      <c r="G1193" s="6" t="s">
        <v>40</v>
      </c>
      <c r="H1193" s="8">
        <v>5476</v>
      </c>
      <c r="I1193" s="8">
        <f t="shared" si="74"/>
        <v>821.4</v>
      </c>
      <c r="J1193" s="8">
        <f t="shared" si="75"/>
        <v>4654.6000000000004</v>
      </c>
      <c r="K1193" s="8">
        <v>22589</v>
      </c>
      <c r="L1193" s="6">
        <v>10</v>
      </c>
      <c r="M1193" s="22" t="str" cm="1">
        <f t="array" ref="M1193">_xlfn.IFS(L1193&gt;10,"Veteran",L1193&gt;=6,"Experienced",L1193&gt;=2,"Developing",L1193&gt;=0,"New")</f>
        <v>Experienced</v>
      </c>
    </row>
    <row r="1194" spans="1:13">
      <c r="A1194" s="21" t="str">
        <f t="shared" ca="1" si="72"/>
        <v>La-Res-2024-1193</v>
      </c>
      <c r="B1194" s="6">
        <v>49</v>
      </c>
      <c r="C1194" s="6" t="str">
        <f t="shared" si="73"/>
        <v>40-49</v>
      </c>
      <c r="D1194" s="6" t="s">
        <v>43</v>
      </c>
      <c r="E1194" s="6" t="s">
        <v>45</v>
      </c>
      <c r="F1194" s="6" t="s">
        <v>39</v>
      </c>
      <c r="G1194" s="6" t="s">
        <v>50</v>
      </c>
      <c r="H1194" s="8">
        <v>2587</v>
      </c>
      <c r="I1194" s="8">
        <f t="shared" si="74"/>
        <v>181.09</v>
      </c>
      <c r="J1194" s="8">
        <f t="shared" si="75"/>
        <v>2405.91</v>
      </c>
      <c r="K1194" s="8">
        <v>24941</v>
      </c>
      <c r="L1194" s="6">
        <v>2</v>
      </c>
      <c r="M1194" s="22" t="str" cm="1">
        <f t="array" ref="M1194">_xlfn.IFS(L1194&gt;10,"Veteran",L1194&gt;=6,"Experienced",L1194&gt;=2,"Developing",L1194&gt;=0,"New")</f>
        <v>Developing</v>
      </c>
    </row>
    <row r="1195" spans="1:13">
      <c r="A1195" s="21" t="str">
        <f t="shared" ca="1" si="72"/>
        <v>La-Res-2022-1194</v>
      </c>
      <c r="B1195" s="6">
        <v>38</v>
      </c>
      <c r="C1195" s="6" t="str">
        <f t="shared" si="73"/>
        <v>30-39</v>
      </c>
      <c r="D1195" s="6" t="s">
        <v>43</v>
      </c>
      <c r="E1195" s="6" t="s">
        <v>45</v>
      </c>
      <c r="F1195" s="6" t="s">
        <v>39</v>
      </c>
      <c r="G1195" s="6" t="s">
        <v>50</v>
      </c>
      <c r="H1195" s="8">
        <v>2440</v>
      </c>
      <c r="I1195" s="8">
        <f t="shared" si="74"/>
        <v>170.8</v>
      </c>
      <c r="J1195" s="8">
        <f t="shared" si="75"/>
        <v>2269.1999999999998</v>
      </c>
      <c r="K1195" s="8">
        <v>23826</v>
      </c>
      <c r="L1195" s="6">
        <v>4</v>
      </c>
      <c r="M1195" s="22" t="str" cm="1">
        <f t="array" ref="M1195">_xlfn.IFS(L1195&gt;10,"Veteran",L1195&gt;=6,"Experienced",L1195&gt;=2,"Developing",L1195&gt;=0,"New")</f>
        <v>Developing</v>
      </c>
    </row>
    <row r="1196" spans="1:13">
      <c r="A1196" s="21" t="str">
        <f t="shared" ca="1" si="72"/>
        <v>Ma-Sal-2023-1195</v>
      </c>
      <c r="B1196" s="6">
        <v>47</v>
      </c>
      <c r="C1196" s="6" t="str">
        <f t="shared" si="73"/>
        <v>40-49</v>
      </c>
      <c r="D1196" s="6" t="s">
        <v>43</v>
      </c>
      <c r="E1196" s="6" t="s">
        <v>37</v>
      </c>
      <c r="F1196" s="6" t="s">
        <v>39</v>
      </c>
      <c r="G1196" s="6" t="s">
        <v>56</v>
      </c>
      <c r="H1196" s="8">
        <v>15972</v>
      </c>
      <c r="I1196" s="8">
        <f t="shared" si="74"/>
        <v>4791.5999999999995</v>
      </c>
      <c r="J1196" s="8">
        <f t="shared" si="75"/>
        <v>11180.400000000001</v>
      </c>
      <c r="K1196" s="8">
        <v>21086</v>
      </c>
      <c r="L1196" s="6">
        <v>3</v>
      </c>
      <c r="M1196" s="22" t="str" cm="1">
        <f t="array" ref="M1196">_xlfn.IFS(L1196&gt;10,"Veteran",L1196&gt;=6,"Experienced",L1196&gt;=2,"Developing",L1196&gt;=0,"New")</f>
        <v>Developing</v>
      </c>
    </row>
    <row r="1197" spans="1:13">
      <c r="A1197" s="21" t="str">
        <f t="shared" ca="1" si="72"/>
        <v>Ma-Res-2018-1196</v>
      </c>
      <c r="B1197" s="6">
        <v>49</v>
      </c>
      <c r="C1197" s="6" t="str">
        <f t="shared" si="73"/>
        <v>40-49</v>
      </c>
      <c r="D1197" s="6" t="s">
        <v>43</v>
      </c>
      <c r="E1197" s="6" t="s">
        <v>45</v>
      </c>
      <c r="F1197" s="6" t="s">
        <v>46</v>
      </c>
      <c r="G1197" s="6" t="s">
        <v>56</v>
      </c>
      <c r="H1197" s="8">
        <v>15379</v>
      </c>
      <c r="I1197" s="8">
        <f t="shared" si="74"/>
        <v>4613.7</v>
      </c>
      <c r="J1197" s="8">
        <f t="shared" si="75"/>
        <v>10765.3</v>
      </c>
      <c r="K1197" s="8">
        <v>22384</v>
      </c>
      <c r="L1197" s="6">
        <v>8</v>
      </c>
      <c r="M1197" s="22" t="str" cm="1">
        <f t="array" ref="M1197">_xlfn.IFS(L1197&gt;10,"Veteran",L1197&gt;=6,"Experienced",L1197&gt;=2,"Developing",L1197&gt;=0,"New")</f>
        <v>Experienced</v>
      </c>
    </row>
    <row r="1198" spans="1:13">
      <c r="A1198" s="21" t="str">
        <f t="shared" ca="1" si="72"/>
        <v>Sa-Sal-2024-1197</v>
      </c>
      <c r="B1198" s="6">
        <v>41</v>
      </c>
      <c r="C1198" s="6" t="str">
        <f t="shared" si="73"/>
        <v>40-49</v>
      </c>
      <c r="D1198" s="6" t="s">
        <v>43</v>
      </c>
      <c r="E1198" s="6" t="s">
        <v>37</v>
      </c>
      <c r="F1198" s="6" t="s">
        <v>46</v>
      </c>
      <c r="G1198" s="6" t="s">
        <v>40</v>
      </c>
      <c r="H1198" s="8">
        <v>7082</v>
      </c>
      <c r="I1198" s="8">
        <f t="shared" si="74"/>
        <v>1558.04</v>
      </c>
      <c r="J1198" s="8">
        <f t="shared" si="75"/>
        <v>5523.96</v>
      </c>
      <c r="K1198" s="8">
        <v>11591</v>
      </c>
      <c r="L1198" s="6">
        <v>2</v>
      </c>
      <c r="M1198" s="22" t="str" cm="1">
        <f t="array" ref="M1198">_xlfn.IFS(L1198&gt;10,"Veteran",L1198&gt;=6,"Experienced",L1198&gt;=2,"Developing",L1198&gt;=0,"New")</f>
        <v>Developing</v>
      </c>
    </row>
    <row r="1199" spans="1:13">
      <c r="A1199" s="21" t="str">
        <f t="shared" ca="1" si="72"/>
        <v>Sa-Sal-2024-1198</v>
      </c>
      <c r="B1199" s="6">
        <v>20</v>
      </c>
      <c r="C1199" s="6" t="str">
        <f t="shared" si="73"/>
        <v>20-29</v>
      </c>
      <c r="D1199" s="6" t="s">
        <v>43</v>
      </c>
      <c r="E1199" s="6" t="s">
        <v>37</v>
      </c>
      <c r="F1199" s="6" t="s">
        <v>46</v>
      </c>
      <c r="G1199" s="6" t="s">
        <v>57</v>
      </c>
      <c r="H1199" s="8">
        <v>2728</v>
      </c>
      <c r="I1199" s="8">
        <f t="shared" si="74"/>
        <v>190.96</v>
      </c>
      <c r="J1199" s="8">
        <f t="shared" si="75"/>
        <v>2537.04</v>
      </c>
      <c r="K1199" s="8">
        <v>21082</v>
      </c>
      <c r="L1199" s="6">
        <v>2</v>
      </c>
      <c r="M1199" s="22" t="str" cm="1">
        <f t="array" ref="M1199">_xlfn.IFS(L1199&gt;10,"Veteran",L1199&gt;=6,"Experienced",L1199&gt;=2,"Developing",L1199&gt;=0,"New")</f>
        <v>Developing</v>
      </c>
    </row>
    <row r="1200" spans="1:13">
      <c r="A1200" s="21" t="str">
        <f t="shared" ca="1" si="72"/>
        <v>Sa-Sal-2020-1199</v>
      </c>
      <c r="B1200" s="6">
        <v>33</v>
      </c>
      <c r="C1200" s="6" t="str">
        <f t="shared" si="73"/>
        <v>30-39</v>
      </c>
      <c r="D1200" s="6" t="s">
        <v>43</v>
      </c>
      <c r="E1200" s="6" t="s">
        <v>37</v>
      </c>
      <c r="F1200" s="6" t="s">
        <v>39</v>
      </c>
      <c r="G1200" s="6" t="s">
        <v>40</v>
      </c>
      <c r="H1200" s="8">
        <v>5368</v>
      </c>
      <c r="I1200" s="8">
        <f t="shared" si="74"/>
        <v>805.19999999999993</v>
      </c>
      <c r="J1200" s="8">
        <f t="shared" si="75"/>
        <v>4562.8</v>
      </c>
      <c r="K1200" s="8">
        <v>16130</v>
      </c>
      <c r="L1200" s="6">
        <v>6</v>
      </c>
      <c r="M1200" s="22" t="str" cm="1">
        <f t="array" ref="M1200">_xlfn.IFS(L1200&gt;10,"Veteran",L1200&gt;=6,"Experienced",L1200&gt;=2,"Developing",L1200&gt;=0,"New")</f>
        <v>Experienced</v>
      </c>
    </row>
    <row r="1201" spans="1:13">
      <c r="A1201" s="21" t="str">
        <f t="shared" ca="1" si="72"/>
        <v>He-Res-2023-1200</v>
      </c>
      <c r="B1201" s="6">
        <v>36</v>
      </c>
      <c r="C1201" s="6" t="str">
        <f t="shared" si="73"/>
        <v>30-39</v>
      </c>
      <c r="D1201" s="6" t="s">
        <v>43</v>
      </c>
      <c r="E1201" s="6" t="s">
        <v>45</v>
      </c>
      <c r="F1201" s="6" t="s">
        <v>46</v>
      </c>
      <c r="G1201" s="6" t="s">
        <v>54</v>
      </c>
      <c r="H1201" s="8">
        <v>5347</v>
      </c>
      <c r="I1201" s="8">
        <f t="shared" si="74"/>
        <v>802.05</v>
      </c>
      <c r="J1201" s="8">
        <f t="shared" si="75"/>
        <v>4544.95</v>
      </c>
      <c r="K1201" s="8">
        <v>7419</v>
      </c>
      <c r="L1201" s="6">
        <v>3</v>
      </c>
      <c r="M1201" s="22" t="str" cm="1">
        <f t="array" ref="M1201">_xlfn.IFS(L1201&gt;10,"Veteran",L1201&gt;=6,"Experienced",L1201&gt;=2,"Developing",L1201&gt;=0,"New")</f>
        <v>Developing</v>
      </c>
    </row>
    <row r="1202" spans="1:13">
      <c r="A1202" s="21" t="str">
        <f t="shared" ca="1" si="72"/>
        <v>Hu-Hum-2024-1201</v>
      </c>
      <c r="B1202" s="6">
        <v>44</v>
      </c>
      <c r="C1202" s="6" t="str">
        <f t="shared" si="73"/>
        <v>40-49</v>
      </c>
      <c r="D1202" s="6" t="s">
        <v>43</v>
      </c>
      <c r="E1202" s="6" t="s">
        <v>61</v>
      </c>
      <c r="F1202" s="6" t="s">
        <v>39</v>
      </c>
      <c r="G1202" s="6" t="s">
        <v>61</v>
      </c>
      <c r="H1202" s="8">
        <v>3195</v>
      </c>
      <c r="I1202" s="8">
        <f t="shared" si="74"/>
        <v>479.25</v>
      </c>
      <c r="J1202" s="8">
        <f t="shared" si="75"/>
        <v>2715.75</v>
      </c>
      <c r="K1202" s="8">
        <v>4167</v>
      </c>
      <c r="L1202" s="6">
        <v>2</v>
      </c>
      <c r="M1202" s="22" t="str" cm="1">
        <f t="array" ref="M1202">_xlfn.IFS(L1202&gt;10,"Veteran",L1202&gt;=6,"Experienced",L1202&gt;=2,"Developing",L1202&gt;=0,"New")</f>
        <v>Developing</v>
      </c>
    </row>
    <row r="1203" spans="1:13">
      <c r="A1203" s="21" t="str">
        <f t="shared" ca="1" si="72"/>
        <v>La-Res-2021-1202</v>
      </c>
      <c r="B1203" s="6">
        <v>23</v>
      </c>
      <c r="C1203" s="6" t="str">
        <f t="shared" si="73"/>
        <v>20-29</v>
      </c>
      <c r="D1203" s="6" t="s">
        <v>35</v>
      </c>
      <c r="E1203" s="6" t="s">
        <v>45</v>
      </c>
      <c r="F1203" s="6" t="s">
        <v>46</v>
      </c>
      <c r="G1203" s="6" t="s">
        <v>50</v>
      </c>
      <c r="H1203" s="8">
        <v>3989</v>
      </c>
      <c r="I1203" s="8">
        <f t="shared" si="74"/>
        <v>598.35</v>
      </c>
      <c r="J1203" s="8">
        <f t="shared" si="75"/>
        <v>3390.65</v>
      </c>
      <c r="K1203" s="8">
        <v>20586</v>
      </c>
      <c r="L1203" s="6">
        <v>5</v>
      </c>
      <c r="M1203" s="22" t="str" cm="1">
        <f t="array" ref="M1203">_xlfn.IFS(L1203&gt;10,"Veteran",L1203&gt;=6,"Experienced",L1203&gt;=2,"Developing",L1203&gt;=0,"New")</f>
        <v>Developing</v>
      </c>
    </row>
    <row r="1204" spans="1:13">
      <c r="A1204" s="21" t="str">
        <f t="shared" ca="1" si="72"/>
        <v>La-Res-2026-1203</v>
      </c>
      <c r="B1204" s="6">
        <v>38</v>
      </c>
      <c r="C1204" s="6" t="str">
        <f t="shared" si="73"/>
        <v>30-39</v>
      </c>
      <c r="D1204" s="6" t="s">
        <v>43</v>
      </c>
      <c r="E1204" s="6" t="s">
        <v>45</v>
      </c>
      <c r="F1204" s="6" t="s">
        <v>39</v>
      </c>
      <c r="G1204" s="6" t="s">
        <v>50</v>
      </c>
      <c r="H1204" s="8">
        <v>3306</v>
      </c>
      <c r="I1204" s="8">
        <f t="shared" si="74"/>
        <v>495.9</v>
      </c>
      <c r="J1204" s="8">
        <f t="shared" si="75"/>
        <v>2810.1</v>
      </c>
      <c r="K1204" s="8">
        <v>26176</v>
      </c>
      <c r="L1204" s="6">
        <v>0</v>
      </c>
      <c r="M1204" s="22" t="str" cm="1">
        <f t="array" ref="M1204">_xlfn.IFS(L1204&gt;10,"Veteran",L1204&gt;=6,"Experienced",L1204&gt;=2,"Developing",L1204&gt;=0,"New")</f>
        <v>New</v>
      </c>
    </row>
    <row r="1205" spans="1:13">
      <c r="A1205" s="21" t="str">
        <f t="shared" ca="1" si="72"/>
        <v>He-Res-2022-1204</v>
      </c>
      <c r="B1205" s="6">
        <v>53</v>
      </c>
      <c r="C1205" s="6" t="str">
        <f t="shared" si="73"/>
        <v>50+</v>
      </c>
      <c r="D1205" s="6" t="s">
        <v>43</v>
      </c>
      <c r="E1205" s="6" t="s">
        <v>45</v>
      </c>
      <c r="F1205" s="6" t="s">
        <v>46</v>
      </c>
      <c r="G1205" s="6" t="s">
        <v>54</v>
      </c>
      <c r="H1205" s="8">
        <v>7005</v>
      </c>
      <c r="I1205" s="8">
        <f t="shared" si="74"/>
        <v>1541.1</v>
      </c>
      <c r="J1205" s="8">
        <f t="shared" si="75"/>
        <v>5463.9</v>
      </c>
      <c r="K1205" s="8">
        <v>3458</v>
      </c>
      <c r="L1205" s="6">
        <v>4</v>
      </c>
      <c r="M1205" s="22" t="str" cm="1">
        <f t="array" ref="M1205">_xlfn.IFS(L1205&gt;10,"Veteran",L1205&gt;=6,"Experienced",L1205&gt;=2,"Developing",L1205&gt;=0,"New")</f>
        <v>Developing</v>
      </c>
    </row>
    <row r="1206" spans="1:13">
      <c r="A1206" s="21" t="str">
        <f t="shared" ca="1" si="72"/>
        <v>Sa-Sal-2017-1205</v>
      </c>
      <c r="B1206" s="6">
        <v>48</v>
      </c>
      <c r="C1206" s="6" t="str">
        <f t="shared" si="73"/>
        <v>40-49</v>
      </c>
      <c r="D1206" s="6" t="s">
        <v>35</v>
      </c>
      <c r="E1206" s="6" t="s">
        <v>37</v>
      </c>
      <c r="F1206" s="6" t="s">
        <v>39</v>
      </c>
      <c r="G1206" s="6" t="s">
        <v>57</v>
      </c>
      <c r="H1206" s="8">
        <v>2655</v>
      </c>
      <c r="I1206" s="8">
        <f t="shared" si="74"/>
        <v>185.85000000000002</v>
      </c>
      <c r="J1206" s="8">
        <f t="shared" si="75"/>
        <v>2469.15</v>
      </c>
      <c r="K1206" s="8">
        <v>11740</v>
      </c>
      <c r="L1206" s="6">
        <v>9</v>
      </c>
      <c r="M1206" s="22" t="str" cm="1">
        <f t="array" ref="M1206">_xlfn.IFS(L1206&gt;10,"Veteran",L1206&gt;=6,"Experienced",L1206&gt;=2,"Developing",L1206&gt;=0,"New")</f>
        <v>Experienced</v>
      </c>
    </row>
    <row r="1207" spans="1:13">
      <c r="A1207" s="21" t="str">
        <f t="shared" ca="1" si="72"/>
        <v>La-Res-2025-1206</v>
      </c>
      <c r="B1207" s="6">
        <v>32</v>
      </c>
      <c r="C1207" s="6" t="str">
        <f t="shared" si="73"/>
        <v>30-39</v>
      </c>
      <c r="D1207" s="6" t="s">
        <v>35</v>
      </c>
      <c r="E1207" s="6" t="s">
        <v>45</v>
      </c>
      <c r="F1207" s="6" t="s">
        <v>46</v>
      </c>
      <c r="G1207" s="6" t="s">
        <v>50</v>
      </c>
      <c r="H1207" s="8">
        <v>1393</v>
      </c>
      <c r="I1207" s="8">
        <f t="shared" si="74"/>
        <v>97.51</v>
      </c>
      <c r="J1207" s="8">
        <f t="shared" si="75"/>
        <v>1295.49</v>
      </c>
      <c r="K1207" s="8">
        <v>24852</v>
      </c>
      <c r="L1207" s="6">
        <v>1</v>
      </c>
      <c r="M1207" s="22" t="str" cm="1">
        <f t="array" ref="M1207">_xlfn.IFS(L1207&gt;10,"Veteran",L1207&gt;=6,"Experienced",L1207&gt;=2,"Developing",L1207&gt;=0,"New")</f>
        <v>New</v>
      </c>
    </row>
    <row r="1208" spans="1:13">
      <c r="A1208" s="21" t="str">
        <f t="shared" ca="1" si="72"/>
        <v>La-Res-2019-1207</v>
      </c>
      <c r="B1208" s="6">
        <v>26</v>
      </c>
      <c r="C1208" s="6" t="str">
        <f t="shared" si="73"/>
        <v>20-29</v>
      </c>
      <c r="D1208" s="6" t="s">
        <v>43</v>
      </c>
      <c r="E1208" s="6" t="s">
        <v>45</v>
      </c>
      <c r="F1208" s="6" t="s">
        <v>46</v>
      </c>
      <c r="G1208" s="6" t="s">
        <v>50</v>
      </c>
      <c r="H1208" s="8">
        <v>2570</v>
      </c>
      <c r="I1208" s="8">
        <f t="shared" si="74"/>
        <v>179.9</v>
      </c>
      <c r="J1208" s="8">
        <f t="shared" si="75"/>
        <v>2390.1</v>
      </c>
      <c r="K1208" s="8">
        <v>11925</v>
      </c>
      <c r="L1208" s="6">
        <v>7</v>
      </c>
      <c r="M1208" s="22" t="str" cm="1">
        <f t="array" ref="M1208">_xlfn.IFS(L1208&gt;10,"Veteran",L1208&gt;=6,"Experienced",L1208&gt;=2,"Developing",L1208&gt;=0,"New")</f>
        <v>Experienced</v>
      </c>
    </row>
    <row r="1209" spans="1:13">
      <c r="A1209" s="21" t="str">
        <f t="shared" ca="1" si="72"/>
        <v>Re-Res-2022-1208</v>
      </c>
      <c r="B1209" s="6">
        <v>55</v>
      </c>
      <c r="C1209" s="6" t="str">
        <f t="shared" si="73"/>
        <v>50+</v>
      </c>
      <c r="D1209" s="6" t="s">
        <v>43</v>
      </c>
      <c r="E1209" s="6" t="s">
        <v>45</v>
      </c>
      <c r="F1209" s="6" t="s">
        <v>46</v>
      </c>
      <c r="G1209" s="6" t="s">
        <v>47</v>
      </c>
      <c r="H1209" s="8">
        <v>3537</v>
      </c>
      <c r="I1209" s="8">
        <f t="shared" si="74"/>
        <v>530.54999999999995</v>
      </c>
      <c r="J1209" s="8">
        <f t="shared" si="75"/>
        <v>3006.45</v>
      </c>
      <c r="K1209" s="8">
        <v>23737</v>
      </c>
      <c r="L1209" s="6">
        <v>4</v>
      </c>
      <c r="M1209" s="22" t="str" cm="1">
        <f t="array" ref="M1209">_xlfn.IFS(L1209&gt;10,"Veteran",L1209&gt;=6,"Experienced",L1209&gt;=2,"Developing",L1209&gt;=0,"New")</f>
        <v>Developing</v>
      </c>
    </row>
    <row r="1210" spans="1:13">
      <c r="A1210" s="21" t="str">
        <f t="shared" ca="1" si="72"/>
        <v>La-Res-2011-1209</v>
      </c>
      <c r="B1210" s="6">
        <v>34</v>
      </c>
      <c r="C1210" s="6" t="str">
        <f t="shared" si="73"/>
        <v>30-39</v>
      </c>
      <c r="D1210" s="6" t="s">
        <v>43</v>
      </c>
      <c r="E1210" s="6" t="s">
        <v>45</v>
      </c>
      <c r="F1210" s="6" t="s">
        <v>46</v>
      </c>
      <c r="G1210" s="6" t="s">
        <v>50</v>
      </c>
      <c r="H1210" s="8">
        <v>3986</v>
      </c>
      <c r="I1210" s="8">
        <f t="shared" si="74"/>
        <v>597.9</v>
      </c>
      <c r="J1210" s="8">
        <f t="shared" si="75"/>
        <v>3388.1</v>
      </c>
      <c r="K1210" s="8">
        <v>11912</v>
      </c>
      <c r="L1210" s="6">
        <v>15</v>
      </c>
      <c r="M1210" s="22" t="str" cm="1">
        <f t="array" ref="M1210">_xlfn.IFS(L1210&gt;10,"Veteran",L1210&gt;=6,"Experienced",L1210&gt;=2,"Developing",L1210&gt;=0,"New")</f>
        <v>Veteran</v>
      </c>
    </row>
    <row r="1211" spans="1:13">
      <c r="A1211" s="21" t="str">
        <f t="shared" ca="1" si="72"/>
        <v>He-Res-2025-1210</v>
      </c>
      <c r="B1211" s="6">
        <v>60</v>
      </c>
      <c r="C1211" s="6" t="str">
        <f t="shared" si="73"/>
        <v>50+</v>
      </c>
      <c r="D1211" s="6" t="s">
        <v>43</v>
      </c>
      <c r="E1211" s="6" t="s">
        <v>45</v>
      </c>
      <c r="F1211" s="6" t="s">
        <v>46</v>
      </c>
      <c r="G1211" s="6" t="s">
        <v>54</v>
      </c>
      <c r="H1211" s="8">
        <v>10883</v>
      </c>
      <c r="I1211" s="8">
        <f t="shared" si="74"/>
        <v>2394.2600000000002</v>
      </c>
      <c r="J1211" s="8">
        <f t="shared" si="75"/>
        <v>8488.74</v>
      </c>
      <c r="K1211" s="8">
        <v>20467</v>
      </c>
      <c r="L1211" s="6">
        <v>1</v>
      </c>
      <c r="M1211" s="22" t="str" cm="1">
        <f t="array" ref="M1211">_xlfn.IFS(L1211&gt;10,"Veteran",L1211&gt;=6,"Experienced",L1211&gt;=2,"Developing",L1211&gt;=0,"New")</f>
        <v>New</v>
      </c>
    </row>
    <row r="1212" spans="1:13">
      <c r="A1212" s="21" t="str">
        <f t="shared" ca="1" si="72"/>
        <v>La-Res-2012-1211</v>
      </c>
      <c r="B1212" s="6">
        <v>33</v>
      </c>
      <c r="C1212" s="6" t="str">
        <f t="shared" si="73"/>
        <v>30-39</v>
      </c>
      <c r="D1212" s="6" t="s">
        <v>43</v>
      </c>
      <c r="E1212" s="6" t="s">
        <v>45</v>
      </c>
      <c r="F1212" s="6" t="s">
        <v>46</v>
      </c>
      <c r="G1212" s="6" t="s">
        <v>50</v>
      </c>
      <c r="H1212" s="8">
        <v>2028</v>
      </c>
      <c r="I1212" s="8">
        <f t="shared" si="74"/>
        <v>141.96</v>
      </c>
      <c r="J1212" s="8">
        <f t="shared" si="75"/>
        <v>1886.04</v>
      </c>
      <c r="K1212" s="8">
        <v>13637</v>
      </c>
      <c r="L1212" s="6">
        <v>14</v>
      </c>
      <c r="M1212" s="22" t="str" cm="1">
        <f t="array" ref="M1212">_xlfn.IFS(L1212&gt;10,"Veteran",L1212&gt;=6,"Experienced",L1212&gt;=2,"Developing",L1212&gt;=0,"New")</f>
        <v>Veteran</v>
      </c>
    </row>
    <row r="1213" spans="1:13">
      <c r="A1213" s="21" t="str">
        <f t="shared" ca="1" si="72"/>
        <v>Sa-Sal-2020-1212</v>
      </c>
      <c r="B1213" s="6">
        <v>37</v>
      </c>
      <c r="C1213" s="6" t="str">
        <f t="shared" si="73"/>
        <v>30-39</v>
      </c>
      <c r="D1213" s="6" t="s">
        <v>43</v>
      </c>
      <c r="E1213" s="6" t="s">
        <v>37</v>
      </c>
      <c r="F1213" s="6" t="s">
        <v>46</v>
      </c>
      <c r="G1213" s="6" t="s">
        <v>40</v>
      </c>
      <c r="H1213" s="8">
        <v>9525</v>
      </c>
      <c r="I1213" s="8">
        <f t="shared" si="74"/>
        <v>2095.5</v>
      </c>
      <c r="J1213" s="8">
        <f t="shared" si="75"/>
        <v>7429.5</v>
      </c>
      <c r="K1213" s="8">
        <v>7677</v>
      </c>
      <c r="L1213" s="6">
        <v>6</v>
      </c>
      <c r="M1213" s="22" t="str" cm="1">
        <f t="array" ref="M1213">_xlfn.IFS(L1213&gt;10,"Veteran",L1213&gt;=6,"Experienced",L1213&gt;=2,"Developing",L1213&gt;=0,"New")</f>
        <v>Experienced</v>
      </c>
    </row>
    <row r="1214" spans="1:13">
      <c r="A1214" s="21" t="str">
        <f t="shared" ca="1" si="72"/>
        <v>Re-Res-2016-1213</v>
      </c>
      <c r="B1214" s="6">
        <v>34</v>
      </c>
      <c r="C1214" s="6" t="str">
        <f t="shared" si="73"/>
        <v>30-39</v>
      </c>
      <c r="D1214" s="6" t="s">
        <v>43</v>
      </c>
      <c r="E1214" s="6" t="s">
        <v>45</v>
      </c>
      <c r="F1214" s="6" t="s">
        <v>39</v>
      </c>
      <c r="G1214" s="6" t="s">
        <v>47</v>
      </c>
      <c r="H1214" s="8">
        <v>2929</v>
      </c>
      <c r="I1214" s="8">
        <f t="shared" si="74"/>
        <v>205.03000000000003</v>
      </c>
      <c r="J1214" s="8">
        <f t="shared" si="75"/>
        <v>2723.97</v>
      </c>
      <c r="K1214" s="8">
        <v>20338</v>
      </c>
      <c r="L1214" s="6">
        <v>10</v>
      </c>
      <c r="M1214" s="22" t="str" cm="1">
        <f t="array" ref="M1214">_xlfn.IFS(L1214&gt;10,"Veteran",L1214&gt;=6,"Experienced",L1214&gt;=2,"Developing",L1214&gt;=0,"New")</f>
        <v>Experienced</v>
      </c>
    </row>
    <row r="1215" spans="1:13">
      <c r="A1215" s="21" t="str">
        <f t="shared" ca="1" si="72"/>
        <v>Sa-Sal-2023-1214</v>
      </c>
      <c r="B1215" s="6">
        <v>23</v>
      </c>
      <c r="C1215" s="6" t="str">
        <f t="shared" si="73"/>
        <v>20-29</v>
      </c>
      <c r="D1215" s="6" t="s">
        <v>35</v>
      </c>
      <c r="E1215" s="6" t="s">
        <v>37</v>
      </c>
      <c r="F1215" s="6" t="s">
        <v>46</v>
      </c>
      <c r="G1215" s="6" t="s">
        <v>57</v>
      </c>
      <c r="H1215" s="8">
        <v>2275</v>
      </c>
      <c r="I1215" s="8">
        <f t="shared" si="74"/>
        <v>159.25000000000003</v>
      </c>
      <c r="J1215" s="8">
        <f t="shared" si="75"/>
        <v>2115.75</v>
      </c>
      <c r="K1215" s="8">
        <v>25103</v>
      </c>
      <c r="L1215" s="6">
        <v>3</v>
      </c>
      <c r="M1215" s="22" t="str" cm="1">
        <f t="array" ref="M1215">_xlfn.IFS(L1215&gt;10,"Veteran",L1215&gt;=6,"Experienced",L1215&gt;=2,"Developing",L1215&gt;=0,"New")</f>
        <v>Developing</v>
      </c>
    </row>
    <row r="1216" spans="1:13">
      <c r="A1216" s="21" t="str">
        <f t="shared" ca="1" si="72"/>
        <v>He-Res-2018-1215</v>
      </c>
      <c r="B1216" s="6">
        <v>44</v>
      </c>
      <c r="C1216" s="6" t="str">
        <f t="shared" si="73"/>
        <v>40-49</v>
      </c>
      <c r="D1216" s="6" t="s">
        <v>43</v>
      </c>
      <c r="E1216" s="6" t="s">
        <v>45</v>
      </c>
      <c r="F1216" s="6" t="s">
        <v>39</v>
      </c>
      <c r="G1216" s="6" t="s">
        <v>54</v>
      </c>
      <c r="H1216" s="8">
        <v>7879</v>
      </c>
      <c r="I1216" s="8">
        <f t="shared" si="74"/>
        <v>1733.38</v>
      </c>
      <c r="J1216" s="8">
        <f t="shared" si="75"/>
        <v>6145.62</v>
      </c>
      <c r="K1216" s="8">
        <v>14810</v>
      </c>
      <c r="L1216" s="6">
        <v>8</v>
      </c>
      <c r="M1216" s="22" t="str" cm="1">
        <f t="array" ref="M1216">_xlfn.IFS(L1216&gt;10,"Veteran",L1216&gt;=6,"Experienced",L1216&gt;=2,"Developing",L1216&gt;=0,"New")</f>
        <v>Experienced</v>
      </c>
    </row>
    <row r="1217" spans="1:13">
      <c r="A1217" s="21" t="str">
        <f t="shared" ca="1" si="72"/>
        <v>Re-Res-2021-1216</v>
      </c>
      <c r="B1217" s="6">
        <v>35</v>
      </c>
      <c r="C1217" s="6" t="str">
        <f t="shared" si="73"/>
        <v>30-39</v>
      </c>
      <c r="D1217" s="6" t="s">
        <v>43</v>
      </c>
      <c r="E1217" s="6" t="s">
        <v>45</v>
      </c>
      <c r="F1217" s="6" t="s">
        <v>46</v>
      </c>
      <c r="G1217" s="6" t="s">
        <v>47</v>
      </c>
      <c r="H1217" s="8">
        <v>4930</v>
      </c>
      <c r="I1217" s="8">
        <f t="shared" si="74"/>
        <v>739.5</v>
      </c>
      <c r="J1217" s="8">
        <f t="shared" si="75"/>
        <v>4190.5</v>
      </c>
      <c r="K1217" s="8">
        <v>13970</v>
      </c>
      <c r="L1217" s="6">
        <v>5</v>
      </c>
      <c r="M1217" s="22" t="str" cm="1">
        <f t="array" ref="M1217">_xlfn.IFS(L1217&gt;10,"Veteran",L1217&gt;=6,"Experienced",L1217&gt;=2,"Developing",L1217&gt;=0,"New")</f>
        <v>Developing</v>
      </c>
    </row>
    <row r="1218" spans="1:13">
      <c r="A1218" s="21" t="str">
        <f t="shared" ca="1" si="72"/>
        <v>Sa-Sal-2016-1217</v>
      </c>
      <c r="B1218" s="6">
        <v>43</v>
      </c>
      <c r="C1218" s="6" t="str">
        <f t="shared" si="73"/>
        <v>40-49</v>
      </c>
      <c r="D1218" s="6" t="s">
        <v>43</v>
      </c>
      <c r="E1218" s="6" t="s">
        <v>37</v>
      </c>
      <c r="F1218" s="6" t="s">
        <v>46</v>
      </c>
      <c r="G1218" s="6" t="s">
        <v>40</v>
      </c>
      <c r="H1218" s="8">
        <v>7847</v>
      </c>
      <c r="I1218" s="8">
        <f t="shared" si="74"/>
        <v>1726.34</v>
      </c>
      <c r="J1218" s="8">
        <f t="shared" si="75"/>
        <v>6120.66</v>
      </c>
      <c r="K1218" s="8">
        <v>6069</v>
      </c>
      <c r="L1218" s="6">
        <v>10</v>
      </c>
      <c r="M1218" s="22" t="str" cm="1">
        <f t="array" ref="M1218">_xlfn.IFS(L1218&gt;10,"Veteran",L1218&gt;=6,"Experienced",L1218&gt;=2,"Developing",L1218&gt;=0,"New")</f>
        <v>Experienced</v>
      </c>
    </row>
    <row r="1219" spans="1:13">
      <c r="A1219" s="21" t="str">
        <f t="shared" ref="A1219:A1282" ca="1" si="76">LEFT(G1219,2)&amp;"-"&amp;LEFT(E1219,3)&amp;"-"&amp;YEAR(TODAY())-L1219&amp;"-"&amp;TEXT(ROW()-1,"000")</f>
        <v>Re-Res-2021-1218</v>
      </c>
      <c r="B1219" s="6">
        <v>24</v>
      </c>
      <c r="C1219" s="6" t="str">
        <f t="shared" ref="C1219:C1282" si="77">IF(B1219&lt;=29,"20-29",IF(B1219&lt;=39,"30-39",IF(B1219&lt;=49,"40-49","50+")))</f>
        <v>20-29</v>
      </c>
      <c r="D1219" s="6" t="s">
        <v>43</v>
      </c>
      <c r="E1219" s="6" t="s">
        <v>45</v>
      </c>
      <c r="F1219" s="6" t="s">
        <v>46</v>
      </c>
      <c r="G1219" s="6" t="s">
        <v>47</v>
      </c>
      <c r="H1219" s="8">
        <v>4401</v>
      </c>
      <c r="I1219" s="8">
        <f t="shared" ref="I1219:I1282" si="78">IF(H1219&gt;13000,H1219*30%,IF(H1219&gt;7000,H1219*22%,IF(H1219&gt;3000,H1219*15%,H1219*7%)))</f>
        <v>660.15</v>
      </c>
      <c r="J1219" s="8">
        <f t="shared" ref="J1219:J1282" si="79">H1219-I1219</f>
        <v>3740.85</v>
      </c>
      <c r="K1219" s="8">
        <v>17616</v>
      </c>
      <c r="L1219" s="6">
        <v>5</v>
      </c>
      <c r="M1219" s="22" t="str" cm="1">
        <f t="array" ref="M1219">_xlfn.IFS(L1219&gt;10,"Veteran",L1219&gt;=6,"Experienced",L1219&gt;=2,"Developing",L1219&gt;=0,"New")</f>
        <v>Developing</v>
      </c>
    </row>
    <row r="1220" spans="1:13">
      <c r="A1220" s="21" t="str">
        <f t="shared" ca="1" si="76"/>
        <v>Sa-Sal-2016-1219</v>
      </c>
      <c r="B1220" s="6">
        <v>41</v>
      </c>
      <c r="C1220" s="6" t="str">
        <f t="shared" si="77"/>
        <v>40-49</v>
      </c>
      <c r="D1220" s="6" t="s">
        <v>43</v>
      </c>
      <c r="E1220" s="6" t="s">
        <v>37</v>
      </c>
      <c r="F1220" s="6" t="s">
        <v>46</v>
      </c>
      <c r="G1220" s="6" t="s">
        <v>40</v>
      </c>
      <c r="H1220" s="8">
        <v>9241</v>
      </c>
      <c r="I1220" s="8">
        <f t="shared" si="78"/>
        <v>2033.02</v>
      </c>
      <c r="J1220" s="8">
        <f t="shared" si="79"/>
        <v>7207.98</v>
      </c>
      <c r="K1220" s="8">
        <v>15869</v>
      </c>
      <c r="L1220" s="6">
        <v>10</v>
      </c>
      <c r="M1220" s="22" t="str" cm="1">
        <f t="array" ref="M1220">_xlfn.IFS(L1220&gt;10,"Veteran",L1220&gt;=6,"Experienced",L1220&gt;=2,"Developing",L1220&gt;=0,"New")</f>
        <v>Experienced</v>
      </c>
    </row>
    <row r="1221" spans="1:13">
      <c r="A1221" s="21" t="str">
        <f t="shared" ca="1" si="76"/>
        <v>La-Res-2021-1220</v>
      </c>
      <c r="B1221" s="6">
        <v>29</v>
      </c>
      <c r="C1221" s="6" t="str">
        <f t="shared" si="77"/>
        <v>20-29</v>
      </c>
      <c r="D1221" s="6" t="s">
        <v>43</v>
      </c>
      <c r="E1221" s="6" t="s">
        <v>45</v>
      </c>
      <c r="F1221" s="6" t="s">
        <v>39</v>
      </c>
      <c r="G1221" s="6" t="s">
        <v>50</v>
      </c>
      <c r="H1221" s="8">
        <v>2974</v>
      </c>
      <c r="I1221" s="8">
        <f t="shared" si="78"/>
        <v>208.18</v>
      </c>
      <c r="J1221" s="8">
        <f t="shared" si="79"/>
        <v>2765.82</v>
      </c>
      <c r="K1221" s="8">
        <v>25412</v>
      </c>
      <c r="L1221" s="6">
        <v>5</v>
      </c>
      <c r="M1221" s="22" t="str" cm="1">
        <f t="array" ref="M1221">_xlfn.IFS(L1221&gt;10,"Veteran",L1221&gt;=6,"Experienced",L1221&gt;=2,"Developing",L1221&gt;=0,"New")</f>
        <v>Developing</v>
      </c>
    </row>
    <row r="1222" spans="1:13">
      <c r="A1222" s="21" t="str">
        <f t="shared" ca="1" si="76"/>
        <v>Sa-Sal-2013-1221</v>
      </c>
      <c r="B1222" s="6">
        <v>36</v>
      </c>
      <c r="C1222" s="6" t="str">
        <f t="shared" si="77"/>
        <v>30-39</v>
      </c>
      <c r="D1222" s="6" t="s">
        <v>43</v>
      </c>
      <c r="E1222" s="6" t="s">
        <v>37</v>
      </c>
      <c r="F1222" s="6" t="s">
        <v>39</v>
      </c>
      <c r="G1222" s="6" t="s">
        <v>57</v>
      </c>
      <c r="H1222" s="8">
        <v>4502</v>
      </c>
      <c r="I1222" s="8">
        <f t="shared" si="78"/>
        <v>675.3</v>
      </c>
      <c r="J1222" s="8">
        <f t="shared" si="79"/>
        <v>3826.7</v>
      </c>
      <c r="K1222" s="8">
        <v>7439</v>
      </c>
      <c r="L1222" s="6">
        <v>13</v>
      </c>
      <c r="M1222" s="22" t="str" cm="1">
        <f t="array" ref="M1222">_xlfn.IFS(L1222&gt;10,"Veteran",L1222&gt;=6,"Experienced",L1222&gt;=2,"Developing",L1222&gt;=0,"New")</f>
        <v>Veteran</v>
      </c>
    </row>
    <row r="1223" spans="1:13">
      <c r="A1223" s="21" t="str">
        <f t="shared" ca="1" si="76"/>
        <v>He-Res-2003-1222</v>
      </c>
      <c r="B1223" s="6">
        <v>45</v>
      </c>
      <c r="C1223" s="6" t="str">
        <f t="shared" si="77"/>
        <v>40-49</v>
      </c>
      <c r="D1223" s="6" t="s">
        <v>43</v>
      </c>
      <c r="E1223" s="6" t="s">
        <v>45</v>
      </c>
      <c r="F1223" s="6" t="s">
        <v>46</v>
      </c>
      <c r="G1223" s="6" t="s">
        <v>54</v>
      </c>
      <c r="H1223" s="8">
        <v>10748</v>
      </c>
      <c r="I1223" s="8">
        <f t="shared" si="78"/>
        <v>2364.56</v>
      </c>
      <c r="J1223" s="8">
        <f t="shared" si="79"/>
        <v>8383.44</v>
      </c>
      <c r="K1223" s="8">
        <v>3395</v>
      </c>
      <c r="L1223" s="6">
        <v>23</v>
      </c>
      <c r="M1223" s="22" t="str" cm="1">
        <f t="array" ref="M1223">_xlfn.IFS(L1223&gt;10,"Veteran",L1223&gt;=6,"Experienced",L1223&gt;=2,"Developing",L1223&gt;=0,"New")</f>
        <v>Veteran</v>
      </c>
    </row>
    <row r="1224" spans="1:13">
      <c r="A1224" s="21" t="str">
        <f t="shared" ca="1" si="76"/>
        <v>Hu-Hum-2025-1223</v>
      </c>
      <c r="B1224" s="6">
        <v>24</v>
      </c>
      <c r="C1224" s="6" t="str">
        <f t="shared" si="77"/>
        <v>20-29</v>
      </c>
      <c r="D1224" s="6" t="s">
        <v>35</v>
      </c>
      <c r="E1224" s="6" t="s">
        <v>61</v>
      </c>
      <c r="F1224" s="6" t="s">
        <v>46</v>
      </c>
      <c r="G1224" s="6" t="s">
        <v>61</v>
      </c>
      <c r="H1224" s="8">
        <v>1555</v>
      </c>
      <c r="I1224" s="8">
        <f t="shared" si="78"/>
        <v>108.85000000000001</v>
      </c>
      <c r="J1224" s="8">
        <f t="shared" si="79"/>
        <v>1446.15</v>
      </c>
      <c r="K1224" s="8">
        <v>11585</v>
      </c>
      <c r="L1224" s="6">
        <v>1</v>
      </c>
      <c r="M1224" s="22" t="str" cm="1">
        <f t="array" ref="M1224">_xlfn.IFS(L1224&gt;10,"Veteran",L1224&gt;=6,"Experienced",L1224&gt;=2,"Developing",L1224&gt;=0,"New")</f>
        <v>New</v>
      </c>
    </row>
    <row r="1225" spans="1:13">
      <c r="A1225" s="21" t="str">
        <f t="shared" ca="1" si="76"/>
        <v>Sa-Sal-2003-1224</v>
      </c>
      <c r="B1225" s="6">
        <v>47</v>
      </c>
      <c r="C1225" s="6" t="str">
        <f t="shared" si="77"/>
        <v>40-49</v>
      </c>
      <c r="D1225" s="6" t="s">
        <v>35</v>
      </c>
      <c r="E1225" s="6" t="s">
        <v>37</v>
      </c>
      <c r="F1225" s="6" t="s">
        <v>46</v>
      </c>
      <c r="G1225" s="6" t="s">
        <v>40</v>
      </c>
      <c r="H1225" s="8">
        <v>12936</v>
      </c>
      <c r="I1225" s="8">
        <f t="shared" si="78"/>
        <v>2845.92</v>
      </c>
      <c r="J1225" s="8">
        <f t="shared" si="79"/>
        <v>10090.08</v>
      </c>
      <c r="K1225" s="8">
        <v>24164</v>
      </c>
      <c r="L1225" s="6">
        <v>23</v>
      </c>
      <c r="M1225" s="22" t="str" cm="1">
        <f t="array" ref="M1225">_xlfn.IFS(L1225&gt;10,"Veteran",L1225&gt;=6,"Experienced",L1225&gt;=2,"Developing",L1225&gt;=0,"New")</f>
        <v>Veteran</v>
      </c>
    </row>
    <row r="1226" spans="1:13">
      <c r="A1226" s="21" t="str">
        <f t="shared" ca="1" si="76"/>
        <v>La-Res-2023-1225</v>
      </c>
      <c r="B1226" s="6">
        <v>26</v>
      </c>
      <c r="C1226" s="6" t="str">
        <f t="shared" si="77"/>
        <v>20-29</v>
      </c>
      <c r="D1226" s="6" t="s">
        <v>43</v>
      </c>
      <c r="E1226" s="6" t="s">
        <v>45</v>
      </c>
      <c r="F1226" s="6" t="s">
        <v>46</v>
      </c>
      <c r="G1226" s="6" t="s">
        <v>50</v>
      </c>
      <c r="H1226" s="8">
        <v>2305</v>
      </c>
      <c r="I1226" s="8">
        <f t="shared" si="78"/>
        <v>161.35000000000002</v>
      </c>
      <c r="J1226" s="8">
        <f t="shared" si="79"/>
        <v>2143.65</v>
      </c>
      <c r="K1226" s="8">
        <v>6217</v>
      </c>
      <c r="L1226" s="6">
        <v>3</v>
      </c>
      <c r="M1226" s="22" t="str" cm="1">
        <f t="array" ref="M1226">_xlfn.IFS(L1226&gt;10,"Veteran",L1226&gt;=6,"Experienced",L1226&gt;=2,"Developing",L1226&gt;=0,"New")</f>
        <v>Developing</v>
      </c>
    </row>
    <row r="1227" spans="1:13">
      <c r="A1227" s="21" t="str">
        <f t="shared" ca="1" si="76"/>
        <v>Re-Res-2005-1226</v>
      </c>
      <c r="B1227" s="6">
        <v>45</v>
      </c>
      <c r="C1227" s="6" t="str">
        <f t="shared" si="77"/>
        <v>40-49</v>
      </c>
      <c r="D1227" s="6" t="s">
        <v>43</v>
      </c>
      <c r="E1227" s="6" t="s">
        <v>45</v>
      </c>
      <c r="F1227" s="6" t="s">
        <v>39</v>
      </c>
      <c r="G1227" s="6" t="s">
        <v>58</v>
      </c>
      <c r="H1227" s="8">
        <v>16704</v>
      </c>
      <c r="I1227" s="8">
        <f t="shared" si="78"/>
        <v>5011.2</v>
      </c>
      <c r="J1227" s="8">
        <f t="shared" si="79"/>
        <v>11692.8</v>
      </c>
      <c r="K1227" s="8">
        <v>17119</v>
      </c>
      <c r="L1227" s="6">
        <v>21</v>
      </c>
      <c r="M1227" s="22" t="str" cm="1">
        <f t="array" ref="M1227">_xlfn.IFS(L1227&gt;10,"Veteran",L1227&gt;=6,"Experienced",L1227&gt;=2,"Developing",L1227&gt;=0,"New")</f>
        <v>Veteran</v>
      </c>
    </row>
    <row r="1228" spans="1:13">
      <c r="A1228" s="21" t="str">
        <f t="shared" ca="1" si="76"/>
        <v>Re-Res-2021-1227</v>
      </c>
      <c r="B1228" s="6">
        <v>32</v>
      </c>
      <c r="C1228" s="6" t="str">
        <f t="shared" si="77"/>
        <v>30-39</v>
      </c>
      <c r="D1228" s="6" t="s">
        <v>43</v>
      </c>
      <c r="E1228" s="6" t="s">
        <v>45</v>
      </c>
      <c r="F1228" s="6" t="s">
        <v>46</v>
      </c>
      <c r="G1228" s="6" t="s">
        <v>47</v>
      </c>
      <c r="H1228" s="8">
        <v>3433</v>
      </c>
      <c r="I1228" s="8">
        <f t="shared" si="78"/>
        <v>514.94999999999993</v>
      </c>
      <c r="J1228" s="8">
        <f t="shared" si="79"/>
        <v>2918.05</v>
      </c>
      <c r="K1228" s="8">
        <v>17360</v>
      </c>
      <c r="L1228" s="6">
        <v>5</v>
      </c>
      <c r="M1228" s="22" t="str" cm="1">
        <f t="array" ref="M1228">_xlfn.IFS(L1228&gt;10,"Veteran",L1228&gt;=6,"Experienced",L1228&gt;=2,"Developing",L1228&gt;=0,"New")</f>
        <v>Developing</v>
      </c>
    </row>
    <row r="1229" spans="1:13">
      <c r="A1229" s="21" t="str">
        <f t="shared" ca="1" si="76"/>
        <v>La-Res-2021-1228</v>
      </c>
      <c r="B1229" s="6">
        <v>31</v>
      </c>
      <c r="C1229" s="6" t="str">
        <f t="shared" si="77"/>
        <v>30-39</v>
      </c>
      <c r="D1229" s="6" t="s">
        <v>43</v>
      </c>
      <c r="E1229" s="6" t="s">
        <v>45</v>
      </c>
      <c r="F1229" s="6" t="s">
        <v>46</v>
      </c>
      <c r="G1229" s="6" t="s">
        <v>50</v>
      </c>
      <c r="H1229" s="8">
        <v>3477</v>
      </c>
      <c r="I1229" s="8">
        <f t="shared" si="78"/>
        <v>521.54999999999995</v>
      </c>
      <c r="J1229" s="8">
        <f t="shared" si="79"/>
        <v>2955.45</v>
      </c>
      <c r="K1229" s="8">
        <v>18103</v>
      </c>
      <c r="L1229" s="6">
        <v>5</v>
      </c>
      <c r="M1229" s="22" t="str" cm="1">
        <f t="array" ref="M1229">_xlfn.IFS(L1229&gt;10,"Veteran",L1229&gt;=6,"Experienced",L1229&gt;=2,"Developing",L1229&gt;=0,"New")</f>
        <v>Developing</v>
      </c>
    </row>
    <row r="1230" spans="1:13">
      <c r="A1230" s="21" t="str">
        <f t="shared" ca="1" si="76"/>
        <v>Hu-Hum-2023-1229</v>
      </c>
      <c r="B1230" s="6">
        <v>41</v>
      </c>
      <c r="C1230" s="6" t="str">
        <f t="shared" si="77"/>
        <v>40-49</v>
      </c>
      <c r="D1230" s="6" t="s">
        <v>43</v>
      </c>
      <c r="E1230" s="6" t="s">
        <v>61</v>
      </c>
      <c r="F1230" s="6" t="s">
        <v>46</v>
      </c>
      <c r="G1230" s="6" t="s">
        <v>61</v>
      </c>
      <c r="H1230" s="8">
        <v>6430</v>
      </c>
      <c r="I1230" s="8">
        <f t="shared" si="78"/>
        <v>964.5</v>
      </c>
      <c r="J1230" s="8">
        <f t="shared" si="79"/>
        <v>5465.5</v>
      </c>
      <c r="K1230" s="8">
        <v>20794</v>
      </c>
      <c r="L1230" s="6">
        <v>3</v>
      </c>
      <c r="M1230" s="22" t="str" cm="1">
        <f t="array" ref="M1230">_xlfn.IFS(L1230&gt;10,"Veteran",L1230&gt;=6,"Experienced",L1230&gt;=2,"Developing",L1230&gt;=0,"New")</f>
        <v>Developing</v>
      </c>
    </row>
    <row r="1231" spans="1:13">
      <c r="A1231" s="21" t="str">
        <f t="shared" ca="1" si="76"/>
        <v>Ma-Res-2025-1230</v>
      </c>
      <c r="B1231" s="6">
        <v>40</v>
      </c>
      <c r="C1231" s="6" t="str">
        <f t="shared" si="77"/>
        <v>40-49</v>
      </c>
      <c r="D1231" s="6" t="s">
        <v>43</v>
      </c>
      <c r="E1231" s="6" t="s">
        <v>45</v>
      </c>
      <c r="F1231" s="6" t="s">
        <v>39</v>
      </c>
      <c r="G1231" s="6" t="s">
        <v>53</v>
      </c>
      <c r="H1231" s="8">
        <v>6516</v>
      </c>
      <c r="I1231" s="8">
        <f t="shared" si="78"/>
        <v>977.4</v>
      </c>
      <c r="J1231" s="8">
        <f t="shared" si="79"/>
        <v>5538.6</v>
      </c>
      <c r="K1231" s="8">
        <v>5041</v>
      </c>
      <c r="L1231" s="6">
        <v>1</v>
      </c>
      <c r="M1231" s="22" t="str" cm="1">
        <f t="array" ref="M1231">_xlfn.IFS(L1231&gt;10,"Veteran",L1231&gt;=6,"Experienced",L1231&gt;=2,"Developing",L1231&gt;=0,"New")</f>
        <v>New</v>
      </c>
    </row>
    <row r="1232" spans="1:13">
      <c r="A1232" s="21" t="str">
        <f t="shared" ca="1" si="76"/>
        <v>La-Res-2020-1231</v>
      </c>
      <c r="B1232" s="6">
        <v>24</v>
      </c>
      <c r="C1232" s="6" t="str">
        <f t="shared" si="77"/>
        <v>20-29</v>
      </c>
      <c r="D1232" s="6" t="s">
        <v>43</v>
      </c>
      <c r="E1232" s="6" t="s">
        <v>45</v>
      </c>
      <c r="F1232" s="6" t="s">
        <v>46</v>
      </c>
      <c r="G1232" s="6" t="s">
        <v>50</v>
      </c>
      <c r="H1232" s="8">
        <v>3907</v>
      </c>
      <c r="I1232" s="8">
        <f t="shared" si="78"/>
        <v>586.04999999999995</v>
      </c>
      <c r="J1232" s="8">
        <f t="shared" si="79"/>
        <v>3320.95</v>
      </c>
      <c r="K1232" s="8">
        <v>3622</v>
      </c>
      <c r="L1232" s="6">
        <v>6</v>
      </c>
      <c r="M1232" s="22" t="str" cm="1">
        <f t="array" ref="M1232">_xlfn.IFS(L1232&gt;10,"Veteran",L1232&gt;=6,"Experienced",L1232&gt;=2,"Developing",L1232&gt;=0,"New")</f>
        <v>Experienced</v>
      </c>
    </row>
    <row r="1233" spans="1:13">
      <c r="A1233" s="21" t="str">
        <f t="shared" ca="1" si="76"/>
        <v>He-Res-2016-1232</v>
      </c>
      <c r="B1233" s="6">
        <v>46</v>
      </c>
      <c r="C1233" s="6" t="str">
        <f t="shared" si="77"/>
        <v>40-49</v>
      </c>
      <c r="D1233" s="6" t="s">
        <v>43</v>
      </c>
      <c r="E1233" s="6" t="s">
        <v>45</v>
      </c>
      <c r="F1233" s="6" t="s">
        <v>46</v>
      </c>
      <c r="G1233" s="6" t="s">
        <v>54</v>
      </c>
      <c r="H1233" s="8">
        <v>5562</v>
      </c>
      <c r="I1233" s="8">
        <f t="shared" si="78"/>
        <v>834.3</v>
      </c>
      <c r="J1233" s="8">
        <f t="shared" si="79"/>
        <v>4727.7</v>
      </c>
      <c r="K1233" s="8">
        <v>9697</v>
      </c>
      <c r="L1233" s="6">
        <v>10</v>
      </c>
      <c r="M1233" s="22" t="str" cm="1">
        <f t="array" ref="M1233">_xlfn.IFS(L1233&gt;10,"Veteran",L1233&gt;=6,"Experienced",L1233&gt;=2,"Developing",L1233&gt;=0,"New")</f>
        <v>Experienced</v>
      </c>
    </row>
    <row r="1234" spans="1:13">
      <c r="A1234" s="21" t="str">
        <f t="shared" ca="1" si="76"/>
        <v>Ma-Res-2019-1233</v>
      </c>
      <c r="B1234" s="6">
        <v>35</v>
      </c>
      <c r="C1234" s="6" t="str">
        <f t="shared" si="77"/>
        <v>30-39</v>
      </c>
      <c r="D1234" s="6" t="s">
        <v>43</v>
      </c>
      <c r="E1234" s="6" t="s">
        <v>45</v>
      </c>
      <c r="F1234" s="6" t="s">
        <v>46</v>
      </c>
      <c r="G1234" s="6" t="s">
        <v>53</v>
      </c>
      <c r="H1234" s="8">
        <v>6883</v>
      </c>
      <c r="I1234" s="8">
        <f t="shared" si="78"/>
        <v>1032.45</v>
      </c>
      <c r="J1234" s="8">
        <f t="shared" si="79"/>
        <v>5850.55</v>
      </c>
      <c r="K1234" s="8">
        <v>5151</v>
      </c>
      <c r="L1234" s="6">
        <v>7</v>
      </c>
      <c r="M1234" s="22" t="str" cm="1">
        <f t="array" ref="M1234">_xlfn.IFS(L1234&gt;10,"Veteran",L1234&gt;=6,"Experienced",L1234&gt;=2,"Developing",L1234&gt;=0,"New")</f>
        <v>Experienced</v>
      </c>
    </row>
    <row r="1235" spans="1:13">
      <c r="A1235" s="21" t="str">
        <f t="shared" ca="1" si="76"/>
        <v>Re-Res-2016-1234</v>
      </c>
      <c r="B1235" s="6">
        <v>30</v>
      </c>
      <c r="C1235" s="6" t="str">
        <f t="shared" si="77"/>
        <v>30-39</v>
      </c>
      <c r="D1235" s="6" t="s">
        <v>43</v>
      </c>
      <c r="E1235" s="6" t="s">
        <v>45</v>
      </c>
      <c r="F1235" s="6" t="s">
        <v>46</v>
      </c>
      <c r="G1235" s="6" t="s">
        <v>47</v>
      </c>
      <c r="H1235" s="8">
        <v>2862</v>
      </c>
      <c r="I1235" s="8">
        <f t="shared" si="78"/>
        <v>200.34000000000003</v>
      </c>
      <c r="J1235" s="8">
        <f t="shared" si="79"/>
        <v>2661.66</v>
      </c>
      <c r="K1235" s="8">
        <v>3811</v>
      </c>
      <c r="L1235" s="6">
        <v>10</v>
      </c>
      <c r="M1235" s="22" t="str" cm="1">
        <f t="array" ref="M1235">_xlfn.IFS(L1235&gt;10,"Veteran",L1235&gt;=6,"Experienced",L1235&gt;=2,"Developing",L1235&gt;=0,"New")</f>
        <v>Experienced</v>
      </c>
    </row>
    <row r="1236" spans="1:13">
      <c r="A1236" s="21" t="str">
        <f t="shared" ca="1" si="76"/>
        <v>Sa-Sal-2025-1235</v>
      </c>
      <c r="B1236" s="6">
        <v>47</v>
      </c>
      <c r="C1236" s="6" t="str">
        <f t="shared" si="77"/>
        <v>40-49</v>
      </c>
      <c r="D1236" s="6" t="s">
        <v>43</v>
      </c>
      <c r="E1236" s="6" t="s">
        <v>37</v>
      </c>
      <c r="F1236" s="6" t="s">
        <v>46</v>
      </c>
      <c r="G1236" s="6" t="s">
        <v>40</v>
      </c>
      <c r="H1236" s="8">
        <v>4978</v>
      </c>
      <c r="I1236" s="8">
        <f t="shared" si="78"/>
        <v>746.69999999999993</v>
      </c>
      <c r="J1236" s="8">
        <f t="shared" si="79"/>
        <v>4231.3</v>
      </c>
      <c r="K1236" s="8">
        <v>3536</v>
      </c>
      <c r="L1236" s="6">
        <v>1</v>
      </c>
      <c r="M1236" s="22" t="str" cm="1">
        <f t="array" ref="M1236">_xlfn.IFS(L1236&gt;10,"Veteran",L1236&gt;=6,"Experienced",L1236&gt;=2,"Developing",L1236&gt;=0,"New")</f>
        <v>New</v>
      </c>
    </row>
    <row r="1237" spans="1:13">
      <c r="A1237" s="21" t="str">
        <f t="shared" ca="1" si="76"/>
        <v>Sa-Sal-2016-1236</v>
      </c>
      <c r="B1237" s="6">
        <v>46</v>
      </c>
      <c r="C1237" s="6" t="str">
        <f t="shared" si="77"/>
        <v>40-49</v>
      </c>
      <c r="D1237" s="6" t="s">
        <v>43</v>
      </c>
      <c r="E1237" s="6" t="s">
        <v>37</v>
      </c>
      <c r="F1237" s="6" t="s">
        <v>46</v>
      </c>
      <c r="G1237" s="6" t="s">
        <v>40</v>
      </c>
      <c r="H1237" s="8">
        <v>10368</v>
      </c>
      <c r="I1237" s="8">
        <f t="shared" si="78"/>
        <v>2280.96</v>
      </c>
      <c r="J1237" s="8">
        <f t="shared" si="79"/>
        <v>8087.04</v>
      </c>
      <c r="K1237" s="8">
        <v>5596</v>
      </c>
      <c r="L1237" s="6">
        <v>10</v>
      </c>
      <c r="M1237" s="22" t="str" cm="1">
        <f t="array" ref="M1237">_xlfn.IFS(L1237&gt;10,"Veteran",L1237&gt;=6,"Experienced",L1237&gt;=2,"Developing",L1237&gt;=0,"New")</f>
        <v>Experienced</v>
      </c>
    </row>
    <row r="1238" spans="1:13">
      <c r="A1238" s="21" t="str">
        <f t="shared" ca="1" si="76"/>
        <v>Sa-Sal-2024-1237</v>
      </c>
      <c r="B1238" s="6">
        <v>36</v>
      </c>
      <c r="C1238" s="6" t="str">
        <f t="shared" si="77"/>
        <v>30-39</v>
      </c>
      <c r="D1238" s="6" t="s">
        <v>35</v>
      </c>
      <c r="E1238" s="6" t="s">
        <v>37</v>
      </c>
      <c r="F1238" s="6" t="s">
        <v>46</v>
      </c>
      <c r="G1238" s="6" t="s">
        <v>40</v>
      </c>
      <c r="H1238" s="8">
        <v>6134</v>
      </c>
      <c r="I1238" s="8">
        <f t="shared" si="78"/>
        <v>920.1</v>
      </c>
      <c r="J1238" s="8">
        <f t="shared" si="79"/>
        <v>5213.8999999999996</v>
      </c>
      <c r="K1238" s="8">
        <v>8658</v>
      </c>
      <c r="L1238" s="6">
        <v>2</v>
      </c>
      <c r="M1238" s="22" t="str" cm="1">
        <f t="array" ref="M1238">_xlfn.IFS(L1238&gt;10,"Veteran",L1238&gt;=6,"Experienced",L1238&gt;=2,"Developing",L1238&gt;=0,"New")</f>
        <v>Developing</v>
      </c>
    </row>
    <row r="1239" spans="1:13">
      <c r="A1239" s="21" t="str">
        <f t="shared" ca="1" si="76"/>
        <v>Sa-Sal-2026-1238</v>
      </c>
      <c r="B1239" s="6">
        <v>32</v>
      </c>
      <c r="C1239" s="6" t="str">
        <f t="shared" si="77"/>
        <v>30-39</v>
      </c>
      <c r="D1239" s="6" t="s">
        <v>35</v>
      </c>
      <c r="E1239" s="6" t="s">
        <v>37</v>
      </c>
      <c r="F1239" s="6" t="s">
        <v>46</v>
      </c>
      <c r="G1239" s="6" t="s">
        <v>40</v>
      </c>
      <c r="H1239" s="8">
        <v>6735</v>
      </c>
      <c r="I1239" s="8">
        <f t="shared" si="78"/>
        <v>1010.25</v>
      </c>
      <c r="J1239" s="8">
        <f t="shared" si="79"/>
        <v>5724.75</v>
      </c>
      <c r="K1239" s="8">
        <v>12147</v>
      </c>
      <c r="L1239" s="6">
        <v>0</v>
      </c>
      <c r="M1239" s="22" t="str" cm="1">
        <f t="array" ref="M1239">_xlfn.IFS(L1239&gt;10,"Veteran",L1239&gt;=6,"Experienced",L1239&gt;=2,"Developing",L1239&gt;=0,"New")</f>
        <v>New</v>
      </c>
    </row>
    <row r="1240" spans="1:13">
      <c r="A1240" s="21" t="str">
        <f t="shared" ca="1" si="76"/>
        <v>La-Res-2023-1239</v>
      </c>
      <c r="B1240" s="6">
        <v>23</v>
      </c>
      <c r="C1240" s="6" t="str">
        <f t="shared" si="77"/>
        <v>20-29</v>
      </c>
      <c r="D1240" s="6" t="s">
        <v>43</v>
      </c>
      <c r="E1240" s="6" t="s">
        <v>45</v>
      </c>
      <c r="F1240" s="6" t="s">
        <v>39</v>
      </c>
      <c r="G1240" s="6" t="s">
        <v>50</v>
      </c>
      <c r="H1240" s="8">
        <v>3295</v>
      </c>
      <c r="I1240" s="8">
        <f t="shared" si="78"/>
        <v>494.25</v>
      </c>
      <c r="J1240" s="8">
        <f t="shared" si="79"/>
        <v>2800.75</v>
      </c>
      <c r="K1240" s="8">
        <v>12862</v>
      </c>
      <c r="L1240" s="6">
        <v>3</v>
      </c>
      <c r="M1240" s="22" t="str" cm="1">
        <f t="array" ref="M1240">_xlfn.IFS(L1240&gt;10,"Veteran",L1240&gt;=6,"Experienced",L1240&gt;=2,"Developing",L1240&gt;=0,"New")</f>
        <v>Developing</v>
      </c>
    </row>
    <row r="1241" spans="1:13">
      <c r="A1241" s="21" t="str">
        <f t="shared" ca="1" si="76"/>
        <v>Ma-Res-2021-1240</v>
      </c>
      <c r="B1241" s="6">
        <v>31</v>
      </c>
      <c r="C1241" s="6" t="str">
        <f t="shared" si="77"/>
        <v>30-39</v>
      </c>
      <c r="D1241" s="6" t="s">
        <v>43</v>
      </c>
      <c r="E1241" s="6" t="s">
        <v>45</v>
      </c>
      <c r="F1241" s="6" t="s">
        <v>39</v>
      </c>
      <c r="G1241" s="6" t="s">
        <v>53</v>
      </c>
      <c r="H1241" s="8">
        <v>5238</v>
      </c>
      <c r="I1241" s="8">
        <f t="shared" si="78"/>
        <v>785.69999999999993</v>
      </c>
      <c r="J1241" s="8">
        <f t="shared" si="79"/>
        <v>4452.3</v>
      </c>
      <c r="K1241" s="8">
        <v>6670</v>
      </c>
      <c r="L1241" s="6">
        <v>5</v>
      </c>
      <c r="M1241" s="22" t="str" cm="1">
        <f t="array" ref="M1241">_xlfn.IFS(L1241&gt;10,"Veteran",L1241&gt;=6,"Experienced",L1241&gt;=2,"Developing",L1241&gt;=0,"New")</f>
        <v>Developing</v>
      </c>
    </row>
    <row r="1242" spans="1:13">
      <c r="A1242" s="21" t="str">
        <f t="shared" ca="1" si="76"/>
        <v>La-Res-2017-1241</v>
      </c>
      <c r="B1242" s="6">
        <v>39</v>
      </c>
      <c r="C1242" s="6" t="str">
        <f t="shared" si="77"/>
        <v>30-39</v>
      </c>
      <c r="D1242" s="6" t="s">
        <v>43</v>
      </c>
      <c r="E1242" s="6" t="s">
        <v>45</v>
      </c>
      <c r="F1242" s="6" t="s">
        <v>46</v>
      </c>
      <c r="G1242" s="6" t="s">
        <v>50</v>
      </c>
      <c r="H1242" s="8">
        <v>6472</v>
      </c>
      <c r="I1242" s="8">
        <f t="shared" si="78"/>
        <v>970.8</v>
      </c>
      <c r="J1242" s="8">
        <f t="shared" si="79"/>
        <v>5501.2</v>
      </c>
      <c r="K1242" s="8">
        <v>8989</v>
      </c>
      <c r="L1242" s="6">
        <v>9</v>
      </c>
      <c r="M1242" s="22" t="str" cm="1">
        <f t="array" ref="M1242">_xlfn.IFS(L1242&gt;10,"Veteran",L1242&gt;=6,"Experienced",L1242&gt;=2,"Developing",L1242&gt;=0,"New")</f>
        <v>Experienced</v>
      </c>
    </row>
    <row r="1243" spans="1:13">
      <c r="A1243" s="21" t="str">
        <f t="shared" ca="1" si="76"/>
        <v>Sa-Sal-2022-1242</v>
      </c>
      <c r="B1243" s="6">
        <v>32</v>
      </c>
      <c r="C1243" s="6" t="str">
        <f t="shared" si="77"/>
        <v>30-39</v>
      </c>
      <c r="D1243" s="6" t="s">
        <v>43</v>
      </c>
      <c r="E1243" s="6" t="s">
        <v>37</v>
      </c>
      <c r="F1243" s="6" t="s">
        <v>46</v>
      </c>
      <c r="G1243" s="6" t="s">
        <v>40</v>
      </c>
      <c r="H1243" s="8">
        <v>9610</v>
      </c>
      <c r="I1243" s="8">
        <f t="shared" si="78"/>
        <v>2114.1999999999998</v>
      </c>
      <c r="J1243" s="8">
        <f t="shared" si="79"/>
        <v>7495.8</v>
      </c>
      <c r="K1243" s="8">
        <v>3840</v>
      </c>
      <c r="L1243" s="6">
        <v>4</v>
      </c>
      <c r="M1243" s="22" t="str" cm="1">
        <f t="array" ref="M1243">_xlfn.IFS(L1243&gt;10,"Veteran",L1243&gt;=6,"Experienced",L1243&gt;=2,"Developing",L1243&gt;=0,"New")</f>
        <v>Developing</v>
      </c>
    </row>
    <row r="1244" spans="1:13">
      <c r="A1244" s="21" t="str">
        <f t="shared" ca="1" si="76"/>
        <v>Ma-Sal-2005-1243</v>
      </c>
      <c r="B1244" s="6">
        <v>40</v>
      </c>
      <c r="C1244" s="6" t="str">
        <f t="shared" si="77"/>
        <v>40-49</v>
      </c>
      <c r="D1244" s="6" t="s">
        <v>43</v>
      </c>
      <c r="E1244" s="6" t="s">
        <v>37</v>
      </c>
      <c r="F1244" s="6" t="s">
        <v>46</v>
      </c>
      <c r="G1244" s="6" t="s">
        <v>56</v>
      </c>
      <c r="H1244" s="8">
        <v>19833</v>
      </c>
      <c r="I1244" s="8">
        <f t="shared" si="78"/>
        <v>5949.9</v>
      </c>
      <c r="J1244" s="8">
        <f t="shared" si="79"/>
        <v>13883.1</v>
      </c>
      <c r="K1244" s="8">
        <v>4349</v>
      </c>
      <c r="L1244" s="6">
        <v>21</v>
      </c>
      <c r="M1244" s="22" t="str" cm="1">
        <f t="array" ref="M1244">_xlfn.IFS(L1244&gt;10,"Veteran",L1244&gt;=6,"Experienced",L1244&gt;=2,"Developing",L1244&gt;=0,"New")</f>
        <v>Veteran</v>
      </c>
    </row>
    <row r="1245" spans="1:13">
      <c r="A1245" s="21" t="str">
        <f t="shared" ca="1" si="76"/>
        <v>Hu-Hum-2021-1244</v>
      </c>
      <c r="B1245" s="6">
        <v>45</v>
      </c>
      <c r="C1245" s="6" t="str">
        <f t="shared" si="77"/>
        <v>40-49</v>
      </c>
      <c r="D1245" s="6" t="s">
        <v>43</v>
      </c>
      <c r="E1245" s="6" t="s">
        <v>61</v>
      </c>
      <c r="F1245" s="6" t="s">
        <v>39</v>
      </c>
      <c r="G1245" s="6" t="s">
        <v>61</v>
      </c>
      <c r="H1245" s="8">
        <v>9756</v>
      </c>
      <c r="I1245" s="8">
        <f t="shared" si="78"/>
        <v>2146.3200000000002</v>
      </c>
      <c r="J1245" s="8">
        <f t="shared" si="79"/>
        <v>7609.68</v>
      </c>
      <c r="K1245" s="8">
        <v>6595</v>
      </c>
      <c r="L1245" s="6">
        <v>5</v>
      </c>
      <c r="M1245" s="22" t="str" cm="1">
        <f t="array" ref="M1245">_xlfn.IFS(L1245&gt;10,"Veteran",L1245&gt;=6,"Experienced",L1245&gt;=2,"Developing",L1245&gt;=0,"New")</f>
        <v>Developing</v>
      </c>
    </row>
    <row r="1246" spans="1:13">
      <c r="A1246" s="21" t="str">
        <f t="shared" ca="1" si="76"/>
        <v>Re-Res-2017-1245</v>
      </c>
      <c r="B1246" s="6">
        <v>30</v>
      </c>
      <c r="C1246" s="6" t="str">
        <f t="shared" si="77"/>
        <v>30-39</v>
      </c>
      <c r="D1246" s="6" t="s">
        <v>43</v>
      </c>
      <c r="E1246" s="6" t="s">
        <v>45</v>
      </c>
      <c r="F1246" s="6" t="s">
        <v>39</v>
      </c>
      <c r="G1246" s="6" t="s">
        <v>47</v>
      </c>
      <c r="H1246" s="8">
        <v>4968</v>
      </c>
      <c r="I1246" s="8">
        <f t="shared" si="78"/>
        <v>745.19999999999993</v>
      </c>
      <c r="J1246" s="8">
        <f t="shared" si="79"/>
        <v>4222.8</v>
      </c>
      <c r="K1246" s="8">
        <v>26427</v>
      </c>
      <c r="L1246" s="6">
        <v>9</v>
      </c>
      <c r="M1246" s="22" t="str" cm="1">
        <f t="array" ref="M1246">_xlfn.IFS(L1246&gt;10,"Veteran",L1246&gt;=6,"Experienced",L1246&gt;=2,"Developing",L1246&gt;=0,"New")</f>
        <v>Experienced</v>
      </c>
    </row>
    <row r="1247" spans="1:13">
      <c r="A1247" s="21" t="str">
        <f t="shared" ca="1" si="76"/>
        <v>Hu-Hum-2024-1246</v>
      </c>
      <c r="B1247" s="6">
        <v>24</v>
      </c>
      <c r="C1247" s="6" t="str">
        <f t="shared" si="77"/>
        <v>20-29</v>
      </c>
      <c r="D1247" s="6" t="s">
        <v>43</v>
      </c>
      <c r="E1247" s="6" t="s">
        <v>61</v>
      </c>
      <c r="F1247" s="6" t="s">
        <v>46</v>
      </c>
      <c r="G1247" s="6" t="s">
        <v>61</v>
      </c>
      <c r="H1247" s="8">
        <v>2145</v>
      </c>
      <c r="I1247" s="8">
        <f t="shared" si="78"/>
        <v>150.15</v>
      </c>
      <c r="J1247" s="8">
        <f t="shared" si="79"/>
        <v>1994.85</v>
      </c>
      <c r="K1247" s="8">
        <v>2097</v>
      </c>
      <c r="L1247" s="6">
        <v>2</v>
      </c>
      <c r="M1247" s="22" t="str" cm="1">
        <f t="array" ref="M1247">_xlfn.IFS(L1247&gt;10,"Veteran",L1247&gt;=6,"Experienced",L1247&gt;=2,"Developing",L1247&gt;=0,"New")</f>
        <v>Developing</v>
      </c>
    </row>
    <row r="1248" spans="1:13">
      <c r="A1248" s="21" t="str">
        <f t="shared" ca="1" si="76"/>
        <v>Hu-Hum-2022-1247</v>
      </c>
      <c r="B1248" s="6">
        <v>30</v>
      </c>
      <c r="C1248" s="6" t="str">
        <f t="shared" si="77"/>
        <v>30-39</v>
      </c>
      <c r="D1248" s="6" t="s">
        <v>35</v>
      </c>
      <c r="E1248" s="6" t="s">
        <v>61</v>
      </c>
      <c r="F1248" s="6" t="s">
        <v>39</v>
      </c>
      <c r="G1248" s="6" t="s">
        <v>61</v>
      </c>
      <c r="H1248" s="8">
        <v>2180</v>
      </c>
      <c r="I1248" s="8">
        <f t="shared" si="78"/>
        <v>152.60000000000002</v>
      </c>
      <c r="J1248" s="8">
        <f t="shared" si="79"/>
        <v>2027.4</v>
      </c>
      <c r="K1248" s="8">
        <v>9732</v>
      </c>
      <c r="L1248" s="6">
        <v>4</v>
      </c>
      <c r="M1248" s="22" t="str" cm="1">
        <f t="array" ref="M1248">_xlfn.IFS(L1248&gt;10,"Veteran",L1248&gt;=6,"Experienced",L1248&gt;=2,"Developing",L1248&gt;=0,"New")</f>
        <v>Developing</v>
      </c>
    </row>
    <row r="1249" spans="1:13">
      <c r="A1249" s="21" t="str">
        <f t="shared" ca="1" si="76"/>
        <v>Sa-Sal-2021-1248</v>
      </c>
      <c r="B1249" s="6">
        <v>31</v>
      </c>
      <c r="C1249" s="6" t="str">
        <f t="shared" si="77"/>
        <v>30-39</v>
      </c>
      <c r="D1249" s="6" t="s">
        <v>43</v>
      </c>
      <c r="E1249" s="6" t="s">
        <v>37</v>
      </c>
      <c r="F1249" s="6" t="s">
        <v>46</v>
      </c>
      <c r="G1249" s="6" t="s">
        <v>40</v>
      </c>
      <c r="H1249" s="8">
        <v>8346</v>
      </c>
      <c r="I1249" s="8">
        <f t="shared" si="78"/>
        <v>1836.1200000000001</v>
      </c>
      <c r="J1249" s="8">
        <f t="shared" si="79"/>
        <v>6509.88</v>
      </c>
      <c r="K1249" s="8">
        <v>20943</v>
      </c>
      <c r="L1249" s="6">
        <v>5</v>
      </c>
      <c r="M1249" s="22" t="str" cm="1">
        <f t="array" ref="M1249">_xlfn.IFS(L1249&gt;10,"Veteran",L1249&gt;=6,"Experienced",L1249&gt;=2,"Developing",L1249&gt;=0,"New")</f>
        <v>Developing</v>
      </c>
    </row>
    <row r="1250" spans="1:13">
      <c r="A1250" s="21" t="str">
        <f t="shared" ca="1" si="76"/>
        <v>Re-Res-2020-1249</v>
      </c>
      <c r="B1250" s="6">
        <v>27</v>
      </c>
      <c r="C1250" s="6" t="str">
        <f t="shared" si="77"/>
        <v>20-29</v>
      </c>
      <c r="D1250" s="6" t="s">
        <v>43</v>
      </c>
      <c r="E1250" s="6" t="s">
        <v>45</v>
      </c>
      <c r="F1250" s="6" t="s">
        <v>39</v>
      </c>
      <c r="G1250" s="6" t="s">
        <v>47</v>
      </c>
      <c r="H1250" s="8">
        <v>3445</v>
      </c>
      <c r="I1250" s="8">
        <f t="shared" si="78"/>
        <v>516.75</v>
      </c>
      <c r="J1250" s="8">
        <f t="shared" si="79"/>
        <v>2928.25</v>
      </c>
      <c r="K1250" s="8">
        <v>6152</v>
      </c>
      <c r="L1250" s="6">
        <v>6</v>
      </c>
      <c r="M1250" s="22" t="str" cm="1">
        <f t="array" ref="M1250">_xlfn.IFS(L1250&gt;10,"Veteran",L1250&gt;=6,"Experienced",L1250&gt;=2,"Developing",L1250&gt;=0,"New")</f>
        <v>Experienced</v>
      </c>
    </row>
    <row r="1251" spans="1:13">
      <c r="A1251" s="21" t="str">
        <f t="shared" ca="1" si="76"/>
        <v>Sa-Sal-2024-1250</v>
      </c>
      <c r="B1251" s="6">
        <v>29</v>
      </c>
      <c r="C1251" s="6" t="str">
        <f t="shared" si="77"/>
        <v>20-29</v>
      </c>
      <c r="D1251" s="6" t="s">
        <v>35</v>
      </c>
      <c r="E1251" s="6" t="s">
        <v>37</v>
      </c>
      <c r="F1251" s="6" t="s">
        <v>39</v>
      </c>
      <c r="G1251" s="6" t="s">
        <v>57</v>
      </c>
      <c r="H1251" s="8">
        <v>2760</v>
      </c>
      <c r="I1251" s="8">
        <f t="shared" si="78"/>
        <v>193.20000000000002</v>
      </c>
      <c r="J1251" s="8">
        <f t="shared" si="79"/>
        <v>2566.8000000000002</v>
      </c>
      <c r="K1251" s="8">
        <v>14630</v>
      </c>
      <c r="L1251" s="6">
        <v>2</v>
      </c>
      <c r="M1251" s="22" t="str" cm="1">
        <f t="array" ref="M1251">_xlfn.IFS(L1251&gt;10,"Veteran",L1251&gt;=6,"Experienced",L1251&gt;=2,"Developing",L1251&gt;=0,"New")</f>
        <v>Developing</v>
      </c>
    </row>
    <row r="1252" spans="1:13">
      <c r="A1252" s="21" t="str">
        <f t="shared" ca="1" si="76"/>
        <v>He-Res-2023-1251</v>
      </c>
      <c r="B1252" s="6">
        <v>29</v>
      </c>
      <c r="C1252" s="6" t="str">
        <f t="shared" si="77"/>
        <v>20-29</v>
      </c>
      <c r="D1252" s="6" t="s">
        <v>43</v>
      </c>
      <c r="E1252" s="6" t="s">
        <v>45</v>
      </c>
      <c r="F1252" s="6" t="s">
        <v>46</v>
      </c>
      <c r="G1252" s="6" t="s">
        <v>54</v>
      </c>
      <c r="H1252" s="8">
        <v>6294</v>
      </c>
      <c r="I1252" s="8">
        <f t="shared" si="78"/>
        <v>944.09999999999991</v>
      </c>
      <c r="J1252" s="8">
        <f t="shared" si="79"/>
        <v>5349.9</v>
      </c>
      <c r="K1252" s="8">
        <v>23060</v>
      </c>
      <c r="L1252" s="6">
        <v>3</v>
      </c>
      <c r="M1252" s="22" t="str" cm="1">
        <f t="array" ref="M1252">_xlfn.IFS(L1252&gt;10,"Veteran",L1252&gt;=6,"Experienced",L1252&gt;=2,"Developing",L1252&gt;=0,"New")</f>
        <v>Developing</v>
      </c>
    </row>
    <row r="1253" spans="1:13">
      <c r="A1253" s="21" t="str">
        <f t="shared" ca="1" si="76"/>
        <v>Sa-Sal-2019-1252</v>
      </c>
      <c r="B1253" s="6">
        <v>30</v>
      </c>
      <c r="C1253" s="6" t="str">
        <f t="shared" si="77"/>
        <v>30-39</v>
      </c>
      <c r="D1253" s="6" t="s">
        <v>43</v>
      </c>
      <c r="E1253" s="6" t="s">
        <v>37</v>
      </c>
      <c r="F1253" s="6" t="s">
        <v>46</v>
      </c>
      <c r="G1253" s="6" t="s">
        <v>40</v>
      </c>
      <c r="H1253" s="8">
        <v>7140</v>
      </c>
      <c r="I1253" s="8">
        <f t="shared" si="78"/>
        <v>1570.8</v>
      </c>
      <c r="J1253" s="8">
        <f t="shared" si="79"/>
        <v>5569.2</v>
      </c>
      <c r="K1253" s="8">
        <v>3088</v>
      </c>
      <c r="L1253" s="6">
        <v>7</v>
      </c>
      <c r="M1253" s="22" t="str" cm="1">
        <f t="array" ref="M1253">_xlfn.IFS(L1253&gt;10,"Veteran",L1253&gt;=6,"Experienced",L1253&gt;=2,"Developing",L1253&gt;=0,"New")</f>
        <v>Experienced</v>
      </c>
    </row>
    <row r="1254" spans="1:13">
      <c r="A1254" s="21" t="str">
        <f t="shared" ca="1" si="76"/>
        <v>Re-Res-2021-1253</v>
      </c>
      <c r="B1254" s="6">
        <v>34</v>
      </c>
      <c r="C1254" s="6" t="str">
        <f t="shared" si="77"/>
        <v>30-39</v>
      </c>
      <c r="D1254" s="6" t="s">
        <v>43</v>
      </c>
      <c r="E1254" s="6" t="s">
        <v>45</v>
      </c>
      <c r="F1254" s="6" t="s">
        <v>46</v>
      </c>
      <c r="G1254" s="6" t="s">
        <v>47</v>
      </c>
      <c r="H1254" s="8">
        <v>2932</v>
      </c>
      <c r="I1254" s="8">
        <f t="shared" si="78"/>
        <v>205.24</v>
      </c>
      <c r="J1254" s="8">
        <f t="shared" si="79"/>
        <v>2726.76</v>
      </c>
      <c r="K1254" s="8">
        <v>5586</v>
      </c>
      <c r="L1254" s="6">
        <v>5</v>
      </c>
      <c r="M1254" s="22" t="str" cm="1">
        <f t="array" ref="M1254">_xlfn.IFS(L1254&gt;10,"Veteran",L1254&gt;=6,"Experienced",L1254&gt;=2,"Developing",L1254&gt;=0,"New")</f>
        <v>Developing</v>
      </c>
    </row>
    <row r="1255" spans="1:13">
      <c r="A1255" s="21" t="str">
        <f t="shared" ca="1" si="76"/>
        <v>Sa-Sal-2015-1254</v>
      </c>
      <c r="B1255" s="6">
        <v>33</v>
      </c>
      <c r="C1255" s="6" t="str">
        <f t="shared" si="77"/>
        <v>30-39</v>
      </c>
      <c r="D1255" s="6" t="s">
        <v>43</v>
      </c>
      <c r="E1255" s="6" t="s">
        <v>37</v>
      </c>
      <c r="F1255" s="6" t="s">
        <v>39</v>
      </c>
      <c r="G1255" s="6" t="s">
        <v>40</v>
      </c>
      <c r="H1255" s="8">
        <v>5147</v>
      </c>
      <c r="I1255" s="8">
        <f t="shared" si="78"/>
        <v>772.05</v>
      </c>
      <c r="J1255" s="8">
        <f t="shared" si="79"/>
        <v>4374.95</v>
      </c>
      <c r="K1255" s="8">
        <v>10697</v>
      </c>
      <c r="L1255" s="6">
        <v>11</v>
      </c>
      <c r="M1255" s="22" t="str" cm="1">
        <f t="array" ref="M1255">_xlfn.IFS(L1255&gt;10,"Veteran",L1255&gt;=6,"Experienced",L1255&gt;=2,"Developing",L1255&gt;=0,"New")</f>
        <v>Veteran</v>
      </c>
    </row>
    <row r="1256" spans="1:13">
      <c r="A1256" s="21" t="str">
        <f t="shared" ca="1" si="76"/>
        <v>Sa-Sal-2021-1255</v>
      </c>
      <c r="B1256" s="6">
        <v>49</v>
      </c>
      <c r="C1256" s="6" t="str">
        <f t="shared" si="77"/>
        <v>40-49</v>
      </c>
      <c r="D1256" s="6" t="s">
        <v>43</v>
      </c>
      <c r="E1256" s="6" t="s">
        <v>37</v>
      </c>
      <c r="F1256" s="6" t="s">
        <v>39</v>
      </c>
      <c r="G1256" s="6" t="s">
        <v>40</v>
      </c>
      <c r="H1256" s="8">
        <v>4507</v>
      </c>
      <c r="I1256" s="8">
        <f t="shared" si="78"/>
        <v>676.05</v>
      </c>
      <c r="J1256" s="8">
        <f t="shared" si="79"/>
        <v>3830.95</v>
      </c>
      <c r="K1256" s="8">
        <v>8191</v>
      </c>
      <c r="L1256" s="6">
        <v>5</v>
      </c>
      <c r="M1256" s="22" t="str" cm="1">
        <f t="array" ref="M1256">_xlfn.IFS(L1256&gt;10,"Veteran",L1256&gt;=6,"Experienced",L1256&gt;=2,"Developing",L1256&gt;=0,"New")</f>
        <v>Developing</v>
      </c>
    </row>
    <row r="1257" spans="1:13">
      <c r="A1257" s="21" t="str">
        <f t="shared" ca="1" si="76"/>
        <v>Sa-Sal-2026-1256</v>
      </c>
      <c r="B1257" s="6">
        <v>33</v>
      </c>
      <c r="C1257" s="6" t="str">
        <f t="shared" si="77"/>
        <v>30-39</v>
      </c>
      <c r="D1257" s="6" t="s">
        <v>35</v>
      </c>
      <c r="E1257" s="6" t="s">
        <v>37</v>
      </c>
      <c r="F1257" s="6" t="s">
        <v>39</v>
      </c>
      <c r="G1257" s="6" t="s">
        <v>40</v>
      </c>
      <c r="H1257" s="8">
        <v>8564</v>
      </c>
      <c r="I1257" s="8">
        <f t="shared" si="78"/>
        <v>1884.08</v>
      </c>
      <c r="J1257" s="8">
        <f t="shared" si="79"/>
        <v>6679.92</v>
      </c>
      <c r="K1257" s="8">
        <v>10092</v>
      </c>
      <c r="L1257" s="6">
        <v>0</v>
      </c>
      <c r="M1257" s="22" t="str" cm="1">
        <f t="array" ref="M1257">_xlfn.IFS(L1257&gt;10,"Veteran",L1257&gt;=6,"Experienced",L1257&gt;=2,"Developing",L1257&gt;=0,"New")</f>
        <v>New</v>
      </c>
    </row>
    <row r="1258" spans="1:13">
      <c r="A1258" s="21" t="str">
        <f t="shared" ca="1" si="76"/>
        <v>La-Res-2020-1257</v>
      </c>
      <c r="B1258" s="6">
        <v>38</v>
      </c>
      <c r="C1258" s="6" t="str">
        <f t="shared" si="77"/>
        <v>30-39</v>
      </c>
      <c r="D1258" s="6" t="s">
        <v>43</v>
      </c>
      <c r="E1258" s="6" t="s">
        <v>45</v>
      </c>
      <c r="F1258" s="6" t="s">
        <v>39</v>
      </c>
      <c r="G1258" s="6" t="s">
        <v>50</v>
      </c>
      <c r="H1258" s="8">
        <v>2468</v>
      </c>
      <c r="I1258" s="8">
        <f t="shared" si="78"/>
        <v>172.76000000000002</v>
      </c>
      <c r="J1258" s="8">
        <f t="shared" si="79"/>
        <v>2295.2399999999998</v>
      </c>
      <c r="K1258" s="8">
        <v>15963</v>
      </c>
      <c r="L1258" s="6">
        <v>6</v>
      </c>
      <c r="M1258" s="22" t="str" cm="1">
        <f t="array" ref="M1258">_xlfn.IFS(L1258&gt;10,"Veteran",L1258&gt;=6,"Experienced",L1258&gt;=2,"Developing",L1258&gt;=0,"New")</f>
        <v>Experienced</v>
      </c>
    </row>
    <row r="1259" spans="1:13">
      <c r="A1259" s="21" t="str">
        <f t="shared" ca="1" si="76"/>
        <v>Sa-Sal-2025-1258</v>
      </c>
      <c r="B1259" s="6">
        <v>31</v>
      </c>
      <c r="C1259" s="6" t="str">
        <f t="shared" si="77"/>
        <v>30-39</v>
      </c>
      <c r="D1259" s="6" t="s">
        <v>35</v>
      </c>
      <c r="E1259" s="6" t="s">
        <v>37</v>
      </c>
      <c r="F1259" s="6" t="s">
        <v>46</v>
      </c>
      <c r="G1259" s="6" t="s">
        <v>40</v>
      </c>
      <c r="H1259" s="8">
        <v>8161</v>
      </c>
      <c r="I1259" s="8">
        <f t="shared" si="78"/>
        <v>1795.42</v>
      </c>
      <c r="J1259" s="8">
        <f t="shared" si="79"/>
        <v>6365.58</v>
      </c>
      <c r="K1259" s="8">
        <v>19002</v>
      </c>
      <c r="L1259" s="6">
        <v>1</v>
      </c>
      <c r="M1259" s="22" t="str" cm="1">
        <f t="array" ref="M1259">_xlfn.IFS(L1259&gt;10,"Veteran",L1259&gt;=6,"Experienced",L1259&gt;=2,"Developing",L1259&gt;=0,"New")</f>
        <v>New</v>
      </c>
    </row>
    <row r="1260" spans="1:13">
      <c r="A1260" s="21" t="str">
        <f t="shared" ca="1" si="76"/>
        <v>Re-Res-2025-1259</v>
      </c>
      <c r="B1260" s="6">
        <v>29</v>
      </c>
      <c r="C1260" s="6" t="str">
        <f t="shared" si="77"/>
        <v>20-29</v>
      </c>
      <c r="D1260" s="6" t="s">
        <v>43</v>
      </c>
      <c r="E1260" s="6" t="s">
        <v>45</v>
      </c>
      <c r="F1260" s="6" t="s">
        <v>39</v>
      </c>
      <c r="G1260" s="6" t="s">
        <v>47</v>
      </c>
      <c r="H1260" s="8">
        <v>2109</v>
      </c>
      <c r="I1260" s="8">
        <f t="shared" si="78"/>
        <v>147.63000000000002</v>
      </c>
      <c r="J1260" s="8">
        <f t="shared" si="79"/>
        <v>1961.37</v>
      </c>
      <c r="K1260" s="8">
        <v>10007</v>
      </c>
      <c r="L1260" s="6">
        <v>1</v>
      </c>
      <c r="M1260" s="22" t="str" cm="1">
        <f t="array" ref="M1260">_xlfn.IFS(L1260&gt;10,"Veteran",L1260&gt;=6,"Experienced",L1260&gt;=2,"Developing",L1260&gt;=0,"New")</f>
        <v>New</v>
      </c>
    </row>
    <row r="1261" spans="1:13">
      <c r="A1261" s="21" t="str">
        <f t="shared" ca="1" si="76"/>
        <v>He-Res-2019-1260</v>
      </c>
      <c r="B1261" s="6">
        <v>30</v>
      </c>
      <c r="C1261" s="6" t="str">
        <f t="shared" si="77"/>
        <v>30-39</v>
      </c>
      <c r="D1261" s="6" t="s">
        <v>43</v>
      </c>
      <c r="E1261" s="6" t="s">
        <v>45</v>
      </c>
      <c r="F1261" s="6" t="s">
        <v>46</v>
      </c>
      <c r="G1261" s="6" t="s">
        <v>54</v>
      </c>
      <c r="H1261" s="8">
        <v>5294</v>
      </c>
      <c r="I1261" s="8">
        <f t="shared" si="78"/>
        <v>794.1</v>
      </c>
      <c r="J1261" s="8">
        <f t="shared" si="79"/>
        <v>4499.8999999999996</v>
      </c>
      <c r="K1261" s="8">
        <v>9128</v>
      </c>
      <c r="L1261" s="6">
        <v>7</v>
      </c>
      <c r="M1261" s="22" t="str" cm="1">
        <f t="array" ref="M1261">_xlfn.IFS(L1261&gt;10,"Veteran",L1261&gt;=6,"Experienced",L1261&gt;=2,"Developing",L1261&gt;=0,"New")</f>
        <v>Experienced</v>
      </c>
    </row>
    <row r="1262" spans="1:13">
      <c r="A1262" s="21" t="str">
        <f t="shared" ca="1" si="76"/>
        <v>Re-Res-2019-1261</v>
      </c>
      <c r="B1262" s="6">
        <v>32</v>
      </c>
      <c r="C1262" s="6" t="str">
        <f t="shared" si="77"/>
        <v>30-39</v>
      </c>
      <c r="D1262" s="6" t="s">
        <v>43</v>
      </c>
      <c r="E1262" s="6" t="s">
        <v>45</v>
      </c>
      <c r="F1262" s="6" t="s">
        <v>46</v>
      </c>
      <c r="G1262" s="6" t="s">
        <v>47</v>
      </c>
      <c r="H1262" s="8">
        <v>2718</v>
      </c>
      <c r="I1262" s="8">
        <f t="shared" si="78"/>
        <v>190.26000000000002</v>
      </c>
      <c r="J1262" s="8">
        <f t="shared" si="79"/>
        <v>2527.7399999999998</v>
      </c>
      <c r="K1262" s="8">
        <v>17674</v>
      </c>
      <c r="L1262" s="6">
        <v>7</v>
      </c>
      <c r="M1262" s="22" t="str" cm="1">
        <f t="array" ref="M1262">_xlfn.IFS(L1262&gt;10,"Veteran",L1262&gt;=6,"Experienced",L1262&gt;=2,"Developing",L1262&gt;=0,"New")</f>
        <v>Experienced</v>
      </c>
    </row>
    <row r="1263" spans="1:13">
      <c r="A1263" s="21" t="str">
        <f t="shared" ca="1" si="76"/>
        <v>He-Res-2025-1262</v>
      </c>
      <c r="B1263" s="6">
        <v>38</v>
      </c>
      <c r="C1263" s="6" t="str">
        <f t="shared" si="77"/>
        <v>30-39</v>
      </c>
      <c r="D1263" s="6" t="s">
        <v>43</v>
      </c>
      <c r="E1263" s="6" t="s">
        <v>45</v>
      </c>
      <c r="F1263" s="6" t="s">
        <v>46</v>
      </c>
      <c r="G1263" s="6" t="s">
        <v>54</v>
      </c>
      <c r="H1263" s="8">
        <v>5811</v>
      </c>
      <c r="I1263" s="8">
        <f t="shared" si="78"/>
        <v>871.65</v>
      </c>
      <c r="J1263" s="8">
        <f t="shared" si="79"/>
        <v>4939.3500000000004</v>
      </c>
      <c r="K1263" s="8">
        <v>24539</v>
      </c>
      <c r="L1263" s="6">
        <v>1</v>
      </c>
      <c r="M1263" s="22" t="str" cm="1">
        <f t="array" ref="M1263">_xlfn.IFS(L1263&gt;10,"Veteran",L1263&gt;=6,"Experienced",L1263&gt;=2,"Developing",L1263&gt;=0,"New")</f>
        <v>New</v>
      </c>
    </row>
    <row r="1264" spans="1:13">
      <c r="A1264" s="21" t="str">
        <f t="shared" ca="1" si="76"/>
        <v>Re-Res-2025-1263</v>
      </c>
      <c r="B1264" s="6">
        <v>43</v>
      </c>
      <c r="C1264" s="6" t="str">
        <f t="shared" si="77"/>
        <v>40-49</v>
      </c>
      <c r="D1264" s="6" t="s">
        <v>35</v>
      </c>
      <c r="E1264" s="6" t="s">
        <v>45</v>
      </c>
      <c r="F1264" s="6" t="s">
        <v>46</v>
      </c>
      <c r="G1264" s="6" t="s">
        <v>47</v>
      </c>
      <c r="H1264" s="8">
        <v>2437</v>
      </c>
      <c r="I1264" s="8">
        <f t="shared" si="78"/>
        <v>170.59</v>
      </c>
      <c r="J1264" s="8">
        <f t="shared" si="79"/>
        <v>2266.41</v>
      </c>
      <c r="K1264" s="8">
        <v>15587</v>
      </c>
      <c r="L1264" s="6">
        <v>1</v>
      </c>
      <c r="M1264" s="22" t="str" cm="1">
        <f t="array" ref="M1264">_xlfn.IFS(L1264&gt;10,"Veteran",L1264&gt;=6,"Experienced",L1264&gt;=2,"Developing",L1264&gt;=0,"New")</f>
        <v>New</v>
      </c>
    </row>
    <row r="1265" spans="1:13">
      <c r="A1265" s="21" t="str">
        <f t="shared" ca="1" si="76"/>
        <v>La-Res-2021-1264</v>
      </c>
      <c r="B1265" s="6">
        <v>42</v>
      </c>
      <c r="C1265" s="6" t="str">
        <f t="shared" si="77"/>
        <v>40-49</v>
      </c>
      <c r="D1265" s="6" t="s">
        <v>43</v>
      </c>
      <c r="E1265" s="6" t="s">
        <v>45</v>
      </c>
      <c r="F1265" s="6" t="s">
        <v>46</v>
      </c>
      <c r="G1265" s="6" t="s">
        <v>50</v>
      </c>
      <c r="H1265" s="8">
        <v>2766</v>
      </c>
      <c r="I1265" s="8">
        <f t="shared" si="78"/>
        <v>193.62</v>
      </c>
      <c r="J1265" s="8">
        <f t="shared" si="79"/>
        <v>2572.38</v>
      </c>
      <c r="K1265" s="8">
        <v>8952</v>
      </c>
      <c r="L1265" s="6">
        <v>5</v>
      </c>
      <c r="M1265" s="22" t="str" cm="1">
        <f t="array" ref="M1265">_xlfn.IFS(L1265&gt;10,"Veteran",L1265&gt;=6,"Experienced",L1265&gt;=2,"Developing",L1265&gt;=0,"New")</f>
        <v>Developing</v>
      </c>
    </row>
    <row r="1266" spans="1:13">
      <c r="A1266" s="21" t="str">
        <f t="shared" ca="1" si="76"/>
        <v>Re-Res-2025-1265</v>
      </c>
      <c r="B1266" s="6">
        <v>55</v>
      </c>
      <c r="C1266" s="6" t="str">
        <f t="shared" si="77"/>
        <v>50+</v>
      </c>
      <c r="D1266" s="6" t="s">
        <v>43</v>
      </c>
      <c r="E1266" s="6" t="s">
        <v>45</v>
      </c>
      <c r="F1266" s="6" t="s">
        <v>46</v>
      </c>
      <c r="G1266" s="6" t="s">
        <v>58</v>
      </c>
      <c r="H1266" s="8">
        <v>19038</v>
      </c>
      <c r="I1266" s="8">
        <f t="shared" si="78"/>
        <v>5711.4</v>
      </c>
      <c r="J1266" s="8">
        <f t="shared" si="79"/>
        <v>13326.6</v>
      </c>
      <c r="K1266" s="8">
        <v>19805</v>
      </c>
      <c r="L1266" s="6">
        <v>1</v>
      </c>
      <c r="M1266" s="22" t="str" cm="1">
        <f t="array" ref="M1266">_xlfn.IFS(L1266&gt;10,"Veteran",L1266&gt;=6,"Experienced",L1266&gt;=2,"Developing",L1266&gt;=0,"New")</f>
        <v>New</v>
      </c>
    </row>
    <row r="1267" spans="1:13">
      <c r="A1267" s="21" t="str">
        <f t="shared" ca="1" si="76"/>
        <v>Re-Res-2017-1266</v>
      </c>
      <c r="B1267" s="6">
        <v>33</v>
      </c>
      <c r="C1267" s="6" t="str">
        <f t="shared" si="77"/>
        <v>30-39</v>
      </c>
      <c r="D1267" s="6" t="s">
        <v>43</v>
      </c>
      <c r="E1267" s="6" t="s">
        <v>45</v>
      </c>
      <c r="F1267" s="6" t="s">
        <v>46</v>
      </c>
      <c r="G1267" s="6" t="s">
        <v>47</v>
      </c>
      <c r="H1267" s="8">
        <v>3055</v>
      </c>
      <c r="I1267" s="8">
        <f t="shared" si="78"/>
        <v>458.25</v>
      </c>
      <c r="J1267" s="8">
        <f t="shared" si="79"/>
        <v>2596.75</v>
      </c>
      <c r="K1267" s="8">
        <v>6194</v>
      </c>
      <c r="L1267" s="6">
        <v>9</v>
      </c>
      <c r="M1267" s="22" t="str" cm="1">
        <f t="array" ref="M1267">_xlfn.IFS(L1267&gt;10,"Veteran",L1267&gt;=6,"Experienced",L1267&gt;=2,"Developing",L1267&gt;=0,"New")</f>
        <v>Experienced</v>
      </c>
    </row>
    <row r="1268" spans="1:13">
      <c r="A1268" s="21" t="str">
        <f t="shared" ca="1" si="76"/>
        <v>La-Res-2021-1267</v>
      </c>
      <c r="B1268" s="6">
        <v>41</v>
      </c>
      <c r="C1268" s="6" t="str">
        <f t="shared" si="77"/>
        <v>40-49</v>
      </c>
      <c r="D1268" s="6" t="s">
        <v>43</v>
      </c>
      <c r="E1268" s="6" t="s">
        <v>45</v>
      </c>
      <c r="F1268" s="6" t="s">
        <v>46</v>
      </c>
      <c r="G1268" s="6" t="s">
        <v>50</v>
      </c>
      <c r="H1268" s="8">
        <v>2289</v>
      </c>
      <c r="I1268" s="8">
        <f t="shared" si="78"/>
        <v>160.23000000000002</v>
      </c>
      <c r="J1268" s="8">
        <f t="shared" si="79"/>
        <v>2128.77</v>
      </c>
      <c r="K1268" s="8">
        <v>20520</v>
      </c>
      <c r="L1268" s="6">
        <v>5</v>
      </c>
      <c r="M1268" s="22" t="str" cm="1">
        <f t="array" ref="M1268">_xlfn.IFS(L1268&gt;10,"Veteran",L1268&gt;=6,"Experienced",L1268&gt;=2,"Developing",L1268&gt;=0,"New")</f>
        <v>Developing</v>
      </c>
    </row>
    <row r="1269" spans="1:13">
      <c r="A1269" s="21" t="str">
        <f t="shared" ca="1" si="76"/>
        <v>Sa-Sal-2011-1268</v>
      </c>
      <c r="B1269" s="6">
        <v>34</v>
      </c>
      <c r="C1269" s="6" t="str">
        <f t="shared" si="77"/>
        <v>30-39</v>
      </c>
      <c r="D1269" s="6" t="s">
        <v>43</v>
      </c>
      <c r="E1269" s="6" t="s">
        <v>37</v>
      </c>
      <c r="F1269" s="6" t="s">
        <v>46</v>
      </c>
      <c r="G1269" s="6" t="s">
        <v>40</v>
      </c>
      <c r="H1269" s="8">
        <v>4001</v>
      </c>
      <c r="I1269" s="8">
        <f t="shared" si="78"/>
        <v>600.15</v>
      </c>
      <c r="J1269" s="8">
        <f t="shared" si="79"/>
        <v>3400.85</v>
      </c>
      <c r="K1269" s="8">
        <v>12313</v>
      </c>
      <c r="L1269" s="6">
        <v>15</v>
      </c>
      <c r="M1269" s="22" t="str" cm="1">
        <f t="array" ref="M1269">_xlfn.IFS(L1269&gt;10,"Veteran",L1269&gt;=6,"Experienced",L1269&gt;=2,"Developing",L1269&gt;=0,"New")</f>
        <v>Veteran</v>
      </c>
    </row>
    <row r="1270" spans="1:13">
      <c r="A1270" s="21" t="str">
        <f t="shared" ca="1" si="76"/>
        <v>Ma-Res-2023-1269</v>
      </c>
      <c r="B1270" s="6">
        <v>53</v>
      </c>
      <c r="C1270" s="6" t="str">
        <f t="shared" si="77"/>
        <v>50+</v>
      </c>
      <c r="D1270" s="6" t="s">
        <v>43</v>
      </c>
      <c r="E1270" s="6" t="s">
        <v>45</v>
      </c>
      <c r="F1270" s="6" t="s">
        <v>39</v>
      </c>
      <c r="G1270" s="6" t="s">
        <v>53</v>
      </c>
      <c r="H1270" s="8">
        <v>12965</v>
      </c>
      <c r="I1270" s="8">
        <f t="shared" si="78"/>
        <v>2852.3</v>
      </c>
      <c r="J1270" s="8">
        <f t="shared" si="79"/>
        <v>10112.700000000001</v>
      </c>
      <c r="K1270" s="8">
        <v>22308</v>
      </c>
      <c r="L1270" s="6">
        <v>3</v>
      </c>
      <c r="M1270" s="22" t="str" cm="1">
        <f t="array" ref="M1270">_xlfn.IFS(L1270&gt;10,"Veteran",L1270&gt;=6,"Experienced",L1270&gt;=2,"Developing",L1270&gt;=0,"New")</f>
        <v>Developing</v>
      </c>
    </row>
    <row r="1271" spans="1:13">
      <c r="A1271" s="21" t="str">
        <f t="shared" ca="1" si="76"/>
        <v>Hu-Hum-2017-1270</v>
      </c>
      <c r="B1271" s="6">
        <v>43</v>
      </c>
      <c r="C1271" s="6" t="str">
        <f t="shared" si="77"/>
        <v>40-49</v>
      </c>
      <c r="D1271" s="6" t="s">
        <v>43</v>
      </c>
      <c r="E1271" s="6" t="s">
        <v>61</v>
      </c>
      <c r="F1271" s="6" t="s">
        <v>46</v>
      </c>
      <c r="G1271" s="6" t="s">
        <v>61</v>
      </c>
      <c r="H1271" s="8">
        <v>3539</v>
      </c>
      <c r="I1271" s="8">
        <f t="shared" si="78"/>
        <v>530.85</v>
      </c>
      <c r="J1271" s="8">
        <f t="shared" si="79"/>
        <v>3008.15</v>
      </c>
      <c r="K1271" s="8">
        <v>5033</v>
      </c>
      <c r="L1271" s="6">
        <v>9</v>
      </c>
      <c r="M1271" s="22" t="str" cm="1">
        <f t="array" ref="M1271">_xlfn.IFS(L1271&gt;10,"Veteran",L1271&gt;=6,"Experienced",L1271&gt;=2,"Developing",L1271&gt;=0,"New")</f>
        <v>Experienced</v>
      </c>
    </row>
    <row r="1272" spans="1:13">
      <c r="A1272" s="21" t="str">
        <f t="shared" ca="1" si="76"/>
        <v>Sa-Sal-2024-1271</v>
      </c>
      <c r="B1272" s="6">
        <v>34</v>
      </c>
      <c r="C1272" s="6" t="str">
        <f t="shared" si="77"/>
        <v>30-39</v>
      </c>
      <c r="D1272" s="6" t="s">
        <v>43</v>
      </c>
      <c r="E1272" s="6" t="s">
        <v>37</v>
      </c>
      <c r="F1272" s="6" t="s">
        <v>39</v>
      </c>
      <c r="G1272" s="6" t="s">
        <v>40</v>
      </c>
      <c r="H1272" s="8">
        <v>6029</v>
      </c>
      <c r="I1272" s="8">
        <f t="shared" si="78"/>
        <v>904.35</v>
      </c>
      <c r="J1272" s="8">
        <f t="shared" si="79"/>
        <v>5124.6499999999996</v>
      </c>
      <c r="K1272" s="8">
        <v>25353</v>
      </c>
      <c r="L1272" s="6">
        <v>2</v>
      </c>
      <c r="M1272" s="22" t="str" cm="1">
        <f t="array" ref="M1272">_xlfn.IFS(L1272&gt;10,"Veteran",L1272&gt;=6,"Experienced",L1272&gt;=2,"Developing",L1272&gt;=0,"New")</f>
        <v>Developing</v>
      </c>
    </row>
    <row r="1273" spans="1:13">
      <c r="A1273" s="21" t="str">
        <f t="shared" ca="1" si="76"/>
        <v>Sa-Sal-2025-1272</v>
      </c>
      <c r="B1273" s="6">
        <v>21</v>
      </c>
      <c r="C1273" s="6" t="str">
        <f t="shared" si="77"/>
        <v>20-29</v>
      </c>
      <c r="D1273" s="6" t="s">
        <v>35</v>
      </c>
      <c r="E1273" s="6" t="s">
        <v>37</v>
      </c>
      <c r="F1273" s="6" t="s">
        <v>46</v>
      </c>
      <c r="G1273" s="6" t="s">
        <v>57</v>
      </c>
      <c r="H1273" s="8">
        <v>2679</v>
      </c>
      <c r="I1273" s="8">
        <f t="shared" si="78"/>
        <v>187.53000000000003</v>
      </c>
      <c r="J1273" s="8">
        <f t="shared" si="79"/>
        <v>2491.4699999999998</v>
      </c>
      <c r="K1273" s="8">
        <v>4567</v>
      </c>
      <c r="L1273" s="6">
        <v>1</v>
      </c>
      <c r="M1273" s="22" t="str" cm="1">
        <f t="array" ref="M1273">_xlfn.IFS(L1273&gt;10,"Veteran",L1273&gt;=6,"Experienced",L1273&gt;=2,"Developing",L1273&gt;=0,"New")</f>
        <v>New</v>
      </c>
    </row>
    <row r="1274" spans="1:13">
      <c r="A1274" s="21" t="str">
        <f t="shared" ca="1" si="76"/>
        <v>La-Res-2021-1273</v>
      </c>
      <c r="B1274" s="6">
        <v>38</v>
      </c>
      <c r="C1274" s="6" t="str">
        <f t="shared" si="77"/>
        <v>30-39</v>
      </c>
      <c r="D1274" s="6" t="s">
        <v>43</v>
      </c>
      <c r="E1274" s="6" t="s">
        <v>45</v>
      </c>
      <c r="F1274" s="6" t="s">
        <v>39</v>
      </c>
      <c r="G1274" s="6" t="s">
        <v>50</v>
      </c>
      <c r="H1274" s="8">
        <v>3702</v>
      </c>
      <c r="I1274" s="8">
        <f t="shared" si="78"/>
        <v>555.29999999999995</v>
      </c>
      <c r="J1274" s="8">
        <f t="shared" si="79"/>
        <v>3146.7</v>
      </c>
      <c r="K1274" s="8">
        <v>16376</v>
      </c>
      <c r="L1274" s="6">
        <v>5</v>
      </c>
      <c r="M1274" s="22" t="str" cm="1">
        <f t="array" ref="M1274">_xlfn.IFS(L1274&gt;10,"Veteran",L1274&gt;=6,"Experienced",L1274&gt;=2,"Developing",L1274&gt;=0,"New")</f>
        <v>Developing</v>
      </c>
    </row>
    <row r="1275" spans="1:13">
      <c r="A1275" s="21" t="str">
        <f t="shared" ca="1" si="76"/>
        <v>La-Res-2025-1274</v>
      </c>
      <c r="B1275" s="6">
        <v>22</v>
      </c>
      <c r="C1275" s="6" t="str">
        <f t="shared" si="77"/>
        <v>20-29</v>
      </c>
      <c r="D1275" s="6" t="s">
        <v>35</v>
      </c>
      <c r="E1275" s="6" t="s">
        <v>45</v>
      </c>
      <c r="F1275" s="6" t="s">
        <v>39</v>
      </c>
      <c r="G1275" s="6" t="s">
        <v>50</v>
      </c>
      <c r="H1275" s="8">
        <v>2398</v>
      </c>
      <c r="I1275" s="8">
        <f t="shared" si="78"/>
        <v>167.86</v>
      </c>
      <c r="J1275" s="8">
        <f t="shared" si="79"/>
        <v>2230.14</v>
      </c>
      <c r="K1275" s="8">
        <v>15999</v>
      </c>
      <c r="L1275" s="6">
        <v>1</v>
      </c>
      <c r="M1275" s="22" t="str" cm="1">
        <f t="array" ref="M1275">_xlfn.IFS(L1275&gt;10,"Veteran",L1275&gt;=6,"Experienced",L1275&gt;=2,"Developing",L1275&gt;=0,"New")</f>
        <v>New</v>
      </c>
    </row>
    <row r="1276" spans="1:13">
      <c r="A1276" s="21" t="str">
        <f t="shared" ca="1" si="76"/>
        <v>Sa-Sal-2014-1275</v>
      </c>
      <c r="B1276" s="6">
        <v>31</v>
      </c>
      <c r="C1276" s="6" t="str">
        <f t="shared" si="77"/>
        <v>30-39</v>
      </c>
      <c r="D1276" s="6" t="s">
        <v>43</v>
      </c>
      <c r="E1276" s="6" t="s">
        <v>37</v>
      </c>
      <c r="F1276" s="6" t="s">
        <v>39</v>
      </c>
      <c r="G1276" s="6" t="s">
        <v>40</v>
      </c>
      <c r="H1276" s="8">
        <v>5468</v>
      </c>
      <c r="I1276" s="8">
        <f t="shared" si="78"/>
        <v>820.19999999999993</v>
      </c>
      <c r="J1276" s="8">
        <f t="shared" si="79"/>
        <v>4647.8</v>
      </c>
      <c r="K1276" s="8">
        <v>13402</v>
      </c>
      <c r="L1276" s="6">
        <v>12</v>
      </c>
      <c r="M1276" s="22" t="str" cm="1">
        <f t="array" ref="M1276">_xlfn.IFS(L1276&gt;10,"Veteran",L1276&gt;=6,"Experienced",L1276&gt;=2,"Developing",L1276&gt;=0,"New")</f>
        <v>Veteran</v>
      </c>
    </row>
    <row r="1277" spans="1:13">
      <c r="A1277" s="21" t="str">
        <f t="shared" ca="1" si="76"/>
        <v>Ma-Res-2024-1276</v>
      </c>
      <c r="B1277" s="6">
        <v>51</v>
      </c>
      <c r="C1277" s="6" t="str">
        <f t="shared" si="77"/>
        <v>50+</v>
      </c>
      <c r="D1277" s="6" t="s">
        <v>43</v>
      </c>
      <c r="E1277" s="6" t="s">
        <v>45</v>
      </c>
      <c r="F1277" s="6" t="s">
        <v>39</v>
      </c>
      <c r="G1277" s="6" t="s">
        <v>56</v>
      </c>
      <c r="H1277" s="8">
        <v>13116</v>
      </c>
      <c r="I1277" s="8">
        <f t="shared" si="78"/>
        <v>3934.7999999999997</v>
      </c>
      <c r="J1277" s="8">
        <f t="shared" si="79"/>
        <v>9181.2000000000007</v>
      </c>
      <c r="K1277" s="8">
        <v>22984</v>
      </c>
      <c r="L1277" s="6">
        <v>2</v>
      </c>
      <c r="M1277" s="22" t="str" cm="1">
        <f t="array" ref="M1277">_xlfn.IFS(L1277&gt;10,"Veteran",L1277&gt;=6,"Experienced",L1277&gt;=2,"Developing",L1277&gt;=0,"New")</f>
        <v>Developing</v>
      </c>
    </row>
    <row r="1278" spans="1:13">
      <c r="A1278" s="21" t="str">
        <f t="shared" ca="1" si="76"/>
        <v>Sa-Sal-2021-1277</v>
      </c>
      <c r="B1278" s="6">
        <v>37</v>
      </c>
      <c r="C1278" s="6" t="str">
        <f t="shared" si="77"/>
        <v>30-39</v>
      </c>
      <c r="D1278" s="6" t="s">
        <v>43</v>
      </c>
      <c r="E1278" s="6" t="s">
        <v>37</v>
      </c>
      <c r="F1278" s="6" t="s">
        <v>46</v>
      </c>
      <c r="G1278" s="6" t="s">
        <v>40</v>
      </c>
      <c r="H1278" s="8">
        <v>4189</v>
      </c>
      <c r="I1278" s="8">
        <f t="shared" si="78"/>
        <v>628.35</v>
      </c>
      <c r="J1278" s="8">
        <f t="shared" si="79"/>
        <v>3560.65</v>
      </c>
      <c r="K1278" s="8">
        <v>8800</v>
      </c>
      <c r="L1278" s="6">
        <v>5</v>
      </c>
      <c r="M1278" s="22" t="str" cm="1">
        <f t="array" ref="M1278">_xlfn.IFS(L1278&gt;10,"Veteran",L1278&gt;=6,"Experienced",L1278&gt;=2,"Developing",L1278&gt;=0,"New")</f>
        <v>Developing</v>
      </c>
    </row>
    <row r="1279" spans="1:13">
      <c r="A1279" s="21" t="str">
        <f t="shared" ca="1" si="76"/>
        <v>Re-Res-2024-1278</v>
      </c>
      <c r="B1279" s="6">
        <v>46</v>
      </c>
      <c r="C1279" s="6" t="str">
        <f t="shared" si="77"/>
        <v>40-49</v>
      </c>
      <c r="D1279" s="6" t="s">
        <v>43</v>
      </c>
      <c r="E1279" s="6" t="s">
        <v>45</v>
      </c>
      <c r="F1279" s="6" t="s">
        <v>46</v>
      </c>
      <c r="G1279" s="6" t="s">
        <v>58</v>
      </c>
      <c r="H1279" s="8">
        <v>19328</v>
      </c>
      <c r="I1279" s="8">
        <f t="shared" si="78"/>
        <v>5798.4</v>
      </c>
      <c r="J1279" s="8">
        <f t="shared" si="79"/>
        <v>13529.6</v>
      </c>
      <c r="K1279" s="8">
        <v>14218</v>
      </c>
      <c r="L1279" s="6">
        <v>2</v>
      </c>
      <c r="M1279" s="22" t="str" cm="1">
        <f t="array" ref="M1279">_xlfn.IFS(L1279&gt;10,"Veteran",L1279&gt;=6,"Experienced",L1279&gt;=2,"Developing",L1279&gt;=0,"New")</f>
        <v>Developing</v>
      </c>
    </row>
    <row r="1280" spans="1:13">
      <c r="A1280" s="21" t="str">
        <f t="shared" ca="1" si="76"/>
        <v>He-Res-2014-1279</v>
      </c>
      <c r="B1280" s="6">
        <v>36</v>
      </c>
      <c r="C1280" s="6" t="str">
        <f t="shared" si="77"/>
        <v>30-39</v>
      </c>
      <c r="D1280" s="6" t="s">
        <v>43</v>
      </c>
      <c r="E1280" s="6" t="s">
        <v>45</v>
      </c>
      <c r="F1280" s="6" t="s">
        <v>46</v>
      </c>
      <c r="G1280" s="6" t="s">
        <v>54</v>
      </c>
      <c r="H1280" s="8">
        <v>8321</v>
      </c>
      <c r="I1280" s="8">
        <f t="shared" si="78"/>
        <v>1830.6200000000001</v>
      </c>
      <c r="J1280" s="8">
        <f t="shared" si="79"/>
        <v>6490.38</v>
      </c>
      <c r="K1280" s="8">
        <v>25949</v>
      </c>
      <c r="L1280" s="6">
        <v>12</v>
      </c>
      <c r="M1280" s="22" t="str" cm="1">
        <f t="array" ref="M1280">_xlfn.IFS(L1280&gt;10,"Veteran",L1280&gt;=6,"Experienced",L1280&gt;=2,"Developing",L1280&gt;=0,"New")</f>
        <v>Veteran</v>
      </c>
    </row>
    <row r="1281" spans="1:13">
      <c r="A1281" s="21" t="str">
        <f t="shared" ca="1" si="76"/>
        <v>Re-Res-2021-1280</v>
      </c>
      <c r="B1281" s="6">
        <v>44</v>
      </c>
      <c r="C1281" s="6" t="str">
        <f t="shared" si="77"/>
        <v>40-49</v>
      </c>
      <c r="D1281" s="6" t="s">
        <v>35</v>
      </c>
      <c r="E1281" s="6" t="s">
        <v>45</v>
      </c>
      <c r="F1281" s="6" t="s">
        <v>46</v>
      </c>
      <c r="G1281" s="6" t="s">
        <v>47</v>
      </c>
      <c r="H1281" s="8">
        <v>2342</v>
      </c>
      <c r="I1281" s="8">
        <f t="shared" si="78"/>
        <v>163.94000000000003</v>
      </c>
      <c r="J1281" s="8">
        <f t="shared" si="79"/>
        <v>2178.06</v>
      </c>
      <c r="K1281" s="8">
        <v>11092</v>
      </c>
      <c r="L1281" s="6">
        <v>5</v>
      </c>
      <c r="M1281" s="22" t="str" cm="1">
        <f t="array" ref="M1281">_xlfn.IFS(L1281&gt;10,"Veteran",L1281&gt;=6,"Experienced",L1281&gt;=2,"Developing",L1281&gt;=0,"New")</f>
        <v>Developing</v>
      </c>
    </row>
    <row r="1282" spans="1:13">
      <c r="A1282" s="21" t="str">
        <f t="shared" ca="1" si="76"/>
        <v>Hu-Hum-2016-1281</v>
      </c>
      <c r="B1282" s="6">
        <v>37</v>
      </c>
      <c r="C1282" s="6" t="str">
        <f t="shared" si="77"/>
        <v>30-39</v>
      </c>
      <c r="D1282" s="6" t="s">
        <v>43</v>
      </c>
      <c r="E1282" s="6" t="s">
        <v>61</v>
      </c>
      <c r="F1282" s="6" t="s">
        <v>46</v>
      </c>
      <c r="G1282" s="6" t="s">
        <v>61</v>
      </c>
      <c r="H1282" s="8">
        <v>4071</v>
      </c>
      <c r="I1282" s="8">
        <f t="shared" si="78"/>
        <v>610.65</v>
      </c>
      <c r="J1282" s="8">
        <f t="shared" si="79"/>
        <v>3460.35</v>
      </c>
      <c r="K1282" s="8">
        <v>12832</v>
      </c>
      <c r="L1282" s="6">
        <v>10</v>
      </c>
      <c r="M1282" s="22" t="str" cm="1">
        <f t="array" ref="M1282">_xlfn.IFS(L1282&gt;10,"Veteran",L1282&gt;=6,"Experienced",L1282&gt;=2,"Developing",L1282&gt;=0,"New")</f>
        <v>Experienced</v>
      </c>
    </row>
    <row r="1283" spans="1:13">
      <c r="A1283" s="21" t="str">
        <f t="shared" ref="A1283:A1346" ca="1" si="80">LEFT(G1283,2)&amp;"-"&amp;LEFT(E1283,3)&amp;"-"&amp;YEAR(TODAY())-L1283&amp;"-"&amp;TEXT(ROW()-1,"000")</f>
        <v>Sa-Sal-2016-1282</v>
      </c>
      <c r="B1283" s="6">
        <v>35</v>
      </c>
      <c r="C1283" s="6" t="str">
        <f t="shared" ref="C1283:C1346" si="81">IF(B1283&lt;=29,"20-29",IF(B1283&lt;=39,"30-39",IF(B1283&lt;=49,"40-49","50+")))</f>
        <v>30-39</v>
      </c>
      <c r="D1283" s="6" t="s">
        <v>35</v>
      </c>
      <c r="E1283" s="6" t="s">
        <v>37</v>
      </c>
      <c r="F1283" s="6" t="s">
        <v>46</v>
      </c>
      <c r="G1283" s="6" t="s">
        <v>40</v>
      </c>
      <c r="H1283" s="8">
        <v>5813</v>
      </c>
      <c r="I1283" s="8">
        <f t="shared" ref="I1283:I1346" si="82">IF(H1283&gt;13000,H1283*30%,IF(H1283&gt;7000,H1283*22%,IF(H1283&gt;3000,H1283*15%,H1283*7%)))</f>
        <v>871.94999999999993</v>
      </c>
      <c r="J1283" s="8">
        <f t="shared" ref="J1283:J1346" si="83">H1283-I1283</f>
        <v>4941.05</v>
      </c>
      <c r="K1283" s="8">
        <v>13492</v>
      </c>
      <c r="L1283" s="6">
        <v>10</v>
      </c>
      <c r="M1283" s="22" t="str" cm="1">
        <f t="array" ref="M1283">_xlfn.IFS(L1283&gt;10,"Veteran",L1283&gt;=6,"Experienced",L1283&gt;=2,"Developing",L1283&gt;=0,"New")</f>
        <v>Experienced</v>
      </c>
    </row>
    <row r="1284" spans="1:13">
      <c r="A1284" s="21" t="str">
        <f t="shared" ca="1" si="80"/>
        <v>Re-Res-2016-1283</v>
      </c>
      <c r="B1284" s="6">
        <v>33</v>
      </c>
      <c r="C1284" s="6" t="str">
        <f t="shared" si="81"/>
        <v>30-39</v>
      </c>
      <c r="D1284" s="6" t="s">
        <v>43</v>
      </c>
      <c r="E1284" s="6" t="s">
        <v>45</v>
      </c>
      <c r="F1284" s="6" t="s">
        <v>46</v>
      </c>
      <c r="G1284" s="6" t="s">
        <v>47</v>
      </c>
      <c r="H1284" s="8">
        <v>3143</v>
      </c>
      <c r="I1284" s="8">
        <f t="shared" si="82"/>
        <v>471.45</v>
      </c>
      <c r="J1284" s="8">
        <f t="shared" si="83"/>
        <v>2671.55</v>
      </c>
      <c r="K1284" s="8">
        <v>6076</v>
      </c>
      <c r="L1284" s="6">
        <v>10</v>
      </c>
      <c r="M1284" s="22" t="str" cm="1">
        <f t="array" ref="M1284">_xlfn.IFS(L1284&gt;10,"Veteran",L1284&gt;=6,"Experienced",L1284&gt;=2,"Developing",L1284&gt;=0,"New")</f>
        <v>Experienced</v>
      </c>
    </row>
    <row r="1285" spans="1:13">
      <c r="A1285" s="21" t="str">
        <f t="shared" ca="1" si="80"/>
        <v>Re-Res-2021-1284</v>
      </c>
      <c r="B1285" s="6">
        <v>28</v>
      </c>
      <c r="C1285" s="6" t="str">
        <f t="shared" si="81"/>
        <v>20-29</v>
      </c>
      <c r="D1285" s="6" t="s">
        <v>43</v>
      </c>
      <c r="E1285" s="6" t="s">
        <v>45</v>
      </c>
      <c r="F1285" s="6" t="s">
        <v>46</v>
      </c>
      <c r="G1285" s="6" t="s">
        <v>47</v>
      </c>
      <c r="H1285" s="8">
        <v>2044</v>
      </c>
      <c r="I1285" s="8">
        <f t="shared" si="82"/>
        <v>143.08000000000001</v>
      </c>
      <c r="J1285" s="8">
        <f t="shared" si="83"/>
        <v>1900.92</v>
      </c>
      <c r="K1285" s="8">
        <v>5531</v>
      </c>
      <c r="L1285" s="6">
        <v>5</v>
      </c>
      <c r="M1285" s="22" t="str" cm="1">
        <f t="array" ref="M1285">_xlfn.IFS(L1285&gt;10,"Veteran",L1285&gt;=6,"Experienced",L1285&gt;=2,"Developing",L1285&gt;=0,"New")</f>
        <v>Developing</v>
      </c>
    </row>
    <row r="1286" spans="1:13">
      <c r="A1286" s="21" t="str">
        <f t="shared" ca="1" si="80"/>
        <v>Re-Res-2022-1285</v>
      </c>
      <c r="B1286" s="6">
        <v>39</v>
      </c>
      <c r="C1286" s="6" t="str">
        <f t="shared" si="81"/>
        <v>30-39</v>
      </c>
      <c r="D1286" s="6" t="s">
        <v>43</v>
      </c>
      <c r="E1286" s="6" t="s">
        <v>45</v>
      </c>
      <c r="F1286" s="6" t="s">
        <v>46</v>
      </c>
      <c r="G1286" s="6" t="s">
        <v>58</v>
      </c>
      <c r="H1286" s="8">
        <v>13464</v>
      </c>
      <c r="I1286" s="8">
        <f t="shared" si="82"/>
        <v>4039.2</v>
      </c>
      <c r="J1286" s="8">
        <f t="shared" si="83"/>
        <v>9424.7999999999993</v>
      </c>
      <c r="K1286" s="8">
        <v>7914</v>
      </c>
      <c r="L1286" s="6">
        <v>4</v>
      </c>
      <c r="M1286" s="22" t="str" cm="1">
        <f t="array" ref="M1286">_xlfn.IFS(L1286&gt;10,"Veteran",L1286&gt;=6,"Experienced",L1286&gt;=2,"Developing",L1286&gt;=0,"New")</f>
        <v>Developing</v>
      </c>
    </row>
    <row r="1287" spans="1:13">
      <c r="A1287" s="21" t="str">
        <f t="shared" ca="1" si="80"/>
        <v>Sa-Sal-2024-1286</v>
      </c>
      <c r="B1287" s="6">
        <v>46</v>
      </c>
      <c r="C1287" s="6" t="str">
        <f t="shared" si="81"/>
        <v>40-49</v>
      </c>
      <c r="D1287" s="6" t="s">
        <v>43</v>
      </c>
      <c r="E1287" s="6" t="s">
        <v>37</v>
      </c>
      <c r="F1287" s="6" t="s">
        <v>46</v>
      </c>
      <c r="G1287" s="6" t="s">
        <v>40</v>
      </c>
      <c r="H1287" s="8">
        <v>7991</v>
      </c>
      <c r="I1287" s="8">
        <f t="shared" si="82"/>
        <v>1758.02</v>
      </c>
      <c r="J1287" s="8">
        <f t="shared" si="83"/>
        <v>6232.98</v>
      </c>
      <c r="K1287" s="8">
        <v>25166</v>
      </c>
      <c r="L1287" s="6">
        <v>2</v>
      </c>
      <c r="M1287" s="22" t="str" cm="1">
        <f t="array" ref="M1287">_xlfn.IFS(L1287&gt;10,"Veteran",L1287&gt;=6,"Experienced",L1287&gt;=2,"Developing",L1287&gt;=0,"New")</f>
        <v>Developing</v>
      </c>
    </row>
    <row r="1288" spans="1:13">
      <c r="A1288" s="21" t="str">
        <f t="shared" ca="1" si="80"/>
        <v>La-Res-2022-1287</v>
      </c>
      <c r="B1288" s="6">
        <v>40</v>
      </c>
      <c r="C1288" s="6" t="str">
        <f t="shared" si="81"/>
        <v>40-49</v>
      </c>
      <c r="D1288" s="6" t="s">
        <v>43</v>
      </c>
      <c r="E1288" s="6" t="s">
        <v>45</v>
      </c>
      <c r="F1288" s="6" t="s">
        <v>39</v>
      </c>
      <c r="G1288" s="6" t="s">
        <v>50</v>
      </c>
      <c r="H1288" s="8">
        <v>3377</v>
      </c>
      <c r="I1288" s="8">
        <f t="shared" si="82"/>
        <v>506.54999999999995</v>
      </c>
      <c r="J1288" s="8">
        <f t="shared" si="83"/>
        <v>2870.45</v>
      </c>
      <c r="K1288" s="8">
        <v>25605</v>
      </c>
      <c r="L1288" s="6">
        <v>4</v>
      </c>
      <c r="M1288" s="22" t="str" cm="1">
        <f t="array" ref="M1288">_xlfn.IFS(L1288&gt;10,"Veteran",L1288&gt;=6,"Experienced",L1288&gt;=2,"Developing",L1288&gt;=0,"New")</f>
        <v>Developing</v>
      </c>
    </row>
    <row r="1289" spans="1:13">
      <c r="A1289" s="21" t="str">
        <f t="shared" ca="1" si="80"/>
        <v>He-Res-2026-1288</v>
      </c>
      <c r="B1289" s="6">
        <v>42</v>
      </c>
      <c r="C1289" s="6" t="str">
        <f t="shared" si="81"/>
        <v>40-49</v>
      </c>
      <c r="D1289" s="6" t="s">
        <v>43</v>
      </c>
      <c r="E1289" s="6" t="s">
        <v>45</v>
      </c>
      <c r="F1289" s="6" t="s">
        <v>46</v>
      </c>
      <c r="G1289" s="6" t="s">
        <v>54</v>
      </c>
      <c r="H1289" s="8">
        <v>5538</v>
      </c>
      <c r="I1289" s="8">
        <f t="shared" si="82"/>
        <v>830.69999999999993</v>
      </c>
      <c r="J1289" s="8">
        <f t="shared" si="83"/>
        <v>4707.3</v>
      </c>
      <c r="K1289" s="8">
        <v>5696</v>
      </c>
      <c r="L1289" s="6">
        <v>0</v>
      </c>
      <c r="M1289" s="22" t="str" cm="1">
        <f t="array" ref="M1289">_xlfn.IFS(L1289&gt;10,"Veteran",L1289&gt;=6,"Experienced",L1289&gt;=2,"Developing",L1289&gt;=0,"New")</f>
        <v>New</v>
      </c>
    </row>
    <row r="1290" spans="1:13">
      <c r="A1290" s="21" t="str">
        <f t="shared" ca="1" si="80"/>
        <v>Ma-Res-2019-1289</v>
      </c>
      <c r="B1290" s="6">
        <v>35</v>
      </c>
      <c r="C1290" s="6" t="str">
        <f t="shared" si="81"/>
        <v>30-39</v>
      </c>
      <c r="D1290" s="6" t="s">
        <v>43</v>
      </c>
      <c r="E1290" s="6" t="s">
        <v>45</v>
      </c>
      <c r="F1290" s="6" t="s">
        <v>46</v>
      </c>
      <c r="G1290" s="6" t="s">
        <v>53</v>
      </c>
      <c r="H1290" s="8">
        <v>5762</v>
      </c>
      <c r="I1290" s="8">
        <f t="shared" si="82"/>
        <v>864.3</v>
      </c>
      <c r="J1290" s="8">
        <f t="shared" si="83"/>
        <v>4897.7</v>
      </c>
      <c r="K1290" s="8">
        <v>24442</v>
      </c>
      <c r="L1290" s="6">
        <v>7</v>
      </c>
      <c r="M1290" s="22" t="str" cm="1">
        <f t="array" ref="M1290">_xlfn.IFS(L1290&gt;10,"Veteran",L1290&gt;=6,"Experienced",L1290&gt;=2,"Developing",L1290&gt;=0,"New")</f>
        <v>Experienced</v>
      </c>
    </row>
    <row r="1291" spans="1:13">
      <c r="A1291" s="21" t="str">
        <f t="shared" ca="1" si="80"/>
        <v>Hu-Hum-2015-1290</v>
      </c>
      <c r="B1291" s="6">
        <v>38</v>
      </c>
      <c r="C1291" s="6" t="str">
        <f t="shared" si="81"/>
        <v>30-39</v>
      </c>
      <c r="D1291" s="6" t="s">
        <v>43</v>
      </c>
      <c r="E1291" s="6" t="s">
        <v>61</v>
      </c>
      <c r="F1291" s="6" t="s">
        <v>46</v>
      </c>
      <c r="G1291" s="6" t="s">
        <v>61</v>
      </c>
      <c r="H1291" s="8">
        <v>2592</v>
      </c>
      <c r="I1291" s="8">
        <f t="shared" si="82"/>
        <v>181.44000000000003</v>
      </c>
      <c r="J1291" s="8">
        <f t="shared" si="83"/>
        <v>2410.56</v>
      </c>
      <c r="K1291" s="8">
        <v>7129</v>
      </c>
      <c r="L1291" s="6">
        <v>11</v>
      </c>
      <c r="M1291" s="22" t="str" cm="1">
        <f t="array" ref="M1291">_xlfn.IFS(L1291&gt;10,"Veteran",L1291&gt;=6,"Experienced",L1291&gt;=2,"Developing",L1291&gt;=0,"New")</f>
        <v>Veteran</v>
      </c>
    </row>
    <row r="1292" spans="1:13">
      <c r="A1292" s="21" t="str">
        <f t="shared" ca="1" si="80"/>
        <v>La-Res-2019-1291</v>
      </c>
      <c r="B1292" s="6">
        <v>34</v>
      </c>
      <c r="C1292" s="6" t="str">
        <f t="shared" si="81"/>
        <v>30-39</v>
      </c>
      <c r="D1292" s="6" t="s">
        <v>35</v>
      </c>
      <c r="E1292" s="6" t="s">
        <v>45</v>
      </c>
      <c r="F1292" s="6" t="s">
        <v>46</v>
      </c>
      <c r="G1292" s="6" t="s">
        <v>50</v>
      </c>
      <c r="H1292" s="8">
        <v>5346</v>
      </c>
      <c r="I1292" s="8">
        <f t="shared" si="82"/>
        <v>801.9</v>
      </c>
      <c r="J1292" s="8">
        <f t="shared" si="83"/>
        <v>4544.1000000000004</v>
      </c>
      <c r="K1292" s="8">
        <v>6208</v>
      </c>
      <c r="L1292" s="6">
        <v>7</v>
      </c>
      <c r="M1292" s="22" t="str" cm="1">
        <f t="array" ref="M1292">_xlfn.IFS(L1292&gt;10,"Veteran",L1292&gt;=6,"Experienced",L1292&gt;=2,"Developing",L1292&gt;=0,"New")</f>
        <v>Experienced</v>
      </c>
    </row>
    <row r="1293" spans="1:13">
      <c r="A1293" s="21" t="str">
        <f t="shared" ca="1" si="80"/>
        <v>Ma-Res-2016-1292</v>
      </c>
      <c r="B1293" s="6">
        <v>37</v>
      </c>
      <c r="C1293" s="6" t="str">
        <f t="shared" si="81"/>
        <v>30-39</v>
      </c>
      <c r="D1293" s="6" t="s">
        <v>35</v>
      </c>
      <c r="E1293" s="6" t="s">
        <v>45</v>
      </c>
      <c r="F1293" s="6" t="s">
        <v>46</v>
      </c>
      <c r="G1293" s="6" t="s">
        <v>53</v>
      </c>
      <c r="H1293" s="8">
        <v>4213</v>
      </c>
      <c r="I1293" s="8">
        <f t="shared" si="82"/>
        <v>631.94999999999993</v>
      </c>
      <c r="J1293" s="8">
        <f t="shared" si="83"/>
        <v>3581.05</v>
      </c>
      <c r="K1293" s="8">
        <v>4992</v>
      </c>
      <c r="L1293" s="6">
        <v>10</v>
      </c>
      <c r="M1293" s="22" t="str" cm="1">
        <f t="array" ref="M1293">_xlfn.IFS(L1293&gt;10,"Veteran",L1293&gt;=6,"Experienced",L1293&gt;=2,"Developing",L1293&gt;=0,"New")</f>
        <v>Experienced</v>
      </c>
    </row>
    <row r="1294" spans="1:13">
      <c r="A1294" s="21" t="str">
        <f t="shared" ca="1" si="80"/>
        <v>Sa-Sal-2024-1293</v>
      </c>
      <c r="B1294" s="6">
        <v>39</v>
      </c>
      <c r="C1294" s="6" t="str">
        <f t="shared" si="81"/>
        <v>30-39</v>
      </c>
      <c r="D1294" s="6" t="s">
        <v>43</v>
      </c>
      <c r="E1294" s="6" t="s">
        <v>37</v>
      </c>
      <c r="F1294" s="6" t="s">
        <v>46</v>
      </c>
      <c r="G1294" s="6" t="s">
        <v>40</v>
      </c>
      <c r="H1294" s="8">
        <v>4127</v>
      </c>
      <c r="I1294" s="8">
        <f t="shared" si="82"/>
        <v>619.04999999999995</v>
      </c>
      <c r="J1294" s="8">
        <f t="shared" si="83"/>
        <v>3507.95</v>
      </c>
      <c r="K1294" s="8">
        <v>19188</v>
      </c>
      <c r="L1294" s="6">
        <v>2</v>
      </c>
      <c r="M1294" s="22" t="str" cm="1">
        <f t="array" ref="M1294">_xlfn.IFS(L1294&gt;10,"Veteran",L1294&gt;=6,"Experienced",L1294&gt;=2,"Developing",L1294&gt;=0,"New")</f>
        <v>Developing</v>
      </c>
    </row>
    <row r="1295" spans="1:13">
      <c r="A1295" s="21" t="str">
        <f t="shared" ca="1" si="80"/>
        <v>Re-Res-2023-1294</v>
      </c>
      <c r="B1295" s="6">
        <v>43</v>
      </c>
      <c r="C1295" s="6" t="str">
        <f t="shared" si="81"/>
        <v>40-49</v>
      </c>
      <c r="D1295" s="6" t="s">
        <v>43</v>
      </c>
      <c r="E1295" s="6" t="s">
        <v>45</v>
      </c>
      <c r="F1295" s="6" t="s">
        <v>46</v>
      </c>
      <c r="G1295" s="6" t="s">
        <v>47</v>
      </c>
      <c r="H1295" s="8">
        <v>2438</v>
      </c>
      <c r="I1295" s="8">
        <f t="shared" si="82"/>
        <v>170.66000000000003</v>
      </c>
      <c r="J1295" s="8">
        <f t="shared" si="83"/>
        <v>2267.34</v>
      </c>
      <c r="K1295" s="8">
        <v>24978</v>
      </c>
      <c r="L1295" s="6">
        <v>3</v>
      </c>
      <c r="M1295" s="22" t="str" cm="1">
        <f t="array" ref="M1295">_xlfn.IFS(L1295&gt;10,"Veteran",L1295&gt;=6,"Experienced",L1295&gt;=2,"Developing",L1295&gt;=0,"New")</f>
        <v>Developing</v>
      </c>
    </row>
    <row r="1296" spans="1:13">
      <c r="A1296" s="21" t="str">
        <f t="shared" ca="1" si="80"/>
        <v>He-Res-2023-1295</v>
      </c>
      <c r="B1296" s="6">
        <v>41</v>
      </c>
      <c r="C1296" s="6" t="str">
        <f t="shared" si="81"/>
        <v>40-49</v>
      </c>
      <c r="D1296" s="6" t="s">
        <v>43</v>
      </c>
      <c r="E1296" s="6" t="s">
        <v>45</v>
      </c>
      <c r="F1296" s="6" t="s">
        <v>46</v>
      </c>
      <c r="G1296" s="6" t="s">
        <v>54</v>
      </c>
      <c r="H1296" s="8">
        <v>6870</v>
      </c>
      <c r="I1296" s="8">
        <f t="shared" si="82"/>
        <v>1030.5</v>
      </c>
      <c r="J1296" s="8">
        <f t="shared" si="83"/>
        <v>5839.5</v>
      </c>
      <c r="K1296" s="8">
        <v>15530</v>
      </c>
      <c r="L1296" s="6">
        <v>3</v>
      </c>
      <c r="M1296" s="22" t="str" cm="1">
        <f t="array" ref="M1296">_xlfn.IFS(L1296&gt;10,"Veteran",L1296&gt;=6,"Experienced",L1296&gt;=2,"Developing",L1296&gt;=0,"New")</f>
        <v>Developing</v>
      </c>
    </row>
    <row r="1297" spans="1:13">
      <c r="A1297" s="21" t="str">
        <f t="shared" ca="1" si="80"/>
        <v>Sa-Sal-2004-1296</v>
      </c>
      <c r="B1297" s="6">
        <v>41</v>
      </c>
      <c r="C1297" s="6" t="str">
        <f t="shared" si="81"/>
        <v>40-49</v>
      </c>
      <c r="D1297" s="6" t="s">
        <v>43</v>
      </c>
      <c r="E1297" s="6" t="s">
        <v>37</v>
      </c>
      <c r="F1297" s="6" t="s">
        <v>39</v>
      </c>
      <c r="G1297" s="6" t="s">
        <v>40</v>
      </c>
      <c r="H1297" s="8">
        <v>10447</v>
      </c>
      <c r="I1297" s="8">
        <f t="shared" si="82"/>
        <v>2298.34</v>
      </c>
      <c r="J1297" s="8">
        <f t="shared" si="83"/>
        <v>8148.66</v>
      </c>
      <c r="K1297" s="8">
        <v>26458</v>
      </c>
      <c r="L1297" s="6">
        <v>22</v>
      </c>
      <c r="M1297" s="22" t="str" cm="1">
        <f t="array" ref="M1297">_xlfn.IFS(L1297&gt;10,"Veteran",L1297&gt;=6,"Experienced",L1297&gt;=2,"Developing",L1297&gt;=0,"New")</f>
        <v>Veteran</v>
      </c>
    </row>
    <row r="1298" spans="1:13">
      <c r="A1298" s="21" t="str">
        <f t="shared" ca="1" si="80"/>
        <v>Ma-Res-2019-1297</v>
      </c>
      <c r="B1298" s="6">
        <v>30</v>
      </c>
      <c r="C1298" s="6" t="str">
        <f t="shared" si="81"/>
        <v>30-39</v>
      </c>
      <c r="D1298" s="6" t="s">
        <v>43</v>
      </c>
      <c r="E1298" s="6" t="s">
        <v>45</v>
      </c>
      <c r="F1298" s="6" t="s">
        <v>39</v>
      </c>
      <c r="G1298" s="6" t="s">
        <v>53</v>
      </c>
      <c r="H1298" s="8">
        <v>9667</v>
      </c>
      <c r="I1298" s="8">
        <f t="shared" si="82"/>
        <v>2126.7400000000002</v>
      </c>
      <c r="J1298" s="8">
        <f t="shared" si="83"/>
        <v>7540.26</v>
      </c>
      <c r="K1298" s="8">
        <v>2739</v>
      </c>
      <c r="L1298" s="6">
        <v>7</v>
      </c>
      <c r="M1298" s="22" t="str" cm="1">
        <f t="array" ref="M1298">_xlfn.IFS(L1298&gt;10,"Veteran",L1298&gt;=6,"Experienced",L1298&gt;=2,"Developing",L1298&gt;=0,"New")</f>
        <v>Experienced</v>
      </c>
    </row>
    <row r="1299" spans="1:13">
      <c r="A1299" s="21" t="str">
        <f t="shared" ca="1" si="80"/>
        <v>Hu-Hum-2021-1298</v>
      </c>
      <c r="B1299" s="6">
        <v>26</v>
      </c>
      <c r="C1299" s="6" t="str">
        <f t="shared" si="81"/>
        <v>20-29</v>
      </c>
      <c r="D1299" s="6" t="s">
        <v>35</v>
      </c>
      <c r="E1299" s="6" t="s">
        <v>61</v>
      </c>
      <c r="F1299" s="6" t="s">
        <v>39</v>
      </c>
      <c r="G1299" s="6" t="s">
        <v>61</v>
      </c>
      <c r="H1299" s="8">
        <v>2148</v>
      </c>
      <c r="I1299" s="8">
        <f t="shared" si="82"/>
        <v>150.36000000000001</v>
      </c>
      <c r="J1299" s="8">
        <f t="shared" si="83"/>
        <v>1997.6399999999999</v>
      </c>
      <c r="K1299" s="8">
        <v>6889</v>
      </c>
      <c r="L1299" s="6">
        <v>5</v>
      </c>
      <c r="M1299" s="22" t="str" cm="1">
        <f t="array" ref="M1299">_xlfn.IFS(L1299&gt;10,"Veteran",L1299&gt;=6,"Experienced",L1299&gt;=2,"Developing",L1299&gt;=0,"New")</f>
        <v>Developing</v>
      </c>
    </row>
    <row r="1300" spans="1:13">
      <c r="A1300" s="21" t="str">
        <f t="shared" ca="1" si="80"/>
        <v>He-Res-2017-1299</v>
      </c>
      <c r="B1300" s="6">
        <v>46</v>
      </c>
      <c r="C1300" s="6" t="str">
        <f t="shared" si="81"/>
        <v>40-49</v>
      </c>
      <c r="D1300" s="6" t="s">
        <v>35</v>
      </c>
      <c r="E1300" s="6" t="s">
        <v>45</v>
      </c>
      <c r="F1300" s="6" t="s">
        <v>39</v>
      </c>
      <c r="G1300" s="6" t="s">
        <v>54</v>
      </c>
      <c r="H1300" s="8">
        <v>8926</v>
      </c>
      <c r="I1300" s="8">
        <f t="shared" si="82"/>
        <v>1963.72</v>
      </c>
      <c r="J1300" s="8">
        <f t="shared" si="83"/>
        <v>6962.28</v>
      </c>
      <c r="K1300" s="8">
        <v>10842</v>
      </c>
      <c r="L1300" s="6">
        <v>9</v>
      </c>
      <c r="M1300" s="22" t="str" cm="1">
        <f t="array" ref="M1300">_xlfn.IFS(L1300&gt;10,"Veteran",L1300&gt;=6,"Experienced",L1300&gt;=2,"Developing",L1300&gt;=0,"New")</f>
        <v>Experienced</v>
      </c>
    </row>
    <row r="1301" spans="1:13">
      <c r="A1301" s="21" t="str">
        <f t="shared" ca="1" si="80"/>
        <v>He-Res-2021-1300</v>
      </c>
      <c r="B1301" s="6">
        <v>40</v>
      </c>
      <c r="C1301" s="6" t="str">
        <f t="shared" si="81"/>
        <v>40-49</v>
      </c>
      <c r="D1301" s="6" t="s">
        <v>43</v>
      </c>
      <c r="E1301" s="6" t="s">
        <v>45</v>
      </c>
      <c r="F1301" s="6" t="s">
        <v>39</v>
      </c>
      <c r="G1301" s="6" t="s">
        <v>54</v>
      </c>
      <c r="H1301" s="8">
        <v>6513</v>
      </c>
      <c r="I1301" s="8">
        <f t="shared" si="82"/>
        <v>976.94999999999993</v>
      </c>
      <c r="J1301" s="8">
        <f t="shared" si="83"/>
        <v>5536.05</v>
      </c>
      <c r="K1301" s="8">
        <v>9060</v>
      </c>
      <c r="L1301" s="6">
        <v>5</v>
      </c>
      <c r="M1301" s="22" t="str" cm="1">
        <f t="array" ref="M1301">_xlfn.IFS(L1301&gt;10,"Veteran",L1301&gt;=6,"Experienced",L1301&gt;=2,"Developing",L1301&gt;=0,"New")</f>
        <v>Developing</v>
      </c>
    </row>
    <row r="1302" spans="1:13">
      <c r="A1302" s="21" t="str">
        <f t="shared" ca="1" si="80"/>
        <v>Sa-Sal-2016-1301</v>
      </c>
      <c r="B1302" s="6">
        <v>34</v>
      </c>
      <c r="C1302" s="6" t="str">
        <f t="shared" si="81"/>
        <v>30-39</v>
      </c>
      <c r="D1302" s="6" t="s">
        <v>43</v>
      </c>
      <c r="E1302" s="6" t="s">
        <v>37</v>
      </c>
      <c r="F1302" s="6" t="s">
        <v>46</v>
      </c>
      <c r="G1302" s="6" t="s">
        <v>40</v>
      </c>
      <c r="H1302" s="8">
        <v>6799</v>
      </c>
      <c r="I1302" s="8">
        <f t="shared" si="82"/>
        <v>1019.8499999999999</v>
      </c>
      <c r="J1302" s="8">
        <f t="shared" si="83"/>
        <v>5779.15</v>
      </c>
      <c r="K1302" s="8">
        <v>22128</v>
      </c>
      <c r="L1302" s="6">
        <v>10</v>
      </c>
      <c r="M1302" s="22" t="str" cm="1">
        <f t="array" ref="M1302">_xlfn.IFS(L1302&gt;10,"Veteran",L1302&gt;=6,"Experienced",L1302&gt;=2,"Developing",L1302&gt;=0,"New")</f>
        <v>Experienced</v>
      </c>
    </row>
    <row r="1303" spans="1:13">
      <c r="A1303" s="21" t="str">
        <f t="shared" ca="1" si="80"/>
        <v>Ma-Sal-2010-1302</v>
      </c>
      <c r="B1303" s="6">
        <v>58</v>
      </c>
      <c r="C1303" s="6" t="str">
        <f t="shared" si="81"/>
        <v>50+</v>
      </c>
      <c r="D1303" s="6" t="s">
        <v>43</v>
      </c>
      <c r="E1303" s="6" t="s">
        <v>37</v>
      </c>
      <c r="F1303" s="6" t="s">
        <v>46</v>
      </c>
      <c r="G1303" s="6" t="s">
        <v>56</v>
      </c>
      <c r="H1303" s="8">
        <v>16291</v>
      </c>
      <c r="I1303" s="8">
        <f t="shared" si="82"/>
        <v>4887.3</v>
      </c>
      <c r="J1303" s="8">
        <f t="shared" si="83"/>
        <v>11403.7</v>
      </c>
      <c r="K1303" s="8">
        <v>22577</v>
      </c>
      <c r="L1303" s="6">
        <v>16</v>
      </c>
      <c r="M1303" s="22" t="str" cm="1">
        <f t="array" ref="M1303">_xlfn.IFS(L1303&gt;10,"Veteran",L1303&gt;=6,"Experienced",L1303&gt;=2,"Developing",L1303&gt;=0,"New")</f>
        <v>Veteran</v>
      </c>
    </row>
    <row r="1304" spans="1:13">
      <c r="A1304" s="21" t="str">
        <f t="shared" ca="1" si="80"/>
        <v>La-Res-2021-1303</v>
      </c>
      <c r="B1304" s="6">
        <v>35</v>
      </c>
      <c r="C1304" s="6" t="str">
        <f t="shared" si="81"/>
        <v>30-39</v>
      </c>
      <c r="D1304" s="6" t="s">
        <v>43</v>
      </c>
      <c r="E1304" s="6" t="s">
        <v>45</v>
      </c>
      <c r="F1304" s="6" t="s">
        <v>46</v>
      </c>
      <c r="G1304" s="6" t="s">
        <v>50</v>
      </c>
      <c r="H1304" s="8">
        <v>2705</v>
      </c>
      <c r="I1304" s="8">
        <f t="shared" si="82"/>
        <v>189.35000000000002</v>
      </c>
      <c r="J1304" s="8">
        <f t="shared" si="83"/>
        <v>2515.65</v>
      </c>
      <c r="K1304" s="8">
        <v>9696</v>
      </c>
      <c r="L1304" s="6">
        <v>5</v>
      </c>
      <c r="M1304" s="22" t="str" cm="1">
        <f t="array" ref="M1304">_xlfn.IFS(L1304&gt;10,"Veteran",L1304&gt;=6,"Experienced",L1304&gt;=2,"Developing",L1304&gt;=0,"New")</f>
        <v>Developing</v>
      </c>
    </row>
    <row r="1305" spans="1:13">
      <c r="A1305" s="21" t="str">
        <f t="shared" ca="1" si="80"/>
        <v>Ma-Res-2004-1304</v>
      </c>
      <c r="B1305" s="6">
        <v>47</v>
      </c>
      <c r="C1305" s="6" t="str">
        <f t="shared" si="81"/>
        <v>40-49</v>
      </c>
      <c r="D1305" s="6" t="s">
        <v>43</v>
      </c>
      <c r="E1305" s="6" t="s">
        <v>45</v>
      </c>
      <c r="F1305" s="6" t="s">
        <v>39</v>
      </c>
      <c r="G1305" s="6" t="s">
        <v>53</v>
      </c>
      <c r="H1305" s="8">
        <v>10333</v>
      </c>
      <c r="I1305" s="8">
        <f t="shared" si="82"/>
        <v>2273.2600000000002</v>
      </c>
      <c r="J1305" s="8">
        <f t="shared" si="83"/>
        <v>8059.74</v>
      </c>
      <c r="K1305" s="8">
        <v>19271</v>
      </c>
      <c r="L1305" s="6">
        <v>22</v>
      </c>
      <c r="M1305" s="22" t="str" cm="1">
        <f t="array" ref="M1305">_xlfn.IFS(L1305&gt;10,"Veteran",L1305&gt;=6,"Experienced",L1305&gt;=2,"Developing",L1305&gt;=0,"New")</f>
        <v>Veteran</v>
      </c>
    </row>
    <row r="1306" spans="1:13">
      <c r="A1306" s="21" t="str">
        <f t="shared" ca="1" si="80"/>
        <v>He-Res-2019-1305</v>
      </c>
      <c r="B1306" s="6">
        <v>40</v>
      </c>
      <c r="C1306" s="6" t="str">
        <f t="shared" si="81"/>
        <v>40-49</v>
      </c>
      <c r="D1306" s="6" t="s">
        <v>43</v>
      </c>
      <c r="E1306" s="6" t="s">
        <v>45</v>
      </c>
      <c r="F1306" s="6" t="s">
        <v>39</v>
      </c>
      <c r="G1306" s="6" t="s">
        <v>54</v>
      </c>
      <c r="H1306" s="8">
        <v>4448</v>
      </c>
      <c r="I1306" s="8">
        <f t="shared" si="82"/>
        <v>667.19999999999993</v>
      </c>
      <c r="J1306" s="8">
        <f t="shared" si="83"/>
        <v>3780.8</v>
      </c>
      <c r="K1306" s="8">
        <v>10748</v>
      </c>
      <c r="L1306" s="6">
        <v>7</v>
      </c>
      <c r="M1306" s="22" t="str" cm="1">
        <f t="array" ref="M1306">_xlfn.IFS(L1306&gt;10,"Veteran",L1306&gt;=6,"Experienced",L1306&gt;=2,"Developing",L1306&gt;=0,"New")</f>
        <v>Experienced</v>
      </c>
    </row>
    <row r="1307" spans="1:13">
      <c r="A1307" s="21" t="str">
        <f t="shared" ca="1" si="80"/>
        <v>Re-Res-2019-1306</v>
      </c>
      <c r="B1307" s="6">
        <v>54</v>
      </c>
      <c r="C1307" s="6" t="str">
        <f t="shared" si="81"/>
        <v>50+</v>
      </c>
      <c r="D1307" s="6" t="s">
        <v>43</v>
      </c>
      <c r="E1307" s="6" t="s">
        <v>45</v>
      </c>
      <c r="F1307" s="6" t="s">
        <v>39</v>
      </c>
      <c r="G1307" s="6" t="s">
        <v>47</v>
      </c>
      <c r="H1307" s="8">
        <v>6854</v>
      </c>
      <c r="I1307" s="8">
        <f t="shared" si="82"/>
        <v>1028.0999999999999</v>
      </c>
      <c r="J1307" s="8">
        <f t="shared" si="83"/>
        <v>5825.9</v>
      </c>
      <c r="K1307" s="8">
        <v>15696</v>
      </c>
      <c r="L1307" s="6">
        <v>7</v>
      </c>
      <c r="M1307" s="22" t="str" cm="1">
        <f t="array" ref="M1307">_xlfn.IFS(L1307&gt;10,"Veteran",L1307&gt;=6,"Experienced",L1307&gt;=2,"Developing",L1307&gt;=0,"New")</f>
        <v>Experienced</v>
      </c>
    </row>
    <row r="1308" spans="1:13">
      <c r="A1308" s="21" t="str">
        <f t="shared" ca="1" si="80"/>
        <v>Sa-Sal-2023-1307</v>
      </c>
      <c r="B1308" s="6">
        <v>31</v>
      </c>
      <c r="C1308" s="6" t="str">
        <f t="shared" si="81"/>
        <v>30-39</v>
      </c>
      <c r="D1308" s="6" t="s">
        <v>43</v>
      </c>
      <c r="E1308" s="6" t="s">
        <v>37</v>
      </c>
      <c r="F1308" s="6" t="s">
        <v>39</v>
      </c>
      <c r="G1308" s="6" t="s">
        <v>40</v>
      </c>
      <c r="H1308" s="8">
        <v>9637</v>
      </c>
      <c r="I1308" s="8">
        <f t="shared" si="82"/>
        <v>2120.14</v>
      </c>
      <c r="J1308" s="8">
        <f t="shared" si="83"/>
        <v>7516.8600000000006</v>
      </c>
      <c r="K1308" s="8">
        <v>8277</v>
      </c>
      <c r="L1308" s="6">
        <v>3</v>
      </c>
      <c r="M1308" s="22" t="str" cm="1">
        <f t="array" ref="M1308">_xlfn.IFS(L1308&gt;10,"Veteran",L1308&gt;=6,"Experienced",L1308&gt;=2,"Developing",L1308&gt;=0,"New")</f>
        <v>Developing</v>
      </c>
    </row>
    <row r="1309" spans="1:13">
      <c r="A1309" s="21" t="str">
        <f t="shared" ca="1" si="80"/>
        <v>Re-Res-2023-1308</v>
      </c>
      <c r="B1309" s="6">
        <v>28</v>
      </c>
      <c r="C1309" s="6" t="str">
        <f t="shared" si="81"/>
        <v>20-29</v>
      </c>
      <c r="D1309" s="6" t="s">
        <v>43</v>
      </c>
      <c r="E1309" s="6" t="s">
        <v>45</v>
      </c>
      <c r="F1309" s="6" t="s">
        <v>39</v>
      </c>
      <c r="G1309" s="6" t="s">
        <v>47</v>
      </c>
      <c r="H1309" s="8">
        <v>3591</v>
      </c>
      <c r="I1309" s="8">
        <f t="shared" si="82"/>
        <v>538.65</v>
      </c>
      <c r="J1309" s="8">
        <f t="shared" si="83"/>
        <v>3052.35</v>
      </c>
      <c r="K1309" s="8">
        <v>12719</v>
      </c>
      <c r="L1309" s="6">
        <v>3</v>
      </c>
      <c r="M1309" s="22" t="str" cm="1">
        <f t="array" ref="M1309">_xlfn.IFS(L1309&gt;10,"Veteran",L1309&gt;=6,"Experienced",L1309&gt;=2,"Developing",L1309&gt;=0,"New")</f>
        <v>Developing</v>
      </c>
    </row>
    <row r="1310" spans="1:13">
      <c r="A1310" s="21" t="str">
        <f t="shared" ca="1" si="80"/>
        <v>Sa-Sal-2022-1309</v>
      </c>
      <c r="B1310" s="6">
        <v>38</v>
      </c>
      <c r="C1310" s="6" t="str">
        <f t="shared" si="81"/>
        <v>30-39</v>
      </c>
      <c r="D1310" s="6" t="s">
        <v>43</v>
      </c>
      <c r="E1310" s="6" t="s">
        <v>37</v>
      </c>
      <c r="F1310" s="6" t="s">
        <v>39</v>
      </c>
      <c r="G1310" s="6" t="s">
        <v>57</v>
      </c>
      <c r="H1310" s="8">
        <v>5405</v>
      </c>
      <c r="I1310" s="8">
        <f t="shared" si="82"/>
        <v>810.75</v>
      </c>
      <c r="J1310" s="8">
        <f t="shared" si="83"/>
        <v>4594.25</v>
      </c>
      <c r="K1310" s="8">
        <v>4244</v>
      </c>
      <c r="L1310" s="6">
        <v>4</v>
      </c>
      <c r="M1310" s="22" t="str" cm="1">
        <f t="array" ref="M1310">_xlfn.IFS(L1310&gt;10,"Veteran",L1310&gt;=6,"Experienced",L1310&gt;=2,"Developing",L1310&gt;=0,"New")</f>
        <v>Developing</v>
      </c>
    </row>
    <row r="1311" spans="1:13">
      <c r="A1311" s="21" t="str">
        <f t="shared" ca="1" si="80"/>
        <v>Sa-Sal-2021-1310</v>
      </c>
      <c r="B1311" s="6">
        <v>26</v>
      </c>
      <c r="C1311" s="6" t="str">
        <f t="shared" si="81"/>
        <v>20-29</v>
      </c>
      <c r="D1311" s="6" t="s">
        <v>43</v>
      </c>
      <c r="E1311" s="6" t="s">
        <v>37</v>
      </c>
      <c r="F1311" s="6" t="s">
        <v>46</v>
      </c>
      <c r="G1311" s="6" t="s">
        <v>40</v>
      </c>
      <c r="H1311" s="8">
        <v>4684</v>
      </c>
      <c r="I1311" s="8">
        <f t="shared" si="82"/>
        <v>702.6</v>
      </c>
      <c r="J1311" s="8">
        <f t="shared" si="83"/>
        <v>3981.4</v>
      </c>
      <c r="K1311" s="8">
        <v>9125</v>
      </c>
      <c r="L1311" s="6">
        <v>5</v>
      </c>
      <c r="M1311" s="22" t="str" cm="1">
        <f t="array" ref="M1311">_xlfn.IFS(L1311&gt;10,"Veteran",L1311&gt;=6,"Experienced",L1311&gt;=2,"Developing",L1311&gt;=0,"New")</f>
        <v>Developing</v>
      </c>
    </row>
    <row r="1312" spans="1:13">
      <c r="A1312" s="21" t="str">
        <f t="shared" ca="1" si="80"/>
        <v>Re-Res-2024-1311</v>
      </c>
      <c r="B1312" s="6">
        <v>58</v>
      </c>
      <c r="C1312" s="6" t="str">
        <f t="shared" si="81"/>
        <v>50+</v>
      </c>
      <c r="D1312" s="6" t="s">
        <v>43</v>
      </c>
      <c r="E1312" s="6" t="s">
        <v>45</v>
      </c>
      <c r="F1312" s="6" t="s">
        <v>46</v>
      </c>
      <c r="G1312" s="6" t="s">
        <v>58</v>
      </c>
      <c r="H1312" s="8">
        <v>15787</v>
      </c>
      <c r="I1312" s="8">
        <f t="shared" si="82"/>
        <v>4736.0999999999995</v>
      </c>
      <c r="J1312" s="8">
        <f t="shared" si="83"/>
        <v>11050.900000000001</v>
      </c>
      <c r="K1312" s="8">
        <v>21624</v>
      </c>
      <c r="L1312" s="6">
        <v>2</v>
      </c>
      <c r="M1312" s="22" t="str" cm="1">
        <f t="array" ref="M1312">_xlfn.IFS(L1312&gt;10,"Veteran",L1312&gt;=6,"Experienced",L1312&gt;=2,"Developing",L1312&gt;=0,"New")</f>
        <v>Developing</v>
      </c>
    </row>
    <row r="1313" spans="1:13">
      <c r="A1313" s="21" t="str">
        <f t="shared" ca="1" si="80"/>
        <v>Re-Res-2026-1312</v>
      </c>
      <c r="B1313" s="6">
        <v>18</v>
      </c>
      <c r="C1313" s="6" t="str">
        <f t="shared" si="81"/>
        <v>20-29</v>
      </c>
      <c r="D1313" s="6" t="s">
        <v>43</v>
      </c>
      <c r="E1313" s="6" t="s">
        <v>45</v>
      </c>
      <c r="F1313" s="6" t="s">
        <v>39</v>
      </c>
      <c r="G1313" s="6" t="s">
        <v>47</v>
      </c>
      <c r="H1313" s="8">
        <v>1514</v>
      </c>
      <c r="I1313" s="8">
        <f t="shared" si="82"/>
        <v>105.98</v>
      </c>
      <c r="J1313" s="8">
        <f t="shared" si="83"/>
        <v>1408.02</v>
      </c>
      <c r="K1313" s="8">
        <v>8018</v>
      </c>
      <c r="L1313" s="6">
        <v>0</v>
      </c>
      <c r="M1313" s="22" t="str" cm="1">
        <f t="array" ref="M1313">_xlfn.IFS(L1313&gt;10,"Veteran",L1313&gt;=6,"Experienced",L1313&gt;=2,"Developing",L1313&gt;=0,"New")</f>
        <v>New</v>
      </c>
    </row>
    <row r="1314" spans="1:13">
      <c r="A1314" s="21" t="str">
        <f t="shared" ca="1" si="80"/>
        <v>Hu-Hum-2025-1313</v>
      </c>
      <c r="B1314" s="6">
        <v>31</v>
      </c>
      <c r="C1314" s="6" t="str">
        <f t="shared" si="81"/>
        <v>30-39</v>
      </c>
      <c r="D1314" s="6" t="s">
        <v>35</v>
      </c>
      <c r="E1314" s="6" t="s">
        <v>61</v>
      </c>
      <c r="F1314" s="6" t="s">
        <v>46</v>
      </c>
      <c r="G1314" s="6" t="s">
        <v>61</v>
      </c>
      <c r="H1314" s="8">
        <v>2956</v>
      </c>
      <c r="I1314" s="8">
        <f t="shared" si="82"/>
        <v>206.92000000000002</v>
      </c>
      <c r="J1314" s="8">
        <f t="shared" si="83"/>
        <v>2749.08</v>
      </c>
      <c r="K1314" s="8">
        <v>21495</v>
      </c>
      <c r="L1314" s="6">
        <v>1</v>
      </c>
      <c r="M1314" s="22" t="str" cm="1">
        <f t="array" ref="M1314">_xlfn.IFS(L1314&gt;10,"Veteran",L1314&gt;=6,"Experienced",L1314&gt;=2,"Developing",L1314&gt;=0,"New")</f>
        <v>New</v>
      </c>
    </row>
    <row r="1315" spans="1:13">
      <c r="A1315" s="21" t="str">
        <f t="shared" ca="1" si="80"/>
        <v>Hu-Hum-2024-1314</v>
      </c>
      <c r="B1315" s="6">
        <v>29</v>
      </c>
      <c r="C1315" s="6" t="str">
        <f t="shared" si="81"/>
        <v>20-29</v>
      </c>
      <c r="D1315" s="6" t="s">
        <v>35</v>
      </c>
      <c r="E1315" s="6" t="s">
        <v>61</v>
      </c>
      <c r="F1315" s="6" t="s">
        <v>46</v>
      </c>
      <c r="G1315" s="6" t="s">
        <v>61</v>
      </c>
      <c r="H1315" s="8">
        <v>2335</v>
      </c>
      <c r="I1315" s="8">
        <f t="shared" si="82"/>
        <v>163.45000000000002</v>
      </c>
      <c r="J1315" s="8">
        <f t="shared" si="83"/>
        <v>2171.5500000000002</v>
      </c>
      <c r="K1315" s="8">
        <v>3157</v>
      </c>
      <c r="L1315" s="6">
        <v>2</v>
      </c>
      <c r="M1315" s="22" t="str" cm="1">
        <f t="array" ref="M1315">_xlfn.IFS(L1315&gt;10,"Veteran",L1315&gt;=6,"Experienced",L1315&gt;=2,"Developing",L1315&gt;=0,"New")</f>
        <v>Developing</v>
      </c>
    </row>
    <row r="1316" spans="1:13">
      <c r="A1316" s="21" t="str">
        <f t="shared" ca="1" si="80"/>
        <v>Sa-Sal-2018-1315</v>
      </c>
      <c r="B1316" s="6">
        <v>45</v>
      </c>
      <c r="C1316" s="6" t="str">
        <f t="shared" si="81"/>
        <v>40-49</v>
      </c>
      <c r="D1316" s="6" t="s">
        <v>43</v>
      </c>
      <c r="E1316" s="6" t="s">
        <v>37</v>
      </c>
      <c r="F1316" s="6" t="s">
        <v>39</v>
      </c>
      <c r="G1316" s="6" t="s">
        <v>40</v>
      </c>
      <c r="H1316" s="8">
        <v>5154</v>
      </c>
      <c r="I1316" s="8">
        <f t="shared" si="82"/>
        <v>773.1</v>
      </c>
      <c r="J1316" s="8">
        <f t="shared" si="83"/>
        <v>4380.8999999999996</v>
      </c>
      <c r="K1316" s="8">
        <v>19665</v>
      </c>
      <c r="L1316" s="6">
        <v>8</v>
      </c>
      <c r="M1316" s="22" t="str" cm="1">
        <f t="array" ref="M1316">_xlfn.IFS(L1316&gt;10,"Veteran",L1316&gt;=6,"Experienced",L1316&gt;=2,"Developing",L1316&gt;=0,"New")</f>
        <v>Experienced</v>
      </c>
    </row>
    <row r="1317" spans="1:13">
      <c r="A1317" s="21" t="str">
        <f t="shared" ca="1" si="80"/>
        <v>Re-Res-2025-1316</v>
      </c>
      <c r="B1317" s="6">
        <v>36</v>
      </c>
      <c r="C1317" s="6" t="str">
        <f t="shared" si="81"/>
        <v>30-39</v>
      </c>
      <c r="D1317" s="6" t="s">
        <v>43</v>
      </c>
      <c r="E1317" s="6" t="s">
        <v>45</v>
      </c>
      <c r="F1317" s="6" t="s">
        <v>39</v>
      </c>
      <c r="G1317" s="6" t="s">
        <v>47</v>
      </c>
      <c r="H1317" s="8">
        <v>6962</v>
      </c>
      <c r="I1317" s="8">
        <f t="shared" si="82"/>
        <v>1044.3</v>
      </c>
      <c r="J1317" s="8">
        <f t="shared" si="83"/>
        <v>5917.7</v>
      </c>
      <c r="K1317" s="8">
        <v>19573</v>
      </c>
      <c r="L1317" s="6">
        <v>1</v>
      </c>
      <c r="M1317" s="22" t="str" cm="1">
        <f t="array" ref="M1317">_xlfn.IFS(L1317&gt;10,"Veteran",L1317&gt;=6,"Experienced",L1317&gt;=2,"Developing",L1317&gt;=0,"New")</f>
        <v>New</v>
      </c>
    </row>
    <row r="1318" spans="1:13">
      <c r="A1318" s="21" t="str">
        <f t="shared" ca="1" si="80"/>
        <v>Sa-Sal-2019-1317</v>
      </c>
      <c r="B1318" s="6">
        <v>43</v>
      </c>
      <c r="C1318" s="6" t="str">
        <f t="shared" si="81"/>
        <v>40-49</v>
      </c>
      <c r="D1318" s="6" t="s">
        <v>43</v>
      </c>
      <c r="E1318" s="6" t="s">
        <v>37</v>
      </c>
      <c r="F1318" s="6" t="s">
        <v>46</v>
      </c>
      <c r="G1318" s="6" t="s">
        <v>40</v>
      </c>
      <c r="H1318" s="8">
        <v>5675</v>
      </c>
      <c r="I1318" s="8">
        <f t="shared" si="82"/>
        <v>851.25</v>
      </c>
      <c r="J1318" s="8">
        <f t="shared" si="83"/>
        <v>4823.75</v>
      </c>
      <c r="K1318" s="8">
        <v>19246</v>
      </c>
      <c r="L1318" s="6">
        <v>7</v>
      </c>
      <c r="M1318" s="22" t="str" cm="1">
        <f t="array" ref="M1318">_xlfn.IFS(L1318&gt;10,"Veteran",L1318&gt;=6,"Experienced",L1318&gt;=2,"Developing",L1318&gt;=0,"New")</f>
        <v>Experienced</v>
      </c>
    </row>
    <row r="1319" spans="1:13">
      <c r="A1319" s="21" t="str">
        <f t="shared" ca="1" si="80"/>
        <v>La-Res-2021-1318</v>
      </c>
      <c r="B1319" s="6">
        <v>27</v>
      </c>
      <c r="C1319" s="6" t="str">
        <f t="shared" si="81"/>
        <v>20-29</v>
      </c>
      <c r="D1319" s="6" t="s">
        <v>43</v>
      </c>
      <c r="E1319" s="6" t="s">
        <v>45</v>
      </c>
      <c r="F1319" s="6" t="s">
        <v>39</v>
      </c>
      <c r="G1319" s="6" t="s">
        <v>50</v>
      </c>
      <c r="H1319" s="8">
        <v>2379</v>
      </c>
      <c r="I1319" s="8">
        <f t="shared" si="82"/>
        <v>166.53000000000003</v>
      </c>
      <c r="J1319" s="8">
        <f t="shared" si="83"/>
        <v>2212.4699999999998</v>
      </c>
      <c r="K1319" s="8">
        <v>19826</v>
      </c>
      <c r="L1319" s="6">
        <v>5</v>
      </c>
      <c r="M1319" s="22" t="str" cm="1">
        <f t="array" ref="M1319">_xlfn.IFS(L1319&gt;10,"Veteran",L1319&gt;=6,"Experienced",L1319&gt;=2,"Developing",L1319&gt;=0,"New")</f>
        <v>Developing</v>
      </c>
    </row>
    <row r="1320" spans="1:13">
      <c r="A1320" s="21" t="str">
        <f t="shared" ca="1" si="80"/>
        <v>La-Res-2015-1319</v>
      </c>
      <c r="B1320" s="6">
        <v>29</v>
      </c>
      <c r="C1320" s="6" t="str">
        <f t="shared" si="81"/>
        <v>20-29</v>
      </c>
      <c r="D1320" s="6" t="s">
        <v>43</v>
      </c>
      <c r="E1320" s="6" t="s">
        <v>45</v>
      </c>
      <c r="F1320" s="6" t="s">
        <v>46</v>
      </c>
      <c r="G1320" s="6" t="s">
        <v>50</v>
      </c>
      <c r="H1320" s="8">
        <v>3812</v>
      </c>
      <c r="I1320" s="8">
        <f t="shared" si="82"/>
        <v>571.79999999999995</v>
      </c>
      <c r="J1320" s="8">
        <f t="shared" si="83"/>
        <v>3240.2</v>
      </c>
      <c r="K1320" s="8">
        <v>7003</v>
      </c>
      <c r="L1320" s="6">
        <v>11</v>
      </c>
      <c r="M1320" s="22" t="str" cm="1">
        <f t="array" ref="M1320">_xlfn.IFS(L1320&gt;10,"Veteran",L1320&gt;=6,"Experienced",L1320&gt;=2,"Developing",L1320&gt;=0,"New")</f>
        <v>Veteran</v>
      </c>
    </row>
    <row r="1321" spans="1:13">
      <c r="A1321" s="21" t="str">
        <f t="shared" ca="1" si="80"/>
        <v>Sa-Sal-2026-1320</v>
      </c>
      <c r="B1321" s="6">
        <v>32</v>
      </c>
      <c r="C1321" s="6" t="str">
        <f t="shared" si="81"/>
        <v>30-39</v>
      </c>
      <c r="D1321" s="6" t="s">
        <v>43</v>
      </c>
      <c r="E1321" s="6" t="s">
        <v>37</v>
      </c>
      <c r="F1321" s="6" t="s">
        <v>46</v>
      </c>
      <c r="G1321" s="6" t="s">
        <v>40</v>
      </c>
      <c r="H1321" s="8">
        <v>4648</v>
      </c>
      <c r="I1321" s="8">
        <f t="shared" si="82"/>
        <v>697.19999999999993</v>
      </c>
      <c r="J1321" s="8">
        <f t="shared" si="83"/>
        <v>3950.8</v>
      </c>
      <c r="K1321" s="8">
        <v>26075</v>
      </c>
      <c r="L1321" s="6">
        <v>0</v>
      </c>
      <c r="M1321" s="22" t="str" cm="1">
        <f t="array" ref="M1321">_xlfn.IFS(L1321&gt;10,"Veteran",L1321&gt;=6,"Experienced",L1321&gt;=2,"Developing",L1321&gt;=0,"New")</f>
        <v>New</v>
      </c>
    </row>
    <row r="1322" spans="1:13">
      <c r="A1322" s="21" t="str">
        <f t="shared" ca="1" si="80"/>
        <v>Re-Res-2020-1321</v>
      </c>
      <c r="B1322" s="6">
        <v>42</v>
      </c>
      <c r="C1322" s="6" t="str">
        <f t="shared" si="81"/>
        <v>40-49</v>
      </c>
      <c r="D1322" s="6" t="s">
        <v>43</v>
      </c>
      <c r="E1322" s="6" t="s">
        <v>45</v>
      </c>
      <c r="F1322" s="6" t="s">
        <v>46</v>
      </c>
      <c r="G1322" s="6" t="s">
        <v>47</v>
      </c>
      <c r="H1322" s="8">
        <v>2936</v>
      </c>
      <c r="I1322" s="8">
        <f t="shared" si="82"/>
        <v>205.52</v>
      </c>
      <c r="J1322" s="8">
        <f t="shared" si="83"/>
        <v>2730.48</v>
      </c>
      <c r="K1322" s="8">
        <v>6161</v>
      </c>
      <c r="L1322" s="6">
        <v>6</v>
      </c>
      <c r="M1322" s="22" t="str" cm="1">
        <f t="array" ref="M1322">_xlfn.IFS(L1322&gt;10,"Veteran",L1322&gt;=6,"Experienced",L1322&gt;=2,"Developing",L1322&gt;=0,"New")</f>
        <v>Experienced</v>
      </c>
    </row>
    <row r="1323" spans="1:13">
      <c r="A1323" s="21" t="str">
        <f t="shared" ca="1" si="80"/>
        <v>La-Res-2024-1322</v>
      </c>
      <c r="B1323" s="6">
        <v>47</v>
      </c>
      <c r="C1323" s="6" t="str">
        <f t="shared" si="81"/>
        <v>40-49</v>
      </c>
      <c r="D1323" s="6" t="s">
        <v>43</v>
      </c>
      <c r="E1323" s="6" t="s">
        <v>45</v>
      </c>
      <c r="F1323" s="6" t="s">
        <v>39</v>
      </c>
      <c r="G1323" s="6" t="s">
        <v>50</v>
      </c>
      <c r="H1323" s="8">
        <v>2105</v>
      </c>
      <c r="I1323" s="8">
        <f t="shared" si="82"/>
        <v>147.35000000000002</v>
      </c>
      <c r="J1323" s="8">
        <f t="shared" si="83"/>
        <v>1957.65</v>
      </c>
      <c r="K1323" s="8">
        <v>5411</v>
      </c>
      <c r="L1323" s="6">
        <v>2</v>
      </c>
      <c r="M1323" s="22" t="str" cm="1">
        <f t="array" ref="M1323">_xlfn.IFS(L1323&gt;10,"Veteran",L1323&gt;=6,"Experienced",L1323&gt;=2,"Developing",L1323&gt;=0,"New")</f>
        <v>Developing</v>
      </c>
    </row>
    <row r="1324" spans="1:13">
      <c r="A1324" s="21" t="str">
        <f t="shared" ca="1" si="80"/>
        <v>Ma-Res-2017-1323</v>
      </c>
      <c r="B1324" s="6">
        <v>46</v>
      </c>
      <c r="C1324" s="6" t="str">
        <f t="shared" si="81"/>
        <v>40-49</v>
      </c>
      <c r="D1324" s="6" t="s">
        <v>43</v>
      </c>
      <c r="E1324" s="6" t="s">
        <v>45</v>
      </c>
      <c r="F1324" s="6" t="s">
        <v>46</v>
      </c>
      <c r="G1324" s="6" t="s">
        <v>53</v>
      </c>
      <c r="H1324" s="8">
        <v>8578</v>
      </c>
      <c r="I1324" s="8">
        <f t="shared" si="82"/>
        <v>1887.16</v>
      </c>
      <c r="J1324" s="8">
        <f t="shared" si="83"/>
        <v>6690.84</v>
      </c>
      <c r="K1324" s="8">
        <v>19989</v>
      </c>
      <c r="L1324" s="6">
        <v>9</v>
      </c>
      <c r="M1324" s="22" t="str" cm="1">
        <f t="array" ref="M1324">_xlfn.IFS(L1324&gt;10,"Veteran",L1324&gt;=6,"Experienced",L1324&gt;=2,"Developing",L1324&gt;=0,"New")</f>
        <v>Experienced</v>
      </c>
    </row>
    <row r="1325" spans="1:13">
      <c r="A1325" s="21" t="str">
        <f t="shared" ca="1" si="80"/>
        <v>Hu-Hum-2023-1324</v>
      </c>
      <c r="B1325" s="6">
        <v>28</v>
      </c>
      <c r="C1325" s="6" t="str">
        <f t="shared" si="81"/>
        <v>20-29</v>
      </c>
      <c r="D1325" s="6" t="s">
        <v>43</v>
      </c>
      <c r="E1325" s="6" t="s">
        <v>61</v>
      </c>
      <c r="F1325" s="6" t="s">
        <v>46</v>
      </c>
      <c r="G1325" s="6" t="s">
        <v>61</v>
      </c>
      <c r="H1325" s="8">
        <v>2706</v>
      </c>
      <c r="I1325" s="8">
        <f t="shared" si="82"/>
        <v>189.42000000000002</v>
      </c>
      <c r="J1325" s="8">
        <f t="shared" si="83"/>
        <v>2516.58</v>
      </c>
      <c r="K1325" s="8">
        <v>10494</v>
      </c>
      <c r="L1325" s="6">
        <v>3</v>
      </c>
      <c r="M1325" s="22" t="str" cm="1">
        <f t="array" ref="M1325">_xlfn.IFS(L1325&gt;10,"Veteran",L1325&gt;=6,"Experienced",L1325&gt;=2,"Developing",L1325&gt;=0,"New")</f>
        <v>Developing</v>
      </c>
    </row>
    <row r="1326" spans="1:13">
      <c r="A1326" s="21" t="str">
        <f t="shared" ca="1" si="80"/>
        <v>He-Res-2019-1325</v>
      </c>
      <c r="B1326" s="6">
        <v>29</v>
      </c>
      <c r="C1326" s="6" t="str">
        <f t="shared" si="81"/>
        <v>20-29</v>
      </c>
      <c r="D1326" s="6" t="s">
        <v>43</v>
      </c>
      <c r="E1326" s="6" t="s">
        <v>45</v>
      </c>
      <c r="F1326" s="6" t="s">
        <v>46</v>
      </c>
      <c r="G1326" s="6" t="s">
        <v>54</v>
      </c>
      <c r="H1326" s="8">
        <v>6384</v>
      </c>
      <c r="I1326" s="8">
        <f t="shared" si="82"/>
        <v>957.59999999999991</v>
      </c>
      <c r="J1326" s="8">
        <f t="shared" si="83"/>
        <v>5426.4</v>
      </c>
      <c r="K1326" s="8">
        <v>21143</v>
      </c>
      <c r="L1326" s="6">
        <v>7</v>
      </c>
      <c r="M1326" s="22" t="str" cm="1">
        <f t="array" ref="M1326">_xlfn.IFS(L1326&gt;10,"Veteran",L1326&gt;=6,"Experienced",L1326&gt;=2,"Developing",L1326&gt;=0,"New")</f>
        <v>Experienced</v>
      </c>
    </row>
    <row r="1327" spans="1:13">
      <c r="A1327" s="21" t="str">
        <f t="shared" ca="1" si="80"/>
        <v>La-Res-2026-1326</v>
      </c>
      <c r="B1327" s="6">
        <v>42</v>
      </c>
      <c r="C1327" s="6" t="str">
        <f t="shared" si="81"/>
        <v>40-49</v>
      </c>
      <c r="D1327" s="6" t="s">
        <v>43</v>
      </c>
      <c r="E1327" s="6" t="s">
        <v>45</v>
      </c>
      <c r="F1327" s="6" t="s">
        <v>46</v>
      </c>
      <c r="G1327" s="6" t="s">
        <v>50</v>
      </c>
      <c r="H1327" s="8">
        <v>3968</v>
      </c>
      <c r="I1327" s="8">
        <f t="shared" si="82"/>
        <v>595.19999999999993</v>
      </c>
      <c r="J1327" s="8">
        <f t="shared" si="83"/>
        <v>3372.8</v>
      </c>
      <c r="K1327" s="8">
        <v>13624</v>
      </c>
      <c r="L1327" s="6">
        <v>0</v>
      </c>
      <c r="M1327" s="22" t="str" cm="1">
        <f t="array" ref="M1327">_xlfn.IFS(L1327&gt;10,"Veteran",L1327&gt;=6,"Experienced",L1327&gt;=2,"Developing",L1327&gt;=0,"New")</f>
        <v>New</v>
      </c>
    </row>
    <row r="1328" spans="1:13">
      <c r="A1328" s="21" t="str">
        <f t="shared" ca="1" si="80"/>
        <v>Sa-Sal-2024-1327</v>
      </c>
      <c r="B1328" s="6">
        <v>32</v>
      </c>
      <c r="C1328" s="6" t="str">
        <f t="shared" si="81"/>
        <v>30-39</v>
      </c>
      <c r="D1328" s="6" t="s">
        <v>35</v>
      </c>
      <c r="E1328" s="6" t="s">
        <v>37</v>
      </c>
      <c r="F1328" s="6" t="s">
        <v>46</v>
      </c>
      <c r="G1328" s="6" t="s">
        <v>40</v>
      </c>
      <c r="H1328" s="8">
        <v>9907</v>
      </c>
      <c r="I1328" s="8">
        <f t="shared" si="82"/>
        <v>2179.54</v>
      </c>
      <c r="J1328" s="8">
        <f t="shared" si="83"/>
        <v>7727.46</v>
      </c>
      <c r="K1328" s="8">
        <v>26186</v>
      </c>
      <c r="L1328" s="6">
        <v>2</v>
      </c>
      <c r="M1328" s="22" t="str" cm="1">
        <f t="array" ref="M1328">_xlfn.IFS(L1328&gt;10,"Veteran",L1328&gt;=6,"Experienced",L1328&gt;=2,"Developing",L1328&gt;=0,"New")</f>
        <v>Developing</v>
      </c>
    </row>
    <row r="1329" spans="1:13">
      <c r="A1329" s="21" t="str">
        <f t="shared" ca="1" si="80"/>
        <v>Sa-Sal-2007-1328</v>
      </c>
      <c r="B1329" s="6">
        <v>46</v>
      </c>
      <c r="C1329" s="6" t="str">
        <f t="shared" si="81"/>
        <v>40-49</v>
      </c>
      <c r="D1329" s="6" t="s">
        <v>43</v>
      </c>
      <c r="E1329" s="6" t="s">
        <v>37</v>
      </c>
      <c r="F1329" s="6" t="s">
        <v>39</v>
      </c>
      <c r="G1329" s="6" t="s">
        <v>40</v>
      </c>
      <c r="H1329" s="8">
        <v>13225</v>
      </c>
      <c r="I1329" s="8">
        <f t="shared" si="82"/>
        <v>3967.5</v>
      </c>
      <c r="J1329" s="8">
        <f t="shared" si="83"/>
        <v>9257.5</v>
      </c>
      <c r="K1329" s="8">
        <v>7739</v>
      </c>
      <c r="L1329" s="6">
        <v>19</v>
      </c>
      <c r="M1329" s="22" t="str" cm="1">
        <f t="array" ref="M1329">_xlfn.IFS(L1329&gt;10,"Veteran",L1329&gt;=6,"Experienced",L1329&gt;=2,"Developing",L1329&gt;=0,"New")</f>
        <v>Veteran</v>
      </c>
    </row>
    <row r="1330" spans="1:13">
      <c r="A1330" s="21" t="str">
        <f t="shared" ca="1" si="80"/>
        <v>Sa-Sal-2017-1329</v>
      </c>
      <c r="B1330" s="6">
        <v>27</v>
      </c>
      <c r="C1330" s="6" t="str">
        <f t="shared" si="81"/>
        <v>20-29</v>
      </c>
      <c r="D1330" s="6" t="s">
        <v>43</v>
      </c>
      <c r="E1330" s="6" t="s">
        <v>37</v>
      </c>
      <c r="F1330" s="6" t="s">
        <v>39</v>
      </c>
      <c r="G1330" s="6" t="s">
        <v>57</v>
      </c>
      <c r="H1330" s="8">
        <v>3540</v>
      </c>
      <c r="I1330" s="8">
        <f t="shared" si="82"/>
        <v>531</v>
      </c>
      <c r="J1330" s="8">
        <f t="shared" si="83"/>
        <v>3009</v>
      </c>
      <c r="K1330" s="8">
        <v>7018</v>
      </c>
      <c r="L1330" s="6">
        <v>9</v>
      </c>
      <c r="M1330" s="22" t="str" cm="1">
        <f t="array" ref="M1330">_xlfn.IFS(L1330&gt;10,"Veteran",L1330&gt;=6,"Experienced",L1330&gt;=2,"Developing",L1330&gt;=0,"New")</f>
        <v>Experienced</v>
      </c>
    </row>
    <row r="1331" spans="1:13">
      <c r="A1331" s="21" t="str">
        <f t="shared" ca="1" si="80"/>
        <v>Hu-Hum-2025-1330</v>
      </c>
      <c r="B1331" s="6">
        <v>29</v>
      </c>
      <c r="C1331" s="6" t="str">
        <f t="shared" si="81"/>
        <v>20-29</v>
      </c>
      <c r="D1331" s="6" t="s">
        <v>43</v>
      </c>
      <c r="E1331" s="6" t="s">
        <v>61</v>
      </c>
      <c r="F1331" s="6" t="s">
        <v>46</v>
      </c>
      <c r="G1331" s="6" t="s">
        <v>61</v>
      </c>
      <c r="H1331" s="8">
        <v>2804</v>
      </c>
      <c r="I1331" s="8">
        <f t="shared" si="82"/>
        <v>196.28000000000003</v>
      </c>
      <c r="J1331" s="8">
        <f t="shared" si="83"/>
        <v>2607.7199999999998</v>
      </c>
      <c r="K1331" s="8">
        <v>15434</v>
      </c>
      <c r="L1331" s="6">
        <v>1</v>
      </c>
      <c r="M1331" s="22" t="str" cm="1">
        <f t="array" ref="M1331">_xlfn.IFS(L1331&gt;10,"Veteran",L1331&gt;=6,"Experienced",L1331&gt;=2,"Developing",L1331&gt;=0,"New")</f>
        <v>New</v>
      </c>
    </row>
    <row r="1332" spans="1:13">
      <c r="A1332" s="21" t="str">
        <f t="shared" ca="1" si="80"/>
        <v>Ma-Res-2010-1331</v>
      </c>
      <c r="B1332" s="6">
        <v>43</v>
      </c>
      <c r="C1332" s="6" t="str">
        <f t="shared" si="81"/>
        <v>40-49</v>
      </c>
      <c r="D1332" s="6" t="s">
        <v>43</v>
      </c>
      <c r="E1332" s="6" t="s">
        <v>45</v>
      </c>
      <c r="F1332" s="6" t="s">
        <v>39</v>
      </c>
      <c r="G1332" s="6" t="s">
        <v>56</v>
      </c>
      <c r="H1332" s="8">
        <v>19392</v>
      </c>
      <c r="I1332" s="8">
        <f t="shared" si="82"/>
        <v>5817.5999999999995</v>
      </c>
      <c r="J1332" s="8">
        <f t="shared" si="83"/>
        <v>13574.400000000001</v>
      </c>
      <c r="K1332" s="8">
        <v>22539</v>
      </c>
      <c r="L1332" s="6">
        <v>16</v>
      </c>
      <c r="M1332" s="22" t="str" cm="1">
        <f t="array" ref="M1332">_xlfn.IFS(L1332&gt;10,"Veteran",L1332&gt;=6,"Experienced",L1332&gt;=2,"Developing",L1332&gt;=0,"New")</f>
        <v>Veteran</v>
      </c>
    </row>
    <row r="1333" spans="1:13">
      <c r="A1333" s="21" t="str">
        <f t="shared" ca="1" si="80"/>
        <v>Re-Res-2004-1332</v>
      </c>
      <c r="B1333" s="6">
        <v>48</v>
      </c>
      <c r="C1333" s="6" t="str">
        <f t="shared" si="81"/>
        <v>40-49</v>
      </c>
      <c r="D1333" s="6" t="s">
        <v>43</v>
      </c>
      <c r="E1333" s="6" t="s">
        <v>45</v>
      </c>
      <c r="F1333" s="6" t="s">
        <v>46</v>
      </c>
      <c r="G1333" s="6" t="s">
        <v>58</v>
      </c>
      <c r="H1333" s="8">
        <v>19665</v>
      </c>
      <c r="I1333" s="8">
        <f t="shared" si="82"/>
        <v>5899.5</v>
      </c>
      <c r="J1333" s="8">
        <f t="shared" si="83"/>
        <v>13765.5</v>
      </c>
      <c r="K1333" s="8">
        <v>13583</v>
      </c>
      <c r="L1333" s="6">
        <v>22</v>
      </c>
      <c r="M1333" s="22" t="str" cm="1">
        <f t="array" ref="M1333">_xlfn.IFS(L1333&gt;10,"Veteran",L1333&gt;=6,"Experienced",L1333&gt;=2,"Developing",L1333&gt;=0,"New")</f>
        <v>Veteran</v>
      </c>
    </row>
    <row r="1334" spans="1:13">
      <c r="A1334" s="21" t="str">
        <f t="shared" ca="1" si="80"/>
        <v>Re-Res-2025-1333</v>
      </c>
      <c r="B1334" s="6">
        <v>29</v>
      </c>
      <c r="C1334" s="6" t="str">
        <f t="shared" si="81"/>
        <v>20-29</v>
      </c>
      <c r="D1334" s="6" t="s">
        <v>35</v>
      </c>
      <c r="E1334" s="6" t="s">
        <v>45</v>
      </c>
      <c r="F1334" s="6" t="s">
        <v>46</v>
      </c>
      <c r="G1334" s="6" t="s">
        <v>47</v>
      </c>
      <c r="H1334" s="8">
        <v>2439</v>
      </c>
      <c r="I1334" s="8">
        <f t="shared" si="82"/>
        <v>170.73000000000002</v>
      </c>
      <c r="J1334" s="8">
        <f t="shared" si="83"/>
        <v>2268.27</v>
      </c>
      <c r="K1334" s="8">
        <v>14753</v>
      </c>
      <c r="L1334" s="6">
        <v>1</v>
      </c>
      <c r="M1334" s="22" t="str" cm="1">
        <f t="array" ref="M1334">_xlfn.IFS(L1334&gt;10,"Veteran",L1334&gt;=6,"Experienced",L1334&gt;=2,"Developing",L1334&gt;=0,"New")</f>
        <v>New</v>
      </c>
    </row>
    <row r="1335" spans="1:13">
      <c r="A1335" s="21" t="str">
        <f t="shared" ca="1" si="80"/>
        <v>Sa-Sal-2018-1334</v>
      </c>
      <c r="B1335" s="6">
        <v>46</v>
      </c>
      <c r="C1335" s="6" t="str">
        <f t="shared" si="81"/>
        <v>40-49</v>
      </c>
      <c r="D1335" s="6" t="s">
        <v>35</v>
      </c>
      <c r="E1335" s="6" t="s">
        <v>37</v>
      </c>
      <c r="F1335" s="6" t="s">
        <v>39</v>
      </c>
      <c r="G1335" s="6" t="s">
        <v>40</v>
      </c>
      <c r="H1335" s="8">
        <v>7314</v>
      </c>
      <c r="I1335" s="8">
        <f t="shared" si="82"/>
        <v>1609.08</v>
      </c>
      <c r="J1335" s="8">
        <f t="shared" si="83"/>
        <v>5704.92</v>
      </c>
      <c r="K1335" s="8">
        <v>14011</v>
      </c>
      <c r="L1335" s="6">
        <v>8</v>
      </c>
      <c r="M1335" s="22" t="str" cm="1">
        <f t="array" ref="M1335">_xlfn.IFS(L1335&gt;10,"Veteran",L1335&gt;=6,"Experienced",L1335&gt;=2,"Developing",L1335&gt;=0,"New")</f>
        <v>Experienced</v>
      </c>
    </row>
    <row r="1336" spans="1:13">
      <c r="A1336" s="21" t="str">
        <f t="shared" ca="1" si="80"/>
        <v>Re-Res-2019-1335</v>
      </c>
      <c r="B1336" s="6">
        <v>27</v>
      </c>
      <c r="C1336" s="6" t="str">
        <f t="shared" si="81"/>
        <v>20-29</v>
      </c>
      <c r="D1336" s="6" t="s">
        <v>43</v>
      </c>
      <c r="E1336" s="6" t="s">
        <v>45</v>
      </c>
      <c r="F1336" s="6" t="s">
        <v>39</v>
      </c>
      <c r="G1336" s="6" t="s">
        <v>47</v>
      </c>
      <c r="H1336" s="8">
        <v>4774</v>
      </c>
      <c r="I1336" s="8">
        <f t="shared" si="82"/>
        <v>716.1</v>
      </c>
      <c r="J1336" s="8">
        <f t="shared" si="83"/>
        <v>4057.9</v>
      </c>
      <c r="K1336" s="8">
        <v>23844</v>
      </c>
      <c r="L1336" s="6">
        <v>7</v>
      </c>
      <c r="M1336" s="22" t="str" cm="1">
        <f t="array" ref="M1336">_xlfn.IFS(L1336&gt;10,"Veteran",L1336&gt;=6,"Experienced",L1336&gt;=2,"Developing",L1336&gt;=0,"New")</f>
        <v>Experienced</v>
      </c>
    </row>
    <row r="1337" spans="1:13">
      <c r="A1337" s="21" t="str">
        <f t="shared" ca="1" si="80"/>
        <v>Re-Res-2024-1336</v>
      </c>
      <c r="B1337" s="6">
        <v>39</v>
      </c>
      <c r="C1337" s="6" t="str">
        <f t="shared" si="81"/>
        <v>30-39</v>
      </c>
      <c r="D1337" s="6" t="s">
        <v>43</v>
      </c>
      <c r="E1337" s="6" t="s">
        <v>45</v>
      </c>
      <c r="F1337" s="6" t="s">
        <v>46</v>
      </c>
      <c r="G1337" s="6" t="s">
        <v>47</v>
      </c>
      <c r="H1337" s="8">
        <v>3902</v>
      </c>
      <c r="I1337" s="8">
        <f t="shared" si="82"/>
        <v>585.29999999999995</v>
      </c>
      <c r="J1337" s="8">
        <f t="shared" si="83"/>
        <v>3316.7</v>
      </c>
      <c r="K1337" s="8">
        <v>5141</v>
      </c>
      <c r="L1337" s="6">
        <v>2</v>
      </c>
      <c r="M1337" s="22" t="str" cm="1">
        <f t="array" ref="M1337">_xlfn.IFS(L1337&gt;10,"Veteran",L1337&gt;=6,"Experienced",L1337&gt;=2,"Developing",L1337&gt;=0,"New")</f>
        <v>Developing</v>
      </c>
    </row>
    <row r="1338" spans="1:13">
      <c r="A1338" s="21" t="str">
        <f t="shared" ca="1" si="80"/>
        <v>Re-Res-2021-1337</v>
      </c>
      <c r="B1338" s="6">
        <v>55</v>
      </c>
      <c r="C1338" s="6" t="str">
        <f t="shared" si="81"/>
        <v>50+</v>
      </c>
      <c r="D1338" s="6" t="s">
        <v>43</v>
      </c>
      <c r="E1338" s="6" t="s">
        <v>45</v>
      </c>
      <c r="F1338" s="6" t="s">
        <v>46</v>
      </c>
      <c r="G1338" s="6" t="s">
        <v>47</v>
      </c>
      <c r="H1338" s="8">
        <v>2662</v>
      </c>
      <c r="I1338" s="8">
        <f t="shared" si="82"/>
        <v>186.34000000000003</v>
      </c>
      <c r="J1338" s="8">
        <f t="shared" si="83"/>
        <v>2475.66</v>
      </c>
      <c r="K1338" s="8">
        <v>7975</v>
      </c>
      <c r="L1338" s="6">
        <v>5</v>
      </c>
      <c r="M1338" s="22" t="str" cm="1">
        <f t="array" ref="M1338">_xlfn.IFS(L1338&gt;10,"Veteran",L1338&gt;=6,"Experienced",L1338&gt;=2,"Developing",L1338&gt;=0,"New")</f>
        <v>Developing</v>
      </c>
    </row>
    <row r="1339" spans="1:13">
      <c r="A1339" s="21" t="str">
        <f t="shared" ca="1" si="80"/>
        <v>Sa-Sal-2025-1338</v>
      </c>
      <c r="B1339" s="6">
        <v>28</v>
      </c>
      <c r="C1339" s="6" t="str">
        <f t="shared" si="81"/>
        <v>20-29</v>
      </c>
      <c r="D1339" s="6" t="s">
        <v>43</v>
      </c>
      <c r="E1339" s="6" t="s">
        <v>37</v>
      </c>
      <c r="F1339" s="6" t="s">
        <v>39</v>
      </c>
      <c r="G1339" s="6" t="s">
        <v>57</v>
      </c>
      <c r="H1339" s="8">
        <v>2856</v>
      </c>
      <c r="I1339" s="8">
        <f t="shared" si="82"/>
        <v>199.92000000000002</v>
      </c>
      <c r="J1339" s="8">
        <f t="shared" si="83"/>
        <v>2656.08</v>
      </c>
      <c r="K1339" s="8">
        <v>3692</v>
      </c>
      <c r="L1339" s="6">
        <v>1</v>
      </c>
      <c r="M1339" s="22" t="str" cm="1">
        <f t="array" ref="M1339">_xlfn.IFS(L1339&gt;10,"Veteran",L1339&gt;=6,"Experienced",L1339&gt;=2,"Developing",L1339&gt;=0,"New")</f>
        <v>New</v>
      </c>
    </row>
    <row r="1340" spans="1:13">
      <c r="A1340" s="21" t="str">
        <f t="shared" ca="1" si="80"/>
        <v>Sa-Sal-2025-1339</v>
      </c>
      <c r="B1340" s="6">
        <v>30</v>
      </c>
      <c r="C1340" s="6" t="str">
        <f t="shared" si="81"/>
        <v>30-39</v>
      </c>
      <c r="D1340" s="6" t="s">
        <v>35</v>
      </c>
      <c r="E1340" s="6" t="s">
        <v>37</v>
      </c>
      <c r="F1340" s="6" t="s">
        <v>46</v>
      </c>
      <c r="G1340" s="6" t="s">
        <v>57</v>
      </c>
      <c r="H1340" s="8">
        <v>1081</v>
      </c>
      <c r="I1340" s="8">
        <f t="shared" si="82"/>
        <v>75.67</v>
      </c>
      <c r="J1340" s="8">
        <f t="shared" si="83"/>
        <v>1005.33</v>
      </c>
      <c r="K1340" s="8">
        <v>16019</v>
      </c>
      <c r="L1340" s="6">
        <v>1</v>
      </c>
      <c r="M1340" s="22" t="str" cm="1">
        <f t="array" ref="M1340">_xlfn.IFS(L1340&gt;10,"Veteran",L1340&gt;=6,"Experienced",L1340&gt;=2,"Developing",L1340&gt;=0,"New")</f>
        <v>New</v>
      </c>
    </row>
    <row r="1341" spans="1:13">
      <c r="A1341" s="21" t="str">
        <f t="shared" ca="1" si="80"/>
        <v>Re-Res-2025-1340</v>
      </c>
      <c r="B1341" s="6">
        <v>22</v>
      </c>
      <c r="C1341" s="6" t="str">
        <f t="shared" si="81"/>
        <v>20-29</v>
      </c>
      <c r="D1341" s="6" t="s">
        <v>35</v>
      </c>
      <c r="E1341" s="6" t="s">
        <v>45</v>
      </c>
      <c r="F1341" s="6" t="s">
        <v>46</v>
      </c>
      <c r="G1341" s="6" t="s">
        <v>47</v>
      </c>
      <c r="H1341" s="8">
        <v>2472</v>
      </c>
      <c r="I1341" s="8">
        <f t="shared" si="82"/>
        <v>173.04000000000002</v>
      </c>
      <c r="J1341" s="8">
        <f t="shared" si="83"/>
        <v>2298.96</v>
      </c>
      <c r="K1341" s="8">
        <v>26092</v>
      </c>
      <c r="L1341" s="6">
        <v>1</v>
      </c>
      <c r="M1341" s="22" t="str" cm="1">
        <f t="array" ref="M1341">_xlfn.IFS(L1341&gt;10,"Veteran",L1341&gt;=6,"Experienced",L1341&gt;=2,"Developing",L1341&gt;=0,"New")</f>
        <v>New</v>
      </c>
    </row>
    <row r="1342" spans="1:13">
      <c r="A1342" s="21" t="str">
        <f t="shared" ca="1" si="80"/>
        <v>Sa-Sal-2016-1341</v>
      </c>
      <c r="B1342" s="6">
        <v>36</v>
      </c>
      <c r="C1342" s="6" t="str">
        <f t="shared" si="81"/>
        <v>30-39</v>
      </c>
      <c r="D1342" s="6" t="s">
        <v>43</v>
      </c>
      <c r="E1342" s="6" t="s">
        <v>37</v>
      </c>
      <c r="F1342" s="6" t="s">
        <v>39</v>
      </c>
      <c r="G1342" s="6" t="s">
        <v>40</v>
      </c>
      <c r="H1342" s="8">
        <v>5673</v>
      </c>
      <c r="I1342" s="8">
        <f t="shared" si="82"/>
        <v>850.94999999999993</v>
      </c>
      <c r="J1342" s="8">
        <f t="shared" si="83"/>
        <v>4822.05</v>
      </c>
      <c r="K1342" s="8">
        <v>6060</v>
      </c>
      <c r="L1342" s="6">
        <v>10</v>
      </c>
      <c r="M1342" s="22" t="str" cm="1">
        <f t="array" ref="M1342">_xlfn.IFS(L1342&gt;10,"Veteran",L1342&gt;=6,"Experienced",L1342&gt;=2,"Developing",L1342&gt;=0,"New")</f>
        <v>Experienced</v>
      </c>
    </row>
    <row r="1343" spans="1:13">
      <c r="A1343" s="21" t="str">
        <f t="shared" ca="1" si="80"/>
        <v>La-Res-2016-1342</v>
      </c>
      <c r="B1343" s="6">
        <v>31</v>
      </c>
      <c r="C1343" s="6" t="str">
        <f t="shared" si="81"/>
        <v>30-39</v>
      </c>
      <c r="D1343" s="6" t="s">
        <v>43</v>
      </c>
      <c r="E1343" s="6" t="s">
        <v>45</v>
      </c>
      <c r="F1343" s="6" t="s">
        <v>46</v>
      </c>
      <c r="G1343" s="6" t="s">
        <v>50</v>
      </c>
      <c r="H1343" s="8">
        <v>4197</v>
      </c>
      <c r="I1343" s="8">
        <f t="shared" si="82"/>
        <v>629.54999999999995</v>
      </c>
      <c r="J1343" s="8">
        <f t="shared" si="83"/>
        <v>3567.45</v>
      </c>
      <c r="K1343" s="8">
        <v>18624</v>
      </c>
      <c r="L1343" s="6">
        <v>10</v>
      </c>
      <c r="M1343" s="22" t="str" cm="1">
        <f t="array" ref="M1343">_xlfn.IFS(L1343&gt;10,"Veteran",L1343&gt;=6,"Experienced",L1343&gt;=2,"Developing",L1343&gt;=0,"New")</f>
        <v>Experienced</v>
      </c>
    </row>
    <row r="1344" spans="1:13">
      <c r="A1344" s="21" t="str">
        <f t="shared" ca="1" si="80"/>
        <v>Sa-Sal-2021-1343</v>
      </c>
      <c r="B1344" s="6">
        <v>34</v>
      </c>
      <c r="C1344" s="6" t="str">
        <f t="shared" si="81"/>
        <v>30-39</v>
      </c>
      <c r="D1344" s="6" t="s">
        <v>43</v>
      </c>
      <c r="E1344" s="6" t="s">
        <v>37</v>
      </c>
      <c r="F1344" s="6" t="s">
        <v>46</v>
      </c>
      <c r="G1344" s="6" t="s">
        <v>40</v>
      </c>
      <c r="H1344" s="8">
        <v>9713</v>
      </c>
      <c r="I1344" s="8">
        <f t="shared" si="82"/>
        <v>2136.86</v>
      </c>
      <c r="J1344" s="8">
        <f t="shared" si="83"/>
        <v>7576.1399999999994</v>
      </c>
      <c r="K1344" s="8">
        <v>24444</v>
      </c>
      <c r="L1344" s="6">
        <v>5</v>
      </c>
      <c r="M1344" s="22" t="str" cm="1">
        <f t="array" ref="M1344">_xlfn.IFS(L1344&gt;10,"Veteran",L1344&gt;=6,"Experienced",L1344&gt;=2,"Developing",L1344&gt;=0,"New")</f>
        <v>Developing</v>
      </c>
    </row>
    <row r="1345" spans="1:13">
      <c r="A1345" s="21" t="str">
        <f t="shared" ca="1" si="80"/>
        <v>La-Res-2023-1344</v>
      </c>
      <c r="B1345" s="6">
        <v>29</v>
      </c>
      <c r="C1345" s="6" t="str">
        <f t="shared" si="81"/>
        <v>20-29</v>
      </c>
      <c r="D1345" s="6" t="s">
        <v>43</v>
      </c>
      <c r="E1345" s="6" t="s">
        <v>45</v>
      </c>
      <c r="F1345" s="6" t="s">
        <v>46</v>
      </c>
      <c r="G1345" s="6" t="s">
        <v>50</v>
      </c>
      <c r="H1345" s="8">
        <v>2062</v>
      </c>
      <c r="I1345" s="8">
        <f t="shared" si="82"/>
        <v>144.34</v>
      </c>
      <c r="J1345" s="8">
        <f t="shared" si="83"/>
        <v>1917.66</v>
      </c>
      <c r="K1345" s="8">
        <v>19384</v>
      </c>
      <c r="L1345" s="6">
        <v>3</v>
      </c>
      <c r="M1345" s="22" t="str" cm="1">
        <f t="array" ref="M1345">_xlfn.IFS(L1345&gt;10,"Veteran",L1345&gt;=6,"Experienced",L1345&gt;=2,"Developing",L1345&gt;=0,"New")</f>
        <v>Developing</v>
      </c>
    </row>
    <row r="1346" spans="1:13">
      <c r="A1346" s="21" t="str">
        <f t="shared" ca="1" si="80"/>
        <v>Re-Res-2021-1345</v>
      </c>
      <c r="B1346" s="6">
        <v>37</v>
      </c>
      <c r="C1346" s="6" t="str">
        <f t="shared" si="81"/>
        <v>30-39</v>
      </c>
      <c r="D1346" s="6" t="s">
        <v>43</v>
      </c>
      <c r="E1346" s="6" t="s">
        <v>45</v>
      </c>
      <c r="F1346" s="6" t="s">
        <v>46</v>
      </c>
      <c r="G1346" s="6" t="s">
        <v>47</v>
      </c>
      <c r="H1346" s="8">
        <v>4284</v>
      </c>
      <c r="I1346" s="8">
        <f t="shared" si="82"/>
        <v>642.6</v>
      </c>
      <c r="J1346" s="8">
        <f t="shared" si="83"/>
        <v>3641.4</v>
      </c>
      <c r="K1346" s="8">
        <v>13588</v>
      </c>
      <c r="L1346" s="6">
        <v>5</v>
      </c>
      <c r="M1346" s="22" t="str" cm="1">
        <f t="array" ref="M1346">_xlfn.IFS(L1346&gt;10,"Veteran",L1346&gt;=6,"Experienced",L1346&gt;=2,"Developing",L1346&gt;=0,"New")</f>
        <v>Developing</v>
      </c>
    </row>
    <row r="1347" spans="1:13">
      <c r="A1347" s="21" t="str">
        <f t="shared" ref="A1347:A1410" ca="1" si="84">LEFT(G1347,2)&amp;"-"&amp;LEFT(E1347,3)&amp;"-"&amp;YEAR(TODAY())-L1347&amp;"-"&amp;TEXT(ROW()-1,"000")</f>
        <v>Ma-Res-2023-1346</v>
      </c>
      <c r="B1347" s="6">
        <v>35</v>
      </c>
      <c r="C1347" s="6" t="str">
        <f t="shared" ref="C1347:C1410" si="85">IF(B1347&lt;=29,"20-29",IF(B1347&lt;=39,"30-39",IF(B1347&lt;=49,"40-49","50+")))</f>
        <v>30-39</v>
      </c>
      <c r="D1347" s="6" t="s">
        <v>43</v>
      </c>
      <c r="E1347" s="6" t="s">
        <v>45</v>
      </c>
      <c r="F1347" s="6" t="s">
        <v>39</v>
      </c>
      <c r="G1347" s="6" t="s">
        <v>53</v>
      </c>
      <c r="H1347" s="8">
        <v>4788</v>
      </c>
      <c r="I1347" s="8">
        <f t="shared" ref="I1347:I1410" si="86">IF(H1347&gt;13000,H1347*30%,IF(H1347&gt;7000,H1347*22%,IF(H1347&gt;3000,H1347*15%,H1347*7%)))</f>
        <v>718.19999999999993</v>
      </c>
      <c r="J1347" s="8">
        <f t="shared" ref="J1347:J1410" si="87">H1347-I1347</f>
        <v>4069.8</v>
      </c>
      <c r="K1347" s="8">
        <v>25388</v>
      </c>
      <c r="L1347" s="6">
        <v>3</v>
      </c>
      <c r="M1347" s="22" t="str" cm="1">
        <f t="array" ref="M1347">_xlfn.IFS(L1347&gt;10,"Veteran",L1347&gt;=6,"Experienced",L1347&gt;=2,"Developing",L1347&gt;=0,"New")</f>
        <v>Developing</v>
      </c>
    </row>
    <row r="1348" spans="1:13">
      <c r="A1348" s="21" t="str">
        <f t="shared" ca="1" si="84"/>
        <v>Ma-Res-2017-1347</v>
      </c>
      <c r="B1348" s="6">
        <v>45</v>
      </c>
      <c r="C1348" s="6" t="str">
        <f t="shared" si="85"/>
        <v>40-49</v>
      </c>
      <c r="D1348" s="6" t="s">
        <v>43</v>
      </c>
      <c r="E1348" s="6" t="s">
        <v>45</v>
      </c>
      <c r="F1348" s="6" t="s">
        <v>39</v>
      </c>
      <c r="G1348" s="6" t="s">
        <v>53</v>
      </c>
      <c r="H1348" s="8">
        <v>5906</v>
      </c>
      <c r="I1348" s="8">
        <f t="shared" si="86"/>
        <v>885.9</v>
      </c>
      <c r="J1348" s="8">
        <f t="shared" si="87"/>
        <v>5020.1000000000004</v>
      </c>
      <c r="K1348" s="8">
        <v>23888</v>
      </c>
      <c r="L1348" s="6">
        <v>9</v>
      </c>
      <c r="M1348" s="22" t="str" cm="1">
        <f t="array" ref="M1348">_xlfn.IFS(L1348&gt;10,"Veteran",L1348&gt;=6,"Experienced",L1348&gt;=2,"Developing",L1348&gt;=0,"New")</f>
        <v>Experienced</v>
      </c>
    </row>
    <row r="1349" spans="1:13">
      <c r="A1349" s="21" t="str">
        <f t="shared" ca="1" si="84"/>
        <v>Hu-Hum-2016-1348</v>
      </c>
      <c r="B1349" s="6">
        <v>36</v>
      </c>
      <c r="C1349" s="6" t="str">
        <f t="shared" si="85"/>
        <v>30-39</v>
      </c>
      <c r="D1349" s="6" t="s">
        <v>43</v>
      </c>
      <c r="E1349" s="6" t="s">
        <v>61</v>
      </c>
      <c r="F1349" s="6" t="s">
        <v>46</v>
      </c>
      <c r="G1349" s="6" t="s">
        <v>61</v>
      </c>
      <c r="H1349" s="8">
        <v>3886</v>
      </c>
      <c r="I1349" s="8">
        <f t="shared" si="86"/>
        <v>582.9</v>
      </c>
      <c r="J1349" s="8">
        <f t="shared" si="87"/>
        <v>3303.1</v>
      </c>
      <c r="K1349" s="8">
        <v>4223</v>
      </c>
      <c r="L1349" s="6">
        <v>10</v>
      </c>
      <c r="M1349" s="22" t="str" cm="1">
        <f t="array" ref="M1349">_xlfn.IFS(L1349&gt;10,"Veteran",L1349&gt;=6,"Experienced",L1349&gt;=2,"Developing",L1349&gt;=0,"New")</f>
        <v>Experienced</v>
      </c>
    </row>
    <row r="1350" spans="1:13">
      <c r="A1350" s="21" t="str">
        <f t="shared" ca="1" si="84"/>
        <v>Ma-Res-2007-1349</v>
      </c>
      <c r="B1350" s="6">
        <v>40</v>
      </c>
      <c r="C1350" s="6" t="str">
        <f t="shared" si="85"/>
        <v>40-49</v>
      </c>
      <c r="D1350" s="6" t="s">
        <v>43</v>
      </c>
      <c r="E1350" s="6" t="s">
        <v>45</v>
      </c>
      <c r="F1350" s="6" t="s">
        <v>46</v>
      </c>
      <c r="G1350" s="6" t="s">
        <v>56</v>
      </c>
      <c r="H1350" s="8">
        <v>16823</v>
      </c>
      <c r="I1350" s="8">
        <f t="shared" si="86"/>
        <v>5046.8999999999996</v>
      </c>
      <c r="J1350" s="8">
        <f t="shared" si="87"/>
        <v>11776.1</v>
      </c>
      <c r="K1350" s="8">
        <v>18991</v>
      </c>
      <c r="L1350" s="6">
        <v>19</v>
      </c>
      <c r="M1350" s="22" t="str" cm="1">
        <f t="array" ref="M1350">_xlfn.IFS(L1350&gt;10,"Veteran",L1350&gt;=6,"Experienced",L1350&gt;=2,"Developing",L1350&gt;=0,"New")</f>
        <v>Veteran</v>
      </c>
    </row>
    <row r="1351" spans="1:13">
      <c r="A1351" s="21" t="str">
        <f t="shared" ca="1" si="84"/>
        <v>Re-Res-2025-1350</v>
      </c>
      <c r="B1351" s="6">
        <v>26</v>
      </c>
      <c r="C1351" s="6" t="str">
        <f t="shared" si="85"/>
        <v>20-29</v>
      </c>
      <c r="D1351" s="6" t="s">
        <v>43</v>
      </c>
      <c r="E1351" s="6" t="s">
        <v>45</v>
      </c>
      <c r="F1351" s="6" t="s">
        <v>39</v>
      </c>
      <c r="G1351" s="6" t="s">
        <v>47</v>
      </c>
      <c r="H1351" s="8">
        <v>2933</v>
      </c>
      <c r="I1351" s="8">
        <f t="shared" si="86"/>
        <v>205.31000000000003</v>
      </c>
      <c r="J1351" s="8">
        <f t="shared" si="87"/>
        <v>2727.69</v>
      </c>
      <c r="K1351" s="8">
        <v>14908</v>
      </c>
      <c r="L1351" s="6">
        <v>1</v>
      </c>
      <c r="M1351" s="22" t="str" cm="1">
        <f t="array" ref="M1351">_xlfn.IFS(L1351&gt;10,"Veteran",L1351&gt;=6,"Experienced",L1351&gt;=2,"Developing",L1351&gt;=0,"New")</f>
        <v>New</v>
      </c>
    </row>
    <row r="1352" spans="1:13">
      <c r="A1352" s="21" t="str">
        <f t="shared" ca="1" si="84"/>
        <v>Sa-Sal-2018-1351</v>
      </c>
      <c r="B1352" s="6">
        <v>27</v>
      </c>
      <c r="C1352" s="6" t="str">
        <f t="shared" si="85"/>
        <v>20-29</v>
      </c>
      <c r="D1352" s="6" t="s">
        <v>43</v>
      </c>
      <c r="E1352" s="6" t="s">
        <v>37</v>
      </c>
      <c r="F1352" s="6" t="s">
        <v>39</v>
      </c>
      <c r="G1352" s="6" t="s">
        <v>40</v>
      </c>
      <c r="H1352" s="8">
        <v>6500</v>
      </c>
      <c r="I1352" s="8">
        <f t="shared" si="86"/>
        <v>975</v>
      </c>
      <c r="J1352" s="8">
        <f t="shared" si="87"/>
        <v>5525</v>
      </c>
      <c r="K1352" s="8">
        <v>26997</v>
      </c>
      <c r="L1352" s="6">
        <v>8</v>
      </c>
      <c r="M1352" s="22" t="str" cm="1">
        <f t="array" ref="M1352">_xlfn.IFS(L1352&gt;10,"Veteran",L1352&gt;=6,"Experienced",L1352&gt;=2,"Developing",L1352&gt;=0,"New")</f>
        <v>Experienced</v>
      </c>
    </row>
    <row r="1353" spans="1:13">
      <c r="A1353" s="21" t="str">
        <f t="shared" ca="1" si="84"/>
        <v>Ma-Res-2004-1352</v>
      </c>
      <c r="B1353" s="6">
        <v>48</v>
      </c>
      <c r="C1353" s="6" t="str">
        <f t="shared" si="85"/>
        <v>40-49</v>
      </c>
      <c r="D1353" s="6" t="s">
        <v>43</v>
      </c>
      <c r="E1353" s="6" t="s">
        <v>45</v>
      </c>
      <c r="F1353" s="6" t="s">
        <v>39</v>
      </c>
      <c r="G1353" s="6" t="s">
        <v>56</v>
      </c>
      <c r="H1353" s="8">
        <v>17174</v>
      </c>
      <c r="I1353" s="8">
        <f t="shared" si="86"/>
        <v>5152.2</v>
      </c>
      <c r="J1353" s="8">
        <f t="shared" si="87"/>
        <v>12021.8</v>
      </c>
      <c r="K1353" s="8">
        <v>2437</v>
      </c>
      <c r="L1353" s="6">
        <v>22</v>
      </c>
      <c r="M1353" s="22" t="str" cm="1">
        <f t="array" ref="M1353">_xlfn.IFS(L1353&gt;10,"Veteran",L1353&gt;=6,"Experienced",L1353&gt;=2,"Developing",L1353&gt;=0,"New")</f>
        <v>Veteran</v>
      </c>
    </row>
    <row r="1354" spans="1:13">
      <c r="A1354" s="21" t="str">
        <f t="shared" ca="1" si="84"/>
        <v>He-Res-2024-1353</v>
      </c>
      <c r="B1354" s="6">
        <v>44</v>
      </c>
      <c r="C1354" s="6" t="str">
        <f t="shared" si="85"/>
        <v>40-49</v>
      </c>
      <c r="D1354" s="6" t="s">
        <v>43</v>
      </c>
      <c r="E1354" s="6" t="s">
        <v>45</v>
      </c>
      <c r="F1354" s="6" t="s">
        <v>46</v>
      </c>
      <c r="G1354" s="6" t="s">
        <v>54</v>
      </c>
      <c r="H1354" s="8">
        <v>5033</v>
      </c>
      <c r="I1354" s="8">
        <f t="shared" si="86"/>
        <v>754.94999999999993</v>
      </c>
      <c r="J1354" s="8">
        <f t="shared" si="87"/>
        <v>4278.05</v>
      </c>
      <c r="K1354" s="8">
        <v>9364</v>
      </c>
      <c r="L1354" s="6">
        <v>2</v>
      </c>
      <c r="M1354" s="22" t="str" cm="1">
        <f t="array" ref="M1354">_xlfn.IFS(L1354&gt;10,"Veteran",L1354&gt;=6,"Experienced",L1354&gt;=2,"Developing",L1354&gt;=0,"New")</f>
        <v>Developing</v>
      </c>
    </row>
    <row r="1355" spans="1:13">
      <c r="A1355" s="21" t="str">
        <f t="shared" ca="1" si="84"/>
        <v>Re-Res-2021-1354</v>
      </c>
      <c r="B1355" s="6">
        <v>34</v>
      </c>
      <c r="C1355" s="6" t="str">
        <f t="shared" si="85"/>
        <v>30-39</v>
      </c>
      <c r="D1355" s="6" t="s">
        <v>35</v>
      </c>
      <c r="E1355" s="6" t="s">
        <v>45</v>
      </c>
      <c r="F1355" s="6" t="s">
        <v>46</v>
      </c>
      <c r="G1355" s="6" t="s">
        <v>47</v>
      </c>
      <c r="H1355" s="8">
        <v>2307</v>
      </c>
      <c r="I1355" s="8">
        <f t="shared" si="86"/>
        <v>161.49</v>
      </c>
      <c r="J1355" s="8">
        <f t="shared" si="87"/>
        <v>2145.5100000000002</v>
      </c>
      <c r="K1355" s="8">
        <v>14460</v>
      </c>
      <c r="L1355" s="6">
        <v>5</v>
      </c>
      <c r="M1355" s="22" t="str" cm="1">
        <f t="array" ref="M1355">_xlfn.IFS(L1355&gt;10,"Veteran",L1355&gt;=6,"Experienced",L1355&gt;=2,"Developing",L1355&gt;=0,"New")</f>
        <v>Developing</v>
      </c>
    </row>
    <row r="1356" spans="1:13">
      <c r="A1356" s="21" t="str">
        <f t="shared" ca="1" si="84"/>
        <v>La-Res-2022-1355</v>
      </c>
      <c r="B1356" s="6">
        <v>56</v>
      </c>
      <c r="C1356" s="6" t="str">
        <f t="shared" si="85"/>
        <v>50+</v>
      </c>
      <c r="D1356" s="6" t="s">
        <v>35</v>
      </c>
      <c r="E1356" s="6" t="s">
        <v>45</v>
      </c>
      <c r="F1356" s="6" t="s">
        <v>46</v>
      </c>
      <c r="G1356" s="6" t="s">
        <v>50</v>
      </c>
      <c r="H1356" s="8">
        <v>2587</v>
      </c>
      <c r="I1356" s="8">
        <f t="shared" si="86"/>
        <v>181.09</v>
      </c>
      <c r="J1356" s="8">
        <f t="shared" si="87"/>
        <v>2405.91</v>
      </c>
      <c r="K1356" s="8">
        <v>10261</v>
      </c>
      <c r="L1356" s="6">
        <v>4</v>
      </c>
      <c r="M1356" s="22" t="str" cm="1">
        <f t="array" ref="M1356">_xlfn.IFS(L1356&gt;10,"Veteran",L1356&gt;=6,"Experienced",L1356&gt;=2,"Developing",L1356&gt;=0,"New")</f>
        <v>Developing</v>
      </c>
    </row>
    <row r="1357" spans="1:13">
      <c r="A1357" s="21" t="str">
        <f t="shared" ca="1" si="84"/>
        <v>Sa-Sal-2022-1356</v>
      </c>
      <c r="B1357" s="6">
        <v>36</v>
      </c>
      <c r="C1357" s="6" t="str">
        <f t="shared" si="85"/>
        <v>30-39</v>
      </c>
      <c r="D1357" s="6" t="s">
        <v>43</v>
      </c>
      <c r="E1357" s="6" t="s">
        <v>37</v>
      </c>
      <c r="F1357" s="6" t="s">
        <v>46</v>
      </c>
      <c r="G1357" s="6" t="s">
        <v>40</v>
      </c>
      <c r="H1357" s="8">
        <v>5507</v>
      </c>
      <c r="I1357" s="8">
        <f t="shared" si="86"/>
        <v>826.05</v>
      </c>
      <c r="J1357" s="8">
        <f t="shared" si="87"/>
        <v>4680.95</v>
      </c>
      <c r="K1357" s="8">
        <v>16822</v>
      </c>
      <c r="L1357" s="6">
        <v>4</v>
      </c>
      <c r="M1357" s="22" t="str" cm="1">
        <f t="array" ref="M1357">_xlfn.IFS(L1357&gt;10,"Veteran",L1357&gt;=6,"Experienced",L1357&gt;=2,"Developing",L1357&gt;=0,"New")</f>
        <v>Developing</v>
      </c>
    </row>
    <row r="1358" spans="1:13">
      <c r="A1358" s="21" t="str">
        <f t="shared" ca="1" si="84"/>
        <v>Sa-Sal-2021-1357</v>
      </c>
      <c r="B1358" s="6">
        <v>41</v>
      </c>
      <c r="C1358" s="6" t="str">
        <f t="shared" si="85"/>
        <v>40-49</v>
      </c>
      <c r="D1358" s="6" t="s">
        <v>43</v>
      </c>
      <c r="E1358" s="6" t="s">
        <v>37</v>
      </c>
      <c r="F1358" s="6" t="s">
        <v>39</v>
      </c>
      <c r="G1358" s="6" t="s">
        <v>40</v>
      </c>
      <c r="H1358" s="8">
        <v>4393</v>
      </c>
      <c r="I1358" s="8">
        <f t="shared" si="86"/>
        <v>658.94999999999993</v>
      </c>
      <c r="J1358" s="8">
        <f t="shared" si="87"/>
        <v>3734.05</v>
      </c>
      <c r="K1358" s="8">
        <v>26841</v>
      </c>
      <c r="L1358" s="6">
        <v>5</v>
      </c>
      <c r="M1358" s="22" t="str" cm="1">
        <f t="array" ref="M1358">_xlfn.IFS(L1358&gt;10,"Veteran",L1358&gt;=6,"Experienced",L1358&gt;=2,"Developing",L1358&gt;=0,"New")</f>
        <v>Developing</v>
      </c>
    </row>
    <row r="1359" spans="1:13">
      <c r="A1359" s="21" t="str">
        <f t="shared" ca="1" si="84"/>
        <v>Re-Res-2013-1358</v>
      </c>
      <c r="B1359" s="6">
        <v>42</v>
      </c>
      <c r="C1359" s="6" t="str">
        <f t="shared" si="85"/>
        <v>40-49</v>
      </c>
      <c r="D1359" s="6" t="s">
        <v>43</v>
      </c>
      <c r="E1359" s="6" t="s">
        <v>45</v>
      </c>
      <c r="F1359" s="6" t="s">
        <v>46</v>
      </c>
      <c r="G1359" s="6" t="s">
        <v>58</v>
      </c>
      <c r="H1359" s="8">
        <v>13348</v>
      </c>
      <c r="I1359" s="8">
        <f t="shared" si="86"/>
        <v>4004.3999999999996</v>
      </c>
      <c r="J1359" s="8">
        <f t="shared" si="87"/>
        <v>9343.6</v>
      </c>
      <c r="K1359" s="8">
        <v>14842</v>
      </c>
      <c r="L1359" s="6">
        <v>13</v>
      </c>
      <c r="M1359" s="22" t="str" cm="1">
        <f t="array" ref="M1359">_xlfn.IFS(L1359&gt;10,"Veteran",L1359&gt;=6,"Experienced",L1359&gt;=2,"Developing",L1359&gt;=0,"New")</f>
        <v>Veteran</v>
      </c>
    </row>
    <row r="1360" spans="1:13">
      <c r="A1360" s="21" t="str">
        <f t="shared" ca="1" si="84"/>
        <v>Sa-Sal-2021-1359</v>
      </c>
      <c r="B1360" s="6">
        <v>31</v>
      </c>
      <c r="C1360" s="6" t="str">
        <f t="shared" si="85"/>
        <v>30-39</v>
      </c>
      <c r="D1360" s="6" t="s">
        <v>43</v>
      </c>
      <c r="E1360" s="6" t="s">
        <v>37</v>
      </c>
      <c r="F1360" s="6" t="s">
        <v>39</v>
      </c>
      <c r="G1360" s="6" t="s">
        <v>40</v>
      </c>
      <c r="H1360" s="8">
        <v>6583</v>
      </c>
      <c r="I1360" s="8">
        <f t="shared" si="86"/>
        <v>987.44999999999993</v>
      </c>
      <c r="J1360" s="8">
        <f t="shared" si="87"/>
        <v>5595.55</v>
      </c>
      <c r="K1360" s="8">
        <v>20115</v>
      </c>
      <c r="L1360" s="6">
        <v>5</v>
      </c>
      <c r="M1360" s="22" t="str" cm="1">
        <f t="array" ref="M1360">_xlfn.IFS(L1360&gt;10,"Veteran",L1360&gt;=6,"Experienced",L1360&gt;=2,"Developing",L1360&gt;=0,"New")</f>
        <v>Developing</v>
      </c>
    </row>
    <row r="1361" spans="1:13">
      <c r="A1361" s="21" t="str">
        <f t="shared" ca="1" si="84"/>
        <v>Sa-Sal-2022-1360</v>
      </c>
      <c r="B1361" s="6">
        <v>34</v>
      </c>
      <c r="C1361" s="6" t="str">
        <f t="shared" si="85"/>
        <v>30-39</v>
      </c>
      <c r="D1361" s="6" t="s">
        <v>43</v>
      </c>
      <c r="E1361" s="6" t="s">
        <v>37</v>
      </c>
      <c r="F1361" s="6" t="s">
        <v>39</v>
      </c>
      <c r="G1361" s="6" t="s">
        <v>40</v>
      </c>
      <c r="H1361" s="8">
        <v>8103</v>
      </c>
      <c r="I1361" s="8">
        <f t="shared" si="86"/>
        <v>1782.66</v>
      </c>
      <c r="J1361" s="8">
        <f t="shared" si="87"/>
        <v>6320.34</v>
      </c>
      <c r="K1361" s="8">
        <v>16495</v>
      </c>
      <c r="L1361" s="6">
        <v>4</v>
      </c>
      <c r="M1361" s="22" t="str" cm="1">
        <f t="array" ref="M1361">_xlfn.IFS(L1361&gt;10,"Veteran",L1361&gt;=6,"Experienced",L1361&gt;=2,"Developing",L1361&gt;=0,"New")</f>
        <v>Developing</v>
      </c>
    </row>
    <row r="1362" spans="1:13">
      <c r="A1362" s="21" t="str">
        <f t="shared" ca="1" si="84"/>
        <v>La-Res-2024-1361</v>
      </c>
      <c r="B1362" s="6">
        <v>31</v>
      </c>
      <c r="C1362" s="6" t="str">
        <f t="shared" si="85"/>
        <v>30-39</v>
      </c>
      <c r="D1362" s="6" t="s">
        <v>43</v>
      </c>
      <c r="E1362" s="6" t="s">
        <v>45</v>
      </c>
      <c r="F1362" s="6" t="s">
        <v>39</v>
      </c>
      <c r="G1362" s="6" t="s">
        <v>50</v>
      </c>
      <c r="H1362" s="8">
        <v>3978</v>
      </c>
      <c r="I1362" s="8">
        <f t="shared" si="86"/>
        <v>596.69999999999993</v>
      </c>
      <c r="J1362" s="8">
        <f t="shared" si="87"/>
        <v>3381.3</v>
      </c>
      <c r="K1362" s="8">
        <v>16031</v>
      </c>
      <c r="L1362" s="6">
        <v>2</v>
      </c>
      <c r="M1362" s="22" t="str" cm="1">
        <f t="array" ref="M1362">_xlfn.IFS(L1362&gt;10,"Veteran",L1362&gt;=6,"Experienced",L1362&gt;=2,"Developing",L1362&gt;=0,"New")</f>
        <v>Developing</v>
      </c>
    </row>
    <row r="1363" spans="1:13">
      <c r="A1363" s="21" t="str">
        <f t="shared" ca="1" si="84"/>
        <v>La-Res-2019-1362</v>
      </c>
      <c r="B1363" s="6">
        <v>26</v>
      </c>
      <c r="C1363" s="6" t="str">
        <f t="shared" si="85"/>
        <v>20-29</v>
      </c>
      <c r="D1363" s="6" t="s">
        <v>43</v>
      </c>
      <c r="E1363" s="6" t="s">
        <v>45</v>
      </c>
      <c r="F1363" s="6" t="s">
        <v>46</v>
      </c>
      <c r="G1363" s="6" t="s">
        <v>50</v>
      </c>
      <c r="H1363" s="8">
        <v>2544</v>
      </c>
      <c r="I1363" s="8">
        <f t="shared" si="86"/>
        <v>178.08</v>
      </c>
      <c r="J1363" s="8">
        <f t="shared" si="87"/>
        <v>2365.92</v>
      </c>
      <c r="K1363" s="8">
        <v>7102</v>
      </c>
      <c r="L1363" s="6">
        <v>7</v>
      </c>
      <c r="M1363" s="22" t="str" cm="1">
        <f t="array" ref="M1363">_xlfn.IFS(L1363&gt;10,"Veteran",L1363&gt;=6,"Experienced",L1363&gt;=2,"Developing",L1363&gt;=0,"New")</f>
        <v>Experienced</v>
      </c>
    </row>
    <row r="1364" spans="1:13">
      <c r="A1364" s="21" t="str">
        <f t="shared" ca="1" si="84"/>
        <v>He-Res-2022-1363</v>
      </c>
      <c r="B1364" s="6">
        <v>45</v>
      </c>
      <c r="C1364" s="6" t="str">
        <f t="shared" si="85"/>
        <v>40-49</v>
      </c>
      <c r="D1364" s="6" t="s">
        <v>43</v>
      </c>
      <c r="E1364" s="6" t="s">
        <v>45</v>
      </c>
      <c r="F1364" s="6" t="s">
        <v>46</v>
      </c>
      <c r="G1364" s="6" t="s">
        <v>54</v>
      </c>
      <c r="H1364" s="8">
        <v>5399</v>
      </c>
      <c r="I1364" s="8">
        <f t="shared" si="86"/>
        <v>809.85</v>
      </c>
      <c r="J1364" s="8">
        <f t="shared" si="87"/>
        <v>4589.1499999999996</v>
      </c>
      <c r="K1364" s="8">
        <v>14511</v>
      </c>
      <c r="L1364" s="6">
        <v>4</v>
      </c>
      <c r="M1364" s="22" t="str" cm="1">
        <f t="array" ref="M1364">_xlfn.IFS(L1364&gt;10,"Veteran",L1364&gt;=6,"Experienced",L1364&gt;=2,"Developing",L1364&gt;=0,"New")</f>
        <v>Developing</v>
      </c>
    </row>
    <row r="1365" spans="1:13">
      <c r="A1365" s="21" t="str">
        <f t="shared" ca="1" si="84"/>
        <v>Sa-Sal-2016-1364</v>
      </c>
      <c r="B1365" s="6">
        <v>33</v>
      </c>
      <c r="C1365" s="6" t="str">
        <f t="shared" si="85"/>
        <v>30-39</v>
      </c>
      <c r="D1365" s="6" t="s">
        <v>43</v>
      </c>
      <c r="E1365" s="6" t="s">
        <v>37</v>
      </c>
      <c r="F1365" s="6" t="s">
        <v>46</v>
      </c>
      <c r="G1365" s="6" t="s">
        <v>40</v>
      </c>
      <c r="H1365" s="8">
        <v>5487</v>
      </c>
      <c r="I1365" s="8">
        <f t="shared" si="86"/>
        <v>823.05</v>
      </c>
      <c r="J1365" s="8">
        <f t="shared" si="87"/>
        <v>4663.95</v>
      </c>
      <c r="K1365" s="8">
        <v>10410</v>
      </c>
      <c r="L1365" s="6">
        <v>10</v>
      </c>
      <c r="M1365" s="22" t="str" cm="1">
        <f t="array" ref="M1365">_xlfn.IFS(L1365&gt;10,"Veteran",L1365&gt;=6,"Experienced",L1365&gt;=2,"Developing",L1365&gt;=0,"New")</f>
        <v>Experienced</v>
      </c>
    </row>
    <row r="1366" spans="1:13">
      <c r="A1366" s="21" t="str">
        <f t="shared" ca="1" si="84"/>
        <v>Sa-Sal-2019-1365</v>
      </c>
      <c r="B1366" s="6">
        <v>28</v>
      </c>
      <c r="C1366" s="6" t="str">
        <f t="shared" si="85"/>
        <v>20-29</v>
      </c>
      <c r="D1366" s="6" t="s">
        <v>43</v>
      </c>
      <c r="E1366" s="6" t="s">
        <v>37</v>
      </c>
      <c r="F1366" s="6" t="s">
        <v>46</v>
      </c>
      <c r="G1366" s="6" t="s">
        <v>40</v>
      </c>
      <c r="H1366" s="8">
        <v>6834</v>
      </c>
      <c r="I1366" s="8">
        <f t="shared" si="86"/>
        <v>1025.0999999999999</v>
      </c>
      <c r="J1366" s="8">
        <f t="shared" si="87"/>
        <v>5808.9</v>
      </c>
      <c r="K1366" s="8">
        <v>19255</v>
      </c>
      <c r="L1366" s="6">
        <v>7</v>
      </c>
      <c r="M1366" s="22" t="str" cm="1">
        <f t="array" ref="M1366">_xlfn.IFS(L1366&gt;10,"Veteran",L1366&gt;=6,"Experienced",L1366&gt;=2,"Developing",L1366&gt;=0,"New")</f>
        <v>Experienced</v>
      </c>
    </row>
    <row r="1367" spans="1:13">
      <c r="A1367" s="21" t="str">
        <f t="shared" ca="1" si="84"/>
        <v>Sa-Sal-2025-1366</v>
      </c>
      <c r="B1367" s="6">
        <v>29</v>
      </c>
      <c r="C1367" s="6" t="str">
        <f t="shared" si="85"/>
        <v>20-29</v>
      </c>
      <c r="D1367" s="6" t="s">
        <v>35</v>
      </c>
      <c r="E1367" s="6" t="s">
        <v>37</v>
      </c>
      <c r="F1367" s="6" t="s">
        <v>46</v>
      </c>
      <c r="G1367" s="6" t="s">
        <v>57</v>
      </c>
      <c r="H1367" s="8">
        <v>1091</v>
      </c>
      <c r="I1367" s="8">
        <f t="shared" si="86"/>
        <v>76.37</v>
      </c>
      <c r="J1367" s="8">
        <f t="shared" si="87"/>
        <v>1014.63</v>
      </c>
      <c r="K1367" s="8">
        <v>10642</v>
      </c>
      <c r="L1367" s="6">
        <v>1</v>
      </c>
      <c r="M1367" s="22" t="str" cm="1">
        <f t="array" ref="M1367">_xlfn.IFS(L1367&gt;10,"Veteran",L1367&gt;=6,"Experienced",L1367&gt;=2,"Developing",L1367&gt;=0,"New")</f>
        <v>New</v>
      </c>
    </row>
    <row r="1368" spans="1:13">
      <c r="A1368" s="21" t="str">
        <f t="shared" ca="1" si="84"/>
        <v>Sa-Sal-2023-1367</v>
      </c>
      <c r="B1368" s="6">
        <v>39</v>
      </c>
      <c r="C1368" s="6" t="str">
        <f t="shared" si="85"/>
        <v>30-39</v>
      </c>
      <c r="D1368" s="6" t="s">
        <v>43</v>
      </c>
      <c r="E1368" s="6" t="s">
        <v>37</v>
      </c>
      <c r="F1368" s="6" t="s">
        <v>39</v>
      </c>
      <c r="G1368" s="6" t="s">
        <v>40</v>
      </c>
      <c r="H1368" s="8">
        <v>5736</v>
      </c>
      <c r="I1368" s="8">
        <f t="shared" si="86"/>
        <v>860.4</v>
      </c>
      <c r="J1368" s="8">
        <f t="shared" si="87"/>
        <v>4875.6000000000004</v>
      </c>
      <c r="K1368" s="8">
        <v>3987</v>
      </c>
      <c r="L1368" s="6">
        <v>3</v>
      </c>
      <c r="M1368" s="22" t="str" cm="1">
        <f t="array" ref="M1368">_xlfn.IFS(L1368&gt;10,"Veteran",L1368&gt;=6,"Experienced",L1368&gt;=2,"Developing",L1368&gt;=0,"New")</f>
        <v>Developing</v>
      </c>
    </row>
    <row r="1369" spans="1:13">
      <c r="A1369" s="21" t="str">
        <f t="shared" ca="1" si="84"/>
        <v>Re-Res-2021-1368</v>
      </c>
      <c r="B1369" s="6">
        <v>27</v>
      </c>
      <c r="C1369" s="6" t="str">
        <f t="shared" si="85"/>
        <v>20-29</v>
      </c>
      <c r="D1369" s="6" t="s">
        <v>43</v>
      </c>
      <c r="E1369" s="6" t="s">
        <v>45</v>
      </c>
      <c r="F1369" s="6" t="s">
        <v>46</v>
      </c>
      <c r="G1369" s="6" t="s">
        <v>47</v>
      </c>
      <c r="H1369" s="8">
        <v>2226</v>
      </c>
      <c r="I1369" s="8">
        <f t="shared" si="86"/>
        <v>155.82000000000002</v>
      </c>
      <c r="J1369" s="8">
        <f t="shared" si="87"/>
        <v>2070.1799999999998</v>
      </c>
      <c r="K1369" s="8">
        <v>6073</v>
      </c>
      <c r="L1369" s="6">
        <v>5</v>
      </c>
      <c r="M1369" s="22" t="str" cm="1">
        <f t="array" ref="M1369">_xlfn.IFS(L1369&gt;10,"Veteran",L1369&gt;=6,"Experienced",L1369&gt;=2,"Developing",L1369&gt;=0,"New")</f>
        <v>Developing</v>
      </c>
    </row>
    <row r="1370" spans="1:13">
      <c r="A1370" s="21" t="str">
        <f t="shared" ca="1" si="84"/>
        <v>Re-Res-2011-1369</v>
      </c>
      <c r="B1370" s="6">
        <v>34</v>
      </c>
      <c r="C1370" s="6" t="str">
        <f t="shared" si="85"/>
        <v>30-39</v>
      </c>
      <c r="D1370" s="6" t="s">
        <v>43</v>
      </c>
      <c r="E1370" s="6" t="s">
        <v>45</v>
      </c>
      <c r="F1370" s="6" t="s">
        <v>46</v>
      </c>
      <c r="G1370" s="6" t="s">
        <v>47</v>
      </c>
      <c r="H1370" s="8">
        <v>5747</v>
      </c>
      <c r="I1370" s="8">
        <f t="shared" si="86"/>
        <v>862.05</v>
      </c>
      <c r="J1370" s="8">
        <f t="shared" si="87"/>
        <v>4884.95</v>
      </c>
      <c r="K1370" s="8">
        <v>26496</v>
      </c>
      <c r="L1370" s="6">
        <v>15</v>
      </c>
      <c r="M1370" s="22" t="str" cm="1">
        <f t="array" ref="M1370">_xlfn.IFS(L1370&gt;10,"Veteran",L1370&gt;=6,"Experienced",L1370&gt;=2,"Developing",L1370&gt;=0,"New")</f>
        <v>Veteran</v>
      </c>
    </row>
    <row r="1371" spans="1:13">
      <c r="A1371" s="21" t="str">
        <f t="shared" ca="1" si="84"/>
        <v>Sa-Sal-2024-1370</v>
      </c>
      <c r="B1371" s="6">
        <v>28</v>
      </c>
      <c r="C1371" s="6" t="str">
        <f t="shared" si="85"/>
        <v>20-29</v>
      </c>
      <c r="D1371" s="6" t="s">
        <v>35</v>
      </c>
      <c r="E1371" s="6" t="s">
        <v>37</v>
      </c>
      <c r="F1371" s="6" t="s">
        <v>39</v>
      </c>
      <c r="G1371" s="6" t="s">
        <v>40</v>
      </c>
      <c r="H1371" s="8">
        <v>9854</v>
      </c>
      <c r="I1371" s="8">
        <f t="shared" si="86"/>
        <v>2167.88</v>
      </c>
      <c r="J1371" s="8">
        <f t="shared" si="87"/>
        <v>7686.12</v>
      </c>
      <c r="K1371" s="8">
        <v>23352</v>
      </c>
      <c r="L1371" s="6">
        <v>2</v>
      </c>
      <c r="M1371" s="22" t="str" cm="1">
        <f t="array" ref="M1371">_xlfn.IFS(L1371&gt;10,"Veteran",L1371&gt;=6,"Experienced",L1371&gt;=2,"Developing",L1371&gt;=0,"New")</f>
        <v>Developing</v>
      </c>
    </row>
    <row r="1372" spans="1:13">
      <c r="A1372" s="21" t="str">
        <f t="shared" ca="1" si="84"/>
        <v>Re-Res-2018-1371</v>
      </c>
      <c r="B1372" s="6">
        <v>47</v>
      </c>
      <c r="C1372" s="6" t="str">
        <f t="shared" si="85"/>
        <v>40-49</v>
      </c>
      <c r="D1372" s="6" t="s">
        <v>43</v>
      </c>
      <c r="E1372" s="6" t="s">
        <v>45</v>
      </c>
      <c r="F1372" s="6" t="s">
        <v>46</v>
      </c>
      <c r="G1372" s="6" t="s">
        <v>47</v>
      </c>
      <c r="H1372" s="8">
        <v>5467</v>
      </c>
      <c r="I1372" s="8">
        <f t="shared" si="86"/>
        <v>820.05</v>
      </c>
      <c r="J1372" s="8">
        <f t="shared" si="87"/>
        <v>4646.95</v>
      </c>
      <c r="K1372" s="8">
        <v>2125</v>
      </c>
      <c r="L1372" s="6">
        <v>8</v>
      </c>
      <c r="M1372" s="22" t="str" cm="1">
        <f t="array" ref="M1372">_xlfn.IFS(L1372&gt;10,"Veteran",L1372&gt;=6,"Experienced",L1372&gt;=2,"Developing",L1372&gt;=0,"New")</f>
        <v>Experienced</v>
      </c>
    </row>
    <row r="1373" spans="1:13">
      <c r="A1373" s="21" t="str">
        <f t="shared" ca="1" si="84"/>
        <v>Sa-Sal-2026-1372</v>
      </c>
      <c r="B1373" s="6">
        <v>56</v>
      </c>
      <c r="C1373" s="6" t="str">
        <f t="shared" si="85"/>
        <v>50+</v>
      </c>
      <c r="D1373" s="6" t="s">
        <v>43</v>
      </c>
      <c r="E1373" s="6" t="s">
        <v>37</v>
      </c>
      <c r="F1373" s="6" t="s">
        <v>39</v>
      </c>
      <c r="G1373" s="6" t="s">
        <v>40</v>
      </c>
      <c r="H1373" s="8">
        <v>5380</v>
      </c>
      <c r="I1373" s="8">
        <f t="shared" si="86"/>
        <v>807</v>
      </c>
      <c r="J1373" s="8">
        <f t="shared" si="87"/>
        <v>4573</v>
      </c>
      <c r="K1373" s="8">
        <v>20328</v>
      </c>
      <c r="L1373" s="6">
        <v>0</v>
      </c>
      <c r="M1373" s="22" t="str" cm="1">
        <f t="array" ref="M1373">_xlfn.IFS(L1373&gt;10,"Veteran",L1373&gt;=6,"Experienced",L1373&gt;=2,"Developing",L1373&gt;=0,"New")</f>
        <v>New</v>
      </c>
    </row>
    <row r="1374" spans="1:13">
      <c r="A1374" s="21" t="str">
        <f t="shared" ca="1" si="84"/>
        <v>Ma-Res-2016-1373</v>
      </c>
      <c r="B1374" s="6">
        <v>39</v>
      </c>
      <c r="C1374" s="6" t="str">
        <f t="shared" si="85"/>
        <v>30-39</v>
      </c>
      <c r="D1374" s="6" t="s">
        <v>43</v>
      </c>
      <c r="E1374" s="6" t="s">
        <v>45</v>
      </c>
      <c r="F1374" s="6" t="s">
        <v>46</v>
      </c>
      <c r="G1374" s="6" t="s">
        <v>53</v>
      </c>
      <c r="H1374" s="8">
        <v>5151</v>
      </c>
      <c r="I1374" s="8">
        <f t="shared" si="86"/>
        <v>772.65</v>
      </c>
      <c r="J1374" s="8">
        <f t="shared" si="87"/>
        <v>4378.3500000000004</v>
      </c>
      <c r="K1374" s="8">
        <v>12315</v>
      </c>
      <c r="L1374" s="6">
        <v>10</v>
      </c>
      <c r="M1374" s="22" t="str" cm="1">
        <f t="array" ref="M1374">_xlfn.IFS(L1374&gt;10,"Veteran",L1374&gt;=6,"Experienced",L1374&gt;=2,"Developing",L1374&gt;=0,"New")</f>
        <v>Experienced</v>
      </c>
    </row>
    <row r="1375" spans="1:13">
      <c r="A1375" s="21" t="str">
        <f t="shared" ca="1" si="84"/>
        <v>Re-Res-2006-1374</v>
      </c>
      <c r="B1375" s="6">
        <v>38</v>
      </c>
      <c r="C1375" s="6" t="str">
        <f t="shared" si="85"/>
        <v>30-39</v>
      </c>
      <c r="D1375" s="6" t="s">
        <v>43</v>
      </c>
      <c r="E1375" s="6" t="s">
        <v>45</v>
      </c>
      <c r="F1375" s="6" t="s">
        <v>39</v>
      </c>
      <c r="G1375" s="6" t="s">
        <v>47</v>
      </c>
      <c r="H1375" s="8">
        <v>2133</v>
      </c>
      <c r="I1375" s="8">
        <f t="shared" si="86"/>
        <v>149.31</v>
      </c>
      <c r="J1375" s="8">
        <f t="shared" si="87"/>
        <v>1983.69</v>
      </c>
      <c r="K1375" s="8">
        <v>18115</v>
      </c>
      <c r="L1375" s="6">
        <v>20</v>
      </c>
      <c r="M1375" s="22" t="str" cm="1">
        <f t="array" ref="M1375">_xlfn.IFS(L1375&gt;10,"Veteran",L1375&gt;=6,"Experienced",L1375&gt;=2,"Developing",L1375&gt;=0,"New")</f>
        <v>Veteran</v>
      </c>
    </row>
    <row r="1376" spans="1:13">
      <c r="A1376" s="21" t="str">
        <f t="shared" ca="1" si="84"/>
        <v>Ma-Sal-2025-1375</v>
      </c>
      <c r="B1376" s="6">
        <v>58</v>
      </c>
      <c r="C1376" s="6" t="str">
        <f t="shared" si="85"/>
        <v>50+</v>
      </c>
      <c r="D1376" s="6" t="s">
        <v>43</v>
      </c>
      <c r="E1376" s="6" t="s">
        <v>37</v>
      </c>
      <c r="F1376" s="6" t="s">
        <v>39</v>
      </c>
      <c r="G1376" s="6" t="s">
        <v>56</v>
      </c>
      <c r="H1376" s="8">
        <v>17875</v>
      </c>
      <c r="I1376" s="8">
        <f t="shared" si="86"/>
        <v>5362.5</v>
      </c>
      <c r="J1376" s="8">
        <f t="shared" si="87"/>
        <v>12512.5</v>
      </c>
      <c r="K1376" s="8">
        <v>11761</v>
      </c>
      <c r="L1376" s="6">
        <v>1</v>
      </c>
      <c r="M1376" s="22" t="str" cm="1">
        <f t="array" ref="M1376">_xlfn.IFS(L1376&gt;10,"Veteran",L1376&gt;=6,"Experienced",L1376&gt;=2,"Developing",L1376&gt;=0,"New")</f>
        <v>New</v>
      </c>
    </row>
    <row r="1377" spans="1:13">
      <c r="A1377" s="21" t="str">
        <f t="shared" ca="1" si="84"/>
        <v>Re-Res-2022-1376</v>
      </c>
      <c r="B1377" s="6">
        <v>32</v>
      </c>
      <c r="C1377" s="6" t="str">
        <f t="shared" si="85"/>
        <v>30-39</v>
      </c>
      <c r="D1377" s="6" t="s">
        <v>35</v>
      </c>
      <c r="E1377" s="6" t="s">
        <v>45</v>
      </c>
      <c r="F1377" s="6" t="s">
        <v>39</v>
      </c>
      <c r="G1377" s="6" t="s">
        <v>47</v>
      </c>
      <c r="H1377" s="8">
        <v>2432</v>
      </c>
      <c r="I1377" s="8">
        <f t="shared" si="86"/>
        <v>170.24</v>
      </c>
      <c r="J1377" s="8">
        <f t="shared" si="87"/>
        <v>2261.7600000000002</v>
      </c>
      <c r="K1377" s="8">
        <v>15318</v>
      </c>
      <c r="L1377" s="6">
        <v>4</v>
      </c>
      <c r="M1377" s="22" t="str" cm="1">
        <f t="array" ref="M1377">_xlfn.IFS(L1377&gt;10,"Veteran",L1377&gt;=6,"Experienced",L1377&gt;=2,"Developing",L1377&gt;=0,"New")</f>
        <v>Developing</v>
      </c>
    </row>
    <row r="1378" spans="1:13">
      <c r="A1378" s="21" t="str">
        <f t="shared" ca="1" si="84"/>
        <v>Re-Res-2021-1377</v>
      </c>
      <c r="B1378" s="6">
        <v>38</v>
      </c>
      <c r="C1378" s="6" t="str">
        <f t="shared" si="85"/>
        <v>30-39</v>
      </c>
      <c r="D1378" s="6" t="s">
        <v>43</v>
      </c>
      <c r="E1378" s="6" t="s">
        <v>45</v>
      </c>
      <c r="F1378" s="6" t="s">
        <v>46</v>
      </c>
      <c r="G1378" s="6" t="s">
        <v>47</v>
      </c>
      <c r="H1378" s="8">
        <v>4771</v>
      </c>
      <c r="I1378" s="8">
        <f t="shared" si="86"/>
        <v>715.65</v>
      </c>
      <c r="J1378" s="8">
        <f t="shared" si="87"/>
        <v>4055.35</v>
      </c>
      <c r="K1378" s="8">
        <v>14293</v>
      </c>
      <c r="L1378" s="6">
        <v>5</v>
      </c>
      <c r="M1378" s="22" t="str" cm="1">
        <f t="array" ref="M1378">_xlfn.IFS(L1378&gt;10,"Veteran",L1378&gt;=6,"Experienced",L1378&gt;=2,"Developing",L1378&gt;=0,"New")</f>
        <v>Developing</v>
      </c>
    </row>
    <row r="1379" spans="1:13">
      <c r="A1379" s="21" t="str">
        <f t="shared" ca="1" si="84"/>
        <v>Re-Res-2021-1378</v>
      </c>
      <c r="B1379" s="6">
        <v>49</v>
      </c>
      <c r="C1379" s="6" t="str">
        <f t="shared" si="85"/>
        <v>40-49</v>
      </c>
      <c r="D1379" s="6" t="s">
        <v>43</v>
      </c>
      <c r="E1379" s="6" t="s">
        <v>45</v>
      </c>
      <c r="F1379" s="6" t="s">
        <v>46</v>
      </c>
      <c r="G1379" s="6" t="s">
        <v>58</v>
      </c>
      <c r="H1379" s="8">
        <v>19161</v>
      </c>
      <c r="I1379" s="8">
        <f t="shared" si="86"/>
        <v>5748.3</v>
      </c>
      <c r="J1379" s="8">
        <f t="shared" si="87"/>
        <v>13412.7</v>
      </c>
      <c r="K1379" s="8">
        <v>13738</v>
      </c>
      <c r="L1379" s="6">
        <v>5</v>
      </c>
      <c r="M1379" s="22" t="str" cm="1">
        <f t="array" ref="M1379">_xlfn.IFS(L1379&gt;10,"Veteran",L1379&gt;=6,"Experienced",L1379&gt;=2,"Developing",L1379&gt;=0,"New")</f>
        <v>Developing</v>
      </c>
    </row>
    <row r="1380" spans="1:13">
      <c r="A1380" s="21" t="str">
        <f t="shared" ca="1" si="84"/>
        <v>Sa-Sal-2026-1379</v>
      </c>
      <c r="B1380" s="6">
        <v>42</v>
      </c>
      <c r="C1380" s="6" t="str">
        <f t="shared" si="85"/>
        <v>40-49</v>
      </c>
      <c r="D1380" s="6" t="s">
        <v>43</v>
      </c>
      <c r="E1380" s="6" t="s">
        <v>37</v>
      </c>
      <c r="F1380" s="6" t="s">
        <v>46</v>
      </c>
      <c r="G1380" s="6" t="s">
        <v>40</v>
      </c>
      <c r="H1380" s="8">
        <v>5087</v>
      </c>
      <c r="I1380" s="8">
        <f t="shared" si="86"/>
        <v>763.05</v>
      </c>
      <c r="J1380" s="8">
        <f t="shared" si="87"/>
        <v>4323.95</v>
      </c>
      <c r="K1380" s="8">
        <v>2900</v>
      </c>
      <c r="L1380" s="6">
        <v>0</v>
      </c>
      <c r="M1380" s="22" t="str" cm="1">
        <f t="array" ref="M1380">_xlfn.IFS(L1380&gt;10,"Veteran",L1380&gt;=6,"Experienced",L1380&gt;=2,"Developing",L1380&gt;=0,"New")</f>
        <v>New</v>
      </c>
    </row>
    <row r="1381" spans="1:13">
      <c r="A1381" s="21" t="str">
        <f t="shared" ca="1" si="84"/>
        <v>Hu-Hum-2025-1380</v>
      </c>
      <c r="B1381" s="6">
        <v>27</v>
      </c>
      <c r="C1381" s="6" t="str">
        <f t="shared" si="85"/>
        <v>20-29</v>
      </c>
      <c r="D1381" s="6" t="s">
        <v>35</v>
      </c>
      <c r="E1381" s="6" t="s">
        <v>61</v>
      </c>
      <c r="F1381" s="6" t="s">
        <v>39</v>
      </c>
      <c r="G1381" s="6" t="s">
        <v>61</v>
      </c>
      <c r="H1381" s="8">
        <v>2863</v>
      </c>
      <c r="I1381" s="8">
        <f t="shared" si="86"/>
        <v>200.41000000000003</v>
      </c>
      <c r="J1381" s="8">
        <f t="shared" si="87"/>
        <v>2662.59</v>
      </c>
      <c r="K1381" s="8">
        <v>19555</v>
      </c>
      <c r="L1381" s="6">
        <v>1</v>
      </c>
      <c r="M1381" s="22" t="str" cm="1">
        <f t="array" ref="M1381">_xlfn.IFS(L1381&gt;10,"Veteran",L1381&gt;=6,"Experienced",L1381&gt;=2,"Developing",L1381&gt;=0,"New")</f>
        <v>New</v>
      </c>
    </row>
    <row r="1382" spans="1:13">
      <c r="A1382" s="21" t="str">
        <f t="shared" ca="1" si="84"/>
        <v>Sa-Sal-2021-1381</v>
      </c>
      <c r="B1382" s="6">
        <v>35</v>
      </c>
      <c r="C1382" s="6" t="str">
        <f t="shared" si="85"/>
        <v>30-39</v>
      </c>
      <c r="D1382" s="6" t="s">
        <v>43</v>
      </c>
      <c r="E1382" s="6" t="s">
        <v>37</v>
      </c>
      <c r="F1382" s="6" t="s">
        <v>46</v>
      </c>
      <c r="G1382" s="6" t="s">
        <v>40</v>
      </c>
      <c r="H1382" s="8">
        <v>5561</v>
      </c>
      <c r="I1382" s="8">
        <f t="shared" si="86"/>
        <v>834.15</v>
      </c>
      <c r="J1382" s="8">
        <f t="shared" si="87"/>
        <v>4726.8500000000004</v>
      </c>
      <c r="K1382" s="8">
        <v>15975</v>
      </c>
      <c r="L1382" s="6">
        <v>5</v>
      </c>
      <c r="M1382" s="22" t="str" cm="1">
        <f t="array" ref="M1382">_xlfn.IFS(L1382&gt;10,"Veteran",L1382&gt;=6,"Experienced",L1382&gt;=2,"Developing",L1382&gt;=0,"New")</f>
        <v>Developing</v>
      </c>
    </row>
    <row r="1383" spans="1:13">
      <c r="A1383" s="21" t="str">
        <f t="shared" ca="1" si="84"/>
        <v>Re-Res-2021-1382</v>
      </c>
      <c r="B1383" s="6">
        <v>28</v>
      </c>
      <c r="C1383" s="6" t="str">
        <f t="shared" si="85"/>
        <v>20-29</v>
      </c>
      <c r="D1383" s="6" t="s">
        <v>43</v>
      </c>
      <c r="E1383" s="6" t="s">
        <v>45</v>
      </c>
      <c r="F1383" s="6" t="s">
        <v>46</v>
      </c>
      <c r="G1383" s="6" t="s">
        <v>47</v>
      </c>
      <c r="H1383" s="8">
        <v>2144</v>
      </c>
      <c r="I1383" s="8">
        <f t="shared" si="86"/>
        <v>150.08000000000001</v>
      </c>
      <c r="J1383" s="8">
        <f t="shared" si="87"/>
        <v>1993.92</v>
      </c>
      <c r="K1383" s="8">
        <v>2122</v>
      </c>
      <c r="L1383" s="6">
        <v>5</v>
      </c>
      <c r="M1383" s="22" t="str" cm="1">
        <f t="array" ref="M1383">_xlfn.IFS(L1383&gt;10,"Veteran",L1383&gt;=6,"Experienced",L1383&gt;=2,"Developing",L1383&gt;=0,"New")</f>
        <v>Developing</v>
      </c>
    </row>
    <row r="1384" spans="1:13">
      <c r="A1384" s="21" t="str">
        <f t="shared" ca="1" si="84"/>
        <v>Re-Res-2022-1383</v>
      </c>
      <c r="B1384" s="6">
        <v>31</v>
      </c>
      <c r="C1384" s="6" t="str">
        <f t="shared" si="85"/>
        <v>30-39</v>
      </c>
      <c r="D1384" s="6" t="s">
        <v>43</v>
      </c>
      <c r="E1384" s="6" t="s">
        <v>45</v>
      </c>
      <c r="F1384" s="6" t="s">
        <v>46</v>
      </c>
      <c r="G1384" s="6" t="s">
        <v>47</v>
      </c>
      <c r="H1384" s="8">
        <v>3065</v>
      </c>
      <c r="I1384" s="8">
        <f t="shared" si="86"/>
        <v>459.75</v>
      </c>
      <c r="J1384" s="8">
        <f t="shared" si="87"/>
        <v>2605.25</v>
      </c>
      <c r="K1384" s="8">
        <v>3995</v>
      </c>
      <c r="L1384" s="6">
        <v>4</v>
      </c>
      <c r="M1384" s="22" t="str" cm="1">
        <f t="array" ref="M1384">_xlfn.IFS(L1384&gt;10,"Veteran",L1384&gt;=6,"Experienced",L1384&gt;=2,"Developing",L1384&gt;=0,"New")</f>
        <v>Developing</v>
      </c>
    </row>
    <row r="1385" spans="1:13">
      <c r="A1385" s="21" t="str">
        <f t="shared" ca="1" si="84"/>
        <v>La-Res-2021-1384</v>
      </c>
      <c r="B1385" s="6">
        <v>36</v>
      </c>
      <c r="C1385" s="6" t="str">
        <f t="shared" si="85"/>
        <v>30-39</v>
      </c>
      <c r="D1385" s="6" t="s">
        <v>43</v>
      </c>
      <c r="E1385" s="6" t="s">
        <v>45</v>
      </c>
      <c r="F1385" s="6" t="s">
        <v>46</v>
      </c>
      <c r="G1385" s="6" t="s">
        <v>50</v>
      </c>
      <c r="H1385" s="8">
        <v>2810</v>
      </c>
      <c r="I1385" s="8">
        <f t="shared" si="86"/>
        <v>196.70000000000002</v>
      </c>
      <c r="J1385" s="8">
        <f t="shared" si="87"/>
        <v>2613.3000000000002</v>
      </c>
      <c r="K1385" s="8">
        <v>9238</v>
      </c>
      <c r="L1385" s="6">
        <v>5</v>
      </c>
      <c r="M1385" s="22" t="str" cm="1">
        <f t="array" ref="M1385">_xlfn.IFS(L1385&gt;10,"Veteran",L1385&gt;=6,"Experienced",L1385&gt;=2,"Developing",L1385&gt;=0,"New")</f>
        <v>Developing</v>
      </c>
    </row>
    <row r="1386" spans="1:13">
      <c r="A1386" s="21" t="str">
        <f t="shared" ca="1" si="84"/>
        <v>Sa-Sal-2012-1385</v>
      </c>
      <c r="B1386" s="6">
        <v>34</v>
      </c>
      <c r="C1386" s="6" t="str">
        <f t="shared" si="85"/>
        <v>30-39</v>
      </c>
      <c r="D1386" s="6" t="s">
        <v>43</v>
      </c>
      <c r="E1386" s="6" t="s">
        <v>37</v>
      </c>
      <c r="F1386" s="6" t="s">
        <v>46</v>
      </c>
      <c r="G1386" s="6" t="s">
        <v>40</v>
      </c>
      <c r="H1386" s="8">
        <v>9888</v>
      </c>
      <c r="I1386" s="8">
        <f t="shared" si="86"/>
        <v>2175.36</v>
      </c>
      <c r="J1386" s="8">
        <f t="shared" si="87"/>
        <v>7712.6399999999994</v>
      </c>
      <c r="K1386" s="8">
        <v>6770</v>
      </c>
      <c r="L1386" s="6">
        <v>14</v>
      </c>
      <c r="M1386" s="22" t="str" cm="1">
        <f t="array" ref="M1386">_xlfn.IFS(L1386&gt;10,"Veteran",L1386&gt;=6,"Experienced",L1386&gt;=2,"Developing",L1386&gt;=0,"New")</f>
        <v>Veteran</v>
      </c>
    </row>
    <row r="1387" spans="1:13">
      <c r="A1387" s="21" t="str">
        <f t="shared" ca="1" si="84"/>
        <v>Sa-Sal-2018-1386</v>
      </c>
      <c r="B1387" s="6">
        <v>34</v>
      </c>
      <c r="C1387" s="6" t="str">
        <f t="shared" si="85"/>
        <v>30-39</v>
      </c>
      <c r="D1387" s="6" t="s">
        <v>43</v>
      </c>
      <c r="E1387" s="6" t="s">
        <v>37</v>
      </c>
      <c r="F1387" s="6" t="s">
        <v>46</v>
      </c>
      <c r="G1387" s="6" t="s">
        <v>40</v>
      </c>
      <c r="H1387" s="8">
        <v>8628</v>
      </c>
      <c r="I1387" s="8">
        <f t="shared" si="86"/>
        <v>1898.16</v>
      </c>
      <c r="J1387" s="8">
        <f t="shared" si="87"/>
        <v>6729.84</v>
      </c>
      <c r="K1387" s="8">
        <v>22914</v>
      </c>
      <c r="L1387" s="6">
        <v>8</v>
      </c>
      <c r="M1387" s="22" t="str" cm="1">
        <f t="array" ref="M1387">_xlfn.IFS(L1387&gt;10,"Veteran",L1387&gt;=6,"Experienced",L1387&gt;=2,"Developing",L1387&gt;=0,"New")</f>
        <v>Experienced</v>
      </c>
    </row>
    <row r="1388" spans="1:13">
      <c r="A1388" s="21" t="str">
        <f t="shared" ca="1" si="84"/>
        <v>La-Res-2019-1387</v>
      </c>
      <c r="B1388" s="6">
        <v>26</v>
      </c>
      <c r="C1388" s="6" t="str">
        <f t="shared" si="85"/>
        <v>20-29</v>
      </c>
      <c r="D1388" s="6" t="s">
        <v>43</v>
      </c>
      <c r="E1388" s="6" t="s">
        <v>45</v>
      </c>
      <c r="F1388" s="6" t="s">
        <v>46</v>
      </c>
      <c r="G1388" s="6" t="s">
        <v>50</v>
      </c>
      <c r="H1388" s="8">
        <v>2867</v>
      </c>
      <c r="I1388" s="8">
        <f t="shared" si="86"/>
        <v>200.69000000000003</v>
      </c>
      <c r="J1388" s="8">
        <f t="shared" si="87"/>
        <v>2666.31</v>
      </c>
      <c r="K1388" s="8">
        <v>20006</v>
      </c>
      <c r="L1388" s="6">
        <v>7</v>
      </c>
      <c r="M1388" s="22" t="str" cm="1">
        <f t="array" ref="M1388">_xlfn.IFS(L1388&gt;10,"Veteran",L1388&gt;=6,"Experienced",L1388&gt;=2,"Developing",L1388&gt;=0,"New")</f>
        <v>Experienced</v>
      </c>
    </row>
    <row r="1389" spans="1:13">
      <c r="A1389" s="21" t="str">
        <f t="shared" ca="1" si="84"/>
        <v>He-Res-2021-1388</v>
      </c>
      <c r="B1389" s="6">
        <v>29</v>
      </c>
      <c r="C1389" s="6" t="str">
        <f t="shared" si="85"/>
        <v>20-29</v>
      </c>
      <c r="D1389" s="6" t="s">
        <v>43</v>
      </c>
      <c r="E1389" s="6" t="s">
        <v>45</v>
      </c>
      <c r="F1389" s="6" t="s">
        <v>46</v>
      </c>
      <c r="G1389" s="6" t="s">
        <v>54</v>
      </c>
      <c r="H1389" s="8">
        <v>5373</v>
      </c>
      <c r="I1389" s="8">
        <f t="shared" si="86"/>
        <v>805.94999999999993</v>
      </c>
      <c r="J1389" s="8">
        <f t="shared" si="87"/>
        <v>4567.05</v>
      </c>
      <c r="K1389" s="8">
        <v>6225</v>
      </c>
      <c r="L1389" s="6">
        <v>5</v>
      </c>
      <c r="M1389" s="22" t="str" cm="1">
        <f t="array" ref="M1389">_xlfn.IFS(L1389&gt;10,"Veteran",L1389&gt;=6,"Experienced",L1389&gt;=2,"Developing",L1389&gt;=0,"New")</f>
        <v>Developing</v>
      </c>
    </row>
    <row r="1390" spans="1:13">
      <c r="A1390" s="21" t="str">
        <f t="shared" ca="1" si="84"/>
        <v>He-Res-2021-1389</v>
      </c>
      <c r="B1390" s="6">
        <v>32</v>
      </c>
      <c r="C1390" s="6" t="str">
        <f t="shared" si="85"/>
        <v>30-39</v>
      </c>
      <c r="D1390" s="6" t="s">
        <v>43</v>
      </c>
      <c r="E1390" s="6" t="s">
        <v>45</v>
      </c>
      <c r="F1390" s="6" t="s">
        <v>39</v>
      </c>
      <c r="G1390" s="6" t="s">
        <v>54</v>
      </c>
      <c r="H1390" s="8">
        <v>6667</v>
      </c>
      <c r="I1390" s="8">
        <f t="shared" si="86"/>
        <v>1000.05</v>
      </c>
      <c r="J1390" s="8">
        <f t="shared" si="87"/>
        <v>5666.95</v>
      </c>
      <c r="K1390" s="8">
        <v>16542</v>
      </c>
      <c r="L1390" s="6">
        <v>5</v>
      </c>
      <c r="M1390" s="22" t="str" cm="1">
        <f t="array" ref="M1390">_xlfn.IFS(L1390&gt;10,"Veteran",L1390&gt;=6,"Experienced",L1390&gt;=2,"Developing",L1390&gt;=0,"New")</f>
        <v>Developing</v>
      </c>
    </row>
    <row r="1391" spans="1:13">
      <c r="A1391" s="21" t="str">
        <f t="shared" ca="1" si="84"/>
        <v>Re-Res-2016-1390</v>
      </c>
      <c r="B1391" s="6">
        <v>31</v>
      </c>
      <c r="C1391" s="6" t="str">
        <f t="shared" si="85"/>
        <v>30-39</v>
      </c>
      <c r="D1391" s="6" t="s">
        <v>43</v>
      </c>
      <c r="E1391" s="6" t="s">
        <v>45</v>
      </c>
      <c r="F1391" s="6" t="s">
        <v>46</v>
      </c>
      <c r="G1391" s="6" t="s">
        <v>47</v>
      </c>
      <c r="H1391" s="8">
        <v>5003</v>
      </c>
      <c r="I1391" s="8">
        <f t="shared" si="86"/>
        <v>750.44999999999993</v>
      </c>
      <c r="J1391" s="8">
        <f t="shared" si="87"/>
        <v>4252.55</v>
      </c>
      <c r="K1391" s="8">
        <v>5771</v>
      </c>
      <c r="L1391" s="6">
        <v>10</v>
      </c>
      <c r="M1391" s="22" t="str" cm="1">
        <f t="array" ref="M1391">_xlfn.IFS(L1391&gt;10,"Veteran",L1391&gt;=6,"Experienced",L1391&gt;=2,"Developing",L1391&gt;=0,"New")</f>
        <v>Experienced</v>
      </c>
    </row>
    <row r="1392" spans="1:13">
      <c r="A1392" s="21" t="str">
        <f t="shared" ca="1" si="84"/>
        <v>La-Res-2022-1391</v>
      </c>
      <c r="B1392" s="6">
        <v>28</v>
      </c>
      <c r="C1392" s="6" t="str">
        <f t="shared" si="85"/>
        <v>20-29</v>
      </c>
      <c r="D1392" s="6" t="s">
        <v>35</v>
      </c>
      <c r="E1392" s="6" t="s">
        <v>45</v>
      </c>
      <c r="F1392" s="6" t="s">
        <v>46</v>
      </c>
      <c r="G1392" s="6" t="s">
        <v>50</v>
      </c>
      <c r="H1392" s="8">
        <v>2367</v>
      </c>
      <c r="I1392" s="8">
        <f t="shared" si="86"/>
        <v>165.69000000000003</v>
      </c>
      <c r="J1392" s="8">
        <f t="shared" si="87"/>
        <v>2201.31</v>
      </c>
      <c r="K1392" s="8">
        <v>18779</v>
      </c>
      <c r="L1392" s="6">
        <v>4</v>
      </c>
      <c r="M1392" s="22" t="str" cm="1">
        <f t="array" ref="M1392">_xlfn.IFS(L1392&gt;10,"Veteran",L1392&gt;=6,"Experienced",L1392&gt;=2,"Developing",L1392&gt;=0,"New")</f>
        <v>Developing</v>
      </c>
    </row>
    <row r="1393" spans="1:13">
      <c r="A1393" s="21" t="str">
        <f t="shared" ca="1" si="84"/>
        <v>Sa-Sal-2025-1392</v>
      </c>
      <c r="B1393" s="6">
        <v>38</v>
      </c>
      <c r="C1393" s="6" t="str">
        <f t="shared" si="85"/>
        <v>30-39</v>
      </c>
      <c r="D1393" s="6" t="s">
        <v>43</v>
      </c>
      <c r="E1393" s="6" t="s">
        <v>37</v>
      </c>
      <c r="F1393" s="6" t="s">
        <v>46</v>
      </c>
      <c r="G1393" s="6" t="s">
        <v>57</v>
      </c>
      <c r="H1393" s="8">
        <v>2858</v>
      </c>
      <c r="I1393" s="8">
        <f t="shared" si="86"/>
        <v>200.06000000000003</v>
      </c>
      <c r="J1393" s="8">
        <f t="shared" si="87"/>
        <v>2657.94</v>
      </c>
      <c r="K1393" s="8">
        <v>11473</v>
      </c>
      <c r="L1393" s="6">
        <v>1</v>
      </c>
      <c r="M1393" s="22" t="str" cm="1">
        <f t="array" ref="M1393">_xlfn.IFS(L1393&gt;10,"Veteran",L1393&gt;=6,"Experienced",L1393&gt;=2,"Developing",L1393&gt;=0,"New")</f>
        <v>New</v>
      </c>
    </row>
    <row r="1394" spans="1:13">
      <c r="A1394" s="21" t="str">
        <f t="shared" ca="1" si="84"/>
        <v>Sa-Sal-2016-1393</v>
      </c>
      <c r="B1394" s="6">
        <v>35</v>
      </c>
      <c r="C1394" s="6" t="str">
        <f t="shared" si="85"/>
        <v>30-39</v>
      </c>
      <c r="D1394" s="6" t="s">
        <v>43</v>
      </c>
      <c r="E1394" s="6" t="s">
        <v>37</v>
      </c>
      <c r="F1394" s="6" t="s">
        <v>39</v>
      </c>
      <c r="G1394" s="6" t="s">
        <v>40</v>
      </c>
      <c r="H1394" s="8">
        <v>5204</v>
      </c>
      <c r="I1394" s="8">
        <f t="shared" si="86"/>
        <v>780.6</v>
      </c>
      <c r="J1394" s="8">
        <f t="shared" si="87"/>
        <v>4423.3999999999996</v>
      </c>
      <c r="K1394" s="8">
        <v>13586</v>
      </c>
      <c r="L1394" s="6">
        <v>10</v>
      </c>
      <c r="M1394" s="22" t="str" cm="1">
        <f t="array" ref="M1394">_xlfn.IFS(L1394&gt;10,"Veteran",L1394&gt;=6,"Experienced",L1394&gt;=2,"Developing",L1394&gt;=0,"New")</f>
        <v>Experienced</v>
      </c>
    </row>
    <row r="1395" spans="1:13">
      <c r="A1395" s="21" t="str">
        <f t="shared" ca="1" si="84"/>
        <v>Sa-Sal-2019-1394</v>
      </c>
      <c r="B1395" s="6">
        <v>27</v>
      </c>
      <c r="C1395" s="6" t="str">
        <f t="shared" si="85"/>
        <v>20-29</v>
      </c>
      <c r="D1395" s="6" t="s">
        <v>43</v>
      </c>
      <c r="E1395" s="6" t="s">
        <v>37</v>
      </c>
      <c r="F1395" s="6" t="s">
        <v>46</v>
      </c>
      <c r="G1395" s="6" t="s">
        <v>40</v>
      </c>
      <c r="H1395" s="8">
        <v>4105</v>
      </c>
      <c r="I1395" s="8">
        <f t="shared" si="86"/>
        <v>615.75</v>
      </c>
      <c r="J1395" s="8">
        <f t="shared" si="87"/>
        <v>3489.25</v>
      </c>
      <c r="K1395" s="8">
        <v>5099</v>
      </c>
      <c r="L1395" s="6">
        <v>7</v>
      </c>
      <c r="M1395" s="22" t="str" cm="1">
        <f t="array" ref="M1395">_xlfn.IFS(L1395&gt;10,"Veteran",L1395&gt;=6,"Experienced",L1395&gt;=2,"Developing",L1395&gt;=0,"New")</f>
        <v>Experienced</v>
      </c>
    </row>
    <row r="1396" spans="1:13">
      <c r="A1396" s="21" t="str">
        <f t="shared" ca="1" si="84"/>
        <v>Ma-Res-2025-1395</v>
      </c>
      <c r="B1396" s="6">
        <v>32</v>
      </c>
      <c r="C1396" s="6" t="str">
        <f t="shared" si="85"/>
        <v>30-39</v>
      </c>
      <c r="D1396" s="6" t="s">
        <v>43</v>
      </c>
      <c r="E1396" s="6" t="s">
        <v>45</v>
      </c>
      <c r="F1396" s="6" t="s">
        <v>46</v>
      </c>
      <c r="G1396" s="6" t="s">
        <v>53</v>
      </c>
      <c r="H1396" s="8">
        <v>9679</v>
      </c>
      <c r="I1396" s="8">
        <f t="shared" si="86"/>
        <v>2129.38</v>
      </c>
      <c r="J1396" s="8">
        <f t="shared" si="87"/>
        <v>7549.62</v>
      </c>
      <c r="K1396" s="8">
        <v>10138</v>
      </c>
      <c r="L1396" s="6">
        <v>1</v>
      </c>
      <c r="M1396" s="22" t="str" cm="1">
        <f t="array" ref="M1396">_xlfn.IFS(L1396&gt;10,"Veteran",L1396&gt;=6,"Experienced",L1396&gt;=2,"Developing",L1396&gt;=0,"New")</f>
        <v>New</v>
      </c>
    </row>
    <row r="1397" spans="1:13">
      <c r="A1397" s="21" t="str">
        <f t="shared" ca="1" si="84"/>
        <v>Sa-Sal-2016-1396</v>
      </c>
      <c r="B1397" s="6">
        <v>31</v>
      </c>
      <c r="C1397" s="6" t="str">
        <f t="shared" si="85"/>
        <v>30-39</v>
      </c>
      <c r="D1397" s="6" t="s">
        <v>35</v>
      </c>
      <c r="E1397" s="6" t="s">
        <v>37</v>
      </c>
      <c r="F1397" s="6" t="s">
        <v>46</v>
      </c>
      <c r="G1397" s="6" t="s">
        <v>40</v>
      </c>
      <c r="H1397" s="8">
        <v>5617</v>
      </c>
      <c r="I1397" s="8">
        <f t="shared" si="86"/>
        <v>842.55</v>
      </c>
      <c r="J1397" s="8">
        <f t="shared" si="87"/>
        <v>4774.45</v>
      </c>
      <c r="K1397" s="8">
        <v>21075</v>
      </c>
      <c r="L1397" s="6">
        <v>10</v>
      </c>
      <c r="M1397" s="22" t="str" cm="1">
        <f t="array" ref="M1397">_xlfn.IFS(L1397&gt;10,"Veteran",L1397&gt;=6,"Experienced",L1397&gt;=2,"Developing",L1397&gt;=0,"New")</f>
        <v>Experienced</v>
      </c>
    </row>
    <row r="1398" spans="1:13">
      <c r="A1398" s="21" t="str">
        <f t="shared" ca="1" si="84"/>
        <v>Sa-Sal-2024-1397</v>
      </c>
      <c r="B1398" s="6">
        <v>53</v>
      </c>
      <c r="C1398" s="6" t="str">
        <f t="shared" si="85"/>
        <v>50+</v>
      </c>
      <c r="D1398" s="6" t="s">
        <v>35</v>
      </c>
      <c r="E1398" s="6" t="s">
        <v>37</v>
      </c>
      <c r="F1398" s="6" t="s">
        <v>46</v>
      </c>
      <c r="G1398" s="6" t="s">
        <v>40</v>
      </c>
      <c r="H1398" s="8">
        <v>10448</v>
      </c>
      <c r="I1398" s="8">
        <f t="shared" si="86"/>
        <v>2298.56</v>
      </c>
      <c r="J1398" s="8">
        <f t="shared" si="87"/>
        <v>8149.4400000000005</v>
      </c>
      <c r="K1398" s="8">
        <v>5843</v>
      </c>
      <c r="L1398" s="6">
        <v>2</v>
      </c>
      <c r="M1398" s="22" t="str" cm="1">
        <f t="array" ref="M1398">_xlfn.IFS(L1398&gt;10,"Veteran",L1398&gt;=6,"Experienced",L1398&gt;=2,"Developing",L1398&gt;=0,"New")</f>
        <v>Developing</v>
      </c>
    </row>
    <row r="1399" spans="1:13">
      <c r="A1399" s="21" t="str">
        <f t="shared" ca="1" si="84"/>
        <v>Re-Res-2022-1398</v>
      </c>
      <c r="B1399" s="6">
        <v>54</v>
      </c>
      <c r="C1399" s="6" t="str">
        <f t="shared" si="85"/>
        <v>50+</v>
      </c>
      <c r="D1399" s="6" t="s">
        <v>43</v>
      </c>
      <c r="E1399" s="6" t="s">
        <v>45</v>
      </c>
      <c r="F1399" s="6" t="s">
        <v>39</v>
      </c>
      <c r="G1399" s="6" t="s">
        <v>47</v>
      </c>
      <c r="H1399" s="8">
        <v>2897</v>
      </c>
      <c r="I1399" s="8">
        <f t="shared" si="86"/>
        <v>202.79000000000002</v>
      </c>
      <c r="J1399" s="8">
        <f t="shared" si="87"/>
        <v>2694.21</v>
      </c>
      <c r="K1399" s="8">
        <v>22474</v>
      </c>
      <c r="L1399" s="6">
        <v>4</v>
      </c>
      <c r="M1399" s="22" t="str" cm="1">
        <f t="array" ref="M1399">_xlfn.IFS(L1399&gt;10,"Veteran",L1399&gt;=6,"Experienced",L1399&gt;=2,"Developing",L1399&gt;=0,"New")</f>
        <v>Developing</v>
      </c>
    </row>
    <row r="1400" spans="1:13">
      <c r="A1400" s="21" t="str">
        <f t="shared" ca="1" si="84"/>
        <v>He-Res-2017-1399</v>
      </c>
      <c r="B1400" s="6">
        <v>33</v>
      </c>
      <c r="C1400" s="6" t="str">
        <f t="shared" si="85"/>
        <v>30-39</v>
      </c>
      <c r="D1400" s="6" t="s">
        <v>43</v>
      </c>
      <c r="E1400" s="6" t="s">
        <v>45</v>
      </c>
      <c r="F1400" s="6" t="s">
        <v>46</v>
      </c>
      <c r="G1400" s="6" t="s">
        <v>54</v>
      </c>
      <c r="H1400" s="8">
        <v>5968</v>
      </c>
      <c r="I1400" s="8">
        <f t="shared" si="86"/>
        <v>895.19999999999993</v>
      </c>
      <c r="J1400" s="8">
        <f t="shared" si="87"/>
        <v>5072.8</v>
      </c>
      <c r="K1400" s="8">
        <v>18079</v>
      </c>
      <c r="L1400" s="6">
        <v>9</v>
      </c>
      <c r="M1400" s="22" t="str" cm="1">
        <f t="array" ref="M1400">_xlfn.IFS(L1400&gt;10,"Veteran",L1400&gt;=6,"Experienced",L1400&gt;=2,"Developing",L1400&gt;=0,"New")</f>
        <v>Experienced</v>
      </c>
    </row>
    <row r="1401" spans="1:13">
      <c r="A1401" s="21" t="str">
        <f t="shared" ca="1" si="84"/>
        <v>He-Res-2016-1400</v>
      </c>
      <c r="B1401" s="6">
        <v>43</v>
      </c>
      <c r="C1401" s="6" t="str">
        <f t="shared" si="85"/>
        <v>40-49</v>
      </c>
      <c r="D1401" s="6" t="s">
        <v>43</v>
      </c>
      <c r="E1401" s="6" t="s">
        <v>45</v>
      </c>
      <c r="F1401" s="6" t="s">
        <v>46</v>
      </c>
      <c r="G1401" s="6" t="s">
        <v>54</v>
      </c>
      <c r="H1401" s="8">
        <v>7510</v>
      </c>
      <c r="I1401" s="8">
        <f t="shared" si="86"/>
        <v>1652.2</v>
      </c>
      <c r="J1401" s="8">
        <f t="shared" si="87"/>
        <v>5857.8</v>
      </c>
      <c r="K1401" s="8">
        <v>16873</v>
      </c>
      <c r="L1401" s="6">
        <v>10</v>
      </c>
      <c r="M1401" s="22" t="str" cm="1">
        <f t="array" ref="M1401">_xlfn.IFS(L1401&gt;10,"Veteran",L1401&gt;=6,"Experienced",L1401&gt;=2,"Developing",L1401&gt;=0,"New")</f>
        <v>Experienced</v>
      </c>
    </row>
    <row r="1402" spans="1:13">
      <c r="A1402" s="21" t="str">
        <f t="shared" ca="1" si="84"/>
        <v>Hu-Hum-2020-1401</v>
      </c>
      <c r="B1402" s="6">
        <v>38</v>
      </c>
      <c r="C1402" s="6" t="str">
        <f t="shared" si="85"/>
        <v>30-39</v>
      </c>
      <c r="D1402" s="6" t="s">
        <v>43</v>
      </c>
      <c r="E1402" s="6" t="s">
        <v>61</v>
      </c>
      <c r="F1402" s="6" t="s">
        <v>46</v>
      </c>
      <c r="G1402" s="6" t="s">
        <v>61</v>
      </c>
      <c r="H1402" s="8">
        <v>2991</v>
      </c>
      <c r="I1402" s="8">
        <f t="shared" si="86"/>
        <v>209.37000000000003</v>
      </c>
      <c r="J1402" s="8">
        <f t="shared" si="87"/>
        <v>2781.63</v>
      </c>
      <c r="K1402" s="8">
        <v>5224</v>
      </c>
      <c r="L1402" s="6">
        <v>6</v>
      </c>
      <c r="M1402" s="22" t="str" cm="1">
        <f t="array" ref="M1402">_xlfn.IFS(L1402&gt;10,"Veteran",L1402&gt;=6,"Experienced",L1402&gt;=2,"Developing",L1402&gt;=0,"New")</f>
        <v>Experienced</v>
      </c>
    </row>
    <row r="1403" spans="1:13">
      <c r="A1403" s="21" t="str">
        <f t="shared" ca="1" si="84"/>
        <v>Ma-Hum-2016-1402</v>
      </c>
      <c r="B1403" s="6">
        <v>55</v>
      </c>
      <c r="C1403" s="6" t="str">
        <f t="shared" si="85"/>
        <v>50+</v>
      </c>
      <c r="D1403" s="6" t="s">
        <v>43</v>
      </c>
      <c r="E1403" s="6" t="s">
        <v>61</v>
      </c>
      <c r="F1403" s="6" t="s">
        <v>46</v>
      </c>
      <c r="G1403" s="6" t="s">
        <v>56</v>
      </c>
      <c r="H1403" s="8">
        <v>19636</v>
      </c>
      <c r="I1403" s="8">
        <f t="shared" si="86"/>
        <v>5890.8</v>
      </c>
      <c r="J1403" s="8">
        <f t="shared" si="87"/>
        <v>13745.2</v>
      </c>
      <c r="K1403" s="8">
        <v>25811</v>
      </c>
      <c r="L1403" s="6">
        <v>10</v>
      </c>
      <c r="M1403" s="22" t="str" cm="1">
        <f t="array" ref="M1403">_xlfn.IFS(L1403&gt;10,"Veteran",L1403&gt;=6,"Experienced",L1403&gt;=2,"Developing",L1403&gt;=0,"New")</f>
        <v>Experienced</v>
      </c>
    </row>
    <row r="1404" spans="1:13">
      <c r="A1404" s="21" t="str">
        <f t="shared" ca="1" si="84"/>
        <v>La-Res-2025-1403</v>
      </c>
      <c r="B1404" s="6">
        <v>31</v>
      </c>
      <c r="C1404" s="6" t="str">
        <f t="shared" si="85"/>
        <v>30-39</v>
      </c>
      <c r="D1404" s="6" t="s">
        <v>43</v>
      </c>
      <c r="E1404" s="6" t="s">
        <v>45</v>
      </c>
      <c r="F1404" s="6" t="s">
        <v>39</v>
      </c>
      <c r="G1404" s="6" t="s">
        <v>50</v>
      </c>
      <c r="H1404" s="8">
        <v>1129</v>
      </c>
      <c r="I1404" s="8">
        <f t="shared" si="86"/>
        <v>79.03</v>
      </c>
      <c r="J1404" s="8">
        <f t="shared" si="87"/>
        <v>1049.97</v>
      </c>
      <c r="K1404" s="8">
        <v>17536</v>
      </c>
      <c r="L1404" s="6">
        <v>1</v>
      </c>
      <c r="M1404" s="22" t="str" cm="1">
        <f t="array" ref="M1404">_xlfn.IFS(L1404&gt;10,"Veteran",L1404&gt;=6,"Experienced",L1404&gt;=2,"Developing",L1404&gt;=0,"New")</f>
        <v>New</v>
      </c>
    </row>
    <row r="1405" spans="1:13">
      <c r="A1405" s="21" t="str">
        <f t="shared" ca="1" si="84"/>
        <v>Sa-Sal-2006-1404</v>
      </c>
      <c r="B1405" s="6">
        <v>39</v>
      </c>
      <c r="C1405" s="6" t="str">
        <f t="shared" si="85"/>
        <v>30-39</v>
      </c>
      <c r="D1405" s="6" t="s">
        <v>43</v>
      </c>
      <c r="E1405" s="6" t="s">
        <v>37</v>
      </c>
      <c r="F1405" s="6" t="s">
        <v>46</v>
      </c>
      <c r="G1405" s="6" t="s">
        <v>40</v>
      </c>
      <c r="H1405" s="8">
        <v>13341</v>
      </c>
      <c r="I1405" s="8">
        <f t="shared" si="86"/>
        <v>4002.2999999999997</v>
      </c>
      <c r="J1405" s="8">
        <f t="shared" si="87"/>
        <v>9338.7000000000007</v>
      </c>
      <c r="K1405" s="8">
        <v>25098</v>
      </c>
      <c r="L1405" s="6">
        <v>20</v>
      </c>
      <c r="M1405" s="22" t="str" cm="1">
        <f t="array" ref="M1405">_xlfn.IFS(L1405&gt;10,"Veteran",L1405&gt;=6,"Experienced",L1405&gt;=2,"Developing",L1405&gt;=0,"New")</f>
        <v>Veteran</v>
      </c>
    </row>
    <row r="1406" spans="1:13">
      <c r="A1406" s="21" t="str">
        <f t="shared" ca="1" si="84"/>
        <v>Re-Res-2006-1405</v>
      </c>
      <c r="B1406" s="6">
        <v>42</v>
      </c>
      <c r="C1406" s="6" t="str">
        <f t="shared" si="85"/>
        <v>40-49</v>
      </c>
      <c r="D1406" s="6" t="s">
        <v>43</v>
      </c>
      <c r="E1406" s="6" t="s">
        <v>45</v>
      </c>
      <c r="F1406" s="6" t="s">
        <v>46</v>
      </c>
      <c r="G1406" s="6" t="s">
        <v>47</v>
      </c>
      <c r="H1406" s="8">
        <v>4332</v>
      </c>
      <c r="I1406" s="8">
        <f t="shared" si="86"/>
        <v>649.79999999999995</v>
      </c>
      <c r="J1406" s="8">
        <f t="shared" si="87"/>
        <v>3682.2</v>
      </c>
      <c r="K1406" s="8">
        <v>14811</v>
      </c>
      <c r="L1406" s="6">
        <v>20</v>
      </c>
      <c r="M1406" s="22" t="str" cm="1">
        <f t="array" ref="M1406">_xlfn.IFS(L1406&gt;10,"Veteran",L1406&gt;=6,"Experienced",L1406&gt;=2,"Developing",L1406&gt;=0,"New")</f>
        <v>Veteran</v>
      </c>
    </row>
    <row r="1407" spans="1:13">
      <c r="A1407" s="21" t="str">
        <f t="shared" ca="1" si="84"/>
        <v>Re-Res-2015-1406</v>
      </c>
      <c r="B1407" s="6">
        <v>31</v>
      </c>
      <c r="C1407" s="6" t="str">
        <f t="shared" si="85"/>
        <v>30-39</v>
      </c>
      <c r="D1407" s="6" t="s">
        <v>43</v>
      </c>
      <c r="E1407" s="6" t="s">
        <v>45</v>
      </c>
      <c r="F1407" s="6" t="s">
        <v>39</v>
      </c>
      <c r="G1407" s="6" t="s">
        <v>58</v>
      </c>
      <c r="H1407" s="8">
        <v>11031</v>
      </c>
      <c r="I1407" s="8">
        <f t="shared" si="86"/>
        <v>2426.8200000000002</v>
      </c>
      <c r="J1407" s="8">
        <f t="shared" si="87"/>
        <v>8604.18</v>
      </c>
      <c r="K1407" s="8">
        <v>26862</v>
      </c>
      <c r="L1407" s="6">
        <v>11</v>
      </c>
      <c r="M1407" s="22" t="str" cm="1">
        <f t="array" ref="M1407">_xlfn.IFS(L1407&gt;10,"Veteran",L1407&gt;=6,"Experienced",L1407&gt;=2,"Developing",L1407&gt;=0,"New")</f>
        <v>Veteran</v>
      </c>
    </row>
    <row r="1408" spans="1:13">
      <c r="A1408" s="21" t="str">
        <f t="shared" ca="1" si="84"/>
        <v>Ma-Res-2021-1407</v>
      </c>
      <c r="B1408" s="6">
        <v>54</v>
      </c>
      <c r="C1408" s="6" t="str">
        <f t="shared" si="85"/>
        <v>50+</v>
      </c>
      <c r="D1408" s="6" t="s">
        <v>43</v>
      </c>
      <c r="E1408" s="6" t="s">
        <v>45</v>
      </c>
      <c r="F1408" s="6" t="s">
        <v>39</v>
      </c>
      <c r="G1408" s="6" t="s">
        <v>53</v>
      </c>
      <c r="H1408" s="8">
        <v>4440</v>
      </c>
      <c r="I1408" s="8">
        <f t="shared" si="86"/>
        <v>666</v>
      </c>
      <c r="J1408" s="8">
        <f t="shared" si="87"/>
        <v>3774</v>
      </c>
      <c r="K1408" s="8">
        <v>25198</v>
      </c>
      <c r="L1408" s="6">
        <v>5</v>
      </c>
      <c r="M1408" s="22" t="str" cm="1">
        <f t="array" ref="M1408">_xlfn.IFS(L1408&gt;10,"Veteran",L1408&gt;=6,"Experienced",L1408&gt;=2,"Developing",L1408&gt;=0,"New")</f>
        <v>Developing</v>
      </c>
    </row>
    <row r="1409" spans="1:13">
      <c r="A1409" s="21" t="str">
        <f t="shared" ca="1" si="84"/>
        <v>He-Res-2022-1408</v>
      </c>
      <c r="B1409" s="6">
        <v>24</v>
      </c>
      <c r="C1409" s="6" t="str">
        <f t="shared" si="85"/>
        <v>20-29</v>
      </c>
      <c r="D1409" s="6" t="s">
        <v>43</v>
      </c>
      <c r="E1409" s="6" t="s">
        <v>45</v>
      </c>
      <c r="F1409" s="6" t="s">
        <v>46</v>
      </c>
      <c r="G1409" s="6" t="s">
        <v>54</v>
      </c>
      <c r="H1409" s="8">
        <v>4617</v>
      </c>
      <c r="I1409" s="8">
        <f t="shared" si="86"/>
        <v>692.55</v>
      </c>
      <c r="J1409" s="8">
        <f t="shared" si="87"/>
        <v>3924.45</v>
      </c>
      <c r="K1409" s="8">
        <v>14120</v>
      </c>
      <c r="L1409" s="6">
        <v>4</v>
      </c>
      <c r="M1409" s="22" t="str" cm="1">
        <f t="array" ref="M1409">_xlfn.IFS(L1409&gt;10,"Veteran",L1409&gt;=6,"Experienced",L1409&gt;=2,"Developing",L1409&gt;=0,"New")</f>
        <v>Developing</v>
      </c>
    </row>
    <row r="1410" spans="1:13">
      <c r="A1410" s="21" t="str">
        <f t="shared" ca="1" si="84"/>
        <v>La-Res-2021-1409</v>
      </c>
      <c r="B1410" s="6">
        <v>23</v>
      </c>
      <c r="C1410" s="6" t="str">
        <f t="shared" si="85"/>
        <v>20-29</v>
      </c>
      <c r="D1410" s="6" t="s">
        <v>43</v>
      </c>
      <c r="E1410" s="6" t="s">
        <v>45</v>
      </c>
      <c r="F1410" s="6" t="s">
        <v>46</v>
      </c>
      <c r="G1410" s="6" t="s">
        <v>50</v>
      </c>
      <c r="H1410" s="8">
        <v>2647</v>
      </c>
      <c r="I1410" s="8">
        <f t="shared" si="86"/>
        <v>185.29000000000002</v>
      </c>
      <c r="J1410" s="8">
        <f t="shared" si="87"/>
        <v>2461.71</v>
      </c>
      <c r="K1410" s="8">
        <v>13672</v>
      </c>
      <c r="L1410" s="6">
        <v>5</v>
      </c>
      <c r="M1410" s="22" t="str" cm="1">
        <f t="array" ref="M1410">_xlfn.IFS(L1410&gt;10,"Veteran",L1410&gt;=6,"Experienced",L1410&gt;=2,"Developing",L1410&gt;=0,"New")</f>
        <v>Developing</v>
      </c>
    </row>
    <row r="1411" spans="1:13">
      <c r="A1411" s="21" t="str">
        <f t="shared" ref="A1411:A1471" ca="1" si="88">LEFT(G1411,2)&amp;"-"&amp;LEFT(E1411,3)&amp;"-"&amp;YEAR(TODAY())-L1411&amp;"-"&amp;TEXT(ROW()-1,"000")</f>
        <v>La-Res-2016-1410</v>
      </c>
      <c r="B1411" s="6">
        <v>40</v>
      </c>
      <c r="C1411" s="6" t="str">
        <f t="shared" ref="C1411:C1471" si="89">IF(B1411&lt;=29,"20-29",IF(B1411&lt;=39,"30-39",IF(B1411&lt;=49,"40-49","50+")))</f>
        <v>40-49</v>
      </c>
      <c r="D1411" s="6" t="s">
        <v>43</v>
      </c>
      <c r="E1411" s="6" t="s">
        <v>45</v>
      </c>
      <c r="F1411" s="6" t="s">
        <v>39</v>
      </c>
      <c r="G1411" s="6" t="s">
        <v>50</v>
      </c>
      <c r="H1411" s="8">
        <v>6323</v>
      </c>
      <c r="I1411" s="8">
        <f t="shared" ref="I1411:I1471" si="90">IF(H1411&gt;13000,H1411*30%,IF(H1411&gt;7000,H1411*22%,IF(H1411&gt;3000,H1411*15%,H1411*7%)))</f>
        <v>948.44999999999993</v>
      </c>
      <c r="J1411" s="8">
        <f t="shared" ref="J1411:J1471" si="91">H1411-I1411</f>
        <v>5374.55</v>
      </c>
      <c r="K1411" s="8">
        <v>26849</v>
      </c>
      <c r="L1411" s="6">
        <v>10</v>
      </c>
      <c r="M1411" s="22" t="str" cm="1">
        <f t="array" ref="M1411">_xlfn.IFS(L1411&gt;10,"Veteran",L1411&gt;=6,"Experienced",L1411&gt;=2,"Developing",L1411&gt;=0,"New")</f>
        <v>Experienced</v>
      </c>
    </row>
    <row r="1412" spans="1:13">
      <c r="A1412" s="21" t="str">
        <f t="shared" ca="1" si="88"/>
        <v>Sa-Sal-2015-1411</v>
      </c>
      <c r="B1412" s="6">
        <v>40</v>
      </c>
      <c r="C1412" s="6" t="str">
        <f t="shared" si="89"/>
        <v>40-49</v>
      </c>
      <c r="D1412" s="6" t="s">
        <v>43</v>
      </c>
      <c r="E1412" s="6" t="s">
        <v>37</v>
      </c>
      <c r="F1412" s="6" t="s">
        <v>39</v>
      </c>
      <c r="G1412" s="6" t="s">
        <v>40</v>
      </c>
      <c r="H1412" s="8">
        <v>5677</v>
      </c>
      <c r="I1412" s="8">
        <f t="shared" si="90"/>
        <v>851.55</v>
      </c>
      <c r="J1412" s="8">
        <f t="shared" si="91"/>
        <v>4825.45</v>
      </c>
      <c r="K1412" s="8">
        <v>4258</v>
      </c>
      <c r="L1412" s="6">
        <v>11</v>
      </c>
      <c r="M1412" s="22" t="str" cm="1">
        <f t="array" ref="M1412">_xlfn.IFS(L1412&gt;10,"Veteran",L1412&gt;=6,"Experienced",L1412&gt;=2,"Developing",L1412&gt;=0,"New")</f>
        <v>Veteran</v>
      </c>
    </row>
    <row r="1413" spans="1:13">
      <c r="A1413" s="21" t="str">
        <f t="shared" ca="1" si="88"/>
        <v>Hu-Hum-2024-1412</v>
      </c>
      <c r="B1413" s="6">
        <v>25</v>
      </c>
      <c r="C1413" s="6" t="str">
        <f t="shared" si="89"/>
        <v>20-29</v>
      </c>
      <c r="D1413" s="6" t="s">
        <v>43</v>
      </c>
      <c r="E1413" s="6" t="s">
        <v>61</v>
      </c>
      <c r="F1413" s="6" t="s">
        <v>39</v>
      </c>
      <c r="G1413" s="6" t="s">
        <v>61</v>
      </c>
      <c r="H1413" s="8">
        <v>2187</v>
      </c>
      <c r="I1413" s="8">
        <f t="shared" si="90"/>
        <v>153.09</v>
      </c>
      <c r="J1413" s="8">
        <f t="shared" si="91"/>
        <v>2033.91</v>
      </c>
      <c r="K1413" s="8">
        <v>19655</v>
      </c>
      <c r="L1413" s="6">
        <v>2</v>
      </c>
      <c r="M1413" s="22" t="str" cm="1">
        <f t="array" ref="M1413">_xlfn.IFS(L1413&gt;10,"Veteran",L1413&gt;=6,"Experienced",L1413&gt;=2,"Developing",L1413&gt;=0,"New")</f>
        <v>Developing</v>
      </c>
    </row>
    <row r="1414" spans="1:13">
      <c r="A1414" s="21" t="str">
        <f t="shared" ca="1" si="88"/>
        <v>La-Res-2014-1413</v>
      </c>
      <c r="B1414" s="6">
        <v>30</v>
      </c>
      <c r="C1414" s="6" t="str">
        <f t="shared" si="89"/>
        <v>30-39</v>
      </c>
      <c r="D1414" s="6" t="s">
        <v>43</v>
      </c>
      <c r="E1414" s="6" t="s">
        <v>45</v>
      </c>
      <c r="F1414" s="6" t="s">
        <v>46</v>
      </c>
      <c r="G1414" s="6" t="s">
        <v>50</v>
      </c>
      <c r="H1414" s="8">
        <v>3748</v>
      </c>
      <c r="I1414" s="8">
        <f t="shared" si="90"/>
        <v>562.19999999999993</v>
      </c>
      <c r="J1414" s="8">
        <f t="shared" si="91"/>
        <v>3185.8</v>
      </c>
      <c r="K1414" s="8">
        <v>4077</v>
      </c>
      <c r="L1414" s="6">
        <v>12</v>
      </c>
      <c r="M1414" s="22" t="str" cm="1">
        <f t="array" ref="M1414">_xlfn.IFS(L1414&gt;10,"Veteran",L1414&gt;=6,"Experienced",L1414&gt;=2,"Developing",L1414&gt;=0,"New")</f>
        <v>Veteran</v>
      </c>
    </row>
    <row r="1415" spans="1:13">
      <c r="A1415" s="21" t="str">
        <f t="shared" ca="1" si="88"/>
        <v>La-Res-2024-1414</v>
      </c>
      <c r="B1415" s="6">
        <v>25</v>
      </c>
      <c r="C1415" s="6" t="str">
        <f t="shared" si="89"/>
        <v>20-29</v>
      </c>
      <c r="D1415" s="6" t="s">
        <v>43</v>
      </c>
      <c r="E1415" s="6" t="s">
        <v>45</v>
      </c>
      <c r="F1415" s="6" t="s">
        <v>46</v>
      </c>
      <c r="G1415" s="6" t="s">
        <v>50</v>
      </c>
      <c r="H1415" s="8">
        <v>3977</v>
      </c>
      <c r="I1415" s="8">
        <f t="shared" si="90"/>
        <v>596.54999999999995</v>
      </c>
      <c r="J1415" s="8">
        <f t="shared" si="91"/>
        <v>3380.45</v>
      </c>
      <c r="K1415" s="8">
        <v>7298</v>
      </c>
      <c r="L1415" s="6">
        <v>2</v>
      </c>
      <c r="M1415" s="22" t="str" cm="1">
        <f t="array" ref="M1415">_xlfn.IFS(L1415&gt;10,"Veteran",L1415&gt;=6,"Experienced",L1415&gt;=2,"Developing",L1415&gt;=0,"New")</f>
        <v>Developing</v>
      </c>
    </row>
    <row r="1416" spans="1:13">
      <c r="A1416" s="21" t="str">
        <f t="shared" ca="1" si="88"/>
        <v>He-Res-2009-1415</v>
      </c>
      <c r="B1416" s="6">
        <v>47</v>
      </c>
      <c r="C1416" s="6" t="str">
        <f t="shared" si="89"/>
        <v>40-49</v>
      </c>
      <c r="D1416" s="6" t="s">
        <v>43</v>
      </c>
      <c r="E1416" s="6" t="s">
        <v>45</v>
      </c>
      <c r="F1416" s="6" t="s">
        <v>46</v>
      </c>
      <c r="G1416" s="6" t="s">
        <v>54</v>
      </c>
      <c r="H1416" s="8">
        <v>8633</v>
      </c>
      <c r="I1416" s="8">
        <f t="shared" si="90"/>
        <v>1899.26</v>
      </c>
      <c r="J1416" s="8">
        <f t="shared" si="91"/>
        <v>6733.74</v>
      </c>
      <c r="K1416" s="8">
        <v>13084</v>
      </c>
      <c r="L1416" s="6">
        <v>17</v>
      </c>
      <c r="M1416" s="22" t="str" cm="1">
        <f t="array" ref="M1416">_xlfn.IFS(L1416&gt;10,"Veteran",L1416&gt;=6,"Experienced",L1416&gt;=2,"Developing",L1416&gt;=0,"New")</f>
        <v>Veteran</v>
      </c>
    </row>
    <row r="1417" spans="1:13">
      <c r="A1417" s="21" t="str">
        <f t="shared" ca="1" si="88"/>
        <v>La-Res-2025-1416</v>
      </c>
      <c r="B1417" s="6">
        <v>33</v>
      </c>
      <c r="C1417" s="6" t="str">
        <f t="shared" si="89"/>
        <v>30-39</v>
      </c>
      <c r="D1417" s="6" t="s">
        <v>43</v>
      </c>
      <c r="E1417" s="6" t="s">
        <v>45</v>
      </c>
      <c r="F1417" s="6" t="s">
        <v>46</v>
      </c>
      <c r="G1417" s="6" t="s">
        <v>50</v>
      </c>
      <c r="H1417" s="8">
        <v>2008</v>
      </c>
      <c r="I1417" s="8">
        <f t="shared" si="90"/>
        <v>140.56</v>
      </c>
      <c r="J1417" s="8">
        <f t="shared" si="91"/>
        <v>1867.44</v>
      </c>
      <c r="K1417" s="8">
        <v>20439</v>
      </c>
      <c r="L1417" s="6">
        <v>1</v>
      </c>
      <c r="M1417" s="22" t="str" cm="1">
        <f t="array" ref="M1417">_xlfn.IFS(L1417&gt;10,"Veteran",L1417&gt;=6,"Experienced",L1417&gt;=2,"Developing",L1417&gt;=0,"New")</f>
        <v>New</v>
      </c>
    </row>
    <row r="1418" spans="1:13">
      <c r="A1418" s="21" t="str">
        <f t="shared" ca="1" si="88"/>
        <v>Sa-Sal-2011-1417</v>
      </c>
      <c r="B1418" s="6">
        <v>38</v>
      </c>
      <c r="C1418" s="6" t="str">
        <f t="shared" si="89"/>
        <v>30-39</v>
      </c>
      <c r="D1418" s="6" t="s">
        <v>43</v>
      </c>
      <c r="E1418" s="6" t="s">
        <v>37</v>
      </c>
      <c r="F1418" s="6" t="s">
        <v>46</v>
      </c>
      <c r="G1418" s="6" t="s">
        <v>40</v>
      </c>
      <c r="H1418" s="8">
        <v>4440</v>
      </c>
      <c r="I1418" s="8">
        <f t="shared" si="90"/>
        <v>666</v>
      </c>
      <c r="J1418" s="8">
        <f t="shared" si="91"/>
        <v>3774</v>
      </c>
      <c r="K1418" s="8">
        <v>7636</v>
      </c>
      <c r="L1418" s="6">
        <v>15</v>
      </c>
      <c r="M1418" s="22" t="str" cm="1">
        <f t="array" ref="M1418">_xlfn.IFS(L1418&gt;10,"Veteran",L1418&gt;=6,"Experienced",L1418&gt;=2,"Developing",L1418&gt;=0,"New")</f>
        <v>Veteran</v>
      </c>
    </row>
    <row r="1419" spans="1:13">
      <c r="A1419" s="21" t="str">
        <f t="shared" ca="1" si="88"/>
        <v>Sa-Sal-2024-1418</v>
      </c>
      <c r="B1419" s="6">
        <v>31</v>
      </c>
      <c r="C1419" s="6" t="str">
        <f t="shared" si="89"/>
        <v>30-39</v>
      </c>
      <c r="D1419" s="6" t="s">
        <v>43</v>
      </c>
      <c r="E1419" s="6" t="s">
        <v>37</v>
      </c>
      <c r="F1419" s="6" t="s">
        <v>46</v>
      </c>
      <c r="G1419" s="6" t="s">
        <v>57</v>
      </c>
      <c r="H1419" s="8">
        <v>3067</v>
      </c>
      <c r="I1419" s="8">
        <f t="shared" si="90"/>
        <v>460.05</v>
      </c>
      <c r="J1419" s="8">
        <f t="shared" si="91"/>
        <v>2606.9499999999998</v>
      </c>
      <c r="K1419" s="8">
        <v>6393</v>
      </c>
      <c r="L1419" s="6">
        <v>2</v>
      </c>
      <c r="M1419" s="22" t="str" cm="1">
        <f t="array" ref="M1419">_xlfn.IFS(L1419&gt;10,"Veteran",L1419&gt;=6,"Experienced",L1419&gt;=2,"Developing",L1419&gt;=0,"New")</f>
        <v>Developing</v>
      </c>
    </row>
    <row r="1420" spans="1:13">
      <c r="A1420" s="21" t="str">
        <f t="shared" ca="1" si="88"/>
        <v>Ma-Res-2018-1419</v>
      </c>
      <c r="B1420" s="6">
        <v>38</v>
      </c>
      <c r="C1420" s="6" t="str">
        <f t="shared" si="89"/>
        <v>30-39</v>
      </c>
      <c r="D1420" s="6" t="s">
        <v>43</v>
      </c>
      <c r="E1420" s="6" t="s">
        <v>45</v>
      </c>
      <c r="F1420" s="6" t="s">
        <v>46</v>
      </c>
      <c r="G1420" s="6" t="s">
        <v>53</v>
      </c>
      <c r="H1420" s="8">
        <v>5321</v>
      </c>
      <c r="I1420" s="8">
        <f t="shared" si="90"/>
        <v>798.15</v>
      </c>
      <c r="J1420" s="8">
        <f t="shared" si="91"/>
        <v>4522.8500000000004</v>
      </c>
      <c r="K1420" s="8">
        <v>14284</v>
      </c>
      <c r="L1420" s="6">
        <v>8</v>
      </c>
      <c r="M1420" s="22" t="str" cm="1">
        <f t="array" ref="M1420">_xlfn.IFS(L1420&gt;10,"Veteran",L1420&gt;=6,"Experienced",L1420&gt;=2,"Developing",L1420&gt;=0,"New")</f>
        <v>Experienced</v>
      </c>
    </row>
    <row r="1421" spans="1:13">
      <c r="A1421" s="21" t="str">
        <f t="shared" ca="1" si="88"/>
        <v>Re-Res-2022-1420</v>
      </c>
      <c r="B1421" s="6">
        <v>42</v>
      </c>
      <c r="C1421" s="6" t="str">
        <f t="shared" si="89"/>
        <v>40-49</v>
      </c>
      <c r="D1421" s="6" t="s">
        <v>43</v>
      </c>
      <c r="E1421" s="6" t="s">
        <v>45</v>
      </c>
      <c r="F1421" s="6" t="s">
        <v>46</v>
      </c>
      <c r="G1421" s="6" t="s">
        <v>47</v>
      </c>
      <c r="H1421" s="8">
        <v>5410</v>
      </c>
      <c r="I1421" s="8">
        <f t="shared" si="90"/>
        <v>811.5</v>
      </c>
      <c r="J1421" s="8">
        <f t="shared" si="91"/>
        <v>4598.5</v>
      </c>
      <c r="K1421" s="8">
        <v>11189</v>
      </c>
      <c r="L1421" s="6">
        <v>4</v>
      </c>
      <c r="M1421" s="22" t="str" cm="1">
        <f t="array" ref="M1421">_xlfn.IFS(L1421&gt;10,"Veteran",L1421&gt;=6,"Experienced",L1421&gt;=2,"Developing",L1421&gt;=0,"New")</f>
        <v>Developing</v>
      </c>
    </row>
    <row r="1422" spans="1:13">
      <c r="A1422" s="21" t="str">
        <f t="shared" ca="1" si="88"/>
        <v>Re-Res-2021-1421</v>
      </c>
      <c r="B1422" s="6">
        <v>41</v>
      </c>
      <c r="C1422" s="6" t="str">
        <f t="shared" si="89"/>
        <v>40-49</v>
      </c>
      <c r="D1422" s="6" t="s">
        <v>43</v>
      </c>
      <c r="E1422" s="6" t="s">
        <v>45</v>
      </c>
      <c r="F1422" s="6" t="s">
        <v>46</v>
      </c>
      <c r="G1422" s="6" t="s">
        <v>47</v>
      </c>
      <c r="H1422" s="8">
        <v>2782</v>
      </c>
      <c r="I1422" s="8">
        <f t="shared" si="90"/>
        <v>194.74</v>
      </c>
      <c r="J1422" s="8">
        <f t="shared" si="91"/>
        <v>2587.2600000000002</v>
      </c>
      <c r="K1422" s="8">
        <v>21412</v>
      </c>
      <c r="L1422" s="6">
        <v>5</v>
      </c>
      <c r="M1422" s="22" t="str" cm="1">
        <f t="array" ref="M1422">_xlfn.IFS(L1422&gt;10,"Veteran",L1422&gt;=6,"Experienced",L1422&gt;=2,"Developing",L1422&gt;=0,"New")</f>
        <v>Developing</v>
      </c>
    </row>
    <row r="1423" spans="1:13">
      <c r="A1423" s="21" t="str">
        <f t="shared" ca="1" si="88"/>
        <v>Re-Res-2013-1422</v>
      </c>
      <c r="B1423" s="6">
        <v>47</v>
      </c>
      <c r="C1423" s="6" t="str">
        <f t="shared" si="89"/>
        <v>40-49</v>
      </c>
      <c r="D1423" s="6" t="s">
        <v>43</v>
      </c>
      <c r="E1423" s="6" t="s">
        <v>45</v>
      </c>
      <c r="F1423" s="6" t="s">
        <v>39</v>
      </c>
      <c r="G1423" s="6" t="s">
        <v>58</v>
      </c>
      <c r="H1423" s="8">
        <v>11957</v>
      </c>
      <c r="I1423" s="8">
        <f t="shared" si="90"/>
        <v>2630.54</v>
      </c>
      <c r="J1423" s="8">
        <f t="shared" si="91"/>
        <v>9326.4599999999991</v>
      </c>
      <c r="K1423" s="8">
        <v>17231</v>
      </c>
      <c r="L1423" s="6">
        <v>13</v>
      </c>
      <c r="M1423" s="22" t="str" cm="1">
        <f t="array" ref="M1423">_xlfn.IFS(L1423&gt;10,"Veteran",L1423&gt;=6,"Experienced",L1423&gt;=2,"Developing",L1423&gt;=0,"New")</f>
        <v>Veteran</v>
      </c>
    </row>
    <row r="1424" spans="1:13">
      <c r="A1424" s="21" t="str">
        <f t="shared" ca="1" si="88"/>
        <v>La-Res-2024-1423</v>
      </c>
      <c r="B1424" s="6">
        <v>35</v>
      </c>
      <c r="C1424" s="6" t="str">
        <f t="shared" si="89"/>
        <v>30-39</v>
      </c>
      <c r="D1424" s="6" t="s">
        <v>43</v>
      </c>
      <c r="E1424" s="6" t="s">
        <v>45</v>
      </c>
      <c r="F1424" s="6" t="s">
        <v>46</v>
      </c>
      <c r="G1424" s="6" t="s">
        <v>50</v>
      </c>
      <c r="H1424" s="8">
        <v>2660</v>
      </c>
      <c r="I1424" s="8">
        <f t="shared" si="90"/>
        <v>186.20000000000002</v>
      </c>
      <c r="J1424" s="8">
        <f t="shared" si="91"/>
        <v>2473.8000000000002</v>
      </c>
      <c r="K1424" s="8">
        <v>20232</v>
      </c>
      <c r="L1424" s="6">
        <v>2</v>
      </c>
      <c r="M1424" s="22" t="str" cm="1">
        <f t="array" ref="M1424">_xlfn.IFS(L1424&gt;10,"Veteran",L1424&gt;=6,"Experienced",L1424&gt;=2,"Developing",L1424&gt;=0,"New")</f>
        <v>Developing</v>
      </c>
    </row>
    <row r="1425" spans="1:13">
      <c r="A1425" s="21" t="str">
        <f t="shared" ca="1" si="88"/>
        <v>Re-Res-2023-1424</v>
      </c>
      <c r="B1425" s="6">
        <v>22</v>
      </c>
      <c r="C1425" s="6" t="str">
        <f t="shared" si="89"/>
        <v>20-29</v>
      </c>
      <c r="D1425" s="6" t="s">
        <v>43</v>
      </c>
      <c r="E1425" s="6" t="s">
        <v>45</v>
      </c>
      <c r="F1425" s="6" t="s">
        <v>46</v>
      </c>
      <c r="G1425" s="6" t="s">
        <v>47</v>
      </c>
      <c r="H1425" s="8">
        <v>3375</v>
      </c>
      <c r="I1425" s="8">
        <f t="shared" si="90"/>
        <v>506.25</v>
      </c>
      <c r="J1425" s="8">
        <f t="shared" si="91"/>
        <v>2868.75</v>
      </c>
      <c r="K1425" s="8">
        <v>17624</v>
      </c>
      <c r="L1425" s="6">
        <v>3</v>
      </c>
      <c r="M1425" s="22" t="str" cm="1">
        <f t="array" ref="M1425">_xlfn.IFS(L1425&gt;10,"Veteran",L1425&gt;=6,"Experienced",L1425&gt;=2,"Developing",L1425&gt;=0,"New")</f>
        <v>Developing</v>
      </c>
    </row>
    <row r="1426" spans="1:13">
      <c r="A1426" s="21" t="str">
        <f t="shared" ca="1" si="88"/>
        <v>Re-Res-2016-1425</v>
      </c>
      <c r="B1426" s="6">
        <v>35</v>
      </c>
      <c r="C1426" s="6" t="str">
        <f t="shared" si="89"/>
        <v>30-39</v>
      </c>
      <c r="D1426" s="6" t="s">
        <v>43</v>
      </c>
      <c r="E1426" s="6" t="s">
        <v>45</v>
      </c>
      <c r="F1426" s="6" t="s">
        <v>46</v>
      </c>
      <c r="G1426" s="6" t="s">
        <v>47</v>
      </c>
      <c r="H1426" s="8">
        <v>5098</v>
      </c>
      <c r="I1426" s="8">
        <f t="shared" si="90"/>
        <v>764.69999999999993</v>
      </c>
      <c r="J1426" s="8">
        <f t="shared" si="91"/>
        <v>4333.3</v>
      </c>
      <c r="K1426" s="8">
        <v>18698</v>
      </c>
      <c r="L1426" s="6">
        <v>10</v>
      </c>
      <c r="M1426" s="22" t="str" cm="1">
        <f t="array" ref="M1426">_xlfn.IFS(L1426&gt;10,"Veteran",L1426&gt;=6,"Experienced",L1426&gt;=2,"Developing",L1426&gt;=0,"New")</f>
        <v>Experienced</v>
      </c>
    </row>
    <row r="1427" spans="1:13">
      <c r="A1427" s="21" t="str">
        <f t="shared" ca="1" si="88"/>
        <v>He-Res-2017-1426</v>
      </c>
      <c r="B1427" s="6">
        <v>33</v>
      </c>
      <c r="C1427" s="6" t="str">
        <f t="shared" si="89"/>
        <v>30-39</v>
      </c>
      <c r="D1427" s="6" t="s">
        <v>43</v>
      </c>
      <c r="E1427" s="6" t="s">
        <v>45</v>
      </c>
      <c r="F1427" s="6" t="s">
        <v>39</v>
      </c>
      <c r="G1427" s="6" t="s">
        <v>54</v>
      </c>
      <c r="H1427" s="8">
        <v>4878</v>
      </c>
      <c r="I1427" s="8">
        <f t="shared" si="90"/>
        <v>731.69999999999993</v>
      </c>
      <c r="J1427" s="8">
        <f t="shared" si="91"/>
        <v>4146.3</v>
      </c>
      <c r="K1427" s="8">
        <v>21653</v>
      </c>
      <c r="L1427" s="6">
        <v>9</v>
      </c>
      <c r="M1427" s="22" t="str" cm="1">
        <f t="array" ref="M1427">_xlfn.IFS(L1427&gt;10,"Veteran",L1427&gt;=6,"Experienced",L1427&gt;=2,"Developing",L1427&gt;=0,"New")</f>
        <v>Experienced</v>
      </c>
    </row>
    <row r="1428" spans="1:13">
      <c r="A1428" s="21" t="str">
        <f t="shared" ca="1" si="88"/>
        <v>La-Res-2020-1427</v>
      </c>
      <c r="B1428" s="6">
        <v>32</v>
      </c>
      <c r="C1428" s="6" t="str">
        <f t="shared" si="89"/>
        <v>30-39</v>
      </c>
      <c r="D1428" s="6" t="s">
        <v>43</v>
      </c>
      <c r="E1428" s="6" t="s">
        <v>45</v>
      </c>
      <c r="F1428" s="6" t="s">
        <v>39</v>
      </c>
      <c r="G1428" s="6" t="s">
        <v>50</v>
      </c>
      <c r="H1428" s="8">
        <v>2837</v>
      </c>
      <c r="I1428" s="8">
        <f t="shared" si="90"/>
        <v>198.59000000000003</v>
      </c>
      <c r="J1428" s="8">
        <f t="shared" si="91"/>
        <v>2638.41</v>
      </c>
      <c r="K1428" s="8">
        <v>15919</v>
      </c>
      <c r="L1428" s="6">
        <v>6</v>
      </c>
      <c r="M1428" s="22" t="str" cm="1">
        <f t="array" ref="M1428">_xlfn.IFS(L1428&gt;10,"Veteran",L1428&gt;=6,"Experienced",L1428&gt;=2,"Developing",L1428&gt;=0,"New")</f>
        <v>Experienced</v>
      </c>
    </row>
    <row r="1429" spans="1:13">
      <c r="A1429" s="21" t="str">
        <f t="shared" ca="1" si="88"/>
        <v>La-Res-2025-1428</v>
      </c>
      <c r="B1429" s="6">
        <v>40</v>
      </c>
      <c r="C1429" s="6" t="str">
        <f t="shared" si="89"/>
        <v>40-49</v>
      </c>
      <c r="D1429" s="6" t="s">
        <v>43</v>
      </c>
      <c r="E1429" s="6" t="s">
        <v>45</v>
      </c>
      <c r="F1429" s="6" t="s">
        <v>46</v>
      </c>
      <c r="G1429" s="6" t="s">
        <v>50</v>
      </c>
      <c r="H1429" s="8">
        <v>2406</v>
      </c>
      <c r="I1429" s="8">
        <f t="shared" si="90"/>
        <v>168.42000000000002</v>
      </c>
      <c r="J1429" s="8">
        <f t="shared" si="91"/>
        <v>2237.58</v>
      </c>
      <c r="K1429" s="8">
        <v>4060</v>
      </c>
      <c r="L1429" s="6">
        <v>1</v>
      </c>
      <c r="M1429" s="22" t="str" cm="1">
        <f t="array" ref="M1429">_xlfn.IFS(L1429&gt;10,"Veteran",L1429&gt;=6,"Experienced",L1429&gt;=2,"Developing",L1429&gt;=0,"New")</f>
        <v>New</v>
      </c>
    </row>
    <row r="1430" spans="1:13">
      <c r="A1430" s="21" t="str">
        <f t="shared" ca="1" si="88"/>
        <v>Sa-Sal-2024-1429</v>
      </c>
      <c r="B1430" s="6">
        <v>32</v>
      </c>
      <c r="C1430" s="6" t="str">
        <f t="shared" si="89"/>
        <v>30-39</v>
      </c>
      <c r="D1430" s="6" t="s">
        <v>43</v>
      </c>
      <c r="E1430" s="6" t="s">
        <v>37</v>
      </c>
      <c r="F1430" s="6" t="s">
        <v>46</v>
      </c>
      <c r="G1430" s="6" t="s">
        <v>57</v>
      </c>
      <c r="H1430" s="8">
        <v>2269</v>
      </c>
      <c r="I1430" s="8">
        <f t="shared" si="90"/>
        <v>158.83000000000001</v>
      </c>
      <c r="J1430" s="8">
        <f t="shared" si="91"/>
        <v>2110.17</v>
      </c>
      <c r="K1430" s="8">
        <v>18024</v>
      </c>
      <c r="L1430" s="6">
        <v>2</v>
      </c>
      <c r="M1430" s="22" t="str" cm="1">
        <f t="array" ref="M1430">_xlfn.IFS(L1430&gt;10,"Veteran",L1430&gt;=6,"Experienced",L1430&gt;=2,"Developing",L1430&gt;=0,"New")</f>
        <v>Developing</v>
      </c>
    </row>
    <row r="1431" spans="1:13">
      <c r="A1431" s="21" t="str">
        <f t="shared" ca="1" si="88"/>
        <v>Re-Res-2019-1430</v>
      </c>
      <c r="B1431" s="6">
        <v>39</v>
      </c>
      <c r="C1431" s="6" t="str">
        <f t="shared" si="89"/>
        <v>30-39</v>
      </c>
      <c r="D1431" s="6" t="s">
        <v>43</v>
      </c>
      <c r="E1431" s="6" t="s">
        <v>45</v>
      </c>
      <c r="F1431" s="6" t="s">
        <v>46</v>
      </c>
      <c r="G1431" s="6" t="s">
        <v>47</v>
      </c>
      <c r="H1431" s="8">
        <v>4108</v>
      </c>
      <c r="I1431" s="8">
        <f t="shared" si="90"/>
        <v>616.19999999999993</v>
      </c>
      <c r="J1431" s="8">
        <f t="shared" si="91"/>
        <v>3491.8</v>
      </c>
      <c r="K1431" s="8">
        <v>5340</v>
      </c>
      <c r="L1431" s="6">
        <v>7</v>
      </c>
      <c r="M1431" s="22" t="str" cm="1">
        <f t="array" ref="M1431">_xlfn.IFS(L1431&gt;10,"Veteran",L1431&gt;=6,"Experienced",L1431&gt;=2,"Developing",L1431&gt;=0,"New")</f>
        <v>Experienced</v>
      </c>
    </row>
    <row r="1432" spans="1:13">
      <c r="A1432" s="21" t="str">
        <f t="shared" ca="1" si="88"/>
        <v>Re-Res-2008-1431</v>
      </c>
      <c r="B1432" s="6">
        <v>38</v>
      </c>
      <c r="C1432" s="6" t="str">
        <f t="shared" si="89"/>
        <v>30-39</v>
      </c>
      <c r="D1432" s="6" t="s">
        <v>43</v>
      </c>
      <c r="E1432" s="6" t="s">
        <v>45</v>
      </c>
      <c r="F1432" s="6" t="s">
        <v>39</v>
      </c>
      <c r="G1432" s="6" t="s">
        <v>58</v>
      </c>
      <c r="H1432" s="8">
        <v>13206</v>
      </c>
      <c r="I1432" s="8">
        <f t="shared" si="90"/>
        <v>3961.7999999999997</v>
      </c>
      <c r="J1432" s="8">
        <f t="shared" si="91"/>
        <v>9244.2000000000007</v>
      </c>
      <c r="K1432" s="8">
        <v>3376</v>
      </c>
      <c r="L1432" s="6">
        <v>18</v>
      </c>
      <c r="M1432" s="22" t="str" cm="1">
        <f t="array" ref="M1432">_xlfn.IFS(L1432&gt;10,"Veteran",L1432&gt;=6,"Experienced",L1432&gt;=2,"Developing",L1432&gt;=0,"New")</f>
        <v>Veteran</v>
      </c>
    </row>
    <row r="1433" spans="1:13">
      <c r="A1433" s="21" t="str">
        <f t="shared" ca="1" si="88"/>
        <v>Sa-Sal-2012-1432</v>
      </c>
      <c r="B1433" s="6">
        <v>32</v>
      </c>
      <c r="C1433" s="6" t="str">
        <f t="shared" si="89"/>
        <v>30-39</v>
      </c>
      <c r="D1433" s="6" t="s">
        <v>43</v>
      </c>
      <c r="E1433" s="6" t="s">
        <v>37</v>
      </c>
      <c r="F1433" s="6" t="s">
        <v>39</v>
      </c>
      <c r="G1433" s="6" t="s">
        <v>40</v>
      </c>
      <c r="H1433" s="8">
        <v>10422</v>
      </c>
      <c r="I1433" s="8">
        <f t="shared" si="90"/>
        <v>2292.84</v>
      </c>
      <c r="J1433" s="8">
        <f t="shared" si="91"/>
        <v>8129.16</v>
      </c>
      <c r="K1433" s="8">
        <v>24032</v>
      </c>
      <c r="L1433" s="6">
        <v>14</v>
      </c>
      <c r="M1433" s="22" t="str" cm="1">
        <f t="array" ref="M1433">_xlfn.IFS(L1433&gt;10,"Veteran",L1433&gt;=6,"Experienced",L1433&gt;=2,"Developing",L1433&gt;=0,"New")</f>
        <v>Veteran</v>
      </c>
    </row>
    <row r="1434" spans="1:13">
      <c r="A1434" s="21" t="str">
        <f t="shared" ca="1" si="88"/>
        <v>Re-Res-2010-1433</v>
      </c>
      <c r="B1434" s="6">
        <v>37</v>
      </c>
      <c r="C1434" s="6" t="str">
        <f t="shared" si="89"/>
        <v>30-39</v>
      </c>
      <c r="D1434" s="6" t="s">
        <v>43</v>
      </c>
      <c r="E1434" s="6" t="s">
        <v>45</v>
      </c>
      <c r="F1434" s="6" t="s">
        <v>39</v>
      </c>
      <c r="G1434" s="6" t="s">
        <v>58</v>
      </c>
      <c r="H1434" s="8">
        <v>13744</v>
      </c>
      <c r="I1434" s="8">
        <f t="shared" si="90"/>
        <v>4123.2</v>
      </c>
      <c r="J1434" s="8">
        <f t="shared" si="91"/>
        <v>9620.7999999999993</v>
      </c>
      <c r="K1434" s="8">
        <v>15471</v>
      </c>
      <c r="L1434" s="6">
        <v>16</v>
      </c>
      <c r="M1434" s="22" t="str" cm="1">
        <f t="array" ref="M1434">_xlfn.IFS(L1434&gt;10,"Veteran",L1434&gt;=6,"Experienced",L1434&gt;=2,"Developing",L1434&gt;=0,"New")</f>
        <v>Veteran</v>
      </c>
    </row>
    <row r="1435" spans="1:13">
      <c r="A1435" s="21" t="str">
        <f t="shared" ca="1" si="88"/>
        <v>Sa-Sal-2021-1434</v>
      </c>
      <c r="B1435" s="6">
        <v>25</v>
      </c>
      <c r="C1435" s="6" t="str">
        <f t="shared" si="89"/>
        <v>20-29</v>
      </c>
      <c r="D1435" s="6" t="s">
        <v>43</v>
      </c>
      <c r="E1435" s="6" t="s">
        <v>37</v>
      </c>
      <c r="F1435" s="6" t="s">
        <v>39</v>
      </c>
      <c r="G1435" s="6" t="s">
        <v>40</v>
      </c>
      <c r="H1435" s="8">
        <v>4907</v>
      </c>
      <c r="I1435" s="8">
        <f t="shared" si="90"/>
        <v>736.05</v>
      </c>
      <c r="J1435" s="8">
        <f t="shared" si="91"/>
        <v>4170.95</v>
      </c>
      <c r="K1435" s="8">
        <v>13684</v>
      </c>
      <c r="L1435" s="6">
        <v>5</v>
      </c>
      <c r="M1435" s="22" t="str" cm="1">
        <f t="array" ref="M1435">_xlfn.IFS(L1435&gt;10,"Veteran",L1435&gt;=6,"Experienced",L1435&gt;=2,"Developing",L1435&gt;=0,"New")</f>
        <v>Developing</v>
      </c>
    </row>
    <row r="1436" spans="1:13">
      <c r="A1436" s="21" t="str">
        <f t="shared" ca="1" si="88"/>
        <v>Sa-Sal-2017-1435</v>
      </c>
      <c r="B1436" s="6">
        <v>52</v>
      </c>
      <c r="C1436" s="6" t="str">
        <f t="shared" si="89"/>
        <v>50+</v>
      </c>
      <c r="D1436" s="6" t="s">
        <v>43</v>
      </c>
      <c r="E1436" s="6" t="s">
        <v>37</v>
      </c>
      <c r="F1436" s="6" t="s">
        <v>46</v>
      </c>
      <c r="G1436" s="6" t="s">
        <v>57</v>
      </c>
      <c r="H1436" s="8">
        <v>3482</v>
      </c>
      <c r="I1436" s="8">
        <f t="shared" si="90"/>
        <v>522.29999999999995</v>
      </c>
      <c r="J1436" s="8">
        <f t="shared" si="91"/>
        <v>2959.7</v>
      </c>
      <c r="K1436" s="8">
        <v>19788</v>
      </c>
      <c r="L1436" s="6">
        <v>9</v>
      </c>
      <c r="M1436" s="22" t="str" cm="1">
        <f t="array" ref="M1436">_xlfn.IFS(L1436&gt;10,"Veteran",L1436&gt;=6,"Experienced",L1436&gt;=2,"Developing",L1436&gt;=0,"New")</f>
        <v>Experienced</v>
      </c>
    </row>
    <row r="1437" spans="1:13">
      <c r="A1437" s="21" t="str">
        <f t="shared" ca="1" si="88"/>
        <v>Re-Res-2022-1436</v>
      </c>
      <c r="B1437" s="6">
        <v>44</v>
      </c>
      <c r="C1437" s="6" t="str">
        <f t="shared" si="89"/>
        <v>40-49</v>
      </c>
      <c r="D1437" s="6" t="s">
        <v>43</v>
      </c>
      <c r="E1437" s="6" t="s">
        <v>45</v>
      </c>
      <c r="F1437" s="6" t="s">
        <v>46</v>
      </c>
      <c r="G1437" s="6" t="s">
        <v>47</v>
      </c>
      <c r="H1437" s="8">
        <v>2436</v>
      </c>
      <c r="I1437" s="8">
        <f t="shared" si="90"/>
        <v>170.52</v>
      </c>
      <c r="J1437" s="8">
        <f t="shared" si="91"/>
        <v>2265.48</v>
      </c>
      <c r="K1437" s="8">
        <v>13422</v>
      </c>
      <c r="L1437" s="6">
        <v>4</v>
      </c>
      <c r="M1437" s="22" t="str" cm="1">
        <f t="array" ref="M1437">_xlfn.IFS(L1437&gt;10,"Veteran",L1437&gt;=6,"Experienced",L1437&gt;=2,"Developing",L1437&gt;=0,"New")</f>
        <v>Developing</v>
      </c>
    </row>
    <row r="1438" spans="1:13">
      <c r="A1438" s="21" t="str">
        <f t="shared" ca="1" si="88"/>
        <v>Sa-Sal-2024-1437</v>
      </c>
      <c r="B1438" s="6">
        <v>21</v>
      </c>
      <c r="C1438" s="6" t="str">
        <f t="shared" si="89"/>
        <v>20-29</v>
      </c>
      <c r="D1438" s="6" t="s">
        <v>43</v>
      </c>
      <c r="E1438" s="6" t="s">
        <v>37</v>
      </c>
      <c r="F1438" s="6" t="s">
        <v>46</v>
      </c>
      <c r="G1438" s="6" t="s">
        <v>57</v>
      </c>
      <c r="H1438" s="8">
        <v>2380</v>
      </c>
      <c r="I1438" s="8">
        <f t="shared" si="90"/>
        <v>166.60000000000002</v>
      </c>
      <c r="J1438" s="8">
        <f t="shared" si="91"/>
        <v>2213.4</v>
      </c>
      <c r="K1438" s="8">
        <v>25479</v>
      </c>
      <c r="L1438" s="6">
        <v>2</v>
      </c>
      <c r="M1438" s="22" t="str" cm="1">
        <f t="array" ref="M1438">_xlfn.IFS(L1438&gt;10,"Veteran",L1438&gt;=6,"Experienced",L1438&gt;=2,"Developing",L1438&gt;=0,"New")</f>
        <v>Developing</v>
      </c>
    </row>
    <row r="1439" spans="1:13">
      <c r="A1439" s="21" t="str">
        <f t="shared" ca="1" si="88"/>
        <v>Ma-Res-2020-1438</v>
      </c>
      <c r="B1439" s="6">
        <v>39</v>
      </c>
      <c r="C1439" s="6" t="str">
        <f t="shared" si="89"/>
        <v>30-39</v>
      </c>
      <c r="D1439" s="6" t="s">
        <v>43</v>
      </c>
      <c r="E1439" s="6" t="s">
        <v>45</v>
      </c>
      <c r="F1439" s="6" t="s">
        <v>46</v>
      </c>
      <c r="G1439" s="6" t="s">
        <v>56</v>
      </c>
      <c r="H1439" s="8">
        <v>19431</v>
      </c>
      <c r="I1439" s="8">
        <f t="shared" si="90"/>
        <v>5829.3</v>
      </c>
      <c r="J1439" s="8">
        <f t="shared" si="91"/>
        <v>13601.7</v>
      </c>
      <c r="K1439" s="8">
        <v>15302</v>
      </c>
      <c r="L1439" s="6">
        <v>6</v>
      </c>
      <c r="M1439" s="22" t="str" cm="1">
        <f t="array" ref="M1439">_xlfn.IFS(L1439&gt;10,"Veteran",L1439&gt;=6,"Experienced",L1439&gt;=2,"Developing",L1439&gt;=0,"New")</f>
        <v>Experienced</v>
      </c>
    </row>
    <row r="1440" spans="1:13">
      <c r="A1440" s="21" t="str">
        <f t="shared" ca="1" si="88"/>
        <v>Sa-Sal-2025-1439</v>
      </c>
      <c r="B1440" s="6">
        <v>23</v>
      </c>
      <c r="C1440" s="6" t="str">
        <f t="shared" si="89"/>
        <v>20-29</v>
      </c>
      <c r="D1440" s="6" t="s">
        <v>35</v>
      </c>
      <c r="E1440" s="6" t="s">
        <v>37</v>
      </c>
      <c r="F1440" s="6" t="s">
        <v>46</v>
      </c>
      <c r="G1440" s="6" t="s">
        <v>57</v>
      </c>
      <c r="H1440" s="8">
        <v>1790</v>
      </c>
      <c r="I1440" s="8">
        <f t="shared" si="90"/>
        <v>125.30000000000001</v>
      </c>
      <c r="J1440" s="8">
        <f t="shared" si="91"/>
        <v>1664.7</v>
      </c>
      <c r="K1440" s="8">
        <v>26956</v>
      </c>
      <c r="L1440" s="6">
        <v>1</v>
      </c>
      <c r="M1440" s="22" t="str" cm="1">
        <f t="array" ref="M1440">_xlfn.IFS(L1440&gt;10,"Veteran",L1440&gt;=6,"Experienced",L1440&gt;=2,"Developing",L1440&gt;=0,"New")</f>
        <v>New</v>
      </c>
    </row>
    <row r="1441" spans="1:13">
      <c r="A1441" s="21" t="str">
        <f t="shared" ca="1" si="88"/>
        <v>Sa-Sal-2017-1440</v>
      </c>
      <c r="B1441" s="6">
        <v>36</v>
      </c>
      <c r="C1441" s="6" t="str">
        <f t="shared" si="89"/>
        <v>30-39</v>
      </c>
      <c r="D1441" s="6" t="s">
        <v>43</v>
      </c>
      <c r="E1441" s="6" t="s">
        <v>37</v>
      </c>
      <c r="F1441" s="6" t="s">
        <v>39</v>
      </c>
      <c r="G1441" s="6" t="s">
        <v>40</v>
      </c>
      <c r="H1441" s="8">
        <v>7644</v>
      </c>
      <c r="I1441" s="8">
        <f t="shared" si="90"/>
        <v>1681.68</v>
      </c>
      <c r="J1441" s="8">
        <f t="shared" si="91"/>
        <v>5962.32</v>
      </c>
      <c r="K1441" s="8">
        <v>12695</v>
      </c>
      <c r="L1441" s="6">
        <v>9</v>
      </c>
      <c r="M1441" s="22" t="str" cm="1">
        <f t="array" ref="M1441">_xlfn.IFS(L1441&gt;10,"Veteran",L1441&gt;=6,"Experienced",L1441&gt;=2,"Developing",L1441&gt;=0,"New")</f>
        <v>Experienced</v>
      </c>
    </row>
    <row r="1442" spans="1:13">
      <c r="A1442" s="21" t="str">
        <f t="shared" ca="1" si="88"/>
        <v>Ma-Res-2022-1441</v>
      </c>
      <c r="B1442" s="6">
        <v>36</v>
      </c>
      <c r="C1442" s="6" t="str">
        <f t="shared" si="89"/>
        <v>30-39</v>
      </c>
      <c r="D1442" s="6" t="s">
        <v>43</v>
      </c>
      <c r="E1442" s="6" t="s">
        <v>45</v>
      </c>
      <c r="F1442" s="6" t="s">
        <v>39</v>
      </c>
      <c r="G1442" s="6" t="s">
        <v>53</v>
      </c>
      <c r="H1442" s="8">
        <v>5131</v>
      </c>
      <c r="I1442" s="8">
        <f t="shared" si="90"/>
        <v>769.65</v>
      </c>
      <c r="J1442" s="8">
        <f t="shared" si="91"/>
        <v>4361.3500000000004</v>
      </c>
      <c r="K1442" s="8">
        <v>9192</v>
      </c>
      <c r="L1442" s="6">
        <v>4</v>
      </c>
      <c r="M1442" s="22" t="str" cm="1">
        <f t="array" ref="M1442">_xlfn.IFS(L1442&gt;10,"Veteran",L1442&gt;=6,"Experienced",L1442&gt;=2,"Developing",L1442&gt;=0,"New")</f>
        <v>Developing</v>
      </c>
    </row>
    <row r="1443" spans="1:13">
      <c r="A1443" s="21" t="str">
        <f t="shared" ca="1" si="88"/>
        <v>He-Res-2013-1442</v>
      </c>
      <c r="B1443" s="6">
        <v>56</v>
      </c>
      <c r="C1443" s="6" t="str">
        <f t="shared" si="89"/>
        <v>50+</v>
      </c>
      <c r="D1443" s="6" t="s">
        <v>43</v>
      </c>
      <c r="E1443" s="6" t="s">
        <v>45</v>
      </c>
      <c r="F1443" s="6" t="s">
        <v>46</v>
      </c>
      <c r="G1443" s="6" t="s">
        <v>54</v>
      </c>
      <c r="H1443" s="8">
        <v>6306</v>
      </c>
      <c r="I1443" s="8">
        <f t="shared" si="90"/>
        <v>945.9</v>
      </c>
      <c r="J1443" s="8">
        <f t="shared" si="91"/>
        <v>5360.1</v>
      </c>
      <c r="K1443" s="8">
        <v>26236</v>
      </c>
      <c r="L1443" s="6">
        <v>13</v>
      </c>
      <c r="M1443" s="22" t="str" cm="1">
        <f t="array" ref="M1443">_xlfn.IFS(L1443&gt;10,"Veteran",L1443&gt;=6,"Experienced",L1443&gt;=2,"Developing",L1443&gt;=0,"New")</f>
        <v>Veteran</v>
      </c>
    </row>
    <row r="1444" spans="1:13">
      <c r="A1444" s="21" t="str">
        <f t="shared" ca="1" si="88"/>
        <v>Re-Res-2024-1443</v>
      </c>
      <c r="B1444" s="6">
        <v>29</v>
      </c>
      <c r="C1444" s="6" t="str">
        <f t="shared" si="89"/>
        <v>20-29</v>
      </c>
      <c r="D1444" s="6" t="s">
        <v>35</v>
      </c>
      <c r="E1444" s="6" t="s">
        <v>45</v>
      </c>
      <c r="F1444" s="6" t="s">
        <v>46</v>
      </c>
      <c r="G1444" s="6" t="s">
        <v>47</v>
      </c>
      <c r="H1444" s="8">
        <v>4787</v>
      </c>
      <c r="I1444" s="8">
        <f t="shared" si="90"/>
        <v>718.05</v>
      </c>
      <c r="J1444" s="8">
        <f t="shared" si="91"/>
        <v>4068.95</v>
      </c>
      <c r="K1444" s="8">
        <v>26124</v>
      </c>
      <c r="L1444" s="6">
        <v>2</v>
      </c>
      <c r="M1444" s="22" t="str" cm="1">
        <f t="array" ref="M1444">_xlfn.IFS(L1444&gt;10,"Veteran",L1444&gt;=6,"Experienced",L1444&gt;=2,"Developing",L1444&gt;=0,"New")</f>
        <v>Developing</v>
      </c>
    </row>
    <row r="1445" spans="1:13">
      <c r="A1445" s="21" t="str">
        <f t="shared" ca="1" si="88"/>
        <v>Ma-Res-2004-1444</v>
      </c>
      <c r="B1445" s="6">
        <v>42</v>
      </c>
      <c r="C1445" s="6" t="str">
        <f t="shared" si="89"/>
        <v>40-49</v>
      </c>
      <c r="D1445" s="6" t="s">
        <v>43</v>
      </c>
      <c r="E1445" s="6" t="s">
        <v>45</v>
      </c>
      <c r="F1445" s="6" t="s">
        <v>46</v>
      </c>
      <c r="G1445" s="6" t="s">
        <v>56</v>
      </c>
      <c r="H1445" s="8">
        <v>18880</v>
      </c>
      <c r="I1445" s="8">
        <f t="shared" si="90"/>
        <v>5664</v>
      </c>
      <c r="J1445" s="8">
        <f t="shared" si="91"/>
        <v>13216</v>
      </c>
      <c r="K1445" s="8">
        <v>17312</v>
      </c>
      <c r="L1445" s="6">
        <v>22</v>
      </c>
      <c r="M1445" s="22" t="str" cm="1">
        <f t="array" ref="M1445">_xlfn.IFS(L1445&gt;10,"Veteran",L1445&gt;=6,"Experienced",L1445&gt;=2,"Developing",L1445&gt;=0,"New")</f>
        <v>Veteran</v>
      </c>
    </row>
    <row r="1446" spans="1:13">
      <c r="A1446" s="21" t="str">
        <f t="shared" ca="1" si="88"/>
        <v>La-Res-2016-1445</v>
      </c>
      <c r="B1446" s="6">
        <v>56</v>
      </c>
      <c r="C1446" s="6" t="str">
        <f t="shared" si="89"/>
        <v>50+</v>
      </c>
      <c r="D1446" s="6" t="s">
        <v>35</v>
      </c>
      <c r="E1446" s="6" t="s">
        <v>45</v>
      </c>
      <c r="F1446" s="6" t="s">
        <v>46</v>
      </c>
      <c r="G1446" s="6" t="s">
        <v>50</v>
      </c>
      <c r="H1446" s="8">
        <v>2339</v>
      </c>
      <c r="I1446" s="8">
        <f t="shared" si="90"/>
        <v>163.73000000000002</v>
      </c>
      <c r="J1446" s="8">
        <f t="shared" si="91"/>
        <v>2175.27</v>
      </c>
      <c r="K1446" s="8">
        <v>3666</v>
      </c>
      <c r="L1446" s="6">
        <v>10</v>
      </c>
      <c r="M1446" s="22" t="str" cm="1">
        <f t="array" ref="M1446">_xlfn.IFS(L1446&gt;10,"Veteran",L1446&gt;=6,"Experienced",L1446&gt;=2,"Developing",L1446&gt;=0,"New")</f>
        <v>Experienced</v>
      </c>
    </row>
    <row r="1447" spans="1:13">
      <c r="A1447" s="21" t="str">
        <f t="shared" ca="1" si="88"/>
        <v>Ma-Res-2006-1446</v>
      </c>
      <c r="B1447" s="6">
        <v>41</v>
      </c>
      <c r="C1447" s="6" t="str">
        <f t="shared" si="89"/>
        <v>40-49</v>
      </c>
      <c r="D1447" s="6" t="s">
        <v>43</v>
      </c>
      <c r="E1447" s="6" t="s">
        <v>45</v>
      </c>
      <c r="F1447" s="6" t="s">
        <v>39</v>
      </c>
      <c r="G1447" s="6" t="s">
        <v>53</v>
      </c>
      <c r="H1447" s="8">
        <v>13570</v>
      </c>
      <c r="I1447" s="8">
        <f t="shared" si="90"/>
        <v>4071</v>
      </c>
      <c r="J1447" s="8">
        <f t="shared" si="91"/>
        <v>9499</v>
      </c>
      <c r="K1447" s="8">
        <v>5640</v>
      </c>
      <c r="L1447" s="6">
        <v>20</v>
      </c>
      <c r="M1447" s="22" t="str" cm="1">
        <f t="array" ref="M1447">_xlfn.IFS(L1447&gt;10,"Veteran",L1447&gt;=6,"Experienced",L1447&gt;=2,"Developing",L1447&gt;=0,"New")</f>
        <v>Veteran</v>
      </c>
    </row>
    <row r="1448" spans="1:13">
      <c r="A1448" s="21" t="str">
        <f t="shared" ca="1" si="88"/>
        <v>Sa-Sal-2018-1447</v>
      </c>
      <c r="B1448" s="6">
        <v>34</v>
      </c>
      <c r="C1448" s="6" t="str">
        <f t="shared" si="89"/>
        <v>30-39</v>
      </c>
      <c r="D1448" s="6" t="s">
        <v>43</v>
      </c>
      <c r="E1448" s="6" t="s">
        <v>37</v>
      </c>
      <c r="F1448" s="6" t="s">
        <v>39</v>
      </c>
      <c r="G1448" s="6" t="s">
        <v>40</v>
      </c>
      <c r="H1448" s="8">
        <v>6712</v>
      </c>
      <c r="I1448" s="8">
        <f t="shared" si="90"/>
        <v>1006.8</v>
      </c>
      <c r="J1448" s="8">
        <f t="shared" si="91"/>
        <v>5705.2</v>
      </c>
      <c r="K1448" s="8">
        <v>8978</v>
      </c>
      <c r="L1448" s="6">
        <v>8</v>
      </c>
      <c r="M1448" s="22" t="str" cm="1">
        <f t="array" ref="M1448">_xlfn.IFS(L1448&gt;10,"Veteran",L1448&gt;=6,"Experienced",L1448&gt;=2,"Developing",L1448&gt;=0,"New")</f>
        <v>Experienced</v>
      </c>
    </row>
    <row r="1449" spans="1:13">
      <c r="A1449" s="21" t="str">
        <f t="shared" ca="1" si="88"/>
        <v>Sa-Sal-2011-1448</v>
      </c>
      <c r="B1449" s="6">
        <v>36</v>
      </c>
      <c r="C1449" s="6" t="str">
        <f t="shared" si="89"/>
        <v>30-39</v>
      </c>
      <c r="D1449" s="6" t="s">
        <v>43</v>
      </c>
      <c r="E1449" s="6" t="s">
        <v>37</v>
      </c>
      <c r="F1449" s="6" t="s">
        <v>46</v>
      </c>
      <c r="G1449" s="6" t="s">
        <v>40</v>
      </c>
      <c r="H1449" s="8">
        <v>5406</v>
      </c>
      <c r="I1449" s="8">
        <f t="shared" si="90"/>
        <v>810.9</v>
      </c>
      <c r="J1449" s="8">
        <f t="shared" si="91"/>
        <v>4595.1000000000004</v>
      </c>
      <c r="K1449" s="8">
        <v>10436</v>
      </c>
      <c r="L1449" s="6">
        <v>15</v>
      </c>
      <c r="M1449" s="22" t="str" cm="1">
        <f t="array" ref="M1449">_xlfn.IFS(L1449&gt;10,"Veteran",L1449&gt;=6,"Experienced",L1449&gt;=2,"Developing",L1449&gt;=0,"New")</f>
        <v>Veteran</v>
      </c>
    </row>
    <row r="1450" spans="1:13">
      <c r="A1450" s="21" t="str">
        <f t="shared" ca="1" si="88"/>
        <v>Sa-Sal-2021-1449</v>
      </c>
      <c r="B1450" s="6">
        <v>41</v>
      </c>
      <c r="C1450" s="6" t="str">
        <f t="shared" si="89"/>
        <v>40-49</v>
      </c>
      <c r="D1450" s="6" t="s">
        <v>43</v>
      </c>
      <c r="E1450" s="6" t="s">
        <v>37</v>
      </c>
      <c r="F1450" s="6" t="s">
        <v>46</v>
      </c>
      <c r="G1450" s="6" t="s">
        <v>40</v>
      </c>
      <c r="H1450" s="8">
        <v>8938</v>
      </c>
      <c r="I1450" s="8">
        <f t="shared" si="90"/>
        <v>1966.36</v>
      </c>
      <c r="J1450" s="8">
        <f t="shared" si="91"/>
        <v>6971.64</v>
      </c>
      <c r="K1450" s="8">
        <v>12227</v>
      </c>
      <c r="L1450" s="6">
        <v>5</v>
      </c>
      <c r="M1450" s="22" t="str" cm="1">
        <f t="array" ref="M1450">_xlfn.IFS(L1450&gt;10,"Veteran",L1450&gt;=6,"Experienced",L1450&gt;=2,"Developing",L1450&gt;=0,"New")</f>
        <v>Developing</v>
      </c>
    </row>
    <row r="1451" spans="1:13">
      <c r="A1451" s="21" t="str">
        <f t="shared" ca="1" si="88"/>
        <v>Re-Res-2022-1450</v>
      </c>
      <c r="B1451" s="6">
        <v>32</v>
      </c>
      <c r="C1451" s="6" t="str">
        <f t="shared" si="89"/>
        <v>30-39</v>
      </c>
      <c r="D1451" s="6" t="s">
        <v>43</v>
      </c>
      <c r="E1451" s="6" t="s">
        <v>45</v>
      </c>
      <c r="F1451" s="6" t="s">
        <v>46</v>
      </c>
      <c r="G1451" s="6" t="s">
        <v>47</v>
      </c>
      <c r="H1451" s="8">
        <v>2439</v>
      </c>
      <c r="I1451" s="8">
        <f t="shared" si="90"/>
        <v>170.73000000000002</v>
      </c>
      <c r="J1451" s="8">
        <f t="shared" si="91"/>
        <v>2268.27</v>
      </c>
      <c r="K1451" s="8">
        <v>11288</v>
      </c>
      <c r="L1451" s="6">
        <v>4</v>
      </c>
      <c r="M1451" s="22" t="str" cm="1">
        <f t="array" ref="M1451">_xlfn.IFS(L1451&gt;10,"Veteran",L1451&gt;=6,"Experienced",L1451&gt;=2,"Developing",L1451&gt;=0,"New")</f>
        <v>Developing</v>
      </c>
    </row>
    <row r="1452" spans="1:13">
      <c r="A1452" s="21" t="str">
        <f t="shared" ca="1" si="88"/>
        <v>Hu-Hum-2017-1451</v>
      </c>
      <c r="B1452" s="6">
        <v>35</v>
      </c>
      <c r="C1452" s="6" t="str">
        <f t="shared" si="89"/>
        <v>30-39</v>
      </c>
      <c r="D1452" s="6" t="s">
        <v>43</v>
      </c>
      <c r="E1452" s="6" t="s">
        <v>61</v>
      </c>
      <c r="F1452" s="6" t="s">
        <v>39</v>
      </c>
      <c r="G1452" s="6" t="s">
        <v>61</v>
      </c>
      <c r="H1452" s="8">
        <v>8837</v>
      </c>
      <c r="I1452" s="8">
        <f t="shared" si="90"/>
        <v>1944.14</v>
      </c>
      <c r="J1452" s="8">
        <f t="shared" si="91"/>
        <v>6892.86</v>
      </c>
      <c r="K1452" s="8">
        <v>16642</v>
      </c>
      <c r="L1452" s="6">
        <v>9</v>
      </c>
      <c r="M1452" s="22" t="str" cm="1">
        <f t="array" ref="M1452">_xlfn.IFS(L1452&gt;10,"Veteran",L1452&gt;=6,"Experienced",L1452&gt;=2,"Developing",L1452&gt;=0,"New")</f>
        <v>Experienced</v>
      </c>
    </row>
    <row r="1453" spans="1:13">
      <c r="A1453" s="21" t="str">
        <f t="shared" ca="1" si="88"/>
        <v>Sa-Sal-2016-1452</v>
      </c>
      <c r="B1453" s="6">
        <v>38</v>
      </c>
      <c r="C1453" s="6" t="str">
        <f t="shared" si="89"/>
        <v>30-39</v>
      </c>
      <c r="D1453" s="6" t="s">
        <v>43</v>
      </c>
      <c r="E1453" s="6" t="s">
        <v>37</v>
      </c>
      <c r="F1453" s="6" t="s">
        <v>39</v>
      </c>
      <c r="G1453" s="6" t="s">
        <v>40</v>
      </c>
      <c r="H1453" s="8">
        <v>5343</v>
      </c>
      <c r="I1453" s="8">
        <f t="shared" si="90"/>
        <v>801.44999999999993</v>
      </c>
      <c r="J1453" s="8">
        <f t="shared" si="91"/>
        <v>4541.55</v>
      </c>
      <c r="K1453" s="8">
        <v>5982</v>
      </c>
      <c r="L1453" s="6">
        <v>10</v>
      </c>
      <c r="M1453" s="22" t="str" cm="1">
        <f t="array" ref="M1453">_xlfn.IFS(L1453&gt;10,"Veteran",L1453&gt;=6,"Experienced",L1453&gt;=2,"Developing",L1453&gt;=0,"New")</f>
        <v>Experienced</v>
      </c>
    </row>
    <row r="1454" spans="1:13">
      <c r="A1454" s="21" t="str">
        <f t="shared" ca="1" si="88"/>
        <v>Sa-Sal-2020-1453</v>
      </c>
      <c r="B1454" s="6">
        <v>50</v>
      </c>
      <c r="C1454" s="6" t="str">
        <f t="shared" si="89"/>
        <v>50+</v>
      </c>
      <c r="D1454" s="6" t="s">
        <v>35</v>
      </c>
      <c r="E1454" s="6" t="s">
        <v>37</v>
      </c>
      <c r="F1454" s="6" t="s">
        <v>46</v>
      </c>
      <c r="G1454" s="6" t="s">
        <v>40</v>
      </c>
      <c r="H1454" s="8">
        <v>6728</v>
      </c>
      <c r="I1454" s="8">
        <f t="shared" si="90"/>
        <v>1009.1999999999999</v>
      </c>
      <c r="J1454" s="8">
        <f t="shared" si="91"/>
        <v>5718.8</v>
      </c>
      <c r="K1454" s="8">
        <v>14255</v>
      </c>
      <c r="L1454" s="6">
        <v>6</v>
      </c>
      <c r="M1454" s="22" t="str" cm="1">
        <f t="array" ref="M1454">_xlfn.IFS(L1454&gt;10,"Veteran",L1454&gt;=6,"Experienced",L1454&gt;=2,"Developing",L1454&gt;=0,"New")</f>
        <v>Experienced</v>
      </c>
    </row>
    <row r="1455" spans="1:13">
      <c r="A1455" s="21" t="str">
        <f t="shared" ca="1" si="88"/>
        <v>Sa-Sal-2020-1454</v>
      </c>
      <c r="B1455" s="6">
        <v>36</v>
      </c>
      <c r="C1455" s="6" t="str">
        <f t="shared" si="89"/>
        <v>30-39</v>
      </c>
      <c r="D1455" s="6" t="s">
        <v>43</v>
      </c>
      <c r="E1455" s="6" t="s">
        <v>37</v>
      </c>
      <c r="F1455" s="6" t="s">
        <v>39</v>
      </c>
      <c r="G1455" s="6" t="s">
        <v>40</v>
      </c>
      <c r="H1455" s="8">
        <v>6652</v>
      </c>
      <c r="I1455" s="8">
        <f t="shared" si="90"/>
        <v>997.8</v>
      </c>
      <c r="J1455" s="8">
        <f t="shared" si="91"/>
        <v>5654.2</v>
      </c>
      <c r="K1455" s="8">
        <v>14369</v>
      </c>
      <c r="L1455" s="6">
        <v>6</v>
      </c>
      <c r="M1455" s="22" t="str" cm="1">
        <f t="array" ref="M1455">_xlfn.IFS(L1455&gt;10,"Veteran",L1455&gt;=6,"Experienced",L1455&gt;=2,"Developing",L1455&gt;=0,"New")</f>
        <v>Experienced</v>
      </c>
    </row>
    <row r="1456" spans="1:13">
      <c r="A1456" s="21" t="str">
        <f t="shared" ca="1" si="88"/>
        <v>Sa-Sal-2021-1455</v>
      </c>
      <c r="B1456" s="6">
        <v>45</v>
      </c>
      <c r="C1456" s="6" t="str">
        <f t="shared" si="89"/>
        <v>40-49</v>
      </c>
      <c r="D1456" s="6" t="s">
        <v>43</v>
      </c>
      <c r="E1456" s="6" t="s">
        <v>37</v>
      </c>
      <c r="F1456" s="6" t="s">
        <v>39</v>
      </c>
      <c r="G1456" s="6" t="s">
        <v>40</v>
      </c>
      <c r="H1456" s="8">
        <v>4850</v>
      </c>
      <c r="I1456" s="8">
        <f t="shared" si="90"/>
        <v>727.5</v>
      </c>
      <c r="J1456" s="8">
        <f t="shared" si="91"/>
        <v>4122.5</v>
      </c>
      <c r="K1456" s="8">
        <v>23333</v>
      </c>
      <c r="L1456" s="6">
        <v>5</v>
      </c>
      <c r="M1456" s="22" t="str" cm="1">
        <f t="array" ref="M1456">_xlfn.IFS(L1456&gt;10,"Veteran",L1456&gt;=6,"Experienced",L1456&gt;=2,"Developing",L1456&gt;=0,"New")</f>
        <v>Developing</v>
      </c>
    </row>
    <row r="1457" spans="1:13">
      <c r="A1457" s="21" t="str">
        <f t="shared" ca="1" si="88"/>
        <v>Re-Res-2024-1456</v>
      </c>
      <c r="B1457" s="6">
        <v>40</v>
      </c>
      <c r="C1457" s="6" t="str">
        <f t="shared" si="89"/>
        <v>40-49</v>
      </c>
      <c r="D1457" s="6" t="s">
        <v>43</v>
      </c>
      <c r="E1457" s="6" t="s">
        <v>45</v>
      </c>
      <c r="F1457" s="6" t="s">
        <v>46</v>
      </c>
      <c r="G1457" s="6" t="s">
        <v>47</v>
      </c>
      <c r="H1457" s="8">
        <v>2809</v>
      </c>
      <c r="I1457" s="8">
        <f t="shared" si="90"/>
        <v>196.63000000000002</v>
      </c>
      <c r="J1457" s="8">
        <f t="shared" si="91"/>
        <v>2612.37</v>
      </c>
      <c r="K1457" s="8">
        <v>2725</v>
      </c>
      <c r="L1457" s="6">
        <v>2</v>
      </c>
      <c r="M1457" s="22" t="str" cm="1">
        <f t="array" ref="M1457">_xlfn.IFS(L1457&gt;10,"Veteran",L1457&gt;=6,"Experienced",L1457&gt;=2,"Developing",L1457&gt;=0,"New")</f>
        <v>Developing</v>
      </c>
    </row>
    <row r="1458" spans="1:13">
      <c r="A1458" s="21" t="str">
        <f t="shared" ca="1" si="88"/>
        <v>He-Res-2016-1457</v>
      </c>
      <c r="B1458" s="6">
        <v>35</v>
      </c>
      <c r="C1458" s="6" t="str">
        <f t="shared" si="89"/>
        <v>30-39</v>
      </c>
      <c r="D1458" s="6" t="s">
        <v>43</v>
      </c>
      <c r="E1458" s="6" t="s">
        <v>45</v>
      </c>
      <c r="F1458" s="6" t="s">
        <v>46</v>
      </c>
      <c r="G1458" s="6" t="s">
        <v>54</v>
      </c>
      <c r="H1458" s="8">
        <v>5689</v>
      </c>
      <c r="I1458" s="8">
        <f t="shared" si="90"/>
        <v>853.35</v>
      </c>
      <c r="J1458" s="8">
        <f t="shared" si="91"/>
        <v>4835.6499999999996</v>
      </c>
      <c r="K1458" s="8">
        <v>24594</v>
      </c>
      <c r="L1458" s="6">
        <v>10</v>
      </c>
      <c r="M1458" s="22" t="str" cm="1">
        <f t="array" ref="M1458">_xlfn.IFS(L1458&gt;10,"Veteran",L1458&gt;=6,"Experienced",L1458&gt;=2,"Developing",L1458&gt;=0,"New")</f>
        <v>Experienced</v>
      </c>
    </row>
    <row r="1459" spans="1:13">
      <c r="A1459" s="21" t="str">
        <f t="shared" ca="1" si="88"/>
        <v>Re-Res-2021-1458</v>
      </c>
      <c r="B1459" s="6">
        <v>40</v>
      </c>
      <c r="C1459" s="6" t="str">
        <f t="shared" si="89"/>
        <v>40-49</v>
      </c>
      <c r="D1459" s="6" t="s">
        <v>43</v>
      </c>
      <c r="E1459" s="6" t="s">
        <v>45</v>
      </c>
      <c r="F1459" s="6" t="s">
        <v>39</v>
      </c>
      <c r="G1459" s="6" t="s">
        <v>47</v>
      </c>
      <c r="H1459" s="8">
        <v>2001</v>
      </c>
      <c r="I1459" s="8">
        <f t="shared" si="90"/>
        <v>140.07000000000002</v>
      </c>
      <c r="J1459" s="8">
        <f t="shared" si="91"/>
        <v>1860.93</v>
      </c>
      <c r="K1459" s="8">
        <v>12549</v>
      </c>
      <c r="L1459" s="6">
        <v>5</v>
      </c>
      <c r="M1459" s="22" t="str" cm="1">
        <f t="array" ref="M1459">_xlfn.IFS(L1459&gt;10,"Veteran",L1459&gt;=6,"Experienced",L1459&gt;=2,"Developing",L1459&gt;=0,"New")</f>
        <v>Developing</v>
      </c>
    </row>
    <row r="1460" spans="1:13">
      <c r="A1460" s="21" t="str">
        <f t="shared" ca="1" si="88"/>
        <v>Re-Res-2022-1459</v>
      </c>
      <c r="B1460" s="6">
        <v>35</v>
      </c>
      <c r="C1460" s="6" t="str">
        <f t="shared" si="89"/>
        <v>30-39</v>
      </c>
      <c r="D1460" s="6" t="s">
        <v>43</v>
      </c>
      <c r="E1460" s="6" t="s">
        <v>45</v>
      </c>
      <c r="F1460" s="6" t="s">
        <v>39</v>
      </c>
      <c r="G1460" s="6" t="s">
        <v>47</v>
      </c>
      <c r="H1460" s="8">
        <v>2977</v>
      </c>
      <c r="I1460" s="8">
        <f t="shared" si="90"/>
        <v>208.39000000000001</v>
      </c>
      <c r="J1460" s="8">
        <f t="shared" si="91"/>
        <v>2768.61</v>
      </c>
      <c r="K1460" s="8">
        <v>8952</v>
      </c>
      <c r="L1460" s="6">
        <v>4</v>
      </c>
      <c r="M1460" s="22" t="str" cm="1">
        <f t="array" ref="M1460">_xlfn.IFS(L1460&gt;10,"Veteran",L1460&gt;=6,"Experienced",L1460&gt;=2,"Developing",L1460&gt;=0,"New")</f>
        <v>Developing</v>
      </c>
    </row>
    <row r="1461" spans="1:13">
      <c r="A1461" s="21" t="str">
        <f t="shared" ca="1" si="88"/>
        <v>La-Res-2022-1460</v>
      </c>
      <c r="B1461" s="6">
        <v>29</v>
      </c>
      <c r="C1461" s="6" t="str">
        <f t="shared" si="89"/>
        <v>20-29</v>
      </c>
      <c r="D1461" s="6" t="s">
        <v>43</v>
      </c>
      <c r="E1461" s="6" t="s">
        <v>45</v>
      </c>
      <c r="F1461" s="6" t="s">
        <v>46</v>
      </c>
      <c r="G1461" s="6" t="s">
        <v>50</v>
      </c>
      <c r="H1461" s="8">
        <v>4025</v>
      </c>
      <c r="I1461" s="8">
        <f t="shared" si="90"/>
        <v>603.75</v>
      </c>
      <c r="J1461" s="8">
        <f t="shared" si="91"/>
        <v>3421.25</v>
      </c>
      <c r="K1461" s="8">
        <v>23679</v>
      </c>
      <c r="L1461" s="6">
        <v>4</v>
      </c>
      <c r="M1461" s="22" t="str" cm="1">
        <f t="array" ref="M1461">_xlfn.IFS(L1461&gt;10,"Veteran",L1461&gt;=6,"Experienced",L1461&gt;=2,"Developing",L1461&gt;=0,"New")</f>
        <v>Developing</v>
      </c>
    </row>
    <row r="1462" spans="1:13">
      <c r="A1462" s="21" t="str">
        <f t="shared" ca="1" si="88"/>
        <v>Re-Res-2021-1461</v>
      </c>
      <c r="B1462" s="6">
        <v>29</v>
      </c>
      <c r="C1462" s="6" t="str">
        <f t="shared" si="89"/>
        <v>20-29</v>
      </c>
      <c r="D1462" s="6" t="s">
        <v>43</v>
      </c>
      <c r="E1462" s="6" t="s">
        <v>45</v>
      </c>
      <c r="F1462" s="6" t="s">
        <v>39</v>
      </c>
      <c r="G1462" s="6" t="s">
        <v>47</v>
      </c>
      <c r="H1462" s="8">
        <v>3785</v>
      </c>
      <c r="I1462" s="8">
        <f t="shared" si="90"/>
        <v>567.75</v>
      </c>
      <c r="J1462" s="8">
        <f t="shared" si="91"/>
        <v>3217.25</v>
      </c>
      <c r="K1462" s="8">
        <v>8489</v>
      </c>
      <c r="L1462" s="6">
        <v>5</v>
      </c>
      <c r="M1462" s="22" t="str" cm="1">
        <f t="array" ref="M1462">_xlfn.IFS(L1462&gt;10,"Veteran",L1462&gt;=6,"Experienced",L1462&gt;=2,"Developing",L1462&gt;=0,"New")</f>
        <v>Developing</v>
      </c>
    </row>
    <row r="1463" spans="1:13">
      <c r="A1463" s="21" t="str">
        <f t="shared" ca="1" si="88"/>
        <v>Sa-Sal-2023-1462</v>
      </c>
      <c r="B1463" s="6">
        <v>50</v>
      </c>
      <c r="C1463" s="6" t="str">
        <f t="shared" si="89"/>
        <v>50+</v>
      </c>
      <c r="D1463" s="6" t="s">
        <v>35</v>
      </c>
      <c r="E1463" s="6" t="s">
        <v>37</v>
      </c>
      <c r="F1463" s="6" t="s">
        <v>46</v>
      </c>
      <c r="G1463" s="6" t="s">
        <v>40</v>
      </c>
      <c r="H1463" s="8">
        <v>10854</v>
      </c>
      <c r="I1463" s="8">
        <f t="shared" si="90"/>
        <v>2387.88</v>
      </c>
      <c r="J1463" s="8">
        <f t="shared" si="91"/>
        <v>8466.119999999999</v>
      </c>
      <c r="K1463" s="8">
        <v>16586</v>
      </c>
      <c r="L1463" s="6">
        <v>3</v>
      </c>
      <c r="M1463" s="22" t="str" cm="1">
        <f t="array" ref="M1463">_xlfn.IFS(L1463&gt;10,"Veteran",L1463&gt;=6,"Experienced",L1463&gt;=2,"Developing",L1463&gt;=0,"New")</f>
        <v>Developing</v>
      </c>
    </row>
    <row r="1464" spans="1:13">
      <c r="A1464" s="21" t="str">
        <f t="shared" ca="1" si="88"/>
        <v>Sa-Sal-2006-1463</v>
      </c>
      <c r="B1464" s="6">
        <v>39</v>
      </c>
      <c r="C1464" s="6" t="str">
        <f t="shared" si="89"/>
        <v>30-39</v>
      </c>
      <c r="D1464" s="6" t="s">
        <v>43</v>
      </c>
      <c r="E1464" s="6" t="s">
        <v>37</v>
      </c>
      <c r="F1464" s="6" t="s">
        <v>39</v>
      </c>
      <c r="G1464" s="6" t="s">
        <v>40</v>
      </c>
      <c r="H1464" s="8">
        <v>12031</v>
      </c>
      <c r="I1464" s="8">
        <f t="shared" si="90"/>
        <v>2646.82</v>
      </c>
      <c r="J1464" s="8">
        <f t="shared" si="91"/>
        <v>9384.18</v>
      </c>
      <c r="K1464" s="8">
        <v>8828</v>
      </c>
      <c r="L1464" s="6">
        <v>20</v>
      </c>
      <c r="M1464" s="22" t="str" cm="1">
        <f t="array" ref="M1464">_xlfn.IFS(L1464&gt;10,"Veteran",L1464&gt;=6,"Experienced",L1464&gt;=2,"Developing",L1464&gt;=0,"New")</f>
        <v>Veteran</v>
      </c>
    </row>
    <row r="1465" spans="1:13">
      <c r="A1465" s="21" t="str">
        <f t="shared" ca="1" si="88"/>
        <v>Ma-Res-2017-1464</v>
      </c>
      <c r="B1465" s="6">
        <v>31</v>
      </c>
      <c r="C1465" s="6" t="str">
        <f t="shared" si="89"/>
        <v>30-39</v>
      </c>
      <c r="D1465" s="6" t="s">
        <v>43</v>
      </c>
      <c r="E1465" s="6" t="s">
        <v>45</v>
      </c>
      <c r="F1465" s="6" t="s">
        <v>46</v>
      </c>
      <c r="G1465" s="6" t="s">
        <v>53</v>
      </c>
      <c r="H1465" s="8">
        <v>9936</v>
      </c>
      <c r="I1465" s="8">
        <f t="shared" si="90"/>
        <v>2185.92</v>
      </c>
      <c r="J1465" s="8">
        <f t="shared" si="91"/>
        <v>7750.08</v>
      </c>
      <c r="K1465" s="8">
        <v>3787</v>
      </c>
      <c r="L1465" s="6">
        <v>9</v>
      </c>
      <c r="M1465" s="22" t="str" cm="1">
        <f t="array" ref="M1465">_xlfn.IFS(L1465&gt;10,"Veteran",L1465&gt;=6,"Experienced",L1465&gt;=2,"Developing",L1465&gt;=0,"New")</f>
        <v>Experienced</v>
      </c>
    </row>
    <row r="1466" spans="1:13">
      <c r="A1466" s="21" t="str">
        <f t="shared" ca="1" si="88"/>
        <v>Sa-Sal-2022-1465</v>
      </c>
      <c r="B1466" s="6">
        <v>26</v>
      </c>
      <c r="C1466" s="6" t="str">
        <f t="shared" si="89"/>
        <v>20-29</v>
      </c>
      <c r="D1466" s="6" t="s">
        <v>43</v>
      </c>
      <c r="E1466" s="6" t="s">
        <v>37</v>
      </c>
      <c r="F1466" s="6" t="s">
        <v>39</v>
      </c>
      <c r="G1466" s="6" t="s">
        <v>57</v>
      </c>
      <c r="H1466" s="8">
        <v>2966</v>
      </c>
      <c r="I1466" s="8">
        <f t="shared" si="90"/>
        <v>207.62000000000003</v>
      </c>
      <c r="J1466" s="8">
        <f t="shared" si="91"/>
        <v>2758.38</v>
      </c>
      <c r="K1466" s="8">
        <v>21378</v>
      </c>
      <c r="L1466" s="6">
        <v>4</v>
      </c>
      <c r="M1466" s="22" t="str" cm="1">
        <f t="array" ref="M1466">_xlfn.IFS(L1466&gt;10,"Veteran",L1466&gt;=6,"Experienced",L1466&gt;=2,"Developing",L1466&gt;=0,"New")</f>
        <v>Developing</v>
      </c>
    </row>
    <row r="1467" spans="1:13">
      <c r="A1467" s="21" t="str">
        <f t="shared" ca="1" si="88"/>
        <v>La-Res-2021-1466</v>
      </c>
      <c r="B1467" s="6">
        <v>36</v>
      </c>
      <c r="C1467" s="6" t="str">
        <f t="shared" si="89"/>
        <v>30-39</v>
      </c>
      <c r="D1467" s="6" t="s">
        <v>43</v>
      </c>
      <c r="E1467" s="6" t="s">
        <v>45</v>
      </c>
      <c r="F1467" s="6" t="s">
        <v>46</v>
      </c>
      <c r="G1467" s="6" t="s">
        <v>50</v>
      </c>
      <c r="H1467" s="8">
        <v>2571</v>
      </c>
      <c r="I1467" s="8">
        <f t="shared" si="90"/>
        <v>179.97000000000003</v>
      </c>
      <c r="J1467" s="8">
        <f t="shared" si="91"/>
        <v>2391.0299999999997</v>
      </c>
      <c r="K1467" s="8">
        <v>12290</v>
      </c>
      <c r="L1467" s="6">
        <v>5</v>
      </c>
      <c r="M1467" s="22" t="str" cm="1">
        <f t="array" ref="M1467">_xlfn.IFS(L1467&gt;10,"Veteran",L1467&gt;=6,"Experienced",L1467&gt;=2,"Developing",L1467&gt;=0,"New")</f>
        <v>Developing</v>
      </c>
    </row>
    <row r="1468" spans="1:13">
      <c r="A1468" s="21" t="str">
        <f t="shared" ca="1" si="88"/>
        <v>He-Res-2019-1467</v>
      </c>
      <c r="B1468" s="6">
        <v>39</v>
      </c>
      <c r="C1468" s="6" t="str">
        <f t="shared" si="89"/>
        <v>30-39</v>
      </c>
      <c r="D1468" s="6" t="s">
        <v>43</v>
      </c>
      <c r="E1468" s="6" t="s">
        <v>45</v>
      </c>
      <c r="F1468" s="6" t="s">
        <v>46</v>
      </c>
      <c r="G1468" s="6" t="s">
        <v>54</v>
      </c>
      <c r="H1468" s="8">
        <v>9991</v>
      </c>
      <c r="I1468" s="8">
        <f t="shared" si="90"/>
        <v>2198.02</v>
      </c>
      <c r="J1468" s="8">
        <f t="shared" si="91"/>
        <v>7792.98</v>
      </c>
      <c r="K1468" s="8">
        <v>21457</v>
      </c>
      <c r="L1468" s="6">
        <v>7</v>
      </c>
      <c r="M1468" s="22" t="str" cm="1">
        <f t="array" ref="M1468">_xlfn.IFS(L1468&gt;10,"Veteran",L1468&gt;=6,"Experienced",L1468&gt;=2,"Developing",L1468&gt;=0,"New")</f>
        <v>Experienced</v>
      </c>
    </row>
    <row r="1469" spans="1:13">
      <c r="A1469" s="21" t="str">
        <f t="shared" ca="1" si="88"/>
        <v>Ma-Res-2020-1468</v>
      </c>
      <c r="B1469" s="6">
        <v>27</v>
      </c>
      <c r="C1469" s="6" t="str">
        <f t="shared" si="89"/>
        <v>20-29</v>
      </c>
      <c r="D1469" s="6" t="s">
        <v>43</v>
      </c>
      <c r="E1469" s="6" t="s">
        <v>45</v>
      </c>
      <c r="F1469" s="6" t="s">
        <v>46</v>
      </c>
      <c r="G1469" s="6" t="s">
        <v>53</v>
      </c>
      <c r="H1469" s="8">
        <v>6142</v>
      </c>
      <c r="I1469" s="8">
        <f t="shared" si="90"/>
        <v>921.3</v>
      </c>
      <c r="J1469" s="8">
        <f t="shared" si="91"/>
        <v>5220.7</v>
      </c>
      <c r="K1469" s="8">
        <v>5174</v>
      </c>
      <c r="L1469" s="6">
        <v>6</v>
      </c>
      <c r="M1469" s="22" t="str" cm="1">
        <f t="array" ref="M1469">_xlfn.IFS(L1469&gt;10,"Veteran",L1469&gt;=6,"Experienced",L1469&gt;=2,"Developing",L1469&gt;=0,"New")</f>
        <v>Experienced</v>
      </c>
    </row>
    <row r="1470" spans="1:13">
      <c r="A1470" s="21" t="str">
        <f t="shared" ca="1" si="88"/>
        <v>Sa-Sal-2017-1469</v>
      </c>
      <c r="B1470" s="6">
        <v>49</v>
      </c>
      <c r="C1470" s="6" t="str">
        <f t="shared" si="89"/>
        <v>40-49</v>
      </c>
      <c r="D1470" s="6" t="s">
        <v>43</v>
      </c>
      <c r="E1470" s="6" t="s">
        <v>37</v>
      </c>
      <c r="F1470" s="6" t="s">
        <v>46</v>
      </c>
      <c r="G1470" s="6" t="s">
        <v>40</v>
      </c>
      <c r="H1470" s="8">
        <v>5390</v>
      </c>
      <c r="I1470" s="8">
        <f t="shared" si="90"/>
        <v>808.5</v>
      </c>
      <c r="J1470" s="8">
        <f t="shared" si="91"/>
        <v>4581.5</v>
      </c>
      <c r="K1470" s="8">
        <v>13243</v>
      </c>
      <c r="L1470" s="6">
        <v>9</v>
      </c>
      <c r="M1470" s="22" t="str" cm="1">
        <f t="array" ref="M1470">_xlfn.IFS(L1470&gt;10,"Veteran",L1470&gt;=6,"Experienced",L1470&gt;=2,"Developing",L1470&gt;=0,"New")</f>
        <v>Experienced</v>
      </c>
    </row>
    <row r="1471" spans="1:13">
      <c r="A1471" s="5" t="str">
        <f t="shared" ca="1" si="88"/>
        <v>La-Res-2022-1470</v>
      </c>
      <c r="B1471" s="27">
        <v>34</v>
      </c>
      <c r="C1471" s="27" t="str">
        <f t="shared" si="89"/>
        <v>30-39</v>
      </c>
      <c r="D1471" s="27" t="s">
        <v>43</v>
      </c>
      <c r="E1471" s="27" t="s">
        <v>45</v>
      </c>
      <c r="F1471" s="27" t="s">
        <v>46</v>
      </c>
      <c r="G1471" s="27" t="s">
        <v>50</v>
      </c>
      <c r="H1471" s="28">
        <v>4404</v>
      </c>
      <c r="I1471" s="28">
        <f t="shared" si="90"/>
        <v>660.6</v>
      </c>
      <c r="J1471" s="28">
        <f t="shared" si="91"/>
        <v>3743.4</v>
      </c>
      <c r="K1471" s="28">
        <v>10228</v>
      </c>
      <c r="L1471" s="27">
        <v>4</v>
      </c>
      <c r="M1471" s="4" t="str" cm="1">
        <f t="array" ref="M1471">_xlfn.IFS(L1471&gt;10,"Veteran",L1471&gt;=6,"Experienced",L1471&gt;=2,"Developing",L1471&gt;=0,"New")</f>
        <v>Developing</v>
      </c>
    </row>
  </sheetData>
  <pageMargins left="0.7" right="0.7" top="0.75" bottom="0.75" header="0.3" footer="0.3"/>
  <pageSetup paperSize="8" scale="10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1740-ED3F-4133-9CBE-96750097D3F5}">
  <dimension ref="A1:J26"/>
  <sheetViews>
    <sheetView showGridLines="0" workbookViewId="0">
      <selection activeCell="B23" sqref="B23"/>
    </sheetView>
  </sheetViews>
  <sheetFormatPr defaultRowHeight="13.8"/>
  <cols>
    <col min="1" max="1" width="23.296875" customWidth="1"/>
    <col min="2" max="2" width="21.59765625" bestFit="1" customWidth="1"/>
    <col min="3" max="3" width="12.3984375" customWidth="1"/>
    <col min="4" max="4" width="12.5" customWidth="1"/>
    <col min="5" max="5" width="13.296875" customWidth="1"/>
    <col min="6" max="6" width="10.8984375" customWidth="1"/>
    <col min="7" max="7" width="11.69921875" customWidth="1"/>
    <col min="8" max="8" width="10.59765625" customWidth="1"/>
    <col min="9" max="9" width="14.8984375" bestFit="1" customWidth="1"/>
    <col min="10" max="10" width="10.19921875" customWidth="1"/>
  </cols>
  <sheetData>
    <row r="1" spans="1:10">
      <c r="A1" s="58" t="s">
        <v>92</v>
      </c>
      <c r="B1" s="58"/>
    </row>
    <row r="2" spans="1:10">
      <c r="A2" s="6" t="s">
        <v>84</v>
      </c>
      <c r="B2" s="14">
        <f ca="1">COUNTA('Clean Table'!A2:A1471)</f>
        <v>1470</v>
      </c>
    </row>
    <row r="3" spans="1:10">
      <c r="A3" s="6" t="s">
        <v>85</v>
      </c>
      <c r="B3" s="15">
        <f>COUNTA(_xlfn.UNIQUE('Clean Table'!E2:E1471))</f>
        <v>3</v>
      </c>
    </row>
    <row r="4" spans="1:10">
      <c r="A4" s="6" t="s">
        <v>86</v>
      </c>
      <c r="B4" s="16">
        <f>AVERAGE('Clean Table'!H2:H1471)</f>
        <v>6502.931292517007</v>
      </c>
    </row>
    <row r="5" spans="1:10">
      <c r="A5" s="6" t="s">
        <v>87</v>
      </c>
      <c r="B5" s="16">
        <f>AVERAGE('Clean Table'!J2:J1471)</f>
        <v>5148.3445918367433</v>
      </c>
    </row>
    <row r="6" spans="1:10">
      <c r="A6" s="6" t="s">
        <v>88</v>
      </c>
      <c r="B6" s="15" t="str">
        <f>A23</f>
        <v>20-29</v>
      </c>
    </row>
    <row r="7" spans="1:10">
      <c r="A7" s="6" t="s">
        <v>89</v>
      </c>
      <c r="B7" s="15" t="str">
        <f>A25</f>
        <v>40-49</v>
      </c>
    </row>
    <row r="8" spans="1:10">
      <c r="A8" s="6" t="s">
        <v>90</v>
      </c>
      <c r="B8" s="16" t="str">
        <f>A16</f>
        <v>Research &amp; Development</v>
      </c>
    </row>
    <row r="9" spans="1:10">
      <c r="A9" s="6" t="s">
        <v>91</v>
      </c>
      <c r="B9" s="16" t="str">
        <f>A15</f>
        <v>Human Resources</v>
      </c>
    </row>
    <row r="12" spans="1:10">
      <c r="A12" s="57" t="s">
        <v>82</v>
      </c>
      <c r="B12" s="57"/>
      <c r="C12" s="57"/>
      <c r="D12" s="57"/>
      <c r="E12" s="57"/>
      <c r="F12" s="57"/>
      <c r="G12" s="57"/>
      <c r="H12" s="57"/>
      <c r="I12" s="57"/>
      <c r="J12" s="57"/>
    </row>
    <row r="13" spans="1:10">
      <c r="A13" s="17"/>
      <c r="B13" s="54" t="s">
        <v>65</v>
      </c>
      <c r="C13" s="54"/>
      <c r="D13" s="54"/>
      <c r="E13" s="55"/>
      <c r="F13" s="56" t="s">
        <v>66</v>
      </c>
      <c r="G13" s="54"/>
      <c r="H13" s="54"/>
      <c r="I13" s="54"/>
      <c r="J13" s="17"/>
    </row>
    <row r="14" spans="1:10" ht="41.4">
      <c r="A14" s="18" t="s">
        <v>4</v>
      </c>
      <c r="B14" s="19" t="s">
        <v>67</v>
      </c>
      <c r="C14" s="19" t="s">
        <v>73</v>
      </c>
      <c r="D14" s="19" t="s">
        <v>64</v>
      </c>
      <c r="E14" s="29" t="s">
        <v>70</v>
      </c>
      <c r="F14" s="30" t="s">
        <v>68</v>
      </c>
      <c r="G14" s="19" t="s">
        <v>74</v>
      </c>
      <c r="H14" s="19" t="s">
        <v>69</v>
      </c>
      <c r="I14" s="19" t="s">
        <v>71</v>
      </c>
      <c r="J14" s="19" t="s">
        <v>72</v>
      </c>
    </row>
    <row r="15" spans="1:10">
      <c r="A15" s="7" t="str" cm="1">
        <f t="array" ref="A15:A17">_xlfn._xlws.SORT(_xlfn.UNIQUE('Clean Table'!E2:E1471))</f>
        <v>Human Resources</v>
      </c>
      <c r="B15" s="8">
        <f>AVERAGEIF('Clean Table'!$E$2:$E$1471,'Clean Summary Table'!A15,'Clean Table'!$H$2:$H$1471)</f>
        <v>6654.5079365079364</v>
      </c>
      <c r="C15" s="8">
        <f>_xlfn.MINIFS('Clean Table'!$H$2:$H$1471,'Clean Table'!$E$2:$E$1471,'Clean Summary Table'!A15)</f>
        <v>1555</v>
      </c>
      <c r="D15" s="8">
        <f>_xlfn.MAXIFS('Clean Table'!$H$2:$H$1471,'Clean Table'!$E$2:$E$1471,'Clean Summary Table'!A15)</f>
        <v>19717</v>
      </c>
      <c r="E15" s="32">
        <f>SUMIF('Clean Table'!E2:E1471,'Clean Summary Table'!A15,'Clean Table'!H2:H1471)</f>
        <v>419234</v>
      </c>
      <c r="F15" s="31">
        <f>AVERAGEIF('Clean Table'!$E$2:$E$1471,'Clean Summary Table'!A15,'Clean Table'!$J$2:$J$1471)</f>
        <v>5198.9909523809511</v>
      </c>
      <c r="G15" s="8">
        <f>_xlfn.MINIFS('Clean Table'!$J$2:$J$1471,'Clean Table'!$E$2:$E$1471,'Clean Summary Table'!A15)</f>
        <v>1446.15</v>
      </c>
      <c r="H15" s="8">
        <f>_xlfn.MAXIFS('Clean Table'!$J$2:$J$1471,'Clean Table'!$E$2:$E$1471,'Clean Summary Table'!A15)</f>
        <v>13801.900000000001</v>
      </c>
      <c r="I15" s="8" t="s">
        <v>103</v>
      </c>
      <c r="J15" s="9" t="e">
        <f>(E15-I15)/E15</f>
        <v>#VALUE!</v>
      </c>
    </row>
    <row r="16" spans="1:10">
      <c r="A16" s="7" t="str">
        <v>Research &amp; Development</v>
      </c>
      <c r="B16" s="8">
        <f>AVERAGEIF('Clean Table'!$E$2:$E$1471,'Clean Summary Table'!A16,'Clean Table'!$H$2:$H$1471)</f>
        <v>6281.2528616024974</v>
      </c>
      <c r="C16" s="8">
        <f>_xlfn.MINIFS('Clean Table'!$H$2:$H$1471,'Clean Table'!$E$2:$E$1471,'Clean Summary Table'!A16)</f>
        <v>1009</v>
      </c>
      <c r="D16" s="8">
        <f>_xlfn.MAXIFS('Clean Table'!$H$2:$H$1471,'Clean Table'!$E$2:$E$1471,'Clean Summary Table'!A16)</f>
        <v>19999</v>
      </c>
      <c r="E16" s="32">
        <f>SUMIF('Clean Table'!E3:E1472,'Clean Summary Table'!A16,'Clean Table'!H3:H1472)</f>
        <v>6036284</v>
      </c>
      <c r="F16" s="31">
        <f>AVERAGEIF('Clean Table'!$E$2:$E$1471,'Clean Summary Table'!A16,'Clean Table'!$J$2:$J$1471)</f>
        <v>4968.4437356919871</v>
      </c>
      <c r="G16" s="8">
        <f>_xlfn.MINIFS('Clean Table'!$J$2:$J$1471,'Clean Table'!$E$2:$E$1471,'Clean Summary Table'!A16)</f>
        <v>938.37</v>
      </c>
      <c r="H16" s="8">
        <f>_xlfn.MAXIFS('Clean Table'!$J$2:$J$1471,'Clean Table'!$E$2:$E$1471,'Clean Summary Table'!A16)</f>
        <v>13999.3</v>
      </c>
      <c r="I16" s="8">
        <f>SUMIF('Clean Table'!$E$2:$E$1471,'Clean Summary Table'!A16,'Clean Table'!$J$2:$J$1471)</f>
        <v>4774674.43</v>
      </c>
      <c r="J16" s="9">
        <f t="shared" ref="J16:J17" si="0">(E16-I16)/E16</f>
        <v>0.20900434273801569</v>
      </c>
    </row>
    <row r="17" spans="1:10">
      <c r="A17" s="7" t="str">
        <v>Sales</v>
      </c>
      <c r="B17" s="8">
        <f>AVERAGEIF('Clean Table'!$E$2:$E$1471,'Clean Summary Table'!A17,'Clean Table'!$H$2:$H$1471)</f>
        <v>6959.17264573991</v>
      </c>
      <c r="C17" s="8">
        <f>_xlfn.MINIFS('Clean Table'!$H$2:$H$1471,'Clean Table'!$E$2:$E$1471,'Clean Summary Table'!A17)</f>
        <v>1052</v>
      </c>
      <c r="D17" s="8">
        <f>_xlfn.MAXIFS('Clean Table'!$H$2:$H$1471,'Clean Table'!$E$2:$E$1471,'Clean Summary Table'!A17)</f>
        <v>19847</v>
      </c>
      <c r="E17" s="33">
        <f>SUMIF('Clean Table'!E4:E1473,'Clean Summary Table'!A17,'Clean Table'!H4:H1473)</f>
        <v>3097798</v>
      </c>
      <c r="F17" s="34">
        <f>AVERAGEIF('Clean Table'!$E$2:$E$1471,'Clean Summary Table'!A17,'Clean Table'!$J$2:$J$1471)</f>
        <v>5528.8244170403577</v>
      </c>
      <c r="G17" s="8">
        <f>_xlfn.MINIFS('Clean Table'!$J$2:$J$1471,'Clean Table'!$E$2:$E$1471,'Clean Summary Table'!A17)</f>
        <v>978.36</v>
      </c>
      <c r="H17" s="8">
        <f>_xlfn.MAXIFS('Clean Table'!$J$2:$J$1471,'Clean Table'!$E$2:$E$1471,'Clean Summary Table'!A17)</f>
        <v>13892.900000000001</v>
      </c>
      <c r="I17" s="8">
        <f>SUMIF('Clean Table'!$E$2:$E$1471,'Clean Summary Table'!A17,'Clean Table'!$J$2:$J$1471)</f>
        <v>2465855.6899999995</v>
      </c>
      <c r="J17" s="9">
        <f t="shared" si="0"/>
        <v>0.20399726192605216</v>
      </c>
    </row>
    <row r="21" spans="1:10">
      <c r="A21" s="20" t="s">
        <v>77</v>
      </c>
      <c r="B21" s="10"/>
      <c r="C21" s="10"/>
      <c r="D21" s="10"/>
    </row>
    <row r="22" spans="1:10">
      <c r="A22" s="18" t="s">
        <v>78</v>
      </c>
      <c r="B22" s="19" t="s">
        <v>79</v>
      </c>
      <c r="C22" s="19" t="s">
        <v>80</v>
      </c>
      <c r="D22" s="19" t="s">
        <v>81</v>
      </c>
    </row>
    <row r="23" spans="1:10">
      <c r="A23" s="13" t="str" cm="1">
        <f t="array" ref="A23:A26">_xlfn._xlws.SORT(_xlfn.UNIQUE('Clean Table'!C2:C1471))</f>
        <v>20-29</v>
      </c>
      <c r="B23" s="6">
        <f>COUNTIF('Clean Table'!$C$2:$C$1471,'Clean Summary Table'!A23)</f>
        <v>326</v>
      </c>
      <c r="C23" s="6">
        <f>COUNTIFS('Clean Table'!$C$2:$C$1471,'Clean Summary Table'!A23,'Clean Table'!$D$2:$D$1471,"Yes")</f>
        <v>91</v>
      </c>
      <c r="D23" s="9">
        <f>C23/B23</f>
        <v>0.27914110429447853</v>
      </c>
    </row>
    <row r="24" spans="1:10">
      <c r="A24" s="13" t="str">
        <v>30-39</v>
      </c>
      <c r="B24" s="6">
        <f>COUNTIF('Clean Table'!$C$2:$C$1471,'Clean Summary Table'!A24)</f>
        <v>622</v>
      </c>
      <c r="C24" s="6">
        <f>COUNTIFS('Clean Table'!$C$2:$C$1471,'Clean Summary Table'!A24,'Clean Table'!$D$2:$D$1471,"Yes")</f>
        <v>89</v>
      </c>
      <c r="D24" s="9">
        <f t="shared" ref="D24:D26" si="1">C24/B24</f>
        <v>0.14308681672025725</v>
      </c>
    </row>
    <row r="25" spans="1:10">
      <c r="A25" s="13" t="str">
        <v>40-49</v>
      </c>
      <c r="B25" s="6">
        <f>COUNTIF('Clean Table'!$C$2:$C$1471,'Clean Summary Table'!A25)</f>
        <v>349</v>
      </c>
      <c r="C25" s="6">
        <f>COUNTIFS('Clean Table'!$C$2:$C$1471,'Clean Summary Table'!A25,'Clean Table'!$D$2:$D$1471,"Yes")</f>
        <v>34</v>
      </c>
      <c r="D25" s="9">
        <f t="shared" si="1"/>
        <v>9.7421203438395415E-2</v>
      </c>
    </row>
    <row r="26" spans="1:10">
      <c r="A26" s="13" t="str">
        <v>50+</v>
      </c>
      <c r="B26" s="6">
        <f>COUNTIF('Clean Table'!$C$2:$C$1471,'Clean Summary Table'!A26)</f>
        <v>173</v>
      </c>
      <c r="C26" s="6">
        <f>COUNTIFS('Clean Table'!$C$2:$C$1471,'Clean Summary Table'!A26,'Clean Table'!$D$2:$D$1471,"Yes")</f>
        <v>23</v>
      </c>
      <c r="D26" s="9">
        <f t="shared" si="1"/>
        <v>0.13294797687861271</v>
      </c>
    </row>
  </sheetData>
  <mergeCells count="4">
    <mergeCell ref="B13:E13"/>
    <mergeCell ref="F13:I13"/>
    <mergeCell ref="A12:J12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4E66-CBAC-42CC-83FE-0DDF5D78DA68}">
  <dimension ref="B10:J22"/>
  <sheetViews>
    <sheetView showGridLines="0" tabSelected="1" workbookViewId="0">
      <selection activeCell="F12" sqref="F12"/>
    </sheetView>
  </sheetViews>
  <sheetFormatPr defaultRowHeight="13.8"/>
  <cols>
    <col min="1" max="1" width="6.296875" customWidth="1"/>
    <col min="2" max="5" width="20.3984375" customWidth="1"/>
    <col min="7" max="7" width="20.8984375" customWidth="1"/>
    <col min="8" max="10" width="20.5" customWidth="1"/>
  </cols>
  <sheetData>
    <row r="10" spans="2:10" ht="21" customHeight="1">
      <c r="B10" s="41" t="s">
        <v>77</v>
      </c>
      <c r="G10" s="41" t="s">
        <v>100</v>
      </c>
    </row>
    <row r="11" spans="2:10" ht="21" customHeight="1">
      <c r="B11" s="11" t="str">
        <f>'Clean Summary Table'!A22</f>
        <v>Age Band</v>
      </c>
      <c r="C11" s="11" t="s">
        <v>93</v>
      </c>
      <c r="D11" s="11" t="s">
        <v>94</v>
      </c>
      <c r="E11" s="11" t="s">
        <v>95</v>
      </c>
      <c r="F11" s="40"/>
      <c r="G11" s="46" t="str">
        <f>'Clean Summary Table'!A14</f>
        <v>Department</v>
      </c>
      <c r="H11" s="47" t="str">
        <f>'Clean Summary Table'!B14</f>
        <v>Average Salary</v>
      </c>
      <c r="I11" s="46" t="str">
        <f>'Clean Summary Table'!F14</f>
        <v>Average Take Home</v>
      </c>
      <c r="J11" s="48" t="str">
        <f>'Clean Summary Table'!J14</f>
        <v>Tax Burden %</v>
      </c>
    </row>
    <row r="12" spans="2:10" ht="21" customHeight="1">
      <c r="B12" s="12" t="str">
        <f>'Clean Summary Table'!A23</f>
        <v>20-29</v>
      </c>
      <c r="C12" s="12">
        <f>'Clean Summary Table'!B23</f>
        <v>326</v>
      </c>
      <c r="D12" s="12">
        <f>'Clean Summary Table'!C23</f>
        <v>91</v>
      </c>
      <c r="E12" s="35">
        <v>0.27914110429447853</v>
      </c>
      <c r="G12" s="49" t="str">
        <f>'Clean Summary Table'!A15</f>
        <v>Human Resources</v>
      </c>
      <c r="H12" s="50">
        <f>'Clean Summary Table'!B15</f>
        <v>6654.5079365079364</v>
      </c>
      <c r="I12" s="50">
        <f>'Clean Summary Table'!F15</f>
        <v>5198.9909523809511</v>
      </c>
      <c r="J12" s="51" t="e">
        <f>'Clean Summary Table'!J15</f>
        <v>#VALUE!</v>
      </c>
    </row>
    <row r="13" spans="2:10" ht="21" customHeight="1">
      <c r="B13" s="12" t="str">
        <f>'Clean Summary Table'!A24</f>
        <v>30-39</v>
      </c>
      <c r="C13" s="12">
        <f>'Clean Summary Table'!B24</f>
        <v>622</v>
      </c>
      <c r="D13" s="12">
        <f>'Clean Summary Table'!C24</f>
        <v>89</v>
      </c>
      <c r="E13" s="2">
        <v>0.14308681672025725</v>
      </c>
      <c r="G13" s="52" t="str">
        <f>'Clean Summary Table'!A16</f>
        <v>Research &amp; Development</v>
      </c>
      <c r="H13" s="50">
        <f>'Clean Summary Table'!B16</f>
        <v>6281.2528616024974</v>
      </c>
      <c r="I13" s="50">
        <f>'Clean Summary Table'!F16</f>
        <v>4968.4437356919871</v>
      </c>
      <c r="J13" s="51">
        <f>'Clean Summary Table'!J16</f>
        <v>0.20900434273801569</v>
      </c>
    </row>
    <row r="14" spans="2:10" ht="21" customHeight="1">
      <c r="B14" s="12" t="str">
        <f>'Clean Summary Table'!A25</f>
        <v>40-49</v>
      </c>
      <c r="C14" s="12">
        <f>'Clean Summary Table'!B25</f>
        <v>349</v>
      </c>
      <c r="D14" s="12">
        <f>'Clean Summary Table'!C25</f>
        <v>34</v>
      </c>
      <c r="E14" s="35">
        <v>9.7421203438395415E-2</v>
      </c>
      <c r="G14" s="52" t="str">
        <f>'Clean Summary Table'!A17</f>
        <v>Sales</v>
      </c>
      <c r="H14" s="50">
        <f>'Clean Summary Table'!B17</f>
        <v>6959.17264573991</v>
      </c>
      <c r="I14" s="50">
        <f>'Clean Summary Table'!F17</f>
        <v>5528.8244170403577</v>
      </c>
      <c r="J14" s="51">
        <f>'Clean Summary Table'!J17</f>
        <v>0.20399726192605216</v>
      </c>
    </row>
    <row r="15" spans="2:10" ht="21" customHeight="1">
      <c r="B15" s="12" t="str">
        <f>'Clean Summary Table'!A26</f>
        <v>50+</v>
      </c>
      <c r="C15" s="12">
        <f>'Clean Summary Table'!B26</f>
        <v>173</v>
      </c>
      <c r="D15" s="12">
        <f>'Clean Summary Table'!C26</f>
        <v>23</v>
      </c>
      <c r="E15" s="2">
        <v>0.13294797687861271</v>
      </c>
    </row>
    <row r="16" spans="2:10" ht="19.8" customHeight="1">
      <c r="G16" s="41" t="s">
        <v>101</v>
      </c>
    </row>
    <row r="17" spans="2:10" ht="18.600000000000001" customHeight="1">
      <c r="G17" s="44" t="str">
        <f>'Clean Summary Table'!A14</f>
        <v>Department</v>
      </c>
      <c r="H17" s="44" t="str">
        <f>'Clean Summary Table'!E14</f>
        <v>Total Salary</v>
      </c>
      <c r="I17" s="44" t="str">
        <f>'Clean Summary Table'!I14</f>
        <v>Total Take Home</v>
      </c>
      <c r="J17" s="44" t="s">
        <v>102</v>
      </c>
    </row>
    <row r="18" spans="2:10" ht="25.2" customHeight="1">
      <c r="B18" s="36" t="s">
        <v>96</v>
      </c>
      <c r="G18" s="52" t="str">
        <f>'Clean Summary Table'!A15</f>
        <v>Human Resources</v>
      </c>
      <c r="H18" s="45">
        <f>'Clean Summary Table'!E15</f>
        <v>419234</v>
      </c>
      <c r="I18" s="45" t="str">
        <f>'Clean Summary Table'!I15</f>
        <v>`</v>
      </c>
      <c r="J18" s="45" t="e">
        <f>H18-I18</f>
        <v>#VALUE!</v>
      </c>
    </row>
    <row r="19" spans="2:10" ht="22.2" customHeight="1">
      <c r="B19" s="37" t="str">
        <f>'Clean Summary Table'!A14</f>
        <v>Department</v>
      </c>
      <c r="C19" s="37" t="s">
        <v>97</v>
      </c>
      <c r="D19" s="37" t="s">
        <v>98</v>
      </c>
      <c r="E19" s="37" t="s">
        <v>99</v>
      </c>
      <c r="G19" s="52" t="str">
        <f>'Clean Summary Table'!A16</f>
        <v>Research &amp; Development</v>
      </c>
      <c r="H19" s="45">
        <f>'Clean Summary Table'!E16</f>
        <v>6036284</v>
      </c>
      <c r="I19" s="45">
        <f>'Clean Summary Table'!I16</f>
        <v>4774674.43</v>
      </c>
      <c r="J19" s="45">
        <f t="shared" ref="J19:J20" si="0">H19-I19</f>
        <v>1261609.5700000003</v>
      </c>
    </row>
    <row r="20" spans="2:10" ht="28.8" customHeight="1">
      <c r="B20" s="38" t="str">
        <f>'Clean Summary Table'!A15</f>
        <v>Human Resources</v>
      </c>
      <c r="C20" s="42">
        <f>'Clean Summary Table'!C15</f>
        <v>1555</v>
      </c>
      <c r="D20" s="42">
        <f>'Clean Summary Table'!D15</f>
        <v>19717</v>
      </c>
      <c r="E20" s="42">
        <f>D20-C20</f>
        <v>18162</v>
      </c>
      <c r="G20" s="52" t="str">
        <f>'Clean Summary Table'!A17</f>
        <v>Sales</v>
      </c>
      <c r="H20" s="45">
        <f>'Clean Summary Table'!E17</f>
        <v>3097798</v>
      </c>
      <c r="I20" s="45">
        <f>'Clean Summary Table'!I17</f>
        <v>2465855.6899999995</v>
      </c>
      <c r="J20" s="45">
        <f t="shared" si="0"/>
        <v>631942.31000000052</v>
      </c>
    </row>
    <row r="21" spans="2:10" ht="30" customHeight="1">
      <c r="B21" s="38" t="str">
        <f>'Clean Summary Table'!A16</f>
        <v>Research &amp; Development</v>
      </c>
      <c r="C21" s="42">
        <f>'Clean Summary Table'!C16</f>
        <v>1009</v>
      </c>
      <c r="D21" s="42">
        <f>'Clean Summary Table'!D16</f>
        <v>19999</v>
      </c>
      <c r="E21" s="42">
        <f t="shared" ref="E21:E22" si="1">D21-C21</f>
        <v>18990</v>
      </c>
      <c r="J21" s="53"/>
    </row>
    <row r="22" spans="2:10" ht="30" customHeight="1">
      <c r="B22" s="39" t="str">
        <f>'Clean Summary Table'!A17</f>
        <v>Sales</v>
      </c>
      <c r="C22" s="43">
        <f>'Clean Summary Table'!C17</f>
        <v>1052</v>
      </c>
      <c r="D22" s="43">
        <f>'Clean Summary Table'!D17</f>
        <v>19847</v>
      </c>
      <c r="E22" s="43">
        <f t="shared" si="1"/>
        <v>18795</v>
      </c>
    </row>
  </sheetData>
  <conditionalFormatting sqref="B11:E15">
    <cfRule type="expression" dxfId="0" priority="2">
      <formula>MOD(ROW(),2)=0</formula>
    </cfRule>
  </conditionalFormatting>
  <conditionalFormatting sqref="E12:E15">
    <cfRule type="colorScale" priority="1">
      <colorScale>
        <cfvo type="min"/>
        <cfvo type="num" val="0.12"/>
        <cfvo type="max"/>
        <color theme="9"/>
        <color rgb="FFFFEB84"/>
        <color rgb="FFFF0000"/>
      </colorScale>
    </cfRule>
  </conditionalFormatting>
  <conditionalFormatting sqref="F12:F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HR-Employee-Attrition</vt:lpstr>
      <vt:lpstr>Clean Table</vt:lpstr>
      <vt:lpstr>Clean Summary Table</vt:lpstr>
      <vt:lpstr>Overview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ONYEMAZUWA OSONYE</dc:creator>
  <cp:lastModifiedBy>ONYEMAZUWA OSONYE</cp:lastModifiedBy>
  <cp:lastPrinted>2026-03-28T10:15:51Z</cp:lastPrinted>
  <dcterms:created xsi:type="dcterms:W3CDTF">2026-03-27T15:40:07Z</dcterms:created>
  <dcterms:modified xsi:type="dcterms:W3CDTF">2026-03-28T18:53:24Z</dcterms:modified>
</cp:coreProperties>
</file>