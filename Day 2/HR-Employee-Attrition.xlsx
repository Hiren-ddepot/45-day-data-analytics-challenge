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er\Desktop\45Days challenge\Day2\"/>
    </mc:Choice>
  </mc:AlternateContent>
  <xr:revisionPtr revIDLastSave="0" documentId="13_ncr:1_{F61C0E9C-8F89-46F7-B727-F7E9DE6497B6}" xr6:coauthVersionLast="47" xr6:coauthVersionMax="47" xr10:uidLastSave="{00000000-0000-0000-0000-000000000000}"/>
  <bookViews>
    <workbookView xWindow="-108" yWindow="-108" windowWidth="23256" windowHeight="12816" activeTab="3" xr2:uid="{CBF80244-E414-4914-B4A1-6BA5921B4029}"/>
  </bookViews>
  <sheets>
    <sheet name="HR-Employee-Attrition" sheetId="1" r:id="rId1"/>
    <sheet name="Clean Table" sheetId="2" r:id="rId2"/>
    <sheet name="Clean Summary Table" sheetId="3" state="hidden" r:id="rId3"/>
    <sheet name="Overview" sheetId="5" r:id="rId4"/>
  </sheets>
  <definedNames>
    <definedName name="Raw_Data">'HR-Employee-Attrition'!$A$1:$AI$1471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5" l="1"/>
  <c r="L20" i="5"/>
  <c r="L19" i="5"/>
  <c r="L18" i="5"/>
  <c r="K21" i="5"/>
  <c r="K20" i="5"/>
  <c r="K19" i="5"/>
  <c r="K18" i="5"/>
  <c r="J21" i="5"/>
  <c r="J20" i="5"/>
  <c r="J19" i="5"/>
  <c r="J18" i="5"/>
  <c r="H21" i="5"/>
  <c r="H20" i="5"/>
  <c r="H19" i="5"/>
  <c r="H18" i="5"/>
  <c r="E21" i="5"/>
  <c r="E20" i="5"/>
  <c r="E19" i="5"/>
  <c r="E18" i="5"/>
  <c r="C21" i="5"/>
  <c r="C20" i="5"/>
  <c r="C19" i="5"/>
  <c r="C18" i="5"/>
  <c r="A21" i="5"/>
  <c r="A20" i="5"/>
  <c r="A19" i="5"/>
  <c r="A18" i="5"/>
  <c r="H23" i="3"/>
  <c r="H24" i="3"/>
  <c r="H25" i="3"/>
  <c r="H22" i="3"/>
  <c r="G23" i="3"/>
  <c r="G24" i="3"/>
  <c r="G25" i="3"/>
  <c r="G22" i="3"/>
  <c r="N13" i="5"/>
  <c r="N12" i="5"/>
  <c r="N11" i="5"/>
  <c r="L13" i="5"/>
  <c r="L12" i="5"/>
  <c r="L11" i="5"/>
  <c r="H13" i="5"/>
  <c r="J13" i="5"/>
  <c r="E13" i="5"/>
  <c r="C13" i="5"/>
  <c r="J12" i="5"/>
  <c r="H12" i="5"/>
  <c r="E12" i="5"/>
  <c r="C12" i="5"/>
  <c r="J11" i="5"/>
  <c r="H11" i="5"/>
  <c r="E11" i="5"/>
  <c r="C11" i="5"/>
  <c r="A13" i="5"/>
  <c r="A12" i="5"/>
  <c r="A11" i="5"/>
  <c r="K6" i="3"/>
  <c r="B28" i="3"/>
  <c r="I15" i="3"/>
  <c r="A3" i="5"/>
  <c r="L3" i="3"/>
  <c r="L4" i="3"/>
  <c r="L5" i="3"/>
  <c r="L2" i="3"/>
  <c r="K3" i="3"/>
  <c r="K4" i="3"/>
  <c r="K5" i="3"/>
  <c r="K2" i="3"/>
  <c r="J3" i="3"/>
  <c r="J4" i="3"/>
  <c r="J5" i="3"/>
  <c r="J2" i="3"/>
  <c r="U3" i="2" a="1"/>
  <c r="U3" i="2" s="1"/>
  <c r="U4" i="2" a="1"/>
  <c r="U4" i="2" s="1"/>
  <c r="U5" i="2" a="1"/>
  <c r="U5" i="2" s="1"/>
  <c r="U6" i="2" a="1"/>
  <c r="U6" i="2" s="1"/>
  <c r="U7" i="2" a="1"/>
  <c r="U7" i="2" s="1"/>
  <c r="U8" i="2" a="1"/>
  <c r="U8" i="2" s="1"/>
  <c r="U9" i="2" a="1"/>
  <c r="U9" i="2" s="1"/>
  <c r="U10" i="2" a="1"/>
  <c r="U10" i="2" s="1"/>
  <c r="U11" i="2" a="1"/>
  <c r="U11" i="2" s="1"/>
  <c r="U12" i="2" a="1"/>
  <c r="U12" i="2" s="1"/>
  <c r="U13" i="2" a="1"/>
  <c r="U13" i="2" s="1"/>
  <c r="U14" i="2" a="1"/>
  <c r="U14" i="2" s="1"/>
  <c r="U15" i="2" a="1"/>
  <c r="U15" i="2" s="1"/>
  <c r="U16" i="2" a="1"/>
  <c r="U16" i="2" s="1"/>
  <c r="U17" i="2" a="1"/>
  <c r="U17" i="2" s="1"/>
  <c r="U18" i="2" a="1"/>
  <c r="U18" i="2" s="1"/>
  <c r="U19" i="2" a="1"/>
  <c r="U19" i="2" s="1"/>
  <c r="U20" i="2" a="1"/>
  <c r="U20" i="2" s="1"/>
  <c r="U21" i="2" a="1"/>
  <c r="U21" i="2" s="1"/>
  <c r="U22" i="2" a="1"/>
  <c r="U22" i="2" s="1"/>
  <c r="U23" i="2" a="1"/>
  <c r="U23" i="2" s="1"/>
  <c r="U24" i="2" a="1"/>
  <c r="U24" i="2" s="1"/>
  <c r="U25" i="2" a="1"/>
  <c r="U25" i="2" s="1"/>
  <c r="U26" i="2" a="1"/>
  <c r="U26" i="2"/>
  <c r="U27" i="2" a="1"/>
  <c r="U27" i="2" s="1"/>
  <c r="U28" i="2" a="1"/>
  <c r="U28" i="2" s="1"/>
  <c r="U29" i="2" a="1"/>
  <c r="U29" i="2" s="1"/>
  <c r="U30" i="2" a="1"/>
  <c r="U30" i="2" s="1"/>
  <c r="U31" i="2" a="1"/>
  <c r="U31" i="2" s="1"/>
  <c r="U32" i="2" a="1"/>
  <c r="U32" i="2" s="1"/>
  <c r="U33" i="2" a="1"/>
  <c r="U33" i="2" s="1"/>
  <c r="U34" i="2" a="1"/>
  <c r="U34" i="2"/>
  <c r="U35" i="2" a="1"/>
  <c r="U35" i="2" s="1"/>
  <c r="U36" i="2" a="1"/>
  <c r="U36" i="2" s="1"/>
  <c r="U37" i="2" a="1"/>
  <c r="U37" i="2" s="1"/>
  <c r="U38" i="2" a="1"/>
  <c r="U38" i="2" s="1"/>
  <c r="U39" i="2" a="1"/>
  <c r="U39" i="2" s="1"/>
  <c r="U40" i="2" a="1"/>
  <c r="U40" i="2" s="1"/>
  <c r="U41" i="2" a="1"/>
  <c r="U41" i="2" s="1"/>
  <c r="U42" i="2" a="1"/>
  <c r="U42" i="2" s="1"/>
  <c r="U43" i="2" a="1"/>
  <c r="U43" i="2" s="1"/>
  <c r="U44" i="2" a="1"/>
  <c r="U44" i="2" s="1"/>
  <c r="U45" i="2" a="1"/>
  <c r="U45" i="2" s="1"/>
  <c r="U46" i="2" a="1"/>
  <c r="U46" i="2" s="1"/>
  <c r="U47" i="2" a="1"/>
  <c r="U47" i="2" s="1"/>
  <c r="U48" i="2" a="1"/>
  <c r="U48" i="2" s="1"/>
  <c r="U49" i="2" a="1"/>
  <c r="U49" i="2" s="1"/>
  <c r="U50" i="2" a="1"/>
  <c r="U50" i="2" s="1"/>
  <c r="U51" i="2" a="1"/>
  <c r="U51" i="2" s="1"/>
  <c r="U52" i="2" a="1"/>
  <c r="U52" i="2" s="1"/>
  <c r="U53" i="2" a="1"/>
  <c r="U53" i="2" s="1"/>
  <c r="U54" i="2" a="1"/>
  <c r="U54" i="2" s="1"/>
  <c r="U55" i="2" a="1"/>
  <c r="U55" i="2" s="1"/>
  <c r="U56" i="2" a="1"/>
  <c r="U56" i="2" s="1"/>
  <c r="U57" i="2" a="1"/>
  <c r="U57" i="2" s="1"/>
  <c r="U58" i="2" a="1"/>
  <c r="U58" i="2" s="1"/>
  <c r="U59" i="2" a="1"/>
  <c r="U59" i="2" s="1"/>
  <c r="U60" i="2" a="1"/>
  <c r="U60" i="2" s="1"/>
  <c r="U61" i="2" a="1"/>
  <c r="U61" i="2" s="1"/>
  <c r="U62" i="2" a="1"/>
  <c r="U62" i="2"/>
  <c r="U63" i="2" a="1"/>
  <c r="U63" i="2" s="1"/>
  <c r="U64" i="2" a="1"/>
  <c r="U64" i="2" s="1"/>
  <c r="U65" i="2" a="1"/>
  <c r="U65" i="2" s="1"/>
  <c r="U66" i="2" a="1"/>
  <c r="U66" i="2" s="1"/>
  <c r="U67" i="2" a="1"/>
  <c r="U67" i="2" s="1"/>
  <c r="U68" i="2" a="1"/>
  <c r="U68" i="2" s="1"/>
  <c r="U69" i="2" a="1"/>
  <c r="U69" i="2" s="1"/>
  <c r="U70" i="2" a="1"/>
  <c r="U70" i="2" s="1"/>
  <c r="U71" i="2" a="1"/>
  <c r="U71" i="2" s="1"/>
  <c r="U72" i="2" a="1"/>
  <c r="U72" i="2" s="1"/>
  <c r="U73" i="2" a="1"/>
  <c r="U73" i="2" s="1"/>
  <c r="U74" i="2" a="1"/>
  <c r="U74" i="2" s="1"/>
  <c r="U75" i="2" a="1"/>
  <c r="U75" i="2" s="1"/>
  <c r="U76" i="2" a="1"/>
  <c r="U76" i="2" s="1"/>
  <c r="U77" i="2" a="1"/>
  <c r="U77" i="2" s="1"/>
  <c r="U78" i="2" a="1"/>
  <c r="U78" i="2" s="1"/>
  <c r="U79" i="2" a="1"/>
  <c r="U79" i="2" s="1"/>
  <c r="U80" i="2" a="1"/>
  <c r="U80" i="2" s="1"/>
  <c r="U81" i="2" a="1"/>
  <c r="U81" i="2" s="1"/>
  <c r="U82" i="2" a="1"/>
  <c r="U82" i="2" s="1"/>
  <c r="U83" i="2" a="1"/>
  <c r="U83" i="2" s="1"/>
  <c r="U84" i="2" a="1"/>
  <c r="U84" i="2" s="1"/>
  <c r="U85" i="2" a="1"/>
  <c r="U85" i="2" s="1"/>
  <c r="U86" i="2" a="1"/>
  <c r="U86" i="2" s="1"/>
  <c r="U87" i="2" a="1"/>
  <c r="U87" i="2" s="1"/>
  <c r="U88" i="2" a="1"/>
  <c r="U88" i="2" s="1"/>
  <c r="U89" i="2" a="1"/>
  <c r="U89" i="2" s="1"/>
  <c r="U90" i="2" a="1"/>
  <c r="U90" i="2"/>
  <c r="U91" i="2" a="1"/>
  <c r="U91" i="2" s="1"/>
  <c r="U92" i="2" a="1"/>
  <c r="U92" i="2" s="1"/>
  <c r="U93" i="2" a="1"/>
  <c r="U93" i="2" s="1"/>
  <c r="U94" i="2" a="1"/>
  <c r="U94" i="2" s="1"/>
  <c r="U95" i="2" a="1"/>
  <c r="U95" i="2" s="1"/>
  <c r="U96" i="2" a="1"/>
  <c r="U96" i="2" s="1"/>
  <c r="U97" i="2" a="1"/>
  <c r="U97" i="2" s="1"/>
  <c r="U98" i="2" a="1"/>
  <c r="U98" i="2" s="1"/>
  <c r="U99" i="2" a="1"/>
  <c r="U99" i="2" s="1"/>
  <c r="U100" i="2" a="1"/>
  <c r="U100" i="2" s="1"/>
  <c r="U101" i="2" a="1"/>
  <c r="U101" i="2" s="1"/>
  <c r="U102" i="2" a="1"/>
  <c r="U102" i="2" s="1"/>
  <c r="U103" i="2" a="1"/>
  <c r="U103" i="2" s="1"/>
  <c r="U104" i="2" a="1"/>
  <c r="U104" i="2" s="1"/>
  <c r="U105" i="2" a="1"/>
  <c r="U105" i="2" s="1"/>
  <c r="U106" i="2" a="1"/>
  <c r="U106" i="2" s="1"/>
  <c r="U107" i="2" a="1"/>
  <c r="U107" i="2" s="1"/>
  <c r="U108" i="2" a="1"/>
  <c r="U108" i="2" s="1"/>
  <c r="U109" i="2" a="1"/>
  <c r="U109" i="2" s="1"/>
  <c r="U110" i="2" a="1"/>
  <c r="U110" i="2"/>
  <c r="U111" i="2" a="1"/>
  <c r="U111" i="2" s="1"/>
  <c r="U112" i="2" a="1"/>
  <c r="U112" i="2" s="1"/>
  <c r="U113" i="2" a="1"/>
  <c r="U113" i="2" s="1"/>
  <c r="U114" i="2" a="1"/>
  <c r="U114" i="2" s="1"/>
  <c r="U115" i="2" a="1"/>
  <c r="U115" i="2" s="1"/>
  <c r="U116" i="2" a="1"/>
  <c r="U116" i="2" s="1"/>
  <c r="U117" i="2" a="1"/>
  <c r="U117" i="2" s="1"/>
  <c r="U118" i="2" a="1"/>
  <c r="U118" i="2" s="1"/>
  <c r="U119" i="2" a="1"/>
  <c r="U119" i="2" s="1"/>
  <c r="U120" i="2" a="1"/>
  <c r="U120" i="2" s="1"/>
  <c r="U121" i="2" a="1"/>
  <c r="U121" i="2" s="1"/>
  <c r="U122" i="2" a="1"/>
  <c r="U122" i="2"/>
  <c r="U123" i="2" a="1"/>
  <c r="U123" i="2" s="1"/>
  <c r="U124" i="2" a="1"/>
  <c r="U124" i="2" s="1"/>
  <c r="U125" i="2" a="1"/>
  <c r="U125" i="2" s="1"/>
  <c r="U126" i="2" a="1"/>
  <c r="U126" i="2" s="1"/>
  <c r="U127" i="2" a="1"/>
  <c r="U127" i="2" s="1"/>
  <c r="U128" i="2" a="1"/>
  <c r="U128" i="2" s="1"/>
  <c r="U129" i="2" a="1"/>
  <c r="U129" i="2" s="1"/>
  <c r="U130" i="2" a="1"/>
  <c r="U130" i="2" s="1"/>
  <c r="U131" i="2" a="1"/>
  <c r="U131" i="2" s="1"/>
  <c r="U132" i="2" a="1"/>
  <c r="U132" i="2" s="1"/>
  <c r="U133" i="2" a="1"/>
  <c r="U133" i="2" s="1"/>
  <c r="U134" i="2" a="1"/>
  <c r="U134" i="2" s="1"/>
  <c r="U135" i="2" a="1"/>
  <c r="U135" i="2" s="1"/>
  <c r="U136" i="2" a="1"/>
  <c r="U136" i="2" s="1"/>
  <c r="U137" i="2" a="1"/>
  <c r="U137" i="2" s="1"/>
  <c r="U138" i="2" a="1"/>
  <c r="U138" i="2" s="1"/>
  <c r="U139" i="2" a="1"/>
  <c r="U139" i="2" s="1"/>
  <c r="U140" i="2" a="1"/>
  <c r="U140" i="2" s="1"/>
  <c r="U141" i="2" a="1"/>
  <c r="U141" i="2" s="1"/>
  <c r="U142" i="2" a="1"/>
  <c r="U142" i="2" s="1"/>
  <c r="U143" i="2" a="1"/>
  <c r="U143" i="2" s="1"/>
  <c r="U144" i="2" a="1"/>
  <c r="U144" i="2" s="1"/>
  <c r="U145" i="2" a="1"/>
  <c r="U145" i="2" s="1"/>
  <c r="U146" i="2" a="1"/>
  <c r="U146" i="2"/>
  <c r="U147" i="2" a="1"/>
  <c r="U147" i="2" s="1"/>
  <c r="U148" i="2" a="1"/>
  <c r="U148" i="2" s="1"/>
  <c r="U149" i="2" a="1"/>
  <c r="U149" i="2" s="1"/>
  <c r="U150" i="2" a="1"/>
  <c r="U150" i="2" s="1"/>
  <c r="U151" i="2" a="1"/>
  <c r="U151" i="2" s="1"/>
  <c r="U152" i="2" a="1"/>
  <c r="U152" i="2" s="1"/>
  <c r="U153" i="2" a="1"/>
  <c r="U153" i="2" s="1"/>
  <c r="U154" i="2" a="1"/>
  <c r="U154" i="2" s="1"/>
  <c r="U155" i="2" a="1"/>
  <c r="U155" i="2" s="1"/>
  <c r="U156" i="2" a="1"/>
  <c r="U156" i="2" s="1"/>
  <c r="U157" i="2" a="1"/>
  <c r="U157" i="2" s="1"/>
  <c r="U158" i="2" a="1"/>
  <c r="U158" i="2" s="1"/>
  <c r="U159" i="2" a="1"/>
  <c r="U159" i="2" s="1"/>
  <c r="U160" i="2" a="1"/>
  <c r="U160" i="2" s="1"/>
  <c r="U161" i="2" a="1"/>
  <c r="U161" i="2" s="1"/>
  <c r="U162" i="2" a="1"/>
  <c r="U162" i="2" s="1"/>
  <c r="U163" i="2" a="1"/>
  <c r="U163" i="2" s="1"/>
  <c r="U164" i="2" a="1"/>
  <c r="U164" i="2" s="1"/>
  <c r="U165" i="2" a="1"/>
  <c r="U165" i="2" s="1"/>
  <c r="U166" i="2" a="1"/>
  <c r="U166" i="2" s="1"/>
  <c r="U167" i="2" a="1"/>
  <c r="U167" i="2" s="1"/>
  <c r="U168" i="2" a="1"/>
  <c r="U168" i="2" s="1"/>
  <c r="U169" i="2" a="1"/>
  <c r="U169" i="2" s="1"/>
  <c r="U170" i="2" a="1"/>
  <c r="U170" i="2" s="1"/>
  <c r="U171" i="2" a="1"/>
  <c r="U171" i="2" s="1"/>
  <c r="U172" i="2" a="1"/>
  <c r="U172" i="2" s="1"/>
  <c r="U173" i="2" a="1"/>
  <c r="U173" i="2" s="1"/>
  <c r="U174" i="2" a="1"/>
  <c r="U174" i="2"/>
  <c r="U175" i="2" a="1"/>
  <c r="U175" i="2" s="1"/>
  <c r="U176" i="2" a="1"/>
  <c r="U176" i="2" s="1"/>
  <c r="U177" i="2" a="1"/>
  <c r="U177" i="2" s="1"/>
  <c r="U178" i="2" a="1"/>
  <c r="U178" i="2"/>
  <c r="U179" i="2" a="1"/>
  <c r="U179" i="2" s="1"/>
  <c r="U180" i="2" a="1"/>
  <c r="U180" i="2" s="1"/>
  <c r="U181" i="2" a="1"/>
  <c r="U181" i="2" s="1"/>
  <c r="U182" i="2" a="1"/>
  <c r="U182" i="2" s="1"/>
  <c r="U183" i="2" a="1"/>
  <c r="U183" i="2" s="1"/>
  <c r="U184" i="2" a="1"/>
  <c r="U184" i="2" s="1"/>
  <c r="U185" i="2" a="1"/>
  <c r="U185" i="2" s="1"/>
  <c r="U186" i="2" a="1"/>
  <c r="U186" i="2" s="1"/>
  <c r="U187" i="2" a="1"/>
  <c r="U187" i="2" s="1"/>
  <c r="U188" i="2" a="1"/>
  <c r="U188" i="2" s="1"/>
  <c r="U189" i="2" a="1"/>
  <c r="U189" i="2" s="1"/>
  <c r="U190" i="2" a="1"/>
  <c r="U190" i="2" s="1"/>
  <c r="U191" i="2" a="1"/>
  <c r="U191" i="2" s="1"/>
  <c r="U192" i="2" a="1"/>
  <c r="U192" i="2" s="1"/>
  <c r="U193" i="2" a="1"/>
  <c r="U193" i="2" s="1"/>
  <c r="U194" i="2" a="1"/>
  <c r="U194" i="2" s="1"/>
  <c r="U195" i="2" a="1"/>
  <c r="U195" i="2" s="1"/>
  <c r="U196" i="2" a="1"/>
  <c r="U196" i="2" s="1"/>
  <c r="U197" i="2" a="1"/>
  <c r="U197" i="2" s="1"/>
  <c r="U198" i="2" a="1"/>
  <c r="U198" i="2" s="1"/>
  <c r="U199" i="2" a="1"/>
  <c r="U199" i="2" s="1"/>
  <c r="U200" i="2" a="1"/>
  <c r="U200" i="2" s="1"/>
  <c r="U201" i="2" a="1"/>
  <c r="U201" i="2" s="1"/>
  <c r="U202" i="2" a="1"/>
  <c r="U202" i="2" s="1"/>
  <c r="U203" i="2" a="1"/>
  <c r="U203" i="2" s="1"/>
  <c r="U204" i="2" a="1"/>
  <c r="U204" i="2" s="1"/>
  <c r="U205" i="2" a="1"/>
  <c r="U205" i="2" s="1"/>
  <c r="U206" i="2" a="1"/>
  <c r="U206" i="2" s="1"/>
  <c r="U207" i="2" a="1"/>
  <c r="U207" i="2" s="1"/>
  <c r="U208" i="2" a="1"/>
  <c r="U208" i="2" s="1"/>
  <c r="U209" i="2" a="1"/>
  <c r="U209" i="2" s="1"/>
  <c r="U210" i="2" a="1"/>
  <c r="U210" i="2"/>
  <c r="U211" i="2" a="1"/>
  <c r="U211" i="2" s="1"/>
  <c r="U212" i="2" a="1"/>
  <c r="U212" i="2" s="1"/>
  <c r="U213" i="2" a="1"/>
  <c r="U213" i="2" s="1"/>
  <c r="U214" i="2" a="1"/>
  <c r="U214" i="2" s="1"/>
  <c r="U215" i="2" a="1"/>
  <c r="U215" i="2" s="1"/>
  <c r="U216" i="2" a="1"/>
  <c r="U216" i="2" s="1"/>
  <c r="U217" i="2" a="1"/>
  <c r="U217" i="2" s="1"/>
  <c r="U218" i="2" a="1"/>
  <c r="U218" i="2" s="1"/>
  <c r="U219" i="2" a="1"/>
  <c r="U219" i="2" s="1"/>
  <c r="U220" i="2" a="1"/>
  <c r="U220" i="2" s="1"/>
  <c r="U221" i="2" a="1"/>
  <c r="U221" i="2" s="1"/>
  <c r="U222" i="2" a="1"/>
  <c r="U222" i="2" s="1"/>
  <c r="U223" i="2" a="1"/>
  <c r="U223" i="2" s="1"/>
  <c r="U224" i="2" a="1"/>
  <c r="U224" i="2" s="1"/>
  <c r="U225" i="2" a="1"/>
  <c r="U225" i="2" s="1"/>
  <c r="U226" i="2" a="1"/>
  <c r="U226" i="2" s="1"/>
  <c r="U227" i="2" a="1"/>
  <c r="U227" i="2" s="1"/>
  <c r="U228" i="2" a="1"/>
  <c r="U228" i="2" s="1"/>
  <c r="U229" i="2" a="1"/>
  <c r="U229" i="2" s="1"/>
  <c r="U230" i="2" a="1"/>
  <c r="U230" i="2" s="1"/>
  <c r="U231" i="2" a="1"/>
  <c r="U231" i="2" s="1"/>
  <c r="U232" i="2" a="1"/>
  <c r="U232" i="2" s="1"/>
  <c r="U233" i="2" a="1"/>
  <c r="U233" i="2" s="1"/>
  <c r="U234" i="2" a="1"/>
  <c r="U234" i="2" s="1"/>
  <c r="U235" i="2" a="1"/>
  <c r="U235" i="2" s="1"/>
  <c r="U236" i="2" a="1"/>
  <c r="U236" i="2"/>
  <c r="U237" i="2" a="1"/>
  <c r="U237" i="2" s="1"/>
  <c r="U238" i="2" a="1"/>
  <c r="U238" i="2" s="1"/>
  <c r="U239" i="2" a="1"/>
  <c r="U239" i="2" s="1"/>
  <c r="U240" i="2" a="1"/>
  <c r="U240" i="2" s="1"/>
  <c r="U241" i="2" a="1"/>
  <c r="U241" i="2" s="1"/>
  <c r="U242" i="2" a="1"/>
  <c r="U242" i="2" s="1"/>
  <c r="U243" i="2" a="1"/>
  <c r="U243" i="2" s="1"/>
  <c r="U244" i="2" a="1"/>
  <c r="U244" i="2" s="1"/>
  <c r="U245" i="2" a="1"/>
  <c r="U245" i="2" s="1"/>
  <c r="U246" i="2" a="1"/>
  <c r="U246" i="2" s="1"/>
  <c r="U247" i="2" a="1"/>
  <c r="U247" i="2" s="1"/>
  <c r="U248" i="2" a="1"/>
  <c r="U248" i="2" s="1"/>
  <c r="U249" i="2" a="1"/>
  <c r="U249" i="2" s="1"/>
  <c r="U250" i="2" a="1"/>
  <c r="U250" i="2" s="1"/>
  <c r="U251" i="2" a="1"/>
  <c r="U251" i="2" s="1"/>
  <c r="U252" i="2" a="1"/>
  <c r="U252" i="2" s="1"/>
  <c r="U253" i="2" a="1"/>
  <c r="U253" i="2" s="1"/>
  <c r="U254" i="2" a="1"/>
  <c r="U254" i="2"/>
  <c r="U255" i="2" a="1"/>
  <c r="U255" i="2" s="1"/>
  <c r="U256" i="2" a="1"/>
  <c r="U256" i="2" s="1"/>
  <c r="U257" i="2" a="1"/>
  <c r="U257" i="2" s="1"/>
  <c r="U258" i="2" a="1"/>
  <c r="U258" i="2" s="1"/>
  <c r="U259" i="2" a="1"/>
  <c r="U259" i="2" s="1"/>
  <c r="U260" i="2" a="1"/>
  <c r="U260" i="2"/>
  <c r="U261" i="2" a="1"/>
  <c r="U261" i="2" s="1"/>
  <c r="U262" i="2" a="1"/>
  <c r="U262" i="2" s="1"/>
  <c r="U263" i="2" a="1"/>
  <c r="U263" i="2" s="1"/>
  <c r="U264" i="2" a="1"/>
  <c r="U264" i="2" s="1"/>
  <c r="U265" i="2" a="1"/>
  <c r="U265" i="2" s="1"/>
  <c r="U266" i="2" a="1"/>
  <c r="U266" i="2" s="1"/>
  <c r="U267" i="2" a="1"/>
  <c r="U267" i="2" s="1"/>
  <c r="U268" i="2" a="1"/>
  <c r="U268" i="2" s="1"/>
  <c r="U269" i="2" a="1"/>
  <c r="U269" i="2" s="1"/>
  <c r="U270" i="2" a="1"/>
  <c r="U270" i="2"/>
  <c r="U271" i="2" a="1"/>
  <c r="U271" i="2" s="1"/>
  <c r="U272" i="2" a="1"/>
  <c r="U272" i="2"/>
  <c r="U273" i="2" a="1"/>
  <c r="U273" i="2" s="1"/>
  <c r="U274" i="2" a="1"/>
  <c r="U274" i="2" s="1"/>
  <c r="U275" i="2" a="1"/>
  <c r="U275" i="2" s="1"/>
  <c r="U276" i="2" a="1"/>
  <c r="U276" i="2"/>
  <c r="U277" i="2" a="1"/>
  <c r="U277" i="2" s="1"/>
  <c r="U278" i="2" a="1"/>
  <c r="U278" i="2"/>
  <c r="U279" i="2" a="1"/>
  <c r="U279" i="2" s="1"/>
  <c r="U280" i="2" a="1"/>
  <c r="U280" i="2" s="1"/>
  <c r="U281" i="2" a="1"/>
  <c r="U281" i="2" s="1"/>
  <c r="U282" i="2" a="1"/>
  <c r="U282" i="2" s="1"/>
  <c r="U283" i="2" a="1"/>
  <c r="U283" i="2" s="1"/>
  <c r="U284" i="2" a="1"/>
  <c r="U284" i="2" s="1"/>
  <c r="U285" i="2" a="1"/>
  <c r="U285" i="2" s="1"/>
  <c r="U286" i="2" a="1"/>
  <c r="U286" i="2"/>
  <c r="U287" i="2" a="1"/>
  <c r="U287" i="2" s="1"/>
  <c r="U288" i="2" a="1"/>
  <c r="U288" i="2" s="1"/>
  <c r="U289" i="2" a="1"/>
  <c r="U289" i="2" s="1"/>
  <c r="U290" i="2" a="1"/>
  <c r="U290" i="2" s="1"/>
  <c r="U291" i="2" a="1"/>
  <c r="U291" i="2" s="1"/>
  <c r="U292" i="2" a="1"/>
  <c r="U292" i="2"/>
  <c r="U293" i="2" a="1"/>
  <c r="U293" i="2" s="1"/>
  <c r="U294" i="2" a="1"/>
  <c r="U294" i="2" s="1"/>
  <c r="U295" i="2" a="1"/>
  <c r="U295" i="2" s="1"/>
  <c r="U296" i="2" a="1"/>
  <c r="U296" i="2" s="1"/>
  <c r="U297" i="2" a="1"/>
  <c r="U297" i="2" s="1"/>
  <c r="U298" i="2" a="1"/>
  <c r="U298" i="2" s="1"/>
  <c r="U299" i="2" a="1"/>
  <c r="U299" i="2" s="1"/>
  <c r="U300" i="2" a="1"/>
  <c r="U300" i="2" s="1"/>
  <c r="U301" i="2" a="1"/>
  <c r="U301" i="2" s="1"/>
  <c r="U302" i="2" a="1"/>
  <c r="U302" i="2" s="1"/>
  <c r="U303" i="2" a="1"/>
  <c r="U303" i="2" s="1"/>
  <c r="U304" i="2" a="1"/>
  <c r="U304" i="2"/>
  <c r="U305" i="2" a="1"/>
  <c r="U305" i="2" s="1"/>
  <c r="U306" i="2" a="1"/>
  <c r="U306" i="2" s="1"/>
  <c r="U307" i="2" a="1"/>
  <c r="U307" i="2" s="1"/>
  <c r="U308" i="2" a="1"/>
  <c r="U308" i="2" s="1"/>
  <c r="U309" i="2" a="1"/>
  <c r="U309" i="2" s="1"/>
  <c r="U310" i="2" a="1"/>
  <c r="U310" i="2"/>
  <c r="U311" i="2" a="1"/>
  <c r="U311" i="2" s="1"/>
  <c r="U312" i="2" a="1"/>
  <c r="U312" i="2" s="1"/>
  <c r="U313" i="2" a="1"/>
  <c r="U313" i="2" s="1"/>
  <c r="U314" i="2" a="1"/>
  <c r="U314" i="2" s="1"/>
  <c r="U315" i="2" a="1"/>
  <c r="U315" i="2" s="1"/>
  <c r="U316" i="2" a="1"/>
  <c r="U316" i="2" s="1"/>
  <c r="U317" i="2" a="1"/>
  <c r="U317" i="2" s="1"/>
  <c r="U318" i="2" a="1"/>
  <c r="U318" i="2" s="1"/>
  <c r="U319" i="2" a="1"/>
  <c r="U319" i="2" s="1"/>
  <c r="U320" i="2" a="1"/>
  <c r="U320" i="2"/>
  <c r="U321" i="2" a="1"/>
  <c r="U321" i="2" s="1"/>
  <c r="U322" i="2" a="1"/>
  <c r="U322" i="2" s="1"/>
  <c r="U323" i="2" a="1"/>
  <c r="U323" i="2" s="1"/>
  <c r="U324" i="2" a="1"/>
  <c r="U324" i="2" s="1"/>
  <c r="U325" i="2" a="1"/>
  <c r="U325" i="2" s="1"/>
  <c r="U326" i="2" a="1"/>
  <c r="U326" i="2" s="1"/>
  <c r="U327" i="2" a="1"/>
  <c r="U327" i="2" s="1"/>
  <c r="U328" i="2" a="1"/>
  <c r="U328" i="2" s="1"/>
  <c r="U329" i="2" a="1"/>
  <c r="U329" i="2" s="1"/>
  <c r="U330" i="2" a="1"/>
  <c r="U330" i="2" s="1"/>
  <c r="U331" i="2" a="1"/>
  <c r="U331" i="2" s="1"/>
  <c r="U332" i="2" a="1"/>
  <c r="U332" i="2" s="1"/>
  <c r="U333" i="2" a="1"/>
  <c r="U333" i="2" s="1"/>
  <c r="U334" i="2" a="1"/>
  <c r="U334" i="2" s="1"/>
  <c r="U335" i="2" a="1"/>
  <c r="U335" i="2" s="1"/>
  <c r="U336" i="2" a="1"/>
  <c r="U336" i="2" s="1"/>
  <c r="U337" i="2" a="1"/>
  <c r="U337" i="2" s="1"/>
  <c r="U338" i="2" a="1"/>
  <c r="U338" i="2"/>
  <c r="U339" i="2" a="1"/>
  <c r="U339" i="2" s="1"/>
  <c r="U340" i="2" a="1"/>
  <c r="U340" i="2" s="1"/>
  <c r="U341" i="2" a="1"/>
  <c r="U341" i="2" s="1"/>
  <c r="U342" i="2" a="1"/>
  <c r="U342" i="2" s="1"/>
  <c r="U343" i="2" a="1"/>
  <c r="U343" i="2" s="1"/>
  <c r="U344" i="2" a="1"/>
  <c r="U344" i="2" s="1"/>
  <c r="U345" i="2" a="1"/>
  <c r="U345" i="2" s="1"/>
  <c r="U346" i="2" a="1"/>
  <c r="U346" i="2" s="1"/>
  <c r="U347" i="2" a="1"/>
  <c r="U347" i="2" s="1"/>
  <c r="U348" i="2" a="1"/>
  <c r="U348" i="2" s="1"/>
  <c r="U349" i="2" a="1"/>
  <c r="U349" i="2" s="1"/>
  <c r="U350" i="2" a="1"/>
  <c r="U350" i="2" s="1"/>
  <c r="U351" i="2" a="1"/>
  <c r="U351" i="2" s="1"/>
  <c r="U352" i="2" a="1"/>
  <c r="U352" i="2" s="1"/>
  <c r="U353" i="2" a="1"/>
  <c r="U353" i="2" s="1"/>
  <c r="U354" i="2" a="1"/>
  <c r="U354" i="2" s="1"/>
  <c r="U355" i="2" a="1"/>
  <c r="U355" i="2" s="1"/>
  <c r="U356" i="2" a="1"/>
  <c r="U356" i="2"/>
  <c r="U357" i="2" a="1"/>
  <c r="U357" i="2" s="1"/>
  <c r="U358" i="2" a="1"/>
  <c r="U358" i="2" s="1"/>
  <c r="U359" i="2" a="1"/>
  <c r="U359" i="2" s="1"/>
  <c r="U360" i="2" a="1"/>
  <c r="U360" i="2" s="1"/>
  <c r="U361" i="2" a="1"/>
  <c r="U361" i="2" s="1"/>
  <c r="U362" i="2" a="1"/>
  <c r="U362" i="2" s="1"/>
  <c r="U363" i="2" a="1"/>
  <c r="U363" i="2" s="1"/>
  <c r="U364" i="2" a="1"/>
  <c r="U364" i="2" s="1"/>
  <c r="U365" i="2" a="1"/>
  <c r="U365" i="2" s="1"/>
  <c r="U366" i="2" a="1"/>
  <c r="U366" i="2" s="1"/>
  <c r="U367" i="2" a="1"/>
  <c r="U367" i="2"/>
  <c r="U368" i="2" a="1"/>
  <c r="U368" i="2" s="1"/>
  <c r="U369" i="2" a="1"/>
  <c r="U369" i="2" s="1"/>
  <c r="U370" i="2" a="1"/>
  <c r="U370" i="2" s="1"/>
  <c r="U371" i="2" a="1"/>
  <c r="U371" i="2" s="1"/>
  <c r="U372" i="2" a="1"/>
  <c r="U372" i="2" s="1"/>
  <c r="U373" i="2" a="1"/>
  <c r="U373" i="2" s="1"/>
  <c r="U374" i="2" a="1"/>
  <c r="U374" i="2" s="1"/>
  <c r="U375" i="2" a="1"/>
  <c r="U375" i="2" s="1"/>
  <c r="U376" i="2" a="1"/>
  <c r="U376" i="2" s="1"/>
  <c r="U377" i="2" a="1"/>
  <c r="U377" i="2" s="1"/>
  <c r="U378" i="2" a="1"/>
  <c r="U378" i="2" s="1"/>
  <c r="U379" i="2" a="1"/>
  <c r="U379" i="2" s="1"/>
  <c r="U380" i="2" a="1"/>
  <c r="U380" i="2" s="1"/>
  <c r="U381" i="2" a="1"/>
  <c r="U381" i="2" s="1"/>
  <c r="U382" i="2" a="1"/>
  <c r="U382" i="2" s="1"/>
  <c r="U383" i="2" a="1"/>
  <c r="U383" i="2" s="1"/>
  <c r="U384" i="2" a="1"/>
  <c r="U384" i="2" s="1"/>
  <c r="U385" i="2" a="1"/>
  <c r="U385" i="2" s="1"/>
  <c r="U386" i="2" a="1"/>
  <c r="U386" i="2" s="1"/>
  <c r="U387" i="2" a="1"/>
  <c r="U387" i="2" s="1"/>
  <c r="U388" i="2" a="1"/>
  <c r="U388" i="2" s="1"/>
  <c r="U389" i="2" a="1"/>
  <c r="U389" i="2" s="1"/>
  <c r="U390" i="2" a="1"/>
  <c r="U390" i="2" s="1"/>
  <c r="U391" i="2" a="1"/>
  <c r="U391" i="2" s="1"/>
  <c r="U392" i="2" a="1"/>
  <c r="U392" i="2" s="1"/>
  <c r="U393" i="2" a="1"/>
  <c r="U393" i="2" s="1"/>
  <c r="U394" i="2" a="1"/>
  <c r="U394" i="2" s="1"/>
  <c r="U395" i="2" a="1"/>
  <c r="U395" i="2" s="1"/>
  <c r="U396" i="2" a="1"/>
  <c r="U396" i="2" s="1"/>
  <c r="U397" i="2" a="1"/>
  <c r="U397" i="2" s="1"/>
  <c r="U398" i="2" a="1"/>
  <c r="U398" i="2" s="1"/>
  <c r="U399" i="2" a="1"/>
  <c r="U399" i="2" s="1"/>
  <c r="U400" i="2" a="1"/>
  <c r="U400" i="2" s="1"/>
  <c r="U401" i="2" a="1"/>
  <c r="U401" i="2" s="1"/>
  <c r="U402" i="2" a="1"/>
  <c r="U402" i="2"/>
  <c r="U403" i="2" a="1"/>
  <c r="U403" i="2" s="1"/>
  <c r="U404" i="2" a="1"/>
  <c r="U404" i="2" s="1"/>
  <c r="U405" i="2" a="1"/>
  <c r="U405" i="2" s="1"/>
  <c r="U406" i="2" a="1"/>
  <c r="U406" i="2" s="1"/>
  <c r="U407" i="2" a="1"/>
  <c r="U407" i="2" s="1"/>
  <c r="U408" i="2" a="1"/>
  <c r="U408" i="2" s="1"/>
  <c r="U409" i="2" a="1"/>
  <c r="U409" i="2" s="1"/>
  <c r="U410" i="2" a="1"/>
  <c r="U410" i="2" s="1"/>
  <c r="U411" i="2" a="1"/>
  <c r="U411" i="2" s="1"/>
  <c r="U412" i="2" a="1"/>
  <c r="U412" i="2" s="1"/>
  <c r="U413" i="2" a="1"/>
  <c r="U413" i="2" s="1"/>
  <c r="U414" i="2" a="1"/>
  <c r="U414" i="2" s="1"/>
  <c r="U415" i="2" a="1"/>
  <c r="U415" i="2" s="1"/>
  <c r="U416" i="2" a="1"/>
  <c r="U416" i="2" s="1"/>
  <c r="U417" i="2" a="1"/>
  <c r="U417" i="2" s="1"/>
  <c r="U418" i="2" a="1"/>
  <c r="U418" i="2"/>
  <c r="U419" i="2" a="1"/>
  <c r="U419" i="2" s="1"/>
  <c r="U420" i="2" a="1"/>
  <c r="U420" i="2" s="1"/>
  <c r="U421" i="2" a="1"/>
  <c r="U421" i="2" s="1"/>
  <c r="U422" i="2" a="1"/>
  <c r="U422" i="2" s="1"/>
  <c r="U423" i="2" a="1"/>
  <c r="U423" i="2" s="1"/>
  <c r="U424" i="2" a="1"/>
  <c r="U424" i="2" s="1"/>
  <c r="U425" i="2" a="1"/>
  <c r="U425" i="2" s="1"/>
  <c r="U426" i="2" a="1"/>
  <c r="U426" i="2" s="1"/>
  <c r="U427" i="2" a="1"/>
  <c r="U427" i="2" s="1"/>
  <c r="U428" i="2" a="1"/>
  <c r="U428" i="2" s="1"/>
  <c r="U429" i="2" a="1"/>
  <c r="U429" i="2" s="1"/>
  <c r="U430" i="2" a="1"/>
  <c r="U430" i="2" s="1"/>
  <c r="U431" i="2" a="1"/>
  <c r="U431" i="2"/>
  <c r="U432" i="2" a="1"/>
  <c r="U432" i="2" s="1"/>
  <c r="U433" i="2" a="1"/>
  <c r="U433" i="2" s="1"/>
  <c r="U434" i="2" a="1"/>
  <c r="U434" i="2"/>
  <c r="U435" i="2" a="1"/>
  <c r="U435" i="2" s="1"/>
  <c r="U436" i="2" a="1"/>
  <c r="U436" i="2" s="1"/>
  <c r="U437" i="2" a="1"/>
  <c r="U437" i="2" s="1"/>
  <c r="U438" i="2" a="1"/>
  <c r="U438" i="2" s="1"/>
  <c r="U439" i="2" a="1"/>
  <c r="U439" i="2" s="1"/>
  <c r="U440" i="2" a="1"/>
  <c r="U440" i="2" s="1"/>
  <c r="U441" i="2" a="1"/>
  <c r="U441" i="2" s="1"/>
  <c r="U442" i="2" a="1"/>
  <c r="U442" i="2" s="1"/>
  <c r="U443" i="2" a="1"/>
  <c r="U443" i="2"/>
  <c r="U444" i="2" a="1"/>
  <c r="U444" i="2" s="1"/>
  <c r="U445" i="2" a="1"/>
  <c r="U445" i="2" s="1"/>
  <c r="U446" i="2" a="1"/>
  <c r="U446" i="2" s="1"/>
  <c r="U447" i="2" a="1"/>
  <c r="U447" i="2" s="1"/>
  <c r="U448" i="2" a="1"/>
  <c r="U448" i="2" s="1"/>
  <c r="U449" i="2" a="1"/>
  <c r="U449" i="2" s="1"/>
  <c r="U450" i="2" a="1"/>
  <c r="U450" i="2"/>
  <c r="U451" i="2" a="1"/>
  <c r="U451" i="2" s="1"/>
  <c r="U452" i="2" a="1"/>
  <c r="U452" i="2" s="1"/>
  <c r="U453" i="2" a="1"/>
  <c r="U453" i="2" s="1"/>
  <c r="U454" i="2" a="1"/>
  <c r="U454" i="2" s="1"/>
  <c r="U455" i="2" a="1"/>
  <c r="U455" i="2" s="1"/>
  <c r="U456" i="2" a="1"/>
  <c r="U456" i="2" s="1"/>
  <c r="U457" i="2" a="1"/>
  <c r="U457" i="2" s="1"/>
  <c r="U458" i="2" a="1"/>
  <c r="U458" i="2" s="1"/>
  <c r="U459" i="2" a="1"/>
  <c r="U459" i="2"/>
  <c r="U460" i="2" a="1"/>
  <c r="U460" i="2" s="1"/>
  <c r="U461" i="2" a="1"/>
  <c r="U461" i="2" s="1"/>
  <c r="U462" i="2" a="1"/>
  <c r="U462" i="2" s="1"/>
  <c r="U463" i="2" a="1"/>
  <c r="U463" i="2" s="1"/>
  <c r="U464" i="2" a="1"/>
  <c r="U464" i="2" s="1"/>
  <c r="U465" i="2" a="1"/>
  <c r="U465" i="2" s="1"/>
  <c r="U466" i="2" a="1"/>
  <c r="U466" i="2"/>
  <c r="U467" i="2" a="1"/>
  <c r="U467" i="2" s="1"/>
  <c r="U468" i="2" a="1"/>
  <c r="U468" i="2" s="1"/>
  <c r="U469" i="2" a="1"/>
  <c r="U469" i="2" s="1"/>
  <c r="U470" i="2" a="1"/>
  <c r="U470" i="2" s="1"/>
  <c r="U471" i="2" a="1"/>
  <c r="U471" i="2" s="1"/>
  <c r="U472" i="2" a="1"/>
  <c r="U472" i="2" s="1"/>
  <c r="U473" i="2" a="1"/>
  <c r="U473" i="2" s="1"/>
  <c r="U474" i="2" a="1"/>
  <c r="U474" i="2" s="1"/>
  <c r="U475" i="2" a="1"/>
  <c r="U475" i="2"/>
  <c r="U476" i="2" a="1"/>
  <c r="U476" i="2" s="1"/>
  <c r="U477" i="2" a="1"/>
  <c r="U477" i="2" s="1"/>
  <c r="U478" i="2" a="1"/>
  <c r="U478" i="2" s="1"/>
  <c r="U479" i="2" a="1"/>
  <c r="U479" i="2" s="1"/>
  <c r="U480" i="2" a="1"/>
  <c r="U480" i="2" s="1"/>
  <c r="U481" i="2" a="1"/>
  <c r="U481" i="2" s="1"/>
  <c r="U482" i="2" a="1"/>
  <c r="U482" i="2"/>
  <c r="U483" i="2" a="1"/>
  <c r="U483" i="2" s="1"/>
  <c r="U484" i="2" a="1"/>
  <c r="U484" i="2" s="1"/>
  <c r="U485" i="2" a="1"/>
  <c r="U485" i="2" s="1"/>
  <c r="U486" i="2" a="1"/>
  <c r="U486" i="2" s="1"/>
  <c r="U487" i="2" a="1"/>
  <c r="U487" i="2" s="1"/>
  <c r="U488" i="2" a="1"/>
  <c r="U488" i="2" s="1"/>
  <c r="U489" i="2" a="1"/>
  <c r="U489" i="2" s="1"/>
  <c r="U490" i="2" a="1"/>
  <c r="U490" i="2" s="1"/>
  <c r="U491" i="2" a="1"/>
  <c r="U491" i="2" s="1"/>
  <c r="U492" i="2" a="1"/>
  <c r="U492" i="2" s="1"/>
  <c r="U493" i="2" a="1"/>
  <c r="U493" i="2" s="1"/>
  <c r="U494" i="2" a="1"/>
  <c r="U494" i="2" s="1"/>
  <c r="U495" i="2" a="1"/>
  <c r="U495" i="2" s="1"/>
  <c r="U496" i="2" a="1"/>
  <c r="U496" i="2" s="1"/>
  <c r="U497" i="2" a="1"/>
  <c r="U497" i="2" s="1"/>
  <c r="U498" i="2" a="1"/>
  <c r="U498" i="2" s="1"/>
  <c r="U499" i="2" a="1"/>
  <c r="U499" i="2" s="1"/>
  <c r="U500" i="2" a="1"/>
  <c r="U500" i="2" s="1"/>
  <c r="U501" i="2" a="1"/>
  <c r="U501" i="2" s="1"/>
  <c r="U502" i="2" a="1"/>
  <c r="U502" i="2" s="1"/>
  <c r="U503" i="2" a="1"/>
  <c r="U503" i="2" s="1"/>
  <c r="U504" i="2" a="1"/>
  <c r="U504" i="2" s="1"/>
  <c r="U505" i="2" a="1"/>
  <c r="U505" i="2" s="1"/>
  <c r="U506" i="2" a="1"/>
  <c r="U506" i="2" s="1"/>
  <c r="U507" i="2" a="1"/>
  <c r="U507" i="2" s="1"/>
  <c r="U508" i="2" a="1"/>
  <c r="U508" i="2" s="1"/>
  <c r="U509" i="2" a="1"/>
  <c r="U509" i="2" s="1"/>
  <c r="U510" i="2" a="1"/>
  <c r="U510" i="2" s="1"/>
  <c r="U511" i="2" a="1"/>
  <c r="U511" i="2" s="1"/>
  <c r="U512" i="2" a="1"/>
  <c r="U512" i="2" s="1"/>
  <c r="U513" i="2" a="1"/>
  <c r="U513" i="2" s="1"/>
  <c r="U514" i="2" a="1"/>
  <c r="U514" i="2" s="1"/>
  <c r="U515" i="2" a="1"/>
  <c r="U515" i="2" s="1"/>
  <c r="U516" i="2" a="1"/>
  <c r="U516" i="2" s="1"/>
  <c r="U517" i="2" a="1"/>
  <c r="U517" i="2" s="1"/>
  <c r="U518" i="2" a="1"/>
  <c r="U518" i="2" s="1"/>
  <c r="U519" i="2" a="1"/>
  <c r="U519" i="2" s="1"/>
  <c r="U520" i="2" a="1"/>
  <c r="U520" i="2" s="1"/>
  <c r="U521" i="2" a="1"/>
  <c r="U521" i="2" s="1"/>
  <c r="U522" i="2" a="1"/>
  <c r="U522" i="2" s="1"/>
  <c r="U523" i="2" a="1"/>
  <c r="U523" i="2" s="1"/>
  <c r="U524" i="2" a="1"/>
  <c r="U524" i="2" s="1"/>
  <c r="U525" i="2" a="1"/>
  <c r="U525" i="2" s="1"/>
  <c r="U526" i="2" a="1"/>
  <c r="U526" i="2" s="1"/>
  <c r="U527" i="2" a="1"/>
  <c r="U527" i="2" s="1"/>
  <c r="U528" i="2" a="1"/>
  <c r="U528" i="2" s="1"/>
  <c r="U529" i="2" a="1"/>
  <c r="U529" i="2" s="1"/>
  <c r="U530" i="2" a="1"/>
  <c r="U530" i="2" s="1"/>
  <c r="U531" i="2" a="1"/>
  <c r="U531" i="2" s="1"/>
  <c r="U532" i="2" a="1"/>
  <c r="U532" i="2" s="1"/>
  <c r="U533" i="2" a="1"/>
  <c r="U533" i="2" s="1"/>
  <c r="U534" i="2" a="1"/>
  <c r="U534" i="2" s="1"/>
  <c r="U535" i="2" a="1"/>
  <c r="U535" i="2" s="1"/>
  <c r="U536" i="2" a="1"/>
  <c r="U536" i="2" s="1"/>
  <c r="U537" i="2" a="1"/>
  <c r="U537" i="2" s="1"/>
  <c r="U538" i="2" a="1"/>
  <c r="U538" i="2" s="1"/>
  <c r="U539" i="2" a="1"/>
  <c r="U539" i="2" s="1"/>
  <c r="U540" i="2" a="1"/>
  <c r="U540" i="2" s="1"/>
  <c r="U541" i="2" a="1"/>
  <c r="U541" i="2" s="1"/>
  <c r="U542" i="2" a="1"/>
  <c r="U542" i="2" s="1"/>
  <c r="U543" i="2" a="1"/>
  <c r="U543" i="2" s="1"/>
  <c r="U544" i="2" a="1"/>
  <c r="U544" i="2" s="1"/>
  <c r="U545" i="2" a="1"/>
  <c r="U545" i="2" s="1"/>
  <c r="U546" i="2" a="1"/>
  <c r="U546" i="2" s="1"/>
  <c r="U547" i="2" a="1"/>
  <c r="U547" i="2" s="1"/>
  <c r="U548" i="2" a="1"/>
  <c r="U548" i="2" s="1"/>
  <c r="U549" i="2" a="1"/>
  <c r="U549" i="2" s="1"/>
  <c r="U550" i="2" a="1"/>
  <c r="U550" i="2" s="1"/>
  <c r="U551" i="2" a="1"/>
  <c r="U551" i="2" s="1"/>
  <c r="U552" i="2" a="1"/>
  <c r="U552" i="2" s="1"/>
  <c r="U553" i="2" a="1"/>
  <c r="U553" i="2" s="1"/>
  <c r="U554" i="2" a="1"/>
  <c r="U554" i="2" s="1"/>
  <c r="U555" i="2" a="1"/>
  <c r="U555" i="2" s="1"/>
  <c r="U556" i="2" a="1"/>
  <c r="U556" i="2" s="1"/>
  <c r="U557" i="2" a="1"/>
  <c r="U557" i="2" s="1"/>
  <c r="U558" i="2" a="1"/>
  <c r="U558" i="2" s="1"/>
  <c r="U559" i="2" a="1"/>
  <c r="U559" i="2" s="1"/>
  <c r="U560" i="2" a="1"/>
  <c r="U560" i="2" s="1"/>
  <c r="U561" i="2" a="1"/>
  <c r="U561" i="2" s="1"/>
  <c r="U562" i="2" a="1"/>
  <c r="U562" i="2" s="1"/>
  <c r="U563" i="2" a="1"/>
  <c r="U563" i="2" s="1"/>
  <c r="U564" i="2" a="1"/>
  <c r="U564" i="2" s="1"/>
  <c r="U565" i="2" a="1"/>
  <c r="U565" i="2" s="1"/>
  <c r="U566" i="2" a="1"/>
  <c r="U566" i="2" s="1"/>
  <c r="U567" i="2" a="1"/>
  <c r="U567" i="2" s="1"/>
  <c r="U568" i="2" a="1"/>
  <c r="U568" i="2" s="1"/>
  <c r="U569" i="2" a="1"/>
  <c r="U569" i="2" s="1"/>
  <c r="U570" i="2" a="1"/>
  <c r="U570" i="2" s="1"/>
  <c r="U571" i="2" a="1"/>
  <c r="U571" i="2" s="1"/>
  <c r="U572" i="2" a="1"/>
  <c r="U572" i="2" s="1"/>
  <c r="U573" i="2" a="1"/>
  <c r="U573" i="2" s="1"/>
  <c r="U574" i="2" a="1"/>
  <c r="U574" i="2" s="1"/>
  <c r="U575" i="2" a="1"/>
  <c r="U575" i="2" s="1"/>
  <c r="U576" i="2" a="1"/>
  <c r="U576" i="2" s="1"/>
  <c r="U577" i="2" a="1"/>
  <c r="U577" i="2" s="1"/>
  <c r="U578" i="2" a="1"/>
  <c r="U578" i="2" s="1"/>
  <c r="U579" i="2" a="1"/>
  <c r="U579" i="2" s="1"/>
  <c r="U580" i="2" a="1"/>
  <c r="U580" i="2" s="1"/>
  <c r="U581" i="2" a="1"/>
  <c r="U581" i="2" s="1"/>
  <c r="U582" i="2" a="1"/>
  <c r="U582" i="2" s="1"/>
  <c r="U583" i="2" a="1"/>
  <c r="U583" i="2" s="1"/>
  <c r="U584" i="2" a="1"/>
  <c r="U584" i="2" s="1"/>
  <c r="U585" i="2" a="1"/>
  <c r="U585" i="2" s="1"/>
  <c r="U586" i="2" a="1"/>
  <c r="U586" i="2" s="1"/>
  <c r="U587" i="2" a="1"/>
  <c r="U587" i="2" s="1"/>
  <c r="U588" i="2" a="1"/>
  <c r="U588" i="2" s="1"/>
  <c r="U589" i="2" a="1"/>
  <c r="U589" i="2" s="1"/>
  <c r="U590" i="2" a="1"/>
  <c r="U590" i="2" s="1"/>
  <c r="U591" i="2" a="1"/>
  <c r="U591" i="2" s="1"/>
  <c r="U592" i="2" a="1"/>
  <c r="U592" i="2" s="1"/>
  <c r="U593" i="2" a="1"/>
  <c r="U593" i="2" s="1"/>
  <c r="U594" i="2" a="1"/>
  <c r="U594" i="2" s="1"/>
  <c r="U595" i="2" a="1"/>
  <c r="U595" i="2" s="1"/>
  <c r="U596" i="2" a="1"/>
  <c r="U596" i="2" s="1"/>
  <c r="U597" i="2" a="1"/>
  <c r="U597" i="2" s="1"/>
  <c r="U598" i="2" a="1"/>
  <c r="U598" i="2" s="1"/>
  <c r="U599" i="2" a="1"/>
  <c r="U599" i="2" s="1"/>
  <c r="U600" i="2" a="1"/>
  <c r="U600" i="2" s="1"/>
  <c r="U601" i="2" a="1"/>
  <c r="U601" i="2" s="1"/>
  <c r="U602" i="2" a="1"/>
  <c r="U602" i="2" s="1"/>
  <c r="U603" i="2" a="1"/>
  <c r="U603" i="2" s="1"/>
  <c r="U604" i="2" a="1"/>
  <c r="U604" i="2" s="1"/>
  <c r="U605" i="2" a="1"/>
  <c r="U605" i="2" s="1"/>
  <c r="U606" i="2" a="1"/>
  <c r="U606" i="2" s="1"/>
  <c r="U607" i="2" a="1"/>
  <c r="U607" i="2" s="1"/>
  <c r="U608" i="2" a="1"/>
  <c r="U608" i="2" s="1"/>
  <c r="U609" i="2" a="1"/>
  <c r="U609" i="2" s="1"/>
  <c r="U610" i="2" a="1"/>
  <c r="U610" i="2" s="1"/>
  <c r="U611" i="2" a="1"/>
  <c r="U611" i="2" s="1"/>
  <c r="U612" i="2" a="1"/>
  <c r="U612" i="2" s="1"/>
  <c r="U613" i="2" a="1"/>
  <c r="U613" i="2" s="1"/>
  <c r="U614" i="2" a="1"/>
  <c r="U614" i="2" s="1"/>
  <c r="U615" i="2" a="1"/>
  <c r="U615" i="2" s="1"/>
  <c r="U616" i="2" a="1"/>
  <c r="U616" i="2" s="1"/>
  <c r="U617" i="2" a="1"/>
  <c r="U617" i="2" s="1"/>
  <c r="U618" i="2" a="1"/>
  <c r="U618" i="2" s="1"/>
  <c r="U619" i="2" a="1"/>
  <c r="U619" i="2" s="1"/>
  <c r="U620" i="2" a="1"/>
  <c r="U620" i="2" s="1"/>
  <c r="U621" i="2" a="1"/>
  <c r="U621" i="2" s="1"/>
  <c r="U622" i="2" a="1"/>
  <c r="U622" i="2" s="1"/>
  <c r="U623" i="2" a="1"/>
  <c r="U623" i="2" s="1"/>
  <c r="U624" i="2" a="1"/>
  <c r="U624" i="2" s="1"/>
  <c r="U625" i="2" a="1"/>
  <c r="U625" i="2" s="1"/>
  <c r="U626" i="2" a="1"/>
  <c r="U626" i="2" s="1"/>
  <c r="U627" i="2" a="1"/>
  <c r="U627" i="2" s="1"/>
  <c r="U628" i="2" a="1"/>
  <c r="U628" i="2" s="1"/>
  <c r="U629" i="2" a="1"/>
  <c r="U629" i="2" s="1"/>
  <c r="U630" i="2" a="1"/>
  <c r="U630" i="2" s="1"/>
  <c r="U631" i="2" a="1"/>
  <c r="U631" i="2" s="1"/>
  <c r="U632" i="2" a="1"/>
  <c r="U632" i="2" s="1"/>
  <c r="U633" i="2" a="1"/>
  <c r="U633" i="2"/>
  <c r="U634" i="2" a="1"/>
  <c r="U634" i="2"/>
  <c r="U635" i="2" a="1"/>
  <c r="U635" i="2"/>
  <c r="U636" i="2" a="1"/>
  <c r="U636" i="2" s="1"/>
  <c r="U637" i="2" a="1"/>
  <c r="U637" i="2"/>
  <c r="U638" i="2" a="1"/>
  <c r="U638" i="2"/>
  <c r="U639" i="2" a="1"/>
  <c r="U639" i="2"/>
  <c r="U640" i="2" a="1"/>
  <c r="U640" i="2" s="1"/>
  <c r="U641" i="2" a="1"/>
  <c r="U641" i="2"/>
  <c r="U642" i="2" a="1"/>
  <c r="U642" i="2"/>
  <c r="U643" i="2" a="1"/>
  <c r="U643" i="2"/>
  <c r="U644" i="2" a="1"/>
  <c r="U644" i="2" s="1"/>
  <c r="U645" i="2" a="1"/>
  <c r="U645" i="2"/>
  <c r="U646" i="2" a="1"/>
  <c r="U646" i="2"/>
  <c r="U647" i="2" a="1"/>
  <c r="U647" i="2"/>
  <c r="U648" i="2" a="1"/>
  <c r="U648" i="2" s="1"/>
  <c r="U649" i="2" a="1"/>
  <c r="U649" i="2" s="1"/>
  <c r="U650" i="2" a="1"/>
  <c r="U650" i="2"/>
  <c r="U651" i="2" a="1"/>
  <c r="U651" i="2"/>
  <c r="U652" i="2" a="1"/>
  <c r="U652" i="2" s="1"/>
  <c r="U653" i="2" a="1"/>
  <c r="U653" i="2" s="1"/>
  <c r="U654" i="2" a="1"/>
  <c r="U654" i="2"/>
  <c r="U655" i="2" a="1"/>
  <c r="U655" i="2" s="1"/>
  <c r="U656" i="2" a="1"/>
  <c r="U656" i="2" s="1"/>
  <c r="U657" i="2" a="1"/>
  <c r="U657" i="2" s="1"/>
  <c r="U658" i="2" a="1"/>
  <c r="U658" i="2" s="1"/>
  <c r="U659" i="2" a="1"/>
  <c r="U659" i="2"/>
  <c r="U660" i="2" a="1"/>
  <c r="U660" i="2" s="1"/>
  <c r="U661" i="2" a="1"/>
  <c r="U661" i="2" s="1"/>
  <c r="U662" i="2" a="1"/>
  <c r="U662" i="2" s="1"/>
  <c r="U663" i="2" a="1"/>
  <c r="U663" i="2" s="1"/>
  <c r="U664" i="2" a="1"/>
  <c r="U664" i="2" s="1"/>
  <c r="U665" i="2" a="1"/>
  <c r="U665" i="2"/>
  <c r="U666" i="2" a="1"/>
  <c r="U666" i="2" s="1"/>
  <c r="U667" i="2" a="1"/>
  <c r="U667" i="2"/>
  <c r="U668" i="2" a="1"/>
  <c r="U668" i="2" s="1"/>
  <c r="U669" i="2" a="1"/>
  <c r="U669" i="2" s="1"/>
  <c r="U670" i="2" a="1"/>
  <c r="U670" i="2" s="1"/>
  <c r="U671" i="2" a="1"/>
  <c r="U671" i="2" s="1"/>
  <c r="U672" i="2" a="1"/>
  <c r="U672" i="2" s="1"/>
  <c r="U673" i="2" a="1"/>
  <c r="U673" i="2"/>
  <c r="U674" i="2" a="1"/>
  <c r="U674" i="2"/>
  <c r="U675" i="2" a="1"/>
  <c r="U675" i="2" s="1"/>
  <c r="U676" i="2" a="1"/>
  <c r="U676" i="2" s="1"/>
  <c r="U677" i="2" a="1"/>
  <c r="U677" i="2"/>
  <c r="U678" i="2" a="1"/>
  <c r="U678" i="2" s="1"/>
  <c r="U679" i="2" a="1"/>
  <c r="U679" i="2" s="1"/>
  <c r="U680" i="2" a="1"/>
  <c r="U680" i="2" s="1"/>
  <c r="U681" i="2" a="1"/>
  <c r="U681" i="2" s="1"/>
  <c r="U682" i="2" a="1"/>
  <c r="U682" i="2"/>
  <c r="U683" i="2" a="1"/>
  <c r="U683" i="2"/>
  <c r="U684" i="2" a="1"/>
  <c r="U684" i="2" s="1"/>
  <c r="U685" i="2" a="1"/>
  <c r="U685" i="2"/>
  <c r="U686" i="2" a="1"/>
  <c r="U686" i="2" s="1"/>
  <c r="U687" i="2" a="1"/>
  <c r="U687" i="2" s="1"/>
  <c r="U688" i="2" a="1"/>
  <c r="U688" i="2" s="1"/>
  <c r="U689" i="2" a="1"/>
  <c r="U689" i="2" s="1"/>
  <c r="U690" i="2" a="1"/>
  <c r="U690" i="2" s="1"/>
  <c r="U691" i="2" a="1"/>
  <c r="U691" i="2"/>
  <c r="U692" i="2" a="1"/>
  <c r="U692" i="2" s="1"/>
  <c r="U693" i="2" a="1"/>
  <c r="U693" i="2" s="1"/>
  <c r="U694" i="2" a="1"/>
  <c r="U694" i="2"/>
  <c r="U695" i="2" a="1"/>
  <c r="U695" i="2" s="1"/>
  <c r="U696" i="2" a="1"/>
  <c r="U696" i="2" s="1"/>
  <c r="U697" i="2" a="1"/>
  <c r="U697" i="2"/>
  <c r="U698" i="2" a="1"/>
  <c r="U698" i="2" s="1"/>
  <c r="U699" i="2" a="1"/>
  <c r="U699" i="2" s="1"/>
  <c r="U700" i="2" a="1"/>
  <c r="U700" i="2" s="1"/>
  <c r="U701" i="2" a="1"/>
  <c r="U701" i="2" s="1"/>
  <c r="U702" i="2" a="1"/>
  <c r="U702" i="2" s="1"/>
  <c r="U703" i="2" a="1"/>
  <c r="U703" i="2"/>
  <c r="U704" i="2" a="1"/>
  <c r="U704" i="2" s="1"/>
  <c r="U705" i="2" a="1"/>
  <c r="U705" i="2"/>
  <c r="U706" i="2" a="1"/>
  <c r="U706" i="2"/>
  <c r="U707" i="2" a="1"/>
  <c r="U707" i="2" s="1"/>
  <c r="U708" i="2" a="1"/>
  <c r="U708" i="2" s="1"/>
  <c r="U709" i="2" a="1"/>
  <c r="U709" i="2" s="1"/>
  <c r="U710" i="2" a="1"/>
  <c r="U710" i="2" s="1"/>
  <c r="U711" i="2" a="1"/>
  <c r="U711" i="2" s="1"/>
  <c r="U712" i="2" a="1"/>
  <c r="U712" i="2" s="1"/>
  <c r="U713" i="2" a="1"/>
  <c r="U713" i="2" s="1"/>
  <c r="U714" i="2" a="1"/>
  <c r="U714" i="2"/>
  <c r="U715" i="2" a="1"/>
  <c r="U715" i="2"/>
  <c r="U716" i="2" a="1"/>
  <c r="U716" i="2" s="1"/>
  <c r="U717" i="2" a="1"/>
  <c r="U717" i="2"/>
  <c r="U718" i="2" a="1"/>
  <c r="U718" i="2" s="1"/>
  <c r="U719" i="2" a="1"/>
  <c r="U719" i="2" s="1"/>
  <c r="U720" i="2" a="1"/>
  <c r="U720" i="2" s="1"/>
  <c r="U721" i="2" a="1"/>
  <c r="U721" i="2" s="1"/>
  <c r="U722" i="2" a="1"/>
  <c r="U722" i="2" s="1"/>
  <c r="U723" i="2" a="1"/>
  <c r="U723" i="2"/>
  <c r="U724" i="2" a="1"/>
  <c r="U724" i="2" s="1"/>
  <c r="U725" i="2" a="1"/>
  <c r="U725" i="2" s="1"/>
  <c r="U726" i="2" a="1"/>
  <c r="U726" i="2"/>
  <c r="U727" i="2" a="1"/>
  <c r="U727" i="2" s="1"/>
  <c r="U728" i="2" a="1"/>
  <c r="U728" i="2" s="1"/>
  <c r="U729" i="2" a="1"/>
  <c r="U729" i="2"/>
  <c r="U730" i="2" a="1"/>
  <c r="U730" i="2" s="1"/>
  <c r="U731" i="2" a="1"/>
  <c r="U731" i="2" s="1"/>
  <c r="U732" i="2" a="1"/>
  <c r="U732" i="2" s="1"/>
  <c r="U733" i="2" a="1"/>
  <c r="U733" i="2" s="1"/>
  <c r="U734" i="2" a="1"/>
  <c r="U734" i="2" s="1"/>
  <c r="U735" i="2" a="1"/>
  <c r="U735" i="2" s="1"/>
  <c r="U736" i="2" a="1"/>
  <c r="U736" i="2" s="1"/>
  <c r="U737" i="2" a="1"/>
  <c r="U737" i="2" s="1"/>
  <c r="U738" i="2" a="1"/>
  <c r="U738" i="2" s="1"/>
  <c r="U739" i="2" a="1"/>
  <c r="U739" i="2" s="1"/>
  <c r="U740" i="2" a="1"/>
  <c r="U740" i="2" s="1"/>
  <c r="U741" i="2" a="1"/>
  <c r="U741" i="2" s="1"/>
  <c r="U742" i="2" a="1"/>
  <c r="U742" i="2" s="1"/>
  <c r="U743" i="2" a="1"/>
  <c r="U743" i="2" s="1"/>
  <c r="U744" i="2" a="1"/>
  <c r="U744" i="2" s="1"/>
  <c r="U745" i="2" a="1"/>
  <c r="U745" i="2" s="1"/>
  <c r="U746" i="2" a="1"/>
  <c r="U746" i="2" s="1"/>
  <c r="U747" i="2" a="1"/>
  <c r="U747" i="2" s="1"/>
  <c r="U748" i="2" a="1"/>
  <c r="U748" i="2" s="1"/>
  <c r="U749" i="2" a="1"/>
  <c r="U749" i="2"/>
  <c r="U750" i="2" a="1"/>
  <c r="U750" i="2" s="1"/>
  <c r="U751" i="2" a="1"/>
  <c r="U751" i="2" s="1"/>
  <c r="U752" i="2" a="1"/>
  <c r="U752" i="2"/>
  <c r="U753" i="2" a="1"/>
  <c r="U753" i="2" s="1"/>
  <c r="U754" i="2" a="1"/>
  <c r="U754" i="2" s="1"/>
  <c r="U755" i="2" a="1"/>
  <c r="U755" i="2" s="1"/>
  <c r="U756" i="2" a="1"/>
  <c r="U756" i="2" s="1"/>
  <c r="U757" i="2" a="1"/>
  <c r="U757" i="2" s="1"/>
  <c r="U758" i="2" a="1"/>
  <c r="U758" i="2" s="1"/>
  <c r="U759" i="2" a="1"/>
  <c r="U759" i="2" s="1"/>
  <c r="U760" i="2" a="1"/>
  <c r="U760" i="2" s="1"/>
  <c r="U761" i="2" a="1"/>
  <c r="U761" i="2" s="1"/>
  <c r="U762" i="2" a="1"/>
  <c r="U762" i="2" s="1"/>
  <c r="U763" i="2" a="1"/>
  <c r="U763" i="2" s="1"/>
  <c r="U764" i="2" a="1"/>
  <c r="U764" i="2" s="1"/>
  <c r="U765" i="2" a="1"/>
  <c r="U765" i="2" s="1"/>
  <c r="U766" i="2" a="1"/>
  <c r="U766" i="2" s="1"/>
  <c r="U767" i="2" a="1"/>
  <c r="U767" i="2" s="1"/>
  <c r="U768" i="2" a="1"/>
  <c r="U768" i="2" s="1"/>
  <c r="U769" i="2" a="1"/>
  <c r="U769" i="2" s="1"/>
  <c r="U770" i="2" a="1"/>
  <c r="U770" i="2" s="1"/>
  <c r="U771" i="2" a="1"/>
  <c r="U771" i="2" s="1"/>
  <c r="U772" i="2" a="1"/>
  <c r="U772" i="2"/>
  <c r="U773" i="2" a="1"/>
  <c r="U773" i="2" s="1"/>
  <c r="U774" i="2" a="1"/>
  <c r="U774" i="2" s="1"/>
  <c r="U775" i="2" a="1"/>
  <c r="U775" i="2" s="1"/>
  <c r="U776" i="2" a="1"/>
  <c r="U776" i="2" s="1"/>
  <c r="U777" i="2" a="1"/>
  <c r="U777" i="2" s="1"/>
  <c r="U778" i="2" a="1"/>
  <c r="U778" i="2" s="1"/>
  <c r="U779" i="2" a="1"/>
  <c r="U779" i="2" s="1"/>
  <c r="U780" i="2" a="1"/>
  <c r="U780" i="2" s="1"/>
  <c r="U781" i="2" a="1"/>
  <c r="U781" i="2" s="1"/>
  <c r="U782" i="2" a="1"/>
  <c r="U782" i="2" s="1"/>
  <c r="U783" i="2" a="1"/>
  <c r="U783" i="2" s="1"/>
  <c r="U784" i="2" a="1"/>
  <c r="U784" i="2"/>
  <c r="U785" i="2" a="1"/>
  <c r="U785" i="2" s="1"/>
  <c r="U786" i="2" a="1"/>
  <c r="U786" i="2" s="1"/>
  <c r="U787" i="2" a="1"/>
  <c r="U787" i="2" s="1"/>
  <c r="U788" i="2" a="1"/>
  <c r="U788" i="2"/>
  <c r="U789" i="2" a="1"/>
  <c r="U789" i="2" s="1"/>
  <c r="U790" i="2" a="1"/>
  <c r="U790" i="2" s="1"/>
  <c r="U791" i="2" a="1"/>
  <c r="U791" i="2" s="1"/>
  <c r="U792" i="2" a="1"/>
  <c r="U792" i="2" s="1"/>
  <c r="U793" i="2" a="1"/>
  <c r="U793" i="2" s="1"/>
  <c r="U794" i="2" a="1"/>
  <c r="U794" i="2" s="1"/>
  <c r="U795" i="2" a="1"/>
  <c r="U795" i="2" s="1"/>
  <c r="U796" i="2" a="1"/>
  <c r="U796" i="2" s="1"/>
  <c r="U797" i="2" a="1"/>
  <c r="U797" i="2" s="1"/>
  <c r="U798" i="2" a="1"/>
  <c r="U798" i="2" s="1"/>
  <c r="U799" i="2" a="1"/>
  <c r="U799" i="2" s="1"/>
  <c r="U800" i="2" a="1"/>
  <c r="U800" i="2" s="1"/>
  <c r="U801" i="2" a="1"/>
  <c r="U801" i="2" s="1"/>
  <c r="U802" i="2" a="1"/>
  <c r="U802" i="2" s="1"/>
  <c r="U803" i="2" a="1"/>
  <c r="U803" i="2" s="1"/>
  <c r="U804" i="2" a="1"/>
  <c r="U804" i="2" s="1"/>
  <c r="U805" i="2" a="1"/>
  <c r="U805" i="2" s="1"/>
  <c r="U806" i="2" a="1"/>
  <c r="U806" i="2" s="1"/>
  <c r="U807" i="2" a="1"/>
  <c r="U807" i="2" s="1"/>
  <c r="U808" i="2" a="1"/>
  <c r="U808" i="2" s="1"/>
  <c r="U809" i="2" a="1"/>
  <c r="U809" i="2" s="1"/>
  <c r="U810" i="2" a="1"/>
  <c r="U810" i="2" s="1"/>
  <c r="U811" i="2" a="1"/>
  <c r="U811" i="2" s="1"/>
  <c r="U812" i="2" a="1"/>
  <c r="U812" i="2" s="1"/>
  <c r="U813" i="2" a="1"/>
  <c r="U813" i="2" s="1"/>
  <c r="U814" i="2" a="1"/>
  <c r="U814" i="2" s="1"/>
  <c r="U815" i="2" a="1"/>
  <c r="U815" i="2" s="1"/>
  <c r="U816" i="2" a="1"/>
  <c r="U816" i="2"/>
  <c r="U817" i="2" a="1"/>
  <c r="U817" i="2" s="1"/>
  <c r="U818" i="2" a="1"/>
  <c r="U818" i="2" s="1"/>
  <c r="U819" i="2" a="1"/>
  <c r="U819" i="2" s="1"/>
  <c r="U820" i="2" a="1"/>
  <c r="U820" i="2" s="1"/>
  <c r="U821" i="2" a="1"/>
  <c r="U821" i="2" s="1"/>
  <c r="U822" i="2" a="1"/>
  <c r="U822" i="2" s="1"/>
  <c r="U823" i="2" a="1"/>
  <c r="U823" i="2" s="1"/>
  <c r="U824" i="2" a="1"/>
  <c r="U824" i="2" s="1"/>
  <c r="U825" i="2" a="1"/>
  <c r="U825" i="2" s="1"/>
  <c r="U826" i="2" a="1"/>
  <c r="U826" i="2" s="1"/>
  <c r="U827" i="2" a="1"/>
  <c r="U827" i="2" s="1"/>
  <c r="U828" i="2" a="1"/>
  <c r="U828" i="2" s="1"/>
  <c r="U829" i="2" a="1"/>
  <c r="U829" i="2" s="1"/>
  <c r="U830" i="2" a="1"/>
  <c r="U830" i="2" s="1"/>
  <c r="U831" i="2" a="1"/>
  <c r="U831" i="2" s="1"/>
  <c r="U832" i="2" a="1"/>
  <c r="U832" i="2" s="1"/>
  <c r="U833" i="2" a="1"/>
  <c r="U833" i="2" s="1"/>
  <c r="U834" i="2" a="1"/>
  <c r="U834" i="2" s="1"/>
  <c r="U835" i="2" a="1"/>
  <c r="U835" i="2" s="1"/>
  <c r="U836" i="2" a="1"/>
  <c r="U836" i="2" s="1"/>
  <c r="U837" i="2" a="1"/>
  <c r="U837" i="2" s="1"/>
  <c r="U838" i="2" a="1"/>
  <c r="U838" i="2" s="1"/>
  <c r="U839" i="2" a="1"/>
  <c r="U839" i="2" s="1"/>
  <c r="U840" i="2" a="1"/>
  <c r="U840" i="2" s="1"/>
  <c r="U841" i="2" a="1"/>
  <c r="U841" i="2" s="1"/>
  <c r="U842" i="2" a="1"/>
  <c r="U842" i="2" s="1"/>
  <c r="U843" i="2" a="1"/>
  <c r="U843" i="2" s="1"/>
  <c r="U844" i="2" a="1"/>
  <c r="U844" i="2" s="1"/>
  <c r="U845" i="2" a="1"/>
  <c r="U845" i="2" s="1"/>
  <c r="U846" i="2" a="1"/>
  <c r="U846" i="2" s="1"/>
  <c r="U847" i="2" a="1"/>
  <c r="U847" i="2" s="1"/>
  <c r="U848" i="2" a="1"/>
  <c r="U848" i="2"/>
  <c r="U849" i="2" a="1"/>
  <c r="U849" i="2" s="1"/>
  <c r="U850" i="2" a="1"/>
  <c r="U850" i="2" s="1"/>
  <c r="U851" i="2" a="1"/>
  <c r="U851" i="2" s="1"/>
  <c r="U852" i="2" a="1"/>
  <c r="U852" i="2"/>
  <c r="U853" i="2" a="1"/>
  <c r="U853" i="2" s="1"/>
  <c r="U854" i="2" a="1"/>
  <c r="U854" i="2" s="1"/>
  <c r="U855" i="2" a="1"/>
  <c r="U855" i="2" s="1"/>
  <c r="U856" i="2" a="1"/>
  <c r="U856" i="2" s="1"/>
  <c r="U857" i="2" a="1"/>
  <c r="U857" i="2" s="1"/>
  <c r="U858" i="2" a="1"/>
  <c r="U858" i="2" s="1"/>
  <c r="U859" i="2" a="1"/>
  <c r="U859" i="2" s="1"/>
  <c r="U860" i="2" a="1"/>
  <c r="U860" i="2" s="1"/>
  <c r="U861" i="2" a="1"/>
  <c r="U861" i="2" s="1"/>
  <c r="U862" i="2" a="1"/>
  <c r="U862" i="2" s="1"/>
  <c r="U863" i="2" a="1"/>
  <c r="U863" i="2" s="1"/>
  <c r="U864" i="2" a="1"/>
  <c r="U864" i="2" s="1"/>
  <c r="U865" i="2" a="1"/>
  <c r="U865" i="2" s="1"/>
  <c r="U866" i="2" a="1"/>
  <c r="U866" i="2" s="1"/>
  <c r="U867" i="2" a="1"/>
  <c r="U867" i="2"/>
  <c r="U868" i="2" a="1"/>
  <c r="U868" i="2" s="1"/>
  <c r="U869" i="2" a="1"/>
  <c r="U869" i="2" s="1"/>
  <c r="U870" i="2" a="1"/>
  <c r="U870" i="2" s="1"/>
  <c r="U871" i="2" a="1"/>
  <c r="U871" i="2" s="1"/>
  <c r="U872" i="2" a="1"/>
  <c r="U872" i="2" s="1"/>
  <c r="U873" i="2" a="1"/>
  <c r="U873" i="2" s="1"/>
  <c r="U874" i="2" a="1"/>
  <c r="U874" i="2" s="1"/>
  <c r="U875" i="2" a="1"/>
  <c r="U875" i="2" s="1"/>
  <c r="U876" i="2" a="1"/>
  <c r="U876" i="2" s="1"/>
  <c r="U877" i="2" a="1"/>
  <c r="U877" i="2" s="1"/>
  <c r="U878" i="2" a="1"/>
  <c r="U878" i="2" s="1"/>
  <c r="U879" i="2" a="1"/>
  <c r="U879" i="2" s="1"/>
  <c r="U880" i="2" a="1"/>
  <c r="U880" i="2" s="1"/>
  <c r="U881" i="2" a="1"/>
  <c r="U881" i="2" s="1"/>
  <c r="U882" i="2" a="1"/>
  <c r="U882" i="2" s="1"/>
  <c r="U883" i="2" a="1"/>
  <c r="U883" i="2" s="1"/>
  <c r="U884" i="2" a="1"/>
  <c r="U884" i="2" s="1"/>
  <c r="U885" i="2" a="1"/>
  <c r="U885" i="2" s="1"/>
  <c r="U886" i="2" a="1"/>
  <c r="U886" i="2" s="1"/>
  <c r="U887" i="2" a="1"/>
  <c r="U887" i="2" s="1"/>
  <c r="U888" i="2" a="1"/>
  <c r="U888" i="2"/>
  <c r="U889" i="2" a="1"/>
  <c r="U889" i="2" s="1"/>
  <c r="U890" i="2" a="1"/>
  <c r="U890" i="2" s="1"/>
  <c r="U891" i="2" a="1"/>
  <c r="U891" i="2" s="1"/>
  <c r="U892" i="2" a="1"/>
  <c r="U892" i="2" s="1"/>
  <c r="U893" i="2" a="1"/>
  <c r="U893" i="2" s="1"/>
  <c r="U894" i="2" a="1"/>
  <c r="U894" i="2" s="1"/>
  <c r="U895" i="2" a="1"/>
  <c r="U895" i="2" s="1"/>
  <c r="U896" i="2" a="1"/>
  <c r="U896" i="2" s="1"/>
  <c r="U897" i="2" a="1"/>
  <c r="U897" i="2" s="1"/>
  <c r="U898" i="2" a="1"/>
  <c r="U898" i="2" s="1"/>
  <c r="U899" i="2" a="1"/>
  <c r="U899" i="2" s="1"/>
  <c r="U900" i="2" a="1"/>
  <c r="U900" i="2" s="1"/>
  <c r="U901" i="2" a="1"/>
  <c r="U901" i="2" s="1"/>
  <c r="U902" i="2" a="1"/>
  <c r="U902" i="2" s="1"/>
  <c r="U903" i="2" a="1"/>
  <c r="U903" i="2" s="1"/>
  <c r="U904" i="2" a="1"/>
  <c r="U904" i="2" s="1"/>
  <c r="U905" i="2" a="1"/>
  <c r="U905" i="2" s="1"/>
  <c r="U906" i="2" a="1"/>
  <c r="U906" i="2" s="1"/>
  <c r="U907" i="2" a="1"/>
  <c r="U907" i="2" s="1"/>
  <c r="U908" i="2" a="1"/>
  <c r="U908" i="2" s="1"/>
  <c r="U909" i="2" a="1"/>
  <c r="U909" i="2" s="1"/>
  <c r="U910" i="2" a="1"/>
  <c r="U910" i="2" s="1"/>
  <c r="U911" i="2" a="1"/>
  <c r="U911" i="2" s="1"/>
  <c r="U912" i="2" a="1"/>
  <c r="U912" i="2" s="1"/>
  <c r="U913" i="2" a="1"/>
  <c r="U913" i="2" s="1"/>
  <c r="U914" i="2" a="1"/>
  <c r="U914" i="2" s="1"/>
  <c r="U915" i="2" a="1"/>
  <c r="U915" i="2" s="1"/>
  <c r="U916" i="2" a="1"/>
  <c r="U916" i="2" s="1"/>
  <c r="U917" i="2" a="1"/>
  <c r="U917" i="2" s="1"/>
  <c r="U918" i="2" a="1"/>
  <c r="U918" i="2" s="1"/>
  <c r="U919" i="2" a="1"/>
  <c r="U919" i="2" s="1"/>
  <c r="U920" i="2" a="1"/>
  <c r="U920" i="2" s="1"/>
  <c r="U921" i="2" a="1"/>
  <c r="U921" i="2" s="1"/>
  <c r="U922" i="2" a="1"/>
  <c r="U922" i="2" s="1"/>
  <c r="U923" i="2" a="1"/>
  <c r="U923" i="2" s="1"/>
  <c r="U924" i="2" a="1"/>
  <c r="U924" i="2" s="1"/>
  <c r="U925" i="2" a="1"/>
  <c r="U925" i="2" s="1"/>
  <c r="U926" i="2" a="1"/>
  <c r="U926" i="2" s="1"/>
  <c r="U927" i="2" a="1"/>
  <c r="U927" i="2" s="1"/>
  <c r="U928" i="2" a="1"/>
  <c r="U928" i="2" s="1"/>
  <c r="U929" i="2" a="1"/>
  <c r="U929" i="2" s="1"/>
  <c r="U930" i="2" a="1"/>
  <c r="U930" i="2" s="1"/>
  <c r="U931" i="2" a="1"/>
  <c r="U931" i="2" s="1"/>
  <c r="U932" i="2" a="1"/>
  <c r="U932" i="2" s="1"/>
  <c r="U933" i="2" a="1"/>
  <c r="U933" i="2" s="1"/>
  <c r="U934" i="2" a="1"/>
  <c r="U934" i="2" s="1"/>
  <c r="U935" i="2" a="1"/>
  <c r="U935" i="2" s="1"/>
  <c r="U936" i="2" a="1"/>
  <c r="U936" i="2" s="1"/>
  <c r="U937" i="2" a="1"/>
  <c r="U937" i="2" s="1"/>
  <c r="U938" i="2" a="1"/>
  <c r="U938" i="2" s="1"/>
  <c r="U939" i="2" a="1"/>
  <c r="U939" i="2" s="1"/>
  <c r="U940" i="2" a="1"/>
  <c r="U940" i="2" s="1"/>
  <c r="U941" i="2" a="1"/>
  <c r="U941" i="2" s="1"/>
  <c r="U942" i="2" a="1"/>
  <c r="U942" i="2" s="1"/>
  <c r="U943" i="2" a="1"/>
  <c r="U943" i="2" s="1"/>
  <c r="U944" i="2" a="1"/>
  <c r="U944" i="2" s="1"/>
  <c r="U945" i="2" a="1"/>
  <c r="U945" i="2" s="1"/>
  <c r="U946" i="2" a="1"/>
  <c r="U946" i="2" s="1"/>
  <c r="U947" i="2" a="1"/>
  <c r="U947" i="2" s="1"/>
  <c r="U948" i="2" a="1"/>
  <c r="U948" i="2" s="1"/>
  <c r="U949" i="2" a="1"/>
  <c r="U949" i="2" s="1"/>
  <c r="U950" i="2" a="1"/>
  <c r="U950" i="2" s="1"/>
  <c r="U951" i="2" a="1"/>
  <c r="U951" i="2" s="1"/>
  <c r="U952" i="2" a="1"/>
  <c r="U952" i="2" s="1"/>
  <c r="U953" i="2" a="1"/>
  <c r="U953" i="2" s="1"/>
  <c r="U954" i="2" a="1"/>
  <c r="U954" i="2" s="1"/>
  <c r="U955" i="2" a="1"/>
  <c r="U955" i="2" s="1"/>
  <c r="U956" i="2" a="1"/>
  <c r="U956" i="2" s="1"/>
  <c r="U957" i="2" a="1"/>
  <c r="U957" i="2" s="1"/>
  <c r="U958" i="2" a="1"/>
  <c r="U958" i="2" s="1"/>
  <c r="U959" i="2" a="1"/>
  <c r="U959" i="2" s="1"/>
  <c r="U960" i="2" a="1"/>
  <c r="U960" i="2" s="1"/>
  <c r="U961" i="2" a="1"/>
  <c r="U961" i="2" s="1"/>
  <c r="U962" i="2" a="1"/>
  <c r="U962" i="2" s="1"/>
  <c r="U963" i="2" a="1"/>
  <c r="U963" i="2" s="1"/>
  <c r="U964" i="2" a="1"/>
  <c r="U964" i="2" s="1"/>
  <c r="U965" i="2" a="1"/>
  <c r="U965" i="2" s="1"/>
  <c r="U966" i="2" a="1"/>
  <c r="U966" i="2" s="1"/>
  <c r="U967" i="2" a="1"/>
  <c r="U967" i="2" s="1"/>
  <c r="U968" i="2" a="1"/>
  <c r="U968" i="2" s="1"/>
  <c r="U969" i="2" a="1"/>
  <c r="U969" i="2" s="1"/>
  <c r="U970" i="2" a="1"/>
  <c r="U970" i="2" s="1"/>
  <c r="U971" i="2" a="1"/>
  <c r="U971" i="2" s="1"/>
  <c r="U972" i="2" a="1"/>
  <c r="U972" i="2" s="1"/>
  <c r="U973" i="2" a="1"/>
  <c r="U973" i="2" s="1"/>
  <c r="U974" i="2" a="1"/>
  <c r="U974" i="2" s="1"/>
  <c r="U975" i="2" a="1"/>
  <c r="U975" i="2" s="1"/>
  <c r="U976" i="2" a="1"/>
  <c r="U976" i="2" s="1"/>
  <c r="U977" i="2" a="1"/>
  <c r="U977" i="2" s="1"/>
  <c r="U978" i="2" a="1"/>
  <c r="U978" i="2" s="1"/>
  <c r="U979" i="2" a="1"/>
  <c r="U979" i="2" s="1"/>
  <c r="U980" i="2" a="1"/>
  <c r="U980" i="2" s="1"/>
  <c r="U981" i="2" a="1"/>
  <c r="U981" i="2" s="1"/>
  <c r="U982" i="2" a="1"/>
  <c r="U982" i="2" s="1"/>
  <c r="U983" i="2" a="1"/>
  <c r="U983" i="2" s="1"/>
  <c r="U984" i="2" a="1"/>
  <c r="U984" i="2" s="1"/>
  <c r="U985" i="2" a="1"/>
  <c r="U985" i="2" s="1"/>
  <c r="U986" i="2" a="1"/>
  <c r="U986" i="2" s="1"/>
  <c r="U987" i="2" a="1"/>
  <c r="U987" i="2" s="1"/>
  <c r="U988" i="2" a="1"/>
  <c r="U988" i="2" s="1"/>
  <c r="U989" i="2" a="1"/>
  <c r="U989" i="2" s="1"/>
  <c r="U990" i="2" a="1"/>
  <c r="U990" i="2" s="1"/>
  <c r="U991" i="2" a="1"/>
  <c r="U991" i="2" s="1"/>
  <c r="U992" i="2" a="1"/>
  <c r="U992" i="2" s="1"/>
  <c r="U993" i="2" a="1"/>
  <c r="U993" i="2" s="1"/>
  <c r="U994" i="2" a="1"/>
  <c r="U994" i="2" s="1"/>
  <c r="U995" i="2" a="1"/>
  <c r="U995" i="2" s="1"/>
  <c r="U996" i="2" a="1"/>
  <c r="U996" i="2" s="1"/>
  <c r="U997" i="2" a="1"/>
  <c r="U997" i="2" s="1"/>
  <c r="U998" i="2" a="1"/>
  <c r="U998" i="2" s="1"/>
  <c r="U999" i="2" a="1"/>
  <c r="U999" i="2" s="1"/>
  <c r="U1000" i="2" a="1"/>
  <c r="U1000" i="2" s="1"/>
  <c r="U1001" i="2" a="1"/>
  <c r="U1001" i="2" s="1"/>
  <c r="U1002" i="2" a="1"/>
  <c r="U1002" i="2" s="1"/>
  <c r="U1003" i="2" a="1"/>
  <c r="U1003" i="2" s="1"/>
  <c r="U1004" i="2" a="1"/>
  <c r="U1004" i="2" s="1"/>
  <c r="U1005" i="2" a="1"/>
  <c r="U1005" i="2" s="1"/>
  <c r="U1006" i="2" a="1"/>
  <c r="U1006" i="2" s="1"/>
  <c r="U1007" i="2" a="1"/>
  <c r="U1007" i="2" s="1"/>
  <c r="U1008" i="2" a="1"/>
  <c r="U1008" i="2" s="1"/>
  <c r="U1009" i="2" a="1"/>
  <c r="U1009" i="2" s="1"/>
  <c r="U1010" i="2" a="1"/>
  <c r="U1010" i="2" s="1"/>
  <c r="U1011" i="2" a="1"/>
  <c r="U1011" i="2" s="1"/>
  <c r="U1012" i="2" a="1"/>
  <c r="U1012" i="2" s="1"/>
  <c r="U1013" i="2" a="1"/>
  <c r="U1013" i="2" s="1"/>
  <c r="U1014" i="2" a="1"/>
  <c r="U1014" i="2" s="1"/>
  <c r="U1015" i="2" a="1"/>
  <c r="U1015" i="2" s="1"/>
  <c r="U1016" i="2" a="1"/>
  <c r="U1016" i="2" s="1"/>
  <c r="U1017" i="2" a="1"/>
  <c r="U1017" i="2" s="1"/>
  <c r="U1018" i="2" a="1"/>
  <c r="U1018" i="2" s="1"/>
  <c r="U1019" i="2" a="1"/>
  <c r="U1019" i="2" s="1"/>
  <c r="U1020" i="2" a="1"/>
  <c r="U1020" i="2" s="1"/>
  <c r="U1021" i="2" a="1"/>
  <c r="U1021" i="2" s="1"/>
  <c r="U1022" i="2" a="1"/>
  <c r="U1022" i="2" s="1"/>
  <c r="U1023" i="2" a="1"/>
  <c r="U1023" i="2" s="1"/>
  <c r="U1024" i="2" a="1"/>
  <c r="U1024" i="2" s="1"/>
  <c r="U1025" i="2" a="1"/>
  <c r="U1025" i="2" s="1"/>
  <c r="U1026" i="2" a="1"/>
  <c r="U1026" i="2" s="1"/>
  <c r="U1027" i="2" a="1"/>
  <c r="U1027" i="2" s="1"/>
  <c r="U1028" i="2" a="1"/>
  <c r="U1028" i="2" s="1"/>
  <c r="U1029" i="2" a="1"/>
  <c r="U1029" i="2" s="1"/>
  <c r="U1030" i="2" a="1"/>
  <c r="U1030" i="2" s="1"/>
  <c r="U1031" i="2" a="1"/>
  <c r="U1031" i="2" s="1"/>
  <c r="U1032" i="2" a="1"/>
  <c r="U1032" i="2" s="1"/>
  <c r="U1033" i="2" a="1"/>
  <c r="U1033" i="2" s="1"/>
  <c r="U1034" i="2" a="1"/>
  <c r="U1034" i="2" s="1"/>
  <c r="U1035" i="2" a="1"/>
  <c r="U1035" i="2" s="1"/>
  <c r="U1036" i="2" a="1"/>
  <c r="U1036" i="2" s="1"/>
  <c r="U1037" i="2" a="1"/>
  <c r="U1037" i="2" s="1"/>
  <c r="U1038" i="2" a="1"/>
  <c r="U1038" i="2" s="1"/>
  <c r="U1039" i="2" a="1"/>
  <c r="U1039" i="2" s="1"/>
  <c r="U1040" i="2" a="1"/>
  <c r="U1040" i="2" s="1"/>
  <c r="U1041" i="2" a="1"/>
  <c r="U1041" i="2" s="1"/>
  <c r="U1042" i="2" a="1"/>
  <c r="U1042" i="2" s="1"/>
  <c r="U1043" i="2" a="1"/>
  <c r="U1043" i="2" s="1"/>
  <c r="U1044" i="2" a="1"/>
  <c r="U1044" i="2" s="1"/>
  <c r="U1045" i="2" a="1"/>
  <c r="U1045" i="2" s="1"/>
  <c r="U1046" i="2" a="1"/>
  <c r="U1046" i="2" s="1"/>
  <c r="U1047" i="2" a="1"/>
  <c r="U1047" i="2" s="1"/>
  <c r="U1048" i="2" a="1"/>
  <c r="U1048" i="2" s="1"/>
  <c r="U1049" i="2" a="1"/>
  <c r="U1049" i="2" s="1"/>
  <c r="U1050" i="2" a="1"/>
  <c r="U1050" i="2" s="1"/>
  <c r="U1051" i="2" a="1"/>
  <c r="U1051" i="2" s="1"/>
  <c r="U1052" i="2" a="1"/>
  <c r="U1052" i="2" s="1"/>
  <c r="U1053" i="2" a="1"/>
  <c r="U1053" i="2" s="1"/>
  <c r="U1054" i="2" a="1"/>
  <c r="U1054" i="2" s="1"/>
  <c r="U1055" i="2" a="1"/>
  <c r="U1055" i="2" s="1"/>
  <c r="U1056" i="2" a="1"/>
  <c r="U1056" i="2" s="1"/>
  <c r="U1057" i="2" a="1"/>
  <c r="U1057" i="2" s="1"/>
  <c r="U1058" i="2" a="1"/>
  <c r="U1058" i="2" s="1"/>
  <c r="U1059" i="2" a="1"/>
  <c r="U1059" i="2" s="1"/>
  <c r="U1060" i="2" a="1"/>
  <c r="U1060" i="2" s="1"/>
  <c r="U1061" i="2" a="1"/>
  <c r="U1061" i="2" s="1"/>
  <c r="U1062" i="2" a="1"/>
  <c r="U1062" i="2" s="1"/>
  <c r="U1063" i="2" a="1"/>
  <c r="U1063" i="2" s="1"/>
  <c r="U1064" i="2" a="1"/>
  <c r="U1064" i="2" s="1"/>
  <c r="U1065" i="2" a="1"/>
  <c r="U1065" i="2" s="1"/>
  <c r="U1066" i="2" a="1"/>
  <c r="U1066" i="2"/>
  <c r="U1067" i="2" a="1"/>
  <c r="U1067" i="2"/>
  <c r="U1068" i="2" a="1"/>
  <c r="U1068" i="2"/>
  <c r="U1069" i="2" a="1"/>
  <c r="U1069" i="2" s="1"/>
  <c r="U1070" i="2" a="1"/>
  <c r="U1070" i="2" s="1"/>
  <c r="U1071" i="2" a="1"/>
  <c r="U1071" i="2" s="1"/>
  <c r="U1072" i="2" a="1"/>
  <c r="U1072" i="2" s="1"/>
  <c r="U1073" i="2" a="1"/>
  <c r="U1073" i="2" s="1"/>
  <c r="U1074" i="2" a="1"/>
  <c r="U1074" i="2" s="1"/>
  <c r="U1075" i="2" a="1"/>
  <c r="U1075" i="2"/>
  <c r="U1076" i="2" a="1"/>
  <c r="U1076" i="2" s="1"/>
  <c r="U1077" i="2" a="1"/>
  <c r="U1077" i="2" s="1"/>
  <c r="U1078" i="2" a="1"/>
  <c r="U1078" i="2" s="1"/>
  <c r="U1079" i="2" a="1"/>
  <c r="U1079" i="2" s="1"/>
  <c r="U1080" i="2" a="1"/>
  <c r="U1080" i="2" s="1"/>
  <c r="U1081" i="2" a="1"/>
  <c r="U1081" i="2" s="1"/>
  <c r="U1082" i="2" a="1"/>
  <c r="U1082" i="2" s="1"/>
  <c r="U1083" i="2" a="1"/>
  <c r="U1083" i="2"/>
  <c r="U1084" i="2" a="1"/>
  <c r="U1084" i="2"/>
  <c r="U1085" i="2" a="1"/>
  <c r="U1085" i="2" s="1"/>
  <c r="U1086" i="2" a="1"/>
  <c r="U1086" i="2" s="1"/>
  <c r="U1087" i="2" a="1"/>
  <c r="U1087" i="2" s="1"/>
  <c r="U1088" i="2" a="1"/>
  <c r="U1088" i="2" s="1"/>
  <c r="U1089" i="2" a="1"/>
  <c r="U1089" i="2" s="1"/>
  <c r="U1090" i="2" a="1"/>
  <c r="U1090" i="2" s="1"/>
  <c r="U1091" i="2" a="1"/>
  <c r="U1091" i="2" s="1"/>
  <c r="U1092" i="2" a="1"/>
  <c r="U1092" i="2"/>
  <c r="U1093" i="2" a="1"/>
  <c r="U1093" i="2" s="1"/>
  <c r="U1094" i="2" a="1"/>
  <c r="U1094" i="2" s="1"/>
  <c r="U1095" i="2" a="1"/>
  <c r="U1095" i="2" s="1"/>
  <c r="U1096" i="2" a="1"/>
  <c r="U1096" i="2" s="1"/>
  <c r="U1097" i="2" a="1"/>
  <c r="U1097" i="2" s="1"/>
  <c r="U1098" i="2" a="1"/>
  <c r="U1098" i="2" s="1"/>
  <c r="U1099" i="2" a="1"/>
  <c r="U1099" i="2" s="1"/>
  <c r="U1100" i="2" a="1"/>
  <c r="U1100" i="2"/>
  <c r="U1101" i="2" a="1"/>
  <c r="U1101" i="2" s="1"/>
  <c r="U1102" i="2" a="1"/>
  <c r="U1102" i="2" s="1"/>
  <c r="U1103" i="2" a="1"/>
  <c r="U1103" i="2" s="1"/>
  <c r="U1104" i="2" a="1"/>
  <c r="U1104" i="2" s="1"/>
  <c r="U1105" i="2" a="1"/>
  <c r="U1105" i="2" s="1"/>
  <c r="U1106" i="2" a="1"/>
  <c r="U1106" i="2" s="1"/>
  <c r="U1107" i="2" a="1"/>
  <c r="U1107" i="2" s="1"/>
  <c r="U1108" i="2" a="1"/>
  <c r="U1108" i="2" s="1"/>
  <c r="U1109" i="2" a="1"/>
  <c r="U1109" i="2" s="1"/>
  <c r="U1110" i="2" a="1"/>
  <c r="U1110" i="2" s="1"/>
  <c r="U1111" i="2" a="1"/>
  <c r="U1111" i="2" s="1"/>
  <c r="U1112" i="2" a="1"/>
  <c r="U1112" i="2" s="1"/>
  <c r="U1113" i="2" a="1"/>
  <c r="U1113" i="2" s="1"/>
  <c r="U1114" i="2" a="1"/>
  <c r="U1114" i="2" s="1"/>
  <c r="U1115" i="2" a="1"/>
  <c r="U1115" i="2" s="1"/>
  <c r="U1116" i="2" a="1"/>
  <c r="U1116" i="2" s="1"/>
  <c r="U1117" i="2" a="1"/>
  <c r="U1117" i="2" s="1"/>
  <c r="U1118" i="2" a="1"/>
  <c r="U1118" i="2" s="1"/>
  <c r="U1119" i="2" a="1"/>
  <c r="U1119" i="2" s="1"/>
  <c r="U1120" i="2" a="1"/>
  <c r="U1120" i="2" s="1"/>
  <c r="U1121" i="2" a="1"/>
  <c r="U1121" i="2" s="1"/>
  <c r="U1122" i="2" a="1"/>
  <c r="U1122" i="2" s="1"/>
  <c r="U1123" i="2" a="1"/>
  <c r="U1123" i="2" s="1"/>
  <c r="U1124" i="2" a="1"/>
  <c r="U1124" i="2" s="1"/>
  <c r="U1125" i="2" a="1"/>
  <c r="U1125" i="2" s="1"/>
  <c r="U1126" i="2" a="1"/>
  <c r="U1126" i="2" s="1"/>
  <c r="U1127" i="2" a="1"/>
  <c r="U1127" i="2" s="1"/>
  <c r="U1128" i="2" a="1"/>
  <c r="U1128" i="2"/>
  <c r="U1129" i="2" a="1"/>
  <c r="U1129" i="2" s="1"/>
  <c r="U1130" i="2" a="1"/>
  <c r="U1130" i="2" s="1"/>
  <c r="U1131" i="2" a="1"/>
  <c r="U1131" i="2" s="1"/>
  <c r="U1132" i="2" a="1"/>
  <c r="U1132" i="2"/>
  <c r="U1133" i="2" a="1"/>
  <c r="U1133" i="2" s="1"/>
  <c r="U1134" i="2" a="1"/>
  <c r="U1134" i="2" s="1"/>
  <c r="U1135" i="2" a="1"/>
  <c r="U1135" i="2" s="1"/>
  <c r="U1136" i="2" a="1"/>
  <c r="U1136" i="2" s="1"/>
  <c r="U1137" i="2" a="1"/>
  <c r="U1137" i="2" s="1"/>
  <c r="U1138" i="2" a="1"/>
  <c r="U1138" i="2" s="1"/>
  <c r="U1139" i="2" a="1"/>
  <c r="U1139" i="2" s="1"/>
  <c r="U1140" i="2" a="1"/>
  <c r="U1140" i="2" s="1"/>
  <c r="U1141" i="2" a="1"/>
  <c r="U1141" i="2" s="1"/>
  <c r="U1142" i="2" a="1"/>
  <c r="U1142" i="2" s="1"/>
  <c r="U1143" i="2" a="1"/>
  <c r="U1143" i="2" s="1"/>
  <c r="U1144" i="2" a="1"/>
  <c r="U1144" i="2" s="1"/>
  <c r="U1145" i="2" a="1"/>
  <c r="U1145" i="2" s="1"/>
  <c r="U1146" i="2" a="1"/>
  <c r="U1146" i="2" s="1"/>
  <c r="U1147" i="2" a="1"/>
  <c r="U1147" i="2" s="1"/>
  <c r="U1148" i="2" a="1"/>
  <c r="U1148" i="2" s="1"/>
  <c r="U1149" i="2" a="1"/>
  <c r="U1149" i="2" s="1"/>
  <c r="U1150" i="2" a="1"/>
  <c r="U1150" i="2" s="1"/>
  <c r="U1151" i="2" a="1"/>
  <c r="U1151" i="2" s="1"/>
  <c r="U1152" i="2" a="1"/>
  <c r="U1152" i="2" s="1"/>
  <c r="U1153" i="2" a="1"/>
  <c r="U1153" i="2" s="1"/>
  <c r="U1154" i="2" a="1"/>
  <c r="U1154" i="2" s="1"/>
  <c r="U1155" i="2" a="1"/>
  <c r="U1155" i="2" s="1"/>
  <c r="U1156" i="2" a="1"/>
  <c r="U1156" i="2" s="1"/>
  <c r="U1157" i="2" a="1"/>
  <c r="U1157" i="2" s="1"/>
  <c r="U1158" i="2" a="1"/>
  <c r="U1158" i="2" s="1"/>
  <c r="U1159" i="2" a="1"/>
  <c r="U1159" i="2" s="1"/>
  <c r="U1160" i="2" a="1"/>
  <c r="U1160" i="2" s="1"/>
  <c r="U1161" i="2" a="1"/>
  <c r="U1161" i="2" s="1"/>
  <c r="U1162" i="2" a="1"/>
  <c r="U1162" i="2" s="1"/>
  <c r="U1163" i="2" a="1"/>
  <c r="U1163" i="2" s="1"/>
  <c r="U1164" i="2" a="1"/>
  <c r="U1164" i="2" s="1"/>
  <c r="U1165" i="2" a="1"/>
  <c r="U1165" i="2" s="1"/>
  <c r="U1166" i="2" a="1"/>
  <c r="U1166" i="2" s="1"/>
  <c r="U1167" i="2" a="1"/>
  <c r="U1167" i="2" s="1"/>
  <c r="U1168" i="2" a="1"/>
  <c r="U1168" i="2" s="1"/>
  <c r="U1169" i="2" a="1"/>
  <c r="U1169" i="2" s="1"/>
  <c r="U1170" i="2" a="1"/>
  <c r="U1170" i="2"/>
  <c r="U1171" i="2" a="1"/>
  <c r="U1171" i="2" s="1"/>
  <c r="U1172" i="2" a="1"/>
  <c r="U1172" i="2" s="1"/>
  <c r="U1173" i="2" a="1"/>
  <c r="U1173" i="2" s="1"/>
  <c r="U1174" i="2" a="1"/>
  <c r="U1174" i="2" s="1"/>
  <c r="U1175" i="2" a="1"/>
  <c r="U1175" i="2" s="1"/>
  <c r="U1176" i="2" a="1"/>
  <c r="U1176" i="2" s="1"/>
  <c r="U1177" i="2" a="1"/>
  <c r="U1177" i="2" s="1"/>
  <c r="U1178" i="2" a="1"/>
  <c r="U1178" i="2" s="1"/>
  <c r="U1179" i="2" a="1"/>
  <c r="U1179" i="2" s="1"/>
  <c r="U1180" i="2" a="1"/>
  <c r="U1180" i="2"/>
  <c r="U1181" i="2" a="1"/>
  <c r="U1181" i="2" s="1"/>
  <c r="U1182" i="2" a="1"/>
  <c r="U1182" i="2" s="1"/>
  <c r="U1183" i="2" a="1"/>
  <c r="U1183" i="2" s="1"/>
  <c r="U1184" i="2" a="1"/>
  <c r="U1184" i="2" s="1"/>
  <c r="U1185" i="2" a="1"/>
  <c r="U1185" i="2" s="1"/>
  <c r="U1186" i="2" a="1"/>
  <c r="U1186" i="2"/>
  <c r="U1187" i="2" a="1"/>
  <c r="U1187" i="2" s="1"/>
  <c r="U1188" i="2" a="1"/>
  <c r="U1188" i="2" s="1"/>
  <c r="U1189" i="2" a="1"/>
  <c r="U1189" i="2" s="1"/>
  <c r="U1190" i="2" a="1"/>
  <c r="U1190" i="2" s="1"/>
  <c r="U1191" i="2" a="1"/>
  <c r="U1191" i="2" s="1"/>
  <c r="U1192" i="2" a="1"/>
  <c r="U1192" i="2" s="1"/>
  <c r="U1193" i="2" a="1"/>
  <c r="U1193" i="2" s="1"/>
  <c r="U1194" i="2" a="1"/>
  <c r="U1194" i="2" s="1"/>
  <c r="U1195" i="2" a="1"/>
  <c r="U1195" i="2" s="1"/>
  <c r="U1196" i="2" a="1"/>
  <c r="U1196" i="2"/>
  <c r="U1197" i="2" a="1"/>
  <c r="U1197" i="2" s="1"/>
  <c r="U1198" i="2" a="1"/>
  <c r="U1198" i="2" s="1"/>
  <c r="U1199" i="2" a="1"/>
  <c r="U1199" i="2" s="1"/>
  <c r="U1200" i="2" a="1"/>
  <c r="U1200" i="2" s="1"/>
  <c r="U1201" i="2" a="1"/>
  <c r="U1201" i="2" s="1"/>
  <c r="U1202" i="2" a="1"/>
  <c r="U1202" i="2" s="1"/>
  <c r="U1203" i="2" a="1"/>
  <c r="U1203" i="2" s="1"/>
  <c r="U1204" i="2" a="1"/>
  <c r="U1204" i="2" s="1"/>
  <c r="U1205" i="2" a="1"/>
  <c r="U1205" i="2" s="1"/>
  <c r="U1206" i="2" a="1"/>
  <c r="U1206" i="2" s="1"/>
  <c r="U1207" i="2" a="1"/>
  <c r="U1207" i="2" s="1"/>
  <c r="U1208" i="2" a="1"/>
  <c r="U1208" i="2" s="1"/>
  <c r="U1209" i="2" a="1"/>
  <c r="U1209" i="2" s="1"/>
  <c r="U1210" i="2" a="1"/>
  <c r="U1210" i="2" s="1"/>
  <c r="U1211" i="2" a="1"/>
  <c r="U1211" i="2" s="1"/>
  <c r="U1212" i="2" a="1"/>
  <c r="U1212" i="2" s="1"/>
  <c r="U1213" i="2" a="1"/>
  <c r="U1213" i="2" s="1"/>
  <c r="U1214" i="2" a="1"/>
  <c r="U1214" i="2" s="1"/>
  <c r="U1215" i="2" a="1"/>
  <c r="U1215" i="2" s="1"/>
  <c r="U1216" i="2" a="1"/>
  <c r="U1216" i="2" s="1"/>
  <c r="U1217" i="2" a="1"/>
  <c r="U1217" i="2"/>
  <c r="U1218" i="2" a="1"/>
  <c r="U1218" i="2" s="1"/>
  <c r="U1219" i="2" a="1"/>
  <c r="U1219" i="2" s="1"/>
  <c r="U1220" i="2" a="1"/>
  <c r="U1220" i="2" s="1"/>
  <c r="U1221" i="2" a="1"/>
  <c r="U1221" i="2"/>
  <c r="U1222" i="2" a="1"/>
  <c r="U1222" i="2" s="1"/>
  <c r="U1223" i="2" a="1"/>
  <c r="U1223" i="2" s="1"/>
  <c r="U1224" i="2" a="1"/>
  <c r="U1224" i="2" s="1"/>
  <c r="U1225" i="2" a="1"/>
  <c r="U1225" i="2" s="1"/>
  <c r="U1226" i="2" a="1"/>
  <c r="U1226" i="2"/>
  <c r="U1227" i="2" a="1"/>
  <c r="U1227" i="2" s="1"/>
  <c r="U1228" i="2" a="1"/>
  <c r="U1228" i="2" s="1"/>
  <c r="U1229" i="2" a="1"/>
  <c r="U1229" i="2" s="1"/>
  <c r="U1230" i="2" a="1"/>
  <c r="U1230" i="2"/>
  <c r="U1231" i="2" a="1"/>
  <c r="U1231" i="2" s="1"/>
  <c r="U1232" i="2" a="1"/>
  <c r="U1232" i="2"/>
  <c r="U1233" i="2" a="1"/>
  <c r="U1233" i="2" s="1"/>
  <c r="U1234" i="2" a="1"/>
  <c r="U1234" i="2" s="1"/>
  <c r="U1235" i="2" a="1"/>
  <c r="U1235" i="2" s="1"/>
  <c r="U1236" i="2" a="1"/>
  <c r="U1236" i="2" s="1"/>
  <c r="U1237" i="2" a="1"/>
  <c r="U1237" i="2" s="1"/>
  <c r="U1238" i="2" a="1"/>
  <c r="U1238" i="2" s="1"/>
  <c r="U1239" i="2" a="1"/>
  <c r="U1239" i="2" s="1"/>
  <c r="U1240" i="2" a="1"/>
  <c r="U1240" i="2" s="1"/>
  <c r="U1241" i="2" a="1"/>
  <c r="U1241" i="2"/>
  <c r="U1242" i="2" a="1"/>
  <c r="U1242" i="2" s="1"/>
  <c r="U1243" i="2" a="1"/>
  <c r="U1243" i="2" s="1"/>
  <c r="U1244" i="2" a="1"/>
  <c r="U1244" i="2" s="1"/>
  <c r="U1245" i="2" a="1"/>
  <c r="U1245" i="2" s="1"/>
  <c r="U1246" i="2" a="1"/>
  <c r="U1246" i="2" s="1"/>
  <c r="U1247" i="2" a="1"/>
  <c r="U1247" i="2" s="1"/>
  <c r="U1248" i="2" a="1"/>
  <c r="U1248" i="2" s="1"/>
  <c r="U1249" i="2" a="1"/>
  <c r="U1249" i="2"/>
  <c r="U1250" i="2" a="1"/>
  <c r="U1250" i="2" s="1"/>
  <c r="U1251" i="2" a="1"/>
  <c r="U1251" i="2" s="1"/>
  <c r="U1252" i="2" a="1"/>
  <c r="U1252" i="2" s="1"/>
  <c r="U1253" i="2" a="1"/>
  <c r="U1253" i="2"/>
  <c r="U1254" i="2" a="1"/>
  <c r="U1254" i="2" s="1"/>
  <c r="U1255" i="2" a="1"/>
  <c r="U1255" i="2" s="1"/>
  <c r="U1256" i="2" a="1"/>
  <c r="U1256" i="2" s="1"/>
  <c r="U1257" i="2" a="1"/>
  <c r="U1257" i="2" s="1"/>
  <c r="U1258" i="2" a="1"/>
  <c r="U1258" i="2" s="1"/>
  <c r="U1259" i="2" a="1"/>
  <c r="U1259" i="2" s="1"/>
  <c r="U1260" i="2" a="1"/>
  <c r="U1260" i="2" s="1"/>
  <c r="U1261" i="2" a="1"/>
  <c r="U1261" i="2" s="1"/>
  <c r="U1262" i="2" a="1"/>
  <c r="U1262" i="2" s="1"/>
  <c r="U1263" i="2" a="1"/>
  <c r="U1263" i="2" s="1"/>
  <c r="U1264" i="2" a="1"/>
  <c r="U1264" i="2" s="1"/>
  <c r="U1265" i="2" a="1"/>
  <c r="U1265" i="2" s="1"/>
  <c r="U1266" i="2" a="1"/>
  <c r="U1266" i="2" s="1"/>
  <c r="U1267" i="2" a="1"/>
  <c r="U1267" i="2" s="1"/>
  <c r="U1268" i="2" a="1"/>
  <c r="U1268" i="2" s="1"/>
  <c r="U1269" i="2" a="1"/>
  <c r="U1269" i="2" s="1"/>
  <c r="U1270" i="2" a="1"/>
  <c r="U1270" i="2" s="1"/>
  <c r="U1271" i="2" a="1"/>
  <c r="U1271" i="2" s="1"/>
  <c r="U1272" i="2" a="1"/>
  <c r="U1272" i="2"/>
  <c r="U1273" i="2" a="1"/>
  <c r="U1273" i="2" s="1"/>
  <c r="U1274" i="2" a="1"/>
  <c r="U1274" i="2" s="1"/>
  <c r="U1275" i="2" a="1"/>
  <c r="U1275" i="2" s="1"/>
  <c r="U1276" i="2" a="1"/>
  <c r="U1276" i="2"/>
  <c r="U1277" i="2" a="1"/>
  <c r="U1277" i="2" s="1"/>
  <c r="U1278" i="2" a="1"/>
  <c r="U1278" i="2" s="1"/>
  <c r="U1279" i="2" a="1"/>
  <c r="U1279" i="2" s="1"/>
  <c r="U1280" i="2" a="1"/>
  <c r="U1280" i="2" s="1"/>
  <c r="U1281" i="2" a="1"/>
  <c r="U1281" i="2" s="1"/>
  <c r="U1282" i="2" a="1"/>
  <c r="U1282" i="2"/>
  <c r="U1283" i="2" a="1"/>
  <c r="U1283" i="2" s="1"/>
  <c r="U1284" i="2" a="1"/>
  <c r="U1284" i="2" s="1"/>
  <c r="U1285" i="2" a="1"/>
  <c r="U1285" i="2" s="1"/>
  <c r="U1286" i="2" a="1"/>
  <c r="U1286" i="2" s="1"/>
  <c r="U1287" i="2" a="1"/>
  <c r="U1287" i="2" s="1"/>
  <c r="U1288" i="2" a="1"/>
  <c r="U1288" i="2" s="1"/>
  <c r="U1289" i="2" a="1"/>
  <c r="U1289" i="2" s="1"/>
  <c r="U1290" i="2" a="1"/>
  <c r="U1290" i="2"/>
  <c r="U1291" i="2" a="1"/>
  <c r="U1291" i="2" s="1"/>
  <c r="U1292" i="2" a="1"/>
  <c r="U1292" i="2" s="1"/>
  <c r="U1293" i="2" a="1"/>
  <c r="U1293" i="2" s="1"/>
  <c r="U1294" i="2" a="1"/>
  <c r="U1294" i="2" s="1"/>
  <c r="U1295" i="2" a="1"/>
  <c r="U1295" i="2" s="1"/>
  <c r="U1296" i="2" a="1"/>
  <c r="U1296" i="2"/>
  <c r="U1297" i="2" a="1"/>
  <c r="U1297" i="2" s="1"/>
  <c r="U1298" i="2" a="1"/>
  <c r="U1298" i="2" s="1"/>
  <c r="U1299" i="2" a="1"/>
  <c r="U1299" i="2" s="1"/>
  <c r="U1300" i="2" a="1"/>
  <c r="U1300" i="2" s="1"/>
  <c r="U1301" i="2" a="1"/>
  <c r="U1301" i="2" s="1"/>
  <c r="U1302" i="2" a="1"/>
  <c r="U1302" i="2" s="1"/>
  <c r="U1303" i="2" a="1"/>
  <c r="U1303" i="2" s="1"/>
  <c r="U1304" i="2" a="1"/>
  <c r="U1304" i="2"/>
  <c r="U1305" i="2" a="1"/>
  <c r="U1305" i="2"/>
  <c r="U1306" i="2" a="1"/>
  <c r="U1306" i="2" s="1"/>
  <c r="U1307" i="2" a="1"/>
  <c r="U1307" i="2" s="1"/>
  <c r="U1308" i="2" a="1"/>
  <c r="U1308" i="2" s="1"/>
  <c r="U1309" i="2" a="1"/>
  <c r="U1309" i="2" s="1"/>
  <c r="U1310" i="2" a="1"/>
  <c r="U1310" i="2" s="1"/>
  <c r="U1311" i="2" a="1"/>
  <c r="U1311" i="2" s="1"/>
  <c r="U1312" i="2" a="1"/>
  <c r="U1312" i="2" s="1"/>
  <c r="U1313" i="2" a="1"/>
  <c r="U1313" i="2" s="1"/>
  <c r="U1314" i="2" a="1"/>
  <c r="U1314" i="2" s="1"/>
  <c r="U1315" i="2" a="1"/>
  <c r="U1315" i="2" s="1"/>
  <c r="U1316" i="2" a="1"/>
  <c r="U1316" i="2"/>
  <c r="U1317" i="2" a="1"/>
  <c r="U1317" i="2" s="1"/>
  <c r="U1318" i="2" a="1"/>
  <c r="U1318" i="2" s="1"/>
  <c r="U1319" i="2" a="1"/>
  <c r="U1319" i="2" s="1"/>
  <c r="U1320" i="2" a="1"/>
  <c r="U1320" i="2"/>
  <c r="U1321" i="2" a="1"/>
  <c r="U1321" i="2" s="1"/>
  <c r="U1322" i="2" a="1"/>
  <c r="U1322" i="2" s="1"/>
  <c r="U1323" i="2" a="1"/>
  <c r="U1323" i="2" s="1"/>
  <c r="U1324" i="2" a="1"/>
  <c r="U1324" i="2"/>
  <c r="U1325" i="2" a="1"/>
  <c r="U1325" i="2" s="1"/>
  <c r="U1326" i="2" a="1"/>
  <c r="U1326" i="2" s="1"/>
  <c r="U1327" i="2" a="1"/>
  <c r="U1327" i="2" s="1"/>
  <c r="U1328" i="2" a="1"/>
  <c r="U1328" i="2"/>
  <c r="U1329" i="2" a="1"/>
  <c r="U1329" i="2" s="1"/>
  <c r="U1330" i="2" a="1"/>
  <c r="U1330" i="2" s="1"/>
  <c r="U1331" i="2" a="1"/>
  <c r="U1331" i="2" s="1"/>
  <c r="U1332" i="2" a="1"/>
  <c r="U1332" i="2" s="1"/>
  <c r="U1333" i="2" a="1"/>
  <c r="U1333" i="2" s="1"/>
  <c r="U1334" i="2" a="1"/>
  <c r="U1334" i="2" s="1"/>
  <c r="U1335" i="2" a="1"/>
  <c r="U1335" i="2" s="1"/>
  <c r="U1336" i="2" a="1"/>
  <c r="U1336" i="2" s="1"/>
  <c r="U1337" i="2" a="1"/>
  <c r="U1337" i="2" s="1"/>
  <c r="U1338" i="2" a="1"/>
  <c r="U1338" i="2" s="1"/>
  <c r="U1339" i="2" a="1"/>
  <c r="U1339" i="2" s="1"/>
  <c r="U1340" i="2" a="1"/>
  <c r="U1340" i="2" s="1"/>
  <c r="U1341" i="2" a="1"/>
  <c r="U1341" i="2" s="1"/>
  <c r="U1342" i="2" a="1"/>
  <c r="U1342" i="2" s="1"/>
  <c r="U1343" i="2" a="1"/>
  <c r="U1343" i="2" s="1"/>
  <c r="U1344" i="2" a="1"/>
  <c r="U1344" i="2" s="1"/>
  <c r="U1345" i="2" a="1"/>
  <c r="U1345" i="2" s="1"/>
  <c r="U1346" i="2" a="1"/>
  <c r="U1346" i="2" s="1"/>
  <c r="U1347" i="2" a="1"/>
  <c r="U1347" i="2" s="1"/>
  <c r="U1348" i="2" a="1"/>
  <c r="U1348" i="2"/>
  <c r="U1349" i="2" a="1"/>
  <c r="U1349" i="2" s="1"/>
  <c r="U1350" i="2" a="1"/>
  <c r="U1350" i="2" s="1"/>
  <c r="U1351" i="2" a="1"/>
  <c r="U1351" i="2" s="1"/>
  <c r="U1352" i="2" a="1"/>
  <c r="U1352" i="2"/>
  <c r="U1353" i="2" a="1"/>
  <c r="U1353" i="2" s="1"/>
  <c r="U1354" i="2" a="1"/>
  <c r="U1354" i="2" s="1"/>
  <c r="U1355" i="2" a="1"/>
  <c r="U1355" i="2" s="1"/>
  <c r="U1356" i="2" a="1"/>
  <c r="U1356" i="2"/>
  <c r="U1357" i="2" a="1"/>
  <c r="U1357" i="2" s="1"/>
  <c r="U1358" i="2" a="1"/>
  <c r="U1358" i="2" s="1"/>
  <c r="U1359" i="2" a="1"/>
  <c r="U1359" i="2" s="1"/>
  <c r="U1360" i="2" a="1"/>
  <c r="U1360" i="2"/>
  <c r="U1361" i="2" a="1"/>
  <c r="U1361" i="2" s="1"/>
  <c r="U1362" i="2" a="1"/>
  <c r="U1362" i="2" s="1"/>
  <c r="U1363" i="2" a="1"/>
  <c r="U1363" i="2" s="1"/>
  <c r="U1364" i="2" a="1"/>
  <c r="U1364" i="2" s="1"/>
  <c r="U1365" i="2" a="1"/>
  <c r="U1365" i="2" s="1"/>
  <c r="U1366" i="2" a="1"/>
  <c r="U1366" i="2" s="1"/>
  <c r="U1367" i="2" a="1"/>
  <c r="U1367" i="2" s="1"/>
  <c r="U1368" i="2" a="1"/>
  <c r="U1368" i="2" s="1"/>
  <c r="U1369" i="2" a="1"/>
  <c r="U1369" i="2" s="1"/>
  <c r="U1370" i="2" a="1"/>
  <c r="U1370" i="2" s="1"/>
  <c r="U1371" i="2" a="1"/>
  <c r="U1371" i="2" s="1"/>
  <c r="U1372" i="2" a="1"/>
  <c r="U1372" i="2" s="1"/>
  <c r="U1373" i="2" a="1"/>
  <c r="U1373" i="2" s="1"/>
  <c r="U1374" i="2" a="1"/>
  <c r="U1374" i="2" s="1"/>
  <c r="U1375" i="2" a="1"/>
  <c r="U1375" i="2" s="1"/>
  <c r="U1376" i="2" a="1"/>
  <c r="U1376" i="2" s="1"/>
  <c r="U1377" i="2" a="1"/>
  <c r="U1377" i="2" s="1"/>
  <c r="U1378" i="2" a="1"/>
  <c r="U1378" i="2" s="1"/>
  <c r="U1379" i="2" a="1"/>
  <c r="U1379" i="2" s="1"/>
  <c r="U1380" i="2" a="1"/>
  <c r="U1380" i="2"/>
  <c r="U1381" i="2" a="1"/>
  <c r="U1381" i="2" s="1"/>
  <c r="U1382" i="2" a="1"/>
  <c r="U1382" i="2" s="1"/>
  <c r="U1383" i="2" a="1"/>
  <c r="U1383" i="2" s="1"/>
  <c r="U1384" i="2" a="1"/>
  <c r="U1384" i="2"/>
  <c r="U1385" i="2" a="1"/>
  <c r="U1385" i="2" s="1"/>
  <c r="U1386" i="2" a="1"/>
  <c r="U1386" i="2" s="1"/>
  <c r="U1387" i="2" a="1"/>
  <c r="U1387" i="2" s="1"/>
  <c r="U1388" i="2" a="1"/>
  <c r="U1388" i="2"/>
  <c r="U1389" i="2" a="1"/>
  <c r="U1389" i="2" s="1"/>
  <c r="U1390" i="2" a="1"/>
  <c r="U1390" i="2" s="1"/>
  <c r="U1391" i="2" a="1"/>
  <c r="U1391" i="2" s="1"/>
  <c r="U1392" i="2" a="1"/>
  <c r="U1392" i="2"/>
  <c r="U1393" i="2" a="1"/>
  <c r="U1393" i="2" s="1"/>
  <c r="U1394" i="2" a="1"/>
  <c r="U1394" i="2" s="1"/>
  <c r="U1395" i="2" a="1"/>
  <c r="U1395" i="2" s="1"/>
  <c r="U1396" i="2" a="1"/>
  <c r="U1396" i="2" s="1"/>
  <c r="U1397" i="2" a="1"/>
  <c r="U1397" i="2" s="1"/>
  <c r="U1398" i="2" a="1"/>
  <c r="U1398" i="2" s="1"/>
  <c r="U1399" i="2" a="1"/>
  <c r="U1399" i="2" s="1"/>
  <c r="U1400" i="2" a="1"/>
  <c r="U1400" i="2" s="1"/>
  <c r="U1401" i="2" a="1"/>
  <c r="U1401" i="2" s="1"/>
  <c r="U1402" i="2" a="1"/>
  <c r="U1402" i="2" s="1"/>
  <c r="U1403" i="2" a="1"/>
  <c r="U1403" i="2" s="1"/>
  <c r="U1404" i="2" a="1"/>
  <c r="U1404" i="2" s="1"/>
  <c r="U1405" i="2" a="1"/>
  <c r="U1405" i="2" s="1"/>
  <c r="U1406" i="2" a="1"/>
  <c r="U1406" i="2" s="1"/>
  <c r="U1407" i="2" a="1"/>
  <c r="U1407" i="2" s="1"/>
  <c r="U1408" i="2" a="1"/>
  <c r="U1408" i="2" s="1"/>
  <c r="U1409" i="2" a="1"/>
  <c r="U1409" i="2" s="1"/>
  <c r="U1410" i="2" a="1"/>
  <c r="U1410" i="2" s="1"/>
  <c r="U1411" i="2" a="1"/>
  <c r="U1411" i="2" s="1"/>
  <c r="U1412" i="2" a="1"/>
  <c r="U1412" i="2"/>
  <c r="U1413" i="2" a="1"/>
  <c r="U1413" i="2" s="1"/>
  <c r="U1414" i="2" a="1"/>
  <c r="U1414" i="2" s="1"/>
  <c r="U1415" i="2" a="1"/>
  <c r="U1415" i="2" s="1"/>
  <c r="U1416" i="2" a="1"/>
  <c r="U1416" i="2"/>
  <c r="U1417" i="2" a="1"/>
  <c r="U1417" i="2" s="1"/>
  <c r="U1418" i="2" a="1"/>
  <c r="U1418" i="2" s="1"/>
  <c r="U1419" i="2" a="1"/>
  <c r="U1419" i="2" s="1"/>
  <c r="U1420" i="2" a="1"/>
  <c r="U1420" i="2"/>
  <c r="U1421" i="2" a="1"/>
  <c r="U1421" i="2" s="1"/>
  <c r="U1422" i="2" a="1"/>
  <c r="U1422" i="2" s="1"/>
  <c r="U1423" i="2" a="1"/>
  <c r="U1423" i="2" s="1"/>
  <c r="U1424" i="2" a="1"/>
  <c r="U1424" i="2"/>
  <c r="U1425" i="2" a="1"/>
  <c r="U1425" i="2" s="1"/>
  <c r="U1426" i="2" a="1"/>
  <c r="U1426" i="2" s="1"/>
  <c r="U1427" i="2" a="1"/>
  <c r="U1427" i="2" s="1"/>
  <c r="U1428" i="2" a="1"/>
  <c r="U1428" i="2" s="1"/>
  <c r="U1429" i="2" a="1"/>
  <c r="U1429" i="2" s="1"/>
  <c r="U1430" i="2" a="1"/>
  <c r="U1430" i="2" s="1"/>
  <c r="U1431" i="2" a="1"/>
  <c r="U1431" i="2" s="1"/>
  <c r="U1432" i="2" a="1"/>
  <c r="U1432" i="2" s="1"/>
  <c r="U1433" i="2" a="1"/>
  <c r="U1433" i="2" s="1"/>
  <c r="U1434" i="2" a="1"/>
  <c r="U1434" i="2" s="1"/>
  <c r="U1435" i="2" a="1"/>
  <c r="U1435" i="2" s="1"/>
  <c r="U1436" i="2" a="1"/>
  <c r="U1436" i="2" s="1"/>
  <c r="U1437" i="2" a="1"/>
  <c r="U1437" i="2" s="1"/>
  <c r="U1438" i="2" a="1"/>
  <c r="U1438" i="2" s="1"/>
  <c r="U1439" i="2" a="1"/>
  <c r="U1439" i="2" s="1"/>
  <c r="U1440" i="2" a="1"/>
  <c r="U1440" i="2" s="1"/>
  <c r="U1441" i="2" a="1"/>
  <c r="U1441" i="2" s="1"/>
  <c r="U1442" i="2" a="1"/>
  <c r="U1442" i="2" s="1"/>
  <c r="U1443" i="2" a="1"/>
  <c r="U1443" i="2" s="1"/>
  <c r="U1444" i="2" a="1"/>
  <c r="U1444" i="2"/>
  <c r="U1445" i="2" a="1"/>
  <c r="U1445" i="2" s="1"/>
  <c r="U1446" i="2" a="1"/>
  <c r="U1446" i="2" s="1"/>
  <c r="U1447" i="2" a="1"/>
  <c r="U1447" i="2" s="1"/>
  <c r="U1448" i="2" a="1"/>
  <c r="U1448" i="2"/>
  <c r="U1449" i="2" a="1"/>
  <c r="U1449" i="2" s="1"/>
  <c r="U1450" i="2" a="1"/>
  <c r="U1450" i="2" s="1"/>
  <c r="U1451" i="2" a="1"/>
  <c r="U1451" i="2" s="1"/>
  <c r="U1452" i="2" a="1"/>
  <c r="U1452" i="2"/>
  <c r="U1453" i="2" a="1"/>
  <c r="U1453" i="2" s="1"/>
  <c r="U1454" i="2" a="1"/>
  <c r="U1454" i="2" s="1"/>
  <c r="U1455" i="2" a="1"/>
  <c r="U1455" i="2" s="1"/>
  <c r="U1456" i="2" a="1"/>
  <c r="U1456" i="2"/>
  <c r="U1457" i="2" a="1"/>
  <c r="U1457" i="2" s="1"/>
  <c r="U1458" i="2" a="1"/>
  <c r="U1458" i="2" s="1"/>
  <c r="U1459" i="2" a="1"/>
  <c r="U1459" i="2" s="1"/>
  <c r="U1460" i="2" a="1"/>
  <c r="U1460" i="2" s="1"/>
  <c r="U1461" i="2" a="1"/>
  <c r="U1461" i="2" s="1"/>
  <c r="U1462" i="2" a="1"/>
  <c r="U1462" i="2" s="1"/>
  <c r="U1463" i="2" a="1"/>
  <c r="U1463" i="2" s="1"/>
  <c r="U1464" i="2" a="1"/>
  <c r="U1464" i="2" s="1"/>
  <c r="U1465" i="2" a="1"/>
  <c r="U1465" i="2" s="1"/>
  <c r="U1466" i="2" a="1"/>
  <c r="U1466" i="2" s="1"/>
  <c r="U1467" i="2" a="1"/>
  <c r="U1467" i="2" s="1"/>
  <c r="U1468" i="2" a="1"/>
  <c r="U1468" i="2" s="1"/>
  <c r="U1469" i="2" a="1"/>
  <c r="U1469" i="2" s="1"/>
  <c r="U1470" i="2" a="1"/>
  <c r="U1470" i="2" s="1"/>
  <c r="U1471" i="2" a="1"/>
  <c r="U1471" i="2" s="1"/>
  <c r="U2" i="2" a="1"/>
  <c r="U2" i="2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Q693" i="2"/>
  <c r="Q917" i="2"/>
  <c r="Q1109" i="2"/>
  <c r="Q1350" i="2"/>
  <c r="Q1406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90" i="2"/>
  <c r="Q290" i="2" s="1"/>
  <c r="P291" i="2"/>
  <c r="Q291" i="2" s="1"/>
  <c r="P292" i="2"/>
  <c r="Q292" i="2" s="1"/>
  <c r="P293" i="2"/>
  <c r="Q293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P300" i="2"/>
  <c r="Q300" i="2" s="1"/>
  <c r="P301" i="2"/>
  <c r="Q301" i="2" s="1"/>
  <c r="P302" i="2"/>
  <c r="Q302" i="2" s="1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P309" i="2"/>
  <c r="Q309" i="2" s="1"/>
  <c r="P310" i="2"/>
  <c r="Q310" i="2" s="1"/>
  <c r="P311" i="2"/>
  <c r="Q311" i="2" s="1"/>
  <c r="P312" i="2"/>
  <c r="Q312" i="2" s="1"/>
  <c r="P313" i="2"/>
  <c r="Q313" i="2" s="1"/>
  <c r="P314" i="2"/>
  <c r="Q314" i="2" s="1"/>
  <c r="P315" i="2"/>
  <c r="Q315" i="2" s="1"/>
  <c r="P316" i="2"/>
  <c r="Q316" i="2" s="1"/>
  <c r="P317" i="2"/>
  <c r="Q317" i="2" s="1"/>
  <c r="P318" i="2"/>
  <c r="Q318" i="2" s="1"/>
  <c r="P319" i="2"/>
  <c r="Q319" i="2" s="1"/>
  <c r="P320" i="2"/>
  <c r="Q320" i="2" s="1"/>
  <c r="P321" i="2"/>
  <c r="Q321" i="2" s="1"/>
  <c r="P322" i="2"/>
  <c r="Q322" i="2" s="1"/>
  <c r="P323" i="2"/>
  <c r="Q323" i="2" s="1"/>
  <c r="P324" i="2"/>
  <c r="Q324" i="2" s="1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P332" i="2"/>
  <c r="Q332" i="2" s="1"/>
  <c r="P333" i="2"/>
  <c r="Q333" i="2" s="1"/>
  <c r="P334" i="2"/>
  <c r="Q334" i="2" s="1"/>
  <c r="P335" i="2"/>
  <c r="Q335" i="2" s="1"/>
  <c r="P336" i="2"/>
  <c r="Q336" i="2" s="1"/>
  <c r="P337" i="2"/>
  <c r="Q337" i="2" s="1"/>
  <c r="P338" i="2"/>
  <c r="Q338" i="2" s="1"/>
  <c r="P339" i="2"/>
  <c r="Q339" i="2" s="1"/>
  <c r="P340" i="2"/>
  <c r="Q340" i="2" s="1"/>
  <c r="P341" i="2"/>
  <c r="Q341" i="2" s="1"/>
  <c r="P342" i="2"/>
  <c r="Q342" i="2" s="1"/>
  <c r="P343" i="2"/>
  <c r="Q343" i="2" s="1"/>
  <c r="P344" i="2"/>
  <c r="Q344" i="2" s="1"/>
  <c r="P345" i="2"/>
  <c r="Q345" i="2" s="1"/>
  <c r="P346" i="2"/>
  <c r="Q346" i="2" s="1"/>
  <c r="P347" i="2"/>
  <c r="Q347" i="2" s="1"/>
  <c r="P348" i="2"/>
  <c r="Q348" i="2" s="1"/>
  <c r="P349" i="2"/>
  <c r="Q349" i="2" s="1"/>
  <c r="P350" i="2"/>
  <c r="Q350" i="2" s="1"/>
  <c r="P351" i="2"/>
  <c r="Q351" i="2" s="1"/>
  <c r="P352" i="2"/>
  <c r="Q352" i="2" s="1"/>
  <c r="P353" i="2"/>
  <c r="Q353" i="2" s="1"/>
  <c r="P354" i="2"/>
  <c r="Q354" i="2" s="1"/>
  <c r="P355" i="2"/>
  <c r="Q355" i="2" s="1"/>
  <c r="P356" i="2"/>
  <c r="Q356" i="2" s="1"/>
  <c r="P357" i="2"/>
  <c r="Q357" i="2" s="1"/>
  <c r="P358" i="2"/>
  <c r="Q358" i="2" s="1"/>
  <c r="P359" i="2"/>
  <c r="Q359" i="2" s="1"/>
  <c r="P360" i="2"/>
  <c r="Q360" i="2" s="1"/>
  <c r="P361" i="2"/>
  <c r="Q361" i="2" s="1"/>
  <c r="P362" i="2"/>
  <c r="Q362" i="2" s="1"/>
  <c r="P363" i="2"/>
  <c r="Q363" i="2" s="1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Q369" i="2" s="1"/>
  <c r="P370" i="2"/>
  <c r="Q370" i="2" s="1"/>
  <c r="P371" i="2"/>
  <c r="Q371" i="2" s="1"/>
  <c r="P372" i="2"/>
  <c r="Q372" i="2" s="1"/>
  <c r="P373" i="2"/>
  <c r="Q373" i="2" s="1"/>
  <c r="P374" i="2"/>
  <c r="Q374" i="2" s="1"/>
  <c r="P375" i="2"/>
  <c r="Q375" i="2" s="1"/>
  <c r="P376" i="2"/>
  <c r="Q376" i="2" s="1"/>
  <c r="P377" i="2"/>
  <c r="Q377" i="2" s="1"/>
  <c r="P378" i="2"/>
  <c r="Q378" i="2" s="1"/>
  <c r="P379" i="2"/>
  <c r="Q379" i="2" s="1"/>
  <c r="P380" i="2"/>
  <c r="Q380" i="2" s="1"/>
  <c r="P381" i="2"/>
  <c r="Q381" i="2" s="1"/>
  <c r="P382" i="2"/>
  <c r="Q382" i="2" s="1"/>
  <c r="P383" i="2"/>
  <c r="Q383" i="2" s="1"/>
  <c r="P384" i="2"/>
  <c r="Q384" i="2" s="1"/>
  <c r="P385" i="2"/>
  <c r="Q385" i="2" s="1"/>
  <c r="P386" i="2"/>
  <c r="Q386" i="2" s="1"/>
  <c r="P387" i="2"/>
  <c r="Q387" i="2" s="1"/>
  <c r="P388" i="2"/>
  <c r="Q388" i="2" s="1"/>
  <c r="P389" i="2"/>
  <c r="Q389" i="2" s="1"/>
  <c r="P390" i="2"/>
  <c r="Q390" i="2" s="1"/>
  <c r="P391" i="2"/>
  <c r="Q391" i="2" s="1"/>
  <c r="P392" i="2"/>
  <c r="Q392" i="2" s="1"/>
  <c r="P393" i="2"/>
  <c r="Q393" i="2" s="1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Q405" i="2" s="1"/>
  <c r="P406" i="2"/>
  <c r="Q406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P413" i="2"/>
  <c r="Q413" i="2" s="1"/>
  <c r="P414" i="2"/>
  <c r="Q414" i="2" s="1"/>
  <c r="P415" i="2"/>
  <c r="Q415" i="2" s="1"/>
  <c r="P416" i="2"/>
  <c r="Q416" i="2" s="1"/>
  <c r="P417" i="2"/>
  <c r="Q417" i="2" s="1"/>
  <c r="P418" i="2"/>
  <c r="Q418" i="2" s="1"/>
  <c r="P419" i="2"/>
  <c r="Q419" i="2" s="1"/>
  <c r="P420" i="2"/>
  <c r="Q420" i="2" s="1"/>
  <c r="P421" i="2"/>
  <c r="Q421" i="2" s="1"/>
  <c r="P422" i="2"/>
  <c r="Q422" i="2" s="1"/>
  <c r="P423" i="2"/>
  <c r="Q423" i="2" s="1"/>
  <c r="P424" i="2"/>
  <c r="Q424" i="2" s="1"/>
  <c r="P425" i="2"/>
  <c r="Q425" i="2" s="1"/>
  <c r="P426" i="2"/>
  <c r="Q426" i="2" s="1"/>
  <c r="P427" i="2"/>
  <c r="Q427" i="2" s="1"/>
  <c r="P428" i="2"/>
  <c r="Q428" i="2" s="1"/>
  <c r="P429" i="2"/>
  <c r="Q429" i="2" s="1"/>
  <c r="P430" i="2"/>
  <c r="Q430" i="2" s="1"/>
  <c r="P431" i="2"/>
  <c r="Q431" i="2" s="1"/>
  <c r="P432" i="2"/>
  <c r="Q432" i="2" s="1"/>
  <c r="P433" i="2"/>
  <c r="Q433" i="2" s="1"/>
  <c r="P434" i="2"/>
  <c r="Q434" i="2" s="1"/>
  <c r="P435" i="2"/>
  <c r="Q435" i="2" s="1"/>
  <c r="P436" i="2"/>
  <c r="Q436" i="2" s="1"/>
  <c r="P437" i="2"/>
  <c r="Q437" i="2" s="1"/>
  <c r="P438" i="2"/>
  <c r="Q438" i="2" s="1"/>
  <c r="P439" i="2"/>
  <c r="Q439" i="2" s="1"/>
  <c r="P440" i="2"/>
  <c r="Q440" i="2" s="1"/>
  <c r="P441" i="2"/>
  <c r="Q441" i="2" s="1"/>
  <c r="P442" i="2"/>
  <c r="Q442" i="2" s="1"/>
  <c r="P443" i="2"/>
  <c r="Q443" i="2" s="1"/>
  <c r="P444" i="2"/>
  <c r="Q444" i="2" s="1"/>
  <c r="P445" i="2"/>
  <c r="Q445" i="2" s="1"/>
  <c r="P446" i="2"/>
  <c r="Q446" i="2" s="1"/>
  <c r="P447" i="2"/>
  <c r="Q447" i="2" s="1"/>
  <c r="P448" i="2"/>
  <c r="Q448" i="2" s="1"/>
  <c r="P449" i="2"/>
  <c r="Q449" i="2" s="1"/>
  <c r="P450" i="2"/>
  <c r="Q450" i="2" s="1"/>
  <c r="P451" i="2"/>
  <c r="Q451" i="2" s="1"/>
  <c r="P452" i="2"/>
  <c r="Q452" i="2" s="1"/>
  <c r="P453" i="2"/>
  <c r="Q453" i="2" s="1"/>
  <c r="P454" i="2"/>
  <c r="Q454" i="2" s="1"/>
  <c r="P455" i="2"/>
  <c r="Q455" i="2" s="1"/>
  <c r="P456" i="2"/>
  <c r="Q456" i="2" s="1"/>
  <c r="P457" i="2"/>
  <c r="Q457" i="2" s="1"/>
  <c r="P458" i="2"/>
  <c r="Q458" i="2" s="1"/>
  <c r="P459" i="2"/>
  <c r="Q459" i="2" s="1"/>
  <c r="P460" i="2"/>
  <c r="Q460" i="2" s="1"/>
  <c r="P461" i="2"/>
  <c r="Q461" i="2" s="1"/>
  <c r="P462" i="2"/>
  <c r="Q462" i="2" s="1"/>
  <c r="P463" i="2"/>
  <c r="Q463" i="2" s="1"/>
  <c r="P464" i="2"/>
  <c r="Q464" i="2" s="1"/>
  <c r="P465" i="2"/>
  <c r="Q465" i="2" s="1"/>
  <c r="P466" i="2"/>
  <c r="Q466" i="2" s="1"/>
  <c r="P467" i="2"/>
  <c r="Q467" i="2" s="1"/>
  <c r="P468" i="2"/>
  <c r="Q468" i="2" s="1"/>
  <c r="P469" i="2"/>
  <c r="Q469" i="2" s="1"/>
  <c r="P470" i="2"/>
  <c r="Q470" i="2" s="1"/>
  <c r="P471" i="2"/>
  <c r="Q471" i="2" s="1"/>
  <c r="P472" i="2"/>
  <c r="Q472" i="2" s="1"/>
  <c r="P473" i="2"/>
  <c r="Q473" i="2" s="1"/>
  <c r="P474" i="2"/>
  <c r="Q474" i="2" s="1"/>
  <c r="P475" i="2"/>
  <c r="Q475" i="2" s="1"/>
  <c r="P476" i="2"/>
  <c r="Q476" i="2" s="1"/>
  <c r="P477" i="2"/>
  <c r="Q477" i="2" s="1"/>
  <c r="P478" i="2"/>
  <c r="Q478" i="2" s="1"/>
  <c r="P479" i="2"/>
  <c r="Q479" i="2" s="1"/>
  <c r="P480" i="2"/>
  <c r="Q480" i="2" s="1"/>
  <c r="P481" i="2"/>
  <c r="Q481" i="2" s="1"/>
  <c r="P482" i="2"/>
  <c r="Q482" i="2" s="1"/>
  <c r="P483" i="2"/>
  <c r="Q483" i="2" s="1"/>
  <c r="P484" i="2"/>
  <c r="Q484" i="2" s="1"/>
  <c r="P485" i="2"/>
  <c r="Q485" i="2" s="1"/>
  <c r="P486" i="2"/>
  <c r="Q486" i="2" s="1"/>
  <c r="P487" i="2"/>
  <c r="Q487" i="2" s="1"/>
  <c r="P488" i="2"/>
  <c r="Q488" i="2" s="1"/>
  <c r="P489" i="2"/>
  <c r="Q489" i="2" s="1"/>
  <c r="P490" i="2"/>
  <c r="Q490" i="2" s="1"/>
  <c r="P491" i="2"/>
  <c r="Q491" i="2" s="1"/>
  <c r="P492" i="2"/>
  <c r="Q492" i="2" s="1"/>
  <c r="P493" i="2"/>
  <c r="Q493" i="2" s="1"/>
  <c r="P494" i="2"/>
  <c r="Q494" i="2" s="1"/>
  <c r="P495" i="2"/>
  <c r="Q495" i="2" s="1"/>
  <c r="P496" i="2"/>
  <c r="Q496" i="2" s="1"/>
  <c r="P497" i="2"/>
  <c r="Q497" i="2" s="1"/>
  <c r="P498" i="2"/>
  <c r="Q498" i="2" s="1"/>
  <c r="P499" i="2"/>
  <c r="Q499" i="2" s="1"/>
  <c r="P500" i="2"/>
  <c r="Q500" i="2" s="1"/>
  <c r="P501" i="2"/>
  <c r="Q501" i="2" s="1"/>
  <c r="P502" i="2"/>
  <c r="Q502" i="2" s="1"/>
  <c r="P503" i="2"/>
  <c r="Q503" i="2" s="1"/>
  <c r="P504" i="2"/>
  <c r="Q504" i="2" s="1"/>
  <c r="P505" i="2"/>
  <c r="Q505" i="2" s="1"/>
  <c r="P506" i="2"/>
  <c r="Q506" i="2" s="1"/>
  <c r="P507" i="2"/>
  <c r="Q507" i="2" s="1"/>
  <c r="P508" i="2"/>
  <c r="Q508" i="2" s="1"/>
  <c r="P509" i="2"/>
  <c r="Q509" i="2" s="1"/>
  <c r="P510" i="2"/>
  <c r="Q510" i="2" s="1"/>
  <c r="P511" i="2"/>
  <c r="Q511" i="2" s="1"/>
  <c r="P512" i="2"/>
  <c r="Q512" i="2" s="1"/>
  <c r="P513" i="2"/>
  <c r="Q513" i="2" s="1"/>
  <c r="P514" i="2"/>
  <c r="Q514" i="2" s="1"/>
  <c r="P515" i="2"/>
  <c r="Q515" i="2" s="1"/>
  <c r="P516" i="2"/>
  <c r="Q516" i="2" s="1"/>
  <c r="P517" i="2"/>
  <c r="Q517" i="2" s="1"/>
  <c r="P518" i="2"/>
  <c r="Q518" i="2" s="1"/>
  <c r="P519" i="2"/>
  <c r="Q519" i="2" s="1"/>
  <c r="P520" i="2"/>
  <c r="Q520" i="2" s="1"/>
  <c r="P521" i="2"/>
  <c r="Q521" i="2" s="1"/>
  <c r="P522" i="2"/>
  <c r="Q522" i="2" s="1"/>
  <c r="P523" i="2"/>
  <c r="Q523" i="2" s="1"/>
  <c r="P524" i="2"/>
  <c r="Q524" i="2" s="1"/>
  <c r="P525" i="2"/>
  <c r="Q525" i="2" s="1"/>
  <c r="P526" i="2"/>
  <c r="Q526" i="2" s="1"/>
  <c r="P527" i="2"/>
  <c r="Q527" i="2" s="1"/>
  <c r="P528" i="2"/>
  <c r="Q528" i="2" s="1"/>
  <c r="P529" i="2"/>
  <c r="Q529" i="2" s="1"/>
  <c r="P530" i="2"/>
  <c r="Q530" i="2" s="1"/>
  <c r="P531" i="2"/>
  <c r="Q531" i="2" s="1"/>
  <c r="P532" i="2"/>
  <c r="Q532" i="2" s="1"/>
  <c r="P533" i="2"/>
  <c r="Q533" i="2" s="1"/>
  <c r="P534" i="2"/>
  <c r="Q534" i="2" s="1"/>
  <c r="P535" i="2"/>
  <c r="Q535" i="2" s="1"/>
  <c r="P536" i="2"/>
  <c r="Q536" i="2" s="1"/>
  <c r="P537" i="2"/>
  <c r="Q537" i="2" s="1"/>
  <c r="P538" i="2"/>
  <c r="Q538" i="2" s="1"/>
  <c r="P539" i="2"/>
  <c r="Q539" i="2" s="1"/>
  <c r="P540" i="2"/>
  <c r="Q540" i="2" s="1"/>
  <c r="P541" i="2"/>
  <c r="Q541" i="2" s="1"/>
  <c r="P542" i="2"/>
  <c r="Q542" i="2" s="1"/>
  <c r="P543" i="2"/>
  <c r="Q543" i="2" s="1"/>
  <c r="P544" i="2"/>
  <c r="Q544" i="2" s="1"/>
  <c r="P545" i="2"/>
  <c r="Q545" i="2" s="1"/>
  <c r="P546" i="2"/>
  <c r="Q546" i="2" s="1"/>
  <c r="P547" i="2"/>
  <c r="Q547" i="2" s="1"/>
  <c r="P548" i="2"/>
  <c r="Q548" i="2" s="1"/>
  <c r="P549" i="2"/>
  <c r="Q549" i="2" s="1"/>
  <c r="P550" i="2"/>
  <c r="Q550" i="2" s="1"/>
  <c r="P551" i="2"/>
  <c r="Q551" i="2" s="1"/>
  <c r="P552" i="2"/>
  <c r="Q552" i="2" s="1"/>
  <c r="P553" i="2"/>
  <c r="Q553" i="2" s="1"/>
  <c r="P554" i="2"/>
  <c r="Q554" i="2" s="1"/>
  <c r="P555" i="2"/>
  <c r="Q555" i="2" s="1"/>
  <c r="P556" i="2"/>
  <c r="Q556" i="2" s="1"/>
  <c r="P557" i="2"/>
  <c r="Q557" i="2" s="1"/>
  <c r="P558" i="2"/>
  <c r="Q558" i="2" s="1"/>
  <c r="P559" i="2"/>
  <c r="Q559" i="2" s="1"/>
  <c r="P560" i="2"/>
  <c r="Q560" i="2" s="1"/>
  <c r="P561" i="2"/>
  <c r="Q561" i="2" s="1"/>
  <c r="P562" i="2"/>
  <c r="Q562" i="2" s="1"/>
  <c r="P563" i="2"/>
  <c r="Q563" i="2" s="1"/>
  <c r="P564" i="2"/>
  <c r="Q564" i="2" s="1"/>
  <c r="P565" i="2"/>
  <c r="Q565" i="2" s="1"/>
  <c r="P566" i="2"/>
  <c r="Q566" i="2" s="1"/>
  <c r="P567" i="2"/>
  <c r="Q567" i="2" s="1"/>
  <c r="P568" i="2"/>
  <c r="Q568" i="2" s="1"/>
  <c r="P569" i="2"/>
  <c r="Q569" i="2" s="1"/>
  <c r="P570" i="2"/>
  <c r="Q570" i="2" s="1"/>
  <c r="P571" i="2"/>
  <c r="Q571" i="2" s="1"/>
  <c r="P572" i="2"/>
  <c r="Q572" i="2" s="1"/>
  <c r="P573" i="2"/>
  <c r="Q573" i="2" s="1"/>
  <c r="P574" i="2"/>
  <c r="Q574" i="2" s="1"/>
  <c r="P575" i="2"/>
  <c r="Q575" i="2" s="1"/>
  <c r="P576" i="2"/>
  <c r="Q576" i="2" s="1"/>
  <c r="P577" i="2"/>
  <c r="Q577" i="2" s="1"/>
  <c r="P578" i="2"/>
  <c r="Q578" i="2" s="1"/>
  <c r="P579" i="2"/>
  <c r="Q579" i="2" s="1"/>
  <c r="P580" i="2"/>
  <c r="Q580" i="2" s="1"/>
  <c r="P581" i="2"/>
  <c r="Q581" i="2" s="1"/>
  <c r="P582" i="2"/>
  <c r="Q582" i="2" s="1"/>
  <c r="P583" i="2"/>
  <c r="Q583" i="2" s="1"/>
  <c r="P584" i="2"/>
  <c r="Q584" i="2" s="1"/>
  <c r="P585" i="2"/>
  <c r="Q585" i="2" s="1"/>
  <c r="P586" i="2"/>
  <c r="Q586" i="2" s="1"/>
  <c r="P587" i="2"/>
  <c r="Q587" i="2" s="1"/>
  <c r="P588" i="2"/>
  <c r="Q588" i="2" s="1"/>
  <c r="P589" i="2"/>
  <c r="Q589" i="2" s="1"/>
  <c r="P590" i="2"/>
  <c r="Q590" i="2" s="1"/>
  <c r="P591" i="2"/>
  <c r="Q591" i="2" s="1"/>
  <c r="P592" i="2"/>
  <c r="Q592" i="2" s="1"/>
  <c r="P593" i="2"/>
  <c r="Q593" i="2" s="1"/>
  <c r="P594" i="2"/>
  <c r="Q594" i="2" s="1"/>
  <c r="P595" i="2"/>
  <c r="Q595" i="2" s="1"/>
  <c r="P596" i="2"/>
  <c r="Q596" i="2" s="1"/>
  <c r="P597" i="2"/>
  <c r="Q597" i="2" s="1"/>
  <c r="P598" i="2"/>
  <c r="Q598" i="2" s="1"/>
  <c r="P599" i="2"/>
  <c r="Q599" i="2" s="1"/>
  <c r="P600" i="2"/>
  <c r="Q600" i="2" s="1"/>
  <c r="P601" i="2"/>
  <c r="Q601" i="2" s="1"/>
  <c r="P602" i="2"/>
  <c r="Q602" i="2" s="1"/>
  <c r="P603" i="2"/>
  <c r="Q603" i="2" s="1"/>
  <c r="P604" i="2"/>
  <c r="Q604" i="2" s="1"/>
  <c r="P605" i="2"/>
  <c r="Q605" i="2" s="1"/>
  <c r="P606" i="2"/>
  <c r="Q606" i="2" s="1"/>
  <c r="P607" i="2"/>
  <c r="Q607" i="2" s="1"/>
  <c r="P608" i="2"/>
  <c r="Q608" i="2" s="1"/>
  <c r="P609" i="2"/>
  <c r="Q609" i="2" s="1"/>
  <c r="P610" i="2"/>
  <c r="Q610" i="2" s="1"/>
  <c r="P611" i="2"/>
  <c r="Q611" i="2" s="1"/>
  <c r="P612" i="2"/>
  <c r="Q612" i="2" s="1"/>
  <c r="P613" i="2"/>
  <c r="Q613" i="2" s="1"/>
  <c r="P614" i="2"/>
  <c r="Q614" i="2" s="1"/>
  <c r="P615" i="2"/>
  <c r="Q615" i="2" s="1"/>
  <c r="P616" i="2"/>
  <c r="Q616" i="2" s="1"/>
  <c r="P617" i="2"/>
  <c r="Q617" i="2" s="1"/>
  <c r="P618" i="2"/>
  <c r="Q618" i="2" s="1"/>
  <c r="P619" i="2"/>
  <c r="Q619" i="2" s="1"/>
  <c r="P620" i="2"/>
  <c r="Q620" i="2" s="1"/>
  <c r="P621" i="2"/>
  <c r="Q621" i="2" s="1"/>
  <c r="P622" i="2"/>
  <c r="Q622" i="2" s="1"/>
  <c r="P623" i="2"/>
  <c r="Q623" i="2" s="1"/>
  <c r="P624" i="2"/>
  <c r="Q624" i="2" s="1"/>
  <c r="P625" i="2"/>
  <c r="Q625" i="2" s="1"/>
  <c r="P626" i="2"/>
  <c r="Q626" i="2" s="1"/>
  <c r="P627" i="2"/>
  <c r="Q627" i="2" s="1"/>
  <c r="P628" i="2"/>
  <c r="Q628" i="2" s="1"/>
  <c r="P629" i="2"/>
  <c r="Q629" i="2" s="1"/>
  <c r="P630" i="2"/>
  <c r="Q630" i="2" s="1"/>
  <c r="P631" i="2"/>
  <c r="Q631" i="2" s="1"/>
  <c r="P632" i="2"/>
  <c r="Q632" i="2" s="1"/>
  <c r="P633" i="2"/>
  <c r="Q633" i="2" s="1"/>
  <c r="P634" i="2"/>
  <c r="Q634" i="2" s="1"/>
  <c r="P635" i="2"/>
  <c r="Q635" i="2" s="1"/>
  <c r="P636" i="2"/>
  <c r="Q636" i="2" s="1"/>
  <c r="P637" i="2"/>
  <c r="Q637" i="2" s="1"/>
  <c r="P638" i="2"/>
  <c r="Q638" i="2" s="1"/>
  <c r="P639" i="2"/>
  <c r="Q639" i="2" s="1"/>
  <c r="P640" i="2"/>
  <c r="Q640" i="2" s="1"/>
  <c r="P641" i="2"/>
  <c r="Q641" i="2" s="1"/>
  <c r="P642" i="2"/>
  <c r="Q642" i="2" s="1"/>
  <c r="P643" i="2"/>
  <c r="Q643" i="2" s="1"/>
  <c r="P644" i="2"/>
  <c r="Q644" i="2" s="1"/>
  <c r="P645" i="2"/>
  <c r="Q645" i="2" s="1"/>
  <c r="P646" i="2"/>
  <c r="Q646" i="2" s="1"/>
  <c r="P647" i="2"/>
  <c r="Q647" i="2" s="1"/>
  <c r="P648" i="2"/>
  <c r="Q648" i="2" s="1"/>
  <c r="P649" i="2"/>
  <c r="Q649" i="2" s="1"/>
  <c r="P650" i="2"/>
  <c r="Q650" i="2" s="1"/>
  <c r="P651" i="2"/>
  <c r="Q651" i="2" s="1"/>
  <c r="P652" i="2"/>
  <c r="Q652" i="2" s="1"/>
  <c r="P653" i="2"/>
  <c r="Q653" i="2" s="1"/>
  <c r="P654" i="2"/>
  <c r="Q654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P661" i="2"/>
  <c r="Q661" i="2" s="1"/>
  <c r="P662" i="2"/>
  <c r="Q662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P669" i="2"/>
  <c r="Q669" i="2" s="1"/>
  <c r="P670" i="2"/>
  <c r="Q670" i="2" s="1"/>
  <c r="P671" i="2"/>
  <c r="Q671" i="2" s="1"/>
  <c r="P672" i="2"/>
  <c r="Q672" i="2" s="1"/>
  <c r="P673" i="2"/>
  <c r="Q673" i="2" s="1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Q679" i="2" s="1"/>
  <c r="P680" i="2"/>
  <c r="Q680" i="2" s="1"/>
  <c r="P681" i="2"/>
  <c r="Q681" i="2" s="1"/>
  <c r="P682" i="2"/>
  <c r="Q682" i="2" s="1"/>
  <c r="P683" i="2"/>
  <c r="Q683" i="2" s="1"/>
  <c r="P684" i="2"/>
  <c r="Q684" i="2" s="1"/>
  <c r="P685" i="2"/>
  <c r="Q685" i="2" s="1"/>
  <c r="P686" i="2"/>
  <c r="Q686" i="2" s="1"/>
  <c r="P687" i="2"/>
  <c r="Q687" i="2" s="1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P694" i="2"/>
  <c r="Q694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P701" i="2"/>
  <c r="Q701" i="2" s="1"/>
  <c r="P702" i="2"/>
  <c r="Q702" i="2" s="1"/>
  <c r="P703" i="2"/>
  <c r="Q703" i="2" s="1"/>
  <c r="P704" i="2"/>
  <c r="Q704" i="2" s="1"/>
  <c r="P705" i="2"/>
  <c r="Q705" i="2" s="1"/>
  <c r="P706" i="2"/>
  <c r="Q706" i="2" s="1"/>
  <c r="P707" i="2"/>
  <c r="Q707" i="2" s="1"/>
  <c r="P708" i="2"/>
  <c r="Q708" i="2" s="1"/>
  <c r="P709" i="2"/>
  <c r="Q709" i="2" s="1"/>
  <c r="P710" i="2"/>
  <c r="Q710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P718" i="2"/>
  <c r="Q718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P725" i="2"/>
  <c r="Q725" i="2" s="1"/>
  <c r="P726" i="2"/>
  <c r="Q726" i="2" s="1"/>
  <c r="P727" i="2"/>
  <c r="Q727" i="2" s="1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P750" i="2"/>
  <c r="Q750" i="2" s="1"/>
  <c r="P751" i="2"/>
  <c r="Q751" i="2" s="1"/>
  <c r="P752" i="2"/>
  <c r="Q752" i="2" s="1"/>
  <c r="P753" i="2"/>
  <c r="Q753" i="2" s="1"/>
  <c r="P754" i="2"/>
  <c r="Q754" i="2" s="1"/>
  <c r="P755" i="2"/>
  <c r="Q755" i="2" s="1"/>
  <c r="P756" i="2"/>
  <c r="Q756" i="2" s="1"/>
  <c r="P757" i="2"/>
  <c r="Q757" i="2" s="1"/>
  <c r="P758" i="2"/>
  <c r="Q758" i="2" s="1"/>
  <c r="P759" i="2"/>
  <c r="Q759" i="2" s="1"/>
  <c r="P760" i="2"/>
  <c r="Q760" i="2" s="1"/>
  <c r="P761" i="2"/>
  <c r="Q761" i="2" s="1"/>
  <c r="P762" i="2"/>
  <c r="Q762" i="2" s="1"/>
  <c r="P763" i="2"/>
  <c r="Q763" i="2" s="1"/>
  <c r="P764" i="2"/>
  <c r="Q764" i="2" s="1"/>
  <c r="P765" i="2"/>
  <c r="Q765" i="2" s="1"/>
  <c r="P766" i="2"/>
  <c r="Q766" i="2" s="1"/>
  <c r="P767" i="2"/>
  <c r="Q767" i="2" s="1"/>
  <c r="P768" i="2"/>
  <c r="Q768" i="2" s="1"/>
  <c r="P769" i="2"/>
  <c r="Q769" i="2" s="1"/>
  <c r="P770" i="2"/>
  <c r="Q770" i="2" s="1"/>
  <c r="P771" i="2"/>
  <c r="Q771" i="2" s="1"/>
  <c r="P772" i="2"/>
  <c r="Q772" i="2" s="1"/>
  <c r="P773" i="2"/>
  <c r="Q773" i="2" s="1"/>
  <c r="P774" i="2"/>
  <c r="Q774" i="2" s="1"/>
  <c r="P775" i="2"/>
  <c r="Q775" i="2" s="1"/>
  <c r="P776" i="2"/>
  <c r="Q776" i="2" s="1"/>
  <c r="P777" i="2"/>
  <c r="Q777" i="2" s="1"/>
  <c r="P778" i="2"/>
  <c r="Q778" i="2" s="1"/>
  <c r="P779" i="2"/>
  <c r="Q779" i="2" s="1"/>
  <c r="P780" i="2"/>
  <c r="Q780" i="2" s="1"/>
  <c r="P781" i="2"/>
  <c r="Q781" i="2" s="1"/>
  <c r="P782" i="2"/>
  <c r="Q782" i="2" s="1"/>
  <c r="P783" i="2"/>
  <c r="Q783" i="2" s="1"/>
  <c r="P784" i="2"/>
  <c r="Q784" i="2" s="1"/>
  <c r="P785" i="2"/>
  <c r="Q785" i="2" s="1"/>
  <c r="P786" i="2"/>
  <c r="Q786" i="2" s="1"/>
  <c r="P787" i="2"/>
  <c r="Q787" i="2" s="1"/>
  <c r="P788" i="2"/>
  <c r="Q788" i="2" s="1"/>
  <c r="P789" i="2"/>
  <c r="Q789" i="2" s="1"/>
  <c r="P790" i="2"/>
  <c r="Q790" i="2" s="1"/>
  <c r="P791" i="2"/>
  <c r="Q791" i="2" s="1"/>
  <c r="P792" i="2"/>
  <c r="Q792" i="2" s="1"/>
  <c r="P793" i="2"/>
  <c r="Q793" i="2" s="1"/>
  <c r="P794" i="2"/>
  <c r="Q794" i="2" s="1"/>
  <c r="P795" i="2"/>
  <c r="Q795" i="2" s="1"/>
  <c r="P796" i="2"/>
  <c r="Q796" i="2" s="1"/>
  <c r="P797" i="2"/>
  <c r="Q79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Q805" i="2" s="1"/>
  <c r="P806" i="2"/>
  <c r="Q806" i="2" s="1"/>
  <c r="P807" i="2"/>
  <c r="Q807" i="2" s="1"/>
  <c r="P808" i="2"/>
  <c r="Q808" i="2" s="1"/>
  <c r="P809" i="2"/>
  <c r="Q809" i="2" s="1"/>
  <c r="P810" i="2"/>
  <c r="Q810" i="2" s="1"/>
  <c r="P811" i="2"/>
  <c r="Q811" i="2" s="1"/>
  <c r="P812" i="2"/>
  <c r="Q812" i="2" s="1"/>
  <c r="P813" i="2"/>
  <c r="Q813" i="2" s="1"/>
  <c r="P814" i="2"/>
  <c r="Q814" i="2" s="1"/>
  <c r="P815" i="2"/>
  <c r="Q815" i="2" s="1"/>
  <c r="P816" i="2"/>
  <c r="Q816" i="2" s="1"/>
  <c r="P817" i="2"/>
  <c r="Q817" i="2" s="1"/>
  <c r="P818" i="2"/>
  <c r="Q818" i="2" s="1"/>
  <c r="P819" i="2"/>
  <c r="Q819" i="2" s="1"/>
  <c r="P820" i="2"/>
  <c r="Q820" i="2" s="1"/>
  <c r="P821" i="2"/>
  <c r="Q821" i="2" s="1"/>
  <c r="P822" i="2"/>
  <c r="Q822" i="2" s="1"/>
  <c r="P823" i="2"/>
  <c r="Q823" i="2" s="1"/>
  <c r="P824" i="2"/>
  <c r="Q824" i="2" s="1"/>
  <c r="P825" i="2"/>
  <c r="Q825" i="2" s="1"/>
  <c r="P826" i="2"/>
  <c r="Q826" i="2" s="1"/>
  <c r="P827" i="2"/>
  <c r="Q827" i="2" s="1"/>
  <c r="P828" i="2"/>
  <c r="Q828" i="2" s="1"/>
  <c r="P829" i="2"/>
  <c r="Q829" i="2" s="1"/>
  <c r="P830" i="2"/>
  <c r="Q830" i="2" s="1"/>
  <c r="P831" i="2"/>
  <c r="Q831" i="2" s="1"/>
  <c r="P832" i="2"/>
  <c r="Q832" i="2" s="1"/>
  <c r="P833" i="2"/>
  <c r="Q833" i="2" s="1"/>
  <c r="P834" i="2"/>
  <c r="Q834" i="2" s="1"/>
  <c r="P835" i="2"/>
  <c r="Q835" i="2" s="1"/>
  <c r="P836" i="2"/>
  <c r="Q836" i="2" s="1"/>
  <c r="P837" i="2"/>
  <c r="Q837" i="2" s="1"/>
  <c r="P838" i="2"/>
  <c r="Q838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P845" i="2"/>
  <c r="Q845" i="2" s="1"/>
  <c r="P846" i="2"/>
  <c r="Q846" i="2" s="1"/>
  <c r="P847" i="2"/>
  <c r="Q847" i="2" s="1"/>
  <c r="P848" i="2"/>
  <c r="Q848" i="2" s="1"/>
  <c r="P849" i="2"/>
  <c r="Q849" i="2" s="1"/>
  <c r="P850" i="2"/>
  <c r="Q850" i="2" s="1"/>
  <c r="P851" i="2"/>
  <c r="Q851" i="2" s="1"/>
  <c r="P852" i="2"/>
  <c r="Q852" i="2" s="1"/>
  <c r="P853" i="2"/>
  <c r="Q853" i="2" s="1"/>
  <c r="P854" i="2"/>
  <c r="Q854" i="2" s="1"/>
  <c r="P855" i="2"/>
  <c r="Q855" i="2" s="1"/>
  <c r="P856" i="2"/>
  <c r="Q856" i="2" s="1"/>
  <c r="P857" i="2"/>
  <c r="Q857" i="2" s="1"/>
  <c r="P858" i="2"/>
  <c r="Q858" i="2" s="1"/>
  <c r="P859" i="2"/>
  <c r="Q859" i="2" s="1"/>
  <c r="P860" i="2"/>
  <c r="Q860" i="2" s="1"/>
  <c r="P861" i="2"/>
  <c r="Q861" i="2" s="1"/>
  <c r="P862" i="2"/>
  <c r="Q862" i="2" s="1"/>
  <c r="P863" i="2"/>
  <c r="Q863" i="2" s="1"/>
  <c r="P864" i="2"/>
  <c r="Q864" i="2" s="1"/>
  <c r="P865" i="2"/>
  <c r="Q865" i="2" s="1"/>
  <c r="P866" i="2"/>
  <c r="Q866" i="2" s="1"/>
  <c r="P867" i="2"/>
  <c r="Q867" i="2" s="1"/>
  <c r="P868" i="2"/>
  <c r="Q868" i="2" s="1"/>
  <c r="P869" i="2"/>
  <c r="Q869" i="2" s="1"/>
  <c r="P870" i="2"/>
  <c r="Q870" i="2" s="1"/>
  <c r="P871" i="2"/>
  <c r="Q871" i="2" s="1"/>
  <c r="P872" i="2"/>
  <c r="Q872" i="2" s="1"/>
  <c r="P873" i="2"/>
  <c r="Q873" i="2" s="1"/>
  <c r="P874" i="2"/>
  <c r="Q874" i="2" s="1"/>
  <c r="P875" i="2"/>
  <c r="Q875" i="2" s="1"/>
  <c r="P876" i="2"/>
  <c r="Q876" i="2" s="1"/>
  <c r="P877" i="2"/>
  <c r="Q877" i="2" s="1"/>
  <c r="P878" i="2"/>
  <c r="Q878" i="2" s="1"/>
  <c r="P879" i="2"/>
  <c r="Q879" i="2" s="1"/>
  <c r="P880" i="2"/>
  <c r="Q880" i="2" s="1"/>
  <c r="P881" i="2"/>
  <c r="Q881" i="2" s="1"/>
  <c r="P882" i="2"/>
  <c r="Q882" i="2" s="1"/>
  <c r="P883" i="2"/>
  <c r="Q883" i="2" s="1"/>
  <c r="P884" i="2"/>
  <c r="Q884" i="2" s="1"/>
  <c r="P885" i="2"/>
  <c r="Q885" i="2" s="1"/>
  <c r="P886" i="2"/>
  <c r="Q886" i="2" s="1"/>
  <c r="P887" i="2"/>
  <c r="Q887" i="2" s="1"/>
  <c r="P888" i="2"/>
  <c r="Q888" i="2" s="1"/>
  <c r="P889" i="2"/>
  <c r="Q889" i="2" s="1"/>
  <c r="P890" i="2"/>
  <c r="Q890" i="2" s="1"/>
  <c r="P891" i="2"/>
  <c r="Q891" i="2" s="1"/>
  <c r="P892" i="2"/>
  <c r="Q892" i="2" s="1"/>
  <c r="P893" i="2"/>
  <c r="Q893" i="2" s="1"/>
  <c r="P894" i="2"/>
  <c r="Q894" i="2" s="1"/>
  <c r="P895" i="2"/>
  <c r="Q895" i="2" s="1"/>
  <c r="P896" i="2"/>
  <c r="Q896" i="2" s="1"/>
  <c r="P897" i="2"/>
  <c r="Q897" i="2" s="1"/>
  <c r="P898" i="2"/>
  <c r="Q898" i="2" s="1"/>
  <c r="P899" i="2"/>
  <c r="Q899" i="2" s="1"/>
  <c r="P900" i="2"/>
  <c r="Q900" i="2" s="1"/>
  <c r="P901" i="2"/>
  <c r="Q901" i="2" s="1"/>
  <c r="P902" i="2"/>
  <c r="Q902" i="2" s="1"/>
  <c r="P903" i="2"/>
  <c r="Q903" i="2" s="1"/>
  <c r="P904" i="2"/>
  <c r="Q904" i="2" s="1"/>
  <c r="P905" i="2"/>
  <c r="Q905" i="2" s="1"/>
  <c r="P906" i="2"/>
  <c r="Q906" i="2" s="1"/>
  <c r="P907" i="2"/>
  <c r="Q907" i="2" s="1"/>
  <c r="P908" i="2"/>
  <c r="Q908" i="2" s="1"/>
  <c r="P909" i="2"/>
  <c r="Q909" i="2" s="1"/>
  <c r="P910" i="2"/>
  <c r="Q910" i="2" s="1"/>
  <c r="P911" i="2"/>
  <c r="Q911" i="2" s="1"/>
  <c r="P912" i="2"/>
  <c r="Q912" i="2" s="1"/>
  <c r="P913" i="2"/>
  <c r="Q913" i="2" s="1"/>
  <c r="P914" i="2"/>
  <c r="Q914" i="2" s="1"/>
  <c r="P915" i="2"/>
  <c r="Q915" i="2" s="1"/>
  <c r="P916" i="2"/>
  <c r="Q916" i="2" s="1"/>
  <c r="P917" i="2"/>
  <c r="P918" i="2"/>
  <c r="Q918" i="2" s="1"/>
  <c r="P919" i="2"/>
  <c r="Q919" i="2" s="1"/>
  <c r="P920" i="2"/>
  <c r="Q920" i="2" s="1"/>
  <c r="P921" i="2"/>
  <c r="Q921" i="2" s="1"/>
  <c r="P922" i="2"/>
  <c r="Q922" i="2" s="1"/>
  <c r="P923" i="2"/>
  <c r="Q923" i="2" s="1"/>
  <c r="P924" i="2"/>
  <c r="Q924" i="2" s="1"/>
  <c r="P925" i="2"/>
  <c r="Q925" i="2" s="1"/>
  <c r="P926" i="2"/>
  <c r="Q926" i="2" s="1"/>
  <c r="P927" i="2"/>
  <c r="Q927" i="2" s="1"/>
  <c r="P928" i="2"/>
  <c r="Q928" i="2" s="1"/>
  <c r="P929" i="2"/>
  <c r="Q929" i="2" s="1"/>
  <c r="P930" i="2"/>
  <c r="Q930" i="2" s="1"/>
  <c r="P931" i="2"/>
  <c r="Q931" i="2" s="1"/>
  <c r="P932" i="2"/>
  <c r="Q932" i="2" s="1"/>
  <c r="P933" i="2"/>
  <c r="Q933" i="2" s="1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Q942" i="2" s="1"/>
  <c r="P943" i="2"/>
  <c r="Q943" i="2" s="1"/>
  <c r="P944" i="2"/>
  <c r="Q944" i="2" s="1"/>
  <c r="P945" i="2"/>
  <c r="Q945" i="2" s="1"/>
  <c r="P946" i="2"/>
  <c r="Q946" i="2" s="1"/>
  <c r="P947" i="2"/>
  <c r="Q947" i="2" s="1"/>
  <c r="P948" i="2"/>
  <c r="Q948" i="2" s="1"/>
  <c r="P949" i="2"/>
  <c r="Q949" i="2" s="1"/>
  <c r="P950" i="2"/>
  <c r="Q950" i="2" s="1"/>
  <c r="P951" i="2"/>
  <c r="Q951" i="2" s="1"/>
  <c r="P952" i="2"/>
  <c r="Q952" i="2" s="1"/>
  <c r="P953" i="2"/>
  <c r="Q953" i="2" s="1"/>
  <c r="P954" i="2"/>
  <c r="Q954" i="2" s="1"/>
  <c r="P955" i="2"/>
  <c r="Q955" i="2" s="1"/>
  <c r="P956" i="2"/>
  <c r="Q956" i="2" s="1"/>
  <c r="P957" i="2"/>
  <c r="Q957" i="2" s="1"/>
  <c r="P958" i="2"/>
  <c r="Q958" i="2" s="1"/>
  <c r="P959" i="2"/>
  <c r="Q959" i="2" s="1"/>
  <c r="P960" i="2"/>
  <c r="Q960" i="2" s="1"/>
  <c r="P961" i="2"/>
  <c r="Q961" i="2" s="1"/>
  <c r="P962" i="2"/>
  <c r="Q962" i="2" s="1"/>
  <c r="P963" i="2"/>
  <c r="Q963" i="2" s="1"/>
  <c r="P964" i="2"/>
  <c r="Q964" i="2" s="1"/>
  <c r="P965" i="2"/>
  <c r="Q965" i="2" s="1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P973" i="2"/>
  <c r="Q973" i="2" s="1"/>
  <c r="P974" i="2"/>
  <c r="Q974" i="2" s="1"/>
  <c r="P975" i="2"/>
  <c r="Q975" i="2" s="1"/>
  <c r="P976" i="2"/>
  <c r="Q976" i="2" s="1"/>
  <c r="P977" i="2"/>
  <c r="Q977" i="2" s="1"/>
  <c r="P978" i="2"/>
  <c r="Q978" i="2" s="1"/>
  <c r="P979" i="2"/>
  <c r="Q979" i="2" s="1"/>
  <c r="P980" i="2"/>
  <c r="Q980" i="2" s="1"/>
  <c r="P981" i="2"/>
  <c r="Q981" i="2" s="1"/>
  <c r="P982" i="2"/>
  <c r="Q982" i="2" s="1"/>
  <c r="P983" i="2"/>
  <c r="Q983" i="2" s="1"/>
  <c r="P984" i="2"/>
  <c r="Q984" i="2" s="1"/>
  <c r="P985" i="2"/>
  <c r="Q985" i="2" s="1"/>
  <c r="P986" i="2"/>
  <c r="Q986" i="2" s="1"/>
  <c r="P987" i="2"/>
  <c r="Q987" i="2" s="1"/>
  <c r="P988" i="2"/>
  <c r="Q988" i="2" s="1"/>
  <c r="P989" i="2"/>
  <c r="Q989" i="2" s="1"/>
  <c r="P990" i="2"/>
  <c r="Q990" i="2" s="1"/>
  <c r="P991" i="2"/>
  <c r="Q991" i="2" s="1"/>
  <c r="P992" i="2"/>
  <c r="Q992" i="2" s="1"/>
  <c r="P993" i="2"/>
  <c r="Q993" i="2" s="1"/>
  <c r="P994" i="2"/>
  <c r="Q994" i="2" s="1"/>
  <c r="P995" i="2"/>
  <c r="Q995" i="2" s="1"/>
  <c r="P996" i="2"/>
  <c r="Q996" i="2" s="1"/>
  <c r="P997" i="2"/>
  <c r="Q997" i="2" s="1"/>
  <c r="P998" i="2"/>
  <c r="Q998" i="2" s="1"/>
  <c r="P999" i="2"/>
  <c r="Q999" i="2" s="1"/>
  <c r="P1000" i="2"/>
  <c r="Q1000" i="2" s="1"/>
  <c r="P1001" i="2"/>
  <c r="Q1001" i="2" s="1"/>
  <c r="P1002" i="2"/>
  <c r="Q1002" i="2" s="1"/>
  <c r="P1003" i="2"/>
  <c r="Q1003" i="2" s="1"/>
  <c r="P1004" i="2"/>
  <c r="Q1004" i="2" s="1"/>
  <c r="P1005" i="2"/>
  <c r="Q1005" i="2" s="1"/>
  <c r="P1006" i="2"/>
  <c r="Q1006" i="2" s="1"/>
  <c r="P1007" i="2"/>
  <c r="Q1007" i="2" s="1"/>
  <c r="P1008" i="2"/>
  <c r="Q1008" i="2" s="1"/>
  <c r="P1009" i="2"/>
  <c r="Q1009" i="2" s="1"/>
  <c r="P1010" i="2"/>
  <c r="Q1010" i="2" s="1"/>
  <c r="P1011" i="2"/>
  <c r="Q1011" i="2" s="1"/>
  <c r="P1012" i="2"/>
  <c r="Q1012" i="2" s="1"/>
  <c r="P1013" i="2"/>
  <c r="Q1013" i="2" s="1"/>
  <c r="P1014" i="2"/>
  <c r="Q1014" i="2" s="1"/>
  <c r="P1015" i="2"/>
  <c r="Q1015" i="2" s="1"/>
  <c r="P1016" i="2"/>
  <c r="Q1016" i="2" s="1"/>
  <c r="P1017" i="2"/>
  <c r="Q1017" i="2" s="1"/>
  <c r="P1018" i="2"/>
  <c r="Q1018" i="2" s="1"/>
  <c r="P1019" i="2"/>
  <c r="Q1019" i="2" s="1"/>
  <c r="P1020" i="2"/>
  <c r="Q1020" i="2" s="1"/>
  <c r="P1021" i="2"/>
  <c r="Q1021" i="2" s="1"/>
  <c r="P1022" i="2"/>
  <c r="Q1022" i="2" s="1"/>
  <c r="P1023" i="2"/>
  <c r="Q1023" i="2" s="1"/>
  <c r="P1024" i="2"/>
  <c r="Q1024" i="2" s="1"/>
  <c r="P1025" i="2"/>
  <c r="Q1025" i="2" s="1"/>
  <c r="P1026" i="2"/>
  <c r="Q1026" i="2" s="1"/>
  <c r="P1027" i="2"/>
  <c r="Q1027" i="2" s="1"/>
  <c r="P1028" i="2"/>
  <c r="Q1028" i="2" s="1"/>
  <c r="P1029" i="2"/>
  <c r="Q1029" i="2" s="1"/>
  <c r="P1030" i="2"/>
  <c r="Q1030" i="2" s="1"/>
  <c r="P1031" i="2"/>
  <c r="Q1031" i="2" s="1"/>
  <c r="P1032" i="2"/>
  <c r="Q1032" i="2" s="1"/>
  <c r="P1033" i="2"/>
  <c r="Q1033" i="2" s="1"/>
  <c r="P1034" i="2"/>
  <c r="Q1034" i="2" s="1"/>
  <c r="P1035" i="2"/>
  <c r="Q1035" i="2" s="1"/>
  <c r="P1036" i="2"/>
  <c r="Q1036" i="2" s="1"/>
  <c r="P1037" i="2"/>
  <c r="Q1037" i="2" s="1"/>
  <c r="P1038" i="2"/>
  <c r="Q1038" i="2" s="1"/>
  <c r="P1039" i="2"/>
  <c r="Q1039" i="2" s="1"/>
  <c r="P1040" i="2"/>
  <c r="Q1040" i="2" s="1"/>
  <c r="P1041" i="2"/>
  <c r="Q1041" i="2" s="1"/>
  <c r="P1042" i="2"/>
  <c r="Q1042" i="2" s="1"/>
  <c r="P1043" i="2"/>
  <c r="Q1043" i="2" s="1"/>
  <c r="P1044" i="2"/>
  <c r="Q1044" i="2" s="1"/>
  <c r="P1045" i="2"/>
  <c r="Q1045" i="2" s="1"/>
  <c r="P1046" i="2"/>
  <c r="Q1046" i="2" s="1"/>
  <c r="P1047" i="2"/>
  <c r="Q1047" i="2" s="1"/>
  <c r="P1048" i="2"/>
  <c r="Q1048" i="2" s="1"/>
  <c r="P1049" i="2"/>
  <c r="Q1049" i="2" s="1"/>
  <c r="P1050" i="2"/>
  <c r="Q1050" i="2" s="1"/>
  <c r="P1051" i="2"/>
  <c r="Q1051" i="2" s="1"/>
  <c r="P1052" i="2"/>
  <c r="Q1052" i="2" s="1"/>
  <c r="P1053" i="2"/>
  <c r="Q1053" i="2" s="1"/>
  <c r="P1054" i="2"/>
  <c r="Q1054" i="2" s="1"/>
  <c r="P1055" i="2"/>
  <c r="Q1055" i="2" s="1"/>
  <c r="P1056" i="2"/>
  <c r="Q1056" i="2" s="1"/>
  <c r="P1057" i="2"/>
  <c r="Q1057" i="2" s="1"/>
  <c r="P1058" i="2"/>
  <c r="Q1058" i="2" s="1"/>
  <c r="P1059" i="2"/>
  <c r="Q1059" i="2" s="1"/>
  <c r="P1060" i="2"/>
  <c r="Q1060" i="2" s="1"/>
  <c r="P1061" i="2"/>
  <c r="Q1061" i="2" s="1"/>
  <c r="P1062" i="2"/>
  <c r="Q1062" i="2" s="1"/>
  <c r="P1063" i="2"/>
  <c r="Q1063" i="2" s="1"/>
  <c r="P1064" i="2"/>
  <c r="Q1064" i="2" s="1"/>
  <c r="P1065" i="2"/>
  <c r="Q1065" i="2" s="1"/>
  <c r="P1066" i="2"/>
  <c r="Q1066" i="2" s="1"/>
  <c r="P1067" i="2"/>
  <c r="Q1067" i="2" s="1"/>
  <c r="P1068" i="2"/>
  <c r="Q1068" i="2" s="1"/>
  <c r="P1069" i="2"/>
  <c r="Q1069" i="2" s="1"/>
  <c r="P1070" i="2"/>
  <c r="Q1070" i="2" s="1"/>
  <c r="P1071" i="2"/>
  <c r="Q1071" i="2" s="1"/>
  <c r="P1072" i="2"/>
  <c r="Q1072" i="2" s="1"/>
  <c r="P1073" i="2"/>
  <c r="Q1073" i="2" s="1"/>
  <c r="P1074" i="2"/>
  <c r="Q1074" i="2" s="1"/>
  <c r="P1075" i="2"/>
  <c r="Q1075" i="2" s="1"/>
  <c r="P1076" i="2"/>
  <c r="Q1076" i="2" s="1"/>
  <c r="P1077" i="2"/>
  <c r="Q1077" i="2" s="1"/>
  <c r="P1078" i="2"/>
  <c r="Q1078" i="2" s="1"/>
  <c r="P1079" i="2"/>
  <c r="Q1079" i="2" s="1"/>
  <c r="P1080" i="2"/>
  <c r="Q1080" i="2" s="1"/>
  <c r="P1081" i="2"/>
  <c r="Q1081" i="2" s="1"/>
  <c r="P1082" i="2"/>
  <c r="Q1082" i="2" s="1"/>
  <c r="P1083" i="2"/>
  <c r="Q1083" i="2" s="1"/>
  <c r="P1084" i="2"/>
  <c r="Q1084" i="2" s="1"/>
  <c r="P1085" i="2"/>
  <c r="Q1085" i="2" s="1"/>
  <c r="P1086" i="2"/>
  <c r="Q1086" i="2" s="1"/>
  <c r="P1087" i="2"/>
  <c r="Q1087" i="2" s="1"/>
  <c r="P1088" i="2"/>
  <c r="Q1088" i="2" s="1"/>
  <c r="P1089" i="2"/>
  <c r="Q1089" i="2" s="1"/>
  <c r="P1090" i="2"/>
  <c r="Q1090" i="2" s="1"/>
  <c r="P1091" i="2"/>
  <c r="Q1091" i="2" s="1"/>
  <c r="P1092" i="2"/>
  <c r="Q1092" i="2" s="1"/>
  <c r="P1093" i="2"/>
  <c r="Q1093" i="2" s="1"/>
  <c r="P1094" i="2"/>
  <c r="Q1094" i="2" s="1"/>
  <c r="P1095" i="2"/>
  <c r="Q1095" i="2" s="1"/>
  <c r="P1096" i="2"/>
  <c r="Q1096" i="2" s="1"/>
  <c r="P1097" i="2"/>
  <c r="Q1097" i="2" s="1"/>
  <c r="P1098" i="2"/>
  <c r="Q1098" i="2" s="1"/>
  <c r="P1099" i="2"/>
  <c r="Q1099" i="2" s="1"/>
  <c r="P1100" i="2"/>
  <c r="Q1100" i="2" s="1"/>
  <c r="P1101" i="2"/>
  <c r="Q1101" i="2" s="1"/>
  <c r="P1102" i="2"/>
  <c r="Q1102" i="2" s="1"/>
  <c r="P1103" i="2"/>
  <c r="Q1103" i="2" s="1"/>
  <c r="P1104" i="2"/>
  <c r="Q1104" i="2" s="1"/>
  <c r="P1105" i="2"/>
  <c r="Q1105" i="2" s="1"/>
  <c r="P1106" i="2"/>
  <c r="Q1106" i="2" s="1"/>
  <c r="P1107" i="2"/>
  <c r="Q1107" i="2" s="1"/>
  <c r="P1108" i="2"/>
  <c r="Q1108" i="2" s="1"/>
  <c r="P1109" i="2"/>
  <c r="P1110" i="2"/>
  <c r="Q1110" i="2" s="1"/>
  <c r="P1111" i="2"/>
  <c r="Q1111" i="2" s="1"/>
  <c r="P1112" i="2"/>
  <c r="Q1112" i="2" s="1"/>
  <c r="P1113" i="2"/>
  <c r="Q1113" i="2" s="1"/>
  <c r="P1114" i="2"/>
  <c r="Q1114" i="2" s="1"/>
  <c r="P1115" i="2"/>
  <c r="Q1115" i="2" s="1"/>
  <c r="P1116" i="2"/>
  <c r="Q1116" i="2" s="1"/>
  <c r="P1117" i="2"/>
  <c r="Q1117" i="2" s="1"/>
  <c r="P1118" i="2"/>
  <c r="Q1118" i="2" s="1"/>
  <c r="P1119" i="2"/>
  <c r="Q1119" i="2" s="1"/>
  <c r="P1120" i="2"/>
  <c r="Q1120" i="2" s="1"/>
  <c r="P1121" i="2"/>
  <c r="Q1121" i="2" s="1"/>
  <c r="P1122" i="2"/>
  <c r="Q1122" i="2" s="1"/>
  <c r="P1123" i="2"/>
  <c r="Q1123" i="2" s="1"/>
  <c r="P1124" i="2"/>
  <c r="Q1124" i="2" s="1"/>
  <c r="P1125" i="2"/>
  <c r="Q1125" i="2" s="1"/>
  <c r="P1126" i="2"/>
  <c r="Q1126" i="2" s="1"/>
  <c r="P1127" i="2"/>
  <c r="Q1127" i="2" s="1"/>
  <c r="P1128" i="2"/>
  <c r="Q1128" i="2" s="1"/>
  <c r="P1129" i="2"/>
  <c r="Q1129" i="2" s="1"/>
  <c r="P1130" i="2"/>
  <c r="Q1130" i="2" s="1"/>
  <c r="P1131" i="2"/>
  <c r="Q1131" i="2" s="1"/>
  <c r="P1132" i="2"/>
  <c r="Q1132" i="2" s="1"/>
  <c r="P1133" i="2"/>
  <c r="Q1133" i="2" s="1"/>
  <c r="P1134" i="2"/>
  <c r="Q1134" i="2" s="1"/>
  <c r="P1135" i="2"/>
  <c r="Q1135" i="2" s="1"/>
  <c r="P1136" i="2"/>
  <c r="Q1136" i="2" s="1"/>
  <c r="P1137" i="2"/>
  <c r="Q1137" i="2" s="1"/>
  <c r="P1138" i="2"/>
  <c r="Q1138" i="2" s="1"/>
  <c r="P1139" i="2"/>
  <c r="Q1139" i="2" s="1"/>
  <c r="P1140" i="2"/>
  <c r="Q1140" i="2" s="1"/>
  <c r="P1141" i="2"/>
  <c r="Q1141" i="2" s="1"/>
  <c r="P1142" i="2"/>
  <c r="Q1142" i="2" s="1"/>
  <c r="P1143" i="2"/>
  <c r="Q1143" i="2" s="1"/>
  <c r="P1144" i="2"/>
  <c r="Q1144" i="2" s="1"/>
  <c r="P1145" i="2"/>
  <c r="Q1145" i="2" s="1"/>
  <c r="P1146" i="2"/>
  <c r="Q1146" i="2" s="1"/>
  <c r="P1147" i="2"/>
  <c r="Q1147" i="2" s="1"/>
  <c r="P1148" i="2"/>
  <c r="Q1148" i="2" s="1"/>
  <c r="P1149" i="2"/>
  <c r="Q1149" i="2" s="1"/>
  <c r="P1150" i="2"/>
  <c r="Q1150" i="2" s="1"/>
  <c r="P1151" i="2"/>
  <c r="Q1151" i="2" s="1"/>
  <c r="P1152" i="2"/>
  <c r="Q1152" i="2" s="1"/>
  <c r="P1153" i="2"/>
  <c r="Q1153" i="2" s="1"/>
  <c r="P1154" i="2"/>
  <c r="Q1154" i="2" s="1"/>
  <c r="P1155" i="2"/>
  <c r="Q1155" i="2" s="1"/>
  <c r="P1156" i="2"/>
  <c r="Q1156" i="2" s="1"/>
  <c r="P1157" i="2"/>
  <c r="Q1157" i="2" s="1"/>
  <c r="P1158" i="2"/>
  <c r="Q1158" i="2" s="1"/>
  <c r="P1159" i="2"/>
  <c r="Q1159" i="2" s="1"/>
  <c r="P1160" i="2"/>
  <c r="Q1160" i="2" s="1"/>
  <c r="P1161" i="2"/>
  <c r="Q1161" i="2" s="1"/>
  <c r="P1162" i="2"/>
  <c r="Q1162" i="2" s="1"/>
  <c r="P1163" i="2"/>
  <c r="Q1163" i="2" s="1"/>
  <c r="P1164" i="2"/>
  <c r="Q1164" i="2" s="1"/>
  <c r="P1165" i="2"/>
  <c r="Q1165" i="2" s="1"/>
  <c r="P1166" i="2"/>
  <c r="Q1166" i="2" s="1"/>
  <c r="P1167" i="2"/>
  <c r="Q1167" i="2" s="1"/>
  <c r="P1168" i="2"/>
  <c r="Q1168" i="2" s="1"/>
  <c r="P1169" i="2"/>
  <c r="Q1169" i="2" s="1"/>
  <c r="P1170" i="2"/>
  <c r="Q1170" i="2" s="1"/>
  <c r="P1171" i="2"/>
  <c r="Q1171" i="2" s="1"/>
  <c r="P1172" i="2"/>
  <c r="Q1172" i="2" s="1"/>
  <c r="P1173" i="2"/>
  <c r="Q1173" i="2" s="1"/>
  <c r="P1174" i="2"/>
  <c r="Q1174" i="2" s="1"/>
  <c r="P1175" i="2"/>
  <c r="Q1175" i="2" s="1"/>
  <c r="P1176" i="2"/>
  <c r="Q1176" i="2" s="1"/>
  <c r="P1177" i="2"/>
  <c r="Q1177" i="2" s="1"/>
  <c r="P1178" i="2"/>
  <c r="Q1178" i="2" s="1"/>
  <c r="P1179" i="2"/>
  <c r="Q1179" i="2" s="1"/>
  <c r="P1180" i="2"/>
  <c r="Q1180" i="2" s="1"/>
  <c r="P1181" i="2"/>
  <c r="Q1181" i="2" s="1"/>
  <c r="P1182" i="2"/>
  <c r="Q1182" i="2" s="1"/>
  <c r="P1183" i="2"/>
  <c r="Q1183" i="2" s="1"/>
  <c r="P1184" i="2"/>
  <c r="Q1184" i="2" s="1"/>
  <c r="P1185" i="2"/>
  <c r="Q1185" i="2" s="1"/>
  <c r="P1186" i="2"/>
  <c r="Q1186" i="2" s="1"/>
  <c r="P1187" i="2"/>
  <c r="Q1187" i="2" s="1"/>
  <c r="P1188" i="2"/>
  <c r="Q1188" i="2" s="1"/>
  <c r="P1189" i="2"/>
  <c r="Q1189" i="2" s="1"/>
  <c r="P1190" i="2"/>
  <c r="Q1190" i="2" s="1"/>
  <c r="P1191" i="2"/>
  <c r="Q1191" i="2" s="1"/>
  <c r="P1192" i="2"/>
  <c r="Q1192" i="2" s="1"/>
  <c r="P1193" i="2"/>
  <c r="Q1193" i="2" s="1"/>
  <c r="P1194" i="2"/>
  <c r="Q1194" i="2" s="1"/>
  <c r="P1195" i="2"/>
  <c r="Q1195" i="2" s="1"/>
  <c r="P1196" i="2"/>
  <c r="Q1196" i="2" s="1"/>
  <c r="P1197" i="2"/>
  <c r="Q1197" i="2" s="1"/>
  <c r="P1198" i="2"/>
  <c r="Q1198" i="2" s="1"/>
  <c r="P1199" i="2"/>
  <c r="Q1199" i="2" s="1"/>
  <c r="P1200" i="2"/>
  <c r="Q1200" i="2" s="1"/>
  <c r="P1201" i="2"/>
  <c r="Q1201" i="2" s="1"/>
  <c r="P1202" i="2"/>
  <c r="Q1202" i="2" s="1"/>
  <c r="P1203" i="2"/>
  <c r="Q1203" i="2" s="1"/>
  <c r="P1204" i="2"/>
  <c r="Q1204" i="2" s="1"/>
  <c r="P1205" i="2"/>
  <c r="Q1205" i="2" s="1"/>
  <c r="P1206" i="2"/>
  <c r="Q1206" i="2" s="1"/>
  <c r="P1207" i="2"/>
  <c r="Q1207" i="2" s="1"/>
  <c r="P1208" i="2"/>
  <c r="Q1208" i="2" s="1"/>
  <c r="P1209" i="2"/>
  <c r="Q1209" i="2" s="1"/>
  <c r="P1210" i="2"/>
  <c r="Q1210" i="2" s="1"/>
  <c r="P1211" i="2"/>
  <c r="Q1211" i="2" s="1"/>
  <c r="P1212" i="2"/>
  <c r="Q1212" i="2" s="1"/>
  <c r="P1213" i="2"/>
  <c r="Q1213" i="2" s="1"/>
  <c r="P1214" i="2"/>
  <c r="Q1214" i="2" s="1"/>
  <c r="P1215" i="2"/>
  <c r="Q1215" i="2" s="1"/>
  <c r="P1216" i="2"/>
  <c r="Q1216" i="2" s="1"/>
  <c r="P1217" i="2"/>
  <c r="Q1217" i="2" s="1"/>
  <c r="P1218" i="2"/>
  <c r="Q1218" i="2" s="1"/>
  <c r="P1219" i="2"/>
  <c r="Q1219" i="2" s="1"/>
  <c r="P1220" i="2"/>
  <c r="Q1220" i="2" s="1"/>
  <c r="P1221" i="2"/>
  <c r="Q1221" i="2" s="1"/>
  <c r="P1222" i="2"/>
  <c r="Q1222" i="2" s="1"/>
  <c r="P1223" i="2"/>
  <c r="Q1223" i="2" s="1"/>
  <c r="P1224" i="2"/>
  <c r="Q1224" i="2" s="1"/>
  <c r="P1225" i="2"/>
  <c r="Q1225" i="2" s="1"/>
  <c r="P1226" i="2"/>
  <c r="Q1226" i="2" s="1"/>
  <c r="P1227" i="2"/>
  <c r="Q1227" i="2" s="1"/>
  <c r="P1228" i="2"/>
  <c r="Q1228" i="2" s="1"/>
  <c r="P1229" i="2"/>
  <c r="Q1229" i="2" s="1"/>
  <c r="P1230" i="2"/>
  <c r="Q1230" i="2" s="1"/>
  <c r="P1231" i="2"/>
  <c r="Q1231" i="2" s="1"/>
  <c r="P1232" i="2"/>
  <c r="Q1232" i="2" s="1"/>
  <c r="P1233" i="2"/>
  <c r="Q1233" i="2" s="1"/>
  <c r="P1234" i="2"/>
  <c r="Q1234" i="2" s="1"/>
  <c r="P1235" i="2"/>
  <c r="Q1235" i="2" s="1"/>
  <c r="P1236" i="2"/>
  <c r="Q1236" i="2" s="1"/>
  <c r="P1237" i="2"/>
  <c r="Q1237" i="2" s="1"/>
  <c r="P1238" i="2"/>
  <c r="Q1238" i="2" s="1"/>
  <c r="P1239" i="2"/>
  <c r="Q1239" i="2" s="1"/>
  <c r="P1240" i="2"/>
  <c r="Q1240" i="2" s="1"/>
  <c r="P1241" i="2"/>
  <c r="Q1241" i="2" s="1"/>
  <c r="P1242" i="2"/>
  <c r="Q1242" i="2" s="1"/>
  <c r="P1243" i="2"/>
  <c r="Q1243" i="2" s="1"/>
  <c r="P1244" i="2"/>
  <c r="Q1244" i="2" s="1"/>
  <c r="P1245" i="2"/>
  <c r="Q1245" i="2" s="1"/>
  <c r="P1246" i="2"/>
  <c r="Q1246" i="2" s="1"/>
  <c r="P1247" i="2"/>
  <c r="Q1247" i="2" s="1"/>
  <c r="P1248" i="2"/>
  <c r="Q1248" i="2" s="1"/>
  <c r="P1249" i="2"/>
  <c r="Q1249" i="2" s="1"/>
  <c r="P1250" i="2"/>
  <c r="Q1250" i="2" s="1"/>
  <c r="P1251" i="2"/>
  <c r="Q1251" i="2" s="1"/>
  <c r="P1252" i="2"/>
  <c r="Q1252" i="2" s="1"/>
  <c r="P1253" i="2"/>
  <c r="Q1253" i="2" s="1"/>
  <c r="P1254" i="2"/>
  <c r="Q1254" i="2" s="1"/>
  <c r="P1255" i="2"/>
  <c r="Q1255" i="2" s="1"/>
  <c r="P1256" i="2"/>
  <c r="Q1256" i="2" s="1"/>
  <c r="P1257" i="2"/>
  <c r="Q1257" i="2" s="1"/>
  <c r="P1258" i="2"/>
  <c r="Q1258" i="2" s="1"/>
  <c r="P1259" i="2"/>
  <c r="Q1259" i="2" s="1"/>
  <c r="P1260" i="2"/>
  <c r="Q1260" i="2" s="1"/>
  <c r="P1261" i="2"/>
  <c r="Q1261" i="2" s="1"/>
  <c r="P1262" i="2"/>
  <c r="Q1262" i="2" s="1"/>
  <c r="P1263" i="2"/>
  <c r="Q1263" i="2" s="1"/>
  <c r="P1264" i="2"/>
  <c r="Q1264" i="2" s="1"/>
  <c r="P1265" i="2"/>
  <c r="Q1265" i="2" s="1"/>
  <c r="P1266" i="2"/>
  <c r="Q1266" i="2" s="1"/>
  <c r="P1267" i="2"/>
  <c r="Q1267" i="2" s="1"/>
  <c r="P1268" i="2"/>
  <c r="Q1268" i="2" s="1"/>
  <c r="P1269" i="2"/>
  <c r="Q1269" i="2" s="1"/>
  <c r="P1270" i="2"/>
  <c r="Q1270" i="2" s="1"/>
  <c r="P1271" i="2"/>
  <c r="Q1271" i="2" s="1"/>
  <c r="P1272" i="2"/>
  <c r="Q1272" i="2" s="1"/>
  <c r="P1273" i="2"/>
  <c r="Q1273" i="2" s="1"/>
  <c r="P1274" i="2"/>
  <c r="Q1274" i="2" s="1"/>
  <c r="P1275" i="2"/>
  <c r="Q1275" i="2" s="1"/>
  <c r="P1276" i="2"/>
  <c r="Q1276" i="2" s="1"/>
  <c r="P1277" i="2"/>
  <c r="Q1277" i="2" s="1"/>
  <c r="P1278" i="2"/>
  <c r="Q1278" i="2" s="1"/>
  <c r="P1279" i="2"/>
  <c r="Q1279" i="2" s="1"/>
  <c r="P1280" i="2"/>
  <c r="Q1280" i="2" s="1"/>
  <c r="P1281" i="2"/>
  <c r="Q1281" i="2" s="1"/>
  <c r="P1282" i="2"/>
  <c r="Q1282" i="2" s="1"/>
  <c r="P1283" i="2"/>
  <c r="Q1283" i="2" s="1"/>
  <c r="P1284" i="2"/>
  <c r="Q1284" i="2" s="1"/>
  <c r="P1285" i="2"/>
  <c r="Q1285" i="2" s="1"/>
  <c r="P1286" i="2"/>
  <c r="Q1286" i="2" s="1"/>
  <c r="P1287" i="2"/>
  <c r="Q1287" i="2" s="1"/>
  <c r="P1288" i="2"/>
  <c r="Q1288" i="2" s="1"/>
  <c r="P1289" i="2"/>
  <c r="Q1289" i="2" s="1"/>
  <c r="P1290" i="2"/>
  <c r="Q1290" i="2" s="1"/>
  <c r="P1291" i="2"/>
  <c r="Q1291" i="2" s="1"/>
  <c r="P1292" i="2"/>
  <c r="Q1292" i="2" s="1"/>
  <c r="P1293" i="2"/>
  <c r="Q1293" i="2" s="1"/>
  <c r="P1294" i="2"/>
  <c r="Q1294" i="2" s="1"/>
  <c r="P1295" i="2"/>
  <c r="Q1295" i="2" s="1"/>
  <c r="P1296" i="2"/>
  <c r="Q1296" i="2" s="1"/>
  <c r="P1297" i="2"/>
  <c r="Q1297" i="2" s="1"/>
  <c r="P1298" i="2"/>
  <c r="Q1298" i="2" s="1"/>
  <c r="P1299" i="2"/>
  <c r="Q1299" i="2" s="1"/>
  <c r="P1300" i="2"/>
  <c r="Q1300" i="2" s="1"/>
  <c r="P1301" i="2"/>
  <c r="Q1301" i="2" s="1"/>
  <c r="P1302" i="2"/>
  <c r="Q1302" i="2" s="1"/>
  <c r="P1303" i="2"/>
  <c r="Q1303" i="2" s="1"/>
  <c r="P1304" i="2"/>
  <c r="Q1304" i="2" s="1"/>
  <c r="P1305" i="2"/>
  <c r="Q1305" i="2" s="1"/>
  <c r="P1306" i="2"/>
  <c r="Q1306" i="2" s="1"/>
  <c r="P1307" i="2"/>
  <c r="Q1307" i="2" s="1"/>
  <c r="P1308" i="2"/>
  <c r="Q1308" i="2" s="1"/>
  <c r="P1309" i="2"/>
  <c r="Q1309" i="2" s="1"/>
  <c r="P1310" i="2"/>
  <c r="Q1310" i="2" s="1"/>
  <c r="P1311" i="2"/>
  <c r="Q1311" i="2" s="1"/>
  <c r="P1312" i="2"/>
  <c r="Q1312" i="2" s="1"/>
  <c r="P1313" i="2"/>
  <c r="Q1313" i="2" s="1"/>
  <c r="P1314" i="2"/>
  <c r="Q1314" i="2" s="1"/>
  <c r="P1315" i="2"/>
  <c r="Q1315" i="2" s="1"/>
  <c r="P1316" i="2"/>
  <c r="Q1316" i="2" s="1"/>
  <c r="P1317" i="2"/>
  <c r="Q1317" i="2" s="1"/>
  <c r="P1318" i="2"/>
  <c r="Q1318" i="2" s="1"/>
  <c r="P1319" i="2"/>
  <c r="Q1319" i="2" s="1"/>
  <c r="P1320" i="2"/>
  <c r="Q1320" i="2" s="1"/>
  <c r="P1321" i="2"/>
  <c r="Q1321" i="2" s="1"/>
  <c r="P1322" i="2"/>
  <c r="Q1322" i="2" s="1"/>
  <c r="P1323" i="2"/>
  <c r="Q1323" i="2" s="1"/>
  <c r="P1324" i="2"/>
  <c r="Q1324" i="2" s="1"/>
  <c r="P1325" i="2"/>
  <c r="Q1325" i="2" s="1"/>
  <c r="P1326" i="2"/>
  <c r="Q1326" i="2" s="1"/>
  <c r="P1327" i="2"/>
  <c r="Q1327" i="2" s="1"/>
  <c r="P1328" i="2"/>
  <c r="Q1328" i="2" s="1"/>
  <c r="P1329" i="2"/>
  <c r="Q1329" i="2" s="1"/>
  <c r="P1330" i="2"/>
  <c r="Q1330" i="2" s="1"/>
  <c r="P1331" i="2"/>
  <c r="Q1331" i="2" s="1"/>
  <c r="P1332" i="2"/>
  <c r="Q1332" i="2" s="1"/>
  <c r="P1333" i="2"/>
  <c r="Q1333" i="2" s="1"/>
  <c r="P1334" i="2"/>
  <c r="Q1334" i="2" s="1"/>
  <c r="P1335" i="2"/>
  <c r="Q1335" i="2" s="1"/>
  <c r="P1336" i="2"/>
  <c r="Q1336" i="2" s="1"/>
  <c r="P1337" i="2"/>
  <c r="Q1337" i="2" s="1"/>
  <c r="P1338" i="2"/>
  <c r="Q1338" i="2" s="1"/>
  <c r="P1339" i="2"/>
  <c r="Q1339" i="2" s="1"/>
  <c r="P1340" i="2"/>
  <c r="Q1340" i="2" s="1"/>
  <c r="P1341" i="2"/>
  <c r="Q1341" i="2" s="1"/>
  <c r="P1342" i="2"/>
  <c r="Q1342" i="2" s="1"/>
  <c r="P1343" i="2"/>
  <c r="Q1343" i="2" s="1"/>
  <c r="P1344" i="2"/>
  <c r="Q1344" i="2" s="1"/>
  <c r="P1345" i="2"/>
  <c r="Q1345" i="2" s="1"/>
  <c r="P1346" i="2"/>
  <c r="Q1346" i="2" s="1"/>
  <c r="P1347" i="2"/>
  <c r="Q1347" i="2" s="1"/>
  <c r="P1348" i="2"/>
  <c r="Q1348" i="2" s="1"/>
  <c r="P1349" i="2"/>
  <c r="Q1349" i="2" s="1"/>
  <c r="P1350" i="2"/>
  <c r="P1351" i="2"/>
  <c r="Q1351" i="2" s="1"/>
  <c r="P1352" i="2"/>
  <c r="Q1352" i="2" s="1"/>
  <c r="P1353" i="2"/>
  <c r="Q1353" i="2" s="1"/>
  <c r="P1354" i="2"/>
  <c r="Q1354" i="2" s="1"/>
  <c r="P1355" i="2"/>
  <c r="Q1355" i="2" s="1"/>
  <c r="P1356" i="2"/>
  <c r="Q1356" i="2" s="1"/>
  <c r="P1357" i="2"/>
  <c r="Q1357" i="2" s="1"/>
  <c r="P1358" i="2"/>
  <c r="Q1358" i="2" s="1"/>
  <c r="P1359" i="2"/>
  <c r="Q1359" i="2" s="1"/>
  <c r="P1360" i="2"/>
  <c r="Q1360" i="2" s="1"/>
  <c r="P1361" i="2"/>
  <c r="Q1361" i="2" s="1"/>
  <c r="P1362" i="2"/>
  <c r="Q1362" i="2" s="1"/>
  <c r="P1363" i="2"/>
  <c r="Q1363" i="2" s="1"/>
  <c r="P1364" i="2"/>
  <c r="Q1364" i="2" s="1"/>
  <c r="P1365" i="2"/>
  <c r="Q1365" i="2" s="1"/>
  <c r="P1366" i="2"/>
  <c r="Q1366" i="2" s="1"/>
  <c r="P1367" i="2"/>
  <c r="Q1367" i="2" s="1"/>
  <c r="P1368" i="2"/>
  <c r="Q1368" i="2" s="1"/>
  <c r="P1369" i="2"/>
  <c r="Q1369" i="2" s="1"/>
  <c r="P1370" i="2"/>
  <c r="Q1370" i="2" s="1"/>
  <c r="P1371" i="2"/>
  <c r="Q1371" i="2" s="1"/>
  <c r="P1372" i="2"/>
  <c r="Q1372" i="2" s="1"/>
  <c r="P1373" i="2"/>
  <c r="Q1373" i="2" s="1"/>
  <c r="P1374" i="2"/>
  <c r="Q1374" i="2" s="1"/>
  <c r="P1375" i="2"/>
  <c r="Q1375" i="2" s="1"/>
  <c r="P1376" i="2"/>
  <c r="Q1376" i="2" s="1"/>
  <c r="P1377" i="2"/>
  <c r="Q1377" i="2" s="1"/>
  <c r="P1378" i="2"/>
  <c r="Q1378" i="2" s="1"/>
  <c r="P1379" i="2"/>
  <c r="Q1379" i="2" s="1"/>
  <c r="P1380" i="2"/>
  <c r="Q1380" i="2" s="1"/>
  <c r="P1381" i="2"/>
  <c r="Q1381" i="2" s="1"/>
  <c r="P1382" i="2"/>
  <c r="Q1382" i="2" s="1"/>
  <c r="P1383" i="2"/>
  <c r="Q1383" i="2" s="1"/>
  <c r="P1384" i="2"/>
  <c r="Q1384" i="2" s="1"/>
  <c r="P1385" i="2"/>
  <c r="Q1385" i="2" s="1"/>
  <c r="P1386" i="2"/>
  <c r="Q1386" i="2" s="1"/>
  <c r="P1387" i="2"/>
  <c r="Q1387" i="2" s="1"/>
  <c r="P1388" i="2"/>
  <c r="Q1388" i="2" s="1"/>
  <c r="P1389" i="2"/>
  <c r="Q1389" i="2" s="1"/>
  <c r="P1390" i="2"/>
  <c r="Q1390" i="2" s="1"/>
  <c r="P1391" i="2"/>
  <c r="Q1391" i="2" s="1"/>
  <c r="P1392" i="2"/>
  <c r="Q1392" i="2" s="1"/>
  <c r="P1393" i="2"/>
  <c r="Q1393" i="2" s="1"/>
  <c r="P1394" i="2"/>
  <c r="Q1394" i="2" s="1"/>
  <c r="P1395" i="2"/>
  <c r="Q1395" i="2" s="1"/>
  <c r="P1396" i="2"/>
  <c r="Q1396" i="2" s="1"/>
  <c r="P1397" i="2"/>
  <c r="Q1397" i="2" s="1"/>
  <c r="P1398" i="2"/>
  <c r="Q1398" i="2" s="1"/>
  <c r="P1399" i="2"/>
  <c r="Q1399" i="2" s="1"/>
  <c r="P1400" i="2"/>
  <c r="Q1400" i="2" s="1"/>
  <c r="P1401" i="2"/>
  <c r="Q1401" i="2" s="1"/>
  <c r="P1402" i="2"/>
  <c r="Q1402" i="2" s="1"/>
  <c r="P1403" i="2"/>
  <c r="Q1403" i="2" s="1"/>
  <c r="P1404" i="2"/>
  <c r="Q1404" i="2" s="1"/>
  <c r="P1405" i="2"/>
  <c r="Q1405" i="2" s="1"/>
  <c r="P1406" i="2"/>
  <c r="P1407" i="2"/>
  <c r="Q1407" i="2" s="1"/>
  <c r="P1408" i="2"/>
  <c r="Q1408" i="2" s="1"/>
  <c r="P1409" i="2"/>
  <c r="Q1409" i="2" s="1"/>
  <c r="P1410" i="2"/>
  <c r="Q1410" i="2" s="1"/>
  <c r="P1411" i="2"/>
  <c r="Q1411" i="2" s="1"/>
  <c r="P1412" i="2"/>
  <c r="Q1412" i="2" s="1"/>
  <c r="P1413" i="2"/>
  <c r="Q1413" i="2" s="1"/>
  <c r="P1414" i="2"/>
  <c r="Q1414" i="2" s="1"/>
  <c r="P1415" i="2"/>
  <c r="Q1415" i="2" s="1"/>
  <c r="P1416" i="2"/>
  <c r="Q1416" i="2" s="1"/>
  <c r="P1417" i="2"/>
  <c r="Q1417" i="2" s="1"/>
  <c r="P1418" i="2"/>
  <c r="Q1418" i="2" s="1"/>
  <c r="P1419" i="2"/>
  <c r="Q1419" i="2" s="1"/>
  <c r="P1420" i="2"/>
  <c r="Q1420" i="2" s="1"/>
  <c r="P1421" i="2"/>
  <c r="Q1421" i="2" s="1"/>
  <c r="P1422" i="2"/>
  <c r="Q1422" i="2" s="1"/>
  <c r="P1423" i="2"/>
  <c r="Q1423" i="2" s="1"/>
  <c r="P1424" i="2"/>
  <c r="Q1424" i="2" s="1"/>
  <c r="P1425" i="2"/>
  <c r="Q1425" i="2" s="1"/>
  <c r="P1426" i="2"/>
  <c r="Q1426" i="2" s="1"/>
  <c r="P1427" i="2"/>
  <c r="Q1427" i="2" s="1"/>
  <c r="P1428" i="2"/>
  <c r="Q1428" i="2" s="1"/>
  <c r="P1429" i="2"/>
  <c r="Q1429" i="2" s="1"/>
  <c r="P1430" i="2"/>
  <c r="Q1430" i="2" s="1"/>
  <c r="P1431" i="2"/>
  <c r="Q1431" i="2" s="1"/>
  <c r="P1432" i="2"/>
  <c r="Q1432" i="2" s="1"/>
  <c r="P1433" i="2"/>
  <c r="Q1433" i="2" s="1"/>
  <c r="P1434" i="2"/>
  <c r="Q1434" i="2" s="1"/>
  <c r="P1435" i="2"/>
  <c r="Q1435" i="2" s="1"/>
  <c r="P1436" i="2"/>
  <c r="Q1436" i="2" s="1"/>
  <c r="P1437" i="2"/>
  <c r="Q1437" i="2" s="1"/>
  <c r="P1438" i="2"/>
  <c r="Q1438" i="2" s="1"/>
  <c r="P1439" i="2"/>
  <c r="Q1439" i="2" s="1"/>
  <c r="P1440" i="2"/>
  <c r="Q1440" i="2" s="1"/>
  <c r="P1441" i="2"/>
  <c r="Q1441" i="2" s="1"/>
  <c r="P1442" i="2"/>
  <c r="Q1442" i="2" s="1"/>
  <c r="P1443" i="2"/>
  <c r="Q1443" i="2" s="1"/>
  <c r="P1444" i="2"/>
  <c r="Q1444" i="2" s="1"/>
  <c r="P1445" i="2"/>
  <c r="Q1445" i="2" s="1"/>
  <c r="P1446" i="2"/>
  <c r="Q1446" i="2" s="1"/>
  <c r="P1447" i="2"/>
  <c r="Q1447" i="2" s="1"/>
  <c r="P1448" i="2"/>
  <c r="Q1448" i="2" s="1"/>
  <c r="P1449" i="2"/>
  <c r="Q1449" i="2" s="1"/>
  <c r="P1450" i="2"/>
  <c r="Q1450" i="2" s="1"/>
  <c r="P1451" i="2"/>
  <c r="Q1451" i="2" s="1"/>
  <c r="P1452" i="2"/>
  <c r="Q1452" i="2" s="1"/>
  <c r="P1453" i="2"/>
  <c r="Q1453" i="2" s="1"/>
  <c r="P1454" i="2"/>
  <c r="Q1454" i="2" s="1"/>
  <c r="P1455" i="2"/>
  <c r="Q1455" i="2" s="1"/>
  <c r="P1456" i="2"/>
  <c r="Q1456" i="2" s="1"/>
  <c r="P1457" i="2"/>
  <c r="Q1457" i="2" s="1"/>
  <c r="P1458" i="2"/>
  <c r="Q1458" i="2" s="1"/>
  <c r="P1459" i="2"/>
  <c r="Q1459" i="2" s="1"/>
  <c r="P1460" i="2"/>
  <c r="Q1460" i="2" s="1"/>
  <c r="P1461" i="2"/>
  <c r="Q1461" i="2" s="1"/>
  <c r="P1462" i="2"/>
  <c r="Q1462" i="2" s="1"/>
  <c r="P1463" i="2"/>
  <c r="Q1463" i="2" s="1"/>
  <c r="P1464" i="2"/>
  <c r="Q1464" i="2" s="1"/>
  <c r="P1465" i="2"/>
  <c r="Q1465" i="2" s="1"/>
  <c r="P1466" i="2"/>
  <c r="Q1466" i="2" s="1"/>
  <c r="P1467" i="2"/>
  <c r="Q1467" i="2" s="1"/>
  <c r="P1468" i="2"/>
  <c r="Q1468" i="2" s="1"/>
  <c r="P1469" i="2"/>
  <c r="Q1469" i="2" s="1"/>
  <c r="P1470" i="2"/>
  <c r="Q1470" i="2" s="1"/>
  <c r="P1471" i="2"/>
  <c r="Q1471" i="2" s="1"/>
  <c r="P2" i="2"/>
  <c r="Q2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4" i="2"/>
  <c r="Y24" i="2" s="1"/>
  <c r="Z24" i="2" s="1"/>
  <c r="X25" i="2"/>
  <c r="Y25" i="2" s="1"/>
  <c r="Z25" i="2" s="1"/>
  <c r="X26" i="2"/>
  <c r="Y26" i="2" s="1"/>
  <c r="Z26" i="2" s="1"/>
  <c r="X27" i="2"/>
  <c r="Y27" i="2" s="1"/>
  <c r="Z27" i="2" s="1"/>
  <c r="X28" i="2"/>
  <c r="Y28" i="2" s="1"/>
  <c r="Z28" i="2" s="1"/>
  <c r="X29" i="2"/>
  <c r="Y29" i="2" s="1"/>
  <c r="Z29" i="2" s="1"/>
  <c r="X30" i="2"/>
  <c r="Y30" i="2" s="1"/>
  <c r="Z30" i="2" s="1"/>
  <c r="X31" i="2"/>
  <c r="Y31" i="2" s="1"/>
  <c r="Z31" i="2" s="1"/>
  <c r="X32" i="2"/>
  <c r="Y32" i="2" s="1"/>
  <c r="Z32" i="2" s="1"/>
  <c r="X33" i="2"/>
  <c r="Y33" i="2" s="1"/>
  <c r="Z33" i="2" s="1"/>
  <c r="X34" i="2"/>
  <c r="Y34" i="2" s="1"/>
  <c r="Z34" i="2" s="1"/>
  <c r="X35" i="2"/>
  <c r="Y35" i="2" s="1"/>
  <c r="Z35" i="2" s="1"/>
  <c r="X36" i="2"/>
  <c r="Y36" i="2" s="1"/>
  <c r="Z36" i="2" s="1"/>
  <c r="X37" i="2"/>
  <c r="Y37" i="2" s="1"/>
  <c r="Z37" i="2" s="1"/>
  <c r="X38" i="2"/>
  <c r="Y38" i="2" s="1"/>
  <c r="Z38" i="2" s="1"/>
  <c r="X39" i="2"/>
  <c r="Y39" i="2" s="1"/>
  <c r="Z39" i="2" s="1"/>
  <c r="X40" i="2"/>
  <c r="Y40" i="2" s="1"/>
  <c r="Z40" i="2" s="1"/>
  <c r="X41" i="2"/>
  <c r="Y41" i="2" s="1"/>
  <c r="Z41" i="2" s="1"/>
  <c r="X42" i="2"/>
  <c r="Y42" i="2" s="1"/>
  <c r="Z42" i="2" s="1"/>
  <c r="X43" i="2"/>
  <c r="Y43" i="2" s="1"/>
  <c r="Z43" i="2" s="1"/>
  <c r="X44" i="2"/>
  <c r="Y44" i="2" s="1"/>
  <c r="Z44" i="2" s="1"/>
  <c r="X45" i="2"/>
  <c r="Y45" i="2" s="1"/>
  <c r="Z45" i="2" s="1"/>
  <c r="X46" i="2"/>
  <c r="Y46" i="2" s="1"/>
  <c r="Z46" i="2" s="1"/>
  <c r="X47" i="2"/>
  <c r="Y47" i="2" s="1"/>
  <c r="Z47" i="2" s="1"/>
  <c r="X48" i="2"/>
  <c r="Y48" i="2" s="1"/>
  <c r="Z48" i="2" s="1"/>
  <c r="X49" i="2"/>
  <c r="Y49" i="2" s="1"/>
  <c r="Z49" i="2" s="1"/>
  <c r="X50" i="2"/>
  <c r="Y50" i="2" s="1"/>
  <c r="Z50" i="2" s="1"/>
  <c r="X51" i="2"/>
  <c r="Y51" i="2" s="1"/>
  <c r="Z51" i="2" s="1"/>
  <c r="X52" i="2"/>
  <c r="Y52" i="2" s="1"/>
  <c r="Z52" i="2" s="1"/>
  <c r="X53" i="2"/>
  <c r="Y53" i="2" s="1"/>
  <c r="Z53" i="2" s="1"/>
  <c r="X54" i="2"/>
  <c r="Y54" i="2" s="1"/>
  <c r="Z54" i="2" s="1"/>
  <c r="X55" i="2"/>
  <c r="Y55" i="2" s="1"/>
  <c r="Z55" i="2" s="1"/>
  <c r="X56" i="2"/>
  <c r="Y56" i="2" s="1"/>
  <c r="Z56" i="2" s="1"/>
  <c r="X57" i="2"/>
  <c r="Y57" i="2" s="1"/>
  <c r="Z57" i="2" s="1"/>
  <c r="X58" i="2"/>
  <c r="Y58" i="2" s="1"/>
  <c r="Z58" i="2" s="1"/>
  <c r="X59" i="2"/>
  <c r="Y59" i="2" s="1"/>
  <c r="Z59" i="2" s="1"/>
  <c r="X60" i="2"/>
  <c r="Y60" i="2" s="1"/>
  <c r="Z60" i="2" s="1"/>
  <c r="X61" i="2"/>
  <c r="Y61" i="2" s="1"/>
  <c r="Z61" i="2" s="1"/>
  <c r="X62" i="2"/>
  <c r="Y62" i="2" s="1"/>
  <c r="Z62" i="2" s="1"/>
  <c r="X63" i="2"/>
  <c r="Y63" i="2" s="1"/>
  <c r="Z63" i="2" s="1"/>
  <c r="X64" i="2"/>
  <c r="Y64" i="2" s="1"/>
  <c r="Z64" i="2" s="1"/>
  <c r="X65" i="2"/>
  <c r="Y65" i="2" s="1"/>
  <c r="Z65" i="2" s="1"/>
  <c r="X66" i="2"/>
  <c r="Y66" i="2" s="1"/>
  <c r="Z66" i="2" s="1"/>
  <c r="X67" i="2"/>
  <c r="Y67" i="2" s="1"/>
  <c r="Z67" i="2" s="1"/>
  <c r="X68" i="2"/>
  <c r="Y68" i="2" s="1"/>
  <c r="Z68" i="2" s="1"/>
  <c r="X69" i="2"/>
  <c r="Y69" i="2" s="1"/>
  <c r="Z69" i="2" s="1"/>
  <c r="X70" i="2"/>
  <c r="Y70" i="2" s="1"/>
  <c r="Z70" i="2" s="1"/>
  <c r="X71" i="2"/>
  <c r="Y71" i="2" s="1"/>
  <c r="Z71" i="2" s="1"/>
  <c r="X72" i="2"/>
  <c r="Y72" i="2" s="1"/>
  <c r="Z72" i="2" s="1"/>
  <c r="X73" i="2"/>
  <c r="Y73" i="2" s="1"/>
  <c r="Z73" i="2" s="1"/>
  <c r="X74" i="2"/>
  <c r="Y74" i="2" s="1"/>
  <c r="Z74" i="2" s="1"/>
  <c r="X75" i="2"/>
  <c r="Y75" i="2" s="1"/>
  <c r="Z75" i="2" s="1"/>
  <c r="X76" i="2"/>
  <c r="Y76" i="2" s="1"/>
  <c r="Z76" i="2" s="1"/>
  <c r="X77" i="2"/>
  <c r="Y77" i="2" s="1"/>
  <c r="Z77" i="2" s="1"/>
  <c r="X78" i="2"/>
  <c r="Y78" i="2" s="1"/>
  <c r="Z78" i="2" s="1"/>
  <c r="X79" i="2"/>
  <c r="Y79" i="2" s="1"/>
  <c r="Z79" i="2" s="1"/>
  <c r="X80" i="2"/>
  <c r="Y80" i="2" s="1"/>
  <c r="Z80" i="2" s="1"/>
  <c r="X81" i="2"/>
  <c r="Y81" i="2" s="1"/>
  <c r="Z81" i="2" s="1"/>
  <c r="X82" i="2"/>
  <c r="Y82" i="2" s="1"/>
  <c r="Z82" i="2" s="1"/>
  <c r="X83" i="2"/>
  <c r="Y83" i="2" s="1"/>
  <c r="Z83" i="2" s="1"/>
  <c r="X84" i="2"/>
  <c r="Y84" i="2" s="1"/>
  <c r="Z84" i="2" s="1"/>
  <c r="X85" i="2"/>
  <c r="Y85" i="2" s="1"/>
  <c r="Z85" i="2" s="1"/>
  <c r="X86" i="2"/>
  <c r="Y86" i="2" s="1"/>
  <c r="Z86" i="2" s="1"/>
  <c r="X87" i="2"/>
  <c r="Y87" i="2" s="1"/>
  <c r="Z87" i="2" s="1"/>
  <c r="X88" i="2"/>
  <c r="Y88" i="2" s="1"/>
  <c r="Z88" i="2" s="1"/>
  <c r="X89" i="2"/>
  <c r="Y89" i="2" s="1"/>
  <c r="Z89" i="2" s="1"/>
  <c r="X90" i="2"/>
  <c r="Y90" i="2" s="1"/>
  <c r="Z90" i="2" s="1"/>
  <c r="X91" i="2"/>
  <c r="Y91" i="2" s="1"/>
  <c r="Z91" i="2" s="1"/>
  <c r="X92" i="2"/>
  <c r="Y92" i="2" s="1"/>
  <c r="Z92" i="2" s="1"/>
  <c r="X93" i="2"/>
  <c r="Y93" i="2" s="1"/>
  <c r="Z93" i="2" s="1"/>
  <c r="X94" i="2"/>
  <c r="Y94" i="2" s="1"/>
  <c r="Z94" i="2" s="1"/>
  <c r="X95" i="2"/>
  <c r="Y95" i="2" s="1"/>
  <c r="Z95" i="2" s="1"/>
  <c r="X96" i="2"/>
  <c r="Y96" i="2" s="1"/>
  <c r="Z96" i="2" s="1"/>
  <c r="X97" i="2"/>
  <c r="Y97" i="2" s="1"/>
  <c r="Z97" i="2" s="1"/>
  <c r="X98" i="2"/>
  <c r="Y98" i="2" s="1"/>
  <c r="Z98" i="2" s="1"/>
  <c r="X99" i="2"/>
  <c r="Y99" i="2" s="1"/>
  <c r="Z99" i="2" s="1"/>
  <c r="X100" i="2"/>
  <c r="Y100" i="2" s="1"/>
  <c r="Z100" i="2" s="1"/>
  <c r="X101" i="2"/>
  <c r="Y101" i="2" s="1"/>
  <c r="Z101" i="2" s="1"/>
  <c r="X102" i="2"/>
  <c r="Y102" i="2" s="1"/>
  <c r="Z102" i="2" s="1"/>
  <c r="X103" i="2"/>
  <c r="Y103" i="2" s="1"/>
  <c r="Z103" i="2" s="1"/>
  <c r="X104" i="2"/>
  <c r="Y104" i="2" s="1"/>
  <c r="Z104" i="2" s="1"/>
  <c r="X105" i="2"/>
  <c r="Y105" i="2" s="1"/>
  <c r="Z105" i="2" s="1"/>
  <c r="X106" i="2"/>
  <c r="Y106" i="2" s="1"/>
  <c r="Z106" i="2" s="1"/>
  <c r="X107" i="2"/>
  <c r="Y107" i="2" s="1"/>
  <c r="Z107" i="2" s="1"/>
  <c r="X108" i="2"/>
  <c r="Y108" i="2" s="1"/>
  <c r="Z108" i="2" s="1"/>
  <c r="X109" i="2"/>
  <c r="Y109" i="2" s="1"/>
  <c r="Z109" i="2" s="1"/>
  <c r="X110" i="2"/>
  <c r="Y110" i="2" s="1"/>
  <c r="Z110" i="2" s="1"/>
  <c r="X111" i="2"/>
  <c r="Y111" i="2" s="1"/>
  <c r="Z111" i="2" s="1"/>
  <c r="X112" i="2"/>
  <c r="Y112" i="2" s="1"/>
  <c r="Z112" i="2" s="1"/>
  <c r="X113" i="2"/>
  <c r="Y113" i="2" s="1"/>
  <c r="Z113" i="2" s="1"/>
  <c r="X114" i="2"/>
  <c r="Y114" i="2" s="1"/>
  <c r="Z114" i="2" s="1"/>
  <c r="X115" i="2"/>
  <c r="Y115" i="2" s="1"/>
  <c r="Z115" i="2" s="1"/>
  <c r="X116" i="2"/>
  <c r="Y116" i="2" s="1"/>
  <c r="Z116" i="2" s="1"/>
  <c r="X117" i="2"/>
  <c r="Y117" i="2" s="1"/>
  <c r="Z117" i="2" s="1"/>
  <c r="X118" i="2"/>
  <c r="Y118" i="2" s="1"/>
  <c r="Z118" i="2" s="1"/>
  <c r="X119" i="2"/>
  <c r="Y119" i="2" s="1"/>
  <c r="Z119" i="2" s="1"/>
  <c r="X120" i="2"/>
  <c r="Y120" i="2" s="1"/>
  <c r="Z120" i="2" s="1"/>
  <c r="X121" i="2"/>
  <c r="Y121" i="2" s="1"/>
  <c r="Z121" i="2" s="1"/>
  <c r="X122" i="2"/>
  <c r="Y122" i="2" s="1"/>
  <c r="Z122" i="2" s="1"/>
  <c r="X123" i="2"/>
  <c r="Y123" i="2" s="1"/>
  <c r="Z123" i="2" s="1"/>
  <c r="X124" i="2"/>
  <c r="Y124" i="2" s="1"/>
  <c r="Z124" i="2" s="1"/>
  <c r="X125" i="2"/>
  <c r="Y125" i="2" s="1"/>
  <c r="Z125" i="2" s="1"/>
  <c r="X126" i="2"/>
  <c r="Y126" i="2" s="1"/>
  <c r="Z126" i="2" s="1"/>
  <c r="X127" i="2"/>
  <c r="Y127" i="2" s="1"/>
  <c r="Z127" i="2" s="1"/>
  <c r="X128" i="2"/>
  <c r="Y128" i="2" s="1"/>
  <c r="Z128" i="2" s="1"/>
  <c r="X129" i="2"/>
  <c r="Y129" i="2" s="1"/>
  <c r="Z129" i="2" s="1"/>
  <c r="X130" i="2"/>
  <c r="Y130" i="2" s="1"/>
  <c r="Z130" i="2" s="1"/>
  <c r="X131" i="2"/>
  <c r="Y131" i="2" s="1"/>
  <c r="Z131" i="2" s="1"/>
  <c r="X132" i="2"/>
  <c r="Y132" i="2" s="1"/>
  <c r="Z132" i="2" s="1"/>
  <c r="X133" i="2"/>
  <c r="Y133" i="2" s="1"/>
  <c r="Z133" i="2" s="1"/>
  <c r="X134" i="2"/>
  <c r="Y134" i="2" s="1"/>
  <c r="Z134" i="2" s="1"/>
  <c r="X135" i="2"/>
  <c r="Y135" i="2" s="1"/>
  <c r="Z135" i="2" s="1"/>
  <c r="X136" i="2"/>
  <c r="Y136" i="2" s="1"/>
  <c r="Z136" i="2" s="1"/>
  <c r="X137" i="2"/>
  <c r="Y137" i="2" s="1"/>
  <c r="Z137" i="2" s="1"/>
  <c r="X138" i="2"/>
  <c r="Y138" i="2" s="1"/>
  <c r="Z138" i="2" s="1"/>
  <c r="X139" i="2"/>
  <c r="Y139" i="2" s="1"/>
  <c r="Z139" i="2" s="1"/>
  <c r="X140" i="2"/>
  <c r="Y140" i="2" s="1"/>
  <c r="Z140" i="2" s="1"/>
  <c r="X141" i="2"/>
  <c r="Y141" i="2" s="1"/>
  <c r="Z141" i="2" s="1"/>
  <c r="X142" i="2"/>
  <c r="Y142" i="2" s="1"/>
  <c r="Z142" i="2" s="1"/>
  <c r="X143" i="2"/>
  <c r="Y143" i="2" s="1"/>
  <c r="Z143" i="2" s="1"/>
  <c r="X144" i="2"/>
  <c r="Y144" i="2" s="1"/>
  <c r="Z144" i="2" s="1"/>
  <c r="X145" i="2"/>
  <c r="Y145" i="2" s="1"/>
  <c r="Z145" i="2" s="1"/>
  <c r="X146" i="2"/>
  <c r="Y146" i="2" s="1"/>
  <c r="Z146" i="2" s="1"/>
  <c r="X147" i="2"/>
  <c r="Y147" i="2" s="1"/>
  <c r="Z147" i="2" s="1"/>
  <c r="X148" i="2"/>
  <c r="Y148" i="2" s="1"/>
  <c r="Z148" i="2" s="1"/>
  <c r="X149" i="2"/>
  <c r="Y149" i="2" s="1"/>
  <c r="Z149" i="2" s="1"/>
  <c r="X150" i="2"/>
  <c r="Y150" i="2" s="1"/>
  <c r="Z150" i="2" s="1"/>
  <c r="X151" i="2"/>
  <c r="Y151" i="2" s="1"/>
  <c r="Z151" i="2" s="1"/>
  <c r="X152" i="2"/>
  <c r="Y152" i="2" s="1"/>
  <c r="Z152" i="2" s="1"/>
  <c r="X153" i="2"/>
  <c r="Y153" i="2" s="1"/>
  <c r="Z153" i="2" s="1"/>
  <c r="X154" i="2"/>
  <c r="Y154" i="2" s="1"/>
  <c r="Z154" i="2" s="1"/>
  <c r="X155" i="2"/>
  <c r="Y155" i="2" s="1"/>
  <c r="Z155" i="2" s="1"/>
  <c r="X156" i="2"/>
  <c r="Y156" i="2" s="1"/>
  <c r="Z156" i="2" s="1"/>
  <c r="X157" i="2"/>
  <c r="Y157" i="2" s="1"/>
  <c r="Z157" i="2" s="1"/>
  <c r="X158" i="2"/>
  <c r="Y158" i="2" s="1"/>
  <c r="Z158" i="2" s="1"/>
  <c r="X159" i="2"/>
  <c r="Y159" i="2" s="1"/>
  <c r="Z159" i="2" s="1"/>
  <c r="X160" i="2"/>
  <c r="Y160" i="2" s="1"/>
  <c r="Z160" i="2" s="1"/>
  <c r="X161" i="2"/>
  <c r="Y161" i="2" s="1"/>
  <c r="Z161" i="2" s="1"/>
  <c r="X162" i="2"/>
  <c r="Y162" i="2" s="1"/>
  <c r="Z162" i="2" s="1"/>
  <c r="X163" i="2"/>
  <c r="Y163" i="2" s="1"/>
  <c r="Z163" i="2" s="1"/>
  <c r="X164" i="2"/>
  <c r="Y164" i="2" s="1"/>
  <c r="Z164" i="2" s="1"/>
  <c r="X165" i="2"/>
  <c r="Y165" i="2" s="1"/>
  <c r="Z165" i="2" s="1"/>
  <c r="X166" i="2"/>
  <c r="Y166" i="2" s="1"/>
  <c r="Z166" i="2" s="1"/>
  <c r="X167" i="2"/>
  <c r="Y167" i="2" s="1"/>
  <c r="Z167" i="2" s="1"/>
  <c r="X168" i="2"/>
  <c r="Y168" i="2" s="1"/>
  <c r="Z168" i="2" s="1"/>
  <c r="X169" i="2"/>
  <c r="Y169" i="2" s="1"/>
  <c r="Z169" i="2" s="1"/>
  <c r="X170" i="2"/>
  <c r="Y170" i="2" s="1"/>
  <c r="Z170" i="2" s="1"/>
  <c r="X171" i="2"/>
  <c r="Y171" i="2" s="1"/>
  <c r="Z171" i="2" s="1"/>
  <c r="X172" i="2"/>
  <c r="Y172" i="2" s="1"/>
  <c r="Z172" i="2" s="1"/>
  <c r="X173" i="2"/>
  <c r="Y173" i="2" s="1"/>
  <c r="Z173" i="2" s="1"/>
  <c r="X174" i="2"/>
  <c r="Y174" i="2" s="1"/>
  <c r="Z174" i="2" s="1"/>
  <c r="X175" i="2"/>
  <c r="Y175" i="2" s="1"/>
  <c r="Z175" i="2" s="1"/>
  <c r="X176" i="2"/>
  <c r="Y176" i="2" s="1"/>
  <c r="Z176" i="2" s="1"/>
  <c r="X177" i="2"/>
  <c r="Y177" i="2" s="1"/>
  <c r="Z177" i="2" s="1"/>
  <c r="X178" i="2"/>
  <c r="Y178" i="2" s="1"/>
  <c r="Z178" i="2" s="1"/>
  <c r="X179" i="2"/>
  <c r="Y179" i="2" s="1"/>
  <c r="Z179" i="2" s="1"/>
  <c r="X180" i="2"/>
  <c r="Y180" i="2" s="1"/>
  <c r="Z180" i="2" s="1"/>
  <c r="X181" i="2"/>
  <c r="Y181" i="2" s="1"/>
  <c r="Z181" i="2" s="1"/>
  <c r="X182" i="2"/>
  <c r="Y182" i="2" s="1"/>
  <c r="Z182" i="2" s="1"/>
  <c r="X183" i="2"/>
  <c r="Y183" i="2" s="1"/>
  <c r="Z183" i="2" s="1"/>
  <c r="X184" i="2"/>
  <c r="Y184" i="2" s="1"/>
  <c r="Z184" i="2" s="1"/>
  <c r="X185" i="2"/>
  <c r="Y185" i="2" s="1"/>
  <c r="Z185" i="2" s="1"/>
  <c r="X186" i="2"/>
  <c r="Y186" i="2" s="1"/>
  <c r="Z186" i="2" s="1"/>
  <c r="X187" i="2"/>
  <c r="Y187" i="2" s="1"/>
  <c r="Z187" i="2" s="1"/>
  <c r="X188" i="2"/>
  <c r="Y188" i="2" s="1"/>
  <c r="Z188" i="2" s="1"/>
  <c r="X189" i="2"/>
  <c r="Y189" i="2" s="1"/>
  <c r="Z189" i="2" s="1"/>
  <c r="X190" i="2"/>
  <c r="Y190" i="2" s="1"/>
  <c r="Z190" i="2" s="1"/>
  <c r="X191" i="2"/>
  <c r="Y191" i="2" s="1"/>
  <c r="Z191" i="2" s="1"/>
  <c r="X192" i="2"/>
  <c r="Y192" i="2" s="1"/>
  <c r="Z192" i="2" s="1"/>
  <c r="X193" i="2"/>
  <c r="Y193" i="2" s="1"/>
  <c r="Z193" i="2" s="1"/>
  <c r="X194" i="2"/>
  <c r="Y194" i="2" s="1"/>
  <c r="Z194" i="2" s="1"/>
  <c r="X195" i="2"/>
  <c r="Y195" i="2" s="1"/>
  <c r="Z195" i="2" s="1"/>
  <c r="X196" i="2"/>
  <c r="Y196" i="2" s="1"/>
  <c r="Z196" i="2" s="1"/>
  <c r="X197" i="2"/>
  <c r="Y197" i="2" s="1"/>
  <c r="Z197" i="2" s="1"/>
  <c r="X198" i="2"/>
  <c r="Y198" i="2" s="1"/>
  <c r="Z198" i="2" s="1"/>
  <c r="X199" i="2"/>
  <c r="Y199" i="2" s="1"/>
  <c r="Z199" i="2" s="1"/>
  <c r="X200" i="2"/>
  <c r="Y200" i="2" s="1"/>
  <c r="Z200" i="2" s="1"/>
  <c r="X201" i="2"/>
  <c r="Y201" i="2" s="1"/>
  <c r="Z201" i="2" s="1"/>
  <c r="X202" i="2"/>
  <c r="Y202" i="2" s="1"/>
  <c r="Z202" i="2" s="1"/>
  <c r="X203" i="2"/>
  <c r="Y203" i="2" s="1"/>
  <c r="Z203" i="2" s="1"/>
  <c r="X204" i="2"/>
  <c r="Y204" i="2" s="1"/>
  <c r="Z204" i="2" s="1"/>
  <c r="X205" i="2"/>
  <c r="Y205" i="2" s="1"/>
  <c r="Z205" i="2" s="1"/>
  <c r="X206" i="2"/>
  <c r="Y206" i="2" s="1"/>
  <c r="Z206" i="2" s="1"/>
  <c r="X207" i="2"/>
  <c r="Y207" i="2" s="1"/>
  <c r="Z207" i="2" s="1"/>
  <c r="X208" i="2"/>
  <c r="Y208" i="2" s="1"/>
  <c r="Z208" i="2" s="1"/>
  <c r="X209" i="2"/>
  <c r="Y209" i="2" s="1"/>
  <c r="Z209" i="2" s="1"/>
  <c r="X210" i="2"/>
  <c r="Y210" i="2" s="1"/>
  <c r="Z210" i="2" s="1"/>
  <c r="X211" i="2"/>
  <c r="Y211" i="2" s="1"/>
  <c r="Z211" i="2" s="1"/>
  <c r="X212" i="2"/>
  <c r="Y212" i="2" s="1"/>
  <c r="Z212" i="2" s="1"/>
  <c r="X213" i="2"/>
  <c r="Y213" i="2" s="1"/>
  <c r="Z213" i="2" s="1"/>
  <c r="X214" i="2"/>
  <c r="Y214" i="2" s="1"/>
  <c r="Z214" i="2" s="1"/>
  <c r="X215" i="2"/>
  <c r="Y215" i="2" s="1"/>
  <c r="Z215" i="2" s="1"/>
  <c r="X216" i="2"/>
  <c r="Y216" i="2" s="1"/>
  <c r="Z216" i="2" s="1"/>
  <c r="X217" i="2"/>
  <c r="Y217" i="2" s="1"/>
  <c r="Z217" i="2" s="1"/>
  <c r="X218" i="2"/>
  <c r="Y218" i="2" s="1"/>
  <c r="Z218" i="2" s="1"/>
  <c r="X219" i="2"/>
  <c r="Y219" i="2" s="1"/>
  <c r="Z219" i="2" s="1"/>
  <c r="X220" i="2"/>
  <c r="Y220" i="2" s="1"/>
  <c r="Z220" i="2" s="1"/>
  <c r="X221" i="2"/>
  <c r="Y221" i="2" s="1"/>
  <c r="Z221" i="2" s="1"/>
  <c r="X222" i="2"/>
  <c r="Y222" i="2" s="1"/>
  <c r="Z222" i="2" s="1"/>
  <c r="X223" i="2"/>
  <c r="Y223" i="2" s="1"/>
  <c r="Z223" i="2" s="1"/>
  <c r="X224" i="2"/>
  <c r="Y224" i="2" s="1"/>
  <c r="Z224" i="2" s="1"/>
  <c r="X225" i="2"/>
  <c r="Y225" i="2" s="1"/>
  <c r="Z225" i="2" s="1"/>
  <c r="X226" i="2"/>
  <c r="Y226" i="2" s="1"/>
  <c r="Z226" i="2" s="1"/>
  <c r="X227" i="2"/>
  <c r="Y227" i="2" s="1"/>
  <c r="Z227" i="2" s="1"/>
  <c r="X228" i="2"/>
  <c r="Y228" i="2" s="1"/>
  <c r="Z228" i="2" s="1"/>
  <c r="X229" i="2"/>
  <c r="Y229" i="2" s="1"/>
  <c r="Z229" i="2" s="1"/>
  <c r="X230" i="2"/>
  <c r="Y230" i="2" s="1"/>
  <c r="Z230" i="2" s="1"/>
  <c r="X231" i="2"/>
  <c r="Y231" i="2" s="1"/>
  <c r="Z231" i="2" s="1"/>
  <c r="X232" i="2"/>
  <c r="Y232" i="2" s="1"/>
  <c r="Z232" i="2" s="1"/>
  <c r="X233" i="2"/>
  <c r="Y233" i="2" s="1"/>
  <c r="Z233" i="2" s="1"/>
  <c r="X234" i="2"/>
  <c r="Y234" i="2" s="1"/>
  <c r="Z234" i="2" s="1"/>
  <c r="X235" i="2"/>
  <c r="Y235" i="2" s="1"/>
  <c r="Z235" i="2" s="1"/>
  <c r="X236" i="2"/>
  <c r="Y236" i="2" s="1"/>
  <c r="Z236" i="2" s="1"/>
  <c r="X237" i="2"/>
  <c r="Y237" i="2" s="1"/>
  <c r="Z237" i="2" s="1"/>
  <c r="X238" i="2"/>
  <c r="Y238" i="2" s="1"/>
  <c r="Z238" i="2" s="1"/>
  <c r="X239" i="2"/>
  <c r="Y239" i="2" s="1"/>
  <c r="Z239" i="2" s="1"/>
  <c r="X240" i="2"/>
  <c r="Y240" i="2" s="1"/>
  <c r="Z240" i="2" s="1"/>
  <c r="X241" i="2"/>
  <c r="Y241" i="2" s="1"/>
  <c r="Z241" i="2" s="1"/>
  <c r="X242" i="2"/>
  <c r="Y242" i="2" s="1"/>
  <c r="Z242" i="2" s="1"/>
  <c r="X243" i="2"/>
  <c r="Y243" i="2" s="1"/>
  <c r="Z243" i="2" s="1"/>
  <c r="X244" i="2"/>
  <c r="Y244" i="2" s="1"/>
  <c r="Z244" i="2" s="1"/>
  <c r="X245" i="2"/>
  <c r="Y245" i="2" s="1"/>
  <c r="Z245" i="2" s="1"/>
  <c r="X246" i="2"/>
  <c r="Y246" i="2" s="1"/>
  <c r="Z246" i="2" s="1"/>
  <c r="X247" i="2"/>
  <c r="Y247" i="2" s="1"/>
  <c r="Z247" i="2" s="1"/>
  <c r="X248" i="2"/>
  <c r="Y248" i="2" s="1"/>
  <c r="Z248" i="2" s="1"/>
  <c r="X249" i="2"/>
  <c r="Y249" i="2" s="1"/>
  <c r="Z249" i="2" s="1"/>
  <c r="X250" i="2"/>
  <c r="Y250" i="2" s="1"/>
  <c r="Z250" i="2" s="1"/>
  <c r="X251" i="2"/>
  <c r="Y251" i="2" s="1"/>
  <c r="Z251" i="2" s="1"/>
  <c r="X252" i="2"/>
  <c r="Y252" i="2" s="1"/>
  <c r="Z252" i="2" s="1"/>
  <c r="X253" i="2"/>
  <c r="Y253" i="2" s="1"/>
  <c r="Z253" i="2" s="1"/>
  <c r="X254" i="2"/>
  <c r="Y254" i="2" s="1"/>
  <c r="Z254" i="2" s="1"/>
  <c r="X255" i="2"/>
  <c r="Y255" i="2" s="1"/>
  <c r="Z255" i="2" s="1"/>
  <c r="X256" i="2"/>
  <c r="Y256" i="2" s="1"/>
  <c r="Z256" i="2" s="1"/>
  <c r="X257" i="2"/>
  <c r="Y257" i="2" s="1"/>
  <c r="Z257" i="2" s="1"/>
  <c r="X258" i="2"/>
  <c r="Y258" i="2" s="1"/>
  <c r="Z258" i="2" s="1"/>
  <c r="X259" i="2"/>
  <c r="Y259" i="2" s="1"/>
  <c r="Z259" i="2" s="1"/>
  <c r="X260" i="2"/>
  <c r="Y260" i="2" s="1"/>
  <c r="Z260" i="2" s="1"/>
  <c r="X261" i="2"/>
  <c r="Y261" i="2" s="1"/>
  <c r="Z261" i="2" s="1"/>
  <c r="X262" i="2"/>
  <c r="Y262" i="2" s="1"/>
  <c r="Z262" i="2" s="1"/>
  <c r="X263" i="2"/>
  <c r="Y263" i="2" s="1"/>
  <c r="Z263" i="2" s="1"/>
  <c r="X264" i="2"/>
  <c r="Y264" i="2" s="1"/>
  <c r="Z264" i="2" s="1"/>
  <c r="X265" i="2"/>
  <c r="Y265" i="2" s="1"/>
  <c r="Z265" i="2" s="1"/>
  <c r="X266" i="2"/>
  <c r="Y266" i="2" s="1"/>
  <c r="Z266" i="2" s="1"/>
  <c r="X267" i="2"/>
  <c r="Y267" i="2" s="1"/>
  <c r="Z267" i="2" s="1"/>
  <c r="X268" i="2"/>
  <c r="Y268" i="2" s="1"/>
  <c r="Z268" i="2" s="1"/>
  <c r="X269" i="2"/>
  <c r="Y269" i="2" s="1"/>
  <c r="Z269" i="2" s="1"/>
  <c r="X270" i="2"/>
  <c r="Y270" i="2" s="1"/>
  <c r="Z270" i="2" s="1"/>
  <c r="X271" i="2"/>
  <c r="Y271" i="2" s="1"/>
  <c r="Z271" i="2" s="1"/>
  <c r="X272" i="2"/>
  <c r="Y272" i="2" s="1"/>
  <c r="Z272" i="2" s="1"/>
  <c r="X273" i="2"/>
  <c r="Y273" i="2" s="1"/>
  <c r="Z273" i="2" s="1"/>
  <c r="X274" i="2"/>
  <c r="Y274" i="2" s="1"/>
  <c r="Z274" i="2" s="1"/>
  <c r="X275" i="2"/>
  <c r="Y275" i="2" s="1"/>
  <c r="Z275" i="2" s="1"/>
  <c r="X276" i="2"/>
  <c r="Y276" i="2" s="1"/>
  <c r="Z276" i="2" s="1"/>
  <c r="X277" i="2"/>
  <c r="Y277" i="2" s="1"/>
  <c r="Z277" i="2" s="1"/>
  <c r="X278" i="2"/>
  <c r="Y278" i="2" s="1"/>
  <c r="Z278" i="2" s="1"/>
  <c r="X279" i="2"/>
  <c r="Y279" i="2" s="1"/>
  <c r="Z279" i="2" s="1"/>
  <c r="X280" i="2"/>
  <c r="Y280" i="2" s="1"/>
  <c r="Z280" i="2" s="1"/>
  <c r="X281" i="2"/>
  <c r="Y281" i="2" s="1"/>
  <c r="Z281" i="2" s="1"/>
  <c r="X282" i="2"/>
  <c r="Y282" i="2" s="1"/>
  <c r="Z282" i="2" s="1"/>
  <c r="X283" i="2"/>
  <c r="Y283" i="2" s="1"/>
  <c r="Z283" i="2" s="1"/>
  <c r="X284" i="2"/>
  <c r="Y284" i="2" s="1"/>
  <c r="Z284" i="2" s="1"/>
  <c r="X285" i="2"/>
  <c r="Y285" i="2" s="1"/>
  <c r="Z285" i="2" s="1"/>
  <c r="X286" i="2"/>
  <c r="Y286" i="2" s="1"/>
  <c r="Z286" i="2" s="1"/>
  <c r="X287" i="2"/>
  <c r="Y287" i="2" s="1"/>
  <c r="Z287" i="2" s="1"/>
  <c r="X288" i="2"/>
  <c r="Y288" i="2" s="1"/>
  <c r="Z288" i="2" s="1"/>
  <c r="X289" i="2"/>
  <c r="Y289" i="2" s="1"/>
  <c r="Z289" i="2" s="1"/>
  <c r="X290" i="2"/>
  <c r="Y290" i="2" s="1"/>
  <c r="Z290" i="2" s="1"/>
  <c r="X291" i="2"/>
  <c r="Y291" i="2" s="1"/>
  <c r="Z291" i="2" s="1"/>
  <c r="X292" i="2"/>
  <c r="Y292" i="2" s="1"/>
  <c r="Z292" i="2" s="1"/>
  <c r="X293" i="2"/>
  <c r="Y293" i="2" s="1"/>
  <c r="Z293" i="2" s="1"/>
  <c r="X294" i="2"/>
  <c r="Y294" i="2" s="1"/>
  <c r="Z294" i="2" s="1"/>
  <c r="X295" i="2"/>
  <c r="Y295" i="2" s="1"/>
  <c r="Z295" i="2" s="1"/>
  <c r="X296" i="2"/>
  <c r="Y296" i="2" s="1"/>
  <c r="Z296" i="2" s="1"/>
  <c r="X297" i="2"/>
  <c r="Y297" i="2" s="1"/>
  <c r="Z297" i="2" s="1"/>
  <c r="X298" i="2"/>
  <c r="Y298" i="2" s="1"/>
  <c r="Z298" i="2" s="1"/>
  <c r="X299" i="2"/>
  <c r="Y299" i="2" s="1"/>
  <c r="Z299" i="2" s="1"/>
  <c r="X300" i="2"/>
  <c r="Y300" i="2" s="1"/>
  <c r="Z300" i="2" s="1"/>
  <c r="X301" i="2"/>
  <c r="Y301" i="2" s="1"/>
  <c r="Z301" i="2" s="1"/>
  <c r="X302" i="2"/>
  <c r="Y302" i="2" s="1"/>
  <c r="Z302" i="2" s="1"/>
  <c r="X303" i="2"/>
  <c r="Y303" i="2" s="1"/>
  <c r="Z303" i="2" s="1"/>
  <c r="X304" i="2"/>
  <c r="Y304" i="2" s="1"/>
  <c r="Z304" i="2" s="1"/>
  <c r="X305" i="2"/>
  <c r="Y305" i="2" s="1"/>
  <c r="Z305" i="2" s="1"/>
  <c r="X306" i="2"/>
  <c r="Y306" i="2" s="1"/>
  <c r="Z306" i="2" s="1"/>
  <c r="X307" i="2"/>
  <c r="Y307" i="2" s="1"/>
  <c r="Z307" i="2" s="1"/>
  <c r="X308" i="2"/>
  <c r="Y308" i="2" s="1"/>
  <c r="Z308" i="2" s="1"/>
  <c r="X309" i="2"/>
  <c r="Y309" i="2" s="1"/>
  <c r="Z309" i="2" s="1"/>
  <c r="X310" i="2"/>
  <c r="Y310" i="2" s="1"/>
  <c r="Z310" i="2" s="1"/>
  <c r="X311" i="2"/>
  <c r="Y311" i="2" s="1"/>
  <c r="Z311" i="2" s="1"/>
  <c r="X312" i="2"/>
  <c r="Y312" i="2" s="1"/>
  <c r="Z312" i="2" s="1"/>
  <c r="X313" i="2"/>
  <c r="Y313" i="2" s="1"/>
  <c r="Z313" i="2" s="1"/>
  <c r="X314" i="2"/>
  <c r="Y314" i="2" s="1"/>
  <c r="Z314" i="2" s="1"/>
  <c r="X315" i="2"/>
  <c r="Y315" i="2" s="1"/>
  <c r="Z315" i="2" s="1"/>
  <c r="X316" i="2"/>
  <c r="Y316" i="2" s="1"/>
  <c r="Z316" i="2" s="1"/>
  <c r="X317" i="2"/>
  <c r="Y317" i="2" s="1"/>
  <c r="Z317" i="2" s="1"/>
  <c r="X318" i="2"/>
  <c r="Y318" i="2" s="1"/>
  <c r="Z318" i="2" s="1"/>
  <c r="X319" i="2"/>
  <c r="Y319" i="2" s="1"/>
  <c r="Z319" i="2" s="1"/>
  <c r="X320" i="2"/>
  <c r="Y320" i="2" s="1"/>
  <c r="Z320" i="2" s="1"/>
  <c r="X321" i="2"/>
  <c r="Y321" i="2" s="1"/>
  <c r="Z321" i="2" s="1"/>
  <c r="X322" i="2"/>
  <c r="Y322" i="2" s="1"/>
  <c r="Z322" i="2" s="1"/>
  <c r="X323" i="2"/>
  <c r="Y323" i="2" s="1"/>
  <c r="Z323" i="2" s="1"/>
  <c r="X324" i="2"/>
  <c r="Y324" i="2" s="1"/>
  <c r="Z324" i="2" s="1"/>
  <c r="X325" i="2"/>
  <c r="Y325" i="2" s="1"/>
  <c r="Z325" i="2" s="1"/>
  <c r="X326" i="2"/>
  <c r="Y326" i="2" s="1"/>
  <c r="Z326" i="2" s="1"/>
  <c r="X327" i="2"/>
  <c r="Y327" i="2" s="1"/>
  <c r="Z327" i="2" s="1"/>
  <c r="X328" i="2"/>
  <c r="Y328" i="2" s="1"/>
  <c r="Z328" i="2" s="1"/>
  <c r="X329" i="2"/>
  <c r="Y329" i="2" s="1"/>
  <c r="Z329" i="2" s="1"/>
  <c r="X330" i="2"/>
  <c r="Y330" i="2" s="1"/>
  <c r="Z330" i="2" s="1"/>
  <c r="X331" i="2"/>
  <c r="Y331" i="2" s="1"/>
  <c r="Z331" i="2" s="1"/>
  <c r="X332" i="2"/>
  <c r="Y332" i="2" s="1"/>
  <c r="Z332" i="2" s="1"/>
  <c r="X333" i="2"/>
  <c r="Y333" i="2" s="1"/>
  <c r="Z333" i="2" s="1"/>
  <c r="X334" i="2"/>
  <c r="Y334" i="2" s="1"/>
  <c r="Z334" i="2" s="1"/>
  <c r="X335" i="2"/>
  <c r="Y335" i="2" s="1"/>
  <c r="Z335" i="2" s="1"/>
  <c r="X336" i="2"/>
  <c r="Y336" i="2" s="1"/>
  <c r="Z336" i="2" s="1"/>
  <c r="X337" i="2"/>
  <c r="Y337" i="2" s="1"/>
  <c r="Z337" i="2" s="1"/>
  <c r="X338" i="2"/>
  <c r="Y338" i="2" s="1"/>
  <c r="Z338" i="2" s="1"/>
  <c r="X339" i="2"/>
  <c r="Y339" i="2" s="1"/>
  <c r="Z339" i="2" s="1"/>
  <c r="X340" i="2"/>
  <c r="Y340" i="2" s="1"/>
  <c r="Z340" i="2" s="1"/>
  <c r="X341" i="2"/>
  <c r="Y341" i="2" s="1"/>
  <c r="Z341" i="2" s="1"/>
  <c r="X342" i="2"/>
  <c r="Y342" i="2" s="1"/>
  <c r="Z342" i="2" s="1"/>
  <c r="X343" i="2"/>
  <c r="Y343" i="2" s="1"/>
  <c r="Z343" i="2" s="1"/>
  <c r="X344" i="2"/>
  <c r="Y344" i="2" s="1"/>
  <c r="Z344" i="2" s="1"/>
  <c r="X345" i="2"/>
  <c r="Y345" i="2" s="1"/>
  <c r="Z345" i="2" s="1"/>
  <c r="X346" i="2"/>
  <c r="Y346" i="2" s="1"/>
  <c r="Z346" i="2" s="1"/>
  <c r="X347" i="2"/>
  <c r="Y347" i="2" s="1"/>
  <c r="Z347" i="2" s="1"/>
  <c r="X348" i="2"/>
  <c r="Y348" i="2" s="1"/>
  <c r="Z348" i="2" s="1"/>
  <c r="X349" i="2"/>
  <c r="Y349" i="2" s="1"/>
  <c r="Z349" i="2" s="1"/>
  <c r="X350" i="2"/>
  <c r="Y350" i="2" s="1"/>
  <c r="Z350" i="2" s="1"/>
  <c r="X351" i="2"/>
  <c r="Y351" i="2" s="1"/>
  <c r="Z351" i="2" s="1"/>
  <c r="X352" i="2"/>
  <c r="Y352" i="2" s="1"/>
  <c r="Z352" i="2" s="1"/>
  <c r="X353" i="2"/>
  <c r="Y353" i="2" s="1"/>
  <c r="Z353" i="2" s="1"/>
  <c r="X354" i="2"/>
  <c r="Y354" i="2" s="1"/>
  <c r="Z354" i="2" s="1"/>
  <c r="X355" i="2"/>
  <c r="Y355" i="2" s="1"/>
  <c r="Z355" i="2" s="1"/>
  <c r="X356" i="2"/>
  <c r="Y356" i="2" s="1"/>
  <c r="Z356" i="2" s="1"/>
  <c r="X357" i="2"/>
  <c r="Y357" i="2" s="1"/>
  <c r="Z357" i="2" s="1"/>
  <c r="X358" i="2"/>
  <c r="Y358" i="2" s="1"/>
  <c r="Z358" i="2" s="1"/>
  <c r="X359" i="2"/>
  <c r="Y359" i="2" s="1"/>
  <c r="Z359" i="2" s="1"/>
  <c r="X360" i="2"/>
  <c r="Y360" i="2" s="1"/>
  <c r="Z360" i="2" s="1"/>
  <c r="X361" i="2"/>
  <c r="Y361" i="2" s="1"/>
  <c r="Z361" i="2" s="1"/>
  <c r="X362" i="2"/>
  <c r="Y362" i="2" s="1"/>
  <c r="Z362" i="2" s="1"/>
  <c r="X363" i="2"/>
  <c r="Y363" i="2" s="1"/>
  <c r="Z363" i="2" s="1"/>
  <c r="X364" i="2"/>
  <c r="Y364" i="2" s="1"/>
  <c r="Z364" i="2" s="1"/>
  <c r="X365" i="2"/>
  <c r="Y365" i="2" s="1"/>
  <c r="Z365" i="2" s="1"/>
  <c r="X366" i="2"/>
  <c r="Y366" i="2" s="1"/>
  <c r="Z366" i="2" s="1"/>
  <c r="X367" i="2"/>
  <c r="Y367" i="2" s="1"/>
  <c r="Z367" i="2" s="1"/>
  <c r="X368" i="2"/>
  <c r="Y368" i="2" s="1"/>
  <c r="Z368" i="2" s="1"/>
  <c r="X369" i="2"/>
  <c r="Y369" i="2" s="1"/>
  <c r="Z369" i="2" s="1"/>
  <c r="X370" i="2"/>
  <c r="Y370" i="2" s="1"/>
  <c r="Z370" i="2" s="1"/>
  <c r="X371" i="2"/>
  <c r="Y371" i="2" s="1"/>
  <c r="Z371" i="2" s="1"/>
  <c r="X372" i="2"/>
  <c r="Y372" i="2" s="1"/>
  <c r="Z372" i="2" s="1"/>
  <c r="X373" i="2"/>
  <c r="Y373" i="2" s="1"/>
  <c r="Z373" i="2" s="1"/>
  <c r="X374" i="2"/>
  <c r="Y374" i="2" s="1"/>
  <c r="Z374" i="2" s="1"/>
  <c r="X375" i="2"/>
  <c r="Y375" i="2" s="1"/>
  <c r="Z375" i="2" s="1"/>
  <c r="X376" i="2"/>
  <c r="Y376" i="2" s="1"/>
  <c r="Z376" i="2" s="1"/>
  <c r="X377" i="2"/>
  <c r="Y377" i="2" s="1"/>
  <c r="Z377" i="2" s="1"/>
  <c r="X378" i="2"/>
  <c r="Y378" i="2" s="1"/>
  <c r="Z378" i="2" s="1"/>
  <c r="X379" i="2"/>
  <c r="Y379" i="2" s="1"/>
  <c r="Z379" i="2" s="1"/>
  <c r="X380" i="2"/>
  <c r="Y380" i="2" s="1"/>
  <c r="Z380" i="2" s="1"/>
  <c r="X381" i="2"/>
  <c r="Y381" i="2" s="1"/>
  <c r="Z381" i="2" s="1"/>
  <c r="X382" i="2"/>
  <c r="Y382" i="2" s="1"/>
  <c r="Z382" i="2" s="1"/>
  <c r="X383" i="2"/>
  <c r="Y383" i="2" s="1"/>
  <c r="Z383" i="2" s="1"/>
  <c r="X384" i="2"/>
  <c r="Y384" i="2" s="1"/>
  <c r="Z384" i="2" s="1"/>
  <c r="X385" i="2"/>
  <c r="Y385" i="2" s="1"/>
  <c r="Z385" i="2" s="1"/>
  <c r="X386" i="2"/>
  <c r="Y386" i="2" s="1"/>
  <c r="Z386" i="2" s="1"/>
  <c r="X387" i="2"/>
  <c r="Y387" i="2" s="1"/>
  <c r="Z387" i="2" s="1"/>
  <c r="X388" i="2"/>
  <c r="Y388" i="2" s="1"/>
  <c r="Z388" i="2" s="1"/>
  <c r="X389" i="2"/>
  <c r="Y389" i="2" s="1"/>
  <c r="Z389" i="2" s="1"/>
  <c r="X390" i="2"/>
  <c r="Y390" i="2" s="1"/>
  <c r="Z390" i="2" s="1"/>
  <c r="X391" i="2"/>
  <c r="Y391" i="2" s="1"/>
  <c r="Z391" i="2" s="1"/>
  <c r="X392" i="2"/>
  <c r="Y392" i="2" s="1"/>
  <c r="Z392" i="2" s="1"/>
  <c r="X393" i="2"/>
  <c r="Y393" i="2" s="1"/>
  <c r="Z393" i="2" s="1"/>
  <c r="X394" i="2"/>
  <c r="Y394" i="2" s="1"/>
  <c r="Z394" i="2" s="1"/>
  <c r="X395" i="2"/>
  <c r="Y395" i="2" s="1"/>
  <c r="Z395" i="2" s="1"/>
  <c r="X396" i="2"/>
  <c r="Y396" i="2" s="1"/>
  <c r="Z396" i="2" s="1"/>
  <c r="X397" i="2"/>
  <c r="Y397" i="2" s="1"/>
  <c r="Z397" i="2" s="1"/>
  <c r="X398" i="2"/>
  <c r="Y398" i="2" s="1"/>
  <c r="Z398" i="2" s="1"/>
  <c r="X399" i="2"/>
  <c r="Y399" i="2" s="1"/>
  <c r="Z399" i="2" s="1"/>
  <c r="X400" i="2"/>
  <c r="Y400" i="2" s="1"/>
  <c r="Z400" i="2" s="1"/>
  <c r="X401" i="2"/>
  <c r="Y401" i="2" s="1"/>
  <c r="Z401" i="2" s="1"/>
  <c r="X402" i="2"/>
  <c r="Y402" i="2" s="1"/>
  <c r="Z402" i="2" s="1"/>
  <c r="X403" i="2"/>
  <c r="Y403" i="2" s="1"/>
  <c r="Z403" i="2" s="1"/>
  <c r="X404" i="2"/>
  <c r="Y404" i="2" s="1"/>
  <c r="Z404" i="2" s="1"/>
  <c r="X405" i="2"/>
  <c r="Y405" i="2" s="1"/>
  <c r="Z405" i="2" s="1"/>
  <c r="X406" i="2"/>
  <c r="Y406" i="2" s="1"/>
  <c r="Z406" i="2" s="1"/>
  <c r="X407" i="2"/>
  <c r="Y407" i="2" s="1"/>
  <c r="Z407" i="2" s="1"/>
  <c r="X408" i="2"/>
  <c r="Y408" i="2" s="1"/>
  <c r="Z408" i="2" s="1"/>
  <c r="X409" i="2"/>
  <c r="Y409" i="2" s="1"/>
  <c r="Z409" i="2" s="1"/>
  <c r="X410" i="2"/>
  <c r="Y410" i="2" s="1"/>
  <c r="Z410" i="2" s="1"/>
  <c r="X411" i="2"/>
  <c r="Y411" i="2" s="1"/>
  <c r="Z411" i="2" s="1"/>
  <c r="X412" i="2"/>
  <c r="Y412" i="2" s="1"/>
  <c r="Z412" i="2" s="1"/>
  <c r="X413" i="2"/>
  <c r="Y413" i="2" s="1"/>
  <c r="Z413" i="2" s="1"/>
  <c r="X414" i="2"/>
  <c r="Y414" i="2" s="1"/>
  <c r="Z414" i="2" s="1"/>
  <c r="X415" i="2"/>
  <c r="Y415" i="2" s="1"/>
  <c r="Z415" i="2" s="1"/>
  <c r="X416" i="2"/>
  <c r="Y416" i="2" s="1"/>
  <c r="Z416" i="2" s="1"/>
  <c r="X417" i="2"/>
  <c r="Y417" i="2" s="1"/>
  <c r="Z417" i="2" s="1"/>
  <c r="X418" i="2"/>
  <c r="Y418" i="2" s="1"/>
  <c r="Z418" i="2" s="1"/>
  <c r="X419" i="2"/>
  <c r="Y419" i="2" s="1"/>
  <c r="Z419" i="2" s="1"/>
  <c r="X420" i="2"/>
  <c r="Y420" i="2" s="1"/>
  <c r="Z420" i="2" s="1"/>
  <c r="X421" i="2"/>
  <c r="Y421" i="2" s="1"/>
  <c r="Z421" i="2" s="1"/>
  <c r="X422" i="2"/>
  <c r="Y422" i="2" s="1"/>
  <c r="Z422" i="2" s="1"/>
  <c r="X423" i="2"/>
  <c r="Y423" i="2" s="1"/>
  <c r="Z423" i="2" s="1"/>
  <c r="X424" i="2"/>
  <c r="Y424" i="2" s="1"/>
  <c r="Z424" i="2" s="1"/>
  <c r="X425" i="2"/>
  <c r="Y425" i="2" s="1"/>
  <c r="Z425" i="2" s="1"/>
  <c r="X426" i="2"/>
  <c r="Y426" i="2" s="1"/>
  <c r="Z426" i="2" s="1"/>
  <c r="X427" i="2"/>
  <c r="Y427" i="2" s="1"/>
  <c r="Z427" i="2" s="1"/>
  <c r="X428" i="2"/>
  <c r="Y428" i="2" s="1"/>
  <c r="Z428" i="2" s="1"/>
  <c r="X429" i="2"/>
  <c r="Y429" i="2" s="1"/>
  <c r="Z429" i="2" s="1"/>
  <c r="X430" i="2"/>
  <c r="Y430" i="2" s="1"/>
  <c r="Z430" i="2" s="1"/>
  <c r="X431" i="2"/>
  <c r="Y431" i="2" s="1"/>
  <c r="Z431" i="2" s="1"/>
  <c r="X432" i="2"/>
  <c r="Y432" i="2" s="1"/>
  <c r="Z432" i="2" s="1"/>
  <c r="X433" i="2"/>
  <c r="Y433" i="2" s="1"/>
  <c r="Z433" i="2" s="1"/>
  <c r="X434" i="2"/>
  <c r="Y434" i="2" s="1"/>
  <c r="Z434" i="2" s="1"/>
  <c r="X435" i="2"/>
  <c r="Y435" i="2" s="1"/>
  <c r="Z435" i="2" s="1"/>
  <c r="X436" i="2"/>
  <c r="Y436" i="2" s="1"/>
  <c r="Z436" i="2" s="1"/>
  <c r="X437" i="2"/>
  <c r="Y437" i="2" s="1"/>
  <c r="Z437" i="2" s="1"/>
  <c r="X438" i="2"/>
  <c r="Y438" i="2" s="1"/>
  <c r="Z438" i="2" s="1"/>
  <c r="X439" i="2"/>
  <c r="Y439" i="2" s="1"/>
  <c r="Z439" i="2" s="1"/>
  <c r="X440" i="2"/>
  <c r="Y440" i="2" s="1"/>
  <c r="Z440" i="2" s="1"/>
  <c r="X441" i="2"/>
  <c r="Y441" i="2" s="1"/>
  <c r="Z441" i="2" s="1"/>
  <c r="X442" i="2"/>
  <c r="Y442" i="2" s="1"/>
  <c r="Z442" i="2" s="1"/>
  <c r="X443" i="2"/>
  <c r="Y443" i="2" s="1"/>
  <c r="Z443" i="2" s="1"/>
  <c r="X444" i="2"/>
  <c r="Y444" i="2" s="1"/>
  <c r="Z444" i="2" s="1"/>
  <c r="X445" i="2"/>
  <c r="Y445" i="2" s="1"/>
  <c r="Z445" i="2" s="1"/>
  <c r="X446" i="2"/>
  <c r="Y446" i="2" s="1"/>
  <c r="Z446" i="2" s="1"/>
  <c r="X447" i="2"/>
  <c r="Y447" i="2" s="1"/>
  <c r="Z447" i="2" s="1"/>
  <c r="X448" i="2"/>
  <c r="Y448" i="2" s="1"/>
  <c r="Z448" i="2" s="1"/>
  <c r="X449" i="2"/>
  <c r="Y449" i="2" s="1"/>
  <c r="Z449" i="2" s="1"/>
  <c r="X450" i="2"/>
  <c r="Y450" i="2" s="1"/>
  <c r="Z450" i="2" s="1"/>
  <c r="X451" i="2"/>
  <c r="Y451" i="2" s="1"/>
  <c r="Z451" i="2" s="1"/>
  <c r="X452" i="2"/>
  <c r="Y452" i="2" s="1"/>
  <c r="Z452" i="2" s="1"/>
  <c r="X453" i="2"/>
  <c r="Y453" i="2" s="1"/>
  <c r="Z453" i="2" s="1"/>
  <c r="X454" i="2"/>
  <c r="Y454" i="2" s="1"/>
  <c r="Z454" i="2" s="1"/>
  <c r="X455" i="2"/>
  <c r="Y455" i="2" s="1"/>
  <c r="Z455" i="2" s="1"/>
  <c r="X456" i="2"/>
  <c r="Y456" i="2" s="1"/>
  <c r="Z456" i="2" s="1"/>
  <c r="X457" i="2"/>
  <c r="Y457" i="2" s="1"/>
  <c r="Z457" i="2" s="1"/>
  <c r="X458" i="2"/>
  <c r="Y458" i="2" s="1"/>
  <c r="Z458" i="2" s="1"/>
  <c r="X459" i="2"/>
  <c r="Y459" i="2" s="1"/>
  <c r="Z459" i="2" s="1"/>
  <c r="X460" i="2"/>
  <c r="Y460" i="2" s="1"/>
  <c r="Z460" i="2" s="1"/>
  <c r="X461" i="2"/>
  <c r="Y461" i="2" s="1"/>
  <c r="Z461" i="2" s="1"/>
  <c r="X462" i="2"/>
  <c r="Y462" i="2" s="1"/>
  <c r="Z462" i="2" s="1"/>
  <c r="X463" i="2"/>
  <c r="Y463" i="2" s="1"/>
  <c r="Z463" i="2" s="1"/>
  <c r="X464" i="2"/>
  <c r="Y464" i="2" s="1"/>
  <c r="Z464" i="2" s="1"/>
  <c r="X465" i="2"/>
  <c r="Y465" i="2" s="1"/>
  <c r="Z465" i="2" s="1"/>
  <c r="X466" i="2"/>
  <c r="Y466" i="2" s="1"/>
  <c r="Z466" i="2" s="1"/>
  <c r="X467" i="2"/>
  <c r="Y467" i="2" s="1"/>
  <c r="Z467" i="2" s="1"/>
  <c r="X468" i="2"/>
  <c r="Y468" i="2" s="1"/>
  <c r="Z468" i="2" s="1"/>
  <c r="X469" i="2"/>
  <c r="Y469" i="2" s="1"/>
  <c r="Z469" i="2" s="1"/>
  <c r="X470" i="2"/>
  <c r="Y470" i="2" s="1"/>
  <c r="Z470" i="2" s="1"/>
  <c r="X471" i="2"/>
  <c r="Y471" i="2" s="1"/>
  <c r="Z471" i="2" s="1"/>
  <c r="X472" i="2"/>
  <c r="Y472" i="2" s="1"/>
  <c r="Z472" i="2" s="1"/>
  <c r="X473" i="2"/>
  <c r="Y473" i="2" s="1"/>
  <c r="Z473" i="2" s="1"/>
  <c r="X474" i="2"/>
  <c r="Y474" i="2" s="1"/>
  <c r="Z474" i="2" s="1"/>
  <c r="X475" i="2"/>
  <c r="Y475" i="2" s="1"/>
  <c r="Z475" i="2" s="1"/>
  <c r="X476" i="2"/>
  <c r="Y476" i="2" s="1"/>
  <c r="Z476" i="2" s="1"/>
  <c r="X477" i="2"/>
  <c r="Y477" i="2" s="1"/>
  <c r="Z477" i="2" s="1"/>
  <c r="X478" i="2"/>
  <c r="Y478" i="2" s="1"/>
  <c r="Z478" i="2" s="1"/>
  <c r="X479" i="2"/>
  <c r="Y479" i="2" s="1"/>
  <c r="Z479" i="2" s="1"/>
  <c r="X480" i="2"/>
  <c r="Y480" i="2" s="1"/>
  <c r="Z480" i="2" s="1"/>
  <c r="X481" i="2"/>
  <c r="Y481" i="2" s="1"/>
  <c r="Z481" i="2" s="1"/>
  <c r="X482" i="2"/>
  <c r="Y482" i="2" s="1"/>
  <c r="Z482" i="2" s="1"/>
  <c r="X483" i="2"/>
  <c r="Y483" i="2" s="1"/>
  <c r="Z483" i="2" s="1"/>
  <c r="X484" i="2"/>
  <c r="Y484" i="2" s="1"/>
  <c r="Z484" i="2" s="1"/>
  <c r="X485" i="2"/>
  <c r="Y485" i="2" s="1"/>
  <c r="Z485" i="2" s="1"/>
  <c r="X486" i="2"/>
  <c r="Y486" i="2" s="1"/>
  <c r="Z486" i="2" s="1"/>
  <c r="X487" i="2"/>
  <c r="Y487" i="2" s="1"/>
  <c r="Z487" i="2" s="1"/>
  <c r="X488" i="2"/>
  <c r="Y488" i="2" s="1"/>
  <c r="Z488" i="2" s="1"/>
  <c r="X489" i="2"/>
  <c r="Y489" i="2" s="1"/>
  <c r="Z489" i="2" s="1"/>
  <c r="X490" i="2"/>
  <c r="Y490" i="2" s="1"/>
  <c r="Z490" i="2" s="1"/>
  <c r="X491" i="2"/>
  <c r="Y491" i="2" s="1"/>
  <c r="Z491" i="2" s="1"/>
  <c r="X492" i="2"/>
  <c r="Y492" i="2" s="1"/>
  <c r="Z492" i="2" s="1"/>
  <c r="X493" i="2"/>
  <c r="Y493" i="2" s="1"/>
  <c r="Z493" i="2" s="1"/>
  <c r="X494" i="2"/>
  <c r="Y494" i="2" s="1"/>
  <c r="Z494" i="2" s="1"/>
  <c r="X495" i="2"/>
  <c r="Y495" i="2" s="1"/>
  <c r="Z495" i="2" s="1"/>
  <c r="X496" i="2"/>
  <c r="Y496" i="2" s="1"/>
  <c r="Z496" i="2" s="1"/>
  <c r="X497" i="2"/>
  <c r="Y497" i="2" s="1"/>
  <c r="Z497" i="2" s="1"/>
  <c r="X498" i="2"/>
  <c r="Y498" i="2" s="1"/>
  <c r="Z498" i="2" s="1"/>
  <c r="X499" i="2"/>
  <c r="Y499" i="2" s="1"/>
  <c r="Z499" i="2" s="1"/>
  <c r="X500" i="2"/>
  <c r="Y500" i="2" s="1"/>
  <c r="Z500" i="2" s="1"/>
  <c r="X501" i="2"/>
  <c r="Y501" i="2" s="1"/>
  <c r="Z501" i="2" s="1"/>
  <c r="X502" i="2"/>
  <c r="Y502" i="2" s="1"/>
  <c r="Z502" i="2" s="1"/>
  <c r="X503" i="2"/>
  <c r="Y503" i="2" s="1"/>
  <c r="Z503" i="2" s="1"/>
  <c r="X504" i="2"/>
  <c r="Y504" i="2" s="1"/>
  <c r="Z504" i="2" s="1"/>
  <c r="X505" i="2"/>
  <c r="Y505" i="2" s="1"/>
  <c r="Z505" i="2" s="1"/>
  <c r="X506" i="2"/>
  <c r="Y506" i="2" s="1"/>
  <c r="Z506" i="2" s="1"/>
  <c r="X507" i="2"/>
  <c r="Y507" i="2" s="1"/>
  <c r="Z507" i="2" s="1"/>
  <c r="X508" i="2"/>
  <c r="Y508" i="2" s="1"/>
  <c r="Z508" i="2" s="1"/>
  <c r="X509" i="2"/>
  <c r="Y509" i="2" s="1"/>
  <c r="Z509" i="2" s="1"/>
  <c r="X510" i="2"/>
  <c r="Y510" i="2" s="1"/>
  <c r="Z510" i="2" s="1"/>
  <c r="X511" i="2"/>
  <c r="Y511" i="2" s="1"/>
  <c r="Z511" i="2" s="1"/>
  <c r="X512" i="2"/>
  <c r="Y512" i="2" s="1"/>
  <c r="Z512" i="2" s="1"/>
  <c r="X513" i="2"/>
  <c r="Y513" i="2" s="1"/>
  <c r="Z513" i="2" s="1"/>
  <c r="X514" i="2"/>
  <c r="Y514" i="2" s="1"/>
  <c r="Z514" i="2" s="1"/>
  <c r="X515" i="2"/>
  <c r="Y515" i="2" s="1"/>
  <c r="Z515" i="2" s="1"/>
  <c r="X516" i="2"/>
  <c r="Y516" i="2" s="1"/>
  <c r="Z516" i="2" s="1"/>
  <c r="X517" i="2"/>
  <c r="Y517" i="2" s="1"/>
  <c r="Z517" i="2" s="1"/>
  <c r="X518" i="2"/>
  <c r="Y518" i="2" s="1"/>
  <c r="Z518" i="2" s="1"/>
  <c r="X519" i="2"/>
  <c r="Y519" i="2" s="1"/>
  <c r="Z519" i="2" s="1"/>
  <c r="X520" i="2"/>
  <c r="Y520" i="2" s="1"/>
  <c r="Z520" i="2" s="1"/>
  <c r="X521" i="2"/>
  <c r="Y521" i="2" s="1"/>
  <c r="Z521" i="2" s="1"/>
  <c r="X522" i="2"/>
  <c r="Y522" i="2" s="1"/>
  <c r="Z522" i="2" s="1"/>
  <c r="X523" i="2"/>
  <c r="Y523" i="2" s="1"/>
  <c r="Z523" i="2" s="1"/>
  <c r="X524" i="2"/>
  <c r="Y524" i="2" s="1"/>
  <c r="Z524" i="2" s="1"/>
  <c r="X525" i="2"/>
  <c r="Y525" i="2" s="1"/>
  <c r="Z525" i="2" s="1"/>
  <c r="X526" i="2"/>
  <c r="Y526" i="2" s="1"/>
  <c r="Z526" i="2" s="1"/>
  <c r="X527" i="2"/>
  <c r="Y527" i="2" s="1"/>
  <c r="Z527" i="2" s="1"/>
  <c r="X528" i="2"/>
  <c r="Y528" i="2" s="1"/>
  <c r="Z528" i="2" s="1"/>
  <c r="X529" i="2"/>
  <c r="Y529" i="2" s="1"/>
  <c r="Z529" i="2" s="1"/>
  <c r="X530" i="2"/>
  <c r="Y530" i="2" s="1"/>
  <c r="Z530" i="2" s="1"/>
  <c r="X531" i="2"/>
  <c r="Y531" i="2" s="1"/>
  <c r="Z531" i="2" s="1"/>
  <c r="X532" i="2"/>
  <c r="Y532" i="2" s="1"/>
  <c r="Z532" i="2" s="1"/>
  <c r="X533" i="2"/>
  <c r="Y533" i="2" s="1"/>
  <c r="Z533" i="2" s="1"/>
  <c r="X534" i="2"/>
  <c r="Y534" i="2" s="1"/>
  <c r="Z534" i="2" s="1"/>
  <c r="X535" i="2"/>
  <c r="Y535" i="2" s="1"/>
  <c r="Z535" i="2" s="1"/>
  <c r="X536" i="2"/>
  <c r="Y536" i="2" s="1"/>
  <c r="Z536" i="2" s="1"/>
  <c r="X537" i="2"/>
  <c r="Y537" i="2" s="1"/>
  <c r="Z537" i="2" s="1"/>
  <c r="X538" i="2"/>
  <c r="Y538" i="2" s="1"/>
  <c r="Z538" i="2" s="1"/>
  <c r="X539" i="2"/>
  <c r="Y539" i="2" s="1"/>
  <c r="Z539" i="2" s="1"/>
  <c r="X540" i="2"/>
  <c r="Y540" i="2" s="1"/>
  <c r="Z540" i="2" s="1"/>
  <c r="X541" i="2"/>
  <c r="Y541" i="2" s="1"/>
  <c r="Z541" i="2" s="1"/>
  <c r="X542" i="2"/>
  <c r="Y542" i="2" s="1"/>
  <c r="Z542" i="2" s="1"/>
  <c r="X543" i="2"/>
  <c r="Y543" i="2" s="1"/>
  <c r="Z543" i="2" s="1"/>
  <c r="X544" i="2"/>
  <c r="Y544" i="2" s="1"/>
  <c r="Z544" i="2" s="1"/>
  <c r="X545" i="2"/>
  <c r="Y545" i="2" s="1"/>
  <c r="Z545" i="2" s="1"/>
  <c r="X546" i="2"/>
  <c r="Y546" i="2" s="1"/>
  <c r="Z546" i="2" s="1"/>
  <c r="X547" i="2"/>
  <c r="Y547" i="2" s="1"/>
  <c r="Z547" i="2" s="1"/>
  <c r="X548" i="2"/>
  <c r="Y548" i="2" s="1"/>
  <c r="Z548" i="2" s="1"/>
  <c r="X549" i="2"/>
  <c r="Y549" i="2" s="1"/>
  <c r="Z549" i="2" s="1"/>
  <c r="X550" i="2"/>
  <c r="Y550" i="2" s="1"/>
  <c r="Z550" i="2" s="1"/>
  <c r="X551" i="2"/>
  <c r="Y551" i="2" s="1"/>
  <c r="Z551" i="2" s="1"/>
  <c r="X552" i="2"/>
  <c r="Y552" i="2" s="1"/>
  <c r="Z552" i="2" s="1"/>
  <c r="X553" i="2"/>
  <c r="Y553" i="2" s="1"/>
  <c r="Z553" i="2" s="1"/>
  <c r="X554" i="2"/>
  <c r="Y554" i="2" s="1"/>
  <c r="Z554" i="2" s="1"/>
  <c r="X555" i="2"/>
  <c r="Y555" i="2" s="1"/>
  <c r="Z555" i="2" s="1"/>
  <c r="X556" i="2"/>
  <c r="Y556" i="2" s="1"/>
  <c r="Z556" i="2" s="1"/>
  <c r="X557" i="2"/>
  <c r="Y557" i="2" s="1"/>
  <c r="Z557" i="2" s="1"/>
  <c r="X558" i="2"/>
  <c r="Y558" i="2" s="1"/>
  <c r="Z558" i="2" s="1"/>
  <c r="X559" i="2"/>
  <c r="Y559" i="2" s="1"/>
  <c r="Z559" i="2" s="1"/>
  <c r="X560" i="2"/>
  <c r="Y560" i="2" s="1"/>
  <c r="Z560" i="2" s="1"/>
  <c r="X561" i="2"/>
  <c r="Y561" i="2" s="1"/>
  <c r="Z561" i="2" s="1"/>
  <c r="X562" i="2"/>
  <c r="Y562" i="2" s="1"/>
  <c r="Z562" i="2" s="1"/>
  <c r="X563" i="2"/>
  <c r="Y563" i="2" s="1"/>
  <c r="Z563" i="2" s="1"/>
  <c r="X564" i="2"/>
  <c r="Y564" i="2" s="1"/>
  <c r="Z564" i="2" s="1"/>
  <c r="X565" i="2"/>
  <c r="Y565" i="2" s="1"/>
  <c r="Z565" i="2" s="1"/>
  <c r="X566" i="2"/>
  <c r="Y566" i="2" s="1"/>
  <c r="Z566" i="2" s="1"/>
  <c r="X567" i="2"/>
  <c r="Y567" i="2" s="1"/>
  <c r="Z567" i="2" s="1"/>
  <c r="X568" i="2"/>
  <c r="Y568" i="2" s="1"/>
  <c r="Z568" i="2" s="1"/>
  <c r="X569" i="2"/>
  <c r="Y569" i="2" s="1"/>
  <c r="Z569" i="2" s="1"/>
  <c r="X570" i="2"/>
  <c r="Y570" i="2" s="1"/>
  <c r="Z570" i="2" s="1"/>
  <c r="X571" i="2"/>
  <c r="Y571" i="2" s="1"/>
  <c r="Z571" i="2" s="1"/>
  <c r="X572" i="2"/>
  <c r="Y572" i="2" s="1"/>
  <c r="Z572" i="2" s="1"/>
  <c r="X573" i="2"/>
  <c r="Y573" i="2" s="1"/>
  <c r="Z573" i="2" s="1"/>
  <c r="X574" i="2"/>
  <c r="Y574" i="2" s="1"/>
  <c r="Z574" i="2" s="1"/>
  <c r="X575" i="2"/>
  <c r="Y575" i="2" s="1"/>
  <c r="Z575" i="2" s="1"/>
  <c r="X576" i="2"/>
  <c r="Y576" i="2" s="1"/>
  <c r="Z576" i="2" s="1"/>
  <c r="X577" i="2"/>
  <c r="Y577" i="2" s="1"/>
  <c r="Z577" i="2" s="1"/>
  <c r="X578" i="2"/>
  <c r="Y578" i="2" s="1"/>
  <c r="Z578" i="2" s="1"/>
  <c r="X579" i="2"/>
  <c r="Y579" i="2" s="1"/>
  <c r="Z579" i="2" s="1"/>
  <c r="X580" i="2"/>
  <c r="Y580" i="2" s="1"/>
  <c r="Z580" i="2" s="1"/>
  <c r="X581" i="2"/>
  <c r="Y581" i="2" s="1"/>
  <c r="Z581" i="2" s="1"/>
  <c r="X582" i="2"/>
  <c r="Y582" i="2" s="1"/>
  <c r="Z582" i="2" s="1"/>
  <c r="X583" i="2"/>
  <c r="Y583" i="2" s="1"/>
  <c r="Z583" i="2" s="1"/>
  <c r="X584" i="2"/>
  <c r="Y584" i="2" s="1"/>
  <c r="Z584" i="2" s="1"/>
  <c r="X585" i="2"/>
  <c r="Y585" i="2" s="1"/>
  <c r="Z585" i="2" s="1"/>
  <c r="X586" i="2"/>
  <c r="Y586" i="2" s="1"/>
  <c r="Z586" i="2" s="1"/>
  <c r="X587" i="2"/>
  <c r="Y587" i="2" s="1"/>
  <c r="Z587" i="2" s="1"/>
  <c r="X588" i="2"/>
  <c r="Y588" i="2" s="1"/>
  <c r="Z588" i="2" s="1"/>
  <c r="X589" i="2"/>
  <c r="Y589" i="2" s="1"/>
  <c r="Z589" i="2" s="1"/>
  <c r="X590" i="2"/>
  <c r="Y590" i="2" s="1"/>
  <c r="Z590" i="2" s="1"/>
  <c r="X591" i="2"/>
  <c r="Y591" i="2" s="1"/>
  <c r="Z591" i="2" s="1"/>
  <c r="X592" i="2"/>
  <c r="Y592" i="2" s="1"/>
  <c r="Z592" i="2" s="1"/>
  <c r="X593" i="2"/>
  <c r="Y593" i="2" s="1"/>
  <c r="Z593" i="2" s="1"/>
  <c r="X594" i="2"/>
  <c r="Y594" i="2" s="1"/>
  <c r="Z594" i="2" s="1"/>
  <c r="X595" i="2"/>
  <c r="Y595" i="2" s="1"/>
  <c r="Z595" i="2" s="1"/>
  <c r="X596" i="2"/>
  <c r="Y596" i="2" s="1"/>
  <c r="Z596" i="2" s="1"/>
  <c r="X597" i="2"/>
  <c r="Y597" i="2" s="1"/>
  <c r="Z597" i="2" s="1"/>
  <c r="X598" i="2"/>
  <c r="Y598" i="2" s="1"/>
  <c r="Z598" i="2" s="1"/>
  <c r="X599" i="2"/>
  <c r="Y599" i="2" s="1"/>
  <c r="Z599" i="2" s="1"/>
  <c r="X600" i="2"/>
  <c r="Y600" i="2" s="1"/>
  <c r="Z600" i="2" s="1"/>
  <c r="X601" i="2"/>
  <c r="Y601" i="2" s="1"/>
  <c r="Z601" i="2" s="1"/>
  <c r="X602" i="2"/>
  <c r="Y602" i="2" s="1"/>
  <c r="Z602" i="2" s="1"/>
  <c r="X603" i="2"/>
  <c r="Y603" i="2" s="1"/>
  <c r="Z603" i="2" s="1"/>
  <c r="X604" i="2"/>
  <c r="Y604" i="2" s="1"/>
  <c r="Z604" i="2" s="1"/>
  <c r="X605" i="2"/>
  <c r="Y605" i="2" s="1"/>
  <c r="Z605" i="2" s="1"/>
  <c r="X606" i="2"/>
  <c r="Y606" i="2" s="1"/>
  <c r="Z606" i="2" s="1"/>
  <c r="X607" i="2"/>
  <c r="Y607" i="2" s="1"/>
  <c r="Z607" i="2" s="1"/>
  <c r="X608" i="2"/>
  <c r="Y608" i="2" s="1"/>
  <c r="Z608" i="2" s="1"/>
  <c r="X609" i="2"/>
  <c r="Y609" i="2" s="1"/>
  <c r="Z609" i="2" s="1"/>
  <c r="X610" i="2"/>
  <c r="Y610" i="2" s="1"/>
  <c r="Z610" i="2" s="1"/>
  <c r="X611" i="2"/>
  <c r="Y611" i="2" s="1"/>
  <c r="Z611" i="2" s="1"/>
  <c r="X612" i="2"/>
  <c r="Y612" i="2" s="1"/>
  <c r="Z612" i="2" s="1"/>
  <c r="X613" i="2"/>
  <c r="Y613" i="2" s="1"/>
  <c r="Z613" i="2" s="1"/>
  <c r="X614" i="2"/>
  <c r="Y614" i="2" s="1"/>
  <c r="Z614" i="2" s="1"/>
  <c r="X615" i="2"/>
  <c r="Y615" i="2" s="1"/>
  <c r="Z615" i="2" s="1"/>
  <c r="X616" i="2"/>
  <c r="Y616" i="2" s="1"/>
  <c r="Z616" i="2" s="1"/>
  <c r="X617" i="2"/>
  <c r="Y617" i="2" s="1"/>
  <c r="Z617" i="2" s="1"/>
  <c r="X618" i="2"/>
  <c r="Y618" i="2" s="1"/>
  <c r="Z618" i="2" s="1"/>
  <c r="X619" i="2"/>
  <c r="Y619" i="2" s="1"/>
  <c r="Z619" i="2" s="1"/>
  <c r="X620" i="2"/>
  <c r="Y620" i="2" s="1"/>
  <c r="Z620" i="2" s="1"/>
  <c r="X621" i="2"/>
  <c r="Y621" i="2" s="1"/>
  <c r="Z621" i="2" s="1"/>
  <c r="X622" i="2"/>
  <c r="Y622" i="2" s="1"/>
  <c r="Z622" i="2" s="1"/>
  <c r="X623" i="2"/>
  <c r="Y623" i="2" s="1"/>
  <c r="Z623" i="2" s="1"/>
  <c r="X624" i="2"/>
  <c r="Y624" i="2" s="1"/>
  <c r="Z624" i="2" s="1"/>
  <c r="X625" i="2"/>
  <c r="Y625" i="2" s="1"/>
  <c r="Z625" i="2" s="1"/>
  <c r="X626" i="2"/>
  <c r="Y626" i="2" s="1"/>
  <c r="Z626" i="2" s="1"/>
  <c r="X627" i="2"/>
  <c r="Y627" i="2" s="1"/>
  <c r="Z627" i="2" s="1"/>
  <c r="X628" i="2"/>
  <c r="Y628" i="2" s="1"/>
  <c r="Z628" i="2" s="1"/>
  <c r="X629" i="2"/>
  <c r="Y629" i="2" s="1"/>
  <c r="Z629" i="2" s="1"/>
  <c r="X630" i="2"/>
  <c r="Y630" i="2" s="1"/>
  <c r="Z630" i="2" s="1"/>
  <c r="X631" i="2"/>
  <c r="Y631" i="2" s="1"/>
  <c r="Z631" i="2" s="1"/>
  <c r="X632" i="2"/>
  <c r="Y632" i="2" s="1"/>
  <c r="Z632" i="2" s="1"/>
  <c r="X633" i="2"/>
  <c r="Y633" i="2" s="1"/>
  <c r="Z633" i="2" s="1"/>
  <c r="X634" i="2"/>
  <c r="Y634" i="2" s="1"/>
  <c r="Z634" i="2" s="1"/>
  <c r="X635" i="2"/>
  <c r="Y635" i="2" s="1"/>
  <c r="Z635" i="2" s="1"/>
  <c r="X636" i="2"/>
  <c r="Y636" i="2" s="1"/>
  <c r="Z636" i="2" s="1"/>
  <c r="X637" i="2"/>
  <c r="Y637" i="2" s="1"/>
  <c r="Z637" i="2" s="1"/>
  <c r="X638" i="2"/>
  <c r="Y638" i="2" s="1"/>
  <c r="Z638" i="2" s="1"/>
  <c r="X639" i="2"/>
  <c r="Y639" i="2" s="1"/>
  <c r="Z639" i="2" s="1"/>
  <c r="X640" i="2"/>
  <c r="Y640" i="2" s="1"/>
  <c r="Z640" i="2" s="1"/>
  <c r="X641" i="2"/>
  <c r="Y641" i="2" s="1"/>
  <c r="Z641" i="2" s="1"/>
  <c r="X642" i="2"/>
  <c r="Y642" i="2" s="1"/>
  <c r="Z642" i="2" s="1"/>
  <c r="X643" i="2"/>
  <c r="Y643" i="2" s="1"/>
  <c r="Z643" i="2" s="1"/>
  <c r="X644" i="2"/>
  <c r="Y644" i="2" s="1"/>
  <c r="Z644" i="2" s="1"/>
  <c r="X645" i="2"/>
  <c r="Y645" i="2" s="1"/>
  <c r="Z645" i="2" s="1"/>
  <c r="X646" i="2"/>
  <c r="Y646" i="2" s="1"/>
  <c r="Z646" i="2" s="1"/>
  <c r="X647" i="2"/>
  <c r="Y647" i="2" s="1"/>
  <c r="Z647" i="2" s="1"/>
  <c r="X648" i="2"/>
  <c r="Y648" i="2" s="1"/>
  <c r="Z648" i="2" s="1"/>
  <c r="X649" i="2"/>
  <c r="Y649" i="2" s="1"/>
  <c r="Z649" i="2" s="1"/>
  <c r="X650" i="2"/>
  <c r="Y650" i="2" s="1"/>
  <c r="Z650" i="2" s="1"/>
  <c r="X651" i="2"/>
  <c r="Y651" i="2" s="1"/>
  <c r="Z651" i="2" s="1"/>
  <c r="X652" i="2"/>
  <c r="Y652" i="2" s="1"/>
  <c r="Z652" i="2" s="1"/>
  <c r="X653" i="2"/>
  <c r="Y653" i="2" s="1"/>
  <c r="Z653" i="2" s="1"/>
  <c r="X654" i="2"/>
  <c r="Y654" i="2" s="1"/>
  <c r="Z654" i="2" s="1"/>
  <c r="X655" i="2"/>
  <c r="Y655" i="2" s="1"/>
  <c r="Z655" i="2" s="1"/>
  <c r="X656" i="2"/>
  <c r="Y656" i="2" s="1"/>
  <c r="Z656" i="2" s="1"/>
  <c r="X657" i="2"/>
  <c r="Y657" i="2" s="1"/>
  <c r="Z657" i="2" s="1"/>
  <c r="X658" i="2"/>
  <c r="Y658" i="2" s="1"/>
  <c r="Z658" i="2" s="1"/>
  <c r="X659" i="2"/>
  <c r="Y659" i="2" s="1"/>
  <c r="Z659" i="2" s="1"/>
  <c r="X660" i="2"/>
  <c r="Y660" i="2" s="1"/>
  <c r="Z660" i="2" s="1"/>
  <c r="X661" i="2"/>
  <c r="Y661" i="2" s="1"/>
  <c r="Z661" i="2" s="1"/>
  <c r="X662" i="2"/>
  <c r="Y662" i="2" s="1"/>
  <c r="Z662" i="2" s="1"/>
  <c r="X663" i="2"/>
  <c r="Y663" i="2" s="1"/>
  <c r="Z663" i="2" s="1"/>
  <c r="X664" i="2"/>
  <c r="Y664" i="2" s="1"/>
  <c r="Z664" i="2" s="1"/>
  <c r="X665" i="2"/>
  <c r="Y665" i="2" s="1"/>
  <c r="Z665" i="2" s="1"/>
  <c r="X666" i="2"/>
  <c r="Y666" i="2" s="1"/>
  <c r="Z666" i="2" s="1"/>
  <c r="X667" i="2"/>
  <c r="Y667" i="2" s="1"/>
  <c r="Z667" i="2" s="1"/>
  <c r="X668" i="2"/>
  <c r="Y668" i="2" s="1"/>
  <c r="Z668" i="2" s="1"/>
  <c r="X669" i="2"/>
  <c r="Y669" i="2" s="1"/>
  <c r="Z669" i="2" s="1"/>
  <c r="X670" i="2"/>
  <c r="Y670" i="2" s="1"/>
  <c r="Z670" i="2" s="1"/>
  <c r="X671" i="2"/>
  <c r="Y671" i="2" s="1"/>
  <c r="Z671" i="2" s="1"/>
  <c r="X672" i="2"/>
  <c r="Y672" i="2" s="1"/>
  <c r="Z672" i="2" s="1"/>
  <c r="X673" i="2"/>
  <c r="Y673" i="2" s="1"/>
  <c r="Z673" i="2" s="1"/>
  <c r="X674" i="2"/>
  <c r="Y674" i="2" s="1"/>
  <c r="Z674" i="2" s="1"/>
  <c r="X675" i="2"/>
  <c r="Y675" i="2" s="1"/>
  <c r="Z675" i="2" s="1"/>
  <c r="X676" i="2"/>
  <c r="Y676" i="2" s="1"/>
  <c r="Z676" i="2" s="1"/>
  <c r="X677" i="2"/>
  <c r="Y677" i="2" s="1"/>
  <c r="Z677" i="2" s="1"/>
  <c r="X678" i="2"/>
  <c r="Y678" i="2" s="1"/>
  <c r="Z678" i="2" s="1"/>
  <c r="X679" i="2"/>
  <c r="Y679" i="2" s="1"/>
  <c r="Z679" i="2" s="1"/>
  <c r="X680" i="2"/>
  <c r="Y680" i="2" s="1"/>
  <c r="Z680" i="2" s="1"/>
  <c r="X681" i="2"/>
  <c r="Y681" i="2" s="1"/>
  <c r="Z681" i="2" s="1"/>
  <c r="X682" i="2"/>
  <c r="Y682" i="2" s="1"/>
  <c r="Z682" i="2" s="1"/>
  <c r="X683" i="2"/>
  <c r="Y683" i="2" s="1"/>
  <c r="Z683" i="2" s="1"/>
  <c r="X684" i="2"/>
  <c r="Y684" i="2" s="1"/>
  <c r="Z684" i="2" s="1"/>
  <c r="X685" i="2"/>
  <c r="Y685" i="2" s="1"/>
  <c r="Z685" i="2" s="1"/>
  <c r="X686" i="2"/>
  <c r="Y686" i="2" s="1"/>
  <c r="Z686" i="2" s="1"/>
  <c r="X687" i="2"/>
  <c r="Y687" i="2" s="1"/>
  <c r="Z687" i="2" s="1"/>
  <c r="X688" i="2"/>
  <c r="Y688" i="2" s="1"/>
  <c r="Z688" i="2" s="1"/>
  <c r="X689" i="2"/>
  <c r="Y689" i="2" s="1"/>
  <c r="Z689" i="2" s="1"/>
  <c r="X690" i="2"/>
  <c r="Y690" i="2" s="1"/>
  <c r="Z690" i="2" s="1"/>
  <c r="X691" i="2"/>
  <c r="Y691" i="2" s="1"/>
  <c r="Z691" i="2" s="1"/>
  <c r="X692" i="2"/>
  <c r="Y692" i="2" s="1"/>
  <c r="Z692" i="2" s="1"/>
  <c r="X693" i="2"/>
  <c r="Y693" i="2" s="1"/>
  <c r="Z693" i="2" s="1"/>
  <c r="X694" i="2"/>
  <c r="Y694" i="2" s="1"/>
  <c r="Z694" i="2" s="1"/>
  <c r="X695" i="2"/>
  <c r="Y695" i="2" s="1"/>
  <c r="Z695" i="2" s="1"/>
  <c r="X696" i="2"/>
  <c r="Y696" i="2" s="1"/>
  <c r="Z696" i="2" s="1"/>
  <c r="X697" i="2"/>
  <c r="Y697" i="2" s="1"/>
  <c r="Z697" i="2" s="1"/>
  <c r="X698" i="2"/>
  <c r="Y698" i="2" s="1"/>
  <c r="Z698" i="2" s="1"/>
  <c r="X699" i="2"/>
  <c r="Y699" i="2" s="1"/>
  <c r="Z699" i="2" s="1"/>
  <c r="X700" i="2"/>
  <c r="Y700" i="2" s="1"/>
  <c r="Z700" i="2" s="1"/>
  <c r="X701" i="2"/>
  <c r="Y701" i="2" s="1"/>
  <c r="Z701" i="2" s="1"/>
  <c r="X702" i="2"/>
  <c r="Y702" i="2" s="1"/>
  <c r="Z702" i="2" s="1"/>
  <c r="X703" i="2"/>
  <c r="Y703" i="2" s="1"/>
  <c r="Z703" i="2" s="1"/>
  <c r="X704" i="2"/>
  <c r="Y704" i="2" s="1"/>
  <c r="Z704" i="2" s="1"/>
  <c r="X705" i="2"/>
  <c r="Y705" i="2" s="1"/>
  <c r="Z705" i="2" s="1"/>
  <c r="X706" i="2"/>
  <c r="Y706" i="2" s="1"/>
  <c r="Z706" i="2" s="1"/>
  <c r="X707" i="2"/>
  <c r="Y707" i="2" s="1"/>
  <c r="Z707" i="2" s="1"/>
  <c r="X708" i="2"/>
  <c r="Y708" i="2" s="1"/>
  <c r="Z708" i="2" s="1"/>
  <c r="X709" i="2"/>
  <c r="Y709" i="2" s="1"/>
  <c r="Z709" i="2" s="1"/>
  <c r="X710" i="2"/>
  <c r="Y710" i="2" s="1"/>
  <c r="Z710" i="2" s="1"/>
  <c r="X711" i="2"/>
  <c r="Y711" i="2" s="1"/>
  <c r="Z711" i="2" s="1"/>
  <c r="X712" i="2"/>
  <c r="Y712" i="2" s="1"/>
  <c r="Z712" i="2" s="1"/>
  <c r="X713" i="2"/>
  <c r="Y713" i="2" s="1"/>
  <c r="Z713" i="2" s="1"/>
  <c r="X714" i="2"/>
  <c r="Y714" i="2" s="1"/>
  <c r="Z714" i="2" s="1"/>
  <c r="X715" i="2"/>
  <c r="Y715" i="2" s="1"/>
  <c r="Z715" i="2" s="1"/>
  <c r="X716" i="2"/>
  <c r="Y716" i="2" s="1"/>
  <c r="Z716" i="2" s="1"/>
  <c r="X717" i="2"/>
  <c r="Y717" i="2" s="1"/>
  <c r="Z717" i="2" s="1"/>
  <c r="X718" i="2"/>
  <c r="Y718" i="2" s="1"/>
  <c r="Z718" i="2" s="1"/>
  <c r="X719" i="2"/>
  <c r="Y719" i="2" s="1"/>
  <c r="Z719" i="2" s="1"/>
  <c r="X720" i="2"/>
  <c r="Y720" i="2" s="1"/>
  <c r="Z720" i="2" s="1"/>
  <c r="X721" i="2"/>
  <c r="Y721" i="2" s="1"/>
  <c r="Z721" i="2" s="1"/>
  <c r="X722" i="2"/>
  <c r="Y722" i="2" s="1"/>
  <c r="Z722" i="2" s="1"/>
  <c r="X723" i="2"/>
  <c r="Y723" i="2" s="1"/>
  <c r="Z723" i="2" s="1"/>
  <c r="X724" i="2"/>
  <c r="Y724" i="2" s="1"/>
  <c r="Z724" i="2" s="1"/>
  <c r="X725" i="2"/>
  <c r="Y725" i="2" s="1"/>
  <c r="Z725" i="2" s="1"/>
  <c r="X726" i="2"/>
  <c r="Y726" i="2" s="1"/>
  <c r="Z726" i="2" s="1"/>
  <c r="X727" i="2"/>
  <c r="Y727" i="2" s="1"/>
  <c r="Z727" i="2" s="1"/>
  <c r="X728" i="2"/>
  <c r="Y728" i="2" s="1"/>
  <c r="Z728" i="2" s="1"/>
  <c r="X729" i="2"/>
  <c r="Y729" i="2" s="1"/>
  <c r="Z729" i="2" s="1"/>
  <c r="X730" i="2"/>
  <c r="Y730" i="2" s="1"/>
  <c r="Z730" i="2" s="1"/>
  <c r="X731" i="2"/>
  <c r="Y731" i="2" s="1"/>
  <c r="Z731" i="2" s="1"/>
  <c r="X732" i="2"/>
  <c r="Y732" i="2" s="1"/>
  <c r="Z732" i="2" s="1"/>
  <c r="X733" i="2"/>
  <c r="Y733" i="2" s="1"/>
  <c r="Z733" i="2" s="1"/>
  <c r="X734" i="2"/>
  <c r="Y734" i="2" s="1"/>
  <c r="Z734" i="2" s="1"/>
  <c r="X735" i="2"/>
  <c r="Y735" i="2" s="1"/>
  <c r="Z735" i="2" s="1"/>
  <c r="X736" i="2"/>
  <c r="Y736" i="2" s="1"/>
  <c r="Z736" i="2" s="1"/>
  <c r="X737" i="2"/>
  <c r="Y737" i="2" s="1"/>
  <c r="Z737" i="2" s="1"/>
  <c r="X738" i="2"/>
  <c r="Y738" i="2" s="1"/>
  <c r="Z738" i="2" s="1"/>
  <c r="X739" i="2"/>
  <c r="Y739" i="2" s="1"/>
  <c r="Z739" i="2" s="1"/>
  <c r="X740" i="2"/>
  <c r="Y740" i="2" s="1"/>
  <c r="Z740" i="2" s="1"/>
  <c r="X741" i="2"/>
  <c r="Y741" i="2" s="1"/>
  <c r="Z741" i="2" s="1"/>
  <c r="X742" i="2"/>
  <c r="Y742" i="2" s="1"/>
  <c r="Z742" i="2" s="1"/>
  <c r="X743" i="2"/>
  <c r="Y743" i="2" s="1"/>
  <c r="Z743" i="2" s="1"/>
  <c r="X744" i="2"/>
  <c r="Y744" i="2" s="1"/>
  <c r="Z744" i="2" s="1"/>
  <c r="X745" i="2"/>
  <c r="Y745" i="2" s="1"/>
  <c r="Z745" i="2" s="1"/>
  <c r="X746" i="2"/>
  <c r="Y746" i="2" s="1"/>
  <c r="Z746" i="2" s="1"/>
  <c r="X747" i="2"/>
  <c r="Y747" i="2" s="1"/>
  <c r="Z747" i="2" s="1"/>
  <c r="X748" i="2"/>
  <c r="Y748" i="2" s="1"/>
  <c r="Z748" i="2" s="1"/>
  <c r="X749" i="2"/>
  <c r="Y749" i="2" s="1"/>
  <c r="Z749" i="2" s="1"/>
  <c r="X750" i="2"/>
  <c r="Y750" i="2" s="1"/>
  <c r="Z750" i="2" s="1"/>
  <c r="X751" i="2"/>
  <c r="Y751" i="2" s="1"/>
  <c r="Z751" i="2" s="1"/>
  <c r="X752" i="2"/>
  <c r="Y752" i="2" s="1"/>
  <c r="Z752" i="2" s="1"/>
  <c r="X753" i="2"/>
  <c r="Y753" i="2" s="1"/>
  <c r="Z753" i="2" s="1"/>
  <c r="X754" i="2"/>
  <c r="Y754" i="2" s="1"/>
  <c r="Z754" i="2" s="1"/>
  <c r="X755" i="2"/>
  <c r="Y755" i="2" s="1"/>
  <c r="Z755" i="2" s="1"/>
  <c r="X756" i="2"/>
  <c r="Y756" i="2" s="1"/>
  <c r="Z756" i="2" s="1"/>
  <c r="X757" i="2"/>
  <c r="Y757" i="2" s="1"/>
  <c r="Z757" i="2" s="1"/>
  <c r="X758" i="2"/>
  <c r="Y758" i="2" s="1"/>
  <c r="Z758" i="2" s="1"/>
  <c r="X759" i="2"/>
  <c r="Y759" i="2" s="1"/>
  <c r="Z759" i="2" s="1"/>
  <c r="X760" i="2"/>
  <c r="Y760" i="2" s="1"/>
  <c r="Z760" i="2" s="1"/>
  <c r="X761" i="2"/>
  <c r="Y761" i="2" s="1"/>
  <c r="Z761" i="2" s="1"/>
  <c r="X762" i="2"/>
  <c r="Y762" i="2" s="1"/>
  <c r="Z762" i="2" s="1"/>
  <c r="X763" i="2"/>
  <c r="Y763" i="2" s="1"/>
  <c r="Z763" i="2" s="1"/>
  <c r="X764" i="2"/>
  <c r="Y764" i="2" s="1"/>
  <c r="Z764" i="2" s="1"/>
  <c r="X765" i="2"/>
  <c r="Y765" i="2" s="1"/>
  <c r="Z765" i="2" s="1"/>
  <c r="X766" i="2"/>
  <c r="Y766" i="2" s="1"/>
  <c r="Z766" i="2" s="1"/>
  <c r="X767" i="2"/>
  <c r="Y767" i="2" s="1"/>
  <c r="Z767" i="2" s="1"/>
  <c r="X768" i="2"/>
  <c r="Y768" i="2" s="1"/>
  <c r="Z768" i="2" s="1"/>
  <c r="X769" i="2"/>
  <c r="Y769" i="2" s="1"/>
  <c r="Z769" i="2" s="1"/>
  <c r="X770" i="2"/>
  <c r="Y770" i="2" s="1"/>
  <c r="Z770" i="2" s="1"/>
  <c r="X771" i="2"/>
  <c r="Y771" i="2" s="1"/>
  <c r="Z771" i="2" s="1"/>
  <c r="X772" i="2"/>
  <c r="Y772" i="2" s="1"/>
  <c r="Z772" i="2" s="1"/>
  <c r="X773" i="2"/>
  <c r="Y773" i="2" s="1"/>
  <c r="Z773" i="2" s="1"/>
  <c r="X774" i="2"/>
  <c r="Y774" i="2" s="1"/>
  <c r="Z774" i="2" s="1"/>
  <c r="X775" i="2"/>
  <c r="Y775" i="2" s="1"/>
  <c r="Z775" i="2" s="1"/>
  <c r="X776" i="2"/>
  <c r="Y776" i="2" s="1"/>
  <c r="Z776" i="2" s="1"/>
  <c r="X777" i="2"/>
  <c r="Y777" i="2" s="1"/>
  <c r="Z777" i="2" s="1"/>
  <c r="X778" i="2"/>
  <c r="Y778" i="2" s="1"/>
  <c r="Z778" i="2" s="1"/>
  <c r="X779" i="2"/>
  <c r="Y779" i="2" s="1"/>
  <c r="Z779" i="2" s="1"/>
  <c r="X780" i="2"/>
  <c r="Y780" i="2" s="1"/>
  <c r="Z780" i="2" s="1"/>
  <c r="X781" i="2"/>
  <c r="Y781" i="2" s="1"/>
  <c r="Z781" i="2" s="1"/>
  <c r="X782" i="2"/>
  <c r="Y782" i="2" s="1"/>
  <c r="Z782" i="2" s="1"/>
  <c r="X783" i="2"/>
  <c r="Y783" i="2" s="1"/>
  <c r="Z783" i="2" s="1"/>
  <c r="X784" i="2"/>
  <c r="Y784" i="2" s="1"/>
  <c r="Z784" i="2" s="1"/>
  <c r="X785" i="2"/>
  <c r="Y785" i="2" s="1"/>
  <c r="Z785" i="2" s="1"/>
  <c r="X786" i="2"/>
  <c r="Y786" i="2" s="1"/>
  <c r="Z786" i="2" s="1"/>
  <c r="X787" i="2"/>
  <c r="Y787" i="2" s="1"/>
  <c r="Z787" i="2" s="1"/>
  <c r="X788" i="2"/>
  <c r="Y788" i="2" s="1"/>
  <c r="Z788" i="2" s="1"/>
  <c r="X789" i="2"/>
  <c r="Y789" i="2" s="1"/>
  <c r="Z789" i="2" s="1"/>
  <c r="X790" i="2"/>
  <c r="Y790" i="2" s="1"/>
  <c r="Z790" i="2" s="1"/>
  <c r="X791" i="2"/>
  <c r="Y791" i="2" s="1"/>
  <c r="Z791" i="2" s="1"/>
  <c r="X792" i="2"/>
  <c r="Y792" i="2" s="1"/>
  <c r="Z792" i="2" s="1"/>
  <c r="X793" i="2"/>
  <c r="Y793" i="2" s="1"/>
  <c r="Z793" i="2" s="1"/>
  <c r="X794" i="2"/>
  <c r="Y794" i="2" s="1"/>
  <c r="Z794" i="2" s="1"/>
  <c r="X795" i="2"/>
  <c r="Y795" i="2" s="1"/>
  <c r="Z795" i="2" s="1"/>
  <c r="X796" i="2"/>
  <c r="Y796" i="2" s="1"/>
  <c r="Z796" i="2" s="1"/>
  <c r="X797" i="2"/>
  <c r="Y797" i="2" s="1"/>
  <c r="Z797" i="2" s="1"/>
  <c r="X798" i="2"/>
  <c r="Y798" i="2" s="1"/>
  <c r="Z798" i="2" s="1"/>
  <c r="X799" i="2"/>
  <c r="Y799" i="2" s="1"/>
  <c r="Z799" i="2" s="1"/>
  <c r="X800" i="2"/>
  <c r="Y800" i="2" s="1"/>
  <c r="Z800" i="2" s="1"/>
  <c r="X801" i="2"/>
  <c r="Y801" i="2" s="1"/>
  <c r="Z801" i="2" s="1"/>
  <c r="X802" i="2"/>
  <c r="Y802" i="2" s="1"/>
  <c r="Z802" i="2" s="1"/>
  <c r="X803" i="2"/>
  <c r="Y803" i="2" s="1"/>
  <c r="Z803" i="2" s="1"/>
  <c r="X804" i="2"/>
  <c r="Y804" i="2" s="1"/>
  <c r="Z804" i="2" s="1"/>
  <c r="X805" i="2"/>
  <c r="Y805" i="2" s="1"/>
  <c r="Z805" i="2" s="1"/>
  <c r="X806" i="2"/>
  <c r="Y806" i="2" s="1"/>
  <c r="Z806" i="2" s="1"/>
  <c r="X807" i="2"/>
  <c r="Y807" i="2" s="1"/>
  <c r="Z807" i="2" s="1"/>
  <c r="X808" i="2"/>
  <c r="Y808" i="2" s="1"/>
  <c r="Z808" i="2" s="1"/>
  <c r="X809" i="2"/>
  <c r="Y809" i="2" s="1"/>
  <c r="Z809" i="2" s="1"/>
  <c r="X810" i="2"/>
  <c r="Y810" i="2" s="1"/>
  <c r="Z810" i="2" s="1"/>
  <c r="X811" i="2"/>
  <c r="Y811" i="2" s="1"/>
  <c r="Z811" i="2" s="1"/>
  <c r="X812" i="2"/>
  <c r="Y812" i="2" s="1"/>
  <c r="Z812" i="2" s="1"/>
  <c r="X813" i="2"/>
  <c r="Y813" i="2" s="1"/>
  <c r="Z813" i="2" s="1"/>
  <c r="X814" i="2"/>
  <c r="Y814" i="2" s="1"/>
  <c r="Z814" i="2" s="1"/>
  <c r="X815" i="2"/>
  <c r="Y815" i="2" s="1"/>
  <c r="Z815" i="2" s="1"/>
  <c r="X816" i="2"/>
  <c r="Y816" i="2" s="1"/>
  <c r="Z816" i="2" s="1"/>
  <c r="X817" i="2"/>
  <c r="Y817" i="2" s="1"/>
  <c r="Z817" i="2" s="1"/>
  <c r="X818" i="2"/>
  <c r="Y818" i="2" s="1"/>
  <c r="Z818" i="2" s="1"/>
  <c r="X819" i="2"/>
  <c r="Y819" i="2" s="1"/>
  <c r="Z819" i="2" s="1"/>
  <c r="X820" i="2"/>
  <c r="Y820" i="2" s="1"/>
  <c r="Z820" i="2" s="1"/>
  <c r="X821" i="2"/>
  <c r="Y821" i="2" s="1"/>
  <c r="Z821" i="2" s="1"/>
  <c r="X822" i="2"/>
  <c r="Y822" i="2" s="1"/>
  <c r="Z822" i="2" s="1"/>
  <c r="X823" i="2"/>
  <c r="Y823" i="2" s="1"/>
  <c r="Z823" i="2" s="1"/>
  <c r="X824" i="2"/>
  <c r="Y824" i="2" s="1"/>
  <c r="Z824" i="2" s="1"/>
  <c r="X825" i="2"/>
  <c r="Y825" i="2" s="1"/>
  <c r="Z825" i="2" s="1"/>
  <c r="X826" i="2"/>
  <c r="Y826" i="2" s="1"/>
  <c r="Z826" i="2" s="1"/>
  <c r="X827" i="2"/>
  <c r="Y827" i="2" s="1"/>
  <c r="Z827" i="2" s="1"/>
  <c r="X828" i="2"/>
  <c r="Y828" i="2" s="1"/>
  <c r="Z828" i="2" s="1"/>
  <c r="X829" i="2"/>
  <c r="Y829" i="2" s="1"/>
  <c r="Z829" i="2" s="1"/>
  <c r="X830" i="2"/>
  <c r="Y830" i="2" s="1"/>
  <c r="Z830" i="2" s="1"/>
  <c r="X831" i="2"/>
  <c r="Y831" i="2" s="1"/>
  <c r="Z831" i="2" s="1"/>
  <c r="X832" i="2"/>
  <c r="Y832" i="2" s="1"/>
  <c r="Z832" i="2" s="1"/>
  <c r="X833" i="2"/>
  <c r="Y833" i="2" s="1"/>
  <c r="Z833" i="2" s="1"/>
  <c r="X834" i="2"/>
  <c r="Y834" i="2" s="1"/>
  <c r="Z834" i="2" s="1"/>
  <c r="X835" i="2"/>
  <c r="Y835" i="2" s="1"/>
  <c r="Z835" i="2" s="1"/>
  <c r="X836" i="2"/>
  <c r="Y836" i="2" s="1"/>
  <c r="Z836" i="2" s="1"/>
  <c r="X837" i="2"/>
  <c r="Y837" i="2" s="1"/>
  <c r="Z837" i="2" s="1"/>
  <c r="X838" i="2"/>
  <c r="Y838" i="2" s="1"/>
  <c r="Z838" i="2" s="1"/>
  <c r="X839" i="2"/>
  <c r="Y839" i="2" s="1"/>
  <c r="Z839" i="2" s="1"/>
  <c r="X840" i="2"/>
  <c r="Y840" i="2" s="1"/>
  <c r="Z840" i="2" s="1"/>
  <c r="X841" i="2"/>
  <c r="Y841" i="2" s="1"/>
  <c r="Z841" i="2" s="1"/>
  <c r="X842" i="2"/>
  <c r="Y842" i="2" s="1"/>
  <c r="Z842" i="2" s="1"/>
  <c r="X843" i="2"/>
  <c r="Y843" i="2" s="1"/>
  <c r="Z843" i="2" s="1"/>
  <c r="X844" i="2"/>
  <c r="Y844" i="2" s="1"/>
  <c r="Z844" i="2" s="1"/>
  <c r="X845" i="2"/>
  <c r="Y845" i="2" s="1"/>
  <c r="Z845" i="2" s="1"/>
  <c r="X846" i="2"/>
  <c r="Y846" i="2" s="1"/>
  <c r="Z846" i="2" s="1"/>
  <c r="X847" i="2"/>
  <c r="Y847" i="2" s="1"/>
  <c r="Z847" i="2" s="1"/>
  <c r="X848" i="2"/>
  <c r="Y848" i="2" s="1"/>
  <c r="Z848" i="2" s="1"/>
  <c r="X849" i="2"/>
  <c r="Y849" i="2" s="1"/>
  <c r="Z849" i="2" s="1"/>
  <c r="X850" i="2"/>
  <c r="Y850" i="2" s="1"/>
  <c r="Z850" i="2" s="1"/>
  <c r="X851" i="2"/>
  <c r="Y851" i="2" s="1"/>
  <c r="Z851" i="2" s="1"/>
  <c r="X852" i="2"/>
  <c r="Y852" i="2" s="1"/>
  <c r="Z852" i="2" s="1"/>
  <c r="X853" i="2"/>
  <c r="Y853" i="2" s="1"/>
  <c r="Z853" i="2" s="1"/>
  <c r="X854" i="2"/>
  <c r="Y854" i="2" s="1"/>
  <c r="Z854" i="2" s="1"/>
  <c r="X855" i="2"/>
  <c r="Y855" i="2" s="1"/>
  <c r="Z855" i="2" s="1"/>
  <c r="X856" i="2"/>
  <c r="Y856" i="2" s="1"/>
  <c r="Z856" i="2" s="1"/>
  <c r="X857" i="2"/>
  <c r="Y857" i="2" s="1"/>
  <c r="Z857" i="2" s="1"/>
  <c r="X858" i="2"/>
  <c r="Y858" i="2" s="1"/>
  <c r="Z858" i="2" s="1"/>
  <c r="X859" i="2"/>
  <c r="Y859" i="2" s="1"/>
  <c r="Z859" i="2" s="1"/>
  <c r="X860" i="2"/>
  <c r="Y860" i="2" s="1"/>
  <c r="Z860" i="2" s="1"/>
  <c r="X861" i="2"/>
  <c r="Y861" i="2" s="1"/>
  <c r="Z861" i="2" s="1"/>
  <c r="X862" i="2"/>
  <c r="Y862" i="2" s="1"/>
  <c r="Z862" i="2" s="1"/>
  <c r="X863" i="2"/>
  <c r="Y863" i="2" s="1"/>
  <c r="Z863" i="2" s="1"/>
  <c r="X864" i="2"/>
  <c r="Y864" i="2" s="1"/>
  <c r="Z864" i="2" s="1"/>
  <c r="X865" i="2"/>
  <c r="Y865" i="2" s="1"/>
  <c r="Z865" i="2" s="1"/>
  <c r="X866" i="2"/>
  <c r="Y866" i="2" s="1"/>
  <c r="Z866" i="2" s="1"/>
  <c r="X867" i="2"/>
  <c r="Y867" i="2" s="1"/>
  <c r="Z867" i="2" s="1"/>
  <c r="X868" i="2"/>
  <c r="Y868" i="2" s="1"/>
  <c r="Z868" i="2" s="1"/>
  <c r="X869" i="2"/>
  <c r="Y869" i="2" s="1"/>
  <c r="Z869" i="2" s="1"/>
  <c r="X870" i="2"/>
  <c r="Y870" i="2" s="1"/>
  <c r="Z870" i="2" s="1"/>
  <c r="X871" i="2"/>
  <c r="Y871" i="2" s="1"/>
  <c r="Z871" i="2" s="1"/>
  <c r="X872" i="2"/>
  <c r="Y872" i="2" s="1"/>
  <c r="Z872" i="2" s="1"/>
  <c r="X873" i="2"/>
  <c r="Y873" i="2" s="1"/>
  <c r="Z873" i="2" s="1"/>
  <c r="X874" i="2"/>
  <c r="Y874" i="2" s="1"/>
  <c r="Z874" i="2" s="1"/>
  <c r="X875" i="2"/>
  <c r="Y875" i="2" s="1"/>
  <c r="Z875" i="2" s="1"/>
  <c r="X876" i="2"/>
  <c r="Y876" i="2" s="1"/>
  <c r="Z876" i="2" s="1"/>
  <c r="X877" i="2"/>
  <c r="Y877" i="2" s="1"/>
  <c r="Z877" i="2" s="1"/>
  <c r="X878" i="2"/>
  <c r="Y878" i="2" s="1"/>
  <c r="Z878" i="2" s="1"/>
  <c r="X879" i="2"/>
  <c r="Y879" i="2" s="1"/>
  <c r="Z879" i="2" s="1"/>
  <c r="X880" i="2"/>
  <c r="Y880" i="2" s="1"/>
  <c r="Z880" i="2" s="1"/>
  <c r="X881" i="2"/>
  <c r="Y881" i="2" s="1"/>
  <c r="Z881" i="2" s="1"/>
  <c r="X882" i="2"/>
  <c r="Y882" i="2" s="1"/>
  <c r="Z882" i="2" s="1"/>
  <c r="X883" i="2"/>
  <c r="Y883" i="2" s="1"/>
  <c r="Z883" i="2" s="1"/>
  <c r="X884" i="2"/>
  <c r="Y884" i="2" s="1"/>
  <c r="Z884" i="2" s="1"/>
  <c r="X885" i="2"/>
  <c r="Y885" i="2" s="1"/>
  <c r="Z885" i="2" s="1"/>
  <c r="X886" i="2"/>
  <c r="Y886" i="2" s="1"/>
  <c r="Z886" i="2" s="1"/>
  <c r="X887" i="2"/>
  <c r="Y887" i="2" s="1"/>
  <c r="Z887" i="2" s="1"/>
  <c r="X888" i="2"/>
  <c r="Y888" i="2" s="1"/>
  <c r="Z888" i="2" s="1"/>
  <c r="X889" i="2"/>
  <c r="Y889" i="2" s="1"/>
  <c r="Z889" i="2" s="1"/>
  <c r="X890" i="2"/>
  <c r="Y890" i="2" s="1"/>
  <c r="Z890" i="2" s="1"/>
  <c r="X891" i="2"/>
  <c r="Y891" i="2" s="1"/>
  <c r="Z891" i="2" s="1"/>
  <c r="X892" i="2"/>
  <c r="Y892" i="2" s="1"/>
  <c r="Z892" i="2" s="1"/>
  <c r="X893" i="2"/>
  <c r="Y893" i="2" s="1"/>
  <c r="Z893" i="2" s="1"/>
  <c r="X894" i="2"/>
  <c r="Y894" i="2" s="1"/>
  <c r="Z894" i="2" s="1"/>
  <c r="X895" i="2"/>
  <c r="Y895" i="2" s="1"/>
  <c r="Z895" i="2" s="1"/>
  <c r="X896" i="2"/>
  <c r="Y896" i="2" s="1"/>
  <c r="Z896" i="2" s="1"/>
  <c r="X897" i="2"/>
  <c r="Y897" i="2" s="1"/>
  <c r="Z897" i="2" s="1"/>
  <c r="X898" i="2"/>
  <c r="Y898" i="2" s="1"/>
  <c r="Z898" i="2" s="1"/>
  <c r="X899" i="2"/>
  <c r="Y899" i="2" s="1"/>
  <c r="Z899" i="2" s="1"/>
  <c r="X900" i="2"/>
  <c r="Y900" i="2" s="1"/>
  <c r="Z900" i="2" s="1"/>
  <c r="X901" i="2"/>
  <c r="Y901" i="2" s="1"/>
  <c r="Z901" i="2" s="1"/>
  <c r="X902" i="2"/>
  <c r="Y902" i="2" s="1"/>
  <c r="Z902" i="2" s="1"/>
  <c r="X903" i="2"/>
  <c r="Y903" i="2" s="1"/>
  <c r="Z903" i="2" s="1"/>
  <c r="X904" i="2"/>
  <c r="Y904" i="2" s="1"/>
  <c r="Z904" i="2" s="1"/>
  <c r="X905" i="2"/>
  <c r="Y905" i="2" s="1"/>
  <c r="Z905" i="2" s="1"/>
  <c r="X906" i="2"/>
  <c r="Y906" i="2" s="1"/>
  <c r="Z906" i="2" s="1"/>
  <c r="X907" i="2"/>
  <c r="Y907" i="2" s="1"/>
  <c r="Z907" i="2" s="1"/>
  <c r="X908" i="2"/>
  <c r="Y908" i="2" s="1"/>
  <c r="Z908" i="2" s="1"/>
  <c r="X909" i="2"/>
  <c r="Y909" i="2" s="1"/>
  <c r="Z909" i="2" s="1"/>
  <c r="X910" i="2"/>
  <c r="Y910" i="2" s="1"/>
  <c r="Z910" i="2" s="1"/>
  <c r="X911" i="2"/>
  <c r="Y911" i="2" s="1"/>
  <c r="Z911" i="2" s="1"/>
  <c r="X912" i="2"/>
  <c r="Y912" i="2" s="1"/>
  <c r="Z912" i="2" s="1"/>
  <c r="X913" i="2"/>
  <c r="Y913" i="2" s="1"/>
  <c r="Z913" i="2" s="1"/>
  <c r="X914" i="2"/>
  <c r="Y914" i="2" s="1"/>
  <c r="Z914" i="2" s="1"/>
  <c r="X915" i="2"/>
  <c r="Y915" i="2" s="1"/>
  <c r="Z915" i="2" s="1"/>
  <c r="X916" i="2"/>
  <c r="Y916" i="2" s="1"/>
  <c r="Z916" i="2" s="1"/>
  <c r="X917" i="2"/>
  <c r="Y917" i="2" s="1"/>
  <c r="Z917" i="2" s="1"/>
  <c r="X918" i="2"/>
  <c r="Y918" i="2" s="1"/>
  <c r="Z918" i="2" s="1"/>
  <c r="X919" i="2"/>
  <c r="Y919" i="2" s="1"/>
  <c r="Z919" i="2" s="1"/>
  <c r="X920" i="2"/>
  <c r="Y920" i="2" s="1"/>
  <c r="Z920" i="2" s="1"/>
  <c r="X921" i="2"/>
  <c r="Y921" i="2" s="1"/>
  <c r="Z921" i="2" s="1"/>
  <c r="X922" i="2"/>
  <c r="Y922" i="2" s="1"/>
  <c r="Z922" i="2" s="1"/>
  <c r="X923" i="2"/>
  <c r="Y923" i="2" s="1"/>
  <c r="Z923" i="2" s="1"/>
  <c r="X924" i="2"/>
  <c r="Y924" i="2" s="1"/>
  <c r="Z924" i="2" s="1"/>
  <c r="X925" i="2"/>
  <c r="Y925" i="2" s="1"/>
  <c r="Z925" i="2" s="1"/>
  <c r="X926" i="2"/>
  <c r="Y926" i="2" s="1"/>
  <c r="Z926" i="2" s="1"/>
  <c r="X927" i="2"/>
  <c r="Y927" i="2" s="1"/>
  <c r="Z927" i="2" s="1"/>
  <c r="X928" i="2"/>
  <c r="Y928" i="2" s="1"/>
  <c r="Z928" i="2" s="1"/>
  <c r="X929" i="2"/>
  <c r="Y929" i="2" s="1"/>
  <c r="Z929" i="2" s="1"/>
  <c r="X930" i="2"/>
  <c r="Y930" i="2" s="1"/>
  <c r="Z930" i="2" s="1"/>
  <c r="X931" i="2"/>
  <c r="Y931" i="2" s="1"/>
  <c r="Z931" i="2" s="1"/>
  <c r="X932" i="2"/>
  <c r="Y932" i="2" s="1"/>
  <c r="Z932" i="2" s="1"/>
  <c r="X933" i="2"/>
  <c r="Y933" i="2" s="1"/>
  <c r="Z933" i="2" s="1"/>
  <c r="X934" i="2"/>
  <c r="Y934" i="2" s="1"/>
  <c r="Z934" i="2" s="1"/>
  <c r="X935" i="2"/>
  <c r="Y935" i="2" s="1"/>
  <c r="Z935" i="2" s="1"/>
  <c r="X936" i="2"/>
  <c r="Y936" i="2" s="1"/>
  <c r="Z936" i="2" s="1"/>
  <c r="X937" i="2"/>
  <c r="Y937" i="2" s="1"/>
  <c r="Z937" i="2" s="1"/>
  <c r="X938" i="2"/>
  <c r="Y938" i="2" s="1"/>
  <c r="Z938" i="2" s="1"/>
  <c r="X939" i="2"/>
  <c r="Y939" i="2" s="1"/>
  <c r="Z939" i="2" s="1"/>
  <c r="X940" i="2"/>
  <c r="Y940" i="2" s="1"/>
  <c r="Z940" i="2" s="1"/>
  <c r="X941" i="2"/>
  <c r="Y941" i="2" s="1"/>
  <c r="Z941" i="2" s="1"/>
  <c r="X942" i="2"/>
  <c r="Y942" i="2" s="1"/>
  <c r="Z942" i="2" s="1"/>
  <c r="X943" i="2"/>
  <c r="Y943" i="2" s="1"/>
  <c r="Z943" i="2" s="1"/>
  <c r="X944" i="2"/>
  <c r="Y944" i="2" s="1"/>
  <c r="Z944" i="2" s="1"/>
  <c r="X945" i="2"/>
  <c r="Y945" i="2" s="1"/>
  <c r="Z945" i="2" s="1"/>
  <c r="X946" i="2"/>
  <c r="Y946" i="2" s="1"/>
  <c r="Z946" i="2" s="1"/>
  <c r="X947" i="2"/>
  <c r="Y947" i="2" s="1"/>
  <c r="Z947" i="2" s="1"/>
  <c r="X948" i="2"/>
  <c r="Y948" i="2" s="1"/>
  <c r="Z948" i="2" s="1"/>
  <c r="X949" i="2"/>
  <c r="Y949" i="2" s="1"/>
  <c r="Z949" i="2" s="1"/>
  <c r="X950" i="2"/>
  <c r="Y950" i="2" s="1"/>
  <c r="Z950" i="2" s="1"/>
  <c r="X951" i="2"/>
  <c r="Y951" i="2" s="1"/>
  <c r="Z951" i="2" s="1"/>
  <c r="X952" i="2"/>
  <c r="Y952" i="2" s="1"/>
  <c r="Z952" i="2" s="1"/>
  <c r="X953" i="2"/>
  <c r="Y953" i="2" s="1"/>
  <c r="Z953" i="2" s="1"/>
  <c r="X954" i="2"/>
  <c r="Y954" i="2" s="1"/>
  <c r="Z954" i="2" s="1"/>
  <c r="X955" i="2"/>
  <c r="Y955" i="2" s="1"/>
  <c r="Z955" i="2" s="1"/>
  <c r="X956" i="2"/>
  <c r="Y956" i="2" s="1"/>
  <c r="Z956" i="2" s="1"/>
  <c r="X957" i="2"/>
  <c r="Y957" i="2" s="1"/>
  <c r="Z957" i="2" s="1"/>
  <c r="X958" i="2"/>
  <c r="Y958" i="2" s="1"/>
  <c r="Z958" i="2" s="1"/>
  <c r="X959" i="2"/>
  <c r="Y959" i="2" s="1"/>
  <c r="Z959" i="2" s="1"/>
  <c r="X960" i="2"/>
  <c r="Y960" i="2" s="1"/>
  <c r="Z960" i="2" s="1"/>
  <c r="X961" i="2"/>
  <c r="Y961" i="2" s="1"/>
  <c r="Z961" i="2" s="1"/>
  <c r="X962" i="2"/>
  <c r="Y962" i="2" s="1"/>
  <c r="Z962" i="2" s="1"/>
  <c r="X963" i="2"/>
  <c r="Y963" i="2" s="1"/>
  <c r="Z963" i="2" s="1"/>
  <c r="X964" i="2"/>
  <c r="Y964" i="2" s="1"/>
  <c r="Z964" i="2" s="1"/>
  <c r="X965" i="2"/>
  <c r="Y965" i="2" s="1"/>
  <c r="Z965" i="2" s="1"/>
  <c r="X966" i="2"/>
  <c r="Y966" i="2" s="1"/>
  <c r="Z966" i="2" s="1"/>
  <c r="X967" i="2"/>
  <c r="Y967" i="2" s="1"/>
  <c r="Z967" i="2" s="1"/>
  <c r="X968" i="2"/>
  <c r="Y968" i="2" s="1"/>
  <c r="Z968" i="2" s="1"/>
  <c r="X969" i="2"/>
  <c r="Y969" i="2" s="1"/>
  <c r="Z969" i="2" s="1"/>
  <c r="X970" i="2"/>
  <c r="Y970" i="2" s="1"/>
  <c r="Z970" i="2" s="1"/>
  <c r="X971" i="2"/>
  <c r="Y971" i="2" s="1"/>
  <c r="Z971" i="2" s="1"/>
  <c r="X972" i="2"/>
  <c r="Y972" i="2" s="1"/>
  <c r="Z972" i="2" s="1"/>
  <c r="X973" i="2"/>
  <c r="Y973" i="2" s="1"/>
  <c r="Z973" i="2" s="1"/>
  <c r="X974" i="2"/>
  <c r="Y974" i="2" s="1"/>
  <c r="Z974" i="2" s="1"/>
  <c r="X975" i="2"/>
  <c r="Y975" i="2" s="1"/>
  <c r="Z975" i="2" s="1"/>
  <c r="X976" i="2"/>
  <c r="Y976" i="2" s="1"/>
  <c r="Z976" i="2" s="1"/>
  <c r="X977" i="2"/>
  <c r="Y977" i="2" s="1"/>
  <c r="Z977" i="2" s="1"/>
  <c r="X978" i="2"/>
  <c r="Y978" i="2" s="1"/>
  <c r="Z978" i="2" s="1"/>
  <c r="X979" i="2"/>
  <c r="Y979" i="2" s="1"/>
  <c r="Z979" i="2" s="1"/>
  <c r="X980" i="2"/>
  <c r="Y980" i="2" s="1"/>
  <c r="Z980" i="2" s="1"/>
  <c r="X981" i="2"/>
  <c r="Y981" i="2" s="1"/>
  <c r="Z981" i="2" s="1"/>
  <c r="X982" i="2"/>
  <c r="Y982" i="2" s="1"/>
  <c r="Z982" i="2" s="1"/>
  <c r="X983" i="2"/>
  <c r="Y983" i="2" s="1"/>
  <c r="Z983" i="2" s="1"/>
  <c r="X984" i="2"/>
  <c r="Y984" i="2" s="1"/>
  <c r="Z984" i="2" s="1"/>
  <c r="X985" i="2"/>
  <c r="Y985" i="2" s="1"/>
  <c r="Z985" i="2" s="1"/>
  <c r="X986" i="2"/>
  <c r="Y986" i="2" s="1"/>
  <c r="Z986" i="2" s="1"/>
  <c r="X987" i="2"/>
  <c r="Y987" i="2" s="1"/>
  <c r="Z987" i="2" s="1"/>
  <c r="X988" i="2"/>
  <c r="Y988" i="2" s="1"/>
  <c r="Z988" i="2" s="1"/>
  <c r="X989" i="2"/>
  <c r="Y989" i="2" s="1"/>
  <c r="Z989" i="2" s="1"/>
  <c r="X990" i="2"/>
  <c r="Y990" i="2" s="1"/>
  <c r="Z990" i="2" s="1"/>
  <c r="X991" i="2"/>
  <c r="Y991" i="2" s="1"/>
  <c r="Z991" i="2" s="1"/>
  <c r="X992" i="2"/>
  <c r="Y992" i="2" s="1"/>
  <c r="Z992" i="2" s="1"/>
  <c r="X993" i="2"/>
  <c r="Y993" i="2" s="1"/>
  <c r="Z993" i="2" s="1"/>
  <c r="X994" i="2"/>
  <c r="Y994" i="2" s="1"/>
  <c r="Z994" i="2" s="1"/>
  <c r="X995" i="2"/>
  <c r="Y995" i="2" s="1"/>
  <c r="Z995" i="2" s="1"/>
  <c r="X996" i="2"/>
  <c r="Y996" i="2" s="1"/>
  <c r="Z996" i="2" s="1"/>
  <c r="X997" i="2"/>
  <c r="Y997" i="2" s="1"/>
  <c r="Z997" i="2" s="1"/>
  <c r="X998" i="2"/>
  <c r="Y998" i="2" s="1"/>
  <c r="Z998" i="2" s="1"/>
  <c r="X999" i="2"/>
  <c r="Y999" i="2" s="1"/>
  <c r="Z999" i="2" s="1"/>
  <c r="X1000" i="2"/>
  <c r="Y1000" i="2" s="1"/>
  <c r="Z1000" i="2" s="1"/>
  <c r="X1001" i="2"/>
  <c r="Y1001" i="2" s="1"/>
  <c r="Z1001" i="2" s="1"/>
  <c r="X1002" i="2"/>
  <c r="Y1002" i="2" s="1"/>
  <c r="Z1002" i="2" s="1"/>
  <c r="X1003" i="2"/>
  <c r="Y1003" i="2" s="1"/>
  <c r="Z1003" i="2" s="1"/>
  <c r="X1004" i="2"/>
  <c r="Y1004" i="2" s="1"/>
  <c r="Z1004" i="2" s="1"/>
  <c r="X1005" i="2"/>
  <c r="Y1005" i="2" s="1"/>
  <c r="Z1005" i="2" s="1"/>
  <c r="X1006" i="2"/>
  <c r="Y1006" i="2" s="1"/>
  <c r="Z1006" i="2" s="1"/>
  <c r="X1007" i="2"/>
  <c r="Y1007" i="2" s="1"/>
  <c r="Z1007" i="2" s="1"/>
  <c r="X1008" i="2"/>
  <c r="Y1008" i="2" s="1"/>
  <c r="Z1008" i="2" s="1"/>
  <c r="X1009" i="2"/>
  <c r="Y1009" i="2" s="1"/>
  <c r="Z1009" i="2" s="1"/>
  <c r="X1010" i="2"/>
  <c r="Y1010" i="2" s="1"/>
  <c r="Z1010" i="2" s="1"/>
  <c r="X1011" i="2"/>
  <c r="Y1011" i="2" s="1"/>
  <c r="Z1011" i="2" s="1"/>
  <c r="X1012" i="2"/>
  <c r="Y1012" i="2" s="1"/>
  <c r="Z1012" i="2" s="1"/>
  <c r="X1013" i="2"/>
  <c r="Y1013" i="2" s="1"/>
  <c r="Z1013" i="2" s="1"/>
  <c r="X1014" i="2"/>
  <c r="Y1014" i="2" s="1"/>
  <c r="Z1014" i="2" s="1"/>
  <c r="X1015" i="2"/>
  <c r="Y1015" i="2" s="1"/>
  <c r="Z1015" i="2" s="1"/>
  <c r="X1016" i="2"/>
  <c r="Y1016" i="2" s="1"/>
  <c r="Z1016" i="2" s="1"/>
  <c r="X1017" i="2"/>
  <c r="Y1017" i="2" s="1"/>
  <c r="Z1017" i="2" s="1"/>
  <c r="X1018" i="2"/>
  <c r="Y1018" i="2" s="1"/>
  <c r="Z1018" i="2" s="1"/>
  <c r="X1019" i="2"/>
  <c r="Y1019" i="2" s="1"/>
  <c r="Z1019" i="2" s="1"/>
  <c r="X1020" i="2"/>
  <c r="Y1020" i="2" s="1"/>
  <c r="Z1020" i="2" s="1"/>
  <c r="X1021" i="2"/>
  <c r="Y1021" i="2" s="1"/>
  <c r="Z1021" i="2" s="1"/>
  <c r="X1022" i="2"/>
  <c r="Y1022" i="2" s="1"/>
  <c r="Z1022" i="2" s="1"/>
  <c r="X1023" i="2"/>
  <c r="Y1023" i="2" s="1"/>
  <c r="Z1023" i="2" s="1"/>
  <c r="X1024" i="2"/>
  <c r="Y1024" i="2" s="1"/>
  <c r="Z1024" i="2" s="1"/>
  <c r="X1025" i="2"/>
  <c r="Y1025" i="2" s="1"/>
  <c r="Z1025" i="2" s="1"/>
  <c r="X1026" i="2"/>
  <c r="Y1026" i="2" s="1"/>
  <c r="Z1026" i="2" s="1"/>
  <c r="X1027" i="2"/>
  <c r="Y1027" i="2" s="1"/>
  <c r="Z1027" i="2" s="1"/>
  <c r="X1028" i="2"/>
  <c r="Y1028" i="2" s="1"/>
  <c r="Z1028" i="2" s="1"/>
  <c r="X1029" i="2"/>
  <c r="Y1029" i="2" s="1"/>
  <c r="Z1029" i="2" s="1"/>
  <c r="X1030" i="2"/>
  <c r="Y1030" i="2" s="1"/>
  <c r="Z1030" i="2" s="1"/>
  <c r="X1031" i="2"/>
  <c r="Y1031" i="2" s="1"/>
  <c r="Z1031" i="2" s="1"/>
  <c r="X1032" i="2"/>
  <c r="Y1032" i="2" s="1"/>
  <c r="Z1032" i="2" s="1"/>
  <c r="X1033" i="2"/>
  <c r="Y1033" i="2" s="1"/>
  <c r="Z1033" i="2" s="1"/>
  <c r="X1034" i="2"/>
  <c r="Y1034" i="2" s="1"/>
  <c r="Z1034" i="2" s="1"/>
  <c r="X1035" i="2"/>
  <c r="Y1035" i="2" s="1"/>
  <c r="Z1035" i="2" s="1"/>
  <c r="X1036" i="2"/>
  <c r="Y1036" i="2" s="1"/>
  <c r="Z1036" i="2" s="1"/>
  <c r="X1037" i="2"/>
  <c r="Y1037" i="2" s="1"/>
  <c r="Z1037" i="2" s="1"/>
  <c r="X1038" i="2"/>
  <c r="Y1038" i="2" s="1"/>
  <c r="Z1038" i="2" s="1"/>
  <c r="X1039" i="2"/>
  <c r="Y1039" i="2" s="1"/>
  <c r="Z1039" i="2" s="1"/>
  <c r="X1040" i="2"/>
  <c r="Y1040" i="2" s="1"/>
  <c r="Z1040" i="2" s="1"/>
  <c r="X1041" i="2"/>
  <c r="Y1041" i="2" s="1"/>
  <c r="Z1041" i="2" s="1"/>
  <c r="X1042" i="2"/>
  <c r="Y1042" i="2" s="1"/>
  <c r="Z1042" i="2" s="1"/>
  <c r="X1043" i="2"/>
  <c r="Y1043" i="2" s="1"/>
  <c r="Z1043" i="2" s="1"/>
  <c r="X1044" i="2"/>
  <c r="Y1044" i="2" s="1"/>
  <c r="Z1044" i="2" s="1"/>
  <c r="X1045" i="2"/>
  <c r="Y1045" i="2" s="1"/>
  <c r="Z1045" i="2" s="1"/>
  <c r="X1046" i="2"/>
  <c r="Y1046" i="2" s="1"/>
  <c r="Z1046" i="2" s="1"/>
  <c r="X1047" i="2"/>
  <c r="Y1047" i="2" s="1"/>
  <c r="Z1047" i="2" s="1"/>
  <c r="X1048" i="2"/>
  <c r="Y1048" i="2" s="1"/>
  <c r="Z1048" i="2" s="1"/>
  <c r="X1049" i="2"/>
  <c r="Y1049" i="2" s="1"/>
  <c r="Z1049" i="2" s="1"/>
  <c r="X1050" i="2"/>
  <c r="Y1050" i="2" s="1"/>
  <c r="Z1050" i="2" s="1"/>
  <c r="X1051" i="2"/>
  <c r="Y1051" i="2" s="1"/>
  <c r="Z1051" i="2" s="1"/>
  <c r="X1052" i="2"/>
  <c r="Y1052" i="2" s="1"/>
  <c r="Z1052" i="2" s="1"/>
  <c r="X1053" i="2"/>
  <c r="Y1053" i="2" s="1"/>
  <c r="Z1053" i="2" s="1"/>
  <c r="X1054" i="2"/>
  <c r="Y1054" i="2" s="1"/>
  <c r="Z1054" i="2" s="1"/>
  <c r="X1055" i="2"/>
  <c r="Y1055" i="2" s="1"/>
  <c r="Z1055" i="2" s="1"/>
  <c r="X1056" i="2"/>
  <c r="Y1056" i="2" s="1"/>
  <c r="Z1056" i="2" s="1"/>
  <c r="X1057" i="2"/>
  <c r="Y1057" i="2" s="1"/>
  <c r="Z1057" i="2" s="1"/>
  <c r="X1058" i="2"/>
  <c r="Y1058" i="2" s="1"/>
  <c r="Z1058" i="2" s="1"/>
  <c r="X1059" i="2"/>
  <c r="Y1059" i="2" s="1"/>
  <c r="Z1059" i="2" s="1"/>
  <c r="X1060" i="2"/>
  <c r="Y1060" i="2" s="1"/>
  <c r="Z1060" i="2" s="1"/>
  <c r="X1061" i="2"/>
  <c r="Y1061" i="2" s="1"/>
  <c r="Z1061" i="2" s="1"/>
  <c r="X1062" i="2"/>
  <c r="Y1062" i="2" s="1"/>
  <c r="Z1062" i="2" s="1"/>
  <c r="X1063" i="2"/>
  <c r="Y1063" i="2" s="1"/>
  <c r="Z1063" i="2" s="1"/>
  <c r="X1064" i="2"/>
  <c r="Y1064" i="2" s="1"/>
  <c r="Z1064" i="2" s="1"/>
  <c r="X1065" i="2"/>
  <c r="Y1065" i="2" s="1"/>
  <c r="Z1065" i="2" s="1"/>
  <c r="X1066" i="2"/>
  <c r="Y1066" i="2" s="1"/>
  <c r="Z1066" i="2" s="1"/>
  <c r="X1067" i="2"/>
  <c r="Y1067" i="2" s="1"/>
  <c r="Z1067" i="2" s="1"/>
  <c r="X1068" i="2"/>
  <c r="Y1068" i="2" s="1"/>
  <c r="Z1068" i="2" s="1"/>
  <c r="X1069" i="2"/>
  <c r="Y1069" i="2" s="1"/>
  <c r="Z1069" i="2" s="1"/>
  <c r="X1070" i="2"/>
  <c r="Y1070" i="2" s="1"/>
  <c r="Z1070" i="2" s="1"/>
  <c r="X1071" i="2"/>
  <c r="Y1071" i="2" s="1"/>
  <c r="Z1071" i="2" s="1"/>
  <c r="X1072" i="2"/>
  <c r="Y1072" i="2" s="1"/>
  <c r="Z1072" i="2" s="1"/>
  <c r="X1073" i="2"/>
  <c r="Y1073" i="2" s="1"/>
  <c r="Z1073" i="2" s="1"/>
  <c r="X1074" i="2"/>
  <c r="Y1074" i="2" s="1"/>
  <c r="Z1074" i="2" s="1"/>
  <c r="X1075" i="2"/>
  <c r="Y1075" i="2" s="1"/>
  <c r="Z1075" i="2" s="1"/>
  <c r="X1076" i="2"/>
  <c r="Y1076" i="2" s="1"/>
  <c r="Z1076" i="2" s="1"/>
  <c r="X1077" i="2"/>
  <c r="Y1077" i="2" s="1"/>
  <c r="Z1077" i="2" s="1"/>
  <c r="X1078" i="2"/>
  <c r="Y1078" i="2" s="1"/>
  <c r="Z1078" i="2" s="1"/>
  <c r="X1079" i="2"/>
  <c r="Y1079" i="2" s="1"/>
  <c r="Z1079" i="2" s="1"/>
  <c r="X1080" i="2"/>
  <c r="Y1080" i="2" s="1"/>
  <c r="Z1080" i="2" s="1"/>
  <c r="X1081" i="2"/>
  <c r="Y1081" i="2" s="1"/>
  <c r="Z1081" i="2" s="1"/>
  <c r="X1082" i="2"/>
  <c r="Y1082" i="2" s="1"/>
  <c r="Z1082" i="2" s="1"/>
  <c r="X1083" i="2"/>
  <c r="Y1083" i="2" s="1"/>
  <c r="Z1083" i="2" s="1"/>
  <c r="X1084" i="2"/>
  <c r="Y1084" i="2" s="1"/>
  <c r="Z1084" i="2" s="1"/>
  <c r="X1085" i="2"/>
  <c r="Y1085" i="2" s="1"/>
  <c r="Z1085" i="2" s="1"/>
  <c r="X1086" i="2"/>
  <c r="Y1086" i="2" s="1"/>
  <c r="Z1086" i="2" s="1"/>
  <c r="X1087" i="2"/>
  <c r="Y1087" i="2" s="1"/>
  <c r="Z1087" i="2" s="1"/>
  <c r="X1088" i="2"/>
  <c r="Y1088" i="2" s="1"/>
  <c r="Z1088" i="2" s="1"/>
  <c r="X1089" i="2"/>
  <c r="Y1089" i="2" s="1"/>
  <c r="Z1089" i="2" s="1"/>
  <c r="X1090" i="2"/>
  <c r="Y1090" i="2" s="1"/>
  <c r="Z1090" i="2" s="1"/>
  <c r="X1091" i="2"/>
  <c r="Y1091" i="2" s="1"/>
  <c r="Z1091" i="2" s="1"/>
  <c r="X1092" i="2"/>
  <c r="Y1092" i="2" s="1"/>
  <c r="Z1092" i="2" s="1"/>
  <c r="X1093" i="2"/>
  <c r="Y1093" i="2" s="1"/>
  <c r="Z1093" i="2" s="1"/>
  <c r="X1094" i="2"/>
  <c r="Y1094" i="2" s="1"/>
  <c r="Z1094" i="2" s="1"/>
  <c r="X1095" i="2"/>
  <c r="Y1095" i="2" s="1"/>
  <c r="Z1095" i="2" s="1"/>
  <c r="X1096" i="2"/>
  <c r="Y1096" i="2" s="1"/>
  <c r="Z1096" i="2" s="1"/>
  <c r="X1097" i="2"/>
  <c r="Y1097" i="2" s="1"/>
  <c r="Z1097" i="2" s="1"/>
  <c r="X1098" i="2"/>
  <c r="Y1098" i="2" s="1"/>
  <c r="Z1098" i="2" s="1"/>
  <c r="X1099" i="2"/>
  <c r="Y1099" i="2" s="1"/>
  <c r="Z1099" i="2" s="1"/>
  <c r="X1100" i="2"/>
  <c r="Y1100" i="2" s="1"/>
  <c r="Z1100" i="2" s="1"/>
  <c r="X1101" i="2"/>
  <c r="Y1101" i="2" s="1"/>
  <c r="Z1101" i="2" s="1"/>
  <c r="X1102" i="2"/>
  <c r="Y1102" i="2" s="1"/>
  <c r="Z1102" i="2" s="1"/>
  <c r="X1103" i="2"/>
  <c r="Y1103" i="2" s="1"/>
  <c r="Z1103" i="2" s="1"/>
  <c r="X1104" i="2"/>
  <c r="Y1104" i="2" s="1"/>
  <c r="Z1104" i="2" s="1"/>
  <c r="X1105" i="2"/>
  <c r="Y1105" i="2" s="1"/>
  <c r="Z1105" i="2" s="1"/>
  <c r="X1106" i="2"/>
  <c r="Y1106" i="2" s="1"/>
  <c r="Z1106" i="2" s="1"/>
  <c r="X1107" i="2"/>
  <c r="Y1107" i="2" s="1"/>
  <c r="Z1107" i="2" s="1"/>
  <c r="X1108" i="2"/>
  <c r="Y1108" i="2" s="1"/>
  <c r="Z1108" i="2" s="1"/>
  <c r="X1109" i="2"/>
  <c r="Y1109" i="2" s="1"/>
  <c r="Z1109" i="2" s="1"/>
  <c r="X1110" i="2"/>
  <c r="Y1110" i="2" s="1"/>
  <c r="Z1110" i="2" s="1"/>
  <c r="X1111" i="2"/>
  <c r="Y1111" i="2" s="1"/>
  <c r="Z1111" i="2" s="1"/>
  <c r="X1112" i="2"/>
  <c r="Y1112" i="2" s="1"/>
  <c r="Z1112" i="2" s="1"/>
  <c r="X1113" i="2"/>
  <c r="Y1113" i="2" s="1"/>
  <c r="Z1113" i="2" s="1"/>
  <c r="X1114" i="2"/>
  <c r="Y1114" i="2" s="1"/>
  <c r="Z1114" i="2" s="1"/>
  <c r="X1115" i="2"/>
  <c r="Y1115" i="2" s="1"/>
  <c r="Z1115" i="2" s="1"/>
  <c r="X1116" i="2"/>
  <c r="Y1116" i="2" s="1"/>
  <c r="Z1116" i="2" s="1"/>
  <c r="X1117" i="2"/>
  <c r="Y1117" i="2" s="1"/>
  <c r="Z1117" i="2" s="1"/>
  <c r="X1118" i="2"/>
  <c r="Y1118" i="2" s="1"/>
  <c r="Z1118" i="2" s="1"/>
  <c r="X1119" i="2"/>
  <c r="Y1119" i="2" s="1"/>
  <c r="Z1119" i="2" s="1"/>
  <c r="X1120" i="2"/>
  <c r="Y1120" i="2" s="1"/>
  <c r="Z1120" i="2" s="1"/>
  <c r="X1121" i="2"/>
  <c r="Y1121" i="2" s="1"/>
  <c r="Z1121" i="2" s="1"/>
  <c r="X1122" i="2"/>
  <c r="Y1122" i="2" s="1"/>
  <c r="Z1122" i="2" s="1"/>
  <c r="X1123" i="2"/>
  <c r="Y1123" i="2" s="1"/>
  <c r="Z1123" i="2" s="1"/>
  <c r="X1124" i="2"/>
  <c r="Y1124" i="2" s="1"/>
  <c r="Z1124" i="2" s="1"/>
  <c r="X1125" i="2"/>
  <c r="Y1125" i="2" s="1"/>
  <c r="Z1125" i="2" s="1"/>
  <c r="X1126" i="2"/>
  <c r="Y1126" i="2" s="1"/>
  <c r="Z1126" i="2" s="1"/>
  <c r="X1127" i="2"/>
  <c r="Y1127" i="2" s="1"/>
  <c r="Z1127" i="2" s="1"/>
  <c r="X1128" i="2"/>
  <c r="Y1128" i="2" s="1"/>
  <c r="Z1128" i="2" s="1"/>
  <c r="X1129" i="2"/>
  <c r="Y1129" i="2" s="1"/>
  <c r="Z1129" i="2" s="1"/>
  <c r="X1130" i="2"/>
  <c r="Y1130" i="2" s="1"/>
  <c r="Z1130" i="2" s="1"/>
  <c r="X1131" i="2"/>
  <c r="Y1131" i="2" s="1"/>
  <c r="Z1131" i="2" s="1"/>
  <c r="X1132" i="2"/>
  <c r="Y1132" i="2" s="1"/>
  <c r="Z1132" i="2" s="1"/>
  <c r="X1133" i="2"/>
  <c r="Y1133" i="2" s="1"/>
  <c r="Z1133" i="2" s="1"/>
  <c r="X1134" i="2"/>
  <c r="Y1134" i="2" s="1"/>
  <c r="Z1134" i="2" s="1"/>
  <c r="X1135" i="2"/>
  <c r="Y1135" i="2" s="1"/>
  <c r="Z1135" i="2" s="1"/>
  <c r="X1136" i="2"/>
  <c r="Y1136" i="2" s="1"/>
  <c r="Z1136" i="2" s="1"/>
  <c r="X1137" i="2"/>
  <c r="Y1137" i="2" s="1"/>
  <c r="Z1137" i="2" s="1"/>
  <c r="X1138" i="2"/>
  <c r="Y1138" i="2" s="1"/>
  <c r="Z1138" i="2" s="1"/>
  <c r="X1139" i="2"/>
  <c r="Y1139" i="2" s="1"/>
  <c r="Z1139" i="2" s="1"/>
  <c r="X1140" i="2"/>
  <c r="Y1140" i="2" s="1"/>
  <c r="Z1140" i="2" s="1"/>
  <c r="X1141" i="2"/>
  <c r="Y1141" i="2" s="1"/>
  <c r="Z1141" i="2" s="1"/>
  <c r="X1142" i="2"/>
  <c r="Y1142" i="2" s="1"/>
  <c r="Z1142" i="2" s="1"/>
  <c r="X1143" i="2"/>
  <c r="Y1143" i="2" s="1"/>
  <c r="Z1143" i="2" s="1"/>
  <c r="X1144" i="2"/>
  <c r="Y1144" i="2" s="1"/>
  <c r="Z1144" i="2" s="1"/>
  <c r="X1145" i="2"/>
  <c r="Y1145" i="2" s="1"/>
  <c r="Z1145" i="2" s="1"/>
  <c r="X1146" i="2"/>
  <c r="Y1146" i="2" s="1"/>
  <c r="Z1146" i="2" s="1"/>
  <c r="X1147" i="2"/>
  <c r="Y1147" i="2" s="1"/>
  <c r="Z1147" i="2" s="1"/>
  <c r="X1148" i="2"/>
  <c r="Y1148" i="2" s="1"/>
  <c r="Z1148" i="2" s="1"/>
  <c r="X1149" i="2"/>
  <c r="Y1149" i="2" s="1"/>
  <c r="Z1149" i="2" s="1"/>
  <c r="X1150" i="2"/>
  <c r="Y1150" i="2" s="1"/>
  <c r="Z1150" i="2" s="1"/>
  <c r="X1151" i="2"/>
  <c r="Y1151" i="2" s="1"/>
  <c r="Z1151" i="2" s="1"/>
  <c r="X1152" i="2"/>
  <c r="Y1152" i="2" s="1"/>
  <c r="Z1152" i="2" s="1"/>
  <c r="X1153" i="2"/>
  <c r="Y1153" i="2" s="1"/>
  <c r="Z1153" i="2" s="1"/>
  <c r="X1154" i="2"/>
  <c r="Y1154" i="2" s="1"/>
  <c r="Z1154" i="2" s="1"/>
  <c r="X1155" i="2"/>
  <c r="Y1155" i="2" s="1"/>
  <c r="Z1155" i="2" s="1"/>
  <c r="X1156" i="2"/>
  <c r="Y1156" i="2" s="1"/>
  <c r="Z1156" i="2" s="1"/>
  <c r="X1157" i="2"/>
  <c r="Y1157" i="2" s="1"/>
  <c r="Z1157" i="2" s="1"/>
  <c r="X1158" i="2"/>
  <c r="Y1158" i="2" s="1"/>
  <c r="Z1158" i="2" s="1"/>
  <c r="X1159" i="2"/>
  <c r="Y1159" i="2" s="1"/>
  <c r="Z1159" i="2" s="1"/>
  <c r="X1160" i="2"/>
  <c r="Y1160" i="2" s="1"/>
  <c r="Z1160" i="2" s="1"/>
  <c r="X1161" i="2"/>
  <c r="Y1161" i="2" s="1"/>
  <c r="Z1161" i="2" s="1"/>
  <c r="X1162" i="2"/>
  <c r="Y1162" i="2" s="1"/>
  <c r="Z1162" i="2" s="1"/>
  <c r="X1163" i="2"/>
  <c r="Y1163" i="2" s="1"/>
  <c r="Z1163" i="2" s="1"/>
  <c r="X1164" i="2"/>
  <c r="Y1164" i="2" s="1"/>
  <c r="Z1164" i="2" s="1"/>
  <c r="X1165" i="2"/>
  <c r="Y1165" i="2" s="1"/>
  <c r="Z1165" i="2" s="1"/>
  <c r="X1166" i="2"/>
  <c r="Y1166" i="2" s="1"/>
  <c r="Z1166" i="2" s="1"/>
  <c r="X1167" i="2"/>
  <c r="Y1167" i="2" s="1"/>
  <c r="Z1167" i="2" s="1"/>
  <c r="X1168" i="2"/>
  <c r="Y1168" i="2" s="1"/>
  <c r="Z1168" i="2" s="1"/>
  <c r="X1169" i="2"/>
  <c r="Y1169" i="2" s="1"/>
  <c r="Z1169" i="2" s="1"/>
  <c r="X1170" i="2"/>
  <c r="Y1170" i="2" s="1"/>
  <c r="Z1170" i="2" s="1"/>
  <c r="X1171" i="2"/>
  <c r="Y1171" i="2" s="1"/>
  <c r="Z1171" i="2" s="1"/>
  <c r="X1172" i="2"/>
  <c r="Y1172" i="2" s="1"/>
  <c r="Z1172" i="2" s="1"/>
  <c r="X1173" i="2"/>
  <c r="Y1173" i="2" s="1"/>
  <c r="Z1173" i="2" s="1"/>
  <c r="X1174" i="2"/>
  <c r="Y1174" i="2" s="1"/>
  <c r="Z1174" i="2" s="1"/>
  <c r="X1175" i="2"/>
  <c r="Y1175" i="2" s="1"/>
  <c r="Z1175" i="2" s="1"/>
  <c r="X1176" i="2"/>
  <c r="Y1176" i="2" s="1"/>
  <c r="Z1176" i="2" s="1"/>
  <c r="X1177" i="2"/>
  <c r="Y1177" i="2" s="1"/>
  <c r="Z1177" i="2" s="1"/>
  <c r="X1178" i="2"/>
  <c r="Y1178" i="2" s="1"/>
  <c r="Z1178" i="2" s="1"/>
  <c r="X1179" i="2"/>
  <c r="Y1179" i="2" s="1"/>
  <c r="Z1179" i="2" s="1"/>
  <c r="X1180" i="2"/>
  <c r="Y1180" i="2" s="1"/>
  <c r="Z1180" i="2" s="1"/>
  <c r="X1181" i="2"/>
  <c r="Y1181" i="2" s="1"/>
  <c r="Z1181" i="2" s="1"/>
  <c r="X1182" i="2"/>
  <c r="Y1182" i="2" s="1"/>
  <c r="Z1182" i="2" s="1"/>
  <c r="X1183" i="2"/>
  <c r="Y1183" i="2" s="1"/>
  <c r="Z1183" i="2" s="1"/>
  <c r="X1184" i="2"/>
  <c r="Y1184" i="2" s="1"/>
  <c r="Z1184" i="2" s="1"/>
  <c r="X1185" i="2"/>
  <c r="Y1185" i="2" s="1"/>
  <c r="Z1185" i="2" s="1"/>
  <c r="X1186" i="2"/>
  <c r="Y1186" i="2" s="1"/>
  <c r="Z1186" i="2" s="1"/>
  <c r="X1187" i="2"/>
  <c r="Y1187" i="2" s="1"/>
  <c r="Z1187" i="2" s="1"/>
  <c r="X1188" i="2"/>
  <c r="Y1188" i="2" s="1"/>
  <c r="Z1188" i="2" s="1"/>
  <c r="X1189" i="2"/>
  <c r="Y1189" i="2" s="1"/>
  <c r="Z1189" i="2" s="1"/>
  <c r="X1190" i="2"/>
  <c r="Y1190" i="2" s="1"/>
  <c r="Z1190" i="2" s="1"/>
  <c r="X1191" i="2"/>
  <c r="Y1191" i="2" s="1"/>
  <c r="Z1191" i="2" s="1"/>
  <c r="X1192" i="2"/>
  <c r="Y1192" i="2" s="1"/>
  <c r="Z1192" i="2" s="1"/>
  <c r="X1193" i="2"/>
  <c r="Y1193" i="2" s="1"/>
  <c r="Z1193" i="2" s="1"/>
  <c r="X1194" i="2"/>
  <c r="Y1194" i="2" s="1"/>
  <c r="Z1194" i="2" s="1"/>
  <c r="X1195" i="2"/>
  <c r="Y1195" i="2" s="1"/>
  <c r="Z1195" i="2" s="1"/>
  <c r="X1196" i="2"/>
  <c r="Y1196" i="2" s="1"/>
  <c r="Z1196" i="2" s="1"/>
  <c r="X1197" i="2"/>
  <c r="Y1197" i="2" s="1"/>
  <c r="Z1197" i="2" s="1"/>
  <c r="X1198" i="2"/>
  <c r="Y1198" i="2" s="1"/>
  <c r="Z1198" i="2" s="1"/>
  <c r="X1199" i="2"/>
  <c r="Y1199" i="2" s="1"/>
  <c r="Z1199" i="2" s="1"/>
  <c r="X1200" i="2"/>
  <c r="Y1200" i="2" s="1"/>
  <c r="Z1200" i="2" s="1"/>
  <c r="X1201" i="2"/>
  <c r="Y1201" i="2" s="1"/>
  <c r="Z1201" i="2" s="1"/>
  <c r="X1202" i="2"/>
  <c r="Y1202" i="2" s="1"/>
  <c r="Z1202" i="2" s="1"/>
  <c r="X1203" i="2"/>
  <c r="Y1203" i="2" s="1"/>
  <c r="Z1203" i="2" s="1"/>
  <c r="X1204" i="2"/>
  <c r="Y1204" i="2" s="1"/>
  <c r="Z1204" i="2" s="1"/>
  <c r="X1205" i="2"/>
  <c r="Y1205" i="2" s="1"/>
  <c r="Z1205" i="2" s="1"/>
  <c r="X1206" i="2"/>
  <c r="Y1206" i="2" s="1"/>
  <c r="Z1206" i="2" s="1"/>
  <c r="X1207" i="2"/>
  <c r="Y1207" i="2" s="1"/>
  <c r="Z1207" i="2" s="1"/>
  <c r="X1208" i="2"/>
  <c r="Y1208" i="2" s="1"/>
  <c r="Z1208" i="2" s="1"/>
  <c r="X1209" i="2"/>
  <c r="Y1209" i="2" s="1"/>
  <c r="Z1209" i="2" s="1"/>
  <c r="X1210" i="2"/>
  <c r="Y1210" i="2" s="1"/>
  <c r="Z1210" i="2" s="1"/>
  <c r="X1211" i="2"/>
  <c r="Y1211" i="2" s="1"/>
  <c r="Z1211" i="2" s="1"/>
  <c r="X1212" i="2"/>
  <c r="Y1212" i="2" s="1"/>
  <c r="Z1212" i="2" s="1"/>
  <c r="X1213" i="2"/>
  <c r="Y1213" i="2" s="1"/>
  <c r="Z1213" i="2" s="1"/>
  <c r="X1214" i="2"/>
  <c r="Y1214" i="2" s="1"/>
  <c r="Z1214" i="2" s="1"/>
  <c r="X1215" i="2"/>
  <c r="Y1215" i="2" s="1"/>
  <c r="Z1215" i="2" s="1"/>
  <c r="X1216" i="2"/>
  <c r="Y1216" i="2" s="1"/>
  <c r="Z1216" i="2" s="1"/>
  <c r="X1217" i="2"/>
  <c r="Y1217" i="2" s="1"/>
  <c r="Z1217" i="2" s="1"/>
  <c r="X1218" i="2"/>
  <c r="Y1218" i="2" s="1"/>
  <c r="Z1218" i="2" s="1"/>
  <c r="X1219" i="2"/>
  <c r="Y1219" i="2" s="1"/>
  <c r="Z1219" i="2" s="1"/>
  <c r="X1220" i="2"/>
  <c r="Y1220" i="2" s="1"/>
  <c r="Z1220" i="2" s="1"/>
  <c r="X1221" i="2"/>
  <c r="Y1221" i="2" s="1"/>
  <c r="Z1221" i="2" s="1"/>
  <c r="X1222" i="2"/>
  <c r="Y1222" i="2" s="1"/>
  <c r="Z1222" i="2" s="1"/>
  <c r="X1223" i="2"/>
  <c r="Y1223" i="2" s="1"/>
  <c r="Z1223" i="2" s="1"/>
  <c r="X1224" i="2"/>
  <c r="Y1224" i="2" s="1"/>
  <c r="Z1224" i="2" s="1"/>
  <c r="X1225" i="2"/>
  <c r="Y1225" i="2" s="1"/>
  <c r="Z1225" i="2" s="1"/>
  <c r="X1226" i="2"/>
  <c r="Y1226" i="2" s="1"/>
  <c r="Z1226" i="2" s="1"/>
  <c r="X1227" i="2"/>
  <c r="Y1227" i="2" s="1"/>
  <c r="Z1227" i="2" s="1"/>
  <c r="X1228" i="2"/>
  <c r="Y1228" i="2" s="1"/>
  <c r="Z1228" i="2" s="1"/>
  <c r="X1229" i="2"/>
  <c r="Y1229" i="2" s="1"/>
  <c r="Z1229" i="2" s="1"/>
  <c r="X1230" i="2"/>
  <c r="Y1230" i="2" s="1"/>
  <c r="Z1230" i="2" s="1"/>
  <c r="X1231" i="2"/>
  <c r="Y1231" i="2" s="1"/>
  <c r="Z1231" i="2" s="1"/>
  <c r="X1232" i="2"/>
  <c r="Y1232" i="2" s="1"/>
  <c r="Z1232" i="2" s="1"/>
  <c r="X1233" i="2"/>
  <c r="Y1233" i="2" s="1"/>
  <c r="Z1233" i="2" s="1"/>
  <c r="X1234" i="2"/>
  <c r="Y1234" i="2" s="1"/>
  <c r="Z1234" i="2" s="1"/>
  <c r="X1235" i="2"/>
  <c r="Y1235" i="2" s="1"/>
  <c r="Z1235" i="2" s="1"/>
  <c r="X1236" i="2"/>
  <c r="Y1236" i="2" s="1"/>
  <c r="Z1236" i="2" s="1"/>
  <c r="X1237" i="2"/>
  <c r="Y1237" i="2" s="1"/>
  <c r="Z1237" i="2" s="1"/>
  <c r="X1238" i="2"/>
  <c r="Y1238" i="2" s="1"/>
  <c r="Z1238" i="2" s="1"/>
  <c r="X1239" i="2"/>
  <c r="Y1239" i="2" s="1"/>
  <c r="Z1239" i="2" s="1"/>
  <c r="X1240" i="2"/>
  <c r="Y1240" i="2" s="1"/>
  <c r="Z1240" i="2" s="1"/>
  <c r="X1241" i="2"/>
  <c r="Y1241" i="2" s="1"/>
  <c r="Z1241" i="2" s="1"/>
  <c r="X1242" i="2"/>
  <c r="Y1242" i="2" s="1"/>
  <c r="Z1242" i="2" s="1"/>
  <c r="X1243" i="2"/>
  <c r="Y1243" i="2" s="1"/>
  <c r="Z1243" i="2" s="1"/>
  <c r="X1244" i="2"/>
  <c r="Y1244" i="2" s="1"/>
  <c r="Z1244" i="2" s="1"/>
  <c r="X1245" i="2"/>
  <c r="Y1245" i="2" s="1"/>
  <c r="Z1245" i="2" s="1"/>
  <c r="X1246" i="2"/>
  <c r="Y1246" i="2" s="1"/>
  <c r="Z1246" i="2" s="1"/>
  <c r="X1247" i="2"/>
  <c r="Y1247" i="2" s="1"/>
  <c r="Z1247" i="2" s="1"/>
  <c r="X1248" i="2"/>
  <c r="Y1248" i="2" s="1"/>
  <c r="Z1248" i="2" s="1"/>
  <c r="X1249" i="2"/>
  <c r="Y1249" i="2" s="1"/>
  <c r="Z1249" i="2" s="1"/>
  <c r="X1250" i="2"/>
  <c r="Y1250" i="2" s="1"/>
  <c r="Z1250" i="2" s="1"/>
  <c r="X1251" i="2"/>
  <c r="Y1251" i="2" s="1"/>
  <c r="Z1251" i="2" s="1"/>
  <c r="X1252" i="2"/>
  <c r="Y1252" i="2" s="1"/>
  <c r="Z1252" i="2" s="1"/>
  <c r="X1253" i="2"/>
  <c r="Y1253" i="2" s="1"/>
  <c r="Z1253" i="2" s="1"/>
  <c r="X1254" i="2"/>
  <c r="Y1254" i="2" s="1"/>
  <c r="Z1254" i="2" s="1"/>
  <c r="X1255" i="2"/>
  <c r="Y1255" i="2" s="1"/>
  <c r="Z1255" i="2" s="1"/>
  <c r="X1256" i="2"/>
  <c r="Y1256" i="2" s="1"/>
  <c r="Z1256" i="2" s="1"/>
  <c r="X1257" i="2"/>
  <c r="Y1257" i="2" s="1"/>
  <c r="Z1257" i="2" s="1"/>
  <c r="X1258" i="2"/>
  <c r="Y1258" i="2" s="1"/>
  <c r="Z1258" i="2" s="1"/>
  <c r="X1259" i="2"/>
  <c r="Y1259" i="2" s="1"/>
  <c r="Z1259" i="2" s="1"/>
  <c r="X1260" i="2"/>
  <c r="Y1260" i="2" s="1"/>
  <c r="Z1260" i="2" s="1"/>
  <c r="X1261" i="2"/>
  <c r="Y1261" i="2" s="1"/>
  <c r="Z1261" i="2" s="1"/>
  <c r="X1262" i="2"/>
  <c r="Y1262" i="2" s="1"/>
  <c r="Z1262" i="2" s="1"/>
  <c r="X1263" i="2"/>
  <c r="Y1263" i="2" s="1"/>
  <c r="Z1263" i="2" s="1"/>
  <c r="X1264" i="2"/>
  <c r="Y1264" i="2" s="1"/>
  <c r="Z1264" i="2" s="1"/>
  <c r="X1265" i="2"/>
  <c r="Y1265" i="2" s="1"/>
  <c r="Z1265" i="2" s="1"/>
  <c r="X1266" i="2"/>
  <c r="Y1266" i="2" s="1"/>
  <c r="Z1266" i="2" s="1"/>
  <c r="X1267" i="2"/>
  <c r="Y1267" i="2" s="1"/>
  <c r="Z1267" i="2" s="1"/>
  <c r="X1268" i="2"/>
  <c r="Y1268" i="2" s="1"/>
  <c r="Z1268" i="2" s="1"/>
  <c r="X1269" i="2"/>
  <c r="Y1269" i="2" s="1"/>
  <c r="Z1269" i="2" s="1"/>
  <c r="X1270" i="2"/>
  <c r="Y1270" i="2" s="1"/>
  <c r="Z1270" i="2" s="1"/>
  <c r="X1271" i="2"/>
  <c r="Y1271" i="2" s="1"/>
  <c r="Z1271" i="2" s="1"/>
  <c r="X1272" i="2"/>
  <c r="Y1272" i="2" s="1"/>
  <c r="Z1272" i="2" s="1"/>
  <c r="X1273" i="2"/>
  <c r="Y1273" i="2" s="1"/>
  <c r="Z1273" i="2" s="1"/>
  <c r="X1274" i="2"/>
  <c r="Y1274" i="2" s="1"/>
  <c r="Z1274" i="2" s="1"/>
  <c r="X1275" i="2"/>
  <c r="Y1275" i="2" s="1"/>
  <c r="Z1275" i="2" s="1"/>
  <c r="X1276" i="2"/>
  <c r="Y1276" i="2" s="1"/>
  <c r="Z1276" i="2" s="1"/>
  <c r="X1277" i="2"/>
  <c r="Y1277" i="2" s="1"/>
  <c r="Z1277" i="2" s="1"/>
  <c r="X1278" i="2"/>
  <c r="Y1278" i="2" s="1"/>
  <c r="Z1278" i="2" s="1"/>
  <c r="X1279" i="2"/>
  <c r="Y1279" i="2" s="1"/>
  <c r="Z1279" i="2" s="1"/>
  <c r="X1280" i="2"/>
  <c r="Y1280" i="2" s="1"/>
  <c r="Z1280" i="2" s="1"/>
  <c r="X1281" i="2"/>
  <c r="Y1281" i="2" s="1"/>
  <c r="Z1281" i="2" s="1"/>
  <c r="X1282" i="2"/>
  <c r="Y1282" i="2" s="1"/>
  <c r="Z1282" i="2" s="1"/>
  <c r="X1283" i="2"/>
  <c r="Y1283" i="2" s="1"/>
  <c r="Z1283" i="2" s="1"/>
  <c r="X1284" i="2"/>
  <c r="Y1284" i="2" s="1"/>
  <c r="Z1284" i="2" s="1"/>
  <c r="X1285" i="2"/>
  <c r="Y1285" i="2" s="1"/>
  <c r="Z1285" i="2" s="1"/>
  <c r="X1286" i="2"/>
  <c r="Y1286" i="2" s="1"/>
  <c r="Z1286" i="2" s="1"/>
  <c r="X1287" i="2"/>
  <c r="Y1287" i="2" s="1"/>
  <c r="Z1287" i="2" s="1"/>
  <c r="X1288" i="2"/>
  <c r="Y1288" i="2" s="1"/>
  <c r="Z1288" i="2" s="1"/>
  <c r="X1289" i="2"/>
  <c r="Y1289" i="2" s="1"/>
  <c r="Z1289" i="2" s="1"/>
  <c r="X1290" i="2"/>
  <c r="Y1290" i="2" s="1"/>
  <c r="Z1290" i="2" s="1"/>
  <c r="X1291" i="2"/>
  <c r="Y1291" i="2" s="1"/>
  <c r="Z1291" i="2" s="1"/>
  <c r="X1292" i="2"/>
  <c r="Y1292" i="2" s="1"/>
  <c r="Z1292" i="2" s="1"/>
  <c r="X1293" i="2"/>
  <c r="Y1293" i="2" s="1"/>
  <c r="Z1293" i="2" s="1"/>
  <c r="X1294" i="2"/>
  <c r="Y1294" i="2" s="1"/>
  <c r="Z1294" i="2" s="1"/>
  <c r="X1295" i="2"/>
  <c r="Y1295" i="2" s="1"/>
  <c r="Z1295" i="2" s="1"/>
  <c r="X1296" i="2"/>
  <c r="Y1296" i="2" s="1"/>
  <c r="Z1296" i="2" s="1"/>
  <c r="X1297" i="2"/>
  <c r="Y1297" i="2" s="1"/>
  <c r="Z1297" i="2" s="1"/>
  <c r="X1298" i="2"/>
  <c r="Y1298" i="2" s="1"/>
  <c r="Z1298" i="2" s="1"/>
  <c r="X1299" i="2"/>
  <c r="Y1299" i="2" s="1"/>
  <c r="Z1299" i="2" s="1"/>
  <c r="X1300" i="2"/>
  <c r="Y1300" i="2" s="1"/>
  <c r="Z1300" i="2" s="1"/>
  <c r="X1301" i="2"/>
  <c r="Y1301" i="2" s="1"/>
  <c r="Z1301" i="2" s="1"/>
  <c r="X1302" i="2"/>
  <c r="Y1302" i="2" s="1"/>
  <c r="Z1302" i="2" s="1"/>
  <c r="X1303" i="2"/>
  <c r="Y1303" i="2" s="1"/>
  <c r="Z1303" i="2" s="1"/>
  <c r="X1304" i="2"/>
  <c r="Y1304" i="2" s="1"/>
  <c r="Z1304" i="2" s="1"/>
  <c r="X1305" i="2"/>
  <c r="Y1305" i="2" s="1"/>
  <c r="Z1305" i="2" s="1"/>
  <c r="X1306" i="2"/>
  <c r="Y1306" i="2" s="1"/>
  <c r="Z1306" i="2" s="1"/>
  <c r="X1307" i="2"/>
  <c r="Y1307" i="2" s="1"/>
  <c r="Z1307" i="2" s="1"/>
  <c r="X1308" i="2"/>
  <c r="Y1308" i="2" s="1"/>
  <c r="Z1308" i="2" s="1"/>
  <c r="X1309" i="2"/>
  <c r="Y1309" i="2" s="1"/>
  <c r="Z1309" i="2" s="1"/>
  <c r="X1310" i="2"/>
  <c r="Y1310" i="2" s="1"/>
  <c r="Z1310" i="2" s="1"/>
  <c r="X1311" i="2"/>
  <c r="Y1311" i="2" s="1"/>
  <c r="Z1311" i="2" s="1"/>
  <c r="X1312" i="2"/>
  <c r="Y1312" i="2" s="1"/>
  <c r="Z1312" i="2" s="1"/>
  <c r="X1313" i="2"/>
  <c r="Y1313" i="2" s="1"/>
  <c r="Z1313" i="2" s="1"/>
  <c r="X1314" i="2"/>
  <c r="Y1314" i="2" s="1"/>
  <c r="Z1314" i="2" s="1"/>
  <c r="X1315" i="2"/>
  <c r="Y1315" i="2" s="1"/>
  <c r="Z1315" i="2" s="1"/>
  <c r="X1316" i="2"/>
  <c r="Y1316" i="2" s="1"/>
  <c r="Z1316" i="2" s="1"/>
  <c r="X1317" i="2"/>
  <c r="Y1317" i="2" s="1"/>
  <c r="Z1317" i="2" s="1"/>
  <c r="X1318" i="2"/>
  <c r="Y1318" i="2" s="1"/>
  <c r="Z1318" i="2" s="1"/>
  <c r="X1319" i="2"/>
  <c r="Y1319" i="2" s="1"/>
  <c r="Z1319" i="2" s="1"/>
  <c r="X1320" i="2"/>
  <c r="Y1320" i="2" s="1"/>
  <c r="Z1320" i="2" s="1"/>
  <c r="X1321" i="2"/>
  <c r="Y1321" i="2" s="1"/>
  <c r="Z1321" i="2" s="1"/>
  <c r="X1322" i="2"/>
  <c r="Y1322" i="2" s="1"/>
  <c r="Z1322" i="2" s="1"/>
  <c r="X1323" i="2"/>
  <c r="Y1323" i="2" s="1"/>
  <c r="Z1323" i="2" s="1"/>
  <c r="X1324" i="2"/>
  <c r="Y1324" i="2" s="1"/>
  <c r="Z1324" i="2" s="1"/>
  <c r="X1325" i="2"/>
  <c r="Y1325" i="2" s="1"/>
  <c r="Z1325" i="2" s="1"/>
  <c r="X1326" i="2"/>
  <c r="Y1326" i="2" s="1"/>
  <c r="Z1326" i="2" s="1"/>
  <c r="X1327" i="2"/>
  <c r="Y1327" i="2" s="1"/>
  <c r="Z1327" i="2" s="1"/>
  <c r="X1328" i="2"/>
  <c r="Y1328" i="2" s="1"/>
  <c r="Z1328" i="2" s="1"/>
  <c r="X1329" i="2"/>
  <c r="Y1329" i="2" s="1"/>
  <c r="Z1329" i="2" s="1"/>
  <c r="X1330" i="2"/>
  <c r="Y1330" i="2" s="1"/>
  <c r="Z1330" i="2" s="1"/>
  <c r="X1331" i="2"/>
  <c r="Y1331" i="2" s="1"/>
  <c r="Z1331" i="2" s="1"/>
  <c r="X1332" i="2"/>
  <c r="Y1332" i="2" s="1"/>
  <c r="Z1332" i="2" s="1"/>
  <c r="X1333" i="2"/>
  <c r="Y1333" i="2" s="1"/>
  <c r="Z1333" i="2" s="1"/>
  <c r="X1334" i="2"/>
  <c r="Y1334" i="2" s="1"/>
  <c r="Z1334" i="2" s="1"/>
  <c r="X1335" i="2"/>
  <c r="Y1335" i="2" s="1"/>
  <c r="Z1335" i="2" s="1"/>
  <c r="X1336" i="2"/>
  <c r="Y1336" i="2" s="1"/>
  <c r="Z1336" i="2" s="1"/>
  <c r="X1337" i="2"/>
  <c r="Y1337" i="2" s="1"/>
  <c r="Z1337" i="2" s="1"/>
  <c r="X1338" i="2"/>
  <c r="Y1338" i="2" s="1"/>
  <c r="Z1338" i="2" s="1"/>
  <c r="X1339" i="2"/>
  <c r="Y1339" i="2" s="1"/>
  <c r="Z1339" i="2" s="1"/>
  <c r="X1340" i="2"/>
  <c r="Y1340" i="2" s="1"/>
  <c r="Z1340" i="2" s="1"/>
  <c r="X1341" i="2"/>
  <c r="Y1341" i="2" s="1"/>
  <c r="Z1341" i="2" s="1"/>
  <c r="X1342" i="2"/>
  <c r="Y1342" i="2" s="1"/>
  <c r="Z1342" i="2" s="1"/>
  <c r="X1343" i="2"/>
  <c r="Y1343" i="2" s="1"/>
  <c r="Z1343" i="2" s="1"/>
  <c r="X1344" i="2"/>
  <c r="Y1344" i="2" s="1"/>
  <c r="Z1344" i="2" s="1"/>
  <c r="X1345" i="2"/>
  <c r="Y1345" i="2" s="1"/>
  <c r="Z1345" i="2" s="1"/>
  <c r="X1346" i="2"/>
  <c r="Y1346" i="2" s="1"/>
  <c r="Z1346" i="2" s="1"/>
  <c r="X1347" i="2"/>
  <c r="Y1347" i="2" s="1"/>
  <c r="Z1347" i="2" s="1"/>
  <c r="X1348" i="2"/>
  <c r="Y1348" i="2" s="1"/>
  <c r="Z1348" i="2" s="1"/>
  <c r="X1349" i="2"/>
  <c r="Y1349" i="2" s="1"/>
  <c r="Z1349" i="2" s="1"/>
  <c r="X1350" i="2"/>
  <c r="Y1350" i="2" s="1"/>
  <c r="Z1350" i="2" s="1"/>
  <c r="X1351" i="2"/>
  <c r="Y1351" i="2" s="1"/>
  <c r="Z1351" i="2" s="1"/>
  <c r="X1352" i="2"/>
  <c r="Y1352" i="2" s="1"/>
  <c r="Z1352" i="2" s="1"/>
  <c r="X1353" i="2"/>
  <c r="Y1353" i="2" s="1"/>
  <c r="Z1353" i="2" s="1"/>
  <c r="X1354" i="2"/>
  <c r="Y1354" i="2" s="1"/>
  <c r="Z1354" i="2" s="1"/>
  <c r="X1355" i="2"/>
  <c r="Y1355" i="2" s="1"/>
  <c r="Z1355" i="2" s="1"/>
  <c r="X1356" i="2"/>
  <c r="Y1356" i="2" s="1"/>
  <c r="Z1356" i="2" s="1"/>
  <c r="X1357" i="2"/>
  <c r="Y1357" i="2" s="1"/>
  <c r="Z1357" i="2" s="1"/>
  <c r="X1358" i="2"/>
  <c r="Y1358" i="2" s="1"/>
  <c r="Z1358" i="2" s="1"/>
  <c r="X1359" i="2"/>
  <c r="Y1359" i="2" s="1"/>
  <c r="Z1359" i="2" s="1"/>
  <c r="X1360" i="2"/>
  <c r="Y1360" i="2" s="1"/>
  <c r="Z1360" i="2" s="1"/>
  <c r="X1361" i="2"/>
  <c r="Y1361" i="2" s="1"/>
  <c r="Z1361" i="2" s="1"/>
  <c r="X1362" i="2"/>
  <c r="Y1362" i="2" s="1"/>
  <c r="Z1362" i="2" s="1"/>
  <c r="X1363" i="2"/>
  <c r="Y1363" i="2" s="1"/>
  <c r="Z1363" i="2" s="1"/>
  <c r="X1364" i="2"/>
  <c r="Y1364" i="2" s="1"/>
  <c r="Z1364" i="2" s="1"/>
  <c r="X1365" i="2"/>
  <c r="Y1365" i="2" s="1"/>
  <c r="Z1365" i="2" s="1"/>
  <c r="X1366" i="2"/>
  <c r="Y1366" i="2" s="1"/>
  <c r="Z1366" i="2" s="1"/>
  <c r="X1367" i="2"/>
  <c r="Y1367" i="2" s="1"/>
  <c r="Z1367" i="2" s="1"/>
  <c r="X1368" i="2"/>
  <c r="Y1368" i="2" s="1"/>
  <c r="Z1368" i="2" s="1"/>
  <c r="X1369" i="2"/>
  <c r="Y1369" i="2" s="1"/>
  <c r="Z1369" i="2" s="1"/>
  <c r="X1370" i="2"/>
  <c r="Y1370" i="2" s="1"/>
  <c r="Z1370" i="2" s="1"/>
  <c r="X1371" i="2"/>
  <c r="Y1371" i="2" s="1"/>
  <c r="Z1371" i="2" s="1"/>
  <c r="X1372" i="2"/>
  <c r="Y1372" i="2" s="1"/>
  <c r="Z1372" i="2" s="1"/>
  <c r="X1373" i="2"/>
  <c r="Y1373" i="2" s="1"/>
  <c r="Z1373" i="2" s="1"/>
  <c r="X1374" i="2"/>
  <c r="Y1374" i="2" s="1"/>
  <c r="Z1374" i="2" s="1"/>
  <c r="X1375" i="2"/>
  <c r="Y1375" i="2" s="1"/>
  <c r="Z1375" i="2" s="1"/>
  <c r="X1376" i="2"/>
  <c r="Y1376" i="2" s="1"/>
  <c r="Z1376" i="2" s="1"/>
  <c r="X1377" i="2"/>
  <c r="Y1377" i="2" s="1"/>
  <c r="Z1377" i="2" s="1"/>
  <c r="X1378" i="2"/>
  <c r="Y1378" i="2" s="1"/>
  <c r="Z1378" i="2" s="1"/>
  <c r="X1379" i="2"/>
  <c r="Y1379" i="2" s="1"/>
  <c r="Z1379" i="2" s="1"/>
  <c r="X1380" i="2"/>
  <c r="Y1380" i="2" s="1"/>
  <c r="Z1380" i="2" s="1"/>
  <c r="X1381" i="2"/>
  <c r="Y1381" i="2" s="1"/>
  <c r="Z1381" i="2" s="1"/>
  <c r="X1382" i="2"/>
  <c r="Y1382" i="2" s="1"/>
  <c r="Z1382" i="2" s="1"/>
  <c r="X1383" i="2"/>
  <c r="Y1383" i="2" s="1"/>
  <c r="Z1383" i="2" s="1"/>
  <c r="X1384" i="2"/>
  <c r="Y1384" i="2" s="1"/>
  <c r="Z1384" i="2" s="1"/>
  <c r="X1385" i="2"/>
  <c r="Y1385" i="2" s="1"/>
  <c r="Z1385" i="2" s="1"/>
  <c r="X1386" i="2"/>
  <c r="Y1386" i="2" s="1"/>
  <c r="Z1386" i="2" s="1"/>
  <c r="X1387" i="2"/>
  <c r="Y1387" i="2" s="1"/>
  <c r="Z1387" i="2" s="1"/>
  <c r="X1388" i="2"/>
  <c r="Y1388" i="2" s="1"/>
  <c r="Z1388" i="2" s="1"/>
  <c r="X1389" i="2"/>
  <c r="Y1389" i="2" s="1"/>
  <c r="Z1389" i="2" s="1"/>
  <c r="X1390" i="2"/>
  <c r="Y1390" i="2" s="1"/>
  <c r="Z1390" i="2" s="1"/>
  <c r="X1391" i="2"/>
  <c r="Y1391" i="2" s="1"/>
  <c r="Z1391" i="2" s="1"/>
  <c r="X1392" i="2"/>
  <c r="Y1392" i="2" s="1"/>
  <c r="Z1392" i="2" s="1"/>
  <c r="X1393" i="2"/>
  <c r="Y1393" i="2" s="1"/>
  <c r="Z1393" i="2" s="1"/>
  <c r="X1394" i="2"/>
  <c r="Y1394" i="2" s="1"/>
  <c r="Z1394" i="2" s="1"/>
  <c r="X1395" i="2"/>
  <c r="Y1395" i="2" s="1"/>
  <c r="Z1395" i="2" s="1"/>
  <c r="X1396" i="2"/>
  <c r="Y1396" i="2" s="1"/>
  <c r="Z1396" i="2" s="1"/>
  <c r="X1397" i="2"/>
  <c r="Y1397" i="2" s="1"/>
  <c r="Z1397" i="2" s="1"/>
  <c r="X1398" i="2"/>
  <c r="Y1398" i="2" s="1"/>
  <c r="Z1398" i="2" s="1"/>
  <c r="X1399" i="2"/>
  <c r="Y1399" i="2" s="1"/>
  <c r="Z1399" i="2" s="1"/>
  <c r="X1400" i="2"/>
  <c r="Y1400" i="2" s="1"/>
  <c r="Z1400" i="2" s="1"/>
  <c r="X1401" i="2"/>
  <c r="Y1401" i="2" s="1"/>
  <c r="Z1401" i="2" s="1"/>
  <c r="X1402" i="2"/>
  <c r="Y1402" i="2" s="1"/>
  <c r="Z1402" i="2" s="1"/>
  <c r="X1403" i="2"/>
  <c r="Y1403" i="2" s="1"/>
  <c r="Z1403" i="2" s="1"/>
  <c r="X1404" i="2"/>
  <c r="Y1404" i="2" s="1"/>
  <c r="Z1404" i="2" s="1"/>
  <c r="X1405" i="2"/>
  <c r="Y1405" i="2" s="1"/>
  <c r="Z1405" i="2" s="1"/>
  <c r="X1406" i="2"/>
  <c r="Y1406" i="2" s="1"/>
  <c r="Z1406" i="2" s="1"/>
  <c r="X1407" i="2"/>
  <c r="Y1407" i="2" s="1"/>
  <c r="Z1407" i="2" s="1"/>
  <c r="X1408" i="2"/>
  <c r="Y1408" i="2" s="1"/>
  <c r="Z1408" i="2" s="1"/>
  <c r="X1409" i="2"/>
  <c r="Y1409" i="2" s="1"/>
  <c r="Z1409" i="2" s="1"/>
  <c r="X1410" i="2"/>
  <c r="Y1410" i="2" s="1"/>
  <c r="Z1410" i="2" s="1"/>
  <c r="X1411" i="2"/>
  <c r="Y1411" i="2" s="1"/>
  <c r="Z1411" i="2" s="1"/>
  <c r="X1412" i="2"/>
  <c r="Y1412" i="2" s="1"/>
  <c r="Z1412" i="2" s="1"/>
  <c r="X1413" i="2"/>
  <c r="Y1413" i="2" s="1"/>
  <c r="Z1413" i="2" s="1"/>
  <c r="X1414" i="2"/>
  <c r="Y1414" i="2" s="1"/>
  <c r="Z1414" i="2" s="1"/>
  <c r="X1415" i="2"/>
  <c r="Y1415" i="2" s="1"/>
  <c r="Z1415" i="2" s="1"/>
  <c r="X1416" i="2"/>
  <c r="Y1416" i="2" s="1"/>
  <c r="Z1416" i="2" s="1"/>
  <c r="X1417" i="2"/>
  <c r="Y1417" i="2" s="1"/>
  <c r="Z1417" i="2" s="1"/>
  <c r="X1418" i="2"/>
  <c r="Y1418" i="2" s="1"/>
  <c r="Z1418" i="2" s="1"/>
  <c r="X1419" i="2"/>
  <c r="Y1419" i="2" s="1"/>
  <c r="Z1419" i="2" s="1"/>
  <c r="X1420" i="2"/>
  <c r="Y1420" i="2" s="1"/>
  <c r="Z1420" i="2" s="1"/>
  <c r="X1421" i="2"/>
  <c r="Y1421" i="2" s="1"/>
  <c r="Z1421" i="2" s="1"/>
  <c r="X1422" i="2"/>
  <c r="Y1422" i="2" s="1"/>
  <c r="Z1422" i="2" s="1"/>
  <c r="X1423" i="2"/>
  <c r="Y1423" i="2" s="1"/>
  <c r="Z1423" i="2" s="1"/>
  <c r="X1424" i="2"/>
  <c r="Y1424" i="2" s="1"/>
  <c r="Z1424" i="2" s="1"/>
  <c r="X1425" i="2"/>
  <c r="Y1425" i="2" s="1"/>
  <c r="Z1425" i="2" s="1"/>
  <c r="X1426" i="2"/>
  <c r="Y1426" i="2" s="1"/>
  <c r="Z1426" i="2" s="1"/>
  <c r="X1427" i="2"/>
  <c r="Y1427" i="2" s="1"/>
  <c r="Z1427" i="2" s="1"/>
  <c r="X1428" i="2"/>
  <c r="Y1428" i="2" s="1"/>
  <c r="Z1428" i="2" s="1"/>
  <c r="X1429" i="2"/>
  <c r="Y1429" i="2" s="1"/>
  <c r="Z1429" i="2" s="1"/>
  <c r="X1430" i="2"/>
  <c r="Y1430" i="2" s="1"/>
  <c r="Z1430" i="2" s="1"/>
  <c r="X1431" i="2"/>
  <c r="Y1431" i="2" s="1"/>
  <c r="Z1431" i="2" s="1"/>
  <c r="X1432" i="2"/>
  <c r="Y1432" i="2" s="1"/>
  <c r="Z1432" i="2" s="1"/>
  <c r="X1433" i="2"/>
  <c r="Y1433" i="2" s="1"/>
  <c r="Z1433" i="2" s="1"/>
  <c r="X1434" i="2"/>
  <c r="Y1434" i="2" s="1"/>
  <c r="Z1434" i="2" s="1"/>
  <c r="X1435" i="2"/>
  <c r="Y1435" i="2" s="1"/>
  <c r="Z1435" i="2" s="1"/>
  <c r="X1436" i="2"/>
  <c r="Y1436" i="2" s="1"/>
  <c r="Z1436" i="2" s="1"/>
  <c r="X1437" i="2"/>
  <c r="Y1437" i="2" s="1"/>
  <c r="Z1437" i="2" s="1"/>
  <c r="X1438" i="2"/>
  <c r="Y1438" i="2" s="1"/>
  <c r="Z1438" i="2" s="1"/>
  <c r="X1439" i="2"/>
  <c r="Y1439" i="2" s="1"/>
  <c r="Z1439" i="2" s="1"/>
  <c r="X1440" i="2"/>
  <c r="Y1440" i="2" s="1"/>
  <c r="Z1440" i="2" s="1"/>
  <c r="X1441" i="2"/>
  <c r="Y1441" i="2" s="1"/>
  <c r="Z1441" i="2" s="1"/>
  <c r="X1442" i="2"/>
  <c r="Y1442" i="2" s="1"/>
  <c r="Z1442" i="2" s="1"/>
  <c r="X1443" i="2"/>
  <c r="Y1443" i="2" s="1"/>
  <c r="Z1443" i="2" s="1"/>
  <c r="X1444" i="2"/>
  <c r="Y1444" i="2" s="1"/>
  <c r="Z1444" i="2" s="1"/>
  <c r="X1445" i="2"/>
  <c r="Y1445" i="2" s="1"/>
  <c r="Z1445" i="2" s="1"/>
  <c r="X1446" i="2"/>
  <c r="Y1446" i="2" s="1"/>
  <c r="Z1446" i="2" s="1"/>
  <c r="X1447" i="2"/>
  <c r="Y1447" i="2" s="1"/>
  <c r="Z1447" i="2" s="1"/>
  <c r="X1448" i="2"/>
  <c r="Y1448" i="2" s="1"/>
  <c r="Z1448" i="2" s="1"/>
  <c r="X1449" i="2"/>
  <c r="Y1449" i="2" s="1"/>
  <c r="Z1449" i="2" s="1"/>
  <c r="X1450" i="2"/>
  <c r="Y1450" i="2" s="1"/>
  <c r="Z1450" i="2" s="1"/>
  <c r="X1451" i="2"/>
  <c r="Y1451" i="2" s="1"/>
  <c r="Z1451" i="2" s="1"/>
  <c r="X1452" i="2"/>
  <c r="Y1452" i="2" s="1"/>
  <c r="Z1452" i="2" s="1"/>
  <c r="X1453" i="2"/>
  <c r="Y1453" i="2" s="1"/>
  <c r="Z1453" i="2" s="1"/>
  <c r="X1454" i="2"/>
  <c r="Y1454" i="2" s="1"/>
  <c r="Z1454" i="2" s="1"/>
  <c r="X1455" i="2"/>
  <c r="Y1455" i="2" s="1"/>
  <c r="Z1455" i="2" s="1"/>
  <c r="X1456" i="2"/>
  <c r="Y1456" i="2" s="1"/>
  <c r="Z1456" i="2" s="1"/>
  <c r="X1457" i="2"/>
  <c r="Y1457" i="2" s="1"/>
  <c r="Z1457" i="2" s="1"/>
  <c r="X1458" i="2"/>
  <c r="Y1458" i="2" s="1"/>
  <c r="Z1458" i="2" s="1"/>
  <c r="X1459" i="2"/>
  <c r="Y1459" i="2" s="1"/>
  <c r="Z1459" i="2" s="1"/>
  <c r="X1460" i="2"/>
  <c r="Y1460" i="2" s="1"/>
  <c r="Z1460" i="2" s="1"/>
  <c r="X1461" i="2"/>
  <c r="Y1461" i="2" s="1"/>
  <c r="Z1461" i="2" s="1"/>
  <c r="X1462" i="2"/>
  <c r="Y1462" i="2" s="1"/>
  <c r="Z1462" i="2" s="1"/>
  <c r="X1463" i="2"/>
  <c r="Y1463" i="2" s="1"/>
  <c r="Z1463" i="2" s="1"/>
  <c r="X1464" i="2"/>
  <c r="Y1464" i="2" s="1"/>
  <c r="Z1464" i="2" s="1"/>
  <c r="X1465" i="2"/>
  <c r="Y1465" i="2" s="1"/>
  <c r="Z1465" i="2" s="1"/>
  <c r="X1466" i="2"/>
  <c r="Y1466" i="2" s="1"/>
  <c r="Z1466" i="2" s="1"/>
  <c r="X1467" i="2"/>
  <c r="Y1467" i="2" s="1"/>
  <c r="Z1467" i="2" s="1"/>
  <c r="X1468" i="2"/>
  <c r="Y1468" i="2" s="1"/>
  <c r="Z1468" i="2" s="1"/>
  <c r="X1469" i="2"/>
  <c r="Y1469" i="2" s="1"/>
  <c r="Z1469" i="2" s="1"/>
  <c r="X1470" i="2"/>
  <c r="Y1470" i="2" s="1"/>
  <c r="Z1470" i="2" s="1"/>
  <c r="X1471" i="2"/>
  <c r="Y1471" i="2" s="1"/>
  <c r="Z1471" i="2" s="1"/>
  <c r="X18" i="2"/>
  <c r="Y18" i="2" s="1"/>
  <c r="Z18" i="2" s="1"/>
  <c r="X19" i="2"/>
  <c r="Y19" i="2" s="1"/>
  <c r="Z19" i="2" s="1"/>
  <c r="X3" i="2"/>
  <c r="Y3" i="2" s="1"/>
  <c r="Z3" i="2" s="1"/>
  <c r="X4" i="2"/>
  <c r="Y4" i="2" s="1"/>
  <c r="Z4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Y10" i="2" s="1"/>
  <c r="Z10" i="2" s="1"/>
  <c r="X11" i="2"/>
  <c r="Y11" i="2" s="1"/>
  <c r="Z11" i="2" s="1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2" i="2"/>
  <c r="Y2" i="2" s="1"/>
  <c r="Z2" i="2" s="1"/>
  <c r="AB3" i="2" a="1"/>
  <c r="AB3" i="2" s="1"/>
  <c r="AB4" i="2" a="1"/>
  <c r="AB4" i="2" s="1"/>
  <c r="AB5" i="2" a="1"/>
  <c r="AB5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1" i="2" a="1"/>
  <c r="AB21" i="2" s="1"/>
  <c r="AB22" i="2" a="1"/>
  <c r="AB22" i="2" s="1"/>
  <c r="AB23" i="2" a="1"/>
  <c r="AB23" i="2" s="1"/>
  <c r="AB24" i="2" a="1"/>
  <c r="AB24" i="2" s="1"/>
  <c r="AB25" i="2" a="1"/>
  <c r="AB25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5" i="2" a="1"/>
  <c r="AB35" i="2" s="1"/>
  <c r="AB36" i="2" a="1"/>
  <c r="AB36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2" i="2" a="1"/>
  <c r="AB42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1" i="2" a="1"/>
  <c r="AB51" i="2" s="1"/>
  <c r="AB52" i="2" a="1"/>
  <c r="AB52" i="2" s="1"/>
  <c r="AB53" i="2" a="1"/>
  <c r="AB53" i="2" s="1"/>
  <c r="AB54" i="2" a="1"/>
  <c r="AB54" i="2" s="1"/>
  <c r="AB55" i="2" a="1"/>
  <c r="AB55" i="2" s="1"/>
  <c r="AB56" i="2" a="1"/>
  <c r="AB56" i="2" s="1"/>
  <c r="AB57" i="2" a="1"/>
  <c r="AB57" i="2" s="1"/>
  <c r="AB58" i="2" a="1"/>
  <c r="AB58" i="2" s="1"/>
  <c r="AB59" i="2" a="1"/>
  <c r="AB59" i="2" s="1"/>
  <c r="AB60" i="2" a="1"/>
  <c r="AB60" i="2" s="1"/>
  <c r="AB61" i="2" a="1"/>
  <c r="AB61" i="2" s="1"/>
  <c r="AB62" i="2" a="1"/>
  <c r="AB62" i="2" s="1"/>
  <c r="AB63" i="2" a="1"/>
  <c r="AB63" i="2" s="1"/>
  <c r="AB64" i="2" a="1"/>
  <c r="AB64" i="2" s="1"/>
  <c r="AB65" i="2" a="1"/>
  <c r="AB65" i="2" s="1"/>
  <c r="AB66" i="2" a="1"/>
  <c r="AB66" i="2" s="1"/>
  <c r="AB67" i="2" a="1"/>
  <c r="AB67" i="2" s="1"/>
  <c r="AB68" i="2" a="1"/>
  <c r="AB68" i="2" s="1"/>
  <c r="AB69" i="2" a="1"/>
  <c r="AB69" i="2" s="1"/>
  <c r="AB70" i="2" a="1"/>
  <c r="AB70" i="2" s="1"/>
  <c r="AB71" i="2" a="1"/>
  <c r="AB71" i="2" s="1"/>
  <c r="AB72" i="2" a="1"/>
  <c r="AB72" i="2" s="1"/>
  <c r="AB73" i="2" a="1"/>
  <c r="AB73" i="2" s="1"/>
  <c r="AB74" i="2" a="1"/>
  <c r="AB74" i="2" s="1"/>
  <c r="AB75" i="2" a="1"/>
  <c r="AB75" i="2" s="1"/>
  <c r="AB76" i="2" a="1"/>
  <c r="AB76" i="2" s="1"/>
  <c r="AB77" i="2" a="1"/>
  <c r="AB77" i="2" s="1"/>
  <c r="AB78" i="2" a="1"/>
  <c r="AB78" i="2" s="1"/>
  <c r="AB79" i="2" a="1"/>
  <c r="AB79" i="2" s="1"/>
  <c r="AB80" i="2" a="1"/>
  <c r="AB80" i="2" s="1"/>
  <c r="AB81" i="2" a="1"/>
  <c r="AB81" i="2" s="1"/>
  <c r="AB82" i="2" a="1"/>
  <c r="AB82" i="2" s="1"/>
  <c r="AB83" i="2" a="1"/>
  <c r="AB83" i="2" s="1"/>
  <c r="AB84" i="2" a="1"/>
  <c r="AB84" i="2" s="1"/>
  <c r="AB85" i="2" a="1"/>
  <c r="AB85" i="2" s="1"/>
  <c r="AB86" i="2" a="1"/>
  <c r="AB86" i="2" s="1"/>
  <c r="AB87" i="2" a="1"/>
  <c r="AB87" i="2" s="1"/>
  <c r="AB88" i="2" a="1"/>
  <c r="AB88" i="2" s="1"/>
  <c r="AB89" i="2" a="1"/>
  <c r="AB89" i="2" s="1"/>
  <c r="AB90" i="2" a="1"/>
  <c r="AB90" i="2" s="1"/>
  <c r="AB91" i="2" a="1"/>
  <c r="AB91" i="2" s="1"/>
  <c r="AB92" i="2" a="1"/>
  <c r="AB92" i="2" s="1"/>
  <c r="AB93" i="2" a="1"/>
  <c r="AB93" i="2" s="1"/>
  <c r="AB94" i="2" a="1"/>
  <c r="AB94" i="2" s="1"/>
  <c r="AB95" i="2" a="1"/>
  <c r="AB95" i="2" s="1"/>
  <c r="AB96" i="2" a="1"/>
  <c r="AB96" i="2" s="1"/>
  <c r="AB97" i="2" a="1"/>
  <c r="AB97" i="2" s="1"/>
  <c r="AB98" i="2" a="1"/>
  <c r="AB98" i="2" s="1"/>
  <c r="AB99" i="2" a="1"/>
  <c r="AB99" i="2" s="1"/>
  <c r="AB100" i="2" a="1"/>
  <c r="AB100" i="2" s="1"/>
  <c r="AB101" i="2" a="1"/>
  <c r="AB101" i="2" s="1"/>
  <c r="AB102" i="2" a="1"/>
  <c r="AB102" i="2" s="1"/>
  <c r="AB103" i="2" a="1"/>
  <c r="AB103" i="2" s="1"/>
  <c r="AB104" i="2" a="1"/>
  <c r="AB104" i="2" s="1"/>
  <c r="AB105" i="2" a="1"/>
  <c r="AB105" i="2" s="1"/>
  <c r="AB106" i="2" a="1"/>
  <c r="AB106" i="2" s="1"/>
  <c r="AB107" i="2" a="1"/>
  <c r="AB107" i="2" s="1"/>
  <c r="AB108" i="2" a="1"/>
  <c r="AB108" i="2" s="1"/>
  <c r="AB109" i="2" a="1"/>
  <c r="AB109" i="2" s="1"/>
  <c r="AB110" i="2" a="1"/>
  <c r="AB110" i="2" s="1"/>
  <c r="AB111" i="2" a="1"/>
  <c r="AB111" i="2" s="1"/>
  <c r="AB112" i="2" a="1"/>
  <c r="AB112" i="2" s="1"/>
  <c r="AB113" i="2" a="1"/>
  <c r="AB113" i="2" s="1"/>
  <c r="AB114" i="2" a="1"/>
  <c r="AB114" i="2" s="1"/>
  <c r="AB115" i="2" a="1"/>
  <c r="AB115" i="2" s="1"/>
  <c r="AB116" i="2" a="1"/>
  <c r="AB116" i="2" s="1"/>
  <c r="AB117" i="2" a="1"/>
  <c r="AB117" i="2" s="1"/>
  <c r="AB118" i="2" a="1"/>
  <c r="AB118" i="2" s="1"/>
  <c r="AB119" i="2" a="1"/>
  <c r="AB119" i="2" s="1"/>
  <c r="AB120" i="2" a="1"/>
  <c r="AB120" i="2" s="1"/>
  <c r="AB121" i="2" a="1"/>
  <c r="AB121" i="2" s="1"/>
  <c r="AB122" i="2" a="1"/>
  <c r="AB122" i="2" s="1"/>
  <c r="AB123" i="2" a="1"/>
  <c r="AB123" i="2" s="1"/>
  <c r="AB124" i="2" a="1"/>
  <c r="AB124" i="2" s="1"/>
  <c r="AB125" i="2" a="1"/>
  <c r="AB125" i="2" s="1"/>
  <c r="AB126" i="2" a="1"/>
  <c r="AB126" i="2" s="1"/>
  <c r="AB127" i="2" a="1"/>
  <c r="AB127" i="2" s="1"/>
  <c r="AB128" i="2" a="1"/>
  <c r="AB128" i="2" s="1"/>
  <c r="AB129" i="2" a="1"/>
  <c r="AB129" i="2" s="1"/>
  <c r="AB130" i="2" a="1"/>
  <c r="AB130" i="2" s="1"/>
  <c r="AB131" i="2" a="1"/>
  <c r="AB131" i="2" s="1"/>
  <c r="AB132" i="2" a="1"/>
  <c r="AB132" i="2" s="1"/>
  <c r="AB133" i="2" a="1"/>
  <c r="AB133" i="2" s="1"/>
  <c r="AB134" i="2" a="1"/>
  <c r="AB134" i="2" s="1"/>
  <c r="AB135" i="2" a="1"/>
  <c r="AB135" i="2" s="1"/>
  <c r="AB136" i="2" a="1"/>
  <c r="AB136" i="2" s="1"/>
  <c r="AB137" i="2" a="1"/>
  <c r="AB137" i="2" s="1"/>
  <c r="AB138" i="2" a="1"/>
  <c r="AB138" i="2" s="1"/>
  <c r="AB139" i="2" a="1"/>
  <c r="AB139" i="2" s="1"/>
  <c r="AB140" i="2" a="1"/>
  <c r="AB140" i="2" s="1"/>
  <c r="AB141" i="2" a="1"/>
  <c r="AB141" i="2" s="1"/>
  <c r="AB142" i="2" a="1"/>
  <c r="AB142" i="2" s="1"/>
  <c r="AB143" i="2" a="1"/>
  <c r="AB143" i="2" s="1"/>
  <c r="AB144" i="2" a="1"/>
  <c r="AB144" i="2" s="1"/>
  <c r="AB145" i="2" a="1"/>
  <c r="AB145" i="2" s="1"/>
  <c r="AB146" i="2" a="1"/>
  <c r="AB146" i="2" s="1"/>
  <c r="AB147" i="2" a="1"/>
  <c r="AB147" i="2" s="1"/>
  <c r="AB148" i="2" a="1"/>
  <c r="AB148" i="2" s="1"/>
  <c r="AB149" i="2" a="1"/>
  <c r="AB149" i="2" s="1"/>
  <c r="AB150" i="2" a="1"/>
  <c r="AB150" i="2" s="1"/>
  <c r="AB151" i="2" a="1"/>
  <c r="AB151" i="2" s="1"/>
  <c r="AB152" i="2" a="1"/>
  <c r="AB152" i="2" s="1"/>
  <c r="AB153" i="2" a="1"/>
  <c r="AB153" i="2" s="1"/>
  <c r="AB154" i="2" a="1"/>
  <c r="AB154" i="2" s="1"/>
  <c r="AB155" i="2" a="1"/>
  <c r="AB155" i="2" s="1"/>
  <c r="AB156" i="2" a="1"/>
  <c r="AB156" i="2" s="1"/>
  <c r="AB157" i="2" a="1"/>
  <c r="AB157" i="2" s="1"/>
  <c r="AB158" i="2" a="1"/>
  <c r="AB158" i="2" s="1"/>
  <c r="AB159" i="2" a="1"/>
  <c r="AB159" i="2" s="1"/>
  <c r="AB160" i="2" a="1"/>
  <c r="AB160" i="2" s="1"/>
  <c r="AB161" i="2" a="1"/>
  <c r="AB161" i="2" s="1"/>
  <c r="AB162" i="2" a="1"/>
  <c r="AB162" i="2" s="1"/>
  <c r="AB163" i="2" a="1"/>
  <c r="AB163" i="2" s="1"/>
  <c r="AB164" i="2" a="1"/>
  <c r="AB164" i="2" s="1"/>
  <c r="AB165" i="2" a="1"/>
  <c r="AB165" i="2" s="1"/>
  <c r="AB166" i="2" a="1"/>
  <c r="AB166" i="2" s="1"/>
  <c r="AB167" i="2" a="1"/>
  <c r="AB167" i="2" s="1"/>
  <c r="AB168" i="2" a="1"/>
  <c r="AB168" i="2" s="1"/>
  <c r="AB169" i="2" a="1"/>
  <c r="AB169" i="2" s="1"/>
  <c r="AB170" i="2" a="1"/>
  <c r="AB170" i="2" s="1"/>
  <c r="AB171" i="2" a="1"/>
  <c r="AB171" i="2" s="1"/>
  <c r="AB172" i="2" a="1"/>
  <c r="AB172" i="2" s="1"/>
  <c r="AB173" i="2" a="1"/>
  <c r="AB173" i="2" s="1"/>
  <c r="AB174" i="2" a="1"/>
  <c r="AB174" i="2" s="1"/>
  <c r="AB175" i="2" a="1"/>
  <c r="AB175" i="2" s="1"/>
  <c r="AB176" i="2" a="1"/>
  <c r="AB176" i="2" s="1"/>
  <c r="AB177" i="2" a="1"/>
  <c r="AB177" i="2" s="1"/>
  <c r="AB178" i="2" a="1"/>
  <c r="AB178" i="2" s="1"/>
  <c r="AB179" i="2" a="1"/>
  <c r="AB179" i="2" s="1"/>
  <c r="AB180" i="2" a="1"/>
  <c r="AB180" i="2" s="1"/>
  <c r="AB181" i="2" a="1"/>
  <c r="AB181" i="2" s="1"/>
  <c r="AB182" i="2" a="1"/>
  <c r="AB182" i="2" s="1"/>
  <c r="AB183" i="2" a="1"/>
  <c r="AB183" i="2" s="1"/>
  <c r="AB184" i="2" a="1"/>
  <c r="AB184" i="2" s="1"/>
  <c r="AB185" i="2" a="1"/>
  <c r="AB185" i="2" s="1"/>
  <c r="AB186" i="2" a="1"/>
  <c r="AB186" i="2" s="1"/>
  <c r="AB187" i="2" a="1"/>
  <c r="AB187" i="2" s="1"/>
  <c r="AB188" i="2" a="1"/>
  <c r="AB188" i="2" s="1"/>
  <c r="AB189" i="2" a="1"/>
  <c r="AB189" i="2" s="1"/>
  <c r="AB190" i="2" a="1"/>
  <c r="AB190" i="2" s="1"/>
  <c r="AB191" i="2" a="1"/>
  <c r="AB191" i="2" s="1"/>
  <c r="AB192" i="2" a="1"/>
  <c r="AB192" i="2" s="1"/>
  <c r="AB193" i="2" a="1"/>
  <c r="AB193" i="2" s="1"/>
  <c r="AB194" i="2" a="1"/>
  <c r="AB194" i="2" s="1"/>
  <c r="AB195" i="2" a="1"/>
  <c r="AB195" i="2" s="1"/>
  <c r="AB196" i="2" a="1"/>
  <c r="AB196" i="2" s="1"/>
  <c r="AB197" i="2" a="1"/>
  <c r="AB197" i="2" s="1"/>
  <c r="AB198" i="2" a="1"/>
  <c r="AB198" i="2" s="1"/>
  <c r="AB199" i="2" a="1"/>
  <c r="AB199" i="2" s="1"/>
  <c r="AB200" i="2" a="1"/>
  <c r="AB200" i="2" s="1"/>
  <c r="AB201" i="2" a="1"/>
  <c r="AB201" i="2" s="1"/>
  <c r="AB202" i="2" a="1"/>
  <c r="AB202" i="2" s="1"/>
  <c r="AB203" i="2" a="1"/>
  <c r="AB203" i="2" s="1"/>
  <c r="AB204" i="2" a="1"/>
  <c r="AB204" i="2" s="1"/>
  <c r="AB205" i="2" a="1"/>
  <c r="AB205" i="2" s="1"/>
  <c r="AB206" i="2" a="1"/>
  <c r="AB206" i="2" s="1"/>
  <c r="AB207" i="2" a="1"/>
  <c r="AB207" i="2" s="1"/>
  <c r="AB208" i="2" a="1"/>
  <c r="AB208" i="2" s="1"/>
  <c r="AB209" i="2" a="1"/>
  <c r="AB209" i="2" s="1"/>
  <c r="AB210" i="2" a="1"/>
  <c r="AB210" i="2" s="1"/>
  <c r="AB211" i="2" a="1"/>
  <c r="AB211" i="2" s="1"/>
  <c r="AB212" i="2" a="1"/>
  <c r="AB212" i="2" s="1"/>
  <c r="AB213" i="2" a="1"/>
  <c r="AB213" i="2" s="1"/>
  <c r="AB214" i="2" a="1"/>
  <c r="AB214" i="2" s="1"/>
  <c r="AB215" i="2" a="1"/>
  <c r="AB215" i="2" s="1"/>
  <c r="AB216" i="2" a="1"/>
  <c r="AB216" i="2" s="1"/>
  <c r="AB217" i="2" a="1"/>
  <c r="AB217" i="2" s="1"/>
  <c r="AB218" i="2" a="1"/>
  <c r="AB218" i="2" s="1"/>
  <c r="AB219" i="2" a="1"/>
  <c r="AB219" i="2" s="1"/>
  <c r="AB220" i="2" a="1"/>
  <c r="AB220" i="2" s="1"/>
  <c r="AB221" i="2" a="1"/>
  <c r="AB221" i="2" s="1"/>
  <c r="AB222" i="2" a="1"/>
  <c r="AB222" i="2" s="1"/>
  <c r="AB223" i="2" a="1"/>
  <c r="AB223" i="2" s="1"/>
  <c r="AB224" i="2" a="1"/>
  <c r="AB224" i="2" s="1"/>
  <c r="AB225" i="2" a="1"/>
  <c r="AB225" i="2" s="1"/>
  <c r="AB226" i="2" a="1"/>
  <c r="AB226" i="2" s="1"/>
  <c r="AB227" i="2" a="1"/>
  <c r="AB227" i="2" s="1"/>
  <c r="AB228" i="2" a="1"/>
  <c r="AB228" i="2" s="1"/>
  <c r="AB229" i="2" a="1"/>
  <c r="AB229" i="2" s="1"/>
  <c r="AB230" i="2" a="1"/>
  <c r="AB230" i="2" s="1"/>
  <c r="AB231" i="2" a="1"/>
  <c r="AB231" i="2" s="1"/>
  <c r="AB232" i="2" a="1"/>
  <c r="AB232" i="2" s="1"/>
  <c r="AB233" i="2" a="1"/>
  <c r="AB233" i="2" s="1"/>
  <c r="AB234" i="2" a="1"/>
  <c r="AB234" i="2" s="1"/>
  <c r="AB235" i="2" a="1"/>
  <c r="AB235" i="2" s="1"/>
  <c r="AB236" i="2" a="1"/>
  <c r="AB236" i="2" s="1"/>
  <c r="AB237" i="2" a="1"/>
  <c r="AB237" i="2" s="1"/>
  <c r="AB238" i="2" a="1"/>
  <c r="AB238" i="2" s="1"/>
  <c r="AB239" i="2" a="1"/>
  <c r="AB239" i="2" s="1"/>
  <c r="AB240" i="2" a="1"/>
  <c r="AB240" i="2" s="1"/>
  <c r="AB241" i="2" a="1"/>
  <c r="AB241" i="2" s="1"/>
  <c r="AB242" i="2" a="1"/>
  <c r="AB242" i="2" s="1"/>
  <c r="AB243" i="2" a="1"/>
  <c r="AB243" i="2" s="1"/>
  <c r="AB244" i="2" a="1"/>
  <c r="AB244" i="2" s="1"/>
  <c r="AB245" i="2" a="1"/>
  <c r="AB245" i="2" s="1"/>
  <c r="AB246" i="2" a="1"/>
  <c r="AB246" i="2" s="1"/>
  <c r="AB247" i="2" a="1"/>
  <c r="AB247" i="2" s="1"/>
  <c r="AB248" i="2" a="1"/>
  <c r="AB248" i="2" s="1"/>
  <c r="AB249" i="2" a="1"/>
  <c r="AB249" i="2" s="1"/>
  <c r="AB250" i="2" a="1"/>
  <c r="AB250" i="2" s="1"/>
  <c r="AB251" i="2" a="1"/>
  <c r="AB251" i="2" s="1"/>
  <c r="AB252" i="2" a="1"/>
  <c r="AB252" i="2" s="1"/>
  <c r="AB253" i="2" a="1"/>
  <c r="AB253" i="2" s="1"/>
  <c r="AB254" i="2" a="1"/>
  <c r="AB254" i="2" s="1"/>
  <c r="AB255" i="2" a="1"/>
  <c r="AB255" i="2" s="1"/>
  <c r="AB256" i="2" a="1"/>
  <c r="AB256" i="2" s="1"/>
  <c r="AB257" i="2" a="1"/>
  <c r="AB257" i="2" s="1"/>
  <c r="AB258" i="2" a="1"/>
  <c r="AB258" i="2" s="1"/>
  <c r="AB259" i="2" a="1"/>
  <c r="AB259" i="2" s="1"/>
  <c r="AB260" i="2" a="1"/>
  <c r="AB260" i="2" s="1"/>
  <c r="AB261" i="2" a="1"/>
  <c r="AB261" i="2" s="1"/>
  <c r="AB262" i="2" a="1"/>
  <c r="AB262" i="2" s="1"/>
  <c r="AB263" i="2" a="1"/>
  <c r="AB263" i="2" s="1"/>
  <c r="AB264" i="2" a="1"/>
  <c r="AB264" i="2" s="1"/>
  <c r="AB265" i="2" a="1"/>
  <c r="AB265" i="2" s="1"/>
  <c r="AB266" i="2" a="1"/>
  <c r="AB266" i="2" s="1"/>
  <c r="AB267" i="2" a="1"/>
  <c r="AB267" i="2" s="1"/>
  <c r="AB268" i="2" a="1"/>
  <c r="AB268" i="2" s="1"/>
  <c r="AB269" i="2" a="1"/>
  <c r="AB269" i="2" s="1"/>
  <c r="AB270" i="2" a="1"/>
  <c r="AB270" i="2" s="1"/>
  <c r="AB271" i="2" a="1"/>
  <c r="AB271" i="2" s="1"/>
  <c r="AB272" i="2" a="1"/>
  <c r="AB272" i="2" s="1"/>
  <c r="AB273" i="2" a="1"/>
  <c r="AB273" i="2" s="1"/>
  <c r="AB274" i="2" a="1"/>
  <c r="AB274" i="2" s="1"/>
  <c r="AB275" i="2" a="1"/>
  <c r="AB275" i="2" s="1"/>
  <c r="AB276" i="2" a="1"/>
  <c r="AB276" i="2" s="1"/>
  <c r="AB277" i="2" a="1"/>
  <c r="AB277" i="2" s="1"/>
  <c r="AB278" i="2" a="1"/>
  <c r="AB278" i="2" s="1"/>
  <c r="AB279" i="2" a="1"/>
  <c r="AB279" i="2" s="1"/>
  <c r="AB280" i="2" a="1"/>
  <c r="AB280" i="2" s="1"/>
  <c r="AB281" i="2" a="1"/>
  <c r="AB281" i="2" s="1"/>
  <c r="AB282" i="2" a="1"/>
  <c r="AB282" i="2" s="1"/>
  <c r="AB283" i="2" a="1"/>
  <c r="AB283" i="2" s="1"/>
  <c r="AB284" i="2" a="1"/>
  <c r="AB284" i="2" s="1"/>
  <c r="AB285" i="2" a="1"/>
  <c r="AB285" i="2" s="1"/>
  <c r="AB286" i="2" a="1"/>
  <c r="AB286" i="2" s="1"/>
  <c r="AB287" i="2" a="1"/>
  <c r="AB287" i="2" s="1"/>
  <c r="AB288" i="2" a="1"/>
  <c r="AB288" i="2" s="1"/>
  <c r="AB289" i="2" a="1"/>
  <c r="AB289" i="2" s="1"/>
  <c r="AB290" i="2" a="1"/>
  <c r="AB290" i="2" s="1"/>
  <c r="AB291" i="2" a="1"/>
  <c r="AB291" i="2" s="1"/>
  <c r="AB292" i="2" a="1"/>
  <c r="AB292" i="2" s="1"/>
  <c r="AB293" i="2" a="1"/>
  <c r="AB293" i="2" s="1"/>
  <c r="AB294" i="2" a="1"/>
  <c r="AB294" i="2" s="1"/>
  <c r="AB295" i="2" a="1"/>
  <c r="AB295" i="2" s="1"/>
  <c r="AB296" i="2" a="1"/>
  <c r="AB296" i="2" s="1"/>
  <c r="AB297" i="2" a="1"/>
  <c r="AB297" i="2" s="1"/>
  <c r="AB298" i="2" a="1"/>
  <c r="AB298" i="2" s="1"/>
  <c r="AB299" i="2" a="1"/>
  <c r="AB299" i="2" s="1"/>
  <c r="AB300" i="2" a="1"/>
  <c r="AB300" i="2" s="1"/>
  <c r="AB301" i="2" a="1"/>
  <c r="AB301" i="2" s="1"/>
  <c r="AB302" i="2" a="1"/>
  <c r="AB302" i="2" s="1"/>
  <c r="AB303" i="2" a="1"/>
  <c r="AB303" i="2" s="1"/>
  <c r="AB304" i="2" a="1"/>
  <c r="AB304" i="2" s="1"/>
  <c r="AB305" i="2" a="1"/>
  <c r="AB305" i="2" s="1"/>
  <c r="AB306" i="2" a="1"/>
  <c r="AB306" i="2" s="1"/>
  <c r="AB307" i="2" a="1"/>
  <c r="AB307" i="2" s="1"/>
  <c r="AB308" i="2" a="1"/>
  <c r="AB308" i="2" s="1"/>
  <c r="AB309" i="2" a="1"/>
  <c r="AB309" i="2" s="1"/>
  <c r="AB310" i="2" a="1"/>
  <c r="AB310" i="2" s="1"/>
  <c r="AB311" i="2" a="1"/>
  <c r="AB311" i="2" s="1"/>
  <c r="AB312" i="2" a="1"/>
  <c r="AB312" i="2" s="1"/>
  <c r="AB313" i="2" a="1"/>
  <c r="AB313" i="2" s="1"/>
  <c r="AB314" i="2" a="1"/>
  <c r="AB314" i="2" s="1"/>
  <c r="AB315" i="2" a="1"/>
  <c r="AB315" i="2" s="1"/>
  <c r="AB316" i="2" a="1"/>
  <c r="AB316" i="2" s="1"/>
  <c r="AB317" i="2" a="1"/>
  <c r="AB317" i="2" s="1"/>
  <c r="AB318" i="2" a="1"/>
  <c r="AB318" i="2" s="1"/>
  <c r="AB319" i="2" a="1"/>
  <c r="AB319" i="2" s="1"/>
  <c r="AB320" i="2" a="1"/>
  <c r="AB320" i="2" s="1"/>
  <c r="AB321" i="2" a="1"/>
  <c r="AB321" i="2" s="1"/>
  <c r="AB322" i="2" a="1"/>
  <c r="AB322" i="2" s="1"/>
  <c r="AB323" i="2" a="1"/>
  <c r="AB323" i="2" s="1"/>
  <c r="AB324" i="2" a="1"/>
  <c r="AB324" i="2" s="1"/>
  <c r="AB325" i="2" a="1"/>
  <c r="AB325" i="2" s="1"/>
  <c r="AB326" i="2" a="1"/>
  <c r="AB326" i="2" s="1"/>
  <c r="AB327" i="2" a="1"/>
  <c r="AB327" i="2" s="1"/>
  <c r="AB328" i="2" a="1"/>
  <c r="AB328" i="2" s="1"/>
  <c r="AB329" i="2" a="1"/>
  <c r="AB329" i="2" s="1"/>
  <c r="AB330" i="2" a="1"/>
  <c r="AB330" i="2" s="1"/>
  <c r="AB331" i="2" a="1"/>
  <c r="AB331" i="2" s="1"/>
  <c r="AB332" i="2" a="1"/>
  <c r="AB332" i="2" s="1"/>
  <c r="AB333" i="2" a="1"/>
  <c r="AB333" i="2" s="1"/>
  <c r="AB334" i="2" a="1"/>
  <c r="AB334" i="2" s="1"/>
  <c r="AB335" i="2" a="1"/>
  <c r="AB335" i="2" s="1"/>
  <c r="AB336" i="2" a="1"/>
  <c r="AB336" i="2" s="1"/>
  <c r="AB337" i="2" a="1"/>
  <c r="AB337" i="2" s="1"/>
  <c r="AB338" i="2" a="1"/>
  <c r="AB338" i="2" s="1"/>
  <c r="AB339" i="2" a="1"/>
  <c r="AB339" i="2" s="1"/>
  <c r="AB340" i="2" a="1"/>
  <c r="AB340" i="2" s="1"/>
  <c r="AB341" i="2" a="1"/>
  <c r="AB341" i="2" s="1"/>
  <c r="AB342" i="2" a="1"/>
  <c r="AB342" i="2" s="1"/>
  <c r="AB343" i="2" a="1"/>
  <c r="AB343" i="2" s="1"/>
  <c r="AB344" i="2" a="1"/>
  <c r="AB344" i="2" s="1"/>
  <c r="AB345" i="2" a="1"/>
  <c r="AB345" i="2" s="1"/>
  <c r="AB346" i="2" a="1"/>
  <c r="AB346" i="2" s="1"/>
  <c r="AB347" i="2" a="1"/>
  <c r="AB347" i="2" s="1"/>
  <c r="AB348" i="2" a="1"/>
  <c r="AB348" i="2" s="1"/>
  <c r="AB349" i="2" a="1"/>
  <c r="AB349" i="2" s="1"/>
  <c r="AB350" i="2" a="1"/>
  <c r="AB350" i="2" s="1"/>
  <c r="AB351" i="2" a="1"/>
  <c r="AB351" i="2" s="1"/>
  <c r="AB352" i="2" a="1"/>
  <c r="AB352" i="2" s="1"/>
  <c r="AB353" i="2" a="1"/>
  <c r="AB353" i="2" s="1"/>
  <c r="AB354" i="2" a="1"/>
  <c r="AB354" i="2" s="1"/>
  <c r="AB355" i="2" a="1"/>
  <c r="AB355" i="2" s="1"/>
  <c r="AB356" i="2" a="1"/>
  <c r="AB356" i="2" s="1"/>
  <c r="AB357" i="2" a="1"/>
  <c r="AB357" i="2" s="1"/>
  <c r="AB358" i="2" a="1"/>
  <c r="AB358" i="2" s="1"/>
  <c r="AB359" i="2" a="1"/>
  <c r="AB359" i="2" s="1"/>
  <c r="AB360" i="2" a="1"/>
  <c r="AB360" i="2" s="1"/>
  <c r="AB361" i="2" a="1"/>
  <c r="AB361" i="2" s="1"/>
  <c r="AB362" i="2" a="1"/>
  <c r="AB362" i="2" s="1"/>
  <c r="AB363" i="2" a="1"/>
  <c r="AB363" i="2" s="1"/>
  <c r="AB364" i="2" a="1"/>
  <c r="AB364" i="2" s="1"/>
  <c r="AB365" i="2" a="1"/>
  <c r="AB365" i="2" s="1"/>
  <c r="AB366" i="2" a="1"/>
  <c r="AB366" i="2" s="1"/>
  <c r="AB367" i="2" a="1"/>
  <c r="AB367" i="2" s="1"/>
  <c r="AB368" i="2" a="1"/>
  <c r="AB368" i="2" s="1"/>
  <c r="AB369" i="2" a="1"/>
  <c r="AB369" i="2" s="1"/>
  <c r="AB370" i="2" a="1"/>
  <c r="AB370" i="2" s="1"/>
  <c r="AB371" i="2" a="1"/>
  <c r="AB371" i="2" s="1"/>
  <c r="AB372" i="2" a="1"/>
  <c r="AB372" i="2" s="1"/>
  <c r="AB373" i="2" a="1"/>
  <c r="AB373" i="2" s="1"/>
  <c r="AB374" i="2" a="1"/>
  <c r="AB374" i="2" s="1"/>
  <c r="AB375" i="2" a="1"/>
  <c r="AB375" i="2" s="1"/>
  <c r="AB376" i="2" a="1"/>
  <c r="AB376" i="2" s="1"/>
  <c r="AB377" i="2" a="1"/>
  <c r="AB377" i="2" s="1"/>
  <c r="AB378" i="2" a="1"/>
  <c r="AB378" i="2" s="1"/>
  <c r="AB379" i="2" a="1"/>
  <c r="AB379" i="2" s="1"/>
  <c r="AB380" i="2" a="1"/>
  <c r="AB380" i="2" s="1"/>
  <c r="AB381" i="2" a="1"/>
  <c r="AB381" i="2" s="1"/>
  <c r="AB382" i="2" a="1"/>
  <c r="AB382" i="2" s="1"/>
  <c r="AB383" i="2" a="1"/>
  <c r="AB383" i="2" s="1"/>
  <c r="AB384" i="2" a="1"/>
  <c r="AB384" i="2" s="1"/>
  <c r="AB385" i="2" a="1"/>
  <c r="AB385" i="2" s="1"/>
  <c r="AB386" i="2" a="1"/>
  <c r="AB386" i="2" s="1"/>
  <c r="AB387" i="2" a="1"/>
  <c r="AB387" i="2" s="1"/>
  <c r="AB388" i="2" a="1"/>
  <c r="AB388" i="2" s="1"/>
  <c r="AB389" i="2" a="1"/>
  <c r="AB389" i="2" s="1"/>
  <c r="AB390" i="2" a="1"/>
  <c r="AB390" i="2" s="1"/>
  <c r="AB391" i="2" a="1"/>
  <c r="AB391" i="2" s="1"/>
  <c r="AB392" i="2" a="1"/>
  <c r="AB392" i="2" s="1"/>
  <c r="AB393" i="2" a="1"/>
  <c r="AB393" i="2" s="1"/>
  <c r="AB394" i="2" a="1"/>
  <c r="AB394" i="2" s="1"/>
  <c r="AB395" i="2" a="1"/>
  <c r="AB395" i="2" s="1"/>
  <c r="AB396" i="2" a="1"/>
  <c r="AB396" i="2" s="1"/>
  <c r="AB397" i="2" a="1"/>
  <c r="AB397" i="2" s="1"/>
  <c r="AB398" i="2" a="1"/>
  <c r="AB398" i="2" s="1"/>
  <c r="AB399" i="2" a="1"/>
  <c r="AB399" i="2" s="1"/>
  <c r="AB400" i="2" a="1"/>
  <c r="AB400" i="2" s="1"/>
  <c r="AB401" i="2" a="1"/>
  <c r="AB401" i="2" s="1"/>
  <c r="AB402" i="2" a="1"/>
  <c r="AB402" i="2" s="1"/>
  <c r="AB403" i="2" a="1"/>
  <c r="AB403" i="2" s="1"/>
  <c r="AB404" i="2" a="1"/>
  <c r="AB404" i="2" s="1"/>
  <c r="AB405" i="2" a="1"/>
  <c r="AB405" i="2" s="1"/>
  <c r="AB406" i="2" a="1"/>
  <c r="AB406" i="2" s="1"/>
  <c r="AB407" i="2" a="1"/>
  <c r="AB407" i="2" s="1"/>
  <c r="AB408" i="2" a="1"/>
  <c r="AB408" i="2" s="1"/>
  <c r="AB409" i="2" a="1"/>
  <c r="AB409" i="2" s="1"/>
  <c r="AB410" i="2" a="1"/>
  <c r="AB410" i="2" s="1"/>
  <c r="AB411" i="2" a="1"/>
  <c r="AB411" i="2" s="1"/>
  <c r="AB412" i="2" a="1"/>
  <c r="AB412" i="2" s="1"/>
  <c r="AB413" i="2" a="1"/>
  <c r="AB413" i="2" s="1"/>
  <c r="AB414" i="2" a="1"/>
  <c r="AB414" i="2" s="1"/>
  <c r="AB415" i="2" a="1"/>
  <c r="AB415" i="2" s="1"/>
  <c r="AB416" i="2" a="1"/>
  <c r="AB416" i="2" s="1"/>
  <c r="AB417" i="2" a="1"/>
  <c r="AB417" i="2" s="1"/>
  <c r="AB418" i="2" a="1"/>
  <c r="AB418" i="2" s="1"/>
  <c r="AB419" i="2" a="1"/>
  <c r="AB419" i="2" s="1"/>
  <c r="AB420" i="2" a="1"/>
  <c r="AB420" i="2" s="1"/>
  <c r="AB421" i="2" a="1"/>
  <c r="AB421" i="2" s="1"/>
  <c r="AB422" i="2" a="1"/>
  <c r="AB422" i="2" s="1"/>
  <c r="AB423" i="2" a="1"/>
  <c r="AB423" i="2" s="1"/>
  <c r="AB424" i="2" a="1"/>
  <c r="AB424" i="2" s="1"/>
  <c r="AB425" i="2" a="1"/>
  <c r="AB425" i="2" s="1"/>
  <c r="AB426" i="2" a="1"/>
  <c r="AB426" i="2" s="1"/>
  <c r="AB427" i="2" a="1"/>
  <c r="AB427" i="2" s="1"/>
  <c r="AB428" i="2" a="1"/>
  <c r="AB428" i="2" s="1"/>
  <c r="AB429" i="2" a="1"/>
  <c r="AB429" i="2" s="1"/>
  <c r="AB430" i="2" a="1"/>
  <c r="AB430" i="2" s="1"/>
  <c r="AB431" i="2" a="1"/>
  <c r="AB431" i="2" s="1"/>
  <c r="AB432" i="2" a="1"/>
  <c r="AB432" i="2" s="1"/>
  <c r="AB433" i="2" a="1"/>
  <c r="AB433" i="2" s="1"/>
  <c r="AB434" i="2" a="1"/>
  <c r="AB434" i="2" s="1"/>
  <c r="AB435" i="2" a="1"/>
  <c r="AB435" i="2" s="1"/>
  <c r="AB436" i="2" a="1"/>
  <c r="AB436" i="2" s="1"/>
  <c r="AB437" i="2" a="1"/>
  <c r="AB437" i="2" s="1"/>
  <c r="AB438" i="2" a="1"/>
  <c r="AB438" i="2" s="1"/>
  <c r="AB439" i="2" a="1"/>
  <c r="AB439" i="2" s="1"/>
  <c r="AB440" i="2" a="1"/>
  <c r="AB440" i="2" s="1"/>
  <c r="AB441" i="2" a="1"/>
  <c r="AB441" i="2" s="1"/>
  <c r="AB442" i="2" a="1"/>
  <c r="AB442" i="2" s="1"/>
  <c r="AB443" i="2" a="1"/>
  <c r="AB443" i="2" s="1"/>
  <c r="AB444" i="2" a="1"/>
  <c r="AB444" i="2" s="1"/>
  <c r="AB445" i="2" a="1"/>
  <c r="AB445" i="2" s="1"/>
  <c r="AB446" i="2" a="1"/>
  <c r="AB446" i="2" s="1"/>
  <c r="AB447" i="2" a="1"/>
  <c r="AB447" i="2" s="1"/>
  <c r="AB448" i="2" a="1"/>
  <c r="AB448" i="2" s="1"/>
  <c r="AB449" i="2" a="1"/>
  <c r="AB449" i="2" s="1"/>
  <c r="AB450" i="2" a="1"/>
  <c r="AB450" i="2" s="1"/>
  <c r="AB451" i="2" a="1"/>
  <c r="AB451" i="2" s="1"/>
  <c r="AB452" i="2" a="1"/>
  <c r="AB452" i="2" s="1"/>
  <c r="AB453" i="2" a="1"/>
  <c r="AB453" i="2" s="1"/>
  <c r="AB454" i="2" a="1"/>
  <c r="AB454" i="2" s="1"/>
  <c r="AB455" i="2" a="1"/>
  <c r="AB455" i="2" s="1"/>
  <c r="AB456" i="2" a="1"/>
  <c r="AB456" i="2" s="1"/>
  <c r="AB457" i="2" a="1"/>
  <c r="AB457" i="2" s="1"/>
  <c r="AB458" i="2" a="1"/>
  <c r="AB458" i="2" s="1"/>
  <c r="AB459" i="2" a="1"/>
  <c r="AB459" i="2" s="1"/>
  <c r="AB460" i="2" a="1"/>
  <c r="AB460" i="2" s="1"/>
  <c r="AB461" i="2" a="1"/>
  <c r="AB461" i="2" s="1"/>
  <c r="AB462" i="2" a="1"/>
  <c r="AB462" i="2" s="1"/>
  <c r="AB463" i="2" a="1"/>
  <c r="AB463" i="2" s="1"/>
  <c r="AB464" i="2" a="1"/>
  <c r="AB464" i="2" s="1"/>
  <c r="AB465" i="2" a="1"/>
  <c r="AB465" i="2" s="1"/>
  <c r="AB466" i="2" a="1"/>
  <c r="AB466" i="2" s="1"/>
  <c r="AB467" i="2" a="1"/>
  <c r="AB467" i="2" s="1"/>
  <c r="AB468" i="2" a="1"/>
  <c r="AB468" i="2" s="1"/>
  <c r="AB469" i="2" a="1"/>
  <c r="AB469" i="2" s="1"/>
  <c r="AB470" i="2" a="1"/>
  <c r="AB470" i="2" s="1"/>
  <c r="AB471" i="2" a="1"/>
  <c r="AB471" i="2" s="1"/>
  <c r="AB472" i="2" a="1"/>
  <c r="AB472" i="2" s="1"/>
  <c r="AB473" i="2" a="1"/>
  <c r="AB473" i="2" s="1"/>
  <c r="AB474" i="2" a="1"/>
  <c r="AB474" i="2" s="1"/>
  <c r="AB475" i="2" a="1"/>
  <c r="AB475" i="2" s="1"/>
  <c r="AB476" i="2" a="1"/>
  <c r="AB476" i="2" s="1"/>
  <c r="AB477" i="2" a="1"/>
  <c r="AB477" i="2" s="1"/>
  <c r="AB478" i="2" a="1"/>
  <c r="AB478" i="2" s="1"/>
  <c r="AB479" i="2" a="1"/>
  <c r="AB479" i="2" s="1"/>
  <c r="AB480" i="2" a="1"/>
  <c r="AB480" i="2" s="1"/>
  <c r="AB481" i="2" a="1"/>
  <c r="AB481" i="2" s="1"/>
  <c r="AB482" i="2" a="1"/>
  <c r="AB482" i="2" s="1"/>
  <c r="AB483" i="2" a="1"/>
  <c r="AB483" i="2" s="1"/>
  <c r="AB484" i="2" a="1"/>
  <c r="AB484" i="2" s="1"/>
  <c r="AB485" i="2" a="1"/>
  <c r="AB485" i="2" s="1"/>
  <c r="AB486" i="2" a="1"/>
  <c r="AB486" i="2" s="1"/>
  <c r="AB487" i="2" a="1"/>
  <c r="AB487" i="2" s="1"/>
  <c r="AB488" i="2" a="1"/>
  <c r="AB488" i="2" s="1"/>
  <c r="AB489" i="2" a="1"/>
  <c r="AB489" i="2" s="1"/>
  <c r="AB490" i="2" a="1"/>
  <c r="AB490" i="2" s="1"/>
  <c r="AB491" i="2" a="1"/>
  <c r="AB491" i="2" s="1"/>
  <c r="AB492" i="2" a="1"/>
  <c r="AB492" i="2" s="1"/>
  <c r="AB493" i="2" a="1"/>
  <c r="AB493" i="2" s="1"/>
  <c r="AB494" i="2" a="1"/>
  <c r="AB494" i="2" s="1"/>
  <c r="AB495" i="2" a="1"/>
  <c r="AB495" i="2" s="1"/>
  <c r="AB496" i="2" a="1"/>
  <c r="AB496" i="2" s="1"/>
  <c r="AB497" i="2" a="1"/>
  <c r="AB497" i="2" s="1"/>
  <c r="AB498" i="2" a="1"/>
  <c r="AB498" i="2" s="1"/>
  <c r="AB499" i="2" a="1"/>
  <c r="AB499" i="2" s="1"/>
  <c r="AB500" i="2" a="1"/>
  <c r="AB500" i="2" s="1"/>
  <c r="AB501" i="2" a="1"/>
  <c r="AB501" i="2" s="1"/>
  <c r="AB502" i="2" a="1"/>
  <c r="AB502" i="2" s="1"/>
  <c r="AB503" i="2" a="1"/>
  <c r="AB503" i="2" s="1"/>
  <c r="AB504" i="2" a="1"/>
  <c r="AB504" i="2" s="1"/>
  <c r="AB505" i="2" a="1"/>
  <c r="AB505" i="2" s="1"/>
  <c r="AB506" i="2" a="1"/>
  <c r="AB506" i="2" s="1"/>
  <c r="AB507" i="2" a="1"/>
  <c r="AB507" i="2" s="1"/>
  <c r="AB508" i="2" a="1"/>
  <c r="AB508" i="2" s="1"/>
  <c r="AB509" i="2" a="1"/>
  <c r="AB509" i="2" s="1"/>
  <c r="AB510" i="2" a="1"/>
  <c r="AB510" i="2" s="1"/>
  <c r="AB511" i="2" a="1"/>
  <c r="AB511" i="2" s="1"/>
  <c r="AB512" i="2" a="1"/>
  <c r="AB512" i="2" s="1"/>
  <c r="AB513" i="2" a="1"/>
  <c r="AB513" i="2" s="1"/>
  <c r="AB514" i="2" a="1"/>
  <c r="AB514" i="2" s="1"/>
  <c r="AB515" i="2" a="1"/>
  <c r="AB515" i="2" s="1"/>
  <c r="AB516" i="2" a="1"/>
  <c r="AB516" i="2" s="1"/>
  <c r="AB517" i="2" a="1"/>
  <c r="AB517" i="2" s="1"/>
  <c r="AB518" i="2" a="1"/>
  <c r="AB518" i="2" s="1"/>
  <c r="AB519" i="2" a="1"/>
  <c r="AB519" i="2" s="1"/>
  <c r="AB520" i="2" a="1"/>
  <c r="AB520" i="2" s="1"/>
  <c r="AB521" i="2" a="1"/>
  <c r="AB521" i="2" s="1"/>
  <c r="AB522" i="2" a="1"/>
  <c r="AB522" i="2" s="1"/>
  <c r="AB523" i="2" a="1"/>
  <c r="AB523" i="2" s="1"/>
  <c r="AB524" i="2" a="1"/>
  <c r="AB524" i="2" s="1"/>
  <c r="AB525" i="2" a="1"/>
  <c r="AB525" i="2" s="1"/>
  <c r="AB526" i="2" a="1"/>
  <c r="AB526" i="2" s="1"/>
  <c r="AB527" i="2" a="1"/>
  <c r="AB527" i="2" s="1"/>
  <c r="AB528" i="2" a="1"/>
  <c r="AB528" i="2" s="1"/>
  <c r="AB529" i="2" a="1"/>
  <c r="AB529" i="2" s="1"/>
  <c r="AB530" i="2" a="1"/>
  <c r="AB530" i="2" s="1"/>
  <c r="AB531" i="2" a="1"/>
  <c r="AB531" i="2" s="1"/>
  <c r="AB532" i="2" a="1"/>
  <c r="AB532" i="2" s="1"/>
  <c r="AB533" i="2" a="1"/>
  <c r="AB533" i="2" s="1"/>
  <c r="AB534" i="2" a="1"/>
  <c r="AB534" i="2" s="1"/>
  <c r="AB535" i="2" a="1"/>
  <c r="AB535" i="2" s="1"/>
  <c r="AB536" i="2" a="1"/>
  <c r="AB536" i="2" s="1"/>
  <c r="AB537" i="2" a="1"/>
  <c r="AB537" i="2" s="1"/>
  <c r="AB538" i="2" a="1"/>
  <c r="AB538" i="2" s="1"/>
  <c r="AB539" i="2" a="1"/>
  <c r="AB539" i="2" s="1"/>
  <c r="AB540" i="2" a="1"/>
  <c r="AB540" i="2" s="1"/>
  <c r="AB541" i="2" a="1"/>
  <c r="AB541" i="2" s="1"/>
  <c r="AB542" i="2" a="1"/>
  <c r="AB542" i="2" s="1"/>
  <c r="AB543" i="2" a="1"/>
  <c r="AB543" i="2" s="1"/>
  <c r="AB544" i="2" a="1"/>
  <c r="AB544" i="2" s="1"/>
  <c r="AB545" i="2" a="1"/>
  <c r="AB545" i="2" s="1"/>
  <c r="AB546" i="2" a="1"/>
  <c r="AB546" i="2" s="1"/>
  <c r="AB547" i="2" a="1"/>
  <c r="AB547" i="2" s="1"/>
  <c r="AB548" i="2" a="1"/>
  <c r="AB548" i="2" s="1"/>
  <c r="AB549" i="2" a="1"/>
  <c r="AB549" i="2" s="1"/>
  <c r="AB550" i="2" a="1"/>
  <c r="AB550" i="2" s="1"/>
  <c r="AB551" i="2" a="1"/>
  <c r="AB551" i="2" s="1"/>
  <c r="AB552" i="2" a="1"/>
  <c r="AB552" i="2" s="1"/>
  <c r="AB553" i="2" a="1"/>
  <c r="AB553" i="2" s="1"/>
  <c r="AB554" i="2" a="1"/>
  <c r="AB554" i="2" s="1"/>
  <c r="AB555" i="2" a="1"/>
  <c r="AB555" i="2" s="1"/>
  <c r="AB556" i="2" a="1"/>
  <c r="AB556" i="2" s="1"/>
  <c r="AB557" i="2" a="1"/>
  <c r="AB557" i="2" s="1"/>
  <c r="AB558" i="2" a="1"/>
  <c r="AB558" i="2" s="1"/>
  <c r="AB559" i="2" a="1"/>
  <c r="AB559" i="2" s="1"/>
  <c r="AB560" i="2" a="1"/>
  <c r="AB560" i="2" s="1"/>
  <c r="AB561" i="2" a="1"/>
  <c r="AB561" i="2" s="1"/>
  <c r="AB562" i="2" a="1"/>
  <c r="AB562" i="2" s="1"/>
  <c r="AB563" i="2" a="1"/>
  <c r="AB563" i="2" s="1"/>
  <c r="AB564" i="2" a="1"/>
  <c r="AB564" i="2" s="1"/>
  <c r="AB565" i="2" a="1"/>
  <c r="AB565" i="2" s="1"/>
  <c r="AB566" i="2" a="1"/>
  <c r="AB566" i="2" s="1"/>
  <c r="AB567" i="2" a="1"/>
  <c r="AB567" i="2" s="1"/>
  <c r="AB568" i="2" a="1"/>
  <c r="AB568" i="2" s="1"/>
  <c r="AB569" i="2" a="1"/>
  <c r="AB569" i="2" s="1"/>
  <c r="AB570" i="2" a="1"/>
  <c r="AB570" i="2" s="1"/>
  <c r="AB571" i="2" a="1"/>
  <c r="AB571" i="2" s="1"/>
  <c r="AB572" i="2" a="1"/>
  <c r="AB572" i="2" s="1"/>
  <c r="AB573" i="2" a="1"/>
  <c r="AB573" i="2" s="1"/>
  <c r="AB574" i="2" a="1"/>
  <c r="AB574" i="2" s="1"/>
  <c r="AB575" i="2" a="1"/>
  <c r="AB575" i="2" s="1"/>
  <c r="AB576" i="2" a="1"/>
  <c r="AB576" i="2" s="1"/>
  <c r="AB577" i="2" a="1"/>
  <c r="AB577" i="2" s="1"/>
  <c r="AB578" i="2" a="1"/>
  <c r="AB578" i="2" s="1"/>
  <c r="AB579" i="2" a="1"/>
  <c r="AB579" i="2" s="1"/>
  <c r="AB580" i="2" a="1"/>
  <c r="AB580" i="2" s="1"/>
  <c r="AB581" i="2" a="1"/>
  <c r="AB581" i="2" s="1"/>
  <c r="AB582" i="2" a="1"/>
  <c r="AB582" i="2" s="1"/>
  <c r="AB583" i="2" a="1"/>
  <c r="AB583" i="2" s="1"/>
  <c r="AB584" i="2" a="1"/>
  <c r="AB584" i="2" s="1"/>
  <c r="AB585" i="2" a="1"/>
  <c r="AB585" i="2" s="1"/>
  <c r="AB586" i="2" a="1"/>
  <c r="AB586" i="2" s="1"/>
  <c r="AB587" i="2" a="1"/>
  <c r="AB587" i="2" s="1"/>
  <c r="AB588" i="2" a="1"/>
  <c r="AB588" i="2" s="1"/>
  <c r="AB589" i="2" a="1"/>
  <c r="AB589" i="2" s="1"/>
  <c r="AB590" i="2" a="1"/>
  <c r="AB590" i="2" s="1"/>
  <c r="AB591" i="2" a="1"/>
  <c r="AB591" i="2" s="1"/>
  <c r="AB592" i="2" a="1"/>
  <c r="AB592" i="2" s="1"/>
  <c r="AB593" i="2" a="1"/>
  <c r="AB593" i="2" s="1"/>
  <c r="AB594" i="2" a="1"/>
  <c r="AB594" i="2" s="1"/>
  <c r="AB595" i="2" a="1"/>
  <c r="AB595" i="2" s="1"/>
  <c r="AB596" i="2" a="1"/>
  <c r="AB596" i="2" s="1"/>
  <c r="AB597" i="2" a="1"/>
  <c r="AB597" i="2" s="1"/>
  <c r="AB598" i="2" a="1"/>
  <c r="AB598" i="2" s="1"/>
  <c r="AB599" i="2" a="1"/>
  <c r="AB599" i="2" s="1"/>
  <c r="AB600" i="2" a="1"/>
  <c r="AB600" i="2" s="1"/>
  <c r="AB601" i="2" a="1"/>
  <c r="AB601" i="2" s="1"/>
  <c r="AB602" i="2" a="1"/>
  <c r="AB602" i="2" s="1"/>
  <c r="AB603" i="2" a="1"/>
  <c r="AB603" i="2" s="1"/>
  <c r="AB604" i="2" a="1"/>
  <c r="AB604" i="2" s="1"/>
  <c r="AB605" i="2" a="1"/>
  <c r="AB605" i="2" s="1"/>
  <c r="AB606" i="2" a="1"/>
  <c r="AB606" i="2" s="1"/>
  <c r="AB607" i="2" a="1"/>
  <c r="AB607" i="2" s="1"/>
  <c r="AB608" i="2" a="1"/>
  <c r="AB608" i="2" s="1"/>
  <c r="AB609" i="2" a="1"/>
  <c r="AB609" i="2" s="1"/>
  <c r="AB610" i="2" a="1"/>
  <c r="AB610" i="2" s="1"/>
  <c r="AB611" i="2" a="1"/>
  <c r="AB611" i="2" s="1"/>
  <c r="AB612" i="2" a="1"/>
  <c r="AB612" i="2" s="1"/>
  <c r="AB613" i="2" a="1"/>
  <c r="AB613" i="2" s="1"/>
  <c r="AB614" i="2" a="1"/>
  <c r="AB614" i="2" s="1"/>
  <c r="AB615" i="2" a="1"/>
  <c r="AB615" i="2" s="1"/>
  <c r="AB616" i="2" a="1"/>
  <c r="AB616" i="2" s="1"/>
  <c r="AB617" i="2" a="1"/>
  <c r="AB617" i="2" s="1"/>
  <c r="AB618" i="2" a="1"/>
  <c r="AB618" i="2" s="1"/>
  <c r="AB619" i="2" a="1"/>
  <c r="AB619" i="2" s="1"/>
  <c r="AB620" i="2" a="1"/>
  <c r="AB620" i="2" s="1"/>
  <c r="AB621" i="2" a="1"/>
  <c r="AB621" i="2" s="1"/>
  <c r="AB622" i="2" a="1"/>
  <c r="AB622" i="2" s="1"/>
  <c r="AB623" i="2" a="1"/>
  <c r="AB623" i="2" s="1"/>
  <c r="AB624" i="2" a="1"/>
  <c r="AB624" i="2" s="1"/>
  <c r="AB625" i="2" a="1"/>
  <c r="AB625" i="2" s="1"/>
  <c r="AB626" i="2" a="1"/>
  <c r="AB626" i="2" s="1"/>
  <c r="AB627" i="2" a="1"/>
  <c r="AB627" i="2" s="1"/>
  <c r="AB628" i="2" a="1"/>
  <c r="AB628" i="2" s="1"/>
  <c r="AB629" i="2" a="1"/>
  <c r="AB629" i="2" s="1"/>
  <c r="AB630" i="2" a="1"/>
  <c r="AB630" i="2" s="1"/>
  <c r="AB631" i="2" a="1"/>
  <c r="AB631" i="2" s="1"/>
  <c r="AB632" i="2" a="1"/>
  <c r="AB632" i="2" s="1"/>
  <c r="AB633" i="2" a="1"/>
  <c r="AB633" i="2" s="1"/>
  <c r="AB634" i="2" a="1"/>
  <c r="AB634" i="2" s="1"/>
  <c r="AB635" i="2" a="1"/>
  <c r="AB635" i="2" s="1"/>
  <c r="AB636" i="2" a="1"/>
  <c r="AB636" i="2" s="1"/>
  <c r="AB637" i="2" a="1"/>
  <c r="AB637" i="2" s="1"/>
  <c r="AB638" i="2" a="1"/>
  <c r="AB638" i="2" s="1"/>
  <c r="AB639" i="2" a="1"/>
  <c r="AB639" i="2" s="1"/>
  <c r="AB640" i="2" a="1"/>
  <c r="AB640" i="2" s="1"/>
  <c r="AB641" i="2" a="1"/>
  <c r="AB641" i="2" s="1"/>
  <c r="AB642" i="2" a="1"/>
  <c r="AB642" i="2" s="1"/>
  <c r="AB643" i="2" a="1"/>
  <c r="AB643" i="2" s="1"/>
  <c r="AB644" i="2" a="1"/>
  <c r="AB644" i="2" s="1"/>
  <c r="AB645" i="2" a="1"/>
  <c r="AB645" i="2" s="1"/>
  <c r="AB646" i="2" a="1"/>
  <c r="AB646" i="2" s="1"/>
  <c r="AB647" i="2" a="1"/>
  <c r="AB647" i="2" s="1"/>
  <c r="AB648" i="2" a="1"/>
  <c r="AB648" i="2" s="1"/>
  <c r="AB649" i="2" a="1"/>
  <c r="AB649" i="2" s="1"/>
  <c r="AB650" i="2" a="1"/>
  <c r="AB650" i="2" s="1"/>
  <c r="AB651" i="2" a="1"/>
  <c r="AB651" i="2" s="1"/>
  <c r="AB652" i="2" a="1"/>
  <c r="AB652" i="2" s="1"/>
  <c r="AB653" i="2" a="1"/>
  <c r="AB653" i="2" s="1"/>
  <c r="AB654" i="2" a="1"/>
  <c r="AB654" i="2" s="1"/>
  <c r="AB655" i="2" a="1"/>
  <c r="AB655" i="2" s="1"/>
  <c r="AB656" i="2" a="1"/>
  <c r="AB656" i="2" s="1"/>
  <c r="AB657" i="2" a="1"/>
  <c r="AB657" i="2" s="1"/>
  <c r="AB658" i="2" a="1"/>
  <c r="AB658" i="2" s="1"/>
  <c r="AB659" i="2" a="1"/>
  <c r="AB659" i="2" s="1"/>
  <c r="AB660" i="2" a="1"/>
  <c r="AB660" i="2" s="1"/>
  <c r="AB661" i="2" a="1"/>
  <c r="AB661" i="2" s="1"/>
  <c r="AB662" i="2" a="1"/>
  <c r="AB662" i="2" s="1"/>
  <c r="AB663" i="2" a="1"/>
  <c r="AB663" i="2" s="1"/>
  <c r="AB664" i="2" a="1"/>
  <c r="AB664" i="2" s="1"/>
  <c r="AB665" i="2" a="1"/>
  <c r="AB665" i="2" s="1"/>
  <c r="AB666" i="2" a="1"/>
  <c r="AB666" i="2" s="1"/>
  <c r="AB667" i="2" a="1"/>
  <c r="AB667" i="2" s="1"/>
  <c r="AB668" i="2" a="1"/>
  <c r="AB668" i="2" s="1"/>
  <c r="AB669" i="2" a="1"/>
  <c r="AB669" i="2" s="1"/>
  <c r="AB670" i="2" a="1"/>
  <c r="AB670" i="2" s="1"/>
  <c r="AB671" i="2" a="1"/>
  <c r="AB671" i="2" s="1"/>
  <c r="AB672" i="2" a="1"/>
  <c r="AB672" i="2" s="1"/>
  <c r="AB673" i="2" a="1"/>
  <c r="AB673" i="2" s="1"/>
  <c r="AB674" i="2" a="1"/>
  <c r="AB674" i="2" s="1"/>
  <c r="AB675" i="2" a="1"/>
  <c r="AB675" i="2" s="1"/>
  <c r="AB676" i="2" a="1"/>
  <c r="AB676" i="2" s="1"/>
  <c r="AB677" i="2" a="1"/>
  <c r="AB677" i="2" s="1"/>
  <c r="AB678" i="2" a="1"/>
  <c r="AB678" i="2" s="1"/>
  <c r="AB679" i="2" a="1"/>
  <c r="AB679" i="2" s="1"/>
  <c r="AB680" i="2" a="1"/>
  <c r="AB680" i="2" s="1"/>
  <c r="AB681" i="2" a="1"/>
  <c r="AB681" i="2" s="1"/>
  <c r="AB682" i="2" a="1"/>
  <c r="AB682" i="2" s="1"/>
  <c r="AB683" i="2" a="1"/>
  <c r="AB683" i="2" s="1"/>
  <c r="AB684" i="2" a="1"/>
  <c r="AB684" i="2" s="1"/>
  <c r="AB685" i="2" a="1"/>
  <c r="AB685" i="2" s="1"/>
  <c r="AB686" i="2" a="1"/>
  <c r="AB686" i="2" s="1"/>
  <c r="AB687" i="2" a="1"/>
  <c r="AB687" i="2" s="1"/>
  <c r="AB688" i="2" a="1"/>
  <c r="AB688" i="2" s="1"/>
  <c r="AB689" i="2" a="1"/>
  <c r="AB689" i="2" s="1"/>
  <c r="AB690" i="2" a="1"/>
  <c r="AB690" i="2" s="1"/>
  <c r="AB691" i="2" a="1"/>
  <c r="AB691" i="2" s="1"/>
  <c r="AB692" i="2" a="1"/>
  <c r="AB692" i="2" s="1"/>
  <c r="AB693" i="2" a="1"/>
  <c r="AB693" i="2" s="1"/>
  <c r="AB694" i="2" a="1"/>
  <c r="AB694" i="2" s="1"/>
  <c r="AB695" i="2" a="1"/>
  <c r="AB695" i="2" s="1"/>
  <c r="AB696" i="2" a="1"/>
  <c r="AB696" i="2" s="1"/>
  <c r="AB697" i="2" a="1"/>
  <c r="AB697" i="2" s="1"/>
  <c r="AB698" i="2" a="1"/>
  <c r="AB698" i="2" s="1"/>
  <c r="AB699" i="2" a="1"/>
  <c r="AB699" i="2" s="1"/>
  <c r="AB700" i="2" a="1"/>
  <c r="AB700" i="2" s="1"/>
  <c r="AB701" i="2" a="1"/>
  <c r="AB701" i="2" s="1"/>
  <c r="AB702" i="2" a="1"/>
  <c r="AB702" i="2" s="1"/>
  <c r="AB703" i="2" a="1"/>
  <c r="AB703" i="2" s="1"/>
  <c r="AB704" i="2" a="1"/>
  <c r="AB704" i="2" s="1"/>
  <c r="AB705" i="2" a="1"/>
  <c r="AB705" i="2" s="1"/>
  <c r="AB706" i="2" a="1"/>
  <c r="AB706" i="2" s="1"/>
  <c r="AB707" i="2" a="1"/>
  <c r="AB707" i="2" s="1"/>
  <c r="AB708" i="2" a="1"/>
  <c r="AB708" i="2" s="1"/>
  <c r="AB709" i="2" a="1"/>
  <c r="AB709" i="2" s="1"/>
  <c r="AB710" i="2" a="1"/>
  <c r="AB710" i="2" s="1"/>
  <c r="AB711" i="2" a="1"/>
  <c r="AB711" i="2" s="1"/>
  <c r="AB712" i="2" a="1"/>
  <c r="AB712" i="2" s="1"/>
  <c r="AB713" i="2" a="1"/>
  <c r="AB713" i="2" s="1"/>
  <c r="AB714" i="2" a="1"/>
  <c r="AB714" i="2" s="1"/>
  <c r="AB715" i="2" a="1"/>
  <c r="AB715" i="2" s="1"/>
  <c r="AB716" i="2" a="1"/>
  <c r="AB716" i="2" s="1"/>
  <c r="AB717" i="2" a="1"/>
  <c r="AB717" i="2" s="1"/>
  <c r="AB718" i="2" a="1"/>
  <c r="AB718" i="2" s="1"/>
  <c r="AB719" i="2" a="1"/>
  <c r="AB719" i="2" s="1"/>
  <c r="AB720" i="2" a="1"/>
  <c r="AB720" i="2" s="1"/>
  <c r="AB721" i="2" a="1"/>
  <c r="AB721" i="2" s="1"/>
  <c r="AB722" i="2" a="1"/>
  <c r="AB722" i="2" s="1"/>
  <c r="AB723" i="2" a="1"/>
  <c r="AB723" i="2" s="1"/>
  <c r="AB724" i="2" a="1"/>
  <c r="AB724" i="2" s="1"/>
  <c r="AB725" i="2" a="1"/>
  <c r="AB725" i="2" s="1"/>
  <c r="AB726" i="2" a="1"/>
  <c r="AB726" i="2" s="1"/>
  <c r="AB727" i="2" a="1"/>
  <c r="AB727" i="2" s="1"/>
  <c r="AB728" i="2" a="1"/>
  <c r="AB728" i="2" s="1"/>
  <c r="AB729" i="2" a="1"/>
  <c r="AB729" i="2" s="1"/>
  <c r="AB730" i="2" a="1"/>
  <c r="AB730" i="2" s="1"/>
  <c r="AB731" i="2" a="1"/>
  <c r="AB731" i="2" s="1"/>
  <c r="AB732" i="2" a="1"/>
  <c r="AB732" i="2" s="1"/>
  <c r="AB733" i="2" a="1"/>
  <c r="AB733" i="2" s="1"/>
  <c r="AB734" i="2" a="1"/>
  <c r="AB734" i="2" s="1"/>
  <c r="AB735" i="2" a="1"/>
  <c r="AB735" i="2" s="1"/>
  <c r="AB736" i="2" a="1"/>
  <c r="AB736" i="2" s="1"/>
  <c r="AB737" i="2" a="1"/>
  <c r="AB737" i="2" s="1"/>
  <c r="AB738" i="2" a="1"/>
  <c r="AB738" i="2" s="1"/>
  <c r="AB739" i="2" a="1"/>
  <c r="AB739" i="2" s="1"/>
  <c r="AB740" i="2" a="1"/>
  <c r="AB740" i="2" s="1"/>
  <c r="AB741" i="2" a="1"/>
  <c r="AB741" i="2" s="1"/>
  <c r="AB742" i="2" a="1"/>
  <c r="AB742" i="2" s="1"/>
  <c r="AB743" i="2" a="1"/>
  <c r="AB743" i="2" s="1"/>
  <c r="AB744" i="2" a="1"/>
  <c r="AB744" i="2" s="1"/>
  <c r="AB745" i="2" a="1"/>
  <c r="AB745" i="2" s="1"/>
  <c r="AB746" i="2" a="1"/>
  <c r="AB746" i="2" s="1"/>
  <c r="AB747" i="2" a="1"/>
  <c r="AB747" i="2" s="1"/>
  <c r="AB748" i="2" a="1"/>
  <c r="AB748" i="2" s="1"/>
  <c r="AB749" i="2" a="1"/>
  <c r="AB749" i="2" s="1"/>
  <c r="AB750" i="2" a="1"/>
  <c r="AB750" i="2" s="1"/>
  <c r="AB751" i="2" a="1"/>
  <c r="AB751" i="2" s="1"/>
  <c r="AB752" i="2" a="1"/>
  <c r="AB752" i="2" s="1"/>
  <c r="AB753" i="2" a="1"/>
  <c r="AB753" i="2" s="1"/>
  <c r="AB754" i="2" a="1"/>
  <c r="AB754" i="2" s="1"/>
  <c r="AB755" i="2" a="1"/>
  <c r="AB755" i="2" s="1"/>
  <c r="AB756" i="2" a="1"/>
  <c r="AB756" i="2" s="1"/>
  <c r="AB757" i="2" a="1"/>
  <c r="AB757" i="2" s="1"/>
  <c r="AB758" i="2" a="1"/>
  <c r="AB758" i="2" s="1"/>
  <c r="AB759" i="2" a="1"/>
  <c r="AB759" i="2" s="1"/>
  <c r="AB760" i="2" a="1"/>
  <c r="AB760" i="2" s="1"/>
  <c r="AB761" i="2" a="1"/>
  <c r="AB761" i="2" s="1"/>
  <c r="AB762" i="2" a="1"/>
  <c r="AB762" i="2" s="1"/>
  <c r="AB763" i="2" a="1"/>
  <c r="AB763" i="2" s="1"/>
  <c r="AB764" i="2" a="1"/>
  <c r="AB764" i="2" s="1"/>
  <c r="AB765" i="2" a="1"/>
  <c r="AB765" i="2" s="1"/>
  <c r="AB766" i="2" a="1"/>
  <c r="AB766" i="2" s="1"/>
  <c r="AB767" i="2" a="1"/>
  <c r="AB767" i="2" s="1"/>
  <c r="AB768" i="2" a="1"/>
  <c r="AB768" i="2" s="1"/>
  <c r="AB769" i="2" a="1"/>
  <c r="AB769" i="2" s="1"/>
  <c r="AB770" i="2" a="1"/>
  <c r="AB770" i="2" s="1"/>
  <c r="AB771" i="2" a="1"/>
  <c r="AB771" i="2" s="1"/>
  <c r="AB772" i="2" a="1"/>
  <c r="AB772" i="2" s="1"/>
  <c r="AB773" i="2" a="1"/>
  <c r="AB773" i="2" s="1"/>
  <c r="AB774" i="2" a="1"/>
  <c r="AB774" i="2" s="1"/>
  <c r="AB775" i="2" a="1"/>
  <c r="AB775" i="2" s="1"/>
  <c r="AB776" i="2" a="1"/>
  <c r="AB776" i="2" s="1"/>
  <c r="AB777" i="2" a="1"/>
  <c r="AB777" i="2" s="1"/>
  <c r="AB778" i="2" a="1"/>
  <c r="AB778" i="2" s="1"/>
  <c r="AB779" i="2" a="1"/>
  <c r="AB779" i="2" s="1"/>
  <c r="AB780" i="2" a="1"/>
  <c r="AB780" i="2" s="1"/>
  <c r="AB781" i="2" a="1"/>
  <c r="AB781" i="2" s="1"/>
  <c r="AB782" i="2" a="1"/>
  <c r="AB782" i="2" s="1"/>
  <c r="AB783" i="2" a="1"/>
  <c r="AB783" i="2" s="1"/>
  <c r="AB784" i="2" a="1"/>
  <c r="AB784" i="2" s="1"/>
  <c r="AB785" i="2" a="1"/>
  <c r="AB785" i="2" s="1"/>
  <c r="AB786" i="2" a="1"/>
  <c r="AB786" i="2" s="1"/>
  <c r="AB787" i="2" a="1"/>
  <c r="AB787" i="2" s="1"/>
  <c r="AB788" i="2" a="1"/>
  <c r="AB788" i="2" s="1"/>
  <c r="AB789" i="2" a="1"/>
  <c r="AB789" i="2" s="1"/>
  <c r="AB790" i="2" a="1"/>
  <c r="AB790" i="2" s="1"/>
  <c r="AB791" i="2" a="1"/>
  <c r="AB791" i="2" s="1"/>
  <c r="AB792" i="2" a="1"/>
  <c r="AB792" i="2" s="1"/>
  <c r="AB793" i="2" a="1"/>
  <c r="AB793" i="2" s="1"/>
  <c r="AB794" i="2" a="1"/>
  <c r="AB794" i="2" s="1"/>
  <c r="AB795" i="2" a="1"/>
  <c r="AB795" i="2" s="1"/>
  <c r="AB796" i="2" a="1"/>
  <c r="AB796" i="2" s="1"/>
  <c r="AB797" i="2" a="1"/>
  <c r="AB797" i="2" s="1"/>
  <c r="AB798" i="2" a="1"/>
  <c r="AB798" i="2" s="1"/>
  <c r="AB799" i="2" a="1"/>
  <c r="AB799" i="2" s="1"/>
  <c r="AB800" i="2" a="1"/>
  <c r="AB800" i="2" s="1"/>
  <c r="AB801" i="2" a="1"/>
  <c r="AB801" i="2" s="1"/>
  <c r="AB802" i="2" a="1"/>
  <c r="AB802" i="2" s="1"/>
  <c r="AB803" i="2" a="1"/>
  <c r="AB803" i="2" s="1"/>
  <c r="AB804" i="2" a="1"/>
  <c r="AB804" i="2" s="1"/>
  <c r="AB805" i="2" a="1"/>
  <c r="AB805" i="2" s="1"/>
  <c r="AB806" i="2" a="1"/>
  <c r="AB806" i="2" s="1"/>
  <c r="AB807" i="2" a="1"/>
  <c r="AB807" i="2" s="1"/>
  <c r="AB808" i="2" a="1"/>
  <c r="AB808" i="2" s="1"/>
  <c r="AB809" i="2" a="1"/>
  <c r="AB809" i="2" s="1"/>
  <c r="AB810" i="2" a="1"/>
  <c r="AB810" i="2" s="1"/>
  <c r="AB811" i="2" a="1"/>
  <c r="AB811" i="2" s="1"/>
  <c r="AB812" i="2" a="1"/>
  <c r="AB812" i="2" s="1"/>
  <c r="AB813" i="2" a="1"/>
  <c r="AB813" i="2" s="1"/>
  <c r="AB814" i="2" a="1"/>
  <c r="AB814" i="2" s="1"/>
  <c r="AB815" i="2" a="1"/>
  <c r="AB815" i="2" s="1"/>
  <c r="AB816" i="2" a="1"/>
  <c r="AB816" i="2" s="1"/>
  <c r="AB817" i="2" a="1"/>
  <c r="AB817" i="2" s="1"/>
  <c r="AB818" i="2" a="1"/>
  <c r="AB818" i="2" s="1"/>
  <c r="AB819" i="2" a="1"/>
  <c r="AB819" i="2" s="1"/>
  <c r="AB820" i="2" a="1"/>
  <c r="AB820" i="2" s="1"/>
  <c r="AB821" i="2" a="1"/>
  <c r="AB821" i="2" s="1"/>
  <c r="AB822" i="2" a="1"/>
  <c r="AB822" i="2" s="1"/>
  <c r="AB823" i="2" a="1"/>
  <c r="AB823" i="2" s="1"/>
  <c r="AB824" i="2" a="1"/>
  <c r="AB824" i="2" s="1"/>
  <c r="AB825" i="2" a="1"/>
  <c r="AB825" i="2" s="1"/>
  <c r="AB826" i="2" a="1"/>
  <c r="AB826" i="2" s="1"/>
  <c r="AB827" i="2" a="1"/>
  <c r="AB827" i="2" s="1"/>
  <c r="AB828" i="2" a="1"/>
  <c r="AB828" i="2" s="1"/>
  <c r="AB829" i="2" a="1"/>
  <c r="AB829" i="2" s="1"/>
  <c r="AB830" i="2" a="1"/>
  <c r="AB830" i="2" s="1"/>
  <c r="AB831" i="2" a="1"/>
  <c r="AB831" i="2" s="1"/>
  <c r="AB832" i="2" a="1"/>
  <c r="AB832" i="2" s="1"/>
  <c r="AB833" i="2" a="1"/>
  <c r="AB833" i="2" s="1"/>
  <c r="AB834" i="2" a="1"/>
  <c r="AB834" i="2" s="1"/>
  <c r="AB835" i="2" a="1"/>
  <c r="AB835" i="2" s="1"/>
  <c r="AB836" i="2" a="1"/>
  <c r="AB836" i="2" s="1"/>
  <c r="AB837" i="2" a="1"/>
  <c r="AB837" i="2" s="1"/>
  <c r="AB838" i="2" a="1"/>
  <c r="AB838" i="2" s="1"/>
  <c r="AB839" i="2" a="1"/>
  <c r="AB839" i="2" s="1"/>
  <c r="AB840" i="2" a="1"/>
  <c r="AB840" i="2" s="1"/>
  <c r="AB841" i="2" a="1"/>
  <c r="AB841" i="2" s="1"/>
  <c r="AB842" i="2" a="1"/>
  <c r="AB842" i="2" s="1"/>
  <c r="AB843" i="2" a="1"/>
  <c r="AB843" i="2" s="1"/>
  <c r="AB844" i="2" a="1"/>
  <c r="AB844" i="2" s="1"/>
  <c r="AB845" i="2" a="1"/>
  <c r="AB845" i="2" s="1"/>
  <c r="AB846" i="2" a="1"/>
  <c r="AB846" i="2" s="1"/>
  <c r="AB847" i="2" a="1"/>
  <c r="AB847" i="2" s="1"/>
  <c r="AB848" i="2" a="1"/>
  <c r="AB848" i="2" s="1"/>
  <c r="AB849" i="2" a="1"/>
  <c r="AB849" i="2" s="1"/>
  <c r="AB850" i="2" a="1"/>
  <c r="AB850" i="2" s="1"/>
  <c r="AB851" i="2" a="1"/>
  <c r="AB851" i="2" s="1"/>
  <c r="AB852" i="2" a="1"/>
  <c r="AB852" i="2" s="1"/>
  <c r="AB853" i="2" a="1"/>
  <c r="AB853" i="2" s="1"/>
  <c r="AB854" i="2" a="1"/>
  <c r="AB854" i="2" s="1"/>
  <c r="AB855" i="2" a="1"/>
  <c r="AB855" i="2" s="1"/>
  <c r="AB856" i="2" a="1"/>
  <c r="AB856" i="2" s="1"/>
  <c r="AB857" i="2" a="1"/>
  <c r="AB857" i="2" s="1"/>
  <c r="AB858" i="2" a="1"/>
  <c r="AB858" i="2" s="1"/>
  <c r="AB859" i="2" a="1"/>
  <c r="AB859" i="2" s="1"/>
  <c r="AB860" i="2" a="1"/>
  <c r="AB860" i="2" s="1"/>
  <c r="AB861" i="2" a="1"/>
  <c r="AB861" i="2" s="1"/>
  <c r="AB862" i="2" a="1"/>
  <c r="AB862" i="2" s="1"/>
  <c r="AB863" i="2" a="1"/>
  <c r="AB863" i="2" s="1"/>
  <c r="AB864" i="2" a="1"/>
  <c r="AB864" i="2" s="1"/>
  <c r="AB865" i="2" a="1"/>
  <c r="AB865" i="2" s="1"/>
  <c r="AB866" i="2" a="1"/>
  <c r="AB866" i="2" s="1"/>
  <c r="AB867" i="2" a="1"/>
  <c r="AB867" i="2" s="1"/>
  <c r="AB868" i="2" a="1"/>
  <c r="AB868" i="2" s="1"/>
  <c r="AB869" i="2" a="1"/>
  <c r="AB869" i="2" s="1"/>
  <c r="AB870" i="2" a="1"/>
  <c r="AB870" i="2" s="1"/>
  <c r="AB871" i="2" a="1"/>
  <c r="AB871" i="2" s="1"/>
  <c r="AB872" i="2" a="1"/>
  <c r="AB872" i="2" s="1"/>
  <c r="AB873" i="2" a="1"/>
  <c r="AB873" i="2" s="1"/>
  <c r="AB874" i="2" a="1"/>
  <c r="AB874" i="2" s="1"/>
  <c r="AB875" i="2" a="1"/>
  <c r="AB875" i="2" s="1"/>
  <c r="AB876" i="2" a="1"/>
  <c r="AB876" i="2" s="1"/>
  <c r="AB877" i="2" a="1"/>
  <c r="AB877" i="2" s="1"/>
  <c r="AB878" i="2" a="1"/>
  <c r="AB878" i="2" s="1"/>
  <c r="AB879" i="2" a="1"/>
  <c r="AB879" i="2" s="1"/>
  <c r="AB880" i="2" a="1"/>
  <c r="AB880" i="2" s="1"/>
  <c r="AB881" i="2" a="1"/>
  <c r="AB881" i="2" s="1"/>
  <c r="AB882" i="2" a="1"/>
  <c r="AB882" i="2" s="1"/>
  <c r="AB883" i="2" a="1"/>
  <c r="AB883" i="2" s="1"/>
  <c r="AB884" i="2" a="1"/>
  <c r="AB884" i="2" s="1"/>
  <c r="AB885" i="2" a="1"/>
  <c r="AB885" i="2" s="1"/>
  <c r="AB886" i="2" a="1"/>
  <c r="AB886" i="2" s="1"/>
  <c r="AB887" i="2" a="1"/>
  <c r="AB887" i="2" s="1"/>
  <c r="AB888" i="2" a="1"/>
  <c r="AB888" i="2" s="1"/>
  <c r="AB889" i="2" a="1"/>
  <c r="AB889" i="2" s="1"/>
  <c r="AB890" i="2" a="1"/>
  <c r="AB890" i="2" s="1"/>
  <c r="AB891" i="2" a="1"/>
  <c r="AB891" i="2" s="1"/>
  <c r="AB892" i="2" a="1"/>
  <c r="AB892" i="2" s="1"/>
  <c r="AB893" i="2" a="1"/>
  <c r="AB893" i="2" s="1"/>
  <c r="AB894" i="2" a="1"/>
  <c r="AB894" i="2" s="1"/>
  <c r="AB895" i="2" a="1"/>
  <c r="AB895" i="2" s="1"/>
  <c r="AB896" i="2" a="1"/>
  <c r="AB896" i="2" s="1"/>
  <c r="AB897" i="2" a="1"/>
  <c r="AB897" i="2" s="1"/>
  <c r="AB898" i="2" a="1"/>
  <c r="AB898" i="2" s="1"/>
  <c r="AB899" i="2" a="1"/>
  <c r="AB899" i="2" s="1"/>
  <c r="AB900" i="2" a="1"/>
  <c r="AB900" i="2" s="1"/>
  <c r="AB901" i="2" a="1"/>
  <c r="AB901" i="2" s="1"/>
  <c r="AB902" i="2" a="1"/>
  <c r="AB902" i="2" s="1"/>
  <c r="AB903" i="2" a="1"/>
  <c r="AB903" i="2" s="1"/>
  <c r="AB904" i="2" a="1"/>
  <c r="AB904" i="2" s="1"/>
  <c r="AB905" i="2" a="1"/>
  <c r="AB905" i="2" s="1"/>
  <c r="AB906" i="2" a="1"/>
  <c r="AB906" i="2" s="1"/>
  <c r="AB907" i="2" a="1"/>
  <c r="AB907" i="2" s="1"/>
  <c r="AB908" i="2" a="1"/>
  <c r="AB908" i="2" s="1"/>
  <c r="AB909" i="2" a="1"/>
  <c r="AB909" i="2" s="1"/>
  <c r="AB910" i="2" a="1"/>
  <c r="AB910" i="2" s="1"/>
  <c r="AB911" i="2" a="1"/>
  <c r="AB911" i="2" s="1"/>
  <c r="AB912" i="2" a="1"/>
  <c r="AB912" i="2" s="1"/>
  <c r="AB913" i="2" a="1"/>
  <c r="AB913" i="2" s="1"/>
  <c r="AB914" i="2" a="1"/>
  <c r="AB914" i="2" s="1"/>
  <c r="AB915" i="2" a="1"/>
  <c r="AB915" i="2" s="1"/>
  <c r="AB916" i="2" a="1"/>
  <c r="AB916" i="2" s="1"/>
  <c r="AB917" i="2" a="1"/>
  <c r="AB917" i="2" s="1"/>
  <c r="AB918" i="2" a="1"/>
  <c r="AB918" i="2" s="1"/>
  <c r="AB919" i="2" a="1"/>
  <c r="AB919" i="2" s="1"/>
  <c r="AB920" i="2" a="1"/>
  <c r="AB920" i="2" s="1"/>
  <c r="AB921" i="2" a="1"/>
  <c r="AB921" i="2" s="1"/>
  <c r="AB922" i="2" a="1"/>
  <c r="AB922" i="2" s="1"/>
  <c r="AB923" i="2" a="1"/>
  <c r="AB923" i="2" s="1"/>
  <c r="AB924" i="2" a="1"/>
  <c r="AB924" i="2" s="1"/>
  <c r="AB925" i="2" a="1"/>
  <c r="AB925" i="2" s="1"/>
  <c r="AB926" i="2" a="1"/>
  <c r="AB926" i="2" s="1"/>
  <c r="AB927" i="2" a="1"/>
  <c r="AB927" i="2" s="1"/>
  <c r="AB928" i="2" a="1"/>
  <c r="AB928" i="2" s="1"/>
  <c r="AB929" i="2" a="1"/>
  <c r="AB929" i="2" s="1"/>
  <c r="AB930" i="2" a="1"/>
  <c r="AB930" i="2" s="1"/>
  <c r="AB931" i="2" a="1"/>
  <c r="AB931" i="2" s="1"/>
  <c r="AB932" i="2" a="1"/>
  <c r="AB932" i="2" s="1"/>
  <c r="AB933" i="2" a="1"/>
  <c r="AB933" i="2" s="1"/>
  <c r="AB934" i="2" a="1"/>
  <c r="AB934" i="2" s="1"/>
  <c r="AB935" i="2" a="1"/>
  <c r="AB935" i="2" s="1"/>
  <c r="AB936" i="2" a="1"/>
  <c r="AB936" i="2" s="1"/>
  <c r="AB937" i="2" a="1"/>
  <c r="AB937" i="2" s="1"/>
  <c r="AB938" i="2" a="1"/>
  <c r="AB938" i="2" s="1"/>
  <c r="AB939" i="2" a="1"/>
  <c r="AB939" i="2" s="1"/>
  <c r="AB940" i="2" a="1"/>
  <c r="AB940" i="2" s="1"/>
  <c r="AB941" i="2" a="1"/>
  <c r="AB941" i="2" s="1"/>
  <c r="AB942" i="2" a="1"/>
  <c r="AB942" i="2" s="1"/>
  <c r="AB943" i="2" a="1"/>
  <c r="AB943" i="2" s="1"/>
  <c r="AB944" i="2" a="1"/>
  <c r="AB944" i="2" s="1"/>
  <c r="AB945" i="2" a="1"/>
  <c r="AB945" i="2" s="1"/>
  <c r="AB946" i="2" a="1"/>
  <c r="AB946" i="2" s="1"/>
  <c r="AB947" i="2" a="1"/>
  <c r="AB947" i="2" s="1"/>
  <c r="AB948" i="2" a="1"/>
  <c r="AB948" i="2" s="1"/>
  <c r="AB949" i="2" a="1"/>
  <c r="AB949" i="2" s="1"/>
  <c r="AB950" i="2" a="1"/>
  <c r="AB950" i="2" s="1"/>
  <c r="AB951" i="2" a="1"/>
  <c r="AB951" i="2" s="1"/>
  <c r="AB952" i="2" a="1"/>
  <c r="AB952" i="2" s="1"/>
  <c r="AB953" i="2" a="1"/>
  <c r="AB953" i="2" s="1"/>
  <c r="AB954" i="2" a="1"/>
  <c r="AB954" i="2" s="1"/>
  <c r="AB955" i="2" a="1"/>
  <c r="AB955" i="2" s="1"/>
  <c r="AB956" i="2" a="1"/>
  <c r="AB956" i="2" s="1"/>
  <c r="AB957" i="2" a="1"/>
  <c r="AB957" i="2" s="1"/>
  <c r="AB958" i="2" a="1"/>
  <c r="AB958" i="2" s="1"/>
  <c r="AB959" i="2" a="1"/>
  <c r="AB959" i="2" s="1"/>
  <c r="AB960" i="2" a="1"/>
  <c r="AB960" i="2" s="1"/>
  <c r="AB961" i="2" a="1"/>
  <c r="AB961" i="2" s="1"/>
  <c r="AB962" i="2" a="1"/>
  <c r="AB962" i="2" s="1"/>
  <c r="AB963" i="2" a="1"/>
  <c r="AB963" i="2" s="1"/>
  <c r="AB964" i="2" a="1"/>
  <c r="AB964" i="2" s="1"/>
  <c r="AB965" i="2" a="1"/>
  <c r="AB965" i="2" s="1"/>
  <c r="AB966" i="2" a="1"/>
  <c r="AB966" i="2" s="1"/>
  <c r="AB967" i="2" a="1"/>
  <c r="AB967" i="2" s="1"/>
  <c r="AB968" i="2" a="1"/>
  <c r="AB968" i="2" s="1"/>
  <c r="AB969" i="2" a="1"/>
  <c r="AB969" i="2" s="1"/>
  <c r="AB970" i="2" a="1"/>
  <c r="AB970" i="2" s="1"/>
  <c r="AB971" i="2" a="1"/>
  <c r="AB971" i="2" s="1"/>
  <c r="AB972" i="2" a="1"/>
  <c r="AB972" i="2" s="1"/>
  <c r="AB973" i="2" a="1"/>
  <c r="AB973" i="2" s="1"/>
  <c r="AB974" i="2" a="1"/>
  <c r="AB974" i="2" s="1"/>
  <c r="AB975" i="2" a="1"/>
  <c r="AB975" i="2" s="1"/>
  <c r="AB976" i="2" a="1"/>
  <c r="AB976" i="2" s="1"/>
  <c r="AB977" i="2" a="1"/>
  <c r="AB977" i="2" s="1"/>
  <c r="AB978" i="2" a="1"/>
  <c r="AB978" i="2" s="1"/>
  <c r="AB979" i="2" a="1"/>
  <c r="AB979" i="2" s="1"/>
  <c r="AB980" i="2" a="1"/>
  <c r="AB980" i="2" s="1"/>
  <c r="AB981" i="2" a="1"/>
  <c r="AB981" i="2" s="1"/>
  <c r="AB982" i="2" a="1"/>
  <c r="AB982" i="2" s="1"/>
  <c r="AB983" i="2" a="1"/>
  <c r="AB983" i="2" s="1"/>
  <c r="AB984" i="2" a="1"/>
  <c r="AB984" i="2" s="1"/>
  <c r="AB985" i="2" a="1"/>
  <c r="AB985" i="2" s="1"/>
  <c r="AB986" i="2" a="1"/>
  <c r="AB986" i="2" s="1"/>
  <c r="AB987" i="2" a="1"/>
  <c r="AB987" i="2" s="1"/>
  <c r="AB988" i="2" a="1"/>
  <c r="AB988" i="2" s="1"/>
  <c r="AB989" i="2" a="1"/>
  <c r="AB989" i="2" s="1"/>
  <c r="AB990" i="2" a="1"/>
  <c r="AB990" i="2" s="1"/>
  <c r="AB991" i="2" a="1"/>
  <c r="AB991" i="2" s="1"/>
  <c r="AB992" i="2" a="1"/>
  <c r="AB992" i="2" s="1"/>
  <c r="AB993" i="2" a="1"/>
  <c r="AB993" i="2" s="1"/>
  <c r="AB994" i="2" a="1"/>
  <c r="AB994" i="2" s="1"/>
  <c r="AB995" i="2" a="1"/>
  <c r="AB995" i="2" s="1"/>
  <c r="AB996" i="2" a="1"/>
  <c r="AB996" i="2" s="1"/>
  <c r="AB997" i="2" a="1"/>
  <c r="AB997" i="2" s="1"/>
  <c r="AB998" i="2" a="1"/>
  <c r="AB998" i="2" s="1"/>
  <c r="AB999" i="2" a="1"/>
  <c r="AB999" i="2" s="1"/>
  <c r="AB1000" i="2" a="1"/>
  <c r="AB1000" i="2" s="1"/>
  <c r="AB1001" i="2" a="1"/>
  <c r="AB1001" i="2" s="1"/>
  <c r="AB1002" i="2" a="1"/>
  <c r="AB1002" i="2" s="1"/>
  <c r="AB1003" i="2" a="1"/>
  <c r="AB1003" i="2" s="1"/>
  <c r="AB1004" i="2" a="1"/>
  <c r="AB1004" i="2" s="1"/>
  <c r="AB1005" i="2" a="1"/>
  <c r="AB1005" i="2" s="1"/>
  <c r="AB1006" i="2" a="1"/>
  <c r="AB1006" i="2" s="1"/>
  <c r="AB1007" i="2" a="1"/>
  <c r="AB1007" i="2" s="1"/>
  <c r="AB1008" i="2" a="1"/>
  <c r="AB1008" i="2" s="1"/>
  <c r="AB1009" i="2" a="1"/>
  <c r="AB1009" i="2" s="1"/>
  <c r="AB1010" i="2" a="1"/>
  <c r="AB1010" i="2" s="1"/>
  <c r="AB1011" i="2" a="1"/>
  <c r="AB1011" i="2" s="1"/>
  <c r="AB1012" i="2" a="1"/>
  <c r="AB1012" i="2" s="1"/>
  <c r="AB1013" i="2" a="1"/>
  <c r="AB1013" i="2" s="1"/>
  <c r="AB1014" i="2" a="1"/>
  <c r="AB1014" i="2" s="1"/>
  <c r="AB1015" i="2" a="1"/>
  <c r="AB1015" i="2" s="1"/>
  <c r="AB1016" i="2" a="1"/>
  <c r="AB1016" i="2" s="1"/>
  <c r="AB1017" i="2" a="1"/>
  <c r="AB1017" i="2" s="1"/>
  <c r="AB1018" i="2" a="1"/>
  <c r="AB1018" i="2" s="1"/>
  <c r="AB1019" i="2" a="1"/>
  <c r="AB1019" i="2" s="1"/>
  <c r="AB1020" i="2" a="1"/>
  <c r="AB1020" i="2" s="1"/>
  <c r="AB1021" i="2" a="1"/>
  <c r="AB1021" i="2" s="1"/>
  <c r="AB1022" i="2" a="1"/>
  <c r="AB1022" i="2" s="1"/>
  <c r="AB1023" i="2" a="1"/>
  <c r="AB1023" i="2" s="1"/>
  <c r="AB1024" i="2" a="1"/>
  <c r="AB1024" i="2" s="1"/>
  <c r="AB1025" i="2" a="1"/>
  <c r="AB1025" i="2" s="1"/>
  <c r="AB1026" i="2" a="1"/>
  <c r="AB1026" i="2" s="1"/>
  <c r="AB1027" i="2" a="1"/>
  <c r="AB1027" i="2" s="1"/>
  <c r="AB1028" i="2" a="1"/>
  <c r="AB1028" i="2" s="1"/>
  <c r="AB1029" i="2" a="1"/>
  <c r="AB1029" i="2" s="1"/>
  <c r="AB1030" i="2" a="1"/>
  <c r="AB1030" i="2" s="1"/>
  <c r="AB1031" i="2" a="1"/>
  <c r="AB1031" i="2" s="1"/>
  <c r="AB1032" i="2" a="1"/>
  <c r="AB1032" i="2" s="1"/>
  <c r="AB1033" i="2" a="1"/>
  <c r="AB1033" i="2" s="1"/>
  <c r="AB1034" i="2" a="1"/>
  <c r="AB1034" i="2" s="1"/>
  <c r="AB1035" i="2" a="1"/>
  <c r="AB1035" i="2" s="1"/>
  <c r="AB1036" i="2" a="1"/>
  <c r="AB1036" i="2" s="1"/>
  <c r="AB1037" i="2" a="1"/>
  <c r="AB1037" i="2" s="1"/>
  <c r="AB1038" i="2" a="1"/>
  <c r="AB1038" i="2" s="1"/>
  <c r="AB1039" i="2" a="1"/>
  <c r="AB1039" i="2" s="1"/>
  <c r="AB1040" i="2" a="1"/>
  <c r="AB1040" i="2" s="1"/>
  <c r="AB1041" i="2" a="1"/>
  <c r="AB1041" i="2" s="1"/>
  <c r="AB1042" i="2" a="1"/>
  <c r="AB1042" i="2" s="1"/>
  <c r="AB1043" i="2" a="1"/>
  <c r="AB1043" i="2" s="1"/>
  <c r="AB1044" i="2" a="1"/>
  <c r="AB1044" i="2" s="1"/>
  <c r="AB1045" i="2" a="1"/>
  <c r="AB1045" i="2" s="1"/>
  <c r="AB1046" i="2" a="1"/>
  <c r="AB1046" i="2" s="1"/>
  <c r="AB1047" i="2" a="1"/>
  <c r="AB1047" i="2" s="1"/>
  <c r="AB1048" i="2" a="1"/>
  <c r="AB1048" i="2" s="1"/>
  <c r="AB1049" i="2" a="1"/>
  <c r="AB1049" i="2" s="1"/>
  <c r="AB1050" i="2" a="1"/>
  <c r="AB1050" i="2" s="1"/>
  <c r="AB1051" i="2" a="1"/>
  <c r="AB1051" i="2" s="1"/>
  <c r="AB1052" i="2" a="1"/>
  <c r="AB1052" i="2" s="1"/>
  <c r="AB1053" i="2" a="1"/>
  <c r="AB1053" i="2" s="1"/>
  <c r="AB1054" i="2" a="1"/>
  <c r="AB1054" i="2" s="1"/>
  <c r="AB1055" i="2" a="1"/>
  <c r="AB1055" i="2" s="1"/>
  <c r="AB1056" i="2" a="1"/>
  <c r="AB1056" i="2" s="1"/>
  <c r="AB1057" i="2" a="1"/>
  <c r="AB1057" i="2" s="1"/>
  <c r="AB1058" i="2" a="1"/>
  <c r="AB1058" i="2" s="1"/>
  <c r="AB1059" i="2" a="1"/>
  <c r="AB1059" i="2" s="1"/>
  <c r="AB1060" i="2" a="1"/>
  <c r="AB1060" i="2" s="1"/>
  <c r="AB1061" i="2" a="1"/>
  <c r="AB1061" i="2" s="1"/>
  <c r="AB1062" i="2" a="1"/>
  <c r="AB1062" i="2" s="1"/>
  <c r="AB1063" i="2" a="1"/>
  <c r="AB1063" i="2" s="1"/>
  <c r="AB1064" i="2" a="1"/>
  <c r="AB1064" i="2" s="1"/>
  <c r="AB1065" i="2" a="1"/>
  <c r="AB1065" i="2" s="1"/>
  <c r="AB1066" i="2" a="1"/>
  <c r="AB1066" i="2" s="1"/>
  <c r="AB1067" i="2" a="1"/>
  <c r="AB1067" i="2" s="1"/>
  <c r="AB1068" i="2" a="1"/>
  <c r="AB1068" i="2" s="1"/>
  <c r="AB1069" i="2" a="1"/>
  <c r="AB1069" i="2" s="1"/>
  <c r="AB1070" i="2" a="1"/>
  <c r="AB1070" i="2" s="1"/>
  <c r="AB1071" i="2" a="1"/>
  <c r="AB1071" i="2" s="1"/>
  <c r="AB1072" i="2" a="1"/>
  <c r="AB1072" i="2" s="1"/>
  <c r="AB1073" i="2" a="1"/>
  <c r="AB1073" i="2" s="1"/>
  <c r="AB1074" i="2" a="1"/>
  <c r="AB1074" i="2" s="1"/>
  <c r="AB1075" i="2" a="1"/>
  <c r="AB1075" i="2" s="1"/>
  <c r="AB1076" i="2" a="1"/>
  <c r="AB1076" i="2" s="1"/>
  <c r="AB1077" i="2" a="1"/>
  <c r="AB1077" i="2" s="1"/>
  <c r="AB1078" i="2" a="1"/>
  <c r="AB1078" i="2" s="1"/>
  <c r="AB1079" i="2" a="1"/>
  <c r="AB1079" i="2" s="1"/>
  <c r="AB1080" i="2" a="1"/>
  <c r="AB1080" i="2" s="1"/>
  <c r="AB1081" i="2" a="1"/>
  <c r="AB1081" i="2" s="1"/>
  <c r="AB1082" i="2" a="1"/>
  <c r="AB1082" i="2" s="1"/>
  <c r="AB1083" i="2" a="1"/>
  <c r="AB1083" i="2" s="1"/>
  <c r="AB1084" i="2" a="1"/>
  <c r="AB1084" i="2" s="1"/>
  <c r="AB1085" i="2" a="1"/>
  <c r="AB1085" i="2" s="1"/>
  <c r="AB1086" i="2" a="1"/>
  <c r="AB1086" i="2" s="1"/>
  <c r="AB1087" i="2" a="1"/>
  <c r="AB1087" i="2" s="1"/>
  <c r="AB1088" i="2" a="1"/>
  <c r="AB1088" i="2" s="1"/>
  <c r="AB1089" i="2" a="1"/>
  <c r="AB1089" i="2" s="1"/>
  <c r="AB1090" i="2" a="1"/>
  <c r="AB1090" i="2" s="1"/>
  <c r="AB1091" i="2" a="1"/>
  <c r="AB1091" i="2" s="1"/>
  <c r="AB1092" i="2" a="1"/>
  <c r="AB1092" i="2" s="1"/>
  <c r="AB1093" i="2" a="1"/>
  <c r="AB1093" i="2" s="1"/>
  <c r="AB1094" i="2" a="1"/>
  <c r="AB1094" i="2" s="1"/>
  <c r="AB1095" i="2" a="1"/>
  <c r="AB1095" i="2" s="1"/>
  <c r="AB1096" i="2" a="1"/>
  <c r="AB1096" i="2" s="1"/>
  <c r="AB1097" i="2" a="1"/>
  <c r="AB1097" i="2" s="1"/>
  <c r="AB1098" i="2" a="1"/>
  <c r="AB1098" i="2" s="1"/>
  <c r="AB1099" i="2" a="1"/>
  <c r="AB1099" i="2" s="1"/>
  <c r="AB1100" i="2" a="1"/>
  <c r="AB1100" i="2" s="1"/>
  <c r="AB1101" i="2" a="1"/>
  <c r="AB1101" i="2" s="1"/>
  <c r="AB1102" i="2" a="1"/>
  <c r="AB1102" i="2" s="1"/>
  <c r="AB1103" i="2" a="1"/>
  <c r="AB1103" i="2" s="1"/>
  <c r="AB1104" i="2" a="1"/>
  <c r="AB1104" i="2" s="1"/>
  <c r="AB1105" i="2" a="1"/>
  <c r="AB1105" i="2" s="1"/>
  <c r="AB1106" i="2" a="1"/>
  <c r="AB1106" i="2" s="1"/>
  <c r="AB1107" i="2" a="1"/>
  <c r="AB1107" i="2" s="1"/>
  <c r="AB1108" i="2" a="1"/>
  <c r="AB1108" i="2" s="1"/>
  <c r="AB1109" i="2" a="1"/>
  <c r="AB1109" i="2" s="1"/>
  <c r="AB1110" i="2" a="1"/>
  <c r="AB1110" i="2" s="1"/>
  <c r="AB1111" i="2" a="1"/>
  <c r="AB1111" i="2" s="1"/>
  <c r="AB1112" i="2" a="1"/>
  <c r="AB1112" i="2" s="1"/>
  <c r="AB1113" i="2" a="1"/>
  <c r="AB1113" i="2" s="1"/>
  <c r="AB1114" i="2" a="1"/>
  <c r="AB1114" i="2" s="1"/>
  <c r="AB1115" i="2" a="1"/>
  <c r="AB1115" i="2" s="1"/>
  <c r="AB1116" i="2" a="1"/>
  <c r="AB1116" i="2" s="1"/>
  <c r="AB1117" i="2" a="1"/>
  <c r="AB1117" i="2" s="1"/>
  <c r="AB1118" i="2" a="1"/>
  <c r="AB1118" i="2" s="1"/>
  <c r="AB1119" i="2" a="1"/>
  <c r="AB1119" i="2" s="1"/>
  <c r="AB1120" i="2" a="1"/>
  <c r="AB1120" i="2" s="1"/>
  <c r="AB1121" i="2" a="1"/>
  <c r="AB1121" i="2" s="1"/>
  <c r="AB1122" i="2" a="1"/>
  <c r="AB1122" i="2" s="1"/>
  <c r="AB1123" i="2" a="1"/>
  <c r="AB1123" i="2" s="1"/>
  <c r="AB1124" i="2" a="1"/>
  <c r="AB1124" i="2" s="1"/>
  <c r="AB1125" i="2" a="1"/>
  <c r="AB1125" i="2" s="1"/>
  <c r="AB1126" i="2" a="1"/>
  <c r="AB1126" i="2" s="1"/>
  <c r="AB1127" i="2" a="1"/>
  <c r="AB1127" i="2" s="1"/>
  <c r="AB1128" i="2" a="1"/>
  <c r="AB1128" i="2" s="1"/>
  <c r="AB1129" i="2" a="1"/>
  <c r="AB1129" i="2" s="1"/>
  <c r="AB1130" i="2" a="1"/>
  <c r="AB1130" i="2" s="1"/>
  <c r="AB1131" i="2" a="1"/>
  <c r="AB1131" i="2" s="1"/>
  <c r="AB1132" i="2" a="1"/>
  <c r="AB1132" i="2" s="1"/>
  <c r="AB1133" i="2" a="1"/>
  <c r="AB1133" i="2" s="1"/>
  <c r="AB1134" i="2" a="1"/>
  <c r="AB1134" i="2" s="1"/>
  <c r="AB1135" i="2" a="1"/>
  <c r="AB1135" i="2" s="1"/>
  <c r="AB1136" i="2" a="1"/>
  <c r="AB1136" i="2" s="1"/>
  <c r="AB1137" i="2" a="1"/>
  <c r="AB1137" i="2" s="1"/>
  <c r="AB1138" i="2" a="1"/>
  <c r="AB1138" i="2" s="1"/>
  <c r="AB1139" i="2" a="1"/>
  <c r="AB1139" i="2" s="1"/>
  <c r="AB1140" i="2" a="1"/>
  <c r="AB1140" i="2" s="1"/>
  <c r="AB1141" i="2" a="1"/>
  <c r="AB1141" i="2" s="1"/>
  <c r="AB1142" i="2" a="1"/>
  <c r="AB1142" i="2" s="1"/>
  <c r="AB1143" i="2" a="1"/>
  <c r="AB1143" i="2" s="1"/>
  <c r="AB1144" i="2" a="1"/>
  <c r="AB1144" i="2" s="1"/>
  <c r="AB1145" i="2" a="1"/>
  <c r="AB1145" i="2" s="1"/>
  <c r="AB1146" i="2" a="1"/>
  <c r="AB1146" i="2" s="1"/>
  <c r="AB1147" i="2" a="1"/>
  <c r="AB1147" i="2" s="1"/>
  <c r="AB1148" i="2" a="1"/>
  <c r="AB1148" i="2" s="1"/>
  <c r="AB1149" i="2" a="1"/>
  <c r="AB1149" i="2" s="1"/>
  <c r="AB1150" i="2" a="1"/>
  <c r="AB1150" i="2" s="1"/>
  <c r="AB1151" i="2" a="1"/>
  <c r="AB1151" i="2" s="1"/>
  <c r="AB1152" i="2" a="1"/>
  <c r="AB1152" i="2" s="1"/>
  <c r="AB1153" i="2" a="1"/>
  <c r="AB1153" i="2" s="1"/>
  <c r="AB1154" i="2" a="1"/>
  <c r="AB1154" i="2" s="1"/>
  <c r="AB1155" i="2" a="1"/>
  <c r="AB1155" i="2" s="1"/>
  <c r="AB1156" i="2" a="1"/>
  <c r="AB1156" i="2" s="1"/>
  <c r="AB1157" i="2" a="1"/>
  <c r="AB1157" i="2" s="1"/>
  <c r="AB1158" i="2" a="1"/>
  <c r="AB1158" i="2" s="1"/>
  <c r="AB1159" i="2" a="1"/>
  <c r="AB1159" i="2" s="1"/>
  <c r="AB1160" i="2" a="1"/>
  <c r="AB1160" i="2" s="1"/>
  <c r="AB1161" i="2" a="1"/>
  <c r="AB1161" i="2" s="1"/>
  <c r="AB1162" i="2" a="1"/>
  <c r="AB1162" i="2" s="1"/>
  <c r="AB1163" i="2" a="1"/>
  <c r="AB1163" i="2" s="1"/>
  <c r="AB1164" i="2" a="1"/>
  <c r="AB1164" i="2" s="1"/>
  <c r="AB1165" i="2" a="1"/>
  <c r="AB1165" i="2" s="1"/>
  <c r="AB1166" i="2" a="1"/>
  <c r="AB1166" i="2" s="1"/>
  <c r="AB1167" i="2" a="1"/>
  <c r="AB1167" i="2" s="1"/>
  <c r="AB1168" i="2" a="1"/>
  <c r="AB1168" i="2" s="1"/>
  <c r="AB1169" i="2" a="1"/>
  <c r="AB1169" i="2" s="1"/>
  <c r="AB1170" i="2" a="1"/>
  <c r="AB1170" i="2" s="1"/>
  <c r="AB1171" i="2" a="1"/>
  <c r="AB1171" i="2" s="1"/>
  <c r="AB1172" i="2" a="1"/>
  <c r="AB1172" i="2" s="1"/>
  <c r="AB1173" i="2" a="1"/>
  <c r="AB1173" i="2" s="1"/>
  <c r="AB1174" i="2" a="1"/>
  <c r="AB1174" i="2" s="1"/>
  <c r="AB1175" i="2" a="1"/>
  <c r="AB1175" i="2" s="1"/>
  <c r="AB1176" i="2" a="1"/>
  <c r="AB1176" i="2" s="1"/>
  <c r="AB1177" i="2" a="1"/>
  <c r="AB1177" i="2" s="1"/>
  <c r="AB1178" i="2" a="1"/>
  <c r="AB1178" i="2" s="1"/>
  <c r="AB1179" i="2" a="1"/>
  <c r="AB1179" i="2" s="1"/>
  <c r="AB1180" i="2" a="1"/>
  <c r="AB1180" i="2" s="1"/>
  <c r="AB1181" i="2" a="1"/>
  <c r="AB1181" i="2" s="1"/>
  <c r="AB1182" i="2" a="1"/>
  <c r="AB1182" i="2" s="1"/>
  <c r="AB1183" i="2" a="1"/>
  <c r="AB1183" i="2" s="1"/>
  <c r="AB1184" i="2" a="1"/>
  <c r="AB1184" i="2" s="1"/>
  <c r="AB1185" i="2" a="1"/>
  <c r="AB1185" i="2" s="1"/>
  <c r="AB1186" i="2" a="1"/>
  <c r="AB1186" i="2" s="1"/>
  <c r="AB1187" i="2" a="1"/>
  <c r="AB1187" i="2" s="1"/>
  <c r="AB1188" i="2" a="1"/>
  <c r="AB1188" i="2" s="1"/>
  <c r="AB1189" i="2" a="1"/>
  <c r="AB1189" i="2" s="1"/>
  <c r="AB1190" i="2" a="1"/>
  <c r="AB1190" i="2" s="1"/>
  <c r="AB1191" i="2" a="1"/>
  <c r="AB1191" i="2" s="1"/>
  <c r="AB1192" i="2" a="1"/>
  <c r="AB1192" i="2" s="1"/>
  <c r="AB1193" i="2" a="1"/>
  <c r="AB1193" i="2" s="1"/>
  <c r="AB1194" i="2" a="1"/>
  <c r="AB1194" i="2" s="1"/>
  <c r="AB1195" i="2" a="1"/>
  <c r="AB1195" i="2" s="1"/>
  <c r="AB1196" i="2" a="1"/>
  <c r="AB1196" i="2" s="1"/>
  <c r="AB1197" i="2" a="1"/>
  <c r="AB1197" i="2" s="1"/>
  <c r="AB1198" i="2" a="1"/>
  <c r="AB1198" i="2" s="1"/>
  <c r="AB1199" i="2" a="1"/>
  <c r="AB1199" i="2" s="1"/>
  <c r="AB1200" i="2" a="1"/>
  <c r="AB1200" i="2" s="1"/>
  <c r="AB1201" i="2" a="1"/>
  <c r="AB1201" i="2" s="1"/>
  <c r="AB1202" i="2" a="1"/>
  <c r="AB1202" i="2" s="1"/>
  <c r="AB1203" i="2" a="1"/>
  <c r="AB1203" i="2" s="1"/>
  <c r="AB1204" i="2" a="1"/>
  <c r="AB1204" i="2" s="1"/>
  <c r="AB1205" i="2" a="1"/>
  <c r="AB1205" i="2" s="1"/>
  <c r="AB1206" i="2" a="1"/>
  <c r="AB1206" i="2" s="1"/>
  <c r="AB1207" i="2" a="1"/>
  <c r="AB1207" i="2" s="1"/>
  <c r="AB1208" i="2" a="1"/>
  <c r="AB1208" i="2" s="1"/>
  <c r="AB1209" i="2" a="1"/>
  <c r="AB1209" i="2" s="1"/>
  <c r="AB1210" i="2" a="1"/>
  <c r="AB1210" i="2" s="1"/>
  <c r="AB1211" i="2" a="1"/>
  <c r="AB1211" i="2" s="1"/>
  <c r="AB1212" i="2" a="1"/>
  <c r="AB1212" i="2" s="1"/>
  <c r="AB1213" i="2" a="1"/>
  <c r="AB1213" i="2" s="1"/>
  <c r="AB1214" i="2" a="1"/>
  <c r="AB1214" i="2" s="1"/>
  <c r="AB1215" i="2" a="1"/>
  <c r="AB1215" i="2" s="1"/>
  <c r="AB1216" i="2" a="1"/>
  <c r="AB1216" i="2" s="1"/>
  <c r="AB1217" i="2" a="1"/>
  <c r="AB1217" i="2" s="1"/>
  <c r="AB1218" i="2" a="1"/>
  <c r="AB1218" i="2" s="1"/>
  <c r="AB1219" i="2" a="1"/>
  <c r="AB1219" i="2" s="1"/>
  <c r="AB1220" i="2" a="1"/>
  <c r="AB1220" i="2" s="1"/>
  <c r="AB1221" i="2" a="1"/>
  <c r="AB1221" i="2" s="1"/>
  <c r="AB1222" i="2" a="1"/>
  <c r="AB1222" i="2" s="1"/>
  <c r="AB1223" i="2" a="1"/>
  <c r="AB1223" i="2" s="1"/>
  <c r="AB1224" i="2" a="1"/>
  <c r="AB1224" i="2" s="1"/>
  <c r="AB1225" i="2" a="1"/>
  <c r="AB1225" i="2" s="1"/>
  <c r="AB1226" i="2" a="1"/>
  <c r="AB1226" i="2" s="1"/>
  <c r="AB1227" i="2" a="1"/>
  <c r="AB1227" i="2" s="1"/>
  <c r="AB1228" i="2" a="1"/>
  <c r="AB1228" i="2" s="1"/>
  <c r="AB1229" i="2" a="1"/>
  <c r="AB1229" i="2" s="1"/>
  <c r="AB1230" i="2" a="1"/>
  <c r="AB1230" i="2" s="1"/>
  <c r="AB1231" i="2" a="1"/>
  <c r="AB1231" i="2" s="1"/>
  <c r="AB1232" i="2" a="1"/>
  <c r="AB1232" i="2" s="1"/>
  <c r="AB1233" i="2" a="1"/>
  <c r="AB1233" i="2" s="1"/>
  <c r="AB1234" i="2" a="1"/>
  <c r="AB1234" i="2" s="1"/>
  <c r="AB1235" i="2" a="1"/>
  <c r="AB1235" i="2" s="1"/>
  <c r="AB1236" i="2" a="1"/>
  <c r="AB1236" i="2" s="1"/>
  <c r="AB1237" i="2" a="1"/>
  <c r="AB1237" i="2" s="1"/>
  <c r="AB1238" i="2" a="1"/>
  <c r="AB1238" i="2" s="1"/>
  <c r="AB1239" i="2" a="1"/>
  <c r="AB1239" i="2" s="1"/>
  <c r="AB1240" i="2" a="1"/>
  <c r="AB1240" i="2" s="1"/>
  <c r="AB1241" i="2" a="1"/>
  <c r="AB1241" i="2" s="1"/>
  <c r="AB1242" i="2" a="1"/>
  <c r="AB1242" i="2" s="1"/>
  <c r="AB1243" i="2" a="1"/>
  <c r="AB1243" i="2" s="1"/>
  <c r="AB1244" i="2" a="1"/>
  <c r="AB1244" i="2" s="1"/>
  <c r="AB1245" i="2" a="1"/>
  <c r="AB1245" i="2" s="1"/>
  <c r="AB1246" i="2" a="1"/>
  <c r="AB1246" i="2" s="1"/>
  <c r="AB1247" i="2" a="1"/>
  <c r="AB1247" i="2" s="1"/>
  <c r="AB1248" i="2" a="1"/>
  <c r="AB1248" i="2" s="1"/>
  <c r="AB1249" i="2" a="1"/>
  <c r="AB1249" i="2" s="1"/>
  <c r="AB1250" i="2" a="1"/>
  <c r="AB1250" i="2" s="1"/>
  <c r="AB1251" i="2" a="1"/>
  <c r="AB1251" i="2" s="1"/>
  <c r="AB1252" i="2" a="1"/>
  <c r="AB1252" i="2" s="1"/>
  <c r="AB1253" i="2" a="1"/>
  <c r="AB1253" i="2" s="1"/>
  <c r="AB1254" i="2" a="1"/>
  <c r="AB1254" i="2" s="1"/>
  <c r="AB1255" i="2" a="1"/>
  <c r="AB1255" i="2" s="1"/>
  <c r="AB1256" i="2" a="1"/>
  <c r="AB1256" i="2" s="1"/>
  <c r="AB1257" i="2" a="1"/>
  <c r="AB1257" i="2" s="1"/>
  <c r="AB1258" i="2" a="1"/>
  <c r="AB1258" i="2" s="1"/>
  <c r="AB1259" i="2" a="1"/>
  <c r="AB1259" i="2" s="1"/>
  <c r="AB1260" i="2" a="1"/>
  <c r="AB1260" i="2" s="1"/>
  <c r="AB1261" i="2" a="1"/>
  <c r="AB1261" i="2" s="1"/>
  <c r="AB1262" i="2" a="1"/>
  <c r="AB1262" i="2" s="1"/>
  <c r="AB1263" i="2" a="1"/>
  <c r="AB1263" i="2" s="1"/>
  <c r="AB1264" i="2" a="1"/>
  <c r="AB1264" i="2" s="1"/>
  <c r="AB1265" i="2" a="1"/>
  <c r="AB1265" i="2" s="1"/>
  <c r="AB1266" i="2" a="1"/>
  <c r="AB1266" i="2" s="1"/>
  <c r="AB1267" i="2" a="1"/>
  <c r="AB1267" i="2" s="1"/>
  <c r="AB1268" i="2" a="1"/>
  <c r="AB1268" i="2" s="1"/>
  <c r="AB1269" i="2" a="1"/>
  <c r="AB1269" i="2" s="1"/>
  <c r="AB1270" i="2" a="1"/>
  <c r="AB1270" i="2" s="1"/>
  <c r="AB1271" i="2" a="1"/>
  <c r="AB1271" i="2" s="1"/>
  <c r="AB1272" i="2" a="1"/>
  <c r="AB1272" i="2" s="1"/>
  <c r="AB1273" i="2" a="1"/>
  <c r="AB1273" i="2" s="1"/>
  <c r="AB1274" i="2" a="1"/>
  <c r="AB1274" i="2" s="1"/>
  <c r="AB1275" i="2" a="1"/>
  <c r="AB1275" i="2" s="1"/>
  <c r="AB1276" i="2" a="1"/>
  <c r="AB1276" i="2" s="1"/>
  <c r="AB1277" i="2" a="1"/>
  <c r="AB1277" i="2" s="1"/>
  <c r="AB1278" i="2" a="1"/>
  <c r="AB1278" i="2" s="1"/>
  <c r="AB1279" i="2" a="1"/>
  <c r="AB1279" i="2" s="1"/>
  <c r="AB1280" i="2" a="1"/>
  <c r="AB1280" i="2" s="1"/>
  <c r="AB1281" i="2" a="1"/>
  <c r="AB1281" i="2" s="1"/>
  <c r="AB1282" i="2" a="1"/>
  <c r="AB1282" i="2" s="1"/>
  <c r="AB1283" i="2" a="1"/>
  <c r="AB1283" i="2" s="1"/>
  <c r="AB1284" i="2" a="1"/>
  <c r="AB1284" i="2" s="1"/>
  <c r="AB1285" i="2" a="1"/>
  <c r="AB1285" i="2" s="1"/>
  <c r="AB1286" i="2" a="1"/>
  <c r="AB1286" i="2" s="1"/>
  <c r="AB1287" i="2" a="1"/>
  <c r="AB1287" i="2" s="1"/>
  <c r="AB1288" i="2" a="1"/>
  <c r="AB1288" i="2" s="1"/>
  <c r="AB1289" i="2" a="1"/>
  <c r="AB1289" i="2" s="1"/>
  <c r="AB1290" i="2" a="1"/>
  <c r="AB1290" i="2" s="1"/>
  <c r="AB1291" i="2" a="1"/>
  <c r="AB1291" i="2" s="1"/>
  <c r="AB1292" i="2" a="1"/>
  <c r="AB1292" i="2" s="1"/>
  <c r="AB1293" i="2" a="1"/>
  <c r="AB1293" i="2" s="1"/>
  <c r="AB1294" i="2" a="1"/>
  <c r="AB1294" i="2" s="1"/>
  <c r="AB1295" i="2" a="1"/>
  <c r="AB1295" i="2" s="1"/>
  <c r="AB1296" i="2" a="1"/>
  <c r="AB1296" i="2" s="1"/>
  <c r="AB1297" i="2" a="1"/>
  <c r="AB1297" i="2" s="1"/>
  <c r="AB1298" i="2" a="1"/>
  <c r="AB1298" i="2" s="1"/>
  <c r="AB1299" i="2" a="1"/>
  <c r="AB1299" i="2" s="1"/>
  <c r="AB1300" i="2" a="1"/>
  <c r="AB1300" i="2" s="1"/>
  <c r="AB1301" i="2" a="1"/>
  <c r="AB1301" i="2" s="1"/>
  <c r="AB1302" i="2" a="1"/>
  <c r="AB1302" i="2" s="1"/>
  <c r="AB1303" i="2" a="1"/>
  <c r="AB1303" i="2" s="1"/>
  <c r="AB1304" i="2" a="1"/>
  <c r="AB1304" i="2" s="1"/>
  <c r="AB1305" i="2" a="1"/>
  <c r="AB1305" i="2" s="1"/>
  <c r="AB1306" i="2" a="1"/>
  <c r="AB1306" i="2" s="1"/>
  <c r="AB1307" i="2" a="1"/>
  <c r="AB1307" i="2" s="1"/>
  <c r="AB1308" i="2" a="1"/>
  <c r="AB1308" i="2" s="1"/>
  <c r="AB1309" i="2" a="1"/>
  <c r="AB1309" i="2" s="1"/>
  <c r="AB1310" i="2" a="1"/>
  <c r="AB1310" i="2" s="1"/>
  <c r="AB1311" i="2" a="1"/>
  <c r="AB1311" i="2" s="1"/>
  <c r="AB1312" i="2" a="1"/>
  <c r="AB1312" i="2" s="1"/>
  <c r="AB1313" i="2" a="1"/>
  <c r="AB1313" i="2" s="1"/>
  <c r="AB1314" i="2" a="1"/>
  <c r="AB1314" i="2" s="1"/>
  <c r="AB1315" i="2" a="1"/>
  <c r="AB1315" i="2" s="1"/>
  <c r="AB1316" i="2" a="1"/>
  <c r="AB1316" i="2" s="1"/>
  <c r="AB1317" i="2" a="1"/>
  <c r="AB1317" i="2" s="1"/>
  <c r="AB1318" i="2" a="1"/>
  <c r="AB1318" i="2" s="1"/>
  <c r="AB1319" i="2" a="1"/>
  <c r="AB1319" i="2" s="1"/>
  <c r="AB1320" i="2" a="1"/>
  <c r="AB1320" i="2" s="1"/>
  <c r="AB1321" i="2" a="1"/>
  <c r="AB1321" i="2" s="1"/>
  <c r="AB1322" i="2" a="1"/>
  <c r="AB1322" i="2" s="1"/>
  <c r="AB1323" i="2" a="1"/>
  <c r="AB1323" i="2" s="1"/>
  <c r="AB1324" i="2" a="1"/>
  <c r="AB1324" i="2" s="1"/>
  <c r="AB1325" i="2" a="1"/>
  <c r="AB1325" i="2" s="1"/>
  <c r="AB1326" i="2" a="1"/>
  <c r="AB1326" i="2" s="1"/>
  <c r="AB1327" i="2" a="1"/>
  <c r="AB1327" i="2" s="1"/>
  <c r="AB1328" i="2" a="1"/>
  <c r="AB1328" i="2" s="1"/>
  <c r="AB1329" i="2" a="1"/>
  <c r="AB1329" i="2" s="1"/>
  <c r="AB1330" i="2" a="1"/>
  <c r="AB1330" i="2" s="1"/>
  <c r="AB1331" i="2" a="1"/>
  <c r="AB1331" i="2" s="1"/>
  <c r="AB1332" i="2" a="1"/>
  <c r="AB1332" i="2" s="1"/>
  <c r="AB1333" i="2" a="1"/>
  <c r="AB1333" i="2" s="1"/>
  <c r="AB1334" i="2" a="1"/>
  <c r="AB1334" i="2" s="1"/>
  <c r="AB1335" i="2" a="1"/>
  <c r="AB1335" i="2" s="1"/>
  <c r="AB1336" i="2" a="1"/>
  <c r="AB1336" i="2" s="1"/>
  <c r="AB1337" i="2" a="1"/>
  <c r="AB1337" i="2" s="1"/>
  <c r="AB1338" i="2" a="1"/>
  <c r="AB1338" i="2" s="1"/>
  <c r="AB1339" i="2" a="1"/>
  <c r="AB1339" i="2" s="1"/>
  <c r="AB1340" i="2" a="1"/>
  <c r="AB1340" i="2" s="1"/>
  <c r="AB1341" i="2" a="1"/>
  <c r="AB1341" i="2" s="1"/>
  <c r="AB1342" i="2" a="1"/>
  <c r="AB1342" i="2" s="1"/>
  <c r="AB1343" i="2" a="1"/>
  <c r="AB1343" i="2" s="1"/>
  <c r="AB1344" i="2" a="1"/>
  <c r="AB1344" i="2" s="1"/>
  <c r="AB1345" i="2" a="1"/>
  <c r="AB1345" i="2" s="1"/>
  <c r="AB1346" i="2" a="1"/>
  <c r="AB1346" i="2" s="1"/>
  <c r="AB1347" i="2" a="1"/>
  <c r="AB1347" i="2" s="1"/>
  <c r="AB1348" i="2" a="1"/>
  <c r="AB1348" i="2" s="1"/>
  <c r="AB1349" i="2" a="1"/>
  <c r="AB1349" i="2" s="1"/>
  <c r="AB1350" i="2" a="1"/>
  <c r="AB1350" i="2" s="1"/>
  <c r="AB1351" i="2" a="1"/>
  <c r="AB1351" i="2" s="1"/>
  <c r="AB1352" i="2" a="1"/>
  <c r="AB1352" i="2" s="1"/>
  <c r="AB1353" i="2" a="1"/>
  <c r="AB1353" i="2" s="1"/>
  <c r="AB1354" i="2" a="1"/>
  <c r="AB1354" i="2" s="1"/>
  <c r="AB1355" i="2" a="1"/>
  <c r="AB1355" i="2" s="1"/>
  <c r="AB1356" i="2" a="1"/>
  <c r="AB1356" i="2" s="1"/>
  <c r="AB1357" i="2" a="1"/>
  <c r="AB1357" i="2" s="1"/>
  <c r="AB1358" i="2" a="1"/>
  <c r="AB1358" i="2" s="1"/>
  <c r="AB1359" i="2" a="1"/>
  <c r="AB1359" i="2" s="1"/>
  <c r="AB1360" i="2" a="1"/>
  <c r="AB1360" i="2" s="1"/>
  <c r="AB1361" i="2" a="1"/>
  <c r="AB1361" i="2" s="1"/>
  <c r="AB1362" i="2" a="1"/>
  <c r="AB1362" i="2" s="1"/>
  <c r="AB1363" i="2" a="1"/>
  <c r="AB1363" i="2" s="1"/>
  <c r="AB1364" i="2" a="1"/>
  <c r="AB1364" i="2" s="1"/>
  <c r="AB1365" i="2" a="1"/>
  <c r="AB1365" i="2" s="1"/>
  <c r="AB1366" i="2" a="1"/>
  <c r="AB1366" i="2" s="1"/>
  <c r="AB1367" i="2" a="1"/>
  <c r="AB1367" i="2" s="1"/>
  <c r="AB1368" i="2" a="1"/>
  <c r="AB1368" i="2" s="1"/>
  <c r="AB1369" i="2" a="1"/>
  <c r="AB1369" i="2" s="1"/>
  <c r="AB1370" i="2" a="1"/>
  <c r="AB1370" i="2" s="1"/>
  <c r="AB1371" i="2" a="1"/>
  <c r="AB1371" i="2" s="1"/>
  <c r="AB1372" i="2" a="1"/>
  <c r="AB1372" i="2" s="1"/>
  <c r="AB1373" i="2" a="1"/>
  <c r="AB1373" i="2" s="1"/>
  <c r="AB1374" i="2" a="1"/>
  <c r="AB1374" i="2" s="1"/>
  <c r="AB1375" i="2" a="1"/>
  <c r="AB1375" i="2" s="1"/>
  <c r="AB1376" i="2" a="1"/>
  <c r="AB1376" i="2" s="1"/>
  <c r="AB1377" i="2" a="1"/>
  <c r="AB1377" i="2" s="1"/>
  <c r="AB1378" i="2" a="1"/>
  <c r="AB1378" i="2" s="1"/>
  <c r="AB1379" i="2" a="1"/>
  <c r="AB1379" i="2" s="1"/>
  <c r="AB1380" i="2" a="1"/>
  <c r="AB1380" i="2" s="1"/>
  <c r="AB1381" i="2" a="1"/>
  <c r="AB1381" i="2" s="1"/>
  <c r="AB1382" i="2" a="1"/>
  <c r="AB1382" i="2" s="1"/>
  <c r="AB1383" i="2" a="1"/>
  <c r="AB1383" i="2" s="1"/>
  <c r="AB1384" i="2" a="1"/>
  <c r="AB1384" i="2" s="1"/>
  <c r="AB1385" i="2" a="1"/>
  <c r="AB1385" i="2" s="1"/>
  <c r="AB1386" i="2" a="1"/>
  <c r="AB1386" i="2" s="1"/>
  <c r="AB1387" i="2" a="1"/>
  <c r="AB1387" i="2" s="1"/>
  <c r="AB1388" i="2" a="1"/>
  <c r="AB1388" i="2" s="1"/>
  <c r="AB1389" i="2" a="1"/>
  <c r="AB1389" i="2" s="1"/>
  <c r="AB1390" i="2" a="1"/>
  <c r="AB1390" i="2" s="1"/>
  <c r="AB1391" i="2" a="1"/>
  <c r="AB1391" i="2" s="1"/>
  <c r="AB1392" i="2" a="1"/>
  <c r="AB1392" i="2" s="1"/>
  <c r="AB1393" i="2" a="1"/>
  <c r="AB1393" i="2" s="1"/>
  <c r="AB1394" i="2" a="1"/>
  <c r="AB1394" i="2" s="1"/>
  <c r="AB1395" i="2" a="1"/>
  <c r="AB1395" i="2" s="1"/>
  <c r="AB1396" i="2" a="1"/>
  <c r="AB1396" i="2" s="1"/>
  <c r="AB1397" i="2" a="1"/>
  <c r="AB1397" i="2" s="1"/>
  <c r="AB1398" i="2" a="1"/>
  <c r="AB1398" i="2" s="1"/>
  <c r="AB1399" i="2" a="1"/>
  <c r="AB1399" i="2" s="1"/>
  <c r="AB1400" i="2" a="1"/>
  <c r="AB1400" i="2" s="1"/>
  <c r="AB1401" i="2" a="1"/>
  <c r="AB1401" i="2" s="1"/>
  <c r="AB1402" i="2" a="1"/>
  <c r="AB1402" i="2" s="1"/>
  <c r="AB1403" i="2" a="1"/>
  <c r="AB1403" i="2" s="1"/>
  <c r="AB1404" i="2" a="1"/>
  <c r="AB1404" i="2" s="1"/>
  <c r="AB1405" i="2" a="1"/>
  <c r="AB1405" i="2" s="1"/>
  <c r="AB1406" i="2" a="1"/>
  <c r="AB1406" i="2" s="1"/>
  <c r="AB1407" i="2" a="1"/>
  <c r="AB1407" i="2" s="1"/>
  <c r="AB1408" i="2" a="1"/>
  <c r="AB1408" i="2" s="1"/>
  <c r="AB1409" i="2" a="1"/>
  <c r="AB1409" i="2" s="1"/>
  <c r="AB1410" i="2" a="1"/>
  <c r="AB1410" i="2" s="1"/>
  <c r="AB1411" i="2" a="1"/>
  <c r="AB1411" i="2" s="1"/>
  <c r="AB1412" i="2" a="1"/>
  <c r="AB1412" i="2" s="1"/>
  <c r="AB1413" i="2" a="1"/>
  <c r="AB1413" i="2" s="1"/>
  <c r="AB1414" i="2" a="1"/>
  <c r="AB1414" i="2" s="1"/>
  <c r="AB1415" i="2" a="1"/>
  <c r="AB1415" i="2" s="1"/>
  <c r="AB1416" i="2" a="1"/>
  <c r="AB1416" i="2" s="1"/>
  <c r="AB1417" i="2" a="1"/>
  <c r="AB1417" i="2" s="1"/>
  <c r="AB1418" i="2" a="1"/>
  <c r="AB1418" i="2" s="1"/>
  <c r="AB1419" i="2" a="1"/>
  <c r="AB1419" i="2" s="1"/>
  <c r="AB1420" i="2" a="1"/>
  <c r="AB1420" i="2" s="1"/>
  <c r="AB1421" i="2" a="1"/>
  <c r="AB1421" i="2" s="1"/>
  <c r="AB1422" i="2" a="1"/>
  <c r="AB1422" i="2" s="1"/>
  <c r="AB1423" i="2" a="1"/>
  <c r="AB1423" i="2" s="1"/>
  <c r="AB1424" i="2" a="1"/>
  <c r="AB1424" i="2" s="1"/>
  <c r="AB1425" i="2" a="1"/>
  <c r="AB1425" i="2" s="1"/>
  <c r="AB1426" i="2" a="1"/>
  <c r="AB1426" i="2" s="1"/>
  <c r="AB1427" i="2" a="1"/>
  <c r="AB1427" i="2" s="1"/>
  <c r="AB1428" i="2" a="1"/>
  <c r="AB1428" i="2" s="1"/>
  <c r="AB1429" i="2" a="1"/>
  <c r="AB1429" i="2" s="1"/>
  <c r="AB1430" i="2" a="1"/>
  <c r="AB1430" i="2" s="1"/>
  <c r="AB1431" i="2" a="1"/>
  <c r="AB1431" i="2" s="1"/>
  <c r="AB1432" i="2" a="1"/>
  <c r="AB1432" i="2" s="1"/>
  <c r="AB1433" i="2" a="1"/>
  <c r="AB1433" i="2" s="1"/>
  <c r="AB1434" i="2" a="1"/>
  <c r="AB1434" i="2" s="1"/>
  <c r="AB1435" i="2" a="1"/>
  <c r="AB1435" i="2" s="1"/>
  <c r="AB1436" i="2" a="1"/>
  <c r="AB1436" i="2" s="1"/>
  <c r="AB1437" i="2" a="1"/>
  <c r="AB1437" i="2" s="1"/>
  <c r="AB1438" i="2" a="1"/>
  <c r="AB1438" i="2" s="1"/>
  <c r="AB1439" i="2" a="1"/>
  <c r="AB1439" i="2" s="1"/>
  <c r="AB1440" i="2" a="1"/>
  <c r="AB1440" i="2" s="1"/>
  <c r="AB1441" i="2" a="1"/>
  <c r="AB1441" i="2" s="1"/>
  <c r="AB1442" i="2" a="1"/>
  <c r="AB1442" i="2" s="1"/>
  <c r="AB1443" i="2" a="1"/>
  <c r="AB1443" i="2" s="1"/>
  <c r="AB1444" i="2" a="1"/>
  <c r="AB1444" i="2" s="1"/>
  <c r="AB1445" i="2" a="1"/>
  <c r="AB1445" i="2" s="1"/>
  <c r="AB1446" i="2" a="1"/>
  <c r="AB1446" i="2" s="1"/>
  <c r="AB1447" i="2" a="1"/>
  <c r="AB1447" i="2" s="1"/>
  <c r="AB1448" i="2" a="1"/>
  <c r="AB1448" i="2" s="1"/>
  <c r="AB1449" i="2" a="1"/>
  <c r="AB1449" i="2" s="1"/>
  <c r="AB1450" i="2" a="1"/>
  <c r="AB1450" i="2" s="1"/>
  <c r="AB1451" i="2" a="1"/>
  <c r="AB1451" i="2" s="1"/>
  <c r="AB1452" i="2" a="1"/>
  <c r="AB1452" i="2" s="1"/>
  <c r="AB1453" i="2" a="1"/>
  <c r="AB1453" i="2" s="1"/>
  <c r="AB1454" i="2" a="1"/>
  <c r="AB1454" i="2" s="1"/>
  <c r="AB1455" i="2" a="1"/>
  <c r="AB1455" i="2" s="1"/>
  <c r="AB1456" i="2" a="1"/>
  <c r="AB1456" i="2" s="1"/>
  <c r="AB1457" i="2" a="1"/>
  <c r="AB1457" i="2" s="1"/>
  <c r="AB1458" i="2" a="1"/>
  <c r="AB1458" i="2" s="1"/>
  <c r="AB1459" i="2" a="1"/>
  <c r="AB1459" i="2" s="1"/>
  <c r="AB1460" i="2" a="1"/>
  <c r="AB1460" i="2" s="1"/>
  <c r="AB1461" i="2" a="1"/>
  <c r="AB1461" i="2" s="1"/>
  <c r="AB1462" i="2" a="1"/>
  <c r="AB1462" i="2" s="1"/>
  <c r="AB1463" i="2" a="1"/>
  <c r="AB1463" i="2" s="1"/>
  <c r="AB1464" i="2" a="1"/>
  <c r="AB1464" i="2" s="1"/>
  <c r="AB1465" i="2" a="1"/>
  <c r="AB1465" i="2" s="1"/>
  <c r="AB1466" i="2" a="1"/>
  <c r="AB1466" i="2" s="1"/>
  <c r="AB1467" i="2" a="1"/>
  <c r="AB1467" i="2" s="1"/>
  <c r="AB1468" i="2" a="1"/>
  <c r="AB1468" i="2" s="1"/>
  <c r="AB1469" i="2" a="1"/>
  <c r="AB1469" i="2" s="1"/>
  <c r="AB1470" i="2" a="1"/>
  <c r="AB1470" i="2" s="1"/>
  <c r="AB1471" i="2" a="1"/>
  <c r="AB1471" i="2" s="1"/>
  <c r="AB2" i="2" a="1"/>
  <c r="AB2" i="2" s="1"/>
  <c r="C3" i="2"/>
  <c r="B4" i="3"/>
  <c r="B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2" i="2"/>
  <c r="A3" i="2"/>
  <c r="A4" i="2"/>
  <c r="A5" i="2"/>
  <c r="A6" i="2"/>
  <c r="A7" i="2"/>
  <c r="A8" i="2"/>
  <c r="AC8" i="2" s="1"/>
  <c r="A9" i="2"/>
  <c r="A10" i="2"/>
  <c r="A11" i="2"/>
  <c r="AC11" i="2" s="1"/>
  <c r="A12" i="2"/>
  <c r="A13" i="2"/>
  <c r="A14" i="2"/>
  <c r="A15" i="2"/>
  <c r="A16" i="2"/>
  <c r="AC16" i="2" s="1"/>
  <c r="A17" i="2"/>
  <c r="A18" i="2"/>
  <c r="AC18" i="2" s="1"/>
  <c r="A19" i="2"/>
  <c r="AC19" i="2" s="1"/>
  <c r="A20" i="2"/>
  <c r="A21" i="2"/>
  <c r="A22" i="2"/>
  <c r="A23" i="2"/>
  <c r="A24" i="2"/>
  <c r="AC24" i="2" s="1"/>
  <c r="A25" i="2"/>
  <c r="A26" i="2"/>
  <c r="AC26" i="2" s="1"/>
  <c r="A27" i="2"/>
  <c r="AC27" i="2" s="1"/>
  <c r="A28" i="2"/>
  <c r="A29" i="2"/>
  <c r="A30" i="2"/>
  <c r="A31" i="2"/>
  <c r="A32" i="2"/>
  <c r="A33" i="2"/>
  <c r="A34" i="2"/>
  <c r="A35" i="2"/>
  <c r="AC35" i="2" s="1"/>
  <c r="A36" i="2"/>
  <c r="A37" i="2"/>
  <c r="A38" i="2"/>
  <c r="A39" i="2"/>
  <c r="A40" i="2"/>
  <c r="AC40" i="2" s="1"/>
  <c r="A41" i="2"/>
  <c r="A42" i="2"/>
  <c r="AC42" i="2" s="1"/>
  <c r="A43" i="2"/>
  <c r="AC43" i="2" s="1"/>
  <c r="A44" i="2"/>
  <c r="A45" i="2"/>
  <c r="A46" i="2"/>
  <c r="A47" i="2"/>
  <c r="A48" i="2"/>
  <c r="AC48" i="2" s="1"/>
  <c r="A49" i="2"/>
  <c r="A50" i="2"/>
  <c r="AC50" i="2" s="1"/>
  <c r="A51" i="2"/>
  <c r="AC51" i="2" s="1"/>
  <c r="A52" i="2"/>
  <c r="A53" i="2"/>
  <c r="A54" i="2"/>
  <c r="A55" i="2"/>
  <c r="A56" i="2"/>
  <c r="AC56" i="2" s="1"/>
  <c r="A57" i="2"/>
  <c r="A58" i="2"/>
  <c r="A59" i="2"/>
  <c r="AC59" i="2" s="1"/>
  <c r="A60" i="2"/>
  <c r="A61" i="2"/>
  <c r="A62" i="2"/>
  <c r="A63" i="2"/>
  <c r="A64" i="2"/>
  <c r="AC64" i="2" s="1"/>
  <c r="A65" i="2"/>
  <c r="A66" i="2"/>
  <c r="A67" i="2"/>
  <c r="AC67" i="2" s="1"/>
  <c r="A68" i="2"/>
  <c r="A69" i="2"/>
  <c r="A70" i="2"/>
  <c r="A71" i="2"/>
  <c r="A72" i="2"/>
  <c r="AC72" i="2" s="1"/>
  <c r="A73" i="2"/>
  <c r="A74" i="2"/>
  <c r="AC74" i="2" s="1"/>
  <c r="A75" i="2"/>
  <c r="AC75" i="2" s="1"/>
  <c r="A76" i="2"/>
  <c r="A77" i="2"/>
  <c r="A78" i="2"/>
  <c r="A79" i="2"/>
  <c r="A80" i="2"/>
  <c r="AC80" i="2" s="1"/>
  <c r="A81" i="2"/>
  <c r="A82" i="2"/>
  <c r="AC82" i="2" s="1"/>
  <c r="A83" i="2"/>
  <c r="AC83" i="2" s="1"/>
  <c r="A84" i="2"/>
  <c r="A85" i="2"/>
  <c r="A86" i="2"/>
  <c r="A87" i="2"/>
  <c r="A88" i="2"/>
  <c r="AC88" i="2" s="1"/>
  <c r="A89" i="2"/>
  <c r="A90" i="2"/>
  <c r="AC90" i="2" s="1"/>
  <c r="A91" i="2"/>
  <c r="AC91" i="2" s="1"/>
  <c r="A92" i="2"/>
  <c r="A93" i="2"/>
  <c r="A94" i="2"/>
  <c r="A95" i="2"/>
  <c r="A96" i="2"/>
  <c r="AC96" i="2" s="1"/>
  <c r="A97" i="2"/>
  <c r="A98" i="2"/>
  <c r="A99" i="2"/>
  <c r="A100" i="2"/>
  <c r="A101" i="2"/>
  <c r="AC101" i="2" s="1"/>
  <c r="A102" i="2"/>
  <c r="A103" i="2"/>
  <c r="A104" i="2"/>
  <c r="AC104" i="2" s="1"/>
  <c r="A105" i="2"/>
  <c r="A106" i="2"/>
  <c r="A107" i="2"/>
  <c r="A108" i="2"/>
  <c r="A109" i="2"/>
  <c r="AC109" i="2" s="1"/>
  <c r="A110" i="2"/>
  <c r="A111" i="2"/>
  <c r="A112" i="2"/>
  <c r="AC112" i="2" s="1"/>
  <c r="A113" i="2"/>
  <c r="A114" i="2"/>
  <c r="A115" i="2"/>
  <c r="A116" i="2"/>
  <c r="A117" i="2"/>
  <c r="AC117" i="2" s="1"/>
  <c r="A118" i="2"/>
  <c r="A119" i="2"/>
  <c r="A120" i="2"/>
  <c r="AC120" i="2" s="1"/>
  <c r="A121" i="2"/>
  <c r="A122" i="2"/>
  <c r="A123" i="2"/>
  <c r="A124" i="2"/>
  <c r="A125" i="2"/>
  <c r="AC125" i="2" s="1"/>
  <c r="A126" i="2"/>
  <c r="A127" i="2"/>
  <c r="A128" i="2"/>
  <c r="AC128" i="2" s="1"/>
  <c r="A129" i="2"/>
  <c r="A130" i="2"/>
  <c r="A131" i="2"/>
  <c r="A132" i="2"/>
  <c r="A133" i="2"/>
  <c r="AC133" i="2" s="1"/>
  <c r="A134" i="2"/>
  <c r="A135" i="2"/>
  <c r="A136" i="2"/>
  <c r="A137" i="2"/>
  <c r="A138" i="2"/>
  <c r="A139" i="2"/>
  <c r="A140" i="2"/>
  <c r="A141" i="2"/>
  <c r="AC141" i="2" s="1"/>
  <c r="A142" i="2"/>
  <c r="A143" i="2"/>
  <c r="A144" i="2"/>
  <c r="A145" i="2"/>
  <c r="A146" i="2"/>
  <c r="A147" i="2"/>
  <c r="A148" i="2"/>
  <c r="A149" i="2"/>
  <c r="AC149" i="2" s="1"/>
  <c r="A150" i="2"/>
  <c r="A151" i="2"/>
  <c r="A152" i="2"/>
  <c r="A153" i="2"/>
  <c r="A154" i="2"/>
  <c r="A155" i="2"/>
  <c r="A156" i="2"/>
  <c r="A157" i="2"/>
  <c r="AC157" i="2" s="1"/>
  <c r="A158" i="2"/>
  <c r="A159" i="2"/>
  <c r="A160" i="2"/>
  <c r="A161" i="2"/>
  <c r="A162" i="2"/>
  <c r="A163" i="2"/>
  <c r="A164" i="2"/>
  <c r="A165" i="2"/>
  <c r="AC165" i="2" s="1"/>
  <c r="A166" i="2"/>
  <c r="A167" i="2"/>
  <c r="A168" i="2"/>
  <c r="A169" i="2"/>
  <c r="A170" i="2"/>
  <c r="A171" i="2"/>
  <c r="A172" i="2"/>
  <c r="A173" i="2"/>
  <c r="AC173" i="2" s="1"/>
  <c r="A174" i="2"/>
  <c r="A175" i="2"/>
  <c r="A176" i="2"/>
  <c r="A177" i="2"/>
  <c r="A178" i="2"/>
  <c r="A179" i="2"/>
  <c r="A180" i="2"/>
  <c r="A181" i="2"/>
  <c r="AC181" i="2" s="1"/>
  <c r="A182" i="2"/>
  <c r="A183" i="2"/>
  <c r="A184" i="2"/>
  <c r="A185" i="2"/>
  <c r="A186" i="2"/>
  <c r="A187" i="2"/>
  <c r="A188" i="2"/>
  <c r="A189" i="2"/>
  <c r="AC189" i="2" s="1"/>
  <c r="A190" i="2"/>
  <c r="A191" i="2"/>
  <c r="A192" i="2"/>
  <c r="A193" i="2"/>
  <c r="A194" i="2"/>
  <c r="A195" i="2"/>
  <c r="A196" i="2"/>
  <c r="A197" i="2"/>
  <c r="AC197" i="2" s="1"/>
  <c r="A198" i="2"/>
  <c r="A199" i="2"/>
  <c r="A200" i="2"/>
  <c r="A201" i="2"/>
  <c r="A202" i="2"/>
  <c r="A203" i="2"/>
  <c r="A204" i="2"/>
  <c r="A205" i="2"/>
  <c r="AC205" i="2" s="1"/>
  <c r="A206" i="2"/>
  <c r="A207" i="2"/>
  <c r="A208" i="2"/>
  <c r="A209" i="2"/>
  <c r="A210" i="2"/>
  <c r="A211" i="2"/>
  <c r="A212" i="2"/>
  <c r="A213" i="2"/>
  <c r="AC213" i="2" s="1"/>
  <c r="A214" i="2"/>
  <c r="A215" i="2"/>
  <c r="A216" i="2"/>
  <c r="A217" i="2"/>
  <c r="A218" i="2"/>
  <c r="A219" i="2"/>
  <c r="A220" i="2"/>
  <c r="A221" i="2"/>
  <c r="AC221" i="2" s="1"/>
  <c r="A222" i="2"/>
  <c r="A223" i="2"/>
  <c r="A224" i="2"/>
  <c r="A225" i="2"/>
  <c r="A226" i="2"/>
  <c r="A227" i="2"/>
  <c r="A228" i="2"/>
  <c r="A229" i="2"/>
  <c r="AC229" i="2" s="1"/>
  <c r="A230" i="2"/>
  <c r="A231" i="2"/>
  <c r="A232" i="2"/>
  <c r="A233" i="2"/>
  <c r="A234" i="2"/>
  <c r="A235" i="2"/>
  <c r="A236" i="2"/>
  <c r="A237" i="2"/>
  <c r="AC237" i="2" s="1"/>
  <c r="A238" i="2"/>
  <c r="A239" i="2"/>
  <c r="A240" i="2"/>
  <c r="A241" i="2"/>
  <c r="A242" i="2"/>
  <c r="A243" i="2"/>
  <c r="A244" i="2"/>
  <c r="A245" i="2"/>
  <c r="AC245" i="2" s="1"/>
  <c r="A246" i="2"/>
  <c r="A247" i="2"/>
  <c r="A248" i="2"/>
  <c r="A249" i="2"/>
  <c r="A250" i="2"/>
  <c r="A251" i="2"/>
  <c r="A252" i="2"/>
  <c r="A253" i="2"/>
  <c r="AC253" i="2" s="1"/>
  <c r="A254" i="2"/>
  <c r="A255" i="2"/>
  <c r="A256" i="2"/>
  <c r="A257" i="2"/>
  <c r="A258" i="2"/>
  <c r="A259" i="2"/>
  <c r="A260" i="2"/>
  <c r="A261" i="2"/>
  <c r="AC261" i="2" s="1"/>
  <c r="A262" i="2"/>
  <c r="A263" i="2"/>
  <c r="A264" i="2"/>
  <c r="A265" i="2"/>
  <c r="A266" i="2"/>
  <c r="A267" i="2"/>
  <c r="A268" i="2"/>
  <c r="A269" i="2"/>
  <c r="AC269" i="2" s="1"/>
  <c r="A270" i="2"/>
  <c r="A271" i="2"/>
  <c r="A272" i="2"/>
  <c r="A273" i="2"/>
  <c r="A274" i="2"/>
  <c r="A275" i="2"/>
  <c r="A276" i="2"/>
  <c r="A277" i="2"/>
  <c r="AC277" i="2" s="1"/>
  <c r="A278" i="2"/>
  <c r="A279" i="2"/>
  <c r="A280" i="2"/>
  <c r="A281" i="2"/>
  <c r="A282" i="2"/>
  <c r="A283" i="2"/>
  <c r="A284" i="2"/>
  <c r="A285" i="2"/>
  <c r="AC285" i="2" s="1"/>
  <c r="A286" i="2"/>
  <c r="A287" i="2"/>
  <c r="A288" i="2"/>
  <c r="A289" i="2"/>
  <c r="A290" i="2"/>
  <c r="A291" i="2"/>
  <c r="A292" i="2"/>
  <c r="A293" i="2"/>
  <c r="AC293" i="2" s="1"/>
  <c r="A294" i="2"/>
  <c r="A295" i="2"/>
  <c r="A296" i="2"/>
  <c r="A297" i="2"/>
  <c r="A298" i="2"/>
  <c r="A299" i="2"/>
  <c r="A300" i="2"/>
  <c r="A301" i="2"/>
  <c r="AC301" i="2" s="1"/>
  <c r="A302" i="2"/>
  <c r="A303" i="2"/>
  <c r="A304" i="2"/>
  <c r="A305" i="2"/>
  <c r="A306" i="2"/>
  <c r="A307" i="2"/>
  <c r="A308" i="2"/>
  <c r="A309" i="2"/>
  <c r="AC309" i="2" s="1"/>
  <c r="A310" i="2"/>
  <c r="A311" i="2"/>
  <c r="A312" i="2"/>
  <c r="A313" i="2"/>
  <c r="A314" i="2"/>
  <c r="A315" i="2"/>
  <c r="A316" i="2"/>
  <c r="A317" i="2"/>
  <c r="AC317" i="2" s="1"/>
  <c r="A318" i="2"/>
  <c r="A319" i="2"/>
  <c r="A320" i="2"/>
  <c r="A321" i="2"/>
  <c r="A322" i="2"/>
  <c r="A323" i="2"/>
  <c r="A324" i="2"/>
  <c r="A325" i="2"/>
  <c r="AC325" i="2" s="1"/>
  <c r="A326" i="2"/>
  <c r="A327" i="2"/>
  <c r="A328" i="2"/>
  <c r="A329" i="2"/>
  <c r="A330" i="2"/>
  <c r="A331" i="2"/>
  <c r="A332" i="2"/>
  <c r="A333" i="2"/>
  <c r="AC333" i="2" s="1"/>
  <c r="A334" i="2"/>
  <c r="A335" i="2"/>
  <c r="A336" i="2"/>
  <c r="AC336" i="2" s="1"/>
  <c r="A337" i="2"/>
  <c r="A338" i="2"/>
  <c r="A339" i="2"/>
  <c r="A340" i="2"/>
  <c r="A341" i="2"/>
  <c r="AC341" i="2" s="1"/>
  <c r="A342" i="2"/>
  <c r="A343" i="2"/>
  <c r="A344" i="2"/>
  <c r="AC344" i="2" s="1"/>
  <c r="A345" i="2"/>
  <c r="A346" i="2"/>
  <c r="A347" i="2"/>
  <c r="A348" i="2"/>
  <c r="A349" i="2"/>
  <c r="AC349" i="2" s="1"/>
  <c r="A350" i="2"/>
  <c r="A351" i="2"/>
  <c r="A352" i="2"/>
  <c r="AC352" i="2" s="1"/>
  <c r="A353" i="2"/>
  <c r="A354" i="2"/>
  <c r="A355" i="2"/>
  <c r="A356" i="2"/>
  <c r="A357" i="2"/>
  <c r="AC357" i="2" s="1"/>
  <c r="A358" i="2"/>
  <c r="A359" i="2"/>
  <c r="A360" i="2"/>
  <c r="AC360" i="2" s="1"/>
  <c r="A361" i="2"/>
  <c r="A362" i="2"/>
  <c r="A363" i="2"/>
  <c r="A364" i="2"/>
  <c r="A365" i="2"/>
  <c r="AC365" i="2" s="1"/>
  <c r="A366" i="2"/>
  <c r="A367" i="2"/>
  <c r="A368" i="2"/>
  <c r="AC368" i="2" s="1"/>
  <c r="A369" i="2"/>
  <c r="A370" i="2"/>
  <c r="A371" i="2"/>
  <c r="A372" i="2"/>
  <c r="A373" i="2"/>
  <c r="AC373" i="2" s="1"/>
  <c r="A374" i="2"/>
  <c r="A375" i="2"/>
  <c r="A376" i="2"/>
  <c r="AC376" i="2" s="1"/>
  <c r="A377" i="2"/>
  <c r="A378" i="2"/>
  <c r="A379" i="2"/>
  <c r="A380" i="2"/>
  <c r="A381" i="2"/>
  <c r="AC381" i="2" s="1"/>
  <c r="A382" i="2"/>
  <c r="A383" i="2"/>
  <c r="A384" i="2"/>
  <c r="AC384" i="2" s="1"/>
  <c r="A385" i="2"/>
  <c r="A386" i="2"/>
  <c r="A387" i="2"/>
  <c r="A388" i="2"/>
  <c r="A389" i="2"/>
  <c r="AC389" i="2" s="1"/>
  <c r="A390" i="2"/>
  <c r="A391" i="2"/>
  <c r="A392" i="2"/>
  <c r="AC392" i="2" s="1"/>
  <c r="A393" i="2"/>
  <c r="A394" i="2"/>
  <c r="A395" i="2"/>
  <c r="A396" i="2"/>
  <c r="A397" i="2"/>
  <c r="AC397" i="2" s="1"/>
  <c r="A398" i="2"/>
  <c r="A399" i="2"/>
  <c r="A400" i="2"/>
  <c r="AC400" i="2" s="1"/>
  <c r="A401" i="2"/>
  <c r="A402" i="2"/>
  <c r="A403" i="2"/>
  <c r="A404" i="2"/>
  <c r="A405" i="2"/>
  <c r="AC405" i="2" s="1"/>
  <c r="A406" i="2"/>
  <c r="A407" i="2"/>
  <c r="A408" i="2"/>
  <c r="AC408" i="2" s="1"/>
  <c r="A409" i="2"/>
  <c r="A410" i="2"/>
  <c r="A411" i="2"/>
  <c r="A412" i="2"/>
  <c r="A413" i="2"/>
  <c r="AC413" i="2" s="1"/>
  <c r="A414" i="2"/>
  <c r="A415" i="2"/>
  <c r="A416" i="2"/>
  <c r="AC416" i="2" s="1"/>
  <c r="A417" i="2"/>
  <c r="A418" i="2"/>
  <c r="A419" i="2"/>
  <c r="A420" i="2"/>
  <c r="A421" i="2"/>
  <c r="AC421" i="2" s="1"/>
  <c r="A422" i="2"/>
  <c r="A423" i="2"/>
  <c r="A424" i="2"/>
  <c r="AC424" i="2" s="1"/>
  <c r="A425" i="2"/>
  <c r="A426" i="2"/>
  <c r="A427" i="2"/>
  <c r="A428" i="2"/>
  <c r="A429" i="2"/>
  <c r="AC429" i="2" s="1"/>
  <c r="A430" i="2"/>
  <c r="A431" i="2"/>
  <c r="A432" i="2"/>
  <c r="AC432" i="2" s="1"/>
  <c r="A433" i="2"/>
  <c r="A434" i="2"/>
  <c r="A435" i="2"/>
  <c r="A436" i="2"/>
  <c r="A437" i="2"/>
  <c r="AC437" i="2" s="1"/>
  <c r="A438" i="2"/>
  <c r="A439" i="2"/>
  <c r="A440" i="2"/>
  <c r="AC440" i="2" s="1"/>
  <c r="A441" i="2"/>
  <c r="A442" i="2"/>
  <c r="A443" i="2"/>
  <c r="A444" i="2"/>
  <c r="A445" i="2"/>
  <c r="AC445" i="2" s="1"/>
  <c r="A446" i="2"/>
  <c r="A447" i="2"/>
  <c r="A448" i="2"/>
  <c r="AC448" i="2" s="1"/>
  <c r="A449" i="2"/>
  <c r="A450" i="2"/>
  <c r="A451" i="2"/>
  <c r="A452" i="2"/>
  <c r="A453" i="2"/>
  <c r="AC453" i="2" s="1"/>
  <c r="A454" i="2"/>
  <c r="A455" i="2"/>
  <c r="A456" i="2"/>
  <c r="AC456" i="2" s="1"/>
  <c r="A457" i="2"/>
  <c r="A458" i="2"/>
  <c r="A459" i="2"/>
  <c r="A460" i="2"/>
  <c r="A461" i="2"/>
  <c r="AC461" i="2" s="1"/>
  <c r="A462" i="2"/>
  <c r="A463" i="2"/>
  <c r="A464" i="2"/>
  <c r="AC464" i="2" s="1"/>
  <c r="A465" i="2"/>
  <c r="A466" i="2"/>
  <c r="A467" i="2"/>
  <c r="A468" i="2"/>
  <c r="A469" i="2"/>
  <c r="AC469" i="2" s="1"/>
  <c r="A470" i="2"/>
  <c r="A471" i="2"/>
  <c r="A472" i="2"/>
  <c r="AC472" i="2" s="1"/>
  <c r="A473" i="2"/>
  <c r="A474" i="2"/>
  <c r="A475" i="2"/>
  <c r="A476" i="2"/>
  <c r="A477" i="2"/>
  <c r="AC477" i="2" s="1"/>
  <c r="A478" i="2"/>
  <c r="A479" i="2"/>
  <c r="A480" i="2"/>
  <c r="AC480" i="2" s="1"/>
  <c r="A481" i="2"/>
  <c r="A482" i="2"/>
  <c r="A483" i="2"/>
  <c r="A484" i="2"/>
  <c r="A485" i="2"/>
  <c r="AC485" i="2" s="1"/>
  <c r="A486" i="2"/>
  <c r="A487" i="2"/>
  <c r="A488" i="2"/>
  <c r="AC488" i="2" s="1"/>
  <c r="A489" i="2"/>
  <c r="A490" i="2"/>
  <c r="A491" i="2"/>
  <c r="A492" i="2"/>
  <c r="A493" i="2"/>
  <c r="AC493" i="2" s="1"/>
  <c r="A494" i="2"/>
  <c r="A495" i="2"/>
  <c r="A496" i="2"/>
  <c r="AC496" i="2" s="1"/>
  <c r="A497" i="2"/>
  <c r="A498" i="2"/>
  <c r="A499" i="2"/>
  <c r="A500" i="2"/>
  <c r="A501" i="2"/>
  <c r="AC501" i="2" s="1"/>
  <c r="A502" i="2"/>
  <c r="A503" i="2"/>
  <c r="A504" i="2"/>
  <c r="AC504" i="2" s="1"/>
  <c r="A505" i="2"/>
  <c r="A506" i="2"/>
  <c r="A507" i="2"/>
  <c r="A508" i="2"/>
  <c r="A509" i="2"/>
  <c r="AC509" i="2" s="1"/>
  <c r="A510" i="2"/>
  <c r="A511" i="2"/>
  <c r="A512" i="2"/>
  <c r="AC512" i="2" s="1"/>
  <c r="A513" i="2"/>
  <c r="A514" i="2"/>
  <c r="A515" i="2"/>
  <c r="A516" i="2"/>
  <c r="A517" i="2"/>
  <c r="AC517" i="2" s="1"/>
  <c r="A518" i="2"/>
  <c r="A519" i="2"/>
  <c r="A520" i="2"/>
  <c r="AC520" i="2" s="1"/>
  <c r="A521" i="2"/>
  <c r="A522" i="2"/>
  <c r="A523" i="2"/>
  <c r="A524" i="2"/>
  <c r="A525" i="2"/>
  <c r="AC525" i="2" s="1"/>
  <c r="A526" i="2"/>
  <c r="A527" i="2"/>
  <c r="A528" i="2"/>
  <c r="AC528" i="2" s="1"/>
  <c r="A529" i="2"/>
  <c r="A530" i="2"/>
  <c r="A531" i="2"/>
  <c r="A532" i="2"/>
  <c r="A533" i="2"/>
  <c r="AC533" i="2" s="1"/>
  <c r="A534" i="2"/>
  <c r="A535" i="2"/>
  <c r="A536" i="2"/>
  <c r="AC536" i="2" s="1"/>
  <c r="A537" i="2"/>
  <c r="AC537" i="2" s="1"/>
  <c r="A538" i="2"/>
  <c r="A539" i="2"/>
  <c r="A540" i="2"/>
  <c r="A541" i="2"/>
  <c r="AC541" i="2" s="1"/>
  <c r="A542" i="2"/>
  <c r="A543" i="2"/>
  <c r="A544" i="2"/>
  <c r="AC544" i="2" s="1"/>
  <c r="A545" i="2"/>
  <c r="AC545" i="2" s="1"/>
  <c r="A546" i="2"/>
  <c r="A547" i="2"/>
  <c r="A548" i="2"/>
  <c r="A549" i="2"/>
  <c r="AC549" i="2" s="1"/>
  <c r="A550" i="2"/>
  <c r="A551" i="2"/>
  <c r="A552" i="2"/>
  <c r="AC552" i="2" s="1"/>
  <c r="A553" i="2"/>
  <c r="AC553" i="2" s="1"/>
  <c r="A554" i="2"/>
  <c r="A555" i="2"/>
  <c r="A556" i="2"/>
  <c r="A557" i="2"/>
  <c r="AC557" i="2" s="1"/>
  <c r="A558" i="2"/>
  <c r="A559" i="2"/>
  <c r="A560" i="2"/>
  <c r="AC560" i="2" s="1"/>
  <c r="A561" i="2"/>
  <c r="AC561" i="2" s="1"/>
  <c r="A562" i="2"/>
  <c r="A563" i="2"/>
  <c r="A564" i="2"/>
  <c r="A565" i="2"/>
  <c r="AC565" i="2" s="1"/>
  <c r="A566" i="2"/>
  <c r="A567" i="2"/>
  <c r="A568" i="2"/>
  <c r="AC568" i="2" s="1"/>
  <c r="A569" i="2"/>
  <c r="AC569" i="2" s="1"/>
  <c r="A570" i="2"/>
  <c r="A571" i="2"/>
  <c r="A572" i="2"/>
  <c r="A573" i="2"/>
  <c r="AC573" i="2" s="1"/>
  <c r="A574" i="2"/>
  <c r="A575" i="2"/>
  <c r="A576" i="2"/>
  <c r="AC576" i="2" s="1"/>
  <c r="A577" i="2"/>
  <c r="AC577" i="2" s="1"/>
  <c r="A578" i="2"/>
  <c r="A579" i="2"/>
  <c r="A580" i="2"/>
  <c r="A581" i="2"/>
  <c r="AC581" i="2" s="1"/>
  <c r="A582" i="2"/>
  <c r="A583" i="2"/>
  <c r="A584" i="2"/>
  <c r="AC584" i="2" s="1"/>
  <c r="A585" i="2"/>
  <c r="AC585" i="2" s="1"/>
  <c r="A586" i="2"/>
  <c r="A587" i="2"/>
  <c r="A588" i="2"/>
  <c r="A589" i="2"/>
  <c r="AC589" i="2" s="1"/>
  <c r="A590" i="2"/>
  <c r="A591" i="2"/>
  <c r="A592" i="2"/>
  <c r="AC592" i="2" s="1"/>
  <c r="A593" i="2"/>
  <c r="AC593" i="2" s="1"/>
  <c r="A594" i="2"/>
  <c r="A595" i="2"/>
  <c r="A596" i="2"/>
  <c r="A597" i="2"/>
  <c r="AC597" i="2" s="1"/>
  <c r="A598" i="2"/>
  <c r="A599" i="2"/>
  <c r="A600" i="2"/>
  <c r="AC600" i="2" s="1"/>
  <c r="A601" i="2"/>
  <c r="AC601" i="2" s="1"/>
  <c r="A602" i="2"/>
  <c r="A603" i="2"/>
  <c r="A604" i="2"/>
  <c r="A605" i="2"/>
  <c r="AC605" i="2" s="1"/>
  <c r="A606" i="2"/>
  <c r="A607" i="2"/>
  <c r="A608" i="2"/>
  <c r="AC608" i="2" s="1"/>
  <c r="A609" i="2"/>
  <c r="AC609" i="2" s="1"/>
  <c r="A610" i="2"/>
  <c r="A611" i="2"/>
  <c r="A612" i="2"/>
  <c r="A613" i="2"/>
  <c r="AC613" i="2" s="1"/>
  <c r="A614" i="2"/>
  <c r="A615" i="2"/>
  <c r="A616" i="2"/>
  <c r="AC616" i="2" s="1"/>
  <c r="A617" i="2"/>
  <c r="AC617" i="2" s="1"/>
  <c r="A618" i="2"/>
  <c r="A619" i="2"/>
  <c r="A620" i="2"/>
  <c r="A621" i="2"/>
  <c r="AC621" i="2" s="1"/>
  <c r="A622" i="2"/>
  <c r="A623" i="2"/>
  <c r="A624" i="2"/>
  <c r="AC624" i="2" s="1"/>
  <c r="A625" i="2"/>
  <c r="AC625" i="2" s="1"/>
  <c r="A626" i="2"/>
  <c r="A627" i="2"/>
  <c r="A628" i="2"/>
  <c r="A629" i="2"/>
  <c r="AC629" i="2" s="1"/>
  <c r="A630" i="2"/>
  <c r="A631" i="2"/>
  <c r="A632" i="2"/>
  <c r="AC632" i="2" s="1"/>
  <c r="A633" i="2"/>
  <c r="AC633" i="2" s="1"/>
  <c r="A634" i="2"/>
  <c r="A635" i="2"/>
  <c r="A636" i="2"/>
  <c r="A637" i="2"/>
  <c r="A638" i="2"/>
  <c r="A639" i="2"/>
  <c r="A640" i="2"/>
  <c r="AC640" i="2" s="1"/>
  <c r="A641" i="2"/>
  <c r="AC641" i="2" s="1"/>
  <c r="A642" i="2"/>
  <c r="A643" i="2"/>
  <c r="A644" i="2"/>
  <c r="A645" i="2"/>
  <c r="AC645" i="2" s="1"/>
  <c r="A646" i="2"/>
  <c r="A647" i="2"/>
  <c r="A648" i="2"/>
  <c r="AC648" i="2" s="1"/>
  <c r="A649" i="2"/>
  <c r="AC649" i="2" s="1"/>
  <c r="A650" i="2"/>
  <c r="A651" i="2"/>
  <c r="A652" i="2"/>
  <c r="A653" i="2"/>
  <c r="AC653" i="2" s="1"/>
  <c r="A654" i="2"/>
  <c r="A655" i="2"/>
  <c r="A656" i="2"/>
  <c r="AC656" i="2" s="1"/>
  <c r="A657" i="2"/>
  <c r="AC657" i="2" s="1"/>
  <c r="A658" i="2"/>
  <c r="A659" i="2"/>
  <c r="A660" i="2"/>
  <c r="A661" i="2"/>
  <c r="AC661" i="2" s="1"/>
  <c r="A662" i="2"/>
  <c r="A663" i="2"/>
  <c r="A664" i="2"/>
  <c r="AC664" i="2" s="1"/>
  <c r="A665" i="2"/>
  <c r="AC665" i="2" s="1"/>
  <c r="A666" i="2"/>
  <c r="A667" i="2"/>
  <c r="A668" i="2"/>
  <c r="A669" i="2"/>
  <c r="AC669" i="2" s="1"/>
  <c r="A670" i="2"/>
  <c r="A671" i="2"/>
  <c r="A672" i="2"/>
  <c r="A673" i="2"/>
  <c r="AC673" i="2" s="1"/>
  <c r="A674" i="2"/>
  <c r="A675" i="2"/>
  <c r="A676" i="2"/>
  <c r="A677" i="2"/>
  <c r="AC677" i="2" s="1"/>
  <c r="A678" i="2"/>
  <c r="A679" i="2"/>
  <c r="A680" i="2"/>
  <c r="AC680" i="2" s="1"/>
  <c r="A681" i="2"/>
  <c r="AC681" i="2" s="1"/>
  <c r="A682" i="2"/>
  <c r="A683" i="2"/>
  <c r="A684" i="2"/>
  <c r="A685" i="2"/>
  <c r="AC685" i="2" s="1"/>
  <c r="A686" i="2"/>
  <c r="A687" i="2"/>
  <c r="A688" i="2"/>
  <c r="A689" i="2"/>
  <c r="AC689" i="2" s="1"/>
  <c r="A690" i="2"/>
  <c r="A691" i="2"/>
  <c r="A692" i="2"/>
  <c r="A693" i="2"/>
  <c r="AC693" i="2" s="1"/>
  <c r="A694" i="2"/>
  <c r="A695" i="2"/>
  <c r="A696" i="2"/>
  <c r="AC696" i="2" s="1"/>
  <c r="A697" i="2"/>
  <c r="AC697" i="2" s="1"/>
  <c r="A698" i="2"/>
  <c r="A699" i="2"/>
  <c r="A700" i="2"/>
  <c r="A701" i="2"/>
  <c r="AC701" i="2" s="1"/>
  <c r="A702" i="2"/>
  <c r="A703" i="2"/>
  <c r="A704" i="2"/>
  <c r="A705" i="2"/>
  <c r="AC705" i="2" s="1"/>
  <c r="A706" i="2"/>
  <c r="A707" i="2"/>
  <c r="A708" i="2"/>
  <c r="A709" i="2"/>
  <c r="AC709" i="2" s="1"/>
  <c r="A710" i="2"/>
  <c r="A711" i="2"/>
  <c r="A712" i="2"/>
  <c r="AC712" i="2" s="1"/>
  <c r="A713" i="2"/>
  <c r="AC713" i="2" s="1"/>
  <c r="A714" i="2"/>
  <c r="A715" i="2"/>
  <c r="A716" i="2"/>
  <c r="A717" i="2"/>
  <c r="AC717" i="2" s="1"/>
  <c r="A718" i="2"/>
  <c r="A719" i="2"/>
  <c r="A720" i="2"/>
  <c r="AC720" i="2" s="1"/>
  <c r="A721" i="2"/>
  <c r="AC721" i="2" s="1"/>
  <c r="A722" i="2"/>
  <c r="A723" i="2"/>
  <c r="A724" i="2"/>
  <c r="A725" i="2"/>
  <c r="AC725" i="2" s="1"/>
  <c r="A726" i="2"/>
  <c r="A727" i="2"/>
  <c r="A728" i="2"/>
  <c r="AC728" i="2" s="1"/>
  <c r="A729" i="2"/>
  <c r="A730" i="2"/>
  <c r="A731" i="2"/>
  <c r="A732" i="2"/>
  <c r="A733" i="2"/>
  <c r="A734" i="2"/>
  <c r="AC734" i="2" s="1"/>
  <c r="A735" i="2"/>
  <c r="A736" i="2"/>
  <c r="AC736" i="2" s="1"/>
  <c r="A737" i="2"/>
  <c r="A738" i="2"/>
  <c r="A739" i="2"/>
  <c r="A740" i="2"/>
  <c r="A741" i="2"/>
  <c r="A742" i="2"/>
  <c r="AC742" i="2" s="1"/>
  <c r="A743" i="2"/>
  <c r="A744" i="2"/>
  <c r="AC744" i="2" s="1"/>
  <c r="A745" i="2"/>
  <c r="A746" i="2"/>
  <c r="A747" i="2"/>
  <c r="AC747" i="2" s="1"/>
  <c r="A748" i="2"/>
  <c r="A749" i="2"/>
  <c r="A750" i="2"/>
  <c r="AC750" i="2" s="1"/>
  <c r="A751" i="2"/>
  <c r="A752" i="2"/>
  <c r="AC752" i="2" s="1"/>
  <c r="A753" i="2"/>
  <c r="A754" i="2"/>
  <c r="A755" i="2"/>
  <c r="AC755" i="2" s="1"/>
  <c r="A756" i="2"/>
  <c r="A757" i="2"/>
  <c r="A758" i="2"/>
  <c r="AC758" i="2" s="1"/>
  <c r="A759" i="2"/>
  <c r="A760" i="2"/>
  <c r="AC760" i="2" s="1"/>
  <c r="A761" i="2"/>
  <c r="A762" i="2"/>
  <c r="A763" i="2"/>
  <c r="AC763" i="2" s="1"/>
  <c r="A764" i="2"/>
  <c r="A765" i="2"/>
  <c r="A766" i="2"/>
  <c r="AC766" i="2" s="1"/>
  <c r="A767" i="2"/>
  <c r="A768" i="2"/>
  <c r="AC768" i="2" s="1"/>
  <c r="A769" i="2"/>
  <c r="A770" i="2"/>
  <c r="A771" i="2"/>
  <c r="AC771" i="2" s="1"/>
  <c r="A772" i="2"/>
  <c r="A773" i="2"/>
  <c r="A774" i="2"/>
  <c r="AC774" i="2" s="1"/>
  <c r="A775" i="2"/>
  <c r="A776" i="2"/>
  <c r="AC776" i="2" s="1"/>
  <c r="A777" i="2"/>
  <c r="A778" i="2"/>
  <c r="A779" i="2"/>
  <c r="AC779" i="2" s="1"/>
  <c r="A780" i="2"/>
  <c r="A781" i="2"/>
  <c r="A782" i="2"/>
  <c r="AC782" i="2" s="1"/>
  <c r="A783" i="2"/>
  <c r="A784" i="2"/>
  <c r="AC784" i="2" s="1"/>
  <c r="A785" i="2"/>
  <c r="A786" i="2"/>
  <c r="A787" i="2"/>
  <c r="AC787" i="2" s="1"/>
  <c r="A788" i="2"/>
  <c r="A789" i="2"/>
  <c r="A790" i="2"/>
  <c r="AC790" i="2" s="1"/>
  <c r="A791" i="2"/>
  <c r="A792" i="2"/>
  <c r="AC792" i="2" s="1"/>
  <c r="A793" i="2"/>
  <c r="A794" i="2"/>
  <c r="A795" i="2"/>
  <c r="AC795" i="2" s="1"/>
  <c r="A796" i="2"/>
  <c r="A797" i="2"/>
  <c r="A798" i="2"/>
  <c r="AC798" i="2" s="1"/>
  <c r="A799" i="2"/>
  <c r="A800" i="2"/>
  <c r="AC800" i="2" s="1"/>
  <c r="A801" i="2"/>
  <c r="A802" i="2"/>
  <c r="A803" i="2"/>
  <c r="AC803" i="2" s="1"/>
  <c r="A804" i="2"/>
  <c r="A805" i="2"/>
  <c r="A806" i="2"/>
  <c r="AC806" i="2" s="1"/>
  <c r="A807" i="2"/>
  <c r="A808" i="2"/>
  <c r="AC808" i="2" s="1"/>
  <c r="A809" i="2"/>
  <c r="A810" i="2"/>
  <c r="A811" i="2"/>
  <c r="AC811" i="2" s="1"/>
  <c r="A812" i="2"/>
  <c r="A813" i="2"/>
  <c r="A814" i="2"/>
  <c r="AC814" i="2" s="1"/>
  <c r="A815" i="2"/>
  <c r="A816" i="2"/>
  <c r="AC816" i="2" s="1"/>
  <c r="A817" i="2"/>
  <c r="A818" i="2"/>
  <c r="A819" i="2"/>
  <c r="AC819" i="2" s="1"/>
  <c r="A820" i="2"/>
  <c r="A821" i="2"/>
  <c r="A822" i="2"/>
  <c r="AC822" i="2" s="1"/>
  <c r="A823" i="2"/>
  <c r="A824" i="2"/>
  <c r="A825" i="2"/>
  <c r="A826" i="2"/>
  <c r="A827" i="2"/>
  <c r="AC827" i="2" s="1"/>
  <c r="A828" i="2"/>
  <c r="A829" i="2"/>
  <c r="A830" i="2"/>
  <c r="A831" i="2"/>
  <c r="A832" i="2"/>
  <c r="A833" i="2"/>
  <c r="A834" i="2"/>
  <c r="AC834" i="2" s="1"/>
  <c r="A835" i="2"/>
  <c r="A836" i="2"/>
  <c r="A837" i="2"/>
  <c r="AC837" i="2" s="1"/>
  <c r="A838" i="2"/>
  <c r="A839" i="2"/>
  <c r="A840" i="2"/>
  <c r="A841" i="2"/>
  <c r="A842" i="2"/>
  <c r="AC842" i="2" s="1"/>
  <c r="A843" i="2"/>
  <c r="AC843" i="2" s="1"/>
  <c r="A844" i="2"/>
  <c r="A845" i="2"/>
  <c r="AC845" i="2" s="1"/>
  <c r="A846" i="2"/>
  <c r="A847" i="2"/>
  <c r="A848" i="2"/>
  <c r="A849" i="2"/>
  <c r="AC849" i="2" s="1"/>
  <c r="A850" i="2"/>
  <c r="AC850" i="2" s="1"/>
  <c r="A851" i="2"/>
  <c r="AC851" i="2" s="1"/>
  <c r="A852" i="2"/>
  <c r="A853" i="2"/>
  <c r="AC853" i="2" s="1"/>
  <c r="A854" i="2"/>
  <c r="A855" i="2"/>
  <c r="A856" i="2"/>
  <c r="AC856" i="2" s="1"/>
  <c r="A857" i="2"/>
  <c r="AC857" i="2" s="1"/>
  <c r="A858" i="2"/>
  <c r="A859" i="2"/>
  <c r="A860" i="2"/>
  <c r="A861" i="2"/>
  <c r="A862" i="2"/>
  <c r="A863" i="2"/>
  <c r="A864" i="2"/>
  <c r="A865" i="2"/>
  <c r="AC865" i="2" s="1"/>
  <c r="A866" i="2"/>
  <c r="A867" i="2"/>
  <c r="A868" i="2"/>
  <c r="A869" i="2"/>
  <c r="AC869" i="2" s="1"/>
  <c r="A870" i="2"/>
  <c r="A871" i="2"/>
  <c r="A872" i="2"/>
  <c r="A873" i="2"/>
  <c r="A874" i="2"/>
  <c r="A875" i="2"/>
  <c r="A876" i="2"/>
  <c r="AC876" i="2" s="1"/>
  <c r="A877" i="2"/>
  <c r="A878" i="2"/>
  <c r="A879" i="2"/>
  <c r="A880" i="2"/>
  <c r="A881" i="2"/>
  <c r="A882" i="2"/>
  <c r="A883" i="2"/>
  <c r="A884" i="2"/>
  <c r="A885" i="2"/>
  <c r="AC885" i="2" s="1"/>
  <c r="A886" i="2"/>
  <c r="A887" i="2"/>
  <c r="A888" i="2"/>
  <c r="A889" i="2"/>
  <c r="A890" i="2"/>
  <c r="A891" i="2"/>
  <c r="A892" i="2"/>
  <c r="A893" i="2"/>
  <c r="AC893" i="2" s="1"/>
  <c r="A894" i="2"/>
  <c r="A895" i="2"/>
  <c r="A896" i="2"/>
  <c r="A897" i="2"/>
  <c r="AC897" i="2" s="1"/>
  <c r="A898" i="2"/>
  <c r="A899" i="2"/>
  <c r="A900" i="2"/>
  <c r="A901" i="2"/>
  <c r="AC901" i="2" s="1"/>
  <c r="A902" i="2"/>
  <c r="A903" i="2"/>
  <c r="A904" i="2"/>
  <c r="A905" i="2"/>
  <c r="AC905" i="2" s="1"/>
  <c r="A906" i="2"/>
  <c r="A907" i="2"/>
  <c r="A908" i="2"/>
  <c r="A909" i="2"/>
  <c r="AC909" i="2" s="1"/>
  <c r="A910" i="2"/>
  <c r="A911" i="2"/>
  <c r="A912" i="2"/>
  <c r="AC912" i="2" s="1"/>
  <c r="A913" i="2"/>
  <c r="AC913" i="2" s="1"/>
  <c r="A914" i="2"/>
  <c r="A915" i="2"/>
  <c r="A916" i="2"/>
  <c r="AC916" i="2" s="1"/>
  <c r="A917" i="2"/>
  <c r="AC917" i="2" s="1"/>
  <c r="A918" i="2"/>
  <c r="A919" i="2"/>
  <c r="A920" i="2"/>
  <c r="AC920" i="2" s="1"/>
  <c r="A921" i="2"/>
  <c r="A922" i="2"/>
  <c r="A923" i="2"/>
  <c r="A924" i="2"/>
  <c r="A925" i="2"/>
  <c r="AC925" i="2" s="1"/>
  <c r="A926" i="2"/>
  <c r="A927" i="2"/>
  <c r="A928" i="2"/>
  <c r="A929" i="2"/>
  <c r="A930" i="2"/>
  <c r="A931" i="2"/>
  <c r="A932" i="2"/>
  <c r="AC932" i="2" s="1"/>
  <c r="A933" i="2"/>
  <c r="AC933" i="2" s="1"/>
  <c r="A934" i="2"/>
  <c r="A935" i="2"/>
  <c r="A936" i="2"/>
  <c r="A937" i="2"/>
  <c r="A938" i="2"/>
  <c r="A939" i="2"/>
  <c r="A940" i="2"/>
  <c r="AC940" i="2" s="1"/>
  <c r="A941" i="2"/>
  <c r="AC941" i="2" s="1"/>
  <c r="A942" i="2"/>
  <c r="A943" i="2"/>
  <c r="A944" i="2"/>
  <c r="A945" i="2"/>
  <c r="A946" i="2"/>
  <c r="A947" i="2"/>
  <c r="A948" i="2"/>
  <c r="AC948" i="2" s="1"/>
  <c r="A949" i="2"/>
  <c r="AC949" i="2" s="1"/>
  <c r="A950" i="2"/>
  <c r="A951" i="2"/>
  <c r="A952" i="2"/>
  <c r="AC952" i="2" s="1"/>
  <c r="A953" i="2"/>
  <c r="A954" i="2"/>
  <c r="A955" i="2"/>
  <c r="A956" i="2"/>
  <c r="AC956" i="2" s="1"/>
  <c r="A957" i="2"/>
  <c r="AC957" i="2" s="1"/>
  <c r="A958" i="2"/>
  <c r="A959" i="2"/>
  <c r="AC959" i="2" s="1"/>
  <c r="A960" i="2"/>
  <c r="A961" i="2"/>
  <c r="A962" i="2"/>
  <c r="A963" i="2"/>
  <c r="A964" i="2"/>
  <c r="AC964" i="2" s="1"/>
  <c r="A965" i="2"/>
  <c r="AC965" i="2" s="1"/>
  <c r="A966" i="2"/>
  <c r="A967" i="2"/>
  <c r="A968" i="2"/>
  <c r="A969" i="2"/>
  <c r="A970" i="2"/>
  <c r="A971" i="2"/>
  <c r="A972" i="2"/>
  <c r="AC972" i="2" s="1"/>
  <c r="A973" i="2"/>
  <c r="AC973" i="2" s="1"/>
  <c r="A974" i="2"/>
  <c r="A975" i="2"/>
  <c r="A976" i="2"/>
  <c r="AC976" i="2" s="1"/>
  <c r="A977" i="2"/>
  <c r="A978" i="2"/>
  <c r="A979" i="2"/>
  <c r="A980" i="2"/>
  <c r="A981" i="2"/>
  <c r="AC981" i="2" s="1"/>
  <c r="A982" i="2"/>
  <c r="A983" i="2"/>
  <c r="A984" i="2"/>
  <c r="AC984" i="2" s="1"/>
  <c r="A985" i="2"/>
  <c r="A986" i="2"/>
  <c r="A987" i="2"/>
  <c r="A988" i="2"/>
  <c r="AC988" i="2" s="1"/>
  <c r="A989" i="2"/>
  <c r="A990" i="2"/>
  <c r="A991" i="2"/>
  <c r="A992" i="2"/>
  <c r="AC992" i="2" s="1"/>
  <c r="A993" i="2"/>
  <c r="A994" i="2"/>
  <c r="AC994" i="2" s="1"/>
  <c r="A995" i="2"/>
  <c r="A996" i="2"/>
  <c r="A997" i="2"/>
  <c r="AC997" i="2" s="1"/>
  <c r="A998" i="2"/>
  <c r="A999" i="2"/>
  <c r="A1000" i="2"/>
  <c r="AC1000" i="2" s="1"/>
  <c r="A1001" i="2"/>
  <c r="A1002" i="2"/>
  <c r="AC1002" i="2" s="1"/>
  <c r="A1003" i="2"/>
  <c r="A1004" i="2"/>
  <c r="AC1004" i="2" s="1"/>
  <c r="A1005" i="2"/>
  <c r="AC1005" i="2" s="1"/>
  <c r="A1006" i="2"/>
  <c r="A1007" i="2"/>
  <c r="A1008" i="2"/>
  <c r="AC1008" i="2" s="1"/>
  <c r="A1009" i="2"/>
  <c r="A1010" i="2"/>
  <c r="A1011" i="2"/>
  <c r="A1012" i="2"/>
  <c r="AC1012" i="2" s="1"/>
  <c r="A1013" i="2"/>
  <c r="AC1013" i="2" s="1"/>
  <c r="A1014" i="2"/>
  <c r="A1015" i="2"/>
  <c r="A1016" i="2"/>
  <c r="A1017" i="2"/>
  <c r="A1018" i="2"/>
  <c r="AC1018" i="2" s="1"/>
  <c r="A1019" i="2"/>
  <c r="A1020" i="2"/>
  <c r="A1021" i="2"/>
  <c r="AC1021" i="2" s="1"/>
  <c r="A1022" i="2"/>
  <c r="A1023" i="2"/>
  <c r="A1024" i="2"/>
  <c r="A1025" i="2"/>
  <c r="A1026" i="2"/>
  <c r="A1027" i="2"/>
  <c r="A1028" i="2"/>
  <c r="A1029" i="2"/>
  <c r="AC1029" i="2" s="1"/>
  <c r="A1030" i="2"/>
  <c r="A1031" i="2"/>
  <c r="A1032" i="2"/>
  <c r="AC1032" i="2" s="1"/>
  <c r="A1033" i="2"/>
  <c r="A1034" i="2"/>
  <c r="A1035" i="2"/>
  <c r="A1036" i="2"/>
  <c r="AC1036" i="2" s="1"/>
  <c r="A1037" i="2"/>
  <c r="A1038" i="2"/>
  <c r="A1039" i="2"/>
  <c r="AC1039" i="2" s="1"/>
  <c r="A1040" i="2"/>
  <c r="AC1040" i="2" s="1"/>
  <c r="A1041" i="2"/>
  <c r="A1042" i="2"/>
  <c r="A1043" i="2"/>
  <c r="AC1043" i="2" s="1"/>
  <c r="A1044" i="2"/>
  <c r="AC1044" i="2" s="1"/>
  <c r="A1045" i="2"/>
  <c r="A1046" i="2"/>
  <c r="A1047" i="2"/>
  <c r="A1048" i="2"/>
  <c r="AC1048" i="2" s="1"/>
  <c r="A1049" i="2"/>
  <c r="A1050" i="2"/>
  <c r="A1051" i="2"/>
  <c r="AC1051" i="2" s="1"/>
  <c r="A1052" i="2"/>
  <c r="AC1052" i="2" s="1"/>
  <c r="A1053" i="2"/>
  <c r="A1054" i="2"/>
  <c r="A1055" i="2"/>
  <c r="AC1055" i="2" s="1"/>
  <c r="A1056" i="2"/>
  <c r="AC1056" i="2" s="1"/>
  <c r="A1057" i="2"/>
  <c r="A1058" i="2"/>
  <c r="A1059" i="2"/>
  <c r="AC1059" i="2" s="1"/>
  <c r="A1060" i="2"/>
  <c r="AC1060" i="2" s="1"/>
  <c r="A1061" i="2"/>
  <c r="A1062" i="2"/>
  <c r="A1063" i="2"/>
  <c r="AC1063" i="2" s="1"/>
  <c r="A1064" i="2"/>
  <c r="AC1064" i="2" s="1"/>
  <c r="A1065" i="2"/>
  <c r="A1066" i="2"/>
  <c r="A1067" i="2"/>
  <c r="AC1067" i="2" s="1"/>
  <c r="A1068" i="2"/>
  <c r="AC1068" i="2" s="1"/>
  <c r="A1069" i="2"/>
  <c r="A1070" i="2"/>
  <c r="A1071" i="2"/>
  <c r="AC1071" i="2" s="1"/>
  <c r="A1072" i="2"/>
  <c r="A1073" i="2"/>
  <c r="A1074" i="2"/>
  <c r="A1075" i="2"/>
  <c r="AC1075" i="2" s="1"/>
  <c r="A1076" i="2"/>
  <c r="AC1076" i="2" s="1"/>
  <c r="A1077" i="2"/>
  <c r="A1078" i="2"/>
  <c r="A1079" i="2"/>
  <c r="A1080" i="2"/>
  <c r="A1081" i="2"/>
  <c r="A1082" i="2"/>
  <c r="A1083" i="2"/>
  <c r="AC1083" i="2" s="1"/>
  <c r="A1084" i="2"/>
  <c r="AC1084" i="2" s="1"/>
  <c r="A1085" i="2"/>
  <c r="A1086" i="2"/>
  <c r="A1087" i="2"/>
  <c r="A1088" i="2"/>
  <c r="A1089" i="2"/>
  <c r="A1090" i="2"/>
  <c r="A1091" i="2"/>
  <c r="AC1091" i="2" s="1"/>
  <c r="A1092" i="2"/>
  <c r="AC1092" i="2" s="1"/>
  <c r="A1093" i="2"/>
  <c r="A1094" i="2"/>
  <c r="A1095" i="2"/>
  <c r="A1096" i="2"/>
  <c r="A1097" i="2"/>
  <c r="A1098" i="2"/>
  <c r="A1099" i="2"/>
  <c r="AC1099" i="2" s="1"/>
  <c r="A1100" i="2"/>
  <c r="AC1100" i="2" s="1"/>
  <c r="A1101" i="2"/>
  <c r="A1102" i="2"/>
  <c r="A1103" i="2"/>
  <c r="A1104" i="2"/>
  <c r="AC1104" i="2" s="1"/>
  <c r="A1105" i="2"/>
  <c r="A1106" i="2"/>
  <c r="A1107" i="2"/>
  <c r="AC1107" i="2" s="1"/>
  <c r="A1108" i="2"/>
  <c r="AC1108" i="2" s="1"/>
  <c r="A1109" i="2"/>
  <c r="A1110" i="2"/>
  <c r="A1111" i="2"/>
  <c r="A1112" i="2"/>
  <c r="AC1112" i="2" s="1"/>
  <c r="A1113" i="2"/>
  <c r="A1114" i="2"/>
  <c r="AC1114" i="2" s="1"/>
  <c r="A1115" i="2"/>
  <c r="AC1115" i="2" s="1"/>
  <c r="A1116" i="2"/>
  <c r="AC1116" i="2" s="1"/>
  <c r="A1117" i="2"/>
  <c r="A1118" i="2"/>
  <c r="A1119" i="2"/>
  <c r="AC1119" i="2" s="1"/>
  <c r="A1120" i="2"/>
  <c r="AC1120" i="2" s="1"/>
  <c r="A1121" i="2"/>
  <c r="A1122" i="2"/>
  <c r="AC1122" i="2" s="1"/>
  <c r="A1123" i="2"/>
  <c r="AC1123" i="2" s="1"/>
  <c r="A1124" i="2"/>
  <c r="AC1124" i="2" s="1"/>
  <c r="A1125" i="2"/>
  <c r="A1126" i="2"/>
  <c r="A1127" i="2"/>
  <c r="AC1127" i="2" s="1"/>
  <c r="A1128" i="2"/>
  <c r="AC1128" i="2" s="1"/>
  <c r="A1129" i="2"/>
  <c r="A1130" i="2"/>
  <c r="A1131" i="2"/>
  <c r="AC1131" i="2" s="1"/>
  <c r="A1132" i="2"/>
  <c r="A1133" i="2"/>
  <c r="AC1133" i="2" s="1"/>
  <c r="A1134" i="2"/>
  <c r="A1135" i="2"/>
  <c r="AC1135" i="2" s="1"/>
  <c r="A1136" i="2"/>
  <c r="A1137" i="2"/>
  <c r="A1138" i="2"/>
  <c r="A1139" i="2"/>
  <c r="AC1139" i="2" s="1"/>
  <c r="A1140" i="2"/>
  <c r="A1141" i="2"/>
  <c r="AC1141" i="2" s="1"/>
  <c r="A1142" i="2"/>
  <c r="A1143" i="2"/>
  <c r="A1144" i="2"/>
  <c r="A1145" i="2"/>
  <c r="A1146" i="2"/>
  <c r="A1147" i="2"/>
  <c r="A1148" i="2"/>
  <c r="A1149" i="2"/>
  <c r="AC1149" i="2" s="1"/>
  <c r="A1150" i="2"/>
  <c r="A1151" i="2"/>
  <c r="AC1151" i="2" s="1"/>
  <c r="A1152" i="2"/>
  <c r="AC1152" i="2" s="1"/>
  <c r="A1153" i="2"/>
  <c r="A1154" i="2"/>
  <c r="AC1154" i="2" s="1"/>
  <c r="A1155" i="2"/>
  <c r="A1156" i="2"/>
  <c r="A1157" i="2"/>
  <c r="AC1157" i="2" s="1"/>
  <c r="A1158" i="2"/>
  <c r="A1159" i="2"/>
  <c r="AC1159" i="2" s="1"/>
  <c r="A1160" i="2"/>
  <c r="AC1160" i="2" s="1"/>
  <c r="A1161" i="2"/>
  <c r="A1162" i="2"/>
  <c r="A1163" i="2"/>
  <c r="A1164" i="2"/>
  <c r="A1165" i="2"/>
  <c r="AC1165" i="2" s="1"/>
  <c r="A1166" i="2"/>
  <c r="A1167" i="2"/>
  <c r="AC1167" i="2" s="1"/>
  <c r="A1168" i="2"/>
  <c r="AC1168" i="2" s="1"/>
  <c r="A1169" i="2"/>
  <c r="A1170" i="2"/>
  <c r="A1171" i="2"/>
  <c r="AC1171" i="2" s="1"/>
  <c r="A1172" i="2"/>
  <c r="A1173" i="2"/>
  <c r="AC1173" i="2" s="1"/>
  <c r="A1174" i="2"/>
  <c r="A1175" i="2"/>
  <c r="A1176" i="2"/>
  <c r="AC1176" i="2" s="1"/>
  <c r="A1177" i="2"/>
  <c r="A1178" i="2"/>
  <c r="A1179" i="2"/>
  <c r="AC1179" i="2" s="1"/>
  <c r="A1180" i="2"/>
  <c r="A1181" i="2"/>
  <c r="AC1181" i="2" s="1"/>
  <c r="A1182" i="2"/>
  <c r="A1183" i="2"/>
  <c r="AC1183" i="2" s="1"/>
  <c r="A1184" i="2"/>
  <c r="AC1184" i="2" s="1"/>
  <c r="A1185" i="2"/>
  <c r="A1186" i="2"/>
  <c r="A1187" i="2"/>
  <c r="AC1187" i="2" s="1"/>
  <c r="A1188" i="2"/>
  <c r="A1189" i="2"/>
  <c r="AC1189" i="2" s="1"/>
  <c r="A1190" i="2"/>
  <c r="A1191" i="2"/>
  <c r="AC1191" i="2" s="1"/>
  <c r="A1192" i="2"/>
  <c r="AC1192" i="2" s="1"/>
  <c r="A1193" i="2"/>
  <c r="A1194" i="2"/>
  <c r="A1195" i="2"/>
  <c r="AC1195" i="2" s="1"/>
  <c r="A1196" i="2"/>
  <c r="A1197" i="2"/>
  <c r="AC1197" i="2" s="1"/>
  <c r="A1198" i="2"/>
  <c r="A1199" i="2"/>
  <c r="AC1199" i="2" s="1"/>
  <c r="A1200" i="2"/>
  <c r="A1201" i="2"/>
  <c r="A1202" i="2"/>
  <c r="AC1202" i="2" s="1"/>
  <c r="A1203" i="2"/>
  <c r="AC1203" i="2" s="1"/>
  <c r="A1204" i="2"/>
  <c r="A1205" i="2"/>
  <c r="AC1205" i="2" s="1"/>
  <c r="A1206" i="2"/>
  <c r="A1207" i="2"/>
  <c r="A1208" i="2"/>
  <c r="A1209" i="2"/>
  <c r="A1210" i="2"/>
  <c r="A1211" i="2"/>
  <c r="AC1211" i="2" s="1"/>
  <c r="A1212" i="2"/>
  <c r="AC1212" i="2" s="1"/>
  <c r="A1213" i="2"/>
  <c r="A1214" i="2"/>
  <c r="A1215" i="2"/>
  <c r="A1216" i="2"/>
  <c r="A1217" i="2"/>
  <c r="A1218" i="2"/>
  <c r="AC1218" i="2" s="1"/>
  <c r="A1219" i="2"/>
  <c r="AC1219" i="2" s="1"/>
  <c r="A1220" i="2"/>
  <c r="AC1220" i="2" s="1"/>
  <c r="A1221" i="2"/>
  <c r="AC1221" i="2" s="1"/>
  <c r="A1222" i="2"/>
  <c r="A1223" i="2"/>
  <c r="A1224" i="2"/>
  <c r="A1225" i="2"/>
  <c r="A1226" i="2"/>
  <c r="A1227" i="2"/>
  <c r="AC1227" i="2" s="1"/>
  <c r="A1228" i="2"/>
  <c r="AC1228" i="2" s="1"/>
  <c r="A1229" i="2"/>
  <c r="A1230" i="2"/>
  <c r="A1231" i="2"/>
  <c r="A1232" i="2"/>
  <c r="AC1232" i="2" s="1"/>
  <c r="A1233" i="2"/>
  <c r="A1234" i="2"/>
  <c r="A1235" i="2"/>
  <c r="AC1235" i="2" s="1"/>
  <c r="A1236" i="2"/>
  <c r="AC1236" i="2" s="1"/>
  <c r="A1237" i="2"/>
  <c r="A1238" i="2"/>
  <c r="A1239" i="2"/>
  <c r="A1240" i="2"/>
  <c r="AC1240" i="2" s="1"/>
  <c r="A1241" i="2"/>
  <c r="A1242" i="2"/>
  <c r="A1243" i="2"/>
  <c r="AC1243" i="2" s="1"/>
  <c r="A1244" i="2"/>
  <c r="AC1244" i="2" s="1"/>
  <c r="A1245" i="2"/>
  <c r="A1246" i="2"/>
  <c r="A1247" i="2"/>
  <c r="AC1247" i="2" s="1"/>
  <c r="A1248" i="2"/>
  <c r="AC1248" i="2" s="1"/>
  <c r="A1249" i="2"/>
  <c r="A1250" i="2"/>
  <c r="A1251" i="2"/>
  <c r="AC1251" i="2" s="1"/>
  <c r="A1252" i="2"/>
  <c r="AC1252" i="2" s="1"/>
  <c r="A1253" i="2"/>
  <c r="A1254" i="2"/>
  <c r="A1255" i="2"/>
  <c r="AC1255" i="2" s="1"/>
  <c r="A1256" i="2"/>
  <c r="AC1256" i="2" s="1"/>
  <c r="A1257" i="2"/>
  <c r="A1258" i="2"/>
  <c r="A1259" i="2"/>
  <c r="AC1259" i="2" s="1"/>
  <c r="A1260" i="2"/>
  <c r="A1261" i="2"/>
  <c r="A1262" i="2"/>
  <c r="A1263" i="2"/>
  <c r="AC1263" i="2" s="1"/>
  <c r="A1264" i="2"/>
  <c r="AC1264" i="2" s="1"/>
  <c r="A1265" i="2"/>
  <c r="A1266" i="2"/>
  <c r="A1267" i="2"/>
  <c r="AC1267" i="2" s="1"/>
  <c r="A1268" i="2"/>
  <c r="A1269" i="2"/>
  <c r="A1270" i="2"/>
  <c r="A1271" i="2"/>
  <c r="A1272" i="2"/>
  <c r="AC1272" i="2" s="1"/>
  <c r="A1273" i="2"/>
  <c r="A1274" i="2"/>
  <c r="A1275" i="2"/>
  <c r="A1276" i="2"/>
  <c r="A1277" i="2"/>
  <c r="A1278" i="2"/>
  <c r="A1279" i="2"/>
  <c r="AC1279" i="2" s="1"/>
  <c r="A1280" i="2"/>
  <c r="AC1280" i="2" s="1"/>
  <c r="A1281" i="2"/>
  <c r="A1282" i="2"/>
  <c r="A1283" i="2"/>
  <c r="A1284" i="2"/>
  <c r="A1285" i="2"/>
  <c r="A1286" i="2"/>
  <c r="A1287" i="2"/>
  <c r="AC1287" i="2" s="1"/>
  <c r="A1288" i="2"/>
  <c r="AC1288" i="2" s="1"/>
  <c r="A1289" i="2"/>
  <c r="A1290" i="2"/>
  <c r="A1291" i="2"/>
  <c r="A1292" i="2"/>
  <c r="AC1292" i="2" s="1"/>
  <c r="A1293" i="2"/>
  <c r="A1294" i="2"/>
  <c r="A1295" i="2"/>
  <c r="AC1295" i="2" s="1"/>
  <c r="A1296" i="2"/>
  <c r="AC1296" i="2" s="1"/>
  <c r="A1297" i="2"/>
  <c r="A1298" i="2"/>
  <c r="A1299" i="2"/>
  <c r="AC1299" i="2" s="1"/>
  <c r="A1300" i="2"/>
  <c r="AC1300" i="2" s="1"/>
  <c r="A1301" i="2"/>
  <c r="A1302" i="2"/>
  <c r="A1303" i="2"/>
  <c r="A1304" i="2"/>
  <c r="AC1304" i="2" s="1"/>
  <c r="A1305" i="2"/>
  <c r="A1306" i="2"/>
  <c r="A1307" i="2"/>
  <c r="AC1307" i="2" s="1"/>
  <c r="A1308" i="2"/>
  <c r="AC1308" i="2" s="1"/>
  <c r="A1309" i="2"/>
  <c r="A1310" i="2"/>
  <c r="A1311" i="2"/>
  <c r="AC1311" i="2" s="1"/>
  <c r="A1312" i="2"/>
  <c r="AC1312" i="2" s="1"/>
  <c r="A1313" i="2"/>
  <c r="A1314" i="2"/>
  <c r="A1315" i="2"/>
  <c r="AC1315" i="2" s="1"/>
  <c r="A1316" i="2"/>
  <c r="AC1316" i="2" s="1"/>
  <c r="A1317" i="2"/>
  <c r="A1318" i="2"/>
  <c r="A1319" i="2"/>
  <c r="AC1319" i="2" s="1"/>
  <c r="A1320" i="2"/>
  <c r="AC1320" i="2" s="1"/>
  <c r="A1321" i="2"/>
  <c r="A1322" i="2"/>
  <c r="A1323" i="2"/>
  <c r="AC1323" i="2" s="1"/>
  <c r="A1324" i="2"/>
  <c r="AC1324" i="2" s="1"/>
  <c r="A1325" i="2"/>
  <c r="A1326" i="2"/>
  <c r="A1327" i="2"/>
  <c r="AC1327" i="2" s="1"/>
  <c r="A1328" i="2"/>
  <c r="A1329" i="2"/>
  <c r="A1330" i="2"/>
  <c r="AC1330" i="2" s="1"/>
  <c r="A1331" i="2"/>
  <c r="AC1331" i="2" s="1"/>
  <c r="A1332" i="2"/>
  <c r="AC1332" i="2" s="1"/>
  <c r="A1333" i="2"/>
  <c r="A1334" i="2"/>
  <c r="A1335" i="2"/>
  <c r="A1336" i="2"/>
  <c r="A1337" i="2"/>
  <c r="A1338" i="2"/>
  <c r="A1339" i="2"/>
  <c r="AC1339" i="2" s="1"/>
  <c r="A1340" i="2"/>
  <c r="AC1340" i="2" s="1"/>
  <c r="A1341" i="2"/>
  <c r="A1342" i="2"/>
  <c r="A1343" i="2"/>
  <c r="A1344" i="2"/>
  <c r="A1345" i="2"/>
  <c r="A1346" i="2"/>
  <c r="AC1346" i="2" s="1"/>
  <c r="A1347" i="2"/>
  <c r="AC1347" i="2" s="1"/>
  <c r="A1348" i="2"/>
  <c r="AC1348" i="2" s="1"/>
  <c r="A1349" i="2"/>
  <c r="A1350" i="2"/>
  <c r="A1351" i="2"/>
  <c r="A1352" i="2"/>
  <c r="A1353" i="2"/>
  <c r="A1354" i="2"/>
  <c r="A1355" i="2"/>
  <c r="AC1355" i="2" s="1"/>
  <c r="A1356" i="2"/>
  <c r="AC1356" i="2" s="1"/>
  <c r="A1357" i="2"/>
  <c r="A1358" i="2"/>
  <c r="A1359" i="2"/>
  <c r="A1360" i="2"/>
  <c r="AC1360" i="2" s="1"/>
  <c r="A1361" i="2"/>
  <c r="A1362" i="2"/>
  <c r="A1363" i="2"/>
  <c r="AC1363" i="2" s="1"/>
  <c r="A1364" i="2"/>
  <c r="AC1364" i="2" s="1"/>
  <c r="A1365" i="2"/>
  <c r="A1366" i="2"/>
  <c r="A1367" i="2"/>
  <c r="A1368" i="2"/>
  <c r="AC1368" i="2" s="1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C1380" i="2" s="1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2" i="2"/>
  <c r="AA3" i="2" a="1"/>
  <c r="AA3" i="2" s="1"/>
  <c r="AA4" i="2" a="1"/>
  <c r="AA4" i="2" s="1"/>
  <c r="AA5" i="2" a="1"/>
  <c r="AA5" i="2" s="1"/>
  <c r="AA6" i="2" a="1"/>
  <c r="AA6" i="2" s="1"/>
  <c r="AA7" i="2" a="1"/>
  <c r="AA7" i="2" s="1"/>
  <c r="AA8" i="2" a="1"/>
  <c r="AA8" i="2" s="1"/>
  <c r="AA9" i="2" a="1"/>
  <c r="AA9" i="2" s="1"/>
  <c r="AA10" i="2" a="1"/>
  <c r="AA10" i="2" s="1"/>
  <c r="AA11" i="2" a="1"/>
  <c r="AA11" i="2" s="1"/>
  <c r="AA12" i="2" a="1"/>
  <c r="AA12" i="2" s="1"/>
  <c r="AA13" i="2" a="1"/>
  <c r="AA13" i="2" s="1"/>
  <c r="AA14" i="2" a="1"/>
  <c r="AA14" i="2" s="1"/>
  <c r="AA15" i="2" a="1"/>
  <c r="AA15" i="2" s="1"/>
  <c r="AA16" i="2" a="1"/>
  <c r="AA16" i="2" s="1"/>
  <c r="AA17" i="2" a="1"/>
  <c r="AA17" i="2" s="1"/>
  <c r="AA18" i="2" a="1"/>
  <c r="AA18" i="2" s="1"/>
  <c r="AA19" i="2" a="1"/>
  <c r="AA19" i="2" s="1"/>
  <c r="AA20" i="2" a="1"/>
  <c r="AA20" i="2" s="1"/>
  <c r="AA21" i="2" a="1"/>
  <c r="AA21" i="2" s="1"/>
  <c r="AA22" i="2" a="1"/>
  <c r="AA22" i="2" s="1"/>
  <c r="AA23" i="2" a="1"/>
  <c r="AA23" i="2" s="1"/>
  <c r="AA24" i="2" a="1"/>
  <c r="AA24" i="2" s="1"/>
  <c r="AA25" i="2" a="1"/>
  <c r="AA25" i="2" s="1"/>
  <c r="AA26" i="2" a="1"/>
  <c r="AA26" i="2" s="1"/>
  <c r="AA27" i="2" a="1"/>
  <c r="AA27" i="2" s="1"/>
  <c r="AA28" i="2" a="1"/>
  <c r="AA28" i="2" s="1"/>
  <c r="AA29" i="2" a="1"/>
  <c r="AA29" i="2" s="1"/>
  <c r="AA30" i="2" a="1"/>
  <c r="AA30" i="2" s="1"/>
  <c r="AA31" i="2" a="1"/>
  <c r="AA31" i="2" s="1"/>
  <c r="AA32" i="2" a="1"/>
  <c r="AA32" i="2" s="1"/>
  <c r="AA33" i="2" a="1"/>
  <c r="AA33" i="2" s="1"/>
  <c r="AA34" i="2" a="1"/>
  <c r="AA34" i="2" s="1"/>
  <c r="AA35" i="2" a="1"/>
  <c r="AA35" i="2" s="1"/>
  <c r="AA36" i="2" a="1"/>
  <c r="AA36" i="2" s="1"/>
  <c r="AA37" i="2" a="1"/>
  <c r="AA37" i="2" s="1"/>
  <c r="AA38" i="2" a="1"/>
  <c r="AA38" i="2" s="1"/>
  <c r="AA39" i="2" a="1"/>
  <c r="AA39" i="2" s="1"/>
  <c r="AA40" i="2" a="1"/>
  <c r="AA40" i="2" s="1"/>
  <c r="AA41" i="2" a="1"/>
  <c r="AA41" i="2" s="1"/>
  <c r="AA42" i="2" a="1"/>
  <c r="AA42" i="2" s="1"/>
  <c r="AA43" i="2" a="1"/>
  <c r="AA43" i="2" s="1"/>
  <c r="AA44" i="2" a="1"/>
  <c r="AA44" i="2" s="1"/>
  <c r="AA45" i="2" a="1"/>
  <c r="AA45" i="2" s="1"/>
  <c r="AA46" i="2" a="1"/>
  <c r="AA46" i="2" s="1"/>
  <c r="AA47" i="2" a="1"/>
  <c r="AA47" i="2" s="1"/>
  <c r="AA48" i="2" a="1"/>
  <c r="AA48" i="2" s="1"/>
  <c r="AA49" i="2" a="1"/>
  <c r="AA49" i="2" s="1"/>
  <c r="AA50" i="2" a="1"/>
  <c r="AA50" i="2" s="1"/>
  <c r="AA51" i="2" a="1"/>
  <c r="AA51" i="2" s="1"/>
  <c r="AA52" i="2" a="1"/>
  <c r="AA52" i="2" s="1"/>
  <c r="AA53" i="2" a="1"/>
  <c r="AA53" i="2" s="1"/>
  <c r="AA54" i="2" a="1"/>
  <c r="AA54" i="2" s="1"/>
  <c r="AA55" i="2" a="1"/>
  <c r="AA55" i="2" s="1"/>
  <c r="AA56" i="2" a="1"/>
  <c r="AA56" i="2" s="1"/>
  <c r="AA57" i="2" a="1"/>
  <c r="AA57" i="2" s="1"/>
  <c r="AA58" i="2" a="1"/>
  <c r="AA58" i="2" s="1"/>
  <c r="AA59" i="2" a="1"/>
  <c r="AA59" i="2" s="1"/>
  <c r="AA60" i="2" a="1"/>
  <c r="AA60" i="2" s="1"/>
  <c r="AA61" i="2" a="1"/>
  <c r="AA61" i="2" s="1"/>
  <c r="AA62" i="2" a="1"/>
  <c r="AA62" i="2" s="1"/>
  <c r="AA63" i="2" a="1"/>
  <c r="AA63" i="2" s="1"/>
  <c r="AA64" i="2" a="1"/>
  <c r="AA64" i="2" s="1"/>
  <c r="AA65" i="2" a="1"/>
  <c r="AA65" i="2" s="1"/>
  <c r="AA66" i="2" a="1"/>
  <c r="AA66" i="2" s="1"/>
  <c r="AA67" i="2" a="1"/>
  <c r="AA67" i="2" s="1"/>
  <c r="AA68" i="2" a="1"/>
  <c r="AA68" i="2" s="1"/>
  <c r="AA69" i="2" a="1"/>
  <c r="AA69" i="2" s="1"/>
  <c r="AA70" i="2" a="1"/>
  <c r="AA70" i="2" s="1"/>
  <c r="AA71" i="2" a="1"/>
  <c r="AA71" i="2" s="1"/>
  <c r="AA72" i="2" a="1"/>
  <c r="AA72" i="2" s="1"/>
  <c r="AA73" i="2" a="1"/>
  <c r="AA73" i="2" s="1"/>
  <c r="AA74" i="2" a="1"/>
  <c r="AA74" i="2" s="1"/>
  <c r="AA75" i="2" a="1"/>
  <c r="AA75" i="2" s="1"/>
  <c r="AA76" i="2" a="1"/>
  <c r="AA76" i="2" s="1"/>
  <c r="AA77" i="2" a="1"/>
  <c r="AA77" i="2" s="1"/>
  <c r="AA78" i="2" a="1"/>
  <c r="AA78" i="2" s="1"/>
  <c r="AA79" i="2" a="1"/>
  <c r="AA79" i="2" s="1"/>
  <c r="AA80" i="2" a="1"/>
  <c r="AA80" i="2" s="1"/>
  <c r="AA81" i="2" a="1"/>
  <c r="AA81" i="2" s="1"/>
  <c r="AA82" i="2" a="1"/>
  <c r="AA82" i="2" s="1"/>
  <c r="AA83" i="2" a="1"/>
  <c r="AA83" i="2" s="1"/>
  <c r="AA84" i="2" a="1"/>
  <c r="AA84" i="2" s="1"/>
  <c r="AA85" i="2" a="1"/>
  <c r="AA85" i="2" s="1"/>
  <c r="AA86" i="2" a="1"/>
  <c r="AA86" i="2" s="1"/>
  <c r="AA87" i="2" a="1"/>
  <c r="AA87" i="2" s="1"/>
  <c r="AA88" i="2" a="1"/>
  <c r="AA88" i="2" s="1"/>
  <c r="AA89" i="2" a="1"/>
  <c r="AA89" i="2" s="1"/>
  <c r="AA90" i="2" a="1"/>
  <c r="AA90" i="2" s="1"/>
  <c r="AA91" i="2" a="1"/>
  <c r="AA91" i="2" s="1"/>
  <c r="AA92" i="2" a="1"/>
  <c r="AA92" i="2" s="1"/>
  <c r="AA93" i="2" a="1"/>
  <c r="AA93" i="2" s="1"/>
  <c r="AA94" i="2" a="1"/>
  <c r="AA94" i="2" s="1"/>
  <c r="AA95" i="2" a="1"/>
  <c r="AA95" i="2" s="1"/>
  <c r="AA96" i="2" a="1"/>
  <c r="AA96" i="2" s="1"/>
  <c r="AA97" i="2" a="1"/>
  <c r="AA97" i="2" s="1"/>
  <c r="AA98" i="2" a="1"/>
  <c r="AA98" i="2" s="1"/>
  <c r="AA99" i="2" a="1"/>
  <c r="AA99" i="2" s="1"/>
  <c r="AA100" i="2" a="1"/>
  <c r="AA100" i="2" s="1"/>
  <c r="AA101" i="2" a="1"/>
  <c r="AA101" i="2" s="1"/>
  <c r="AA102" i="2" a="1"/>
  <c r="AA102" i="2" s="1"/>
  <c r="AA103" i="2" a="1"/>
  <c r="AA103" i="2" s="1"/>
  <c r="AA104" i="2" a="1"/>
  <c r="AA104" i="2" s="1"/>
  <c r="AA105" i="2" a="1"/>
  <c r="AA105" i="2" s="1"/>
  <c r="AA106" i="2" a="1"/>
  <c r="AA106" i="2" s="1"/>
  <c r="AA107" i="2" a="1"/>
  <c r="AA107" i="2" s="1"/>
  <c r="AA108" i="2" a="1"/>
  <c r="AA108" i="2" s="1"/>
  <c r="AA109" i="2" a="1"/>
  <c r="AA109" i="2" s="1"/>
  <c r="AA110" i="2" a="1"/>
  <c r="AA110" i="2" s="1"/>
  <c r="AA111" i="2" a="1"/>
  <c r="AA111" i="2" s="1"/>
  <c r="AA112" i="2" a="1"/>
  <c r="AA112" i="2" s="1"/>
  <c r="AA113" i="2" a="1"/>
  <c r="AA113" i="2" s="1"/>
  <c r="AA114" i="2" a="1"/>
  <c r="AA114" i="2" s="1"/>
  <c r="AA115" i="2" a="1"/>
  <c r="AA115" i="2" s="1"/>
  <c r="AA116" i="2" a="1"/>
  <c r="AA116" i="2" s="1"/>
  <c r="AA117" i="2" a="1"/>
  <c r="AA117" i="2" s="1"/>
  <c r="AA118" i="2" a="1"/>
  <c r="AA118" i="2" s="1"/>
  <c r="AA119" i="2" a="1"/>
  <c r="AA119" i="2" s="1"/>
  <c r="AA120" i="2" a="1"/>
  <c r="AA120" i="2" s="1"/>
  <c r="AA121" i="2" a="1"/>
  <c r="AA121" i="2" s="1"/>
  <c r="AA122" i="2" a="1"/>
  <c r="AA122" i="2" s="1"/>
  <c r="AA123" i="2" a="1"/>
  <c r="AA123" i="2" s="1"/>
  <c r="AA124" i="2" a="1"/>
  <c r="AA124" i="2" s="1"/>
  <c r="AA125" i="2" a="1"/>
  <c r="AA125" i="2" s="1"/>
  <c r="AA126" i="2" a="1"/>
  <c r="AA126" i="2" s="1"/>
  <c r="AA127" i="2" a="1"/>
  <c r="AA127" i="2" s="1"/>
  <c r="AA128" i="2" a="1"/>
  <c r="AA128" i="2" s="1"/>
  <c r="AA129" i="2" a="1"/>
  <c r="AA129" i="2" s="1"/>
  <c r="AA130" i="2" a="1"/>
  <c r="AA130" i="2" s="1"/>
  <c r="AA131" i="2" a="1"/>
  <c r="AA131" i="2" s="1"/>
  <c r="AA132" i="2" a="1"/>
  <c r="AA132" i="2" s="1"/>
  <c r="AA133" i="2" a="1"/>
  <c r="AA133" i="2" s="1"/>
  <c r="AA134" i="2" a="1"/>
  <c r="AA134" i="2" s="1"/>
  <c r="AA135" i="2" a="1"/>
  <c r="AA135" i="2" s="1"/>
  <c r="AA136" i="2" a="1"/>
  <c r="AA136" i="2" s="1"/>
  <c r="AA137" i="2" a="1"/>
  <c r="AA137" i="2" s="1"/>
  <c r="AA138" i="2" a="1"/>
  <c r="AA138" i="2" s="1"/>
  <c r="AA139" i="2" a="1"/>
  <c r="AA139" i="2" s="1"/>
  <c r="AA140" i="2" a="1"/>
  <c r="AA140" i="2" s="1"/>
  <c r="AA141" i="2" a="1"/>
  <c r="AA141" i="2" s="1"/>
  <c r="AA142" i="2" a="1"/>
  <c r="AA142" i="2" s="1"/>
  <c r="AA143" i="2" a="1"/>
  <c r="AA143" i="2" s="1"/>
  <c r="AA144" i="2" a="1"/>
  <c r="AA144" i="2" s="1"/>
  <c r="AA145" i="2" a="1"/>
  <c r="AA145" i="2" s="1"/>
  <c r="AA146" i="2" a="1"/>
  <c r="AA146" i="2" s="1"/>
  <c r="AA147" i="2" a="1"/>
  <c r="AA147" i="2" s="1"/>
  <c r="AA148" i="2" a="1"/>
  <c r="AA148" i="2" s="1"/>
  <c r="AA149" i="2" a="1"/>
  <c r="AA149" i="2" s="1"/>
  <c r="AA150" i="2" a="1"/>
  <c r="AA150" i="2" s="1"/>
  <c r="AA151" i="2" a="1"/>
  <c r="AA151" i="2" s="1"/>
  <c r="AA152" i="2" a="1"/>
  <c r="AA152" i="2" s="1"/>
  <c r="AA153" i="2" a="1"/>
  <c r="AA153" i="2" s="1"/>
  <c r="AA154" i="2" a="1"/>
  <c r="AA154" i="2" s="1"/>
  <c r="AA155" i="2" a="1"/>
  <c r="AA155" i="2" s="1"/>
  <c r="AA156" i="2" a="1"/>
  <c r="AA156" i="2" s="1"/>
  <c r="AA157" i="2" a="1"/>
  <c r="AA157" i="2" s="1"/>
  <c r="AA158" i="2" a="1"/>
  <c r="AA158" i="2" s="1"/>
  <c r="AA159" i="2" a="1"/>
  <c r="AA159" i="2" s="1"/>
  <c r="AA160" i="2" a="1"/>
  <c r="AA160" i="2" s="1"/>
  <c r="AA161" i="2" a="1"/>
  <c r="AA161" i="2" s="1"/>
  <c r="AA162" i="2" a="1"/>
  <c r="AA162" i="2" s="1"/>
  <c r="AA163" i="2" a="1"/>
  <c r="AA163" i="2" s="1"/>
  <c r="AA164" i="2" a="1"/>
  <c r="AA164" i="2" s="1"/>
  <c r="AA165" i="2" a="1"/>
  <c r="AA165" i="2" s="1"/>
  <c r="AA166" i="2" a="1"/>
  <c r="AA166" i="2" s="1"/>
  <c r="AA167" i="2" a="1"/>
  <c r="AA167" i="2" s="1"/>
  <c r="AA168" i="2" a="1"/>
  <c r="AA168" i="2" s="1"/>
  <c r="AA169" i="2" a="1"/>
  <c r="AA169" i="2" s="1"/>
  <c r="AA170" i="2" a="1"/>
  <c r="AA170" i="2" s="1"/>
  <c r="AA171" i="2" a="1"/>
  <c r="AA171" i="2" s="1"/>
  <c r="AA172" i="2" a="1"/>
  <c r="AA172" i="2" s="1"/>
  <c r="AA173" i="2" a="1"/>
  <c r="AA173" i="2" s="1"/>
  <c r="AA174" i="2" a="1"/>
  <c r="AA174" i="2" s="1"/>
  <c r="AA175" i="2" a="1"/>
  <c r="AA175" i="2" s="1"/>
  <c r="AA176" i="2" a="1"/>
  <c r="AA176" i="2" s="1"/>
  <c r="AA177" i="2" a="1"/>
  <c r="AA177" i="2" s="1"/>
  <c r="AA178" i="2" a="1"/>
  <c r="AA178" i="2" s="1"/>
  <c r="AA179" i="2" a="1"/>
  <c r="AA179" i="2" s="1"/>
  <c r="AA180" i="2" a="1"/>
  <c r="AA180" i="2" s="1"/>
  <c r="AA181" i="2" a="1"/>
  <c r="AA181" i="2" s="1"/>
  <c r="AA182" i="2" a="1"/>
  <c r="AA182" i="2" s="1"/>
  <c r="AA183" i="2" a="1"/>
  <c r="AA183" i="2" s="1"/>
  <c r="AA184" i="2" a="1"/>
  <c r="AA184" i="2" s="1"/>
  <c r="AA185" i="2" a="1"/>
  <c r="AA185" i="2" s="1"/>
  <c r="AA186" i="2" a="1"/>
  <c r="AA186" i="2" s="1"/>
  <c r="AA187" i="2" a="1"/>
  <c r="AA187" i="2" s="1"/>
  <c r="AA188" i="2" a="1"/>
  <c r="AA188" i="2" s="1"/>
  <c r="AA189" i="2" a="1"/>
  <c r="AA189" i="2" s="1"/>
  <c r="AA190" i="2" a="1"/>
  <c r="AA190" i="2" s="1"/>
  <c r="AA191" i="2" a="1"/>
  <c r="AA191" i="2" s="1"/>
  <c r="AA192" i="2" a="1"/>
  <c r="AA192" i="2" s="1"/>
  <c r="AA193" i="2" a="1"/>
  <c r="AA193" i="2" s="1"/>
  <c r="AA194" i="2" a="1"/>
  <c r="AA194" i="2" s="1"/>
  <c r="AA195" i="2" a="1"/>
  <c r="AA195" i="2" s="1"/>
  <c r="AA196" i="2" a="1"/>
  <c r="AA196" i="2" s="1"/>
  <c r="AA197" i="2" a="1"/>
  <c r="AA197" i="2" s="1"/>
  <c r="AA198" i="2" a="1"/>
  <c r="AA198" i="2" s="1"/>
  <c r="AA199" i="2" a="1"/>
  <c r="AA199" i="2" s="1"/>
  <c r="AA200" i="2" a="1"/>
  <c r="AA200" i="2" s="1"/>
  <c r="AA201" i="2" a="1"/>
  <c r="AA201" i="2" s="1"/>
  <c r="AA202" i="2" a="1"/>
  <c r="AA202" i="2" s="1"/>
  <c r="AA203" i="2" a="1"/>
  <c r="AA203" i="2" s="1"/>
  <c r="AA204" i="2" a="1"/>
  <c r="AA204" i="2" s="1"/>
  <c r="AA205" i="2" a="1"/>
  <c r="AA205" i="2" s="1"/>
  <c r="AA206" i="2" a="1"/>
  <c r="AA206" i="2" s="1"/>
  <c r="AA207" i="2" a="1"/>
  <c r="AA207" i="2" s="1"/>
  <c r="AA208" i="2" a="1"/>
  <c r="AA208" i="2" s="1"/>
  <c r="AA209" i="2" a="1"/>
  <c r="AA209" i="2" s="1"/>
  <c r="AA210" i="2" a="1"/>
  <c r="AA210" i="2" s="1"/>
  <c r="AA211" i="2" a="1"/>
  <c r="AA211" i="2" s="1"/>
  <c r="AA212" i="2" a="1"/>
  <c r="AA212" i="2" s="1"/>
  <c r="AA213" i="2" a="1"/>
  <c r="AA213" i="2" s="1"/>
  <c r="AA214" i="2" a="1"/>
  <c r="AA214" i="2" s="1"/>
  <c r="AA215" i="2" a="1"/>
  <c r="AA215" i="2" s="1"/>
  <c r="AA216" i="2" a="1"/>
  <c r="AA216" i="2" s="1"/>
  <c r="AA217" i="2" a="1"/>
  <c r="AA217" i="2" s="1"/>
  <c r="AA218" i="2" a="1"/>
  <c r="AA218" i="2" s="1"/>
  <c r="AA219" i="2" a="1"/>
  <c r="AA219" i="2" s="1"/>
  <c r="AA220" i="2" a="1"/>
  <c r="AA220" i="2" s="1"/>
  <c r="AA221" i="2" a="1"/>
  <c r="AA221" i="2" s="1"/>
  <c r="AA222" i="2" a="1"/>
  <c r="AA222" i="2" s="1"/>
  <c r="AA223" i="2" a="1"/>
  <c r="AA223" i="2" s="1"/>
  <c r="AA224" i="2" a="1"/>
  <c r="AA224" i="2" s="1"/>
  <c r="AA225" i="2" a="1"/>
  <c r="AA225" i="2" s="1"/>
  <c r="AA226" i="2" a="1"/>
  <c r="AA226" i="2" s="1"/>
  <c r="AA227" i="2" a="1"/>
  <c r="AA227" i="2" s="1"/>
  <c r="AA228" i="2" a="1"/>
  <c r="AA228" i="2" s="1"/>
  <c r="AA229" i="2" a="1"/>
  <c r="AA229" i="2" s="1"/>
  <c r="AA230" i="2" a="1"/>
  <c r="AA230" i="2" s="1"/>
  <c r="AA231" i="2" a="1"/>
  <c r="AA231" i="2" s="1"/>
  <c r="AA232" i="2" a="1"/>
  <c r="AA232" i="2" s="1"/>
  <c r="AA233" i="2" a="1"/>
  <c r="AA233" i="2" s="1"/>
  <c r="AA234" i="2" a="1"/>
  <c r="AA234" i="2" s="1"/>
  <c r="AA235" i="2" a="1"/>
  <c r="AA235" i="2" s="1"/>
  <c r="AA236" i="2" a="1"/>
  <c r="AA236" i="2" s="1"/>
  <c r="AA237" i="2" a="1"/>
  <c r="AA237" i="2" s="1"/>
  <c r="AA238" i="2" a="1"/>
  <c r="AA238" i="2" s="1"/>
  <c r="AA239" i="2" a="1"/>
  <c r="AA239" i="2" s="1"/>
  <c r="AA240" i="2" a="1"/>
  <c r="AA240" i="2" s="1"/>
  <c r="AA241" i="2" a="1"/>
  <c r="AA241" i="2" s="1"/>
  <c r="AA242" i="2" a="1"/>
  <c r="AA242" i="2" s="1"/>
  <c r="AA243" i="2" a="1"/>
  <c r="AA243" i="2" s="1"/>
  <c r="AA244" i="2" a="1"/>
  <c r="AA244" i="2" s="1"/>
  <c r="AA245" i="2" a="1"/>
  <c r="AA245" i="2" s="1"/>
  <c r="AA246" i="2" a="1"/>
  <c r="AA246" i="2" s="1"/>
  <c r="AA247" i="2" a="1"/>
  <c r="AA247" i="2" s="1"/>
  <c r="AA248" i="2" a="1"/>
  <c r="AA248" i="2" s="1"/>
  <c r="AA249" i="2" a="1"/>
  <c r="AA249" i="2" s="1"/>
  <c r="AA250" i="2" a="1"/>
  <c r="AA250" i="2" s="1"/>
  <c r="AA251" i="2" a="1"/>
  <c r="AA251" i="2" s="1"/>
  <c r="AA252" i="2" a="1"/>
  <c r="AA252" i="2" s="1"/>
  <c r="AA253" i="2" a="1"/>
  <c r="AA253" i="2" s="1"/>
  <c r="AA254" i="2" a="1"/>
  <c r="AA254" i="2" s="1"/>
  <c r="AA255" i="2" a="1"/>
  <c r="AA255" i="2" s="1"/>
  <c r="AA256" i="2" a="1"/>
  <c r="AA256" i="2" s="1"/>
  <c r="AA257" i="2" a="1"/>
  <c r="AA257" i="2" s="1"/>
  <c r="AA258" i="2" a="1"/>
  <c r="AA258" i="2" s="1"/>
  <c r="AA259" i="2" a="1"/>
  <c r="AA259" i="2" s="1"/>
  <c r="AA260" i="2" a="1"/>
  <c r="AA260" i="2" s="1"/>
  <c r="AA261" i="2" a="1"/>
  <c r="AA261" i="2" s="1"/>
  <c r="AA262" i="2" a="1"/>
  <c r="AA262" i="2" s="1"/>
  <c r="AA263" i="2" a="1"/>
  <c r="AA263" i="2" s="1"/>
  <c r="AA264" i="2" a="1"/>
  <c r="AA264" i="2" s="1"/>
  <c r="AA265" i="2" a="1"/>
  <c r="AA265" i="2" s="1"/>
  <c r="AA266" i="2" a="1"/>
  <c r="AA266" i="2" s="1"/>
  <c r="AA267" i="2" a="1"/>
  <c r="AA267" i="2" s="1"/>
  <c r="AA268" i="2" a="1"/>
  <c r="AA268" i="2" s="1"/>
  <c r="AA269" i="2" a="1"/>
  <c r="AA269" i="2" s="1"/>
  <c r="AA270" i="2" a="1"/>
  <c r="AA270" i="2" s="1"/>
  <c r="AA271" i="2" a="1"/>
  <c r="AA271" i="2" s="1"/>
  <c r="AA272" i="2" a="1"/>
  <c r="AA272" i="2" s="1"/>
  <c r="AA273" i="2" a="1"/>
  <c r="AA273" i="2" s="1"/>
  <c r="AA274" i="2" a="1"/>
  <c r="AA274" i="2" s="1"/>
  <c r="AA275" i="2" a="1"/>
  <c r="AA275" i="2" s="1"/>
  <c r="AA276" i="2" a="1"/>
  <c r="AA276" i="2" s="1"/>
  <c r="AA277" i="2" a="1"/>
  <c r="AA277" i="2" s="1"/>
  <c r="AA278" i="2" a="1"/>
  <c r="AA278" i="2" s="1"/>
  <c r="AA279" i="2" a="1"/>
  <c r="AA279" i="2" s="1"/>
  <c r="AA280" i="2" a="1"/>
  <c r="AA280" i="2" s="1"/>
  <c r="AA281" i="2" a="1"/>
  <c r="AA281" i="2" s="1"/>
  <c r="AA282" i="2" a="1"/>
  <c r="AA282" i="2" s="1"/>
  <c r="AA283" i="2" a="1"/>
  <c r="AA283" i="2" s="1"/>
  <c r="AA284" i="2" a="1"/>
  <c r="AA284" i="2" s="1"/>
  <c r="AA285" i="2" a="1"/>
  <c r="AA285" i="2" s="1"/>
  <c r="AA286" i="2" a="1"/>
  <c r="AA286" i="2" s="1"/>
  <c r="AA287" i="2" a="1"/>
  <c r="AA287" i="2" s="1"/>
  <c r="AA288" i="2" a="1"/>
  <c r="AA288" i="2" s="1"/>
  <c r="AA289" i="2" a="1"/>
  <c r="AA289" i="2" s="1"/>
  <c r="AA290" i="2" a="1"/>
  <c r="AA290" i="2" s="1"/>
  <c r="AA291" i="2" a="1"/>
  <c r="AA291" i="2" s="1"/>
  <c r="AA292" i="2" a="1"/>
  <c r="AA292" i="2" s="1"/>
  <c r="AA293" i="2" a="1"/>
  <c r="AA293" i="2" s="1"/>
  <c r="AA294" i="2" a="1"/>
  <c r="AA294" i="2" s="1"/>
  <c r="AA295" i="2" a="1"/>
  <c r="AA295" i="2" s="1"/>
  <c r="AA296" i="2" a="1"/>
  <c r="AA296" i="2" s="1"/>
  <c r="AA297" i="2" a="1"/>
  <c r="AA297" i="2" s="1"/>
  <c r="AA298" i="2" a="1"/>
  <c r="AA298" i="2" s="1"/>
  <c r="AA299" i="2" a="1"/>
  <c r="AA299" i="2" s="1"/>
  <c r="AA300" i="2" a="1"/>
  <c r="AA300" i="2" s="1"/>
  <c r="AA301" i="2" a="1"/>
  <c r="AA301" i="2" s="1"/>
  <c r="AA302" i="2" a="1"/>
  <c r="AA302" i="2" s="1"/>
  <c r="AA303" i="2" a="1"/>
  <c r="AA303" i="2" s="1"/>
  <c r="AA304" i="2" a="1"/>
  <c r="AA304" i="2" s="1"/>
  <c r="AA305" i="2" a="1"/>
  <c r="AA305" i="2" s="1"/>
  <c r="AA306" i="2" a="1"/>
  <c r="AA306" i="2" s="1"/>
  <c r="AA307" i="2" a="1"/>
  <c r="AA307" i="2" s="1"/>
  <c r="AA308" i="2" a="1"/>
  <c r="AA308" i="2" s="1"/>
  <c r="AA309" i="2" a="1"/>
  <c r="AA309" i="2" s="1"/>
  <c r="AA310" i="2" a="1"/>
  <c r="AA310" i="2" s="1"/>
  <c r="AA311" i="2" a="1"/>
  <c r="AA311" i="2" s="1"/>
  <c r="AA312" i="2" a="1"/>
  <c r="AA312" i="2" s="1"/>
  <c r="AA313" i="2" a="1"/>
  <c r="AA313" i="2" s="1"/>
  <c r="AA314" i="2" a="1"/>
  <c r="AA314" i="2" s="1"/>
  <c r="AA315" i="2" a="1"/>
  <c r="AA315" i="2" s="1"/>
  <c r="AA316" i="2" a="1"/>
  <c r="AA316" i="2" s="1"/>
  <c r="AA317" i="2" a="1"/>
  <c r="AA317" i="2" s="1"/>
  <c r="AA318" i="2" a="1"/>
  <c r="AA318" i="2" s="1"/>
  <c r="AA319" i="2" a="1"/>
  <c r="AA319" i="2" s="1"/>
  <c r="AA320" i="2" a="1"/>
  <c r="AA320" i="2" s="1"/>
  <c r="AA321" i="2" a="1"/>
  <c r="AA321" i="2" s="1"/>
  <c r="AA322" i="2" a="1"/>
  <c r="AA322" i="2" s="1"/>
  <c r="AA323" i="2" a="1"/>
  <c r="AA323" i="2" s="1"/>
  <c r="AA324" i="2" a="1"/>
  <c r="AA324" i="2" s="1"/>
  <c r="AA325" i="2" a="1"/>
  <c r="AA325" i="2" s="1"/>
  <c r="AA326" i="2" a="1"/>
  <c r="AA326" i="2" s="1"/>
  <c r="AA327" i="2" a="1"/>
  <c r="AA327" i="2" s="1"/>
  <c r="AA328" i="2" a="1"/>
  <c r="AA328" i="2" s="1"/>
  <c r="AA329" i="2" a="1"/>
  <c r="AA329" i="2" s="1"/>
  <c r="AA330" i="2" a="1"/>
  <c r="AA330" i="2" s="1"/>
  <c r="AA331" i="2" a="1"/>
  <c r="AA331" i="2" s="1"/>
  <c r="AA332" i="2" a="1"/>
  <c r="AA332" i="2" s="1"/>
  <c r="AA333" i="2" a="1"/>
  <c r="AA333" i="2" s="1"/>
  <c r="AA334" i="2" a="1"/>
  <c r="AA334" i="2" s="1"/>
  <c r="AA335" i="2" a="1"/>
  <c r="AA335" i="2" s="1"/>
  <c r="AA336" i="2" a="1"/>
  <c r="AA336" i="2" s="1"/>
  <c r="AA337" i="2" a="1"/>
  <c r="AA337" i="2" s="1"/>
  <c r="AA338" i="2" a="1"/>
  <c r="AA338" i="2" s="1"/>
  <c r="AA339" i="2" a="1"/>
  <c r="AA339" i="2" s="1"/>
  <c r="AA340" i="2" a="1"/>
  <c r="AA340" i="2" s="1"/>
  <c r="AA341" i="2" a="1"/>
  <c r="AA341" i="2" s="1"/>
  <c r="AA342" i="2" a="1"/>
  <c r="AA342" i="2" s="1"/>
  <c r="AA343" i="2" a="1"/>
  <c r="AA343" i="2" s="1"/>
  <c r="AA344" i="2" a="1"/>
  <c r="AA344" i="2" s="1"/>
  <c r="AA345" i="2" a="1"/>
  <c r="AA345" i="2" s="1"/>
  <c r="AA346" i="2" a="1"/>
  <c r="AA346" i="2" s="1"/>
  <c r="AA347" i="2" a="1"/>
  <c r="AA347" i="2" s="1"/>
  <c r="AA348" i="2" a="1"/>
  <c r="AA348" i="2" s="1"/>
  <c r="AA349" i="2" a="1"/>
  <c r="AA349" i="2" s="1"/>
  <c r="AA350" i="2" a="1"/>
  <c r="AA350" i="2" s="1"/>
  <c r="AA351" i="2" a="1"/>
  <c r="AA351" i="2" s="1"/>
  <c r="AA352" i="2" a="1"/>
  <c r="AA352" i="2" s="1"/>
  <c r="AA353" i="2" a="1"/>
  <c r="AA353" i="2" s="1"/>
  <c r="AA354" i="2" a="1"/>
  <c r="AA354" i="2" s="1"/>
  <c r="AA355" i="2" a="1"/>
  <c r="AA355" i="2" s="1"/>
  <c r="AA356" i="2" a="1"/>
  <c r="AA356" i="2" s="1"/>
  <c r="AA357" i="2" a="1"/>
  <c r="AA357" i="2" s="1"/>
  <c r="AA358" i="2" a="1"/>
  <c r="AA358" i="2" s="1"/>
  <c r="AA359" i="2" a="1"/>
  <c r="AA359" i="2" s="1"/>
  <c r="AA360" i="2" a="1"/>
  <c r="AA360" i="2" s="1"/>
  <c r="AA361" i="2" a="1"/>
  <c r="AA361" i="2" s="1"/>
  <c r="AA362" i="2" a="1"/>
  <c r="AA362" i="2" s="1"/>
  <c r="AA363" i="2" a="1"/>
  <c r="AA363" i="2" s="1"/>
  <c r="AA364" i="2" a="1"/>
  <c r="AA364" i="2" s="1"/>
  <c r="AA365" i="2" a="1"/>
  <c r="AA365" i="2" s="1"/>
  <c r="AA366" i="2" a="1"/>
  <c r="AA366" i="2" s="1"/>
  <c r="AA367" i="2" a="1"/>
  <c r="AA367" i="2" s="1"/>
  <c r="AA368" i="2" a="1"/>
  <c r="AA368" i="2" s="1"/>
  <c r="AA369" i="2" a="1"/>
  <c r="AA369" i="2" s="1"/>
  <c r="AA370" i="2" a="1"/>
  <c r="AA370" i="2" s="1"/>
  <c r="AA371" i="2" a="1"/>
  <c r="AA371" i="2" s="1"/>
  <c r="AA372" i="2" a="1"/>
  <c r="AA372" i="2" s="1"/>
  <c r="AA373" i="2" a="1"/>
  <c r="AA373" i="2" s="1"/>
  <c r="AA374" i="2" a="1"/>
  <c r="AA374" i="2" s="1"/>
  <c r="AA375" i="2" a="1"/>
  <c r="AA375" i="2" s="1"/>
  <c r="AA376" i="2" a="1"/>
  <c r="AA376" i="2" s="1"/>
  <c r="AA377" i="2" a="1"/>
  <c r="AA377" i="2" s="1"/>
  <c r="AA378" i="2" a="1"/>
  <c r="AA378" i="2" s="1"/>
  <c r="AA379" i="2" a="1"/>
  <c r="AA379" i="2" s="1"/>
  <c r="AA380" i="2" a="1"/>
  <c r="AA380" i="2" s="1"/>
  <c r="AA381" i="2" a="1"/>
  <c r="AA381" i="2" s="1"/>
  <c r="AA382" i="2" a="1"/>
  <c r="AA382" i="2" s="1"/>
  <c r="AA383" i="2" a="1"/>
  <c r="AA383" i="2" s="1"/>
  <c r="AA384" i="2" a="1"/>
  <c r="AA384" i="2" s="1"/>
  <c r="AA385" i="2" a="1"/>
  <c r="AA385" i="2" s="1"/>
  <c r="AA386" i="2" a="1"/>
  <c r="AA386" i="2" s="1"/>
  <c r="AA387" i="2" a="1"/>
  <c r="AA387" i="2" s="1"/>
  <c r="AA388" i="2" a="1"/>
  <c r="AA388" i="2" s="1"/>
  <c r="AA389" i="2" a="1"/>
  <c r="AA389" i="2" s="1"/>
  <c r="AA390" i="2" a="1"/>
  <c r="AA390" i="2" s="1"/>
  <c r="AA391" i="2" a="1"/>
  <c r="AA391" i="2" s="1"/>
  <c r="AA392" i="2" a="1"/>
  <c r="AA392" i="2" s="1"/>
  <c r="AA393" i="2" a="1"/>
  <c r="AA393" i="2" s="1"/>
  <c r="AA394" i="2" a="1"/>
  <c r="AA394" i="2" s="1"/>
  <c r="AA395" i="2" a="1"/>
  <c r="AA395" i="2" s="1"/>
  <c r="AA396" i="2" a="1"/>
  <c r="AA396" i="2" s="1"/>
  <c r="AA397" i="2" a="1"/>
  <c r="AA397" i="2" s="1"/>
  <c r="AA398" i="2" a="1"/>
  <c r="AA398" i="2" s="1"/>
  <c r="AA399" i="2" a="1"/>
  <c r="AA399" i="2" s="1"/>
  <c r="AA400" i="2" a="1"/>
  <c r="AA400" i="2" s="1"/>
  <c r="AA401" i="2" a="1"/>
  <c r="AA401" i="2" s="1"/>
  <c r="AA402" i="2" a="1"/>
  <c r="AA402" i="2" s="1"/>
  <c r="AA403" i="2" a="1"/>
  <c r="AA403" i="2" s="1"/>
  <c r="AA404" i="2" a="1"/>
  <c r="AA404" i="2" s="1"/>
  <c r="AA405" i="2" a="1"/>
  <c r="AA405" i="2" s="1"/>
  <c r="AA406" i="2" a="1"/>
  <c r="AA406" i="2" s="1"/>
  <c r="AA407" i="2" a="1"/>
  <c r="AA407" i="2" s="1"/>
  <c r="AA408" i="2" a="1"/>
  <c r="AA408" i="2" s="1"/>
  <c r="AA409" i="2" a="1"/>
  <c r="AA409" i="2" s="1"/>
  <c r="AA410" i="2" a="1"/>
  <c r="AA410" i="2" s="1"/>
  <c r="AA411" i="2" a="1"/>
  <c r="AA411" i="2" s="1"/>
  <c r="AA412" i="2" a="1"/>
  <c r="AA412" i="2" s="1"/>
  <c r="AA413" i="2" a="1"/>
  <c r="AA413" i="2" s="1"/>
  <c r="AA414" i="2" a="1"/>
  <c r="AA414" i="2" s="1"/>
  <c r="AA415" i="2" a="1"/>
  <c r="AA415" i="2" s="1"/>
  <c r="AA416" i="2" a="1"/>
  <c r="AA416" i="2" s="1"/>
  <c r="AA417" i="2" a="1"/>
  <c r="AA417" i="2" s="1"/>
  <c r="AA418" i="2" a="1"/>
  <c r="AA418" i="2" s="1"/>
  <c r="AA419" i="2" a="1"/>
  <c r="AA419" i="2" s="1"/>
  <c r="AA420" i="2" a="1"/>
  <c r="AA420" i="2" s="1"/>
  <c r="AA421" i="2" a="1"/>
  <c r="AA421" i="2" s="1"/>
  <c r="AA422" i="2" a="1"/>
  <c r="AA422" i="2" s="1"/>
  <c r="AA423" i="2" a="1"/>
  <c r="AA423" i="2" s="1"/>
  <c r="AA424" i="2" a="1"/>
  <c r="AA424" i="2" s="1"/>
  <c r="AA425" i="2" a="1"/>
  <c r="AA425" i="2" s="1"/>
  <c r="AA426" i="2" a="1"/>
  <c r="AA426" i="2" s="1"/>
  <c r="AA427" i="2" a="1"/>
  <c r="AA427" i="2" s="1"/>
  <c r="AA428" i="2" a="1"/>
  <c r="AA428" i="2" s="1"/>
  <c r="AA429" i="2" a="1"/>
  <c r="AA429" i="2" s="1"/>
  <c r="AA430" i="2" a="1"/>
  <c r="AA430" i="2" s="1"/>
  <c r="AA431" i="2" a="1"/>
  <c r="AA431" i="2" s="1"/>
  <c r="AA432" i="2" a="1"/>
  <c r="AA432" i="2" s="1"/>
  <c r="AA433" i="2" a="1"/>
  <c r="AA433" i="2" s="1"/>
  <c r="AA434" i="2" a="1"/>
  <c r="AA434" i="2" s="1"/>
  <c r="AA435" i="2" a="1"/>
  <c r="AA435" i="2" s="1"/>
  <c r="AA436" i="2" a="1"/>
  <c r="AA436" i="2" s="1"/>
  <c r="AA437" i="2" a="1"/>
  <c r="AA437" i="2" s="1"/>
  <c r="AA438" i="2" a="1"/>
  <c r="AA438" i="2" s="1"/>
  <c r="AA439" i="2" a="1"/>
  <c r="AA439" i="2" s="1"/>
  <c r="AA440" i="2" a="1"/>
  <c r="AA440" i="2" s="1"/>
  <c r="AA441" i="2" a="1"/>
  <c r="AA441" i="2" s="1"/>
  <c r="AA442" i="2" a="1"/>
  <c r="AA442" i="2" s="1"/>
  <c r="AA443" i="2" a="1"/>
  <c r="AA443" i="2" s="1"/>
  <c r="AA444" i="2" a="1"/>
  <c r="AA444" i="2" s="1"/>
  <c r="AA445" i="2" a="1"/>
  <c r="AA445" i="2" s="1"/>
  <c r="AA446" i="2" a="1"/>
  <c r="AA446" i="2" s="1"/>
  <c r="AA447" i="2" a="1"/>
  <c r="AA447" i="2" s="1"/>
  <c r="AA448" i="2" a="1"/>
  <c r="AA448" i="2" s="1"/>
  <c r="AA449" i="2" a="1"/>
  <c r="AA449" i="2" s="1"/>
  <c r="AA450" i="2" a="1"/>
  <c r="AA450" i="2" s="1"/>
  <c r="AA451" i="2" a="1"/>
  <c r="AA451" i="2" s="1"/>
  <c r="AA452" i="2" a="1"/>
  <c r="AA452" i="2" s="1"/>
  <c r="AA453" i="2" a="1"/>
  <c r="AA453" i="2" s="1"/>
  <c r="AA454" i="2" a="1"/>
  <c r="AA454" i="2" s="1"/>
  <c r="AA455" i="2" a="1"/>
  <c r="AA455" i="2" s="1"/>
  <c r="AA456" i="2" a="1"/>
  <c r="AA456" i="2" s="1"/>
  <c r="AA457" i="2" a="1"/>
  <c r="AA457" i="2" s="1"/>
  <c r="AA458" i="2" a="1"/>
  <c r="AA458" i="2" s="1"/>
  <c r="AA459" i="2" a="1"/>
  <c r="AA459" i="2" s="1"/>
  <c r="AA460" i="2" a="1"/>
  <c r="AA460" i="2" s="1"/>
  <c r="AA461" i="2" a="1"/>
  <c r="AA461" i="2" s="1"/>
  <c r="AA462" i="2" a="1"/>
  <c r="AA462" i="2" s="1"/>
  <c r="AA463" i="2" a="1"/>
  <c r="AA463" i="2" s="1"/>
  <c r="AA464" i="2" a="1"/>
  <c r="AA464" i="2" s="1"/>
  <c r="AA465" i="2" a="1"/>
  <c r="AA465" i="2" s="1"/>
  <c r="AA466" i="2" a="1"/>
  <c r="AA466" i="2" s="1"/>
  <c r="AA467" i="2" a="1"/>
  <c r="AA467" i="2" s="1"/>
  <c r="AA468" i="2" a="1"/>
  <c r="AA468" i="2" s="1"/>
  <c r="AA469" i="2" a="1"/>
  <c r="AA469" i="2" s="1"/>
  <c r="AA470" i="2" a="1"/>
  <c r="AA470" i="2" s="1"/>
  <c r="AA471" i="2" a="1"/>
  <c r="AA471" i="2" s="1"/>
  <c r="AA472" i="2" a="1"/>
  <c r="AA472" i="2" s="1"/>
  <c r="AA473" i="2" a="1"/>
  <c r="AA473" i="2" s="1"/>
  <c r="AA474" i="2" a="1"/>
  <c r="AA474" i="2" s="1"/>
  <c r="AA475" i="2" a="1"/>
  <c r="AA475" i="2" s="1"/>
  <c r="AA476" i="2" a="1"/>
  <c r="AA476" i="2" s="1"/>
  <c r="AA477" i="2" a="1"/>
  <c r="AA477" i="2" s="1"/>
  <c r="AA478" i="2" a="1"/>
  <c r="AA478" i="2" s="1"/>
  <c r="AA479" i="2" a="1"/>
  <c r="AA479" i="2" s="1"/>
  <c r="AA480" i="2" a="1"/>
  <c r="AA480" i="2" s="1"/>
  <c r="AA481" i="2" a="1"/>
  <c r="AA481" i="2" s="1"/>
  <c r="AA482" i="2" a="1"/>
  <c r="AA482" i="2" s="1"/>
  <c r="AA483" i="2" a="1"/>
  <c r="AA483" i="2" s="1"/>
  <c r="AA484" i="2" a="1"/>
  <c r="AA484" i="2" s="1"/>
  <c r="AA485" i="2" a="1"/>
  <c r="AA485" i="2" s="1"/>
  <c r="AA486" i="2" a="1"/>
  <c r="AA486" i="2" s="1"/>
  <c r="AA487" i="2" a="1"/>
  <c r="AA487" i="2" s="1"/>
  <c r="AA488" i="2" a="1"/>
  <c r="AA488" i="2" s="1"/>
  <c r="AA489" i="2" a="1"/>
  <c r="AA489" i="2" s="1"/>
  <c r="AA490" i="2" a="1"/>
  <c r="AA490" i="2" s="1"/>
  <c r="AA491" i="2" a="1"/>
  <c r="AA491" i="2" s="1"/>
  <c r="AA492" i="2" a="1"/>
  <c r="AA492" i="2" s="1"/>
  <c r="AA493" i="2" a="1"/>
  <c r="AA493" i="2" s="1"/>
  <c r="AA494" i="2" a="1"/>
  <c r="AA494" i="2" s="1"/>
  <c r="AA495" i="2" a="1"/>
  <c r="AA495" i="2" s="1"/>
  <c r="AA496" i="2" a="1"/>
  <c r="AA496" i="2" s="1"/>
  <c r="AA497" i="2" a="1"/>
  <c r="AA497" i="2" s="1"/>
  <c r="AA498" i="2" a="1"/>
  <c r="AA498" i="2" s="1"/>
  <c r="AA499" i="2" a="1"/>
  <c r="AA499" i="2" s="1"/>
  <c r="AA500" i="2" a="1"/>
  <c r="AA500" i="2" s="1"/>
  <c r="AA501" i="2" a="1"/>
  <c r="AA501" i="2" s="1"/>
  <c r="AA502" i="2" a="1"/>
  <c r="AA502" i="2" s="1"/>
  <c r="AA503" i="2" a="1"/>
  <c r="AA503" i="2" s="1"/>
  <c r="AA504" i="2" a="1"/>
  <c r="AA504" i="2" s="1"/>
  <c r="AA505" i="2" a="1"/>
  <c r="AA505" i="2" s="1"/>
  <c r="AA506" i="2" a="1"/>
  <c r="AA506" i="2" s="1"/>
  <c r="AA507" i="2" a="1"/>
  <c r="AA507" i="2" s="1"/>
  <c r="AA508" i="2" a="1"/>
  <c r="AA508" i="2" s="1"/>
  <c r="AA509" i="2" a="1"/>
  <c r="AA509" i="2" s="1"/>
  <c r="AA510" i="2" a="1"/>
  <c r="AA510" i="2" s="1"/>
  <c r="AA511" i="2" a="1"/>
  <c r="AA511" i="2" s="1"/>
  <c r="AA512" i="2" a="1"/>
  <c r="AA512" i="2" s="1"/>
  <c r="AA513" i="2" a="1"/>
  <c r="AA513" i="2" s="1"/>
  <c r="AA514" i="2" a="1"/>
  <c r="AA514" i="2" s="1"/>
  <c r="AA515" i="2" a="1"/>
  <c r="AA515" i="2" s="1"/>
  <c r="AA516" i="2" a="1"/>
  <c r="AA516" i="2" s="1"/>
  <c r="AA517" i="2" a="1"/>
  <c r="AA517" i="2" s="1"/>
  <c r="AA518" i="2" a="1"/>
  <c r="AA518" i="2" s="1"/>
  <c r="AA519" i="2" a="1"/>
  <c r="AA519" i="2" s="1"/>
  <c r="AA520" i="2" a="1"/>
  <c r="AA520" i="2" s="1"/>
  <c r="AA521" i="2" a="1"/>
  <c r="AA521" i="2" s="1"/>
  <c r="AA522" i="2" a="1"/>
  <c r="AA522" i="2" s="1"/>
  <c r="AA523" i="2" a="1"/>
  <c r="AA523" i="2" s="1"/>
  <c r="AA524" i="2" a="1"/>
  <c r="AA524" i="2" s="1"/>
  <c r="AA525" i="2" a="1"/>
  <c r="AA525" i="2" s="1"/>
  <c r="AA526" i="2" a="1"/>
  <c r="AA526" i="2" s="1"/>
  <c r="AA527" i="2" a="1"/>
  <c r="AA527" i="2" s="1"/>
  <c r="AA528" i="2" a="1"/>
  <c r="AA528" i="2" s="1"/>
  <c r="AA529" i="2" a="1"/>
  <c r="AA529" i="2" s="1"/>
  <c r="AA530" i="2" a="1"/>
  <c r="AA530" i="2" s="1"/>
  <c r="AA531" i="2" a="1"/>
  <c r="AA531" i="2" s="1"/>
  <c r="AA532" i="2" a="1"/>
  <c r="AA532" i="2" s="1"/>
  <c r="AA533" i="2" a="1"/>
  <c r="AA533" i="2" s="1"/>
  <c r="AA534" i="2" a="1"/>
  <c r="AA534" i="2" s="1"/>
  <c r="AA535" i="2" a="1"/>
  <c r="AA535" i="2" s="1"/>
  <c r="AA536" i="2" a="1"/>
  <c r="AA536" i="2" s="1"/>
  <c r="AA537" i="2" a="1"/>
  <c r="AA537" i="2" s="1"/>
  <c r="AA538" i="2" a="1"/>
  <c r="AA538" i="2" s="1"/>
  <c r="AA539" i="2" a="1"/>
  <c r="AA539" i="2" s="1"/>
  <c r="AA540" i="2" a="1"/>
  <c r="AA540" i="2" s="1"/>
  <c r="AA541" i="2" a="1"/>
  <c r="AA541" i="2" s="1"/>
  <c r="AA542" i="2" a="1"/>
  <c r="AA542" i="2" s="1"/>
  <c r="AA543" i="2" a="1"/>
  <c r="AA543" i="2" s="1"/>
  <c r="AA544" i="2" a="1"/>
  <c r="AA544" i="2" s="1"/>
  <c r="AA545" i="2" a="1"/>
  <c r="AA545" i="2" s="1"/>
  <c r="AA546" i="2" a="1"/>
  <c r="AA546" i="2" s="1"/>
  <c r="AA547" i="2" a="1"/>
  <c r="AA547" i="2" s="1"/>
  <c r="AA548" i="2" a="1"/>
  <c r="AA548" i="2" s="1"/>
  <c r="AA549" i="2" a="1"/>
  <c r="AA549" i="2" s="1"/>
  <c r="AA550" i="2" a="1"/>
  <c r="AA550" i="2" s="1"/>
  <c r="AA551" i="2" a="1"/>
  <c r="AA551" i="2" s="1"/>
  <c r="AA552" i="2" a="1"/>
  <c r="AA552" i="2" s="1"/>
  <c r="AA553" i="2" a="1"/>
  <c r="AA553" i="2" s="1"/>
  <c r="AA554" i="2" a="1"/>
  <c r="AA554" i="2" s="1"/>
  <c r="AA555" i="2" a="1"/>
  <c r="AA555" i="2" s="1"/>
  <c r="AA556" i="2" a="1"/>
  <c r="AA556" i="2" s="1"/>
  <c r="AA557" i="2" a="1"/>
  <c r="AA557" i="2" s="1"/>
  <c r="AA558" i="2" a="1"/>
  <c r="AA558" i="2" s="1"/>
  <c r="AA559" i="2" a="1"/>
  <c r="AA559" i="2" s="1"/>
  <c r="AA560" i="2" a="1"/>
  <c r="AA560" i="2" s="1"/>
  <c r="AA561" i="2" a="1"/>
  <c r="AA561" i="2" s="1"/>
  <c r="AA562" i="2" a="1"/>
  <c r="AA562" i="2" s="1"/>
  <c r="AA563" i="2" a="1"/>
  <c r="AA563" i="2" s="1"/>
  <c r="AA564" i="2" a="1"/>
  <c r="AA564" i="2" s="1"/>
  <c r="AA565" i="2" a="1"/>
  <c r="AA565" i="2" s="1"/>
  <c r="AA566" i="2" a="1"/>
  <c r="AA566" i="2" s="1"/>
  <c r="AA567" i="2" a="1"/>
  <c r="AA567" i="2" s="1"/>
  <c r="AA568" i="2" a="1"/>
  <c r="AA568" i="2" s="1"/>
  <c r="AA569" i="2" a="1"/>
  <c r="AA569" i="2" s="1"/>
  <c r="AA570" i="2" a="1"/>
  <c r="AA570" i="2" s="1"/>
  <c r="AA571" i="2" a="1"/>
  <c r="AA571" i="2" s="1"/>
  <c r="AA572" i="2" a="1"/>
  <c r="AA572" i="2" s="1"/>
  <c r="AA573" i="2" a="1"/>
  <c r="AA573" i="2" s="1"/>
  <c r="AA574" i="2" a="1"/>
  <c r="AA574" i="2" s="1"/>
  <c r="AA575" i="2" a="1"/>
  <c r="AA575" i="2" s="1"/>
  <c r="AA576" i="2" a="1"/>
  <c r="AA576" i="2" s="1"/>
  <c r="AA577" i="2" a="1"/>
  <c r="AA577" i="2" s="1"/>
  <c r="AA578" i="2" a="1"/>
  <c r="AA578" i="2" s="1"/>
  <c r="AA579" i="2" a="1"/>
  <c r="AA579" i="2" s="1"/>
  <c r="AA580" i="2" a="1"/>
  <c r="AA580" i="2" s="1"/>
  <c r="AA581" i="2" a="1"/>
  <c r="AA581" i="2" s="1"/>
  <c r="AA582" i="2" a="1"/>
  <c r="AA582" i="2" s="1"/>
  <c r="AA583" i="2" a="1"/>
  <c r="AA583" i="2" s="1"/>
  <c r="AA584" i="2" a="1"/>
  <c r="AA584" i="2" s="1"/>
  <c r="AA585" i="2" a="1"/>
  <c r="AA585" i="2" s="1"/>
  <c r="AA586" i="2" a="1"/>
  <c r="AA586" i="2" s="1"/>
  <c r="AA587" i="2" a="1"/>
  <c r="AA587" i="2" s="1"/>
  <c r="AA588" i="2" a="1"/>
  <c r="AA588" i="2" s="1"/>
  <c r="AA589" i="2" a="1"/>
  <c r="AA589" i="2" s="1"/>
  <c r="AA590" i="2" a="1"/>
  <c r="AA590" i="2" s="1"/>
  <c r="AA591" i="2" a="1"/>
  <c r="AA591" i="2" s="1"/>
  <c r="AA592" i="2" a="1"/>
  <c r="AA592" i="2" s="1"/>
  <c r="AA593" i="2" a="1"/>
  <c r="AA593" i="2" s="1"/>
  <c r="AA594" i="2" a="1"/>
  <c r="AA594" i="2" s="1"/>
  <c r="AA595" i="2" a="1"/>
  <c r="AA595" i="2" s="1"/>
  <c r="AA596" i="2" a="1"/>
  <c r="AA596" i="2" s="1"/>
  <c r="AA597" i="2" a="1"/>
  <c r="AA597" i="2" s="1"/>
  <c r="AA598" i="2" a="1"/>
  <c r="AA598" i="2" s="1"/>
  <c r="AA599" i="2" a="1"/>
  <c r="AA599" i="2" s="1"/>
  <c r="AA600" i="2" a="1"/>
  <c r="AA600" i="2" s="1"/>
  <c r="AA601" i="2" a="1"/>
  <c r="AA601" i="2" s="1"/>
  <c r="AA602" i="2" a="1"/>
  <c r="AA602" i="2" s="1"/>
  <c r="AA603" i="2" a="1"/>
  <c r="AA603" i="2" s="1"/>
  <c r="AA604" i="2" a="1"/>
  <c r="AA604" i="2" s="1"/>
  <c r="AA605" i="2" a="1"/>
  <c r="AA605" i="2" s="1"/>
  <c r="AA606" i="2" a="1"/>
  <c r="AA606" i="2" s="1"/>
  <c r="AA607" i="2" a="1"/>
  <c r="AA607" i="2" s="1"/>
  <c r="AA608" i="2" a="1"/>
  <c r="AA608" i="2" s="1"/>
  <c r="AA609" i="2" a="1"/>
  <c r="AA609" i="2" s="1"/>
  <c r="AA610" i="2" a="1"/>
  <c r="AA610" i="2" s="1"/>
  <c r="AA611" i="2" a="1"/>
  <c r="AA611" i="2" s="1"/>
  <c r="AA612" i="2" a="1"/>
  <c r="AA612" i="2" s="1"/>
  <c r="AA613" i="2" a="1"/>
  <c r="AA613" i="2" s="1"/>
  <c r="AA614" i="2" a="1"/>
  <c r="AA614" i="2" s="1"/>
  <c r="AA615" i="2" a="1"/>
  <c r="AA615" i="2" s="1"/>
  <c r="AA616" i="2" a="1"/>
  <c r="AA616" i="2" s="1"/>
  <c r="AA617" i="2" a="1"/>
  <c r="AA617" i="2" s="1"/>
  <c r="AA618" i="2" a="1"/>
  <c r="AA618" i="2" s="1"/>
  <c r="AA619" i="2" a="1"/>
  <c r="AA619" i="2" s="1"/>
  <c r="AA620" i="2" a="1"/>
  <c r="AA620" i="2" s="1"/>
  <c r="AA621" i="2" a="1"/>
  <c r="AA621" i="2" s="1"/>
  <c r="AA622" i="2" a="1"/>
  <c r="AA622" i="2" s="1"/>
  <c r="AA623" i="2" a="1"/>
  <c r="AA623" i="2" s="1"/>
  <c r="AA624" i="2" a="1"/>
  <c r="AA624" i="2" s="1"/>
  <c r="AA625" i="2" a="1"/>
  <c r="AA625" i="2" s="1"/>
  <c r="AA626" i="2" a="1"/>
  <c r="AA626" i="2" s="1"/>
  <c r="AA627" i="2" a="1"/>
  <c r="AA627" i="2" s="1"/>
  <c r="AA628" i="2" a="1"/>
  <c r="AA628" i="2" s="1"/>
  <c r="AA629" i="2" a="1"/>
  <c r="AA629" i="2" s="1"/>
  <c r="AA630" i="2" a="1"/>
  <c r="AA630" i="2" s="1"/>
  <c r="AA631" i="2" a="1"/>
  <c r="AA631" i="2" s="1"/>
  <c r="AA632" i="2" a="1"/>
  <c r="AA632" i="2" s="1"/>
  <c r="AA633" i="2" a="1"/>
  <c r="AA633" i="2" s="1"/>
  <c r="AA634" i="2" a="1"/>
  <c r="AA634" i="2" s="1"/>
  <c r="AA635" i="2" a="1"/>
  <c r="AA635" i="2" s="1"/>
  <c r="AA636" i="2" a="1"/>
  <c r="AA636" i="2" s="1"/>
  <c r="AA637" i="2" a="1"/>
  <c r="AA637" i="2" s="1"/>
  <c r="AA638" i="2" a="1"/>
  <c r="AA638" i="2" s="1"/>
  <c r="AA639" i="2" a="1"/>
  <c r="AA639" i="2" s="1"/>
  <c r="AA640" i="2" a="1"/>
  <c r="AA640" i="2" s="1"/>
  <c r="AA641" i="2" a="1"/>
  <c r="AA641" i="2" s="1"/>
  <c r="AA642" i="2" a="1"/>
  <c r="AA642" i="2" s="1"/>
  <c r="AA643" i="2" a="1"/>
  <c r="AA643" i="2" s="1"/>
  <c r="AA644" i="2" a="1"/>
  <c r="AA644" i="2" s="1"/>
  <c r="AA645" i="2" a="1"/>
  <c r="AA645" i="2" s="1"/>
  <c r="AA646" i="2" a="1"/>
  <c r="AA646" i="2" s="1"/>
  <c r="AA647" i="2" a="1"/>
  <c r="AA647" i="2" s="1"/>
  <c r="AA648" i="2" a="1"/>
  <c r="AA648" i="2" s="1"/>
  <c r="AA649" i="2" a="1"/>
  <c r="AA649" i="2" s="1"/>
  <c r="AA650" i="2" a="1"/>
  <c r="AA650" i="2" s="1"/>
  <c r="AA651" i="2" a="1"/>
  <c r="AA651" i="2" s="1"/>
  <c r="AA652" i="2" a="1"/>
  <c r="AA652" i="2" s="1"/>
  <c r="AA653" i="2" a="1"/>
  <c r="AA653" i="2" s="1"/>
  <c r="AA654" i="2" a="1"/>
  <c r="AA654" i="2" s="1"/>
  <c r="AA655" i="2" a="1"/>
  <c r="AA655" i="2" s="1"/>
  <c r="AA656" i="2" a="1"/>
  <c r="AA656" i="2" s="1"/>
  <c r="AA657" i="2" a="1"/>
  <c r="AA657" i="2" s="1"/>
  <c r="AA658" i="2" a="1"/>
  <c r="AA658" i="2" s="1"/>
  <c r="AA659" i="2" a="1"/>
  <c r="AA659" i="2" s="1"/>
  <c r="AA660" i="2" a="1"/>
  <c r="AA660" i="2" s="1"/>
  <c r="AA661" i="2" a="1"/>
  <c r="AA661" i="2" s="1"/>
  <c r="AA662" i="2" a="1"/>
  <c r="AA662" i="2" s="1"/>
  <c r="AA663" i="2" a="1"/>
  <c r="AA663" i="2" s="1"/>
  <c r="AA664" i="2" a="1"/>
  <c r="AA664" i="2" s="1"/>
  <c r="AA665" i="2" a="1"/>
  <c r="AA665" i="2" s="1"/>
  <c r="AA666" i="2" a="1"/>
  <c r="AA666" i="2" s="1"/>
  <c r="AA667" i="2" a="1"/>
  <c r="AA667" i="2" s="1"/>
  <c r="AA668" i="2" a="1"/>
  <c r="AA668" i="2" s="1"/>
  <c r="AA669" i="2" a="1"/>
  <c r="AA669" i="2" s="1"/>
  <c r="AA670" i="2" a="1"/>
  <c r="AA670" i="2" s="1"/>
  <c r="AA671" i="2" a="1"/>
  <c r="AA671" i="2" s="1"/>
  <c r="AA672" i="2" a="1"/>
  <c r="AA672" i="2" s="1"/>
  <c r="AA673" i="2" a="1"/>
  <c r="AA673" i="2" s="1"/>
  <c r="AA674" i="2" a="1"/>
  <c r="AA674" i="2" s="1"/>
  <c r="AA675" i="2" a="1"/>
  <c r="AA675" i="2" s="1"/>
  <c r="AA676" i="2" a="1"/>
  <c r="AA676" i="2" s="1"/>
  <c r="AA677" i="2" a="1"/>
  <c r="AA677" i="2" s="1"/>
  <c r="AA678" i="2" a="1"/>
  <c r="AA678" i="2" s="1"/>
  <c r="AA679" i="2" a="1"/>
  <c r="AA679" i="2" s="1"/>
  <c r="AA680" i="2" a="1"/>
  <c r="AA680" i="2" s="1"/>
  <c r="AA681" i="2" a="1"/>
  <c r="AA681" i="2" s="1"/>
  <c r="AA682" i="2" a="1"/>
  <c r="AA682" i="2" s="1"/>
  <c r="AA683" i="2" a="1"/>
  <c r="AA683" i="2" s="1"/>
  <c r="AA684" i="2" a="1"/>
  <c r="AA684" i="2" s="1"/>
  <c r="AA685" i="2" a="1"/>
  <c r="AA685" i="2" s="1"/>
  <c r="AA686" i="2" a="1"/>
  <c r="AA686" i="2" s="1"/>
  <c r="AA687" i="2" a="1"/>
  <c r="AA687" i="2" s="1"/>
  <c r="AA688" i="2" a="1"/>
  <c r="AA688" i="2" s="1"/>
  <c r="AA689" i="2" a="1"/>
  <c r="AA689" i="2" s="1"/>
  <c r="AA690" i="2" a="1"/>
  <c r="AA690" i="2" s="1"/>
  <c r="AA691" i="2" a="1"/>
  <c r="AA691" i="2" s="1"/>
  <c r="AA692" i="2" a="1"/>
  <c r="AA692" i="2" s="1"/>
  <c r="AA693" i="2" a="1"/>
  <c r="AA693" i="2" s="1"/>
  <c r="AA694" i="2" a="1"/>
  <c r="AA694" i="2" s="1"/>
  <c r="AA695" i="2" a="1"/>
  <c r="AA695" i="2" s="1"/>
  <c r="AA696" i="2" a="1"/>
  <c r="AA696" i="2" s="1"/>
  <c r="AA697" i="2" a="1"/>
  <c r="AA697" i="2" s="1"/>
  <c r="AA698" i="2" a="1"/>
  <c r="AA698" i="2" s="1"/>
  <c r="AA699" i="2" a="1"/>
  <c r="AA699" i="2" s="1"/>
  <c r="AA700" i="2" a="1"/>
  <c r="AA700" i="2" s="1"/>
  <c r="AA701" i="2" a="1"/>
  <c r="AA701" i="2" s="1"/>
  <c r="AA702" i="2" a="1"/>
  <c r="AA702" i="2" s="1"/>
  <c r="AA703" i="2" a="1"/>
  <c r="AA703" i="2" s="1"/>
  <c r="AA704" i="2" a="1"/>
  <c r="AA704" i="2" s="1"/>
  <c r="AA705" i="2" a="1"/>
  <c r="AA705" i="2" s="1"/>
  <c r="AA706" i="2" a="1"/>
  <c r="AA706" i="2" s="1"/>
  <c r="AA707" i="2" a="1"/>
  <c r="AA707" i="2" s="1"/>
  <c r="AA708" i="2" a="1"/>
  <c r="AA708" i="2" s="1"/>
  <c r="AA709" i="2" a="1"/>
  <c r="AA709" i="2" s="1"/>
  <c r="AA710" i="2" a="1"/>
  <c r="AA710" i="2" s="1"/>
  <c r="AA711" i="2" a="1"/>
  <c r="AA711" i="2" s="1"/>
  <c r="AA712" i="2" a="1"/>
  <c r="AA712" i="2" s="1"/>
  <c r="AA713" i="2" a="1"/>
  <c r="AA713" i="2" s="1"/>
  <c r="AA714" i="2" a="1"/>
  <c r="AA714" i="2" s="1"/>
  <c r="AA715" i="2" a="1"/>
  <c r="AA715" i="2" s="1"/>
  <c r="AA716" i="2" a="1"/>
  <c r="AA716" i="2" s="1"/>
  <c r="AA717" i="2" a="1"/>
  <c r="AA717" i="2" s="1"/>
  <c r="AA718" i="2" a="1"/>
  <c r="AA718" i="2" s="1"/>
  <c r="AA719" i="2" a="1"/>
  <c r="AA719" i="2" s="1"/>
  <c r="AA720" i="2" a="1"/>
  <c r="AA720" i="2" s="1"/>
  <c r="AA721" i="2" a="1"/>
  <c r="AA721" i="2" s="1"/>
  <c r="AA722" i="2" a="1"/>
  <c r="AA722" i="2" s="1"/>
  <c r="AA723" i="2" a="1"/>
  <c r="AA723" i="2" s="1"/>
  <c r="AA724" i="2" a="1"/>
  <c r="AA724" i="2" s="1"/>
  <c r="AA725" i="2" a="1"/>
  <c r="AA725" i="2" s="1"/>
  <c r="AA726" i="2" a="1"/>
  <c r="AA726" i="2" s="1"/>
  <c r="AA727" i="2" a="1"/>
  <c r="AA727" i="2" s="1"/>
  <c r="AA728" i="2" a="1"/>
  <c r="AA728" i="2" s="1"/>
  <c r="AA729" i="2" a="1"/>
  <c r="AA729" i="2" s="1"/>
  <c r="AA730" i="2" a="1"/>
  <c r="AA730" i="2" s="1"/>
  <c r="AA731" i="2" a="1"/>
  <c r="AA731" i="2" s="1"/>
  <c r="AA732" i="2" a="1"/>
  <c r="AA732" i="2" s="1"/>
  <c r="AA733" i="2" a="1"/>
  <c r="AA733" i="2" s="1"/>
  <c r="AA734" i="2" a="1"/>
  <c r="AA734" i="2" s="1"/>
  <c r="AA735" i="2" a="1"/>
  <c r="AA735" i="2" s="1"/>
  <c r="AA736" i="2" a="1"/>
  <c r="AA736" i="2" s="1"/>
  <c r="AA737" i="2" a="1"/>
  <c r="AA737" i="2" s="1"/>
  <c r="AA738" i="2" a="1"/>
  <c r="AA738" i="2" s="1"/>
  <c r="AA739" i="2" a="1"/>
  <c r="AA739" i="2" s="1"/>
  <c r="AA740" i="2" a="1"/>
  <c r="AA740" i="2" s="1"/>
  <c r="AA741" i="2" a="1"/>
  <c r="AA741" i="2" s="1"/>
  <c r="AA742" i="2" a="1"/>
  <c r="AA742" i="2" s="1"/>
  <c r="AA743" i="2" a="1"/>
  <c r="AA743" i="2" s="1"/>
  <c r="AA744" i="2" a="1"/>
  <c r="AA744" i="2" s="1"/>
  <c r="AA745" i="2" a="1"/>
  <c r="AA745" i="2" s="1"/>
  <c r="AA746" i="2" a="1"/>
  <c r="AA746" i="2" s="1"/>
  <c r="AA747" i="2" a="1"/>
  <c r="AA747" i="2" s="1"/>
  <c r="AA748" i="2" a="1"/>
  <c r="AA748" i="2" s="1"/>
  <c r="AA749" i="2" a="1"/>
  <c r="AA749" i="2" s="1"/>
  <c r="AA750" i="2" a="1"/>
  <c r="AA750" i="2" s="1"/>
  <c r="AA751" i="2" a="1"/>
  <c r="AA751" i="2" s="1"/>
  <c r="AA752" i="2" a="1"/>
  <c r="AA752" i="2" s="1"/>
  <c r="AA753" i="2" a="1"/>
  <c r="AA753" i="2" s="1"/>
  <c r="AA754" i="2" a="1"/>
  <c r="AA754" i="2" s="1"/>
  <c r="AA755" i="2" a="1"/>
  <c r="AA755" i="2" s="1"/>
  <c r="AA756" i="2" a="1"/>
  <c r="AA756" i="2" s="1"/>
  <c r="AA757" i="2" a="1"/>
  <c r="AA757" i="2" s="1"/>
  <c r="AA758" i="2" a="1"/>
  <c r="AA758" i="2" s="1"/>
  <c r="AA759" i="2" a="1"/>
  <c r="AA759" i="2" s="1"/>
  <c r="AA760" i="2" a="1"/>
  <c r="AA760" i="2" s="1"/>
  <c r="AA761" i="2" a="1"/>
  <c r="AA761" i="2" s="1"/>
  <c r="AA762" i="2" a="1"/>
  <c r="AA762" i="2" s="1"/>
  <c r="AA763" i="2" a="1"/>
  <c r="AA763" i="2" s="1"/>
  <c r="AA764" i="2" a="1"/>
  <c r="AA764" i="2" s="1"/>
  <c r="AA765" i="2" a="1"/>
  <c r="AA765" i="2" s="1"/>
  <c r="AA766" i="2" a="1"/>
  <c r="AA766" i="2" s="1"/>
  <c r="AA767" i="2" a="1"/>
  <c r="AA767" i="2" s="1"/>
  <c r="AA768" i="2" a="1"/>
  <c r="AA768" i="2" s="1"/>
  <c r="AA769" i="2" a="1"/>
  <c r="AA769" i="2" s="1"/>
  <c r="AA770" i="2" a="1"/>
  <c r="AA770" i="2" s="1"/>
  <c r="AA771" i="2" a="1"/>
  <c r="AA771" i="2" s="1"/>
  <c r="AA772" i="2" a="1"/>
  <c r="AA772" i="2" s="1"/>
  <c r="AA773" i="2" a="1"/>
  <c r="AA773" i="2" s="1"/>
  <c r="AA774" i="2" a="1"/>
  <c r="AA774" i="2" s="1"/>
  <c r="AA775" i="2" a="1"/>
  <c r="AA775" i="2" s="1"/>
  <c r="AA776" i="2" a="1"/>
  <c r="AA776" i="2" s="1"/>
  <c r="AA777" i="2" a="1"/>
  <c r="AA777" i="2" s="1"/>
  <c r="AA778" i="2" a="1"/>
  <c r="AA778" i="2" s="1"/>
  <c r="AA779" i="2" a="1"/>
  <c r="AA779" i="2" s="1"/>
  <c r="AA780" i="2" a="1"/>
  <c r="AA780" i="2" s="1"/>
  <c r="AA781" i="2" a="1"/>
  <c r="AA781" i="2" s="1"/>
  <c r="AA782" i="2" a="1"/>
  <c r="AA782" i="2" s="1"/>
  <c r="AA783" i="2" a="1"/>
  <c r="AA783" i="2" s="1"/>
  <c r="AA784" i="2" a="1"/>
  <c r="AA784" i="2" s="1"/>
  <c r="AA785" i="2" a="1"/>
  <c r="AA785" i="2" s="1"/>
  <c r="AA786" i="2" a="1"/>
  <c r="AA786" i="2" s="1"/>
  <c r="AA787" i="2" a="1"/>
  <c r="AA787" i="2" s="1"/>
  <c r="AA788" i="2" a="1"/>
  <c r="AA788" i="2" s="1"/>
  <c r="AA789" i="2" a="1"/>
  <c r="AA789" i="2" s="1"/>
  <c r="AA790" i="2" a="1"/>
  <c r="AA790" i="2" s="1"/>
  <c r="AA791" i="2" a="1"/>
  <c r="AA791" i="2" s="1"/>
  <c r="AA792" i="2" a="1"/>
  <c r="AA792" i="2" s="1"/>
  <c r="AA793" i="2" a="1"/>
  <c r="AA793" i="2" s="1"/>
  <c r="AA794" i="2" a="1"/>
  <c r="AA794" i="2" s="1"/>
  <c r="AA795" i="2" a="1"/>
  <c r="AA795" i="2" s="1"/>
  <c r="AA796" i="2" a="1"/>
  <c r="AA796" i="2" s="1"/>
  <c r="AA797" i="2" a="1"/>
  <c r="AA797" i="2" s="1"/>
  <c r="AA798" i="2" a="1"/>
  <c r="AA798" i="2" s="1"/>
  <c r="AA799" i="2" a="1"/>
  <c r="AA799" i="2" s="1"/>
  <c r="AA800" i="2" a="1"/>
  <c r="AA800" i="2" s="1"/>
  <c r="AA801" i="2" a="1"/>
  <c r="AA801" i="2" s="1"/>
  <c r="AA802" i="2" a="1"/>
  <c r="AA802" i="2" s="1"/>
  <c r="AA803" i="2" a="1"/>
  <c r="AA803" i="2" s="1"/>
  <c r="AA804" i="2" a="1"/>
  <c r="AA804" i="2" s="1"/>
  <c r="AA805" i="2" a="1"/>
  <c r="AA805" i="2" s="1"/>
  <c r="AA806" i="2" a="1"/>
  <c r="AA806" i="2" s="1"/>
  <c r="AA807" i="2" a="1"/>
  <c r="AA807" i="2" s="1"/>
  <c r="AA808" i="2" a="1"/>
  <c r="AA808" i="2" s="1"/>
  <c r="AA809" i="2" a="1"/>
  <c r="AA809" i="2" s="1"/>
  <c r="AA810" i="2" a="1"/>
  <c r="AA810" i="2" s="1"/>
  <c r="AA811" i="2" a="1"/>
  <c r="AA811" i="2" s="1"/>
  <c r="AA812" i="2" a="1"/>
  <c r="AA812" i="2" s="1"/>
  <c r="AA813" i="2" a="1"/>
  <c r="AA813" i="2" s="1"/>
  <c r="AA814" i="2" a="1"/>
  <c r="AA814" i="2" s="1"/>
  <c r="AA815" i="2" a="1"/>
  <c r="AA815" i="2" s="1"/>
  <c r="AA816" i="2" a="1"/>
  <c r="AA816" i="2" s="1"/>
  <c r="AA817" i="2" a="1"/>
  <c r="AA817" i="2" s="1"/>
  <c r="AA818" i="2" a="1"/>
  <c r="AA818" i="2" s="1"/>
  <c r="AA819" i="2" a="1"/>
  <c r="AA819" i="2" s="1"/>
  <c r="AA820" i="2" a="1"/>
  <c r="AA820" i="2" s="1"/>
  <c r="AA821" i="2" a="1"/>
  <c r="AA821" i="2" s="1"/>
  <c r="AA822" i="2" a="1"/>
  <c r="AA822" i="2" s="1"/>
  <c r="AA823" i="2" a="1"/>
  <c r="AA823" i="2" s="1"/>
  <c r="AA824" i="2" a="1"/>
  <c r="AA824" i="2" s="1"/>
  <c r="AA825" i="2" a="1"/>
  <c r="AA825" i="2" s="1"/>
  <c r="AA826" i="2" a="1"/>
  <c r="AA826" i="2" s="1"/>
  <c r="AA827" i="2" a="1"/>
  <c r="AA827" i="2" s="1"/>
  <c r="AA828" i="2" a="1"/>
  <c r="AA828" i="2" s="1"/>
  <c r="AA829" i="2" a="1"/>
  <c r="AA829" i="2" s="1"/>
  <c r="AA830" i="2" a="1"/>
  <c r="AA830" i="2" s="1"/>
  <c r="AA831" i="2" a="1"/>
  <c r="AA831" i="2" s="1"/>
  <c r="AA832" i="2" a="1"/>
  <c r="AA832" i="2" s="1"/>
  <c r="AA833" i="2" a="1"/>
  <c r="AA833" i="2" s="1"/>
  <c r="AA834" i="2" a="1"/>
  <c r="AA834" i="2" s="1"/>
  <c r="AA835" i="2" a="1"/>
  <c r="AA835" i="2" s="1"/>
  <c r="AA836" i="2" a="1"/>
  <c r="AA836" i="2" s="1"/>
  <c r="AA837" i="2" a="1"/>
  <c r="AA837" i="2" s="1"/>
  <c r="AA838" i="2" a="1"/>
  <c r="AA838" i="2" s="1"/>
  <c r="AA839" i="2" a="1"/>
  <c r="AA839" i="2" s="1"/>
  <c r="AA840" i="2" a="1"/>
  <c r="AA840" i="2" s="1"/>
  <c r="AA841" i="2" a="1"/>
  <c r="AA841" i="2" s="1"/>
  <c r="AA842" i="2" a="1"/>
  <c r="AA842" i="2" s="1"/>
  <c r="AA843" i="2" a="1"/>
  <c r="AA843" i="2" s="1"/>
  <c r="AA844" i="2" a="1"/>
  <c r="AA844" i="2" s="1"/>
  <c r="AA845" i="2" a="1"/>
  <c r="AA845" i="2" s="1"/>
  <c r="AA846" i="2" a="1"/>
  <c r="AA846" i="2" s="1"/>
  <c r="AA847" i="2" a="1"/>
  <c r="AA847" i="2" s="1"/>
  <c r="AA848" i="2" a="1"/>
  <c r="AA848" i="2" s="1"/>
  <c r="AA849" i="2" a="1"/>
  <c r="AA849" i="2" s="1"/>
  <c r="AA850" i="2" a="1"/>
  <c r="AA850" i="2" s="1"/>
  <c r="AA851" i="2" a="1"/>
  <c r="AA851" i="2" s="1"/>
  <c r="AA852" i="2" a="1"/>
  <c r="AA852" i="2" s="1"/>
  <c r="AA853" i="2" a="1"/>
  <c r="AA853" i="2" s="1"/>
  <c r="AA854" i="2" a="1"/>
  <c r="AA854" i="2" s="1"/>
  <c r="AA855" i="2" a="1"/>
  <c r="AA855" i="2" s="1"/>
  <c r="AA856" i="2" a="1"/>
  <c r="AA856" i="2" s="1"/>
  <c r="AA857" i="2" a="1"/>
  <c r="AA857" i="2" s="1"/>
  <c r="AA858" i="2" a="1"/>
  <c r="AA858" i="2" s="1"/>
  <c r="AA859" i="2" a="1"/>
  <c r="AA859" i="2" s="1"/>
  <c r="AA860" i="2" a="1"/>
  <c r="AA860" i="2" s="1"/>
  <c r="AA861" i="2" a="1"/>
  <c r="AA861" i="2" s="1"/>
  <c r="AA862" i="2" a="1"/>
  <c r="AA862" i="2" s="1"/>
  <c r="AA863" i="2" a="1"/>
  <c r="AA863" i="2" s="1"/>
  <c r="AA864" i="2" a="1"/>
  <c r="AA864" i="2" s="1"/>
  <c r="AA865" i="2" a="1"/>
  <c r="AA865" i="2" s="1"/>
  <c r="AA866" i="2" a="1"/>
  <c r="AA866" i="2" s="1"/>
  <c r="AA867" i="2" a="1"/>
  <c r="AA867" i="2" s="1"/>
  <c r="AA868" i="2" a="1"/>
  <c r="AA868" i="2" s="1"/>
  <c r="AA869" i="2" a="1"/>
  <c r="AA869" i="2" s="1"/>
  <c r="AA870" i="2" a="1"/>
  <c r="AA870" i="2" s="1"/>
  <c r="AA871" i="2" a="1"/>
  <c r="AA871" i="2" s="1"/>
  <c r="AA872" i="2" a="1"/>
  <c r="AA872" i="2" s="1"/>
  <c r="AA873" i="2" a="1"/>
  <c r="AA873" i="2" s="1"/>
  <c r="AA874" i="2" a="1"/>
  <c r="AA874" i="2" s="1"/>
  <c r="AA875" i="2" a="1"/>
  <c r="AA875" i="2" s="1"/>
  <c r="AA876" i="2" a="1"/>
  <c r="AA876" i="2" s="1"/>
  <c r="AA877" i="2" a="1"/>
  <c r="AA877" i="2" s="1"/>
  <c r="AA878" i="2" a="1"/>
  <c r="AA878" i="2" s="1"/>
  <c r="AA879" i="2" a="1"/>
  <c r="AA879" i="2" s="1"/>
  <c r="AA880" i="2" a="1"/>
  <c r="AA880" i="2" s="1"/>
  <c r="AA881" i="2" a="1"/>
  <c r="AA881" i="2" s="1"/>
  <c r="AA882" i="2" a="1"/>
  <c r="AA882" i="2" s="1"/>
  <c r="AA883" i="2" a="1"/>
  <c r="AA883" i="2" s="1"/>
  <c r="AA884" i="2" a="1"/>
  <c r="AA884" i="2" s="1"/>
  <c r="AA885" i="2" a="1"/>
  <c r="AA885" i="2" s="1"/>
  <c r="AA886" i="2" a="1"/>
  <c r="AA886" i="2" s="1"/>
  <c r="AA887" i="2" a="1"/>
  <c r="AA887" i="2" s="1"/>
  <c r="AA888" i="2" a="1"/>
  <c r="AA888" i="2" s="1"/>
  <c r="AA889" i="2" a="1"/>
  <c r="AA889" i="2" s="1"/>
  <c r="AA890" i="2" a="1"/>
  <c r="AA890" i="2" s="1"/>
  <c r="AA891" i="2" a="1"/>
  <c r="AA891" i="2" s="1"/>
  <c r="AA892" i="2" a="1"/>
  <c r="AA892" i="2" s="1"/>
  <c r="AA893" i="2" a="1"/>
  <c r="AA893" i="2" s="1"/>
  <c r="AA894" i="2" a="1"/>
  <c r="AA894" i="2" s="1"/>
  <c r="AA895" i="2" a="1"/>
  <c r="AA895" i="2" s="1"/>
  <c r="AA896" i="2" a="1"/>
  <c r="AA896" i="2" s="1"/>
  <c r="AA897" i="2" a="1"/>
  <c r="AA897" i="2" s="1"/>
  <c r="AA898" i="2" a="1"/>
  <c r="AA898" i="2" s="1"/>
  <c r="AA899" i="2" a="1"/>
  <c r="AA899" i="2" s="1"/>
  <c r="AA900" i="2" a="1"/>
  <c r="AA900" i="2" s="1"/>
  <c r="AA901" i="2" a="1"/>
  <c r="AA901" i="2" s="1"/>
  <c r="AA902" i="2" a="1"/>
  <c r="AA902" i="2" s="1"/>
  <c r="AA903" i="2" a="1"/>
  <c r="AA903" i="2" s="1"/>
  <c r="AA904" i="2" a="1"/>
  <c r="AA904" i="2" s="1"/>
  <c r="AA905" i="2" a="1"/>
  <c r="AA905" i="2" s="1"/>
  <c r="AA906" i="2" a="1"/>
  <c r="AA906" i="2" s="1"/>
  <c r="AA907" i="2" a="1"/>
  <c r="AA907" i="2" s="1"/>
  <c r="AA908" i="2" a="1"/>
  <c r="AA908" i="2" s="1"/>
  <c r="AA909" i="2" a="1"/>
  <c r="AA909" i="2" s="1"/>
  <c r="AA910" i="2" a="1"/>
  <c r="AA910" i="2" s="1"/>
  <c r="AA911" i="2" a="1"/>
  <c r="AA911" i="2" s="1"/>
  <c r="AA912" i="2" a="1"/>
  <c r="AA912" i="2" s="1"/>
  <c r="AA913" i="2" a="1"/>
  <c r="AA913" i="2" s="1"/>
  <c r="AA914" i="2" a="1"/>
  <c r="AA914" i="2" s="1"/>
  <c r="AA915" i="2" a="1"/>
  <c r="AA915" i="2" s="1"/>
  <c r="AA916" i="2" a="1"/>
  <c r="AA916" i="2" s="1"/>
  <c r="AA917" i="2" a="1"/>
  <c r="AA917" i="2" s="1"/>
  <c r="AA918" i="2" a="1"/>
  <c r="AA918" i="2" s="1"/>
  <c r="AA919" i="2" a="1"/>
  <c r="AA919" i="2" s="1"/>
  <c r="AA920" i="2" a="1"/>
  <c r="AA920" i="2" s="1"/>
  <c r="AA921" i="2" a="1"/>
  <c r="AA921" i="2" s="1"/>
  <c r="AA922" i="2" a="1"/>
  <c r="AA922" i="2" s="1"/>
  <c r="AA923" i="2" a="1"/>
  <c r="AA923" i="2" s="1"/>
  <c r="AA924" i="2" a="1"/>
  <c r="AA924" i="2" s="1"/>
  <c r="AA925" i="2" a="1"/>
  <c r="AA925" i="2" s="1"/>
  <c r="AA926" i="2" a="1"/>
  <c r="AA926" i="2" s="1"/>
  <c r="AA927" i="2" a="1"/>
  <c r="AA927" i="2" s="1"/>
  <c r="AA928" i="2" a="1"/>
  <c r="AA928" i="2" s="1"/>
  <c r="AA929" i="2" a="1"/>
  <c r="AA929" i="2" s="1"/>
  <c r="AA930" i="2" a="1"/>
  <c r="AA930" i="2" s="1"/>
  <c r="AA931" i="2" a="1"/>
  <c r="AA931" i="2" s="1"/>
  <c r="AA932" i="2" a="1"/>
  <c r="AA932" i="2" s="1"/>
  <c r="AA933" i="2" a="1"/>
  <c r="AA933" i="2" s="1"/>
  <c r="AA934" i="2" a="1"/>
  <c r="AA934" i="2" s="1"/>
  <c r="AA935" i="2" a="1"/>
  <c r="AA935" i="2" s="1"/>
  <c r="AA936" i="2" a="1"/>
  <c r="AA936" i="2" s="1"/>
  <c r="AA937" i="2" a="1"/>
  <c r="AA937" i="2" s="1"/>
  <c r="AA938" i="2" a="1"/>
  <c r="AA938" i="2" s="1"/>
  <c r="AA939" i="2" a="1"/>
  <c r="AA939" i="2" s="1"/>
  <c r="AA940" i="2" a="1"/>
  <c r="AA940" i="2" s="1"/>
  <c r="AA941" i="2" a="1"/>
  <c r="AA941" i="2" s="1"/>
  <c r="AA942" i="2" a="1"/>
  <c r="AA942" i="2" s="1"/>
  <c r="AA943" i="2" a="1"/>
  <c r="AA943" i="2" s="1"/>
  <c r="AA944" i="2" a="1"/>
  <c r="AA944" i="2" s="1"/>
  <c r="AA945" i="2" a="1"/>
  <c r="AA945" i="2" s="1"/>
  <c r="AA946" i="2" a="1"/>
  <c r="AA946" i="2" s="1"/>
  <c r="AA947" i="2" a="1"/>
  <c r="AA947" i="2" s="1"/>
  <c r="AA948" i="2" a="1"/>
  <c r="AA948" i="2" s="1"/>
  <c r="AA949" i="2" a="1"/>
  <c r="AA949" i="2" s="1"/>
  <c r="AA950" i="2" a="1"/>
  <c r="AA950" i="2" s="1"/>
  <c r="AA951" i="2" a="1"/>
  <c r="AA951" i="2" s="1"/>
  <c r="AA952" i="2" a="1"/>
  <c r="AA952" i="2" s="1"/>
  <c r="AA953" i="2" a="1"/>
  <c r="AA953" i="2" s="1"/>
  <c r="AA954" i="2" a="1"/>
  <c r="AA954" i="2" s="1"/>
  <c r="AA955" i="2" a="1"/>
  <c r="AA955" i="2" s="1"/>
  <c r="AA956" i="2" a="1"/>
  <c r="AA956" i="2" s="1"/>
  <c r="AA957" i="2" a="1"/>
  <c r="AA957" i="2" s="1"/>
  <c r="AA958" i="2" a="1"/>
  <c r="AA958" i="2" s="1"/>
  <c r="AA959" i="2" a="1"/>
  <c r="AA959" i="2" s="1"/>
  <c r="AA960" i="2" a="1"/>
  <c r="AA960" i="2" s="1"/>
  <c r="AA961" i="2" a="1"/>
  <c r="AA961" i="2" s="1"/>
  <c r="AA962" i="2" a="1"/>
  <c r="AA962" i="2" s="1"/>
  <c r="AA963" i="2" a="1"/>
  <c r="AA963" i="2" s="1"/>
  <c r="AA964" i="2" a="1"/>
  <c r="AA964" i="2" s="1"/>
  <c r="AA965" i="2" a="1"/>
  <c r="AA965" i="2" s="1"/>
  <c r="AA966" i="2" a="1"/>
  <c r="AA966" i="2" s="1"/>
  <c r="AA967" i="2" a="1"/>
  <c r="AA967" i="2" s="1"/>
  <c r="AA968" i="2" a="1"/>
  <c r="AA968" i="2" s="1"/>
  <c r="AA969" i="2" a="1"/>
  <c r="AA969" i="2" s="1"/>
  <c r="AA970" i="2" a="1"/>
  <c r="AA970" i="2" s="1"/>
  <c r="AA971" i="2" a="1"/>
  <c r="AA971" i="2" s="1"/>
  <c r="AA972" i="2" a="1"/>
  <c r="AA972" i="2" s="1"/>
  <c r="AA973" i="2" a="1"/>
  <c r="AA973" i="2" s="1"/>
  <c r="AA974" i="2" a="1"/>
  <c r="AA974" i="2" s="1"/>
  <c r="AA975" i="2" a="1"/>
  <c r="AA975" i="2" s="1"/>
  <c r="AA976" i="2" a="1"/>
  <c r="AA976" i="2" s="1"/>
  <c r="AA977" i="2" a="1"/>
  <c r="AA977" i="2" s="1"/>
  <c r="AA978" i="2" a="1"/>
  <c r="AA978" i="2" s="1"/>
  <c r="AA979" i="2" a="1"/>
  <c r="AA979" i="2" s="1"/>
  <c r="AA980" i="2" a="1"/>
  <c r="AA980" i="2" s="1"/>
  <c r="AA981" i="2" a="1"/>
  <c r="AA981" i="2" s="1"/>
  <c r="AA982" i="2" a="1"/>
  <c r="AA982" i="2" s="1"/>
  <c r="AA983" i="2" a="1"/>
  <c r="AA983" i="2" s="1"/>
  <c r="AA984" i="2" a="1"/>
  <c r="AA984" i="2" s="1"/>
  <c r="AA985" i="2" a="1"/>
  <c r="AA985" i="2" s="1"/>
  <c r="AA986" i="2" a="1"/>
  <c r="AA986" i="2" s="1"/>
  <c r="AA987" i="2" a="1"/>
  <c r="AA987" i="2" s="1"/>
  <c r="AA988" i="2" a="1"/>
  <c r="AA988" i="2" s="1"/>
  <c r="AA989" i="2" a="1"/>
  <c r="AA989" i="2" s="1"/>
  <c r="AA990" i="2" a="1"/>
  <c r="AA990" i="2" s="1"/>
  <c r="AA991" i="2" a="1"/>
  <c r="AA991" i="2" s="1"/>
  <c r="AA992" i="2" a="1"/>
  <c r="AA992" i="2" s="1"/>
  <c r="AA993" i="2" a="1"/>
  <c r="AA993" i="2" s="1"/>
  <c r="AA994" i="2" a="1"/>
  <c r="AA994" i="2" s="1"/>
  <c r="AA995" i="2" a="1"/>
  <c r="AA995" i="2" s="1"/>
  <c r="AA996" i="2" a="1"/>
  <c r="AA996" i="2" s="1"/>
  <c r="AA997" i="2" a="1"/>
  <c r="AA997" i="2" s="1"/>
  <c r="AA998" i="2" a="1"/>
  <c r="AA998" i="2" s="1"/>
  <c r="AA999" i="2" a="1"/>
  <c r="AA999" i="2" s="1"/>
  <c r="AA1000" i="2" a="1"/>
  <c r="AA1000" i="2" s="1"/>
  <c r="AA1001" i="2" a="1"/>
  <c r="AA1001" i="2" s="1"/>
  <c r="AA1002" i="2" a="1"/>
  <c r="AA1002" i="2" s="1"/>
  <c r="AA1003" i="2" a="1"/>
  <c r="AA1003" i="2" s="1"/>
  <c r="AA1004" i="2" a="1"/>
  <c r="AA1004" i="2" s="1"/>
  <c r="AA1005" i="2" a="1"/>
  <c r="AA1005" i="2" s="1"/>
  <c r="AA1006" i="2" a="1"/>
  <c r="AA1006" i="2" s="1"/>
  <c r="AA1007" i="2" a="1"/>
  <c r="AA1007" i="2" s="1"/>
  <c r="AA1008" i="2" a="1"/>
  <c r="AA1008" i="2" s="1"/>
  <c r="AA1009" i="2" a="1"/>
  <c r="AA1009" i="2" s="1"/>
  <c r="AA1010" i="2" a="1"/>
  <c r="AA1010" i="2" s="1"/>
  <c r="AA1011" i="2" a="1"/>
  <c r="AA1011" i="2" s="1"/>
  <c r="AA1012" i="2" a="1"/>
  <c r="AA1012" i="2" s="1"/>
  <c r="AA1013" i="2" a="1"/>
  <c r="AA1013" i="2" s="1"/>
  <c r="AA1014" i="2" a="1"/>
  <c r="AA1014" i="2" s="1"/>
  <c r="AA1015" i="2" a="1"/>
  <c r="AA1015" i="2" s="1"/>
  <c r="AA1016" i="2" a="1"/>
  <c r="AA1016" i="2" s="1"/>
  <c r="AA1017" i="2" a="1"/>
  <c r="AA1017" i="2" s="1"/>
  <c r="AA1018" i="2" a="1"/>
  <c r="AA1018" i="2" s="1"/>
  <c r="AA1019" i="2" a="1"/>
  <c r="AA1019" i="2" s="1"/>
  <c r="AA1020" i="2" a="1"/>
  <c r="AA1020" i="2" s="1"/>
  <c r="AA1021" i="2" a="1"/>
  <c r="AA1021" i="2" s="1"/>
  <c r="AA1022" i="2" a="1"/>
  <c r="AA1022" i="2" s="1"/>
  <c r="AA1023" i="2" a="1"/>
  <c r="AA1023" i="2" s="1"/>
  <c r="AA1024" i="2" a="1"/>
  <c r="AA1024" i="2" s="1"/>
  <c r="AA1025" i="2" a="1"/>
  <c r="AA1025" i="2" s="1"/>
  <c r="AA1026" i="2" a="1"/>
  <c r="AA1026" i="2" s="1"/>
  <c r="AA1027" i="2" a="1"/>
  <c r="AA1027" i="2" s="1"/>
  <c r="AA1028" i="2" a="1"/>
  <c r="AA1028" i="2" s="1"/>
  <c r="AA1029" i="2" a="1"/>
  <c r="AA1029" i="2" s="1"/>
  <c r="AA1030" i="2" a="1"/>
  <c r="AA1030" i="2" s="1"/>
  <c r="AA1031" i="2" a="1"/>
  <c r="AA1031" i="2" s="1"/>
  <c r="AA1032" i="2" a="1"/>
  <c r="AA1032" i="2" s="1"/>
  <c r="AA1033" i="2" a="1"/>
  <c r="AA1033" i="2" s="1"/>
  <c r="AA1034" i="2" a="1"/>
  <c r="AA1034" i="2" s="1"/>
  <c r="AA1035" i="2" a="1"/>
  <c r="AA1035" i="2" s="1"/>
  <c r="AA1036" i="2" a="1"/>
  <c r="AA1036" i="2" s="1"/>
  <c r="AA1037" i="2" a="1"/>
  <c r="AA1037" i="2" s="1"/>
  <c r="AA1038" i="2" a="1"/>
  <c r="AA1038" i="2" s="1"/>
  <c r="AA1039" i="2" a="1"/>
  <c r="AA1039" i="2" s="1"/>
  <c r="AA1040" i="2" a="1"/>
  <c r="AA1040" i="2" s="1"/>
  <c r="AA1041" i="2" a="1"/>
  <c r="AA1041" i="2" s="1"/>
  <c r="AA1042" i="2" a="1"/>
  <c r="AA1042" i="2" s="1"/>
  <c r="AA1043" i="2" a="1"/>
  <c r="AA1043" i="2" s="1"/>
  <c r="AA1044" i="2" a="1"/>
  <c r="AA1044" i="2" s="1"/>
  <c r="AA1045" i="2" a="1"/>
  <c r="AA1045" i="2" s="1"/>
  <c r="AA1046" i="2" a="1"/>
  <c r="AA1046" i="2" s="1"/>
  <c r="AA1047" i="2" a="1"/>
  <c r="AA1047" i="2" s="1"/>
  <c r="AA1048" i="2" a="1"/>
  <c r="AA1048" i="2" s="1"/>
  <c r="AA1049" i="2" a="1"/>
  <c r="AA1049" i="2" s="1"/>
  <c r="AA1050" i="2" a="1"/>
  <c r="AA1050" i="2" s="1"/>
  <c r="AA1051" i="2" a="1"/>
  <c r="AA1051" i="2" s="1"/>
  <c r="AA1052" i="2" a="1"/>
  <c r="AA1052" i="2" s="1"/>
  <c r="AA1053" i="2" a="1"/>
  <c r="AA1053" i="2" s="1"/>
  <c r="AA1054" i="2" a="1"/>
  <c r="AA1054" i="2" s="1"/>
  <c r="AA1055" i="2" a="1"/>
  <c r="AA1055" i="2" s="1"/>
  <c r="AA1056" i="2" a="1"/>
  <c r="AA1056" i="2" s="1"/>
  <c r="AA1057" i="2" a="1"/>
  <c r="AA1057" i="2" s="1"/>
  <c r="AA1058" i="2" a="1"/>
  <c r="AA1058" i="2" s="1"/>
  <c r="AA1059" i="2" a="1"/>
  <c r="AA1059" i="2" s="1"/>
  <c r="AA1060" i="2" a="1"/>
  <c r="AA1060" i="2" s="1"/>
  <c r="AA1061" i="2" a="1"/>
  <c r="AA1061" i="2" s="1"/>
  <c r="AA1062" i="2" a="1"/>
  <c r="AA1062" i="2" s="1"/>
  <c r="AA1063" i="2" a="1"/>
  <c r="AA1063" i="2" s="1"/>
  <c r="AA1064" i="2" a="1"/>
  <c r="AA1064" i="2" s="1"/>
  <c r="AA1065" i="2" a="1"/>
  <c r="AA1065" i="2" s="1"/>
  <c r="AA1066" i="2" a="1"/>
  <c r="AA1066" i="2" s="1"/>
  <c r="AA1067" i="2" a="1"/>
  <c r="AA1067" i="2" s="1"/>
  <c r="AA1068" i="2" a="1"/>
  <c r="AA1068" i="2" s="1"/>
  <c r="AA1069" i="2" a="1"/>
  <c r="AA1069" i="2" s="1"/>
  <c r="AA1070" i="2" a="1"/>
  <c r="AA1070" i="2" s="1"/>
  <c r="AA1071" i="2" a="1"/>
  <c r="AA1071" i="2" s="1"/>
  <c r="AA1072" i="2" a="1"/>
  <c r="AA1072" i="2" s="1"/>
  <c r="AA1073" i="2" a="1"/>
  <c r="AA1073" i="2" s="1"/>
  <c r="AA1074" i="2" a="1"/>
  <c r="AA1074" i="2" s="1"/>
  <c r="AA1075" i="2" a="1"/>
  <c r="AA1075" i="2" s="1"/>
  <c r="AA1076" i="2" a="1"/>
  <c r="AA1076" i="2" s="1"/>
  <c r="AA1077" i="2" a="1"/>
  <c r="AA1077" i="2" s="1"/>
  <c r="AA1078" i="2" a="1"/>
  <c r="AA1078" i="2" s="1"/>
  <c r="AA1079" i="2" a="1"/>
  <c r="AA1079" i="2" s="1"/>
  <c r="AA1080" i="2" a="1"/>
  <c r="AA1080" i="2" s="1"/>
  <c r="AA1081" i="2" a="1"/>
  <c r="AA1081" i="2" s="1"/>
  <c r="AA1082" i="2" a="1"/>
  <c r="AA1082" i="2" s="1"/>
  <c r="AA1083" i="2" a="1"/>
  <c r="AA1083" i="2" s="1"/>
  <c r="AA1084" i="2" a="1"/>
  <c r="AA1084" i="2" s="1"/>
  <c r="AA1085" i="2" a="1"/>
  <c r="AA1085" i="2" s="1"/>
  <c r="AA1086" i="2" a="1"/>
  <c r="AA1086" i="2" s="1"/>
  <c r="AA1087" i="2" a="1"/>
  <c r="AA1087" i="2" s="1"/>
  <c r="AA1088" i="2" a="1"/>
  <c r="AA1088" i="2" s="1"/>
  <c r="AA1089" i="2" a="1"/>
  <c r="AA1089" i="2" s="1"/>
  <c r="AA1090" i="2" a="1"/>
  <c r="AA1090" i="2" s="1"/>
  <c r="AA1091" i="2" a="1"/>
  <c r="AA1091" i="2" s="1"/>
  <c r="AA1092" i="2" a="1"/>
  <c r="AA1092" i="2" s="1"/>
  <c r="AA1093" i="2" a="1"/>
  <c r="AA1093" i="2" s="1"/>
  <c r="AA1094" i="2" a="1"/>
  <c r="AA1094" i="2" s="1"/>
  <c r="AA1095" i="2" a="1"/>
  <c r="AA1095" i="2" s="1"/>
  <c r="AA1096" i="2" a="1"/>
  <c r="AA1096" i="2" s="1"/>
  <c r="AA1097" i="2" a="1"/>
  <c r="AA1097" i="2" s="1"/>
  <c r="AA1098" i="2" a="1"/>
  <c r="AA1098" i="2" s="1"/>
  <c r="AA1099" i="2" a="1"/>
  <c r="AA1099" i="2" s="1"/>
  <c r="AA1100" i="2" a="1"/>
  <c r="AA1100" i="2" s="1"/>
  <c r="AA1101" i="2" a="1"/>
  <c r="AA1101" i="2" s="1"/>
  <c r="AA1102" i="2" a="1"/>
  <c r="AA1102" i="2" s="1"/>
  <c r="AA1103" i="2" a="1"/>
  <c r="AA1103" i="2" s="1"/>
  <c r="AA1104" i="2" a="1"/>
  <c r="AA1104" i="2" s="1"/>
  <c r="AA1105" i="2" a="1"/>
  <c r="AA1105" i="2" s="1"/>
  <c r="AA1106" i="2" a="1"/>
  <c r="AA1106" i="2" s="1"/>
  <c r="AA1107" i="2" a="1"/>
  <c r="AA1107" i="2" s="1"/>
  <c r="AA1108" i="2" a="1"/>
  <c r="AA1108" i="2" s="1"/>
  <c r="AA1109" i="2" a="1"/>
  <c r="AA1109" i="2" s="1"/>
  <c r="AA1110" i="2" a="1"/>
  <c r="AA1110" i="2" s="1"/>
  <c r="AA1111" i="2" a="1"/>
  <c r="AA1111" i="2" s="1"/>
  <c r="AA1112" i="2" a="1"/>
  <c r="AA1112" i="2" s="1"/>
  <c r="AA1113" i="2" a="1"/>
  <c r="AA1113" i="2" s="1"/>
  <c r="AA1114" i="2" a="1"/>
  <c r="AA1114" i="2" s="1"/>
  <c r="AA1115" i="2" a="1"/>
  <c r="AA1115" i="2" s="1"/>
  <c r="AA1116" i="2" a="1"/>
  <c r="AA1116" i="2" s="1"/>
  <c r="AA1117" i="2" a="1"/>
  <c r="AA1117" i="2" s="1"/>
  <c r="AA1118" i="2" a="1"/>
  <c r="AA1118" i="2" s="1"/>
  <c r="AA1119" i="2" a="1"/>
  <c r="AA1119" i="2" s="1"/>
  <c r="AA1120" i="2" a="1"/>
  <c r="AA1120" i="2" s="1"/>
  <c r="AA1121" i="2" a="1"/>
  <c r="AA1121" i="2" s="1"/>
  <c r="AA1122" i="2" a="1"/>
  <c r="AA1122" i="2" s="1"/>
  <c r="AA1123" i="2" a="1"/>
  <c r="AA1123" i="2" s="1"/>
  <c r="AA1124" i="2" a="1"/>
  <c r="AA1124" i="2" s="1"/>
  <c r="AA1125" i="2" a="1"/>
  <c r="AA1125" i="2" s="1"/>
  <c r="AA1126" i="2" a="1"/>
  <c r="AA1126" i="2" s="1"/>
  <c r="AA1127" i="2" a="1"/>
  <c r="AA1127" i="2" s="1"/>
  <c r="AA1128" i="2" a="1"/>
  <c r="AA1128" i="2" s="1"/>
  <c r="AA1129" i="2" a="1"/>
  <c r="AA1129" i="2" s="1"/>
  <c r="AA1130" i="2" a="1"/>
  <c r="AA1130" i="2" s="1"/>
  <c r="AA1131" i="2" a="1"/>
  <c r="AA1131" i="2" s="1"/>
  <c r="AA1132" i="2" a="1"/>
  <c r="AA1132" i="2" s="1"/>
  <c r="AA1133" i="2" a="1"/>
  <c r="AA1133" i="2" s="1"/>
  <c r="AA1134" i="2" a="1"/>
  <c r="AA1134" i="2" s="1"/>
  <c r="AA1135" i="2" a="1"/>
  <c r="AA1135" i="2" s="1"/>
  <c r="AA1136" i="2" a="1"/>
  <c r="AA1136" i="2" s="1"/>
  <c r="AA1137" i="2" a="1"/>
  <c r="AA1137" i="2" s="1"/>
  <c r="AA1138" i="2" a="1"/>
  <c r="AA1138" i="2" s="1"/>
  <c r="AA1139" i="2" a="1"/>
  <c r="AA1139" i="2" s="1"/>
  <c r="AA1140" i="2" a="1"/>
  <c r="AA1140" i="2" s="1"/>
  <c r="AA1141" i="2" a="1"/>
  <c r="AA1141" i="2" s="1"/>
  <c r="AA1142" i="2" a="1"/>
  <c r="AA1142" i="2" s="1"/>
  <c r="AA1143" i="2" a="1"/>
  <c r="AA1143" i="2" s="1"/>
  <c r="AA1144" i="2" a="1"/>
  <c r="AA1144" i="2" s="1"/>
  <c r="AA1145" i="2" a="1"/>
  <c r="AA1145" i="2" s="1"/>
  <c r="AA1146" i="2" a="1"/>
  <c r="AA1146" i="2" s="1"/>
  <c r="AA1147" i="2" a="1"/>
  <c r="AA1147" i="2" s="1"/>
  <c r="AA1148" i="2" a="1"/>
  <c r="AA1148" i="2" s="1"/>
  <c r="AA1149" i="2" a="1"/>
  <c r="AA1149" i="2" s="1"/>
  <c r="AA1150" i="2" a="1"/>
  <c r="AA1150" i="2" s="1"/>
  <c r="AA1151" i="2" a="1"/>
  <c r="AA1151" i="2" s="1"/>
  <c r="AA1152" i="2" a="1"/>
  <c r="AA1152" i="2" s="1"/>
  <c r="AA1153" i="2" a="1"/>
  <c r="AA1153" i="2" s="1"/>
  <c r="AA1154" i="2" a="1"/>
  <c r="AA1154" i="2" s="1"/>
  <c r="AA1155" i="2" a="1"/>
  <c r="AA1155" i="2" s="1"/>
  <c r="AA1156" i="2" a="1"/>
  <c r="AA1156" i="2" s="1"/>
  <c r="AA1157" i="2" a="1"/>
  <c r="AA1157" i="2" s="1"/>
  <c r="AA1158" i="2" a="1"/>
  <c r="AA1158" i="2" s="1"/>
  <c r="AA1159" i="2" a="1"/>
  <c r="AA1159" i="2" s="1"/>
  <c r="AA1160" i="2" a="1"/>
  <c r="AA1160" i="2" s="1"/>
  <c r="AA1161" i="2" a="1"/>
  <c r="AA1161" i="2" s="1"/>
  <c r="AA1162" i="2" a="1"/>
  <c r="AA1162" i="2" s="1"/>
  <c r="AA1163" i="2" a="1"/>
  <c r="AA1163" i="2" s="1"/>
  <c r="AA1164" i="2" a="1"/>
  <c r="AA1164" i="2" s="1"/>
  <c r="AA1165" i="2" a="1"/>
  <c r="AA1165" i="2" s="1"/>
  <c r="AA1166" i="2" a="1"/>
  <c r="AA1166" i="2" s="1"/>
  <c r="AA1167" i="2" a="1"/>
  <c r="AA1167" i="2" s="1"/>
  <c r="AA1168" i="2" a="1"/>
  <c r="AA1168" i="2" s="1"/>
  <c r="AA1169" i="2" a="1"/>
  <c r="AA1169" i="2" s="1"/>
  <c r="AA1170" i="2" a="1"/>
  <c r="AA1170" i="2" s="1"/>
  <c r="AA1171" i="2" a="1"/>
  <c r="AA1171" i="2" s="1"/>
  <c r="AA1172" i="2" a="1"/>
  <c r="AA1172" i="2" s="1"/>
  <c r="AA1173" i="2" a="1"/>
  <c r="AA1173" i="2" s="1"/>
  <c r="AA1174" i="2" a="1"/>
  <c r="AA1174" i="2" s="1"/>
  <c r="AA1175" i="2" a="1"/>
  <c r="AA1175" i="2" s="1"/>
  <c r="AA1176" i="2" a="1"/>
  <c r="AA1176" i="2" s="1"/>
  <c r="AA1177" i="2" a="1"/>
  <c r="AA1177" i="2" s="1"/>
  <c r="AA1178" i="2" a="1"/>
  <c r="AA1178" i="2" s="1"/>
  <c r="AA1179" i="2" a="1"/>
  <c r="AA1179" i="2" s="1"/>
  <c r="AA1180" i="2" a="1"/>
  <c r="AA1180" i="2" s="1"/>
  <c r="AA1181" i="2" a="1"/>
  <c r="AA1181" i="2" s="1"/>
  <c r="AA1182" i="2" a="1"/>
  <c r="AA1182" i="2" s="1"/>
  <c r="AA1183" i="2" a="1"/>
  <c r="AA1183" i="2" s="1"/>
  <c r="AA1184" i="2" a="1"/>
  <c r="AA1184" i="2" s="1"/>
  <c r="AA1185" i="2" a="1"/>
  <c r="AA1185" i="2" s="1"/>
  <c r="AA1186" i="2" a="1"/>
  <c r="AA1186" i="2" s="1"/>
  <c r="AA1187" i="2" a="1"/>
  <c r="AA1187" i="2" s="1"/>
  <c r="AA1188" i="2" a="1"/>
  <c r="AA1188" i="2" s="1"/>
  <c r="AA1189" i="2" a="1"/>
  <c r="AA1189" i="2" s="1"/>
  <c r="AA1190" i="2" a="1"/>
  <c r="AA1190" i="2" s="1"/>
  <c r="AA1191" i="2" a="1"/>
  <c r="AA1191" i="2" s="1"/>
  <c r="AA1192" i="2" a="1"/>
  <c r="AA1192" i="2" s="1"/>
  <c r="AA1193" i="2" a="1"/>
  <c r="AA1193" i="2" s="1"/>
  <c r="AA1194" i="2" a="1"/>
  <c r="AA1194" i="2" s="1"/>
  <c r="AA1195" i="2" a="1"/>
  <c r="AA1195" i="2" s="1"/>
  <c r="AA1196" i="2" a="1"/>
  <c r="AA1196" i="2" s="1"/>
  <c r="AA1197" i="2" a="1"/>
  <c r="AA1197" i="2" s="1"/>
  <c r="AA1198" i="2" a="1"/>
  <c r="AA1198" i="2" s="1"/>
  <c r="AA1199" i="2" a="1"/>
  <c r="AA1199" i="2" s="1"/>
  <c r="AA1200" i="2" a="1"/>
  <c r="AA1200" i="2" s="1"/>
  <c r="AA1201" i="2" a="1"/>
  <c r="AA1201" i="2" s="1"/>
  <c r="AA1202" i="2" a="1"/>
  <c r="AA1202" i="2" s="1"/>
  <c r="AA1203" i="2" a="1"/>
  <c r="AA1203" i="2" s="1"/>
  <c r="AA1204" i="2" a="1"/>
  <c r="AA1204" i="2" s="1"/>
  <c r="AA1205" i="2" a="1"/>
  <c r="AA1205" i="2" s="1"/>
  <c r="AA1206" i="2" a="1"/>
  <c r="AA1206" i="2" s="1"/>
  <c r="AA1207" i="2" a="1"/>
  <c r="AA1207" i="2" s="1"/>
  <c r="AA1208" i="2" a="1"/>
  <c r="AA1208" i="2" s="1"/>
  <c r="AA1209" i="2" a="1"/>
  <c r="AA1209" i="2" s="1"/>
  <c r="AA1210" i="2" a="1"/>
  <c r="AA1210" i="2" s="1"/>
  <c r="AA1211" i="2" a="1"/>
  <c r="AA1211" i="2" s="1"/>
  <c r="AA1212" i="2" a="1"/>
  <c r="AA1212" i="2" s="1"/>
  <c r="AA1213" i="2" a="1"/>
  <c r="AA1213" i="2" s="1"/>
  <c r="AA1214" i="2" a="1"/>
  <c r="AA1214" i="2" s="1"/>
  <c r="AA1215" i="2" a="1"/>
  <c r="AA1215" i="2" s="1"/>
  <c r="AA1216" i="2" a="1"/>
  <c r="AA1216" i="2" s="1"/>
  <c r="AA1217" i="2" a="1"/>
  <c r="AA1217" i="2" s="1"/>
  <c r="AA1218" i="2" a="1"/>
  <c r="AA1218" i="2" s="1"/>
  <c r="AA1219" i="2" a="1"/>
  <c r="AA1219" i="2" s="1"/>
  <c r="AA1220" i="2" a="1"/>
  <c r="AA1220" i="2" s="1"/>
  <c r="AA1221" i="2" a="1"/>
  <c r="AA1221" i="2" s="1"/>
  <c r="AA1222" i="2" a="1"/>
  <c r="AA1222" i="2" s="1"/>
  <c r="AA1223" i="2" a="1"/>
  <c r="AA1223" i="2" s="1"/>
  <c r="AA1224" i="2" a="1"/>
  <c r="AA1224" i="2" s="1"/>
  <c r="AA1225" i="2" a="1"/>
  <c r="AA1225" i="2" s="1"/>
  <c r="AA1226" i="2" a="1"/>
  <c r="AA1226" i="2" s="1"/>
  <c r="AA1227" i="2" a="1"/>
  <c r="AA1227" i="2" s="1"/>
  <c r="AA1228" i="2" a="1"/>
  <c r="AA1228" i="2" s="1"/>
  <c r="AA1229" i="2" a="1"/>
  <c r="AA1229" i="2" s="1"/>
  <c r="AA1230" i="2" a="1"/>
  <c r="AA1230" i="2" s="1"/>
  <c r="AA1231" i="2" a="1"/>
  <c r="AA1231" i="2" s="1"/>
  <c r="AA1232" i="2" a="1"/>
  <c r="AA1232" i="2" s="1"/>
  <c r="AA1233" i="2" a="1"/>
  <c r="AA1233" i="2" s="1"/>
  <c r="AA1234" i="2" a="1"/>
  <c r="AA1234" i="2" s="1"/>
  <c r="AA1235" i="2" a="1"/>
  <c r="AA1235" i="2" s="1"/>
  <c r="AA1236" i="2" a="1"/>
  <c r="AA1236" i="2" s="1"/>
  <c r="AA1237" i="2" a="1"/>
  <c r="AA1237" i="2" s="1"/>
  <c r="AA1238" i="2" a="1"/>
  <c r="AA1238" i="2" s="1"/>
  <c r="AA1239" i="2" a="1"/>
  <c r="AA1239" i="2" s="1"/>
  <c r="AA1240" i="2" a="1"/>
  <c r="AA1240" i="2" s="1"/>
  <c r="AA1241" i="2" a="1"/>
  <c r="AA1241" i="2" s="1"/>
  <c r="AA1242" i="2" a="1"/>
  <c r="AA1242" i="2" s="1"/>
  <c r="AA1243" i="2" a="1"/>
  <c r="AA1243" i="2" s="1"/>
  <c r="AA1244" i="2" a="1"/>
  <c r="AA1244" i="2" s="1"/>
  <c r="AA1245" i="2" a="1"/>
  <c r="AA1245" i="2" s="1"/>
  <c r="AA1246" i="2" a="1"/>
  <c r="AA1246" i="2" s="1"/>
  <c r="AA1247" i="2" a="1"/>
  <c r="AA1247" i="2" s="1"/>
  <c r="AA1248" i="2" a="1"/>
  <c r="AA1248" i="2" s="1"/>
  <c r="AA1249" i="2" a="1"/>
  <c r="AA1249" i="2" s="1"/>
  <c r="AA1250" i="2" a="1"/>
  <c r="AA1250" i="2" s="1"/>
  <c r="AA1251" i="2" a="1"/>
  <c r="AA1251" i="2" s="1"/>
  <c r="AA1252" i="2" a="1"/>
  <c r="AA1252" i="2" s="1"/>
  <c r="AA1253" i="2" a="1"/>
  <c r="AA1253" i="2" s="1"/>
  <c r="AA1254" i="2" a="1"/>
  <c r="AA1254" i="2" s="1"/>
  <c r="AA1255" i="2" a="1"/>
  <c r="AA1255" i="2" s="1"/>
  <c r="AA1256" i="2" a="1"/>
  <c r="AA1256" i="2" s="1"/>
  <c r="AA1257" i="2" a="1"/>
  <c r="AA1257" i="2" s="1"/>
  <c r="AA1258" i="2" a="1"/>
  <c r="AA1258" i="2" s="1"/>
  <c r="AA1259" i="2" a="1"/>
  <c r="AA1259" i="2" s="1"/>
  <c r="AA1260" i="2" a="1"/>
  <c r="AA1260" i="2" s="1"/>
  <c r="AA1261" i="2" a="1"/>
  <c r="AA1261" i="2" s="1"/>
  <c r="AA1262" i="2" a="1"/>
  <c r="AA1262" i="2" s="1"/>
  <c r="AA1263" i="2" a="1"/>
  <c r="AA1263" i="2" s="1"/>
  <c r="AA1264" i="2" a="1"/>
  <c r="AA1264" i="2" s="1"/>
  <c r="AA1265" i="2" a="1"/>
  <c r="AA1265" i="2" s="1"/>
  <c r="AA1266" i="2" a="1"/>
  <c r="AA1266" i="2" s="1"/>
  <c r="AA1267" i="2" a="1"/>
  <c r="AA1267" i="2" s="1"/>
  <c r="AA1268" i="2" a="1"/>
  <c r="AA1268" i="2" s="1"/>
  <c r="AA1269" i="2" a="1"/>
  <c r="AA1269" i="2" s="1"/>
  <c r="AA1270" i="2" a="1"/>
  <c r="AA1270" i="2" s="1"/>
  <c r="AA1271" i="2" a="1"/>
  <c r="AA1271" i="2" s="1"/>
  <c r="AA1272" i="2" a="1"/>
  <c r="AA1272" i="2" s="1"/>
  <c r="AA1273" i="2" a="1"/>
  <c r="AA1273" i="2" s="1"/>
  <c r="AA1274" i="2" a="1"/>
  <c r="AA1274" i="2" s="1"/>
  <c r="AA1275" i="2" a="1"/>
  <c r="AA1275" i="2" s="1"/>
  <c r="AA1276" i="2" a="1"/>
  <c r="AA1276" i="2" s="1"/>
  <c r="AA1277" i="2" a="1"/>
  <c r="AA1277" i="2" s="1"/>
  <c r="AA1278" i="2" a="1"/>
  <c r="AA1278" i="2" s="1"/>
  <c r="AA1279" i="2" a="1"/>
  <c r="AA1279" i="2" s="1"/>
  <c r="AA1280" i="2" a="1"/>
  <c r="AA1280" i="2" s="1"/>
  <c r="AA1281" i="2" a="1"/>
  <c r="AA1281" i="2" s="1"/>
  <c r="AA1282" i="2" a="1"/>
  <c r="AA1282" i="2" s="1"/>
  <c r="AA1283" i="2" a="1"/>
  <c r="AA1283" i="2" s="1"/>
  <c r="AA1284" i="2" a="1"/>
  <c r="AA1284" i="2" s="1"/>
  <c r="AA1285" i="2" a="1"/>
  <c r="AA1285" i="2" s="1"/>
  <c r="AA1286" i="2" a="1"/>
  <c r="AA1286" i="2" s="1"/>
  <c r="AA1287" i="2" a="1"/>
  <c r="AA1287" i="2" s="1"/>
  <c r="AA1288" i="2" a="1"/>
  <c r="AA1288" i="2" s="1"/>
  <c r="AA1289" i="2" a="1"/>
  <c r="AA1289" i="2" s="1"/>
  <c r="AA1290" i="2" a="1"/>
  <c r="AA1290" i="2" s="1"/>
  <c r="AA1291" i="2" a="1"/>
  <c r="AA1291" i="2" s="1"/>
  <c r="AA1292" i="2" a="1"/>
  <c r="AA1292" i="2" s="1"/>
  <c r="AA1293" i="2" a="1"/>
  <c r="AA1293" i="2" s="1"/>
  <c r="AA1294" i="2" a="1"/>
  <c r="AA1294" i="2" s="1"/>
  <c r="AA1295" i="2" a="1"/>
  <c r="AA1295" i="2" s="1"/>
  <c r="AA1296" i="2" a="1"/>
  <c r="AA1296" i="2" s="1"/>
  <c r="AA1297" i="2" a="1"/>
  <c r="AA1297" i="2" s="1"/>
  <c r="AA1298" i="2" a="1"/>
  <c r="AA1298" i="2" s="1"/>
  <c r="AA1299" i="2" a="1"/>
  <c r="AA1299" i="2" s="1"/>
  <c r="AA1300" i="2" a="1"/>
  <c r="AA1300" i="2" s="1"/>
  <c r="AA1301" i="2" a="1"/>
  <c r="AA1301" i="2" s="1"/>
  <c r="AA1302" i="2" a="1"/>
  <c r="AA1302" i="2" s="1"/>
  <c r="AA1303" i="2" a="1"/>
  <c r="AA1303" i="2" s="1"/>
  <c r="AA1304" i="2" a="1"/>
  <c r="AA1304" i="2" s="1"/>
  <c r="AA1305" i="2" a="1"/>
  <c r="AA1305" i="2" s="1"/>
  <c r="AA1306" i="2" a="1"/>
  <c r="AA1306" i="2" s="1"/>
  <c r="AA1307" i="2" a="1"/>
  <c r="AA1307" i="2" s="1"/>
  <c r="AA1308" i="2" a="1"/>
  <c r="AA1308" i="2" s="1"/>
  <c r="AA1309" i="2" a="1"/>
  <c r="AA1309" i="2" s="1"/>
  <c r="AA1310" i="2" a="1"/>
  <c r="AA1310" i="2" s="1"/>
  <c r="AA1311" i="2" a="1"/>
  <c r="AA1311" i="2" s="1"/>
  <c r="AA1312" i="2" a="1"/>
  <c r="AA1312" i="2" s="1"/>
  <c r="AA1313" i="2" a="1"/>
  <c r="AA1313" i="2" s="1"/>
  <c r="AA1314" i="2" a="1"/>
  <c r="AA1314" i="2" s="1"/>
  <c r="AA1315" i="2" a="1"/>
  <c r="AA1315" i="2" s="1"/>
  <c r="AA1316" i="2" a="1"/>
  <c r="AA1316" i="2" s="1"/>
  <c r="AA1317" i="2" a="1"/>
  <c r="AA1317" i="2" s="1"/>
  <c r="AA1318" i="2" a="1"/>
  <c r="AA1318" i="2" s="1"/>
  <c r="AA1319" i="2" a="1"/>
  <c r="AA1319" i="2" s="1"/>
  <c r="AA1320" i="2" a="1"/>
  <c r="AA1320" i="2" s="1"/>
  <c r="AA1321" i="2" a="1"/>
  <c r="AA1321" i="2" s="1"/>
  <c r="AA1322" i="2" a="1"/>
  <c r="AA1322" i="2" s="1"/>
  <c r="AA1323" i="2" a="1"/>
  <c r="AA1323" i="2" s="1"/>
  <c r="AA1324" i="2" a="1"/>
  <c r="AA1324" i="2" s="1"/>
  <c r="AA1325" i="2" a="1"/>
  <c r="AA1325" i="2" s="1"/>
  <c r="AA1326" i="2" a="1"/>
  <c r="AA1326" i="2" s="1"/>
  <c r="AA1327" i="2" a="1"/>
  <c r="AA1327" i="2" s="1"/>
  <c r="AA1328" i="2" a="1"/>
  <c r="AA1328" i="2" s="1"/>
  <c r="AA1329" i="2" a="1"/>
  <c r="AA1329" i="2" s="1"/>
  <c r="AA1330" i="2" a="1"/>
  <c r="AA1330" i="2" s="1"/>
  <c r="AA1331" i="2" a="1"/>
  <c r="AA1331" i="2" s="1"/>
  <c r="AA1332" i="2" a="1"/>
  <c r="AA1332" i="2" s="1"/>
  <c r="AA1333" i="2" a="1"/>
  <c r="AA1333" i="2" s="1"/>
  <c r="AA1334" i="2" a="1"/>
  <c r="AA1334" i="2" s="1"/>
  <c r="AA1335" i="2" a="1"/>
  <c r="AA1335" i="2" s="1"/>
  <c r="AA1336" i="2" a="1"/>
  <c r="AA1336" i="2" s="1"/>
  <c r="AA1337" i="2" a="1"/>
  <c r="AA1337" i="2" s="1"/>
  <c r="AA1338" i="2" a="1"/>
  <c r="AA1338" i="2" s="1"/>
  <c r="AA1339" i="2" a="1"/>
  <c r="AA1339" i="2" s="1"/>
  <c r="AA1340" i="2" a="1"/>
  <c r="AA1340" i="2" s="1"/>
  <c r="AA1341" i="2" a="1"/>
  <c r="AA1341" i="2" s="1"/>
  <c r="AA1342" i="2" a="1"/>
  <c r="AA1342" i="2" s="1"/>
  <c r="AA1343" i="2" a="1"/>
  <c r="AA1343" i="2" s="1"/>
  <c r="AA1344" i="2" a="1"/>
  <c r="AA1344" i="2" s="1"/>
  <c r="AA1345" i="2" a="1"/>
  <c r="AA1345" i="2" s="1"/>
  <c r="AA1346" i="2" a="1"/>
  <c r="AA1346" i="2" s="1"/>
  <c r="AA1347" i="2" a="1"/>
  <c r="AA1347" i="2" s="1"/>
  <c r="AA1348" i="2" a="1"/>
  <c r="AA1348" i="2" s="1"/>
  <c r="AA1349" i="2" a="1"/>
  <c r="AA1349" i="2" s="1"/>
  <c r="AA1350" i="2" a="1"/>
  <c r="AA1350" i="2" s="1"/>
  <c r="AA1351" i="2" a="1"/>
  <c r="AA1351" i="2" s="1"/>
  <c r="AA1352" i="2" a="1"/>
  <c r="AA1352" i="2" s="1"/>
  <c r="AA1353" i="2" a="1"/>
  <c r="AA1353" i="2" s="1"/>
  <c r="AA1354" i="2" a="1"/>
  <c r="AA1354" i="2" s="1"/>
  <c r="AA1355" i="2" a="1"/>
  <c r="AA1355" i="2" s="1"/>
  <c r="AA1356" i="2" a="1"/>
  <c r="AA1356" i="2" s="1"/>
  <c r="AA1357" i="2" a="1"/>
  <c r="AA1357" i="2" s="1"/>
  <c r="AA1358" i="2" a="1"/>
  <c r="AA1358" i="2" s="1"/>
  <c r="AA1359" i="2" a="1"/>
  <c r="AA1359" i="2" s="1"/>
  <c r="AA1360" i="2" a="1"/>
  <c r="AA1360" i="2" s="1"/>
  <c r="AA1361" i="2" a="1"/>
  <c r="AA1361" i="2" s="1"/>
  <c r="AA1362" i="2" a="1"/>
  <c r="AA1362" i="2" s="1"/>
  <c r="AA1363" i="2" a="1"/>
  <c r="AA1363" i="2" s="1"/>
  <c r="AA1364" i="2" a="1"/>
  <c r="AA1364" i="2" s="1"/>
  <c r="AA1365" i="2" a="1"/>
  <c r="AA1365" i="2" s="1"/>
  <c r="AA1366" i="2" a="1"/>
  <c r="AA1366" i="2" s="1"/>
  <c r="AA1367" i="2" a="1"/>
  <c r="AA1367" i="2" s="1"/>
  <c r="AA1368" i="2" a="1"/>
  <c r="AA1368" i="2" s="1"/>
  <c r="AA1369" i="2" a="1"/>
  <c r="AA1369" i="2" s="1"/>
  <c r="AA1370" i="2" a="1"/>
  <c r="AA1370" i="2" s="1"/>
  <c r="AA1371" i="2" a="1"/>
  <c r="AA1371" i="2" s="1"/>
  <c r="AA1372" i="2" a="1"/>
  <c r="AA1372" i="2" s="1"/>
  <c r="AA1373" i="2" a="1"/>
  <c r="AA1373" i="2" s="1"/>
  <c r="AA1374" i="2" a="1"/>
  <c r="AA1374" i="2" s="1"/>
  <c r="AA1375" i="2" a="1"/>
  <c r="AA1375" i="2" s="1"/>
  <c r="AA1376" i="2" a="1"/>
  <c r="AA1376" i="2" s="1"/>
  <c r="AA1377" i="2" a="1"/>
  <c r="AA1377" i="2" s="1"/>
  <c r="AA1378" i="2" a="1"/>
  <c r="AA1378" i="2" s="1"/>
  <c r="AA1379" i="2" a="1"/>
  <c r="AA1379" i="2" s="1"/>
  <c r="AA1380" i="2" a="1"/>
  <c r="AA1380" i="2" s="1"/>
  <c r="AA1381" i="2" a="1"/>
  <c r="AA1381" i="2" s="1"/>
  <c r="AA1382" i="2" a="1"/>
  <c r="AA1382" i="2" s="1"/>
  <c r="AA1383" i="2" a="1"/>
  <c r="AA1383" i="2" s="1"/>
  <c r="AA1384" i="2" a="1"/>
  <c r="AA1384" i="2" s="1"/>
  <c r="AA1385" i="2" a="1"/>
  <c r="AA1385" i="2" s="1"/>
  <c r="AA1386" i="2" a="1"/>
  <c r="AA1386" i="2" s="1"/>
  <c r="AA1387" i="2" a="1"/>
  <c r="AA1387" i="2" s="1"/>
  <c r="AA1388" i="2" a="1"/>
  <c r="AA1388" i="2" s="1"/>
  <c r="AA1389" i="2" a="1"/>
  <c r="AA1389" i="2" s="1"/>
  <c r="AA1390" i="2" a="1"/>
  <c r="AA1390" i="2" s="1"/>
  <c r="AA1391" i="2" a="1"/>
  <c r="AA1391" i="2" s="1"/>
  <c r="AA1392" i="2" a="1"/>
  <c r="AA1392" i="2" s="1"/>
  <c r="AA1393" i="2" a="1"/>
  <c r="AA1393" i="2" s="1"/>
  <c r="AA1394" i="2" a="1"/>
  <c r="AA1394" i="2" s="1"/>
  <c r="AA1395" i="2" a="1"/>
  <c r="AA1395" i="2" s="1"/>
  <c r="AA1396" i="2" a="1"/>
  <c r="AA1396" i="2" s="1"/>
  <c r="AA1397" i="2" a="1"/>
  <c r="AA1397" i="2" s="1"/>
  <c r="AA1398" i="2" a="1"/>
  <c r="AA1398" i="2" s="1"/>
  <c r="AA1399" i="2" a="1"/>
  <c r="AA1399" i="2" s="1"/>
  <c r="AA1400" i="2" a="1"/>
  <c r="AA1400" i="2" s="1"/>
  <c r="AA1401" i="2" a="1"/>
  <c r="AA1401" i="2" s="1"/>
  <c r="AA1402" i="2" a="1"/>
  <c r="AA1402" i="2" s="1"/>
  <c r="AA1403" i="2" a="1"/>
  <c r="AA1403" i="2" s="1"/>
  <c r="AA1404" i="2" a="1"/>
  <c r="AA1404" i="2" s="1"/>
  <c r="AA1405" i="2" a="1"/>
  <c r="AA1405" i="2" s="1"/>
  <c r="AA1406" i="2" a="1"/>
  <c r="AA1406" i="2" s="1"/>
  <c r="AA1407" i="2" a="1"/>
  <c r="AA1407" i="2" s="1"/>
  <c r="AA1408" i="2" a="1"/>
  <c r="AA1408" i="2" s="1"/>
  <c r="AA1409" i="2" a="1"/>
  <c r="AA1409" i="2" s="1"/>
  <c r="AA1410" i="2" a="1"/>
  <c r="AA1410" i="2" s="1"/>
  <c r="AA1411" i="2" a="1"/>
  <c r="AA1411" i="2" s="1"/>
  <c r="AA1412" i="2" a="1"/>
  <c r="AA1412" i="2" s="1"/>
  <c r="AA1413" i="2" a="1"/>
  <c r="AA1413" i="2" s="1"/>
  <c r="AA1414" i="2" a="1"/>
  <c r="AA1414" i="2" s="1"/>
  <c r="AA1415" i="2" a="1"/>
  <c r="AA1415" i="2" s="1"/>
  <c r="AA1416" i="2" a="1"/>
  <c r="AA1416" i="2" s="1"/>
  <c r="AA1417" i="2" a="1"/>
  <c r="AA1417" i="2" s="1"/>
  <c r="AA1418" i="2" a="1"/>
  <c r="AA1418" i="2" s="1"/>
  <c r="AA1419" i="2" a="1"/>
  <c r="AA1419" i="2" s="1"/>
  <c r="AA1420" i="2" a="1"/>
  <c r="AA1420" i="2" s="1"/>
  <c r="AA1421" i="2" a="1"/>
  <c r="AA1421" i="2" s="1"/>
  <c r="AA1422" i="2" a="1"/>
  <c r="AA1422" i="2" s="1"/>
  <c r="AA1423" i="2" a="1"/>
  <c r="AA1423" i="2" s="1"/>
  <c r="AA1424" i="2" a="1"/>
  <c r="AA1424" i="2" s="1"/>
  <c r="AA1425" i="2" a="1"/>
  <c r="AA1425" i="2" s="1"/>
  <c r="AA1426" i="2" a="1"/>
  <c r="AA1426" i="2" s="1"/>
  <c r="AA1427" i="2" a="1"/>
  <c r="AA1427" i="2" s="1"/>
  <c r="AA1428" i="2" a="1"/>
  <c r="AA1428" i="2" s="1"/>
  <c r="AA1429" i="2" a="1"/>
  <c r="AA1429" i="2" s="1"/>
  <c r="AA1430" i="2" a="1"/>
  <c r="AA1430" i="2" s="1"/>
  <c r="AA1431" i="2" a="1"/>
  <c r="AA1431" i="2" s="1"/>
  <c r="AA1432" i="2" a="1"/>
  <c r="AA1432" i="2" s="1"/>
  <c r="AA1433" i="2" a="1"/>
  <c r="AA1433" i="2" s="1"/>
  <c r="AA1434" i="2" a="1"/>
  <c r="AA1434" i="2" s="1"/>
  <c r="AA1435" i="2" a="1"/>
  <c r="AA1435" i="2" s="1"/>
  <c r="AA1436" i="2" a="1"/>
  <c r="AA1436" i="2" s="1"/>
  <c r="AA1437" i="2" a="1"/>
  <c r="AA1437" i="2" s="1"/>
  <c r="AA1438" i="2" a="1"/>
  <c r="AA1438" i="2" s="1"/>
  <c r="AA1439" i="2" a="1"/>
  <c r="AA1439" i="2" s="1"/>
  <c r="AA1440" i="2" a="1"/>
  <c r="AA1440" i="2" s="1"/>
  <c r="AA1441" i="2" a="1"/>
  <c r="AA1441" i="2" s="1"/>
  <c r="AA1442" i="2" a="1"/>
  <c r="AA1442" i="2" s="1"/>
  <c r="AA1443" i="2" a="1"/>
  <c r="AA1443" i="2" s="1"/>
  <c r="AA1444" i="2" a="1"/>
  <c r="AA1444" i="2" s="1"/>
  <c r="AA1445" i="2" a="1"/>
  <c r="AA1445" i="2" s="1"/>
  <c r="AA1446" i="2" a="1"/>
  <c r="AA1446" i="2" s="1"/>
  <c r="AA1447" i="2" a="1"/>
  <c r="AA1447" i="2" s="1"/>
  <c r="AA1448" i="2" a="1"/>
  <c r="AA1448" i="2" s="1"/>
  <c r="AA1449" i="2" a="1"/>
  <c r="AA1449" i="2" s="1"/>
  <c r="AA1450" i="2" a="1"/>
  <c r="AA1450" i="2" s="1"/>
  <c r="AA1451" i="2" a="1"/>
  <c r="AA1451" i="2" s="1"/>
  <c r="AA1452" i="2" a="1"/>
  <c r="AA1452" i="2" s="1"/>
  <c r="AA1453" i="2" a="1"/>
  <c r="AA1453" i="2" s="1"/>
  <c r="AA1454" i="2" a="1"/>
  <c r="AA1454" i="2" s="1"/>
  <c r="AA1455" i="2" a="1"/>
  <c r="AA1455" i="2" s="1"/>
  <c r="AA1456" i="2" a="1"/>
  <c r="AA1456" i="2" s="1"/>
  <c r="AA1457" i="2" a="1"/>
  <c r="AA1457" i="2" s="1"/>
  <c r="AA1458" i="2" a="1"/>
  <c r="AA1458" i="2" s="1"/>
  <c r="AA1459" i="2" a="1"/>
  <c r="AA1459" i="2" s="1"/>
  <c r="AA1460" i="2" a="1"/>
  <c r="AA1460" i="2" s="1"/>
  <c r="AA1461" i="2" a="1"/>
  <c r="AA1461" i="2" s="1"/>
  <c r="AA1462" i="2" a="1"/>
  <c r="AA1462" i="2" s="1"/>
  <c r="AA1463" i="2" a="1"/>
  <c r="AA1463" i="2" s="1"/>
  <c r="AA1464" i="2" a="1"/>
  <c r="AA1464" i="2" s="1"/>
  <c r="AA1465" i="2" a="1"/>
  <c r="AA1465" i="2" s="1"/>
  <c r="AA1466" i="2" a="1"/>
  <c r="AA1466" i="2" s="1"/>
  <c r="AA1467" i="2" a="1"/>
  <c r="AA1467" i="2" s="1"/>
  <c r="AA1468" i="2" a="1"/>
  <c r="AA1468" i="2" s="1"/>
  <c r="AA1469" i="2" a="1"/>
  <c r="AA1469" i="2" s="1"/>
  <c r="AA1470" i="2" a="1"/>
  <c r="AA1470" i="2" s="1"/>
  <c r="AA1471" i="2" a="1"/>
  <c r="AA1471" i="2" s="1"/>
  <c r="AA2" i="2" a="1"/>
  <c r="AA2" i="2" s="1"/>
  <c r="A15" i="3" a="1"/>
  <c r="A15" i="3" s="1"/>
  <c r="E15" i="3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L418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4" i="2"/>
  <c r="L754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2" i="2"/>
  <c r="L762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0" i="2"/>
  <c r="L770" i="2" s="1"/>
  <c r="K771" i="2"/>
  <c r="L771" i="2" s="1"/>
  <c r="K772" i="2"/>
  <c r="L772" i="2" s="1"/>
  <c r="K773" i="2"/>
  <c r="L773" i="2" s="1"/>
  <c r="K774" i="2"/>
  <c r="L774" i="2" s="1"/>
  <c r="K775" i="2"/>
  <c r="L775" i="2" s="1"/>
  <c r="K776" i="2"/>
  <c r="L776" i="2" s="1"/>
  <c r="K777" i="2"/>
  <c r="L777" i="2" s="1"/>
  <c r="K778" i="2"/>
  <c r="L778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L784" i="2" s="1"/>
  <c r="K785" i="2"/>
  <c r="L785" i="2" s="1"/>
  <c r="K786" i="2"/>
  <c r="L786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4" i="2"/>
  <c r="L794" i="2" s="1"/>
  <c r="K795" i="2"/>
  <c r="L795" i="2" s="1"/>
  <c r="K796" i="2"/>
  <c r="L796" i="2" s="1"/>
  <c r="K797" i="2"/>
  <c r="L797" i="2" s="1"/>
  <c r="K798" i="2"/>
  <c r="L798" i="2" s="1"/>
  <c r="K799" i="2"/>
  <c r="L799" i="2" s="1"/>
  <c r="K800" i="2"/>
  <c r="L800" i="2" s="1"/>
  <c r="K801" i="2"/>
  <c r="L801" i="2" s="1"/>
  <c r="K802" i="2"/>
  <c r="L802" i="2" s="1"/>
  <c r="K803" i="2"/>
  <c r="L803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L813" i="2" s="1"/>
  <c r="K814" i="2"/>
  <c r="L814" i="2" s="1"/>
  <c r="K815" i="2"/>
  <c r="L815" i="2" s="1"/>
  <c r="K816" i="2"/>
  <c r="L816" i="2" s="1"/>
  <c r="K817" i="2"/>
  <c r="L817" i="2" s="1"/>
  <c r="K818" i="2"/>
  <c r="L818" i="2" s="1"/>
  <c r="K819" i="2"/>
  <c r="L819" i="2" s="1"/>
  <c r="K820" i="2"/>
  <c r="L820" i="2" s="1"/>
  <c r="K821" i="2"/>
  <c r="L821" i="2" s="1"/>
  <c r="K822" i="2"/>
  <c r="L822" i="2" s="1"/>
  <c r="K823" i="2"/>
  <c r="L823" i="2" s="1"/>
  <c r="K824" i="2"/>
  <c r="L824" i="2" s="1"/>
  <c r="K825" i="2"/>
  <c r="L825" i="2" s="1"/>
  <c r="K826" i="2"/>
  <c r="L826" i="2" s="1"/>
  <c r="K827" i="2"/>
  <c r="L827" i="2" s="1"/>
  <c r="K828" i="2"/>
  <c r="L828" i="2" s="1"/>
  <c r="K829" i="2"/>
  <c r="L829" i="2" s="1"/>
  <c r="K830" i="2"/>
  <c r="L830" i="2" s="1"/>
  <c r="K831" i="2"/>
  <c r="L831" i="2" s="1"/>
  <c r="K832" i="2"/>
  <c r="L832" i="2" s="1"/>
  <c r="K833" i="2"/>
  <c r="L833" i="2" s="1"/>
  <c r="K834" i="2"/>
  <c r="L834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2" i="2"/>
  <c r="L842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850" i="2"/>
  <c r="L850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8" i="2"/>
  <c r="L858" i="2" s="1"/>
  <c r="K859" i="2"/>
  <c r="L859" i="2" s="1"/>
  <c r="K860" i="2"/>
  <c r="L860" i="2" s="1"/>
  <c r="K861" i="2"/>
  <c r="L861" i="2" s="1"/>
  <c r="K862" i="2"/>
  <c r="L862" i="2" s="1"/>
  <c r="K863" i="2"/>
  <c r="L863" i="2" s="1"/>
  <c r="K864" i="2"/>
  <c r="L864" i="2" s="1"/>
  <c r="K865" i="2"/>
  <c r="L865" i="2" s="1"/>
  <c r="K866" i="2"/>
  <c r="L866" i="2" s="1"/>
  <c r="K867" i="2"/>
  <c r="L867" i="2" s="1"/>
  <c r="K868" i="2"/>
  <c r="L868" i="2" s="1"/>
  <c r="K869" i="2"/>
  <c r="L869" i="2" s="1"/>
  <c r="K870" i="2"/>
  <c r="L870" i="2" s="1"/>
  <c r="K871" i="2"/>
  <c r="L871" i="2" s="1"/>
  <c r="K872" i="2"/>
  <c r="L872" i="2" s="1"/>
  <c r="K873" i="2"/>
  <c r="L873" i="2" s="1"/>
  <c r="K874" i="2"/>
  <c r="L874" i="2" s="1"/>
  <c r="K875" i="2"/>
  <c r="L875" i="2" s="1"/>
  <c r="K876" i="2"/>
  <c r="L876" i="2" s="1"/>
  <c r="K877" i="2"/>
  <c r="L877" i="2" s="1"/>
  <c r="K878" i="2"/>
  <c r="L878" i="2" s="1"/>
  <c r="K879" i="2"/>
  <c r="L879" i="2" s="1"/>
  <c r="K880" i="2"/>
  <c r="L880" i="2" s="1"/>
  <c r="K881" i="2"/>
  <c r="L881" i="2" s="1"/>
  <c r="K882" i="2"/>
  <c r="L882" i="2" s="1"/>
  <c r="K883" i="2"/>
  <c r="L883" i="2" s="1"/>
  <c r="K884" i="2"/>
  <c r="L884" i="2" s="1"/>
  <c r="K885" i="2"/>
  <c r="L885" i="2" s="1"/>
  <c r="K886" i="2"/>
  <c r="L886" i="2" s="1"/>
  <c r="K887" i="2"/>
  <c r="L887" i="2" s="1"/>
  <c r="K888" i="2"/>
  <c r="L888" i="2" s="1"/>
  <c r="K889" i="2"/>
  <c r="L889" i="2" s="1"/>
  <c r="K890" i="2"/>
  <c r="L890" i="2" s="1"/>
  <c r="K891" i="2"/>
  <c r="L891" i="2" s="1"/>
  <c r="K892" i="2"/>
  <c r="L892" i="2" s="1"/>
  <c r="K893" i="2"/>
  <c r="L893" i="2" s="1"/>
  <c r="K894" i="2"/>
  <c r="L894" i="2" s="1"/>
  <c r="K895" i="2"/>
  <c r="L895" i="2" s="1"/>
  <c r="K896" i="2"/>
  <c r="L896" i="2" s="1"/>
  <c r="K897" i="2"/>
  <c r="L897" i="2" s="1"/>
  <c r="K898" i="2"/>
  <c r="L898" i="2" s="1"/>
  <c r="K899" i="2"/>
  <c r="L899" i="2" s="1"/>
  <c r="K900" i="2"/>
  <c r="L900" i="2" s="1"/>
  <c r="K901" i="2"/>
  <c r="L901" i="2" s="1"/>
  <c r="K902" i="2"/>
  <c r="L902" i="2" s="1"/>
  <c r="K903" i="2"/>
  <c r="L903" i="2" s="1"/>
  <c r="K904" i="2"/>
  <c r="L904" i="2" s="1"/>
  <c r="K905" i="2"/>
  <c r="L905" i="2" s="1"/>
  <c r="K906" i="2"/>
  <c r="L906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913" i="2"/>
  <c r="L913" i="2" s="1"/>
  <c r="K914" i="2"/>
  <c r="L914" i="2" s="1"/>
  <c r="K915" i="2"/>
  <c r="L915" i="2" s="1"/>
  <c r="K916" i="2"/>
  <c r="L916" i="2" s="1"/>
  <c r="K917" i="2"/>
  <c r="L917" i="2" s="1"/>
  <c r="K918" i="2"/>
  <c r="L918" i="2" s="1"/>
  <c r="K919" i="2"/>
  <c r="L919" i="2" s="1"/>
  <c r="K920" i="2"/>
  <c r="L920" i="2" s="1"/>
  <c r="K921" i="2"/>
  <c r="L921" i="2" s="1"/>
  <c r="K922" i="2"/>
  <c r="L922" i="2" s="1"/>
  <c r="K923" i="2"/>
  <c r="L923" i="2" s="1"/>
  <c r="K924" i="2"/>
  <c r="L924" i="2" s="1"/>
  <c r="K925" i="2"/>
  <c r="L925" i="2" s="1"/>
  <c r="K926" i="2"/>
  <c r="L926" i="2" s="1"/>
  <c r="K927" i="2"/>
  <c r="L927" i="2" s="1"/>
  <c r="K928" i="2"/>
  <c r="L928" i="2" s="1"/>
  <c r="K929" i="2"/>
  <c r="L929" i="2" s="1"/>
  <c r="K930" i="2"/>
  <c r="L930" i="2" s="1"/>
  <c r="K931" i="2"/>
  <c r="L931" i="2" s="1"/>
  <c r="K932" i="2"/>
  <c r="L932" i="2" s="1"/>
  <c r="K933" i="2"/>
  <c r="L933" i="2" s="1"/>
  <c r="K934" i="2"/>
  <c r="L934" i="2" s="1"/>
  <c r="K935" i="2"/>
  <c r="L935" i="2" s="1"/>
  <c r="K936" i="2"/>
  <c r="L936" i="2" s="1"/>
  <c r="K937" i="2"/>
  <c r="L937" i="2" s="1"/>
  <c r="K938" i="2"/>
  <c r="L938" i="2" s="1"/>
  <c r="K939" i="2"/>
  <c r="L939" i="2" s="1"/>
  <c r="K940" i="2"/>
  <c r="L940" i="2" s="1"/>
  <c r="K941" i="2"/>
  <c r="L941" i="2" s="1"/>
  <c r="K942" i="2"/>
  <c r="L942" i="2" s="1"/>
  <c r="K943" i="2"/>
  <c r="L943" i="2" s="1"/>
  <c r="K944" i="2"/>
  <c r="L944" i="2" s="1"/>
  <c r="K945" i="2"/>
  <c r="L945" i="2" s="1"/>
  <c r="K946" i="2"/>
  <c r="L946" i="2" s="1"/>
  <c r="K947" i="2"/>
  <c r="L947" i="2" s="1"/>
  <c r="K948" i="2"/>
  <c r="L948" i="2" s="1"/>
  <c r="K949" i="2"/>
  <c r="L949" i="2" s="1"/>
  <c r="K950" i="2"/>
  <c r="L950" i="2" s="1"/>
  <c r="K951" i="2"/>
  <c r="L951" i="2" s="1"/>
  <c r="K952" i="2"/>
  <c r="L952" i="2" s="1"/>
  <c r="K953" i="2"/>
  <c r="L953" i="2" s="1"/>
  <c r="K954" i="2"/>
  <c r="L954" i="2" s="1"/>
  <c r="K955" i="2"/>
  <c r="L955" i="2" s="1"/>
  <c r="K956" i="2"/>
  <c r="L956" i="2" s="1"/>
  <c r="K957" i="2"/>
  <c r="L957" i="2" s="1"/>
  <c r="K958" i="2"/>
  <c r="L958" i="2" s="1"/>
  <c r="K959" i="2"/>
  <c r="L959" i="2" s="1"/>
  <c r="K960" i="2"/>
  <c r="L960" i="2" s="1"/>
  <c r="K961" i="2"/>
  <c r="L961" i="2" s="1"/>
  <c r="K962" i="2"/>
  <c r="L962" i="2" s="1"/>
  <c r="K963" i="2"/>
  <c r="L963" i="2" s="1"/>
  <c r="K964" i="2"/>
  <c r="L964" i="2" s="1"/>
  <c r="K965" i="2"/>
  <c r="L965" i="2" s="1"/>
  <c r="K966" i="2"/>
  <c r="L966" i="2" s="1"/>
  <c r="K967" i="2"/>
  <c r="L967" i="2" s="1"/>
  <c r="K968" i="2"/>
  <c r="L968" i="2" s="1"/>
  <c r="K969" i="2"/>
  <c r="L969" i="2" s="1"/>
  <c r="K970" i="2"/>
  <c r="L970" i="2" s="1"/>
  <c r="K971" i="2"/>
  <c r="L971" i="2" s="1"/>
  <c r="K972" i="2"/>
  <c r="L972" i="2" s="1"/>
  <c r="K973" i="2"/>
  <c r="L973" i="2" s="1"/>
  <c r="K974" i="2"/>
  <c r="L974" i="2" s="1"/>
  <c r="K975" i="2"/>
  <c r="L975" i="2" s="1"/>
  <c r="K976" i="2"/>
  <c r="L976" i="2" s="1"/>
  <c r="K977" i="2"/>
  <c r="L977" i="2" s="1"/>
  <c r="K978" i="2"/>
  <c r="L978" i="2" s="1"/>
  <c r="K979" i="2"/>
  <c r="L979" i="2" s="1"/>
  <c r="K980" i="2"/>
  <c r="L980" i="2" s="1"/>
  <c r="K981" i="2"/>
  <c r="L981" i="2" s="1"/>
  <c r="K982" i="2"/>
  <c r="L982" i="2" s="1"/>
  <c r="K983" i="2"/>
  <c r="L983" i="2" s="1"/>
  <c r="K984" i="2"/>
  <c r="L984" i="2" s="1"/>
  <c r="K985" i="2"/>
  <c r="L985" i="2" s="1"/>
  <c r="K986" i="2"/>
  <c r="L986" i="2" s="1"/>
  <c r="K987" i="2"/>
  <c r="L987" i="2" s="1"/>
  <c r="K988" i="2"/>
  <c r="L988" i="2" s="1"/>
  <c r="K989" i="2"/>
  <c r="L989" i="2" s="1"/>
  <c r="K990" i="2"/>
  <c r="L990" i="2" s="1"/>
  <c r="K991" i="2"/>
  <c r="L991" i="2" s="1"/>
  <c r="K992" i="2"/>
  <c r="L992" i="2" s="1"/>
  <c r="K993" i="2"/>
  <c r="L993" i="2" s="1"/>
  <c r="K994" i="2"/>
  <c r="L994" i="2" s="1"/>
  <c r="K995" i="2"/>
  <c r="L995" i="2" s="1"/>
  <c r="K996" i="2"/>
  <c r="L996" i="2" s="1"/>
  <c r="K997" i="2"/>
  <c r="L997" i="2" s="1"/>
  <c r="K998" i="2"/>
  <c r="L998" i="2" s="1"/>
  <c r="K999" i="2"/>
  <c r="L999" i="2" s="1"/>
  <c r="K1000" i="2"/>
  <c r="L1000" i="2" s="1"/>
  <c r="K1001" i="2"/>
  <c r="L1001" i="2" s="1"/>
  <c r="K1002" i="2"/>
  <c r="L1002" i="2" s="1"/>
  <c r="K1003" i="2"/>
  <c r="L1003" i="2" s="1"/>
  <c r="K1004" i="2"/>
  <c r="L1004" i="2" s="1"/>
  <c r="K1005" i="2"/>
  <c r="L1005" i="2" s="1"/>
  <c r="K1006" i="2"/>
  <c r="L1006" i="2" s="1"/>
  <c r="K1007" i="2"/>
  <c r="L1007" i="2" s="1"/>
  <c r="K1008" i="2"/>
  <c r="L1008" i="2" s="1"/>
  <c r="K1009" i="2"/>
  <c r="L1009" i="2" s="1"/>
  <c r="K1010" i="2"/>
  <c r="L1010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8" i="2"/>
  <c r="L1018" i="2" s="1"/>
  <c r="K1019" i="2"/>
  <c r="L1019" i="2" s="1"/>
  <c r="K1020" i="2"/>
  <c r="L1020" i="2" s="1"/>
  <c r="K1021" i="2"/>
  <c r="L1021" i="2" s="1"/>
  <c r="K1022" i="2"/>
  <c r="L1022" i="2" s="1"/>
  <c r="K1023" i="2"/>
  <c r="L1023" i="2" s="1"/>
  <c r="K1024" i="2"/>
  <c r="L1024" i="2" s="1"/>
  <c r="K1025" i="2"/>
  <c r="L1025" i="2" s="1"/>
  <c r="K1026" i="2"/>
  <c r="L1026" i="2" s="1"/>
  <c r="K1027" i="2"/>
  <c r="L1027" i="2" s="1"/>
  <c r="K1028" i="2"/>
  <c r="L1028" i="2" s="1"/>
  <c r="K1029" i="2"/>
  <c r="L1029" i="2" s="1"/>
  <c r="K1030" i="2"/>
  <c r="L1030" i="2" s="1"/>
  <c r="K1031" i="2"/>
  <c r="L1031" i="2" s="1"/>
  <c r="K1032" i="2"/>
  <c r="L1032" i="2" s="1"/>
  <c r="K1033" i="2"/>
  <c r="L1033" i="2" s="1"/>
  <c r="K1034" i="2"/>
  <c r="L1034" i="2" s="1"/>
  <c r="K1035" i="2"/>
  <c r="L1035" i="2" s="1"/>
  <c r="K1036" i="2"/>
  <c r="L1036" i="2" s="1"/>
  <c r="K1037" i="2"/>
  <c r="L1037" i="2" s="1"/>
  <c r="K1038" i="2"/>
  <c r="L1038" i="2" s="1"/>
  <c r="K1039" i="2"/>
  <c r="L1039" i="2" s="1"/>
  <c r="K1040" i="2"/>
  <c r="L1040" i="2" s="1"/>
  <c r="K1041" i="2"/>
  <c r="L1041" i="2" s="1"/>
  <c r="K1042" i="2"/>
  <c r="L1042" i="2" s="1"/>
  <c r="K1043" i="2"/>
  <c r="L1043" i="2" s="1"/>
  <c r="K1044" i="2"/>
  <c r="L1044" i="2" s="1"/>
  <c r="K1045" i="2"/>
  <c r="L1045" i="2" s="1"/>
  <c r="K1046" i="2"/>
  <c r="L1046" i="2" s="1"/>
  <c r="K1047" i="2"/>
  <c r="L1047" i="2" s="1"/>
  <c r="K1048" i="2"/>
  <c r="L1048" i="2" s="1"/>
  <c r="K1049" i="2"/>
  <c r="L1049" i="2" s="1"/>
  <c r="K1050" i="2"/>
  <c r="L1050" i="2" s="1"/>
  <c r="K1051" i="2"/>
  <c r="L1051" i="2" s="1"/>
  <c r="K1052" i="2"/>
  <c r="L1052" i="2" s="1"/>
  <c r="K1053" i="2"/>
  <c r="L1053" i="2" s="1"/>
  <c r="K1054" i="2"/>
  <c r="L1054" i="2" s="1"/>
  <c r="K1055" i="2"/>
  <c r="L1055" i="2" s="1"/>
  <c r="K1056" i="2"/>
  <c r="L1056" i="2" s="1"/>
  <c r="K1057" i="2"/>
  <c r="L1057" i="2" s="1"/>
  <c r="K1058" i="2"/>
  <c r="L1058" i="2" s="1"/>
  <c r="K1059" i="2"/>
  <c r="L1059" i="2" s="1"/>
  <c r="K1060" i="2"/>
  <c r="L1060" i="2" s="1"/>
  <c r="K1061" i="2"/>
  <c r="L1061" i="2" s="1"/>
  <c r="K1062" i="2"/>
  <c r="L1062" i="2" s="1"/>
  <c r="K1063" i="2"/>
  <c r="L1063" i="2" s="1"/>
  <c r="K1064" i="2"/>
  <c r="L1064" i="2" s="1"/>
  <c r="K1065" i="2"/>
  <c r="L1065" i="2" s="1"/>
  <c r="K1066" i="2"/>
  <c r="L1066" i="2" s="1"/>
  <c r="K1067" i="2"/>
  <c r="L1067" i="2" s="1"/>
  <c r="K1068" i="2"/>
  <c r="L1068" i="2" s="1"/>
  <c r="K1069" i="2"/>
  <c r="L1069" i="2" s="1"/>
  <c r="K1070" i="2"/>
  <c r="L1070" i="2" s="1"/>
  <c r="K1071" i="2"/>
  <c r="L1071" i="2" s="1"/>
  <c r="K1072" i="2"/>
  <c r="L1072" i="2" s="1"/>
  <c r="K1073" i="2"/>
  <c r="L1073" i="2" s="1"/>
  <c r="K1074" i="2"/>
  <c r="L1074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2" i="2"/>
  <c r="L1082" i="2" s="1"/>
  <c r="K1083" i="2"/>
  <c r="L1083" i="2" s="1"/>
  <c r="K1084" i="2"/>
  <c r="L1084" i="2" s="1"/>
  <c r="K1085" i="2"/>
  <c r="L1085" i="2" s="1"/>
  <c r="K1086" i="2"/>
  <c r="L1086" i="2" s="1"/>
  <c r="K1087" i="2"/>
  <c r="L1087" i="2" s="1"/>
  <c r="K1088" i="2"/>
  <c r="L1088" i="2" s="1"/>
  <c r="K1089" i="2"/>
  <c r="L1089" i="2" s="1"/>
  <c r="K1090" i="2"/>
  <c r="L1090" i="2" s="1"/>
  <c r="K1091" i="2"/>
  <c r="L1091" i="2" s="1"/>
  <c r="K1092" i="2"/>
  <c r="L1092" i="2" s="1"/>
  <c r="K1093" i="2"/>
  <c r="L1093" i="2" s="1"/>
  <c r="K1094" i="2"/>
  <c r="L1094" i="2" s="1"/>
  <c r="K1095" i="2"/>
  <c r="L1095" i="2" s="1"/>
  <c r="K1096" i="2"/>
  <c r="L1096" i="2" s="1"/>
  <c r="K1097" i="2"/>
  <c r="L1097" i="2" s="1"/>
  <c r="K1098" i="2"/>
  <c r="L1098" i="2" s="1"/>
  <c r="K1099" i="2"/>
  <c r="L1099" i="2" s="1"/>
  <c r="K1100" i="2"/>
  <c r="L1100" i="2" s="1"/>
  <c r="K1101" i="2"/>
  <c r="L1101" i="2" s="1"/>
  <c r="K1102" i="2"/>
  <c r="L1102" i="2" s="1"/>
  <c r="K1103" i="2"/>
  <c r="L1103" i="2" s="1"/>
  <c r="K1104" i="2"/>
  <c r="L1104" i="2" s="1"/>
  <c r="K1105" i="2"/>
  <c r="L1105" i="2" s="1"/>
  <c r="K1106" i="2"/>
  <c r="L1106" i="2" s="1"/>
  <c r="K1107" i="2"/>
  <c r="L1107" i="2" s="1"/>
  <c r="K1108" i="2"/>
  <c r="L1108" i="2" s="1"/>
  <c r="K1109" i="2"/>
  <c r="L1109" i="2" s="1"/>
  <c r="K1110" i="2"/>
  <c r="L1110" i="2" s="1"/>
  <c r="K1111" i="2"/>
  <c r="L1111" i="2" s="1"/>
  <c r="K1112" i="2"/>
  <c r="L1112" i="2" s="1"/>
  <c r="K1113" i="2"/>
  <c r="L1113" i="2" s="1"/>
  <c r="K1114" i="2"/>
  <c r="L1114" i="2" s="1"/>
  <c r="K1115" i="2"/>
  <c r="L1115" i="2" s="1"/>
  <c r="K1116" i="2"/>
  <c r="L1116" i="2" s="1"/>
  <c r="K1117" i="2"/>
  <c r="L1117" i="2" s="1"/>
  <c r="K1118" i="2"/>
  <c r="L1118" i="2" s="1"/>
  <c r="K1119" i="2"/>
  <c r="L1119" i="2" s="1"/>
  <c r="K1120" i="2"/>
  <c r="L1120" i="2" s="1"/>
  <c r="K1121" i="2"/>
  <c r="L1121" i="2" s="1"/>
  <c r="K1122" i="2"/>
  <c r="L1122" i="2" s="1"/>
  <c r="K1123" i="2"/>
  <c r="L1123" i="2" s="1"/>
  <c r="K1124" i="2"/>
  <c r="L1124" i="2" s="1"/>
  <c r="K1125" i="2"/>
  <c r="L1125" i="2" s="1"/>
  <c r="K1126" i="2"/>
  <c r="L1126" i="2" s="1"/>
  <c r="K1127" i="2"/>
  <c r="L1127" i="2" s="1"/>
  <c r="K1128" i="2"/>
  <c r="L1128" i="2" s="1"/>
  <c r="K1129" i="2"/>
  <c r="L1129" i="2" s="1"/>
  <c r="K1130" i="2"/>
  <c r="L1130" i="2" s="1"/>
  <c r="K1131" i="2"/>
  <c r="L1131" i="2" s="1"/>
  <c r="K1132" i="2"/>
  <c r="L1132" i="2" s="1"/>
  <c r="K1133" i="2"/>
  <c r="L1133" i="2" s="1"/>
  <c r="K1134" i="2"/>
  <c r="L1134" i="2" s="1"/>
  <c r="K1135" i="2"/>
  <c r="L1135" i="2" s="1"/>
  <c r="K1136" i="2"/>
  <c r="L1136" i="2" s="1"/>
  <c r="K1137" i="2"/>
  <c r="L1137" i="2" s="1"/>
  <c r="K1138" i="2"/>
  <c r="L1138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6" i="2"/>
  <c r="L1146" i="2" s="1"/>
  <c r="K1147" i="2"/>
  <c r="L1147" i="2" s="1"/>
  <c r="K1148" i="2"/>
  <c r="L1148" i="2" s="1"/>
  <c r="K1149" i="2"/>
  <c r="L1149" i="2" s="1"/>
  <c r="K1150" i="2"/>
  <c r="L1150" i="2" s="1"/>
  <c r="K1151" i="2"/>
  <c r="L1151" i="2" s="1"/>
  <c r="K1152" i="2"/>
  <c r="L1152" i="2" s="1"/>
  <c r="K1153" i="2"/>
  <c r="L1153" i="2" s="1"/>
  <c r="K1154" i="2"/>
  <c r="L1154" i="2" s="1"/>
  <c r="K1155" i="2"/>
  <c r="L1155" i="2" s="1"/>
  <c r="K1156" i="2"/>
  <c r="L1156" i="2" s="1"/>
  <c r="K1157" i="2"/>
  <c r="L1157" i="2" s="1"/>
  <c r="K1158" i="2"/>
  <c r="L1158" i="2" s="1"/>
  <c r="K1159" i="2"/>
  <c r="L1159" i="2" s="1"/>
  <c r="K1160" i="2"/>
  <c r="L1160" i="2" s="1"/>
  <c r="K1161" i="2"/>
  <c r="L1161" i="2" s="1"/>
  <c r="K1162" i="2"/>
  <c r="L1162" i="2" s="1"/>
  <c r="K1163" i="2"/>
  <c r="L1163" i="2" s="1"/>
  <c r="K1164" i="2"/>
  <c r="L1164" i="2" s="1"/>
  <c r="K1165" i="2"/>
  <c r="L1165" i="2" s="1"/>
  <c r="K1166" i="2"/>
  <c r="L1166" i="2" s="1"/>
  <c r="K1167" i="2"/>
  <c r="L1167" i="2" s="1"/>
  <c r="K1168" i="2"/>
  <c r="L1168" i="2" s="1"/>
  <c r="K1169" i="2"/>
  <c r="L1169" i="2" s="1"/>
  <c r="K1170" i="2"/>
  <c r="L1170" i="2" s="1"/>
  <c r="K1171" i="2"/>
  <c r="L1171" i="2" s="1"/>
  <c r="K1172" i="2"/>
  <c r="L1172" i="2" s="1"/>
  <c r="K1173" i="2"/>
  <c r="L1173" i="2" s="1"/>
  <c r="K1174" i="2"/>
  <c r="L1174" i="2" s="1"/>
  <c r="K1175" i="2"/>
  <c r="L1175" i="2" s="1"/>
  <c r="K1176" i="2"/>
  <c r="L1176" i="2" s="1"/>
  <c r="K1177" i="2"/>
  <c r="L1177" i="2" s="1"/>
  <c r="K1178" i="2"/>
  <c r="L1178" i="2" s="1"/>
  <c r="K1179" i="2"/>
  <c r="L1179" i="2" s="1"/>
  <c r="K1180" i="2"/>
  <c r="L1180" i="2" s="1"/>
  <c r="K1181" i="2"/>
  <c r="L1181" i="2" s="1"/>
  <c r="K1182" i="2"/>
  <c r="L1182" i="2" s="1"/>
  <c r="K1183" i="2"/>
  <c r="L1183" i="2" s="1"/>
  <c r="K1184" i="2"/>
  <c r="L1184" i="2" s="1"/>
  <c r="K1185" i="2"/>
  <c r="L1185" i="2" s="1"/>
  <c r="K1186" i="2"/>
  <c r="L1186" i="2" s="1"/>
  <c r="K1187" i="2"/>
  <c r="L1187" i="2" s="1"/>
  <c r="K1188" i="2"/>
  <c r="L1188" i="2" s="1"/>
  <c r="K1189" i="2"/>
  <c r="L1189" i="2" s="1"/>
  <c r="K1190" i="2"/>
  <c r="L1190" i="2" s="1"/>
  <c r="K1191" i="2"/>
  <c r="L1191" i="2" s="1"/>
  <c r="K1192" i="2"/>
  <c r="L1192" i="2" s="1"/>
  <c r="K1193" i="2"/>
  <c r="L1193" i="2" s="1"/>
  <c r="K1194" i="2"/>
  <c r="L1194" i="2" s="1"/>
  <c r="K1195" i="2"/>
  <c r="L1195" i="2" s="1"/>
  <c r="K1196" i="2"/>
  <c r="L1196" i="2" s="1"/>
  <c r="K1197" i="2"/>
  <c r="L1197" i="2" s="1"/>
  <c r="K1198" i="2"/>
  <c r="L1198" i="2" s="1"/>
  <c r="K1199" i="2"/>
  <c r="L1199" i="2" s="1"/>
  <c r="K1200" i="2"/>
  <c r="L1200" i="2" s="1"/>
  <c r="K1201" i="2"/>
  <c r="L1201" i="2" s="1"/>
  <c r="K1202" i="2"/>
  <c r="L1202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0" i="2"/>
  <c r="L1210" i="2" s="1"/>
  <c r="K1211" i="2"/>
  <c r="L1211" i="2" s="1"/>
  <c r="K1212" i="2"/>
  <c r="L1212" i="2" s="1"/>
  <c r="K1213" i="2"/>
  <c r="L1213" i="2" s="1"/>
  <c r="K1214" i="2"/>
  <c r="L1214" i="2" s="1"/>
  <c r="K1215" i="2"/>
  <c r="L1215" i="2" s="1"/>
  <c r="K1216" i="2"/>
  <c r="L1216" i="2" s="1"/>
  <c r="K1217" i="2"/>
  <c r="L1217" i="2" s="1"/>
  <c r="K1218" i="2"/>
  <c r="L1218" i="2" s="1"/>
  <c r="K1219" i="2"/>
  <c r="L1219" i="2" s="1"/>
  <c r="K1220" i="2"/>
  <c r="L1220" i="2" s="1"/>
  <c r="K1221" i="2"/>
  <c r="L1221" i="2" s="1"/>
  <c r="K1222" i="2"/>
  <c r="L1222" i="2" s="1"/>
  <c r="K1223" i="2"/>
  <c r="L1223" i="2" s="1"/>
  <c r="K1224" i="2"/>
  <c r="L1224" i="2" s="1"/>
  <c r="K1225" i="2"/>
  <c r="L1225" i="2" s="1"/>
  <c r="K1226" i="2"/>
  <c r="L1226" i="2" s="1"/>
  <c r="K1227" i="2"/>
  <c r="L1227" i="2" s="1"/>
  <c r="K1228" i="2"/>
  <c r="L1228" i="2" s="1"/>
  <c r="K1229" i="2"/>
  <c r="L1229" i="2" s="1"/>
  <c r="K1230" i="2"/>
  <c r="L1230" i="2" s="1"/>
  <c r="K1231" i="2"/>
  <c r="L1231" i="2" s="1"/>
  <c r="K1232" i="2"/>
  <c r="L1232" i="2" s="1"/>
  <c r="K1233" i="2"/>
  <c r="L1233" i="2" s="1"/>
  <c r="K1234" i="2"/>
  <c r="L1234" i="2" s="1"/>
  <c r="K1235" i="2"/>
  <c r="L1235" i="2" s="1"/>
  <c r="K1236" i="2"/>
  <c r="L1236" i="2" s="1"/>
  <c r="K1237" i="2"/>
  <c r="L1237" i="2" s="1"/>
  <c r="K1238" i="2"/>
  <c r="L1238" i="2" s="1"/>
  <c r="K1239" i="2"/>
  <c r="L1239" i="2" s="1"/>
  <c r="K1240" i="2"/>
  <c r="L1240" i="2" s="1"/>
  <c r="K1241" i="2"/>
  <c r="L1241" i="2" s="1"/>
  <c r="K1242" i="2"/>
  <c r="L1242" i="2" s="1"/>
  <c r="K1243" i="2"/>
  <c r="L1243" i="2" s="1"/>
  <c r="K1244" i="2"/>
  <c r="L1244" i="2" s="1"/>
  <c r="K1245" i="2"/>
  <c r="L1245" i="2" s="1"/>
  <c r="K1246" i="2"/>
  <c r="L1246" i="2" s="1"/>
  <c r="K1247" i="2"/>
  <c r="L1247" i="2" s="1"/>
  <c r="K1248" i="2"/>
  <c r="L1248" i="2" s="1"/>
  <c r="K1249" i="2"/>
  <c r="L1249" i="2" s="1"/>
  <c r="K1250" i="2"/>
  <c r="L1250" i="2" s="1"/>
  <c r="K1251" i="2"/>
  <c r="L1251" i="2" s="1"/>
  <c r="K1252" i="2"/>
  <c r="L1252" i="2" s="1"/>
  <c r="K1253" i="2"/>
  <c r="L1253" i="2" s="1"/>
  <c r="K1254" i="2"/>
  <c r="L1254" i="2" s="1"/>
  <c r="K1255" i="2"/>
  <c r="L1255" i="2" s="1"/>
  <c r="K1256" i="2"/>
  <c r="L1256" i="2" s="1"/>
  <c r="K1257" i="2"/>
  <c r="L1257" i="2" s="1"/>
  <c r="K1258" i="2"/>
  <c r="L1258" i="2" s="1"/>
  <c r="K1259" i="2"/>
  <c r="L1259" i="2" s="1"/>
  <c r="K1260" i="2"/>
  <c r="L1260" i="2" s="1"/>
  <c r="K1261" i="2"/>
  <c r="L1261" i="2" s="1"/>
  <c r="K1262" i="2"/>
  <c r="L1262" i="2" s="1"/>
  <c r="K1263" i="2"/>
  <c r="L1263" i="2" s="1"/>
  <c r="K1264" i="2"/>
  <c r="L1264" i="2" s="1"/>
  <c r="K1265" i="2"/>
  <c r="L1265" i="2" s="1"/>
  <c r="K1266" i="2"/>
  <c r="L1266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L1273" i="2" s="1"/>
  <c r="K1274" i="2"/>
  <c r="L1274" i="2" s="1"/>
  <c r="K1275" i="2"/>
  <c r="L1275" i="2" s="1"/>
  <c r="K1276" i="2"/>
  <c r="L1276" i="2" s="1"/>
  <c r="K1277" i="2"/>
  <c r="L1277" i="2" s="1"/>
  <c r="K1278" i="2"/>
  <c r="L1278" i="2" s="1"/>
  <c r="K1279" i="2"/>
  <c r="L1279" i="2" s="1"/>
  <c r="K1280" i="2"/>
  <c r="L1280" i="2" s="1"/>
  <c r="K1281" i="2"/>
  <c r="L1281" i="2" s="1"/>
  <c r="K1282" i="2"/>
  <c r="L1282" i="2" s="1"/>
  <c r="K1283" i="2"/>
  <c r="L1283" i="2" s="1"/>
  <c r="K1284" i="2"/>
  <c r="L1284" i="2" s="1"/>
  <c r="K1285" i="2"/>
  <c r="L1285" i="2" s="1"/>
  <c r="K1286" i="2"/>
  <c r="L1286" i="2" s="1"/>
  <c r="K1287" i="2"/>
  <c r="L1287" i="2" s="1"/>
  <c r="K1288" i="2"/>
  <c r="L1288" i="2" s="1"/>
  <c r="K1289" i="2"/>
  <c r="L1289" i="2" s="1"/>
  <c r="K1290" i="2"/>
  <c r="L1290" i="2" s="1"/>
  <c r="K1291" i="2"/>
  <c r="L1291" i="2" s="1"/>
  <c r="K1292" i="2"/>
  <c r="L1292" i="2" s="1"/>
  <c r="K1293" i="2"/>
  <c r="L1293" i="2" s="1"/>
  <c r="K1294" i="2"/>
  <c r="L1294" i="2" s="1"/>
  <c r="K1295" i="2"/>
  <c r="L1295" i="2" s="1"/>
  <c r="K1296" i="2"/>
  <c r="L1296" i="2" s="1"/>
  <c r="K1297" i="2"/>
  <c r="L1297" i="2" s="1"/>
  <c r="K1298" i="2"/>
  <c r="L1298" i="2" s="1"/>
  <c r="K1299" i="2"/>
  <c r="L1299" i="2" s="1"/>
  <c r="K1300" i="2"/>
  <c r="L1300" i="2" s="1"/>
  <c r="K1301" i="2"/>
  <c r="L1301" i="2" s="1"/>
  <c r="K1302" i="2"/>
  <c r="L1302" i="2" s="1"/>
  <c r="K1303" i="2"/>
  <c r="L1303" i="2" s="1"/>
  <c r="K1304" i="2"/>
  <c r="L1304" i="2" s="1"/>
  <c r="K1305" i="2"/>
  <c r="L1305" i="2" s="1"/>
  <c r="K1306" i="2"/>
  <c r="L1306" i="2" s="1"/>
  <c r="K1307" i="2"/>
  <c r="L1307" i="2" s="1"/>
  <c r="K1308" i="2"/>
  <c r="L1308" i="2" s="1"/>
  <c r="K1309" i="2"/>
  <c r="L1309" i="2" s="1"/>
  <c r="K1310" i="2"/>
  <c r="L1310" i="2" s="1"/>
  <c r="K1311" i="2"/>
  <c r="L1311" i="2" s="1"/>
  <c r="K1312" i="2"/>
  <c r="L1312" i="2" s="1"/>
  <c r="K1313" i="2"/>
  <c r="L1313" i="2" s="1"/>
  <c r="K1314" i="2"/>
  <c r="L1314" i="2" s="1"/>
  <c r="K1315" i="2"/>
  <c r="L1315" i="2" s="1"/>
  <c r="K1316" i="2"/>
  <c r="L1316" i="2" s="1"/>
  <c r="K1317" i="2"/>
  <c r="L1317" i="2" s="1"/>
  <c r="K1318" i="2"/>
  <c r="L1318" i="2" s="1"/>
  <c r="K1319" i="2"/>
  <c r="L1319" i="2" s="1"/>
  <c r="K1320" i="2"/>
  <c r="L1320" i="2" s="1"/>
  <c r="K1321" i="2"/>
  <c r="L1321" i="2" s="1"/>
  <c r="K1322" i="2"/>
  <c r="L1322" i="2" s="1"/>
  <c r="K1323" i="2"/>
  <c r="L1323" i="2" s="1"/>
  <c r="K1324" i="2"/>
  <c r="L1324" i="2" s="1"/>
  <c r="K1325" i="2"/>
  <c r="L1325" i="2" s="1"/>
  <c r="K1326" i="2"/>
  <c r="L1326" i="2" s="1"/>
  <c r="K1327" i="2"/>
  <c r="L1327" i="2" s="1"/>
  <c r="K1328" i="2"/>
  <c r="L1328" i="2" s="1"/>
  <c r="K1329" i="2"/>
  <c r="L1329" i="2" s="1"/>
  <c r="K1330" i="2"/>
  <c r="L1330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8" i="2"/>
  <c r="L1338" i="2" s="1"/>
  <c r="K1339" i="2"/>
  <c r="L1339" i="2" s="1"/>
  <c r="K1340" i="2"/>
  <c r="L1340" i="2" s="1"/>
  <c r="K1341" i="2"/>
  <c r="L1341" i="2" s="1"/>
  <c r="K1342" i="2"/>
  <c r="L1342" i="2" s="1"/>
  <c r="K1343" i="2"/>
  <c r="L1343" i="2" s="1"/>
  <c r="K1344" i="2"/>
  <c r="L1344" i="2" s="1"/>
  <c r="K1345" i="2"/>
  <c r="L1345" i="2" s="1"/>
  <c r="K1346" i="2"/>
  <c r="L1346" i="2" s="1"/>
  <c r="K1347" i="2"/>
  <c r="L1347" i="2" s="1"/>
  <c r="K1348" i="2"/>
  <c r="L1348" i="2" s="1"/>
  <c r="K1349" i="2"/>
  <c r="L1349" i="2" s="1"/>
  <c r="K1350" i="2"/>
  <c r="L1350" i="2" s="1"/>
  <c r="K1351" i="2"/>
  <c r="L1351" i="2" s="1"/>
  <c r="K1352" i="2"/>
  <c r="L1352" i="2" s="1"/>
  <c r="K1353" i="2"/>
  <c r="L1353" i="2" s="1"/>
  <c r="K1354" i="2"/>
  <c r="L1354" i="2" s="1"/>
  <c r="K1355" i="2"/>
  <c r="L1355" i="2" s="1"/>
  <c r="K1356" i="2"/>
  <c r="L1356" i="2" s="1"/>
  <c r="K1357" i="2"/>
  <c r="L1357" i="2" s="1"/>
  <c r="K1358" i="2"/>
  <c r="L1358" i="2" s="1"/>
  <c r="K1359" i="2"/>
  <c r="L1359" i="2" s="1"/>
  <c r="K1360" i="2"/>
  <c r="L1360" i="2" s="1"/>
  <c r="K1361" i="2"/>
  <c r="L1361" i="2" s="1"/>
  <c r="K1362" i="2"/>
  <c r="L1362" i="2" s="1"/>
  <c r="K1363" i="2"/>
  <c r="L1363" i="2" s="1"/>
  <c r="K1364" i="2"/>
  <c r="L1364" i="2" s="1"/>
  <c r="K1365" i="2"/>
  <c r="L1365" i="2" s="1"/>
  <c r="K1366" i="2"/>
  <c r="L1366" i="2" s="1"/>
  <c r="K1367" i="2"/>
  <c r="L1367" i="2" s="1"/>
  <c r="K1368" i="2"/>
  <c r="L1368" i="2" s="1"/>
  <c r="K1369" i="2"/>
  <c r="L1369" i="2" s="1"/>
  <c r="K1370" i="2"/>
  <c r="L1370" i="2" s="1"/>
  <c r="K1371" i="2"/>
  <c r="L1371" i="2" s="1"/>
  <c r="K1372" i="2"/>
  <c r="L1372" i="2" s="1"/>
  <c r="K1373" i="2"/>
  <c r="L1373" i="2" s="1"/>
  <c r="K1374" i="2"/>
  <c r="L1374" i="2" s="1"/>
  <c r="K1375" i="2"/>
  <c r="L1375" i="2" s="1"/>
  <c r="K1376" i="2"/>
  <c r="L1376" i="2" s="1"/>
  <c r="K1377" i="2"/>
  <c r="L1377" i="2" s="1"/>
  <c r="K1378" i="2"/>
  <c r="L1378" i="2" s="1"/>
  <c r="K1379" i="2"/>
  <c r="L1379" i="2" s="1"/>
  <c r="K1380" i="2"/>
  <c r="L1380" i="2" s="1"/>
  <c r="K1381" i="2"/>
  <c r="L1381" i="2" s="1"/>
  <c r="K1382" i="2"/>
  <c r="L1382" i="2" s="1"/>
  <c r="K1383" i="2"/>
  <c r="L1383" i="2" s="1"/>
  <c r="K1384" i="2"/>
  <c r="L1384" i="2" s="1"/>
  <c r="K1385" i="2"/>
  <c r="L1385" i="2" s="1"/>
  <c r="K1386" i="2"/>
  <c r="L1386" i="2" s="1"/>
  <c r="K1387" i="2"/>
  <c r="L1387" i="2" s="1"/>
  <c r="K1388" i="2"/>
  <c r="L1388" i="2" s="1"/>
  <c r="K1389" i="2"/>
  <c r="L1389" i="2" s="1"/>
  <c r="K1390" i="2"/>
  <c r="L1390" i="2" s="1"/>
  <c r="K1391" i="2"/>
  <c r="L1391" i="2" s="1"/>
  <c r="K1392" i="2"/>
  <c r="L1392" i="2" s="1"/>
  <c r="K1393" i="2"/>
  <c r="L1393" i="2" s="1"/>
  <c r="K1394" i="2"/>
  <c r="L1394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2" i="2"/>
  <c r="L1402" i="2" s="1"/>
  <c r="K1403" i="2"/>
  <c r="L1403" i="2" s="1"/>
  <c r="K1404" i="2"/>
  <c r="L1404" i="2" s="1"/>
  <c r="K1405" i="2"/>
  <c r="L1405" i="2" s="1"/>
  <c r="K1406" i="2"/>
  <c r="L1406" i="2" s="1"/>
  <c r="K1407" i="2"/>
  <c r="L1407" i="2" s="1"/>
  <c r="K1408" i="2"/>
  <c r="L1408" i="2" s="1"/>
  <c r="K1409" i="2"/>
  <c r="L1409" i="2" s="1"/>
  <c r="K1410" i="2"/>
  <c r="L1410" i="2" s="1"/>
  <c r="K1411" i="2"/>
  <c r="L1411" i="2" s="1"/>
  <c r="K1412" i="2"/>
  <c r="L1412" i="2" s="1"/>
  <c r="K1413" i="2"/>
  <c r="L1413" i="2" s="1"/>
  <c r="K1414" i="2"/>
  <c r="L1414" i="2" s="1"/>
  <c r="K1415" i="2"/>
  <c r="L1415" i="2" s="1"/>
  <c r="K1416" i="2"/>
  <c r="L1416" i="2" s="1"/>
  <c r="K1417" i="2"/>
  <c r="L1417" i="2" s="1"/>
  <c r="K1418" i="2"/>
  <c r="L1418" i="2" s="1"/>
  <c r="K1419" i="2"/>
  <c r="L1419" i="2" s="1"/>
  <c r="K1420" i="2"/>
  <c r="L1420" i="2" s="1"/>
  <c r="K1421" i="2"/>
  <c r="L1421" i="2" s="1"/>
  <c r="K1422" i="2"/>
  <c r="L1422" i="2" s="1"/>
  <c r="K1423" i="2"/>
  <c r="L1423" i="2" s="1"/>
  <c r="K1424" i="2"/>
  <c r="L1424" i="2" s="1"/>
  <c r="K1425" i="2"/>
  <c r="L1425" i="2" s="1"/>
  <c r="K1426" i="2"/>
  <c r="L1426" i="2" s="1"/>
  <c r="K1427" i="2"/>
  <c r="L1427" i="2" s="1"/>
  <c r="K1428" i="2"/>
  <c r="L1428" i="2" s="1"/>
  <c r="K1429" i="2"/>
  <c r="L1429" i="2" s="1"/>
  <c r="K1430" i="2"/>
  <c r="L1430" i="2" s="1"/>
  <c r="K1431" i="2"/>
  <c r="L1431" i="2" s="1"/>
  <c r="K1432" i="2"/>
  <c r="L1432" i="2" s="1"/>
  <c r="K1433" i="2"/>
  <c r="L1433" i="2" s="1"/>
  <c r="K1434" i="2"/>
  <c r="L1434" i="2" s="1"/>
  <c r="K1435" i="2"/>
  <c r="L1435" i="2" s="1"/>
  <c r="K1436" i="2"/>
  <c r="L1436" i="2" s="1"/>
  <c r="K1437" i="2"/>
  <c r="L1437" i="2" s="1"/>
  <c r="K1438" i="2"/>
  <c r="L1438" i="2" s="1"/>
  <c r="K1439" i="2"/>
  <c r="L1439" i="2" s="1"/>
  <c r="K1440" i="2"/>
  <c r="L1440" i="2" s="1"/>
  <c r="K1441" i="2"/>
  <c r="L1441" i="2" s="1"/>
  <c r="K1442" i="2"/>
  <c r="L1442" i="2" s="1"/>
  <c r="K1443" i="2"/>
  <c r="L1443" i="2" s="1"/>
  <c r="K1444" i="2"/>
  <c r="L1444" i="2" s="1"/>
  <c r="K1445" i="2"/>
  <c r="L1445" i="2" s="1"/>
  <c r="K1446" i="2"/>
  <c r="L1446" i="2" s="1"/>
  <c r="K1447" i="2"/>
  <c r="L1447" i="2" s="1"/>
  <c r="K1448" i="2"/>
  <c r="L1448" i="2" s="1"/>
  <c r="K1449" i="2"/>
  <c r="L1449" i="2" s="1"/>
  <c r="K1450" i="2"/>
  <c r="L1450" i="2" s="1"/>
  <c r="K1451" i="2"/>
  <c r="L1451" i="2" s="1"/>
  <c r="K1452" i="2"/>
  <c r="L1452" i="2" s="1"/>
  <c r="K1453" i="2"/>
  <c r="L1453" i="2" s="1"/>
  <c r="K1454" i="2"/>
  <c r="L1454" i="2" s="1"/>
  <c r="K1455" i="2"/>
  <c r="L1455" i="2" s="1"/>
  <c r="K1456" i="2"/>
  <c r="L1456" i="2" s="1"/>
  <c r="K1457" i="2"/>
  <c r="L1457" i="2" s="1"/>
  <c r="K1458" i="2"/>
  <c r="L1458" i="2" s="1"/>
  <c r="K1459" i="2"/>
  <c r="L1459" i="2" s="1"/>
  <c r="K1460" i="2"/>
  <c r="L1460" i="2" s="1"/>
  <c r="K1461" i="2"/>
  <c r="L1461" i="2" s="1"/>
  <c r="K1462" i="2"/>
  <c r="L1462" i="2" s="1"/>
  <c r="K1463" i="2"/>
  <c r="L1463" i="2" s="1"/>
  <c r="K1464" i="2"/>
  <c r="L1464" i="2" s="1"/>
  <c r="K1465" i="2"/>
  <c r="L1465" i="2" s="1"/>
  <c r="K1466" i="2"/>
  <c r="L1466" i="2" s="1"/>
  <c r="K1467" i="2"/>
  <c r="L1467" i="2" s="1"/>
  <c r="K1468" i="2"/>
  <c r="L1468" i="2" s="1"/>
  <c r="K1469" i="2"/>
  <c r="L1469" i="2" s="1"/>
  <c r="K1470" i="2"/>
  <c r="L1470" i="2" s="1"/>
  <c r="K1471" i="2"/>
  <c r="L1471" i="2" s="1"/>
  <c r="K2" i="2"/>
  <c r="L2" i="2" s="1"/>
  <c r="AC529" i="2" l="1"/>
  <c r="AC521" i="2"/>
  <c r="AC513" i="2"/>
  <c r="AC505" i="2"/>
  <c r="AC497" i="2"/>
  <c r="AC489" i="2"/>
  <c r="AC481" i="2"/>
  <c r="AC473" i="2"/>
  <c r="AC465" i="2"/>
  <c r="AC457" i="2"/>
  <c r="AC449" i="2"/>
  <c r="AC441" i="2"/>
  <c r="AC433" i="2"/>
  <c r="AC425" i="2"/>
  <c r="AC417" i="2"/>
  <c r="AC409" i="2"/>
  <c r="AC401" i="2"/>
  <c r="AC393" i="2"/>
  <c r="AC385" i="2"/>
  <c r="AC377" i="2"/>
  <c r="AC369" i="2"/>
  <c r="AC361" i="2"/>
  <c r="AC353" i="2"/>
  <c r="AC345" i="2"/>
  <c r="AC337" i="2"/>
  <c r="AC329" i="2"/>
  <c r="AC313" i="2"/>
  <c r="AC305" i="2"/>
  <c r="AC297" i="2"/>
  <c r="AC225" i="2"/>
  <c r="AC217" i="2"/>
  <c r="AC209" i="2"/>
  <c r="AC201" i="2"/>
  <c r="AC193" i="2"/>
  <c r="AC185" i="2"/>
  <c r="AC177" i="2"/>
  <c r="AC169" i="2"/>
  <c r="AC161" i="2"/>
  <c r="AC153" i="2"/>
  <c r="AC145" i="2"/>
  <c r="AC137" i="2"/>
  <c r="AC121" i="2"/>
  <c r="AC113" i="2"/>
  <c r="AC97" i="2"/>
  <c r="AC89" i="2"/>
  <c r="AC81" i="2"/>
  <c r="AC73" i="2"/>
  <c r="AC65" i="2"/>
  <c r="AC57" i="2"/>
  <c r="AC49" i="2"/>
  <c r="AC41" i="2"/>
  <c r="AC33" i="2"/>
  <c r="G2" i="3"/>
  <c r="AC872" i="2"/>
  <c r="AC815" i="2"/>
  <c r="AC807" i="2"/>
  <c r="AC799" i="2"/>
  <c r="AC791" i="2"/>
  <c r="AC783" i="2"/>
  <c r="AC775" i="2"/>
  <c r="AC767" i="2"/>
  <c r="AC759" i="2"/>
  <c r="AC751" i="2"/>
  <c r="AC735" i="2"/>
  <c r="AC719" i="2"/>
  <c r="AC687" i="2"/>
  <c r="AC295" i="2"/>
  <c r="AC287" i="2"/>
  <c r="AC279" i="2"/>
  <c r="AC271" i="2"/>
  <c r="AC263" i="2"/>
  <c r="AC247" i="2"/>
  <c r="AC239" i="2"/>
  <c r="AC231" i="2"/>
  <c r="AC223" i="2"/>
  <c r="AC215" i="2"/>
  <c r="AC207" i="2"/>
  <c r="AC199" i="2"/>
  <c r="AC191" i="2"/>
  <c r="AC183" i="2"/>
  <c r="AC175" i="2"/>
  <c r="AC167" i="2"/>
  <c r="AC159" i="2"/>
  <c r="AC151" i="2"/>
  <c r="AC135" i="2"/>
  <c r="AC127" i="2"/>
  <c r="AC119" i="2"/>
  <c r="AC111" i="2"/>
  <c r="AC103" i="2"/>
  <c r="AC95" i="2"/>
  <c r="AC87" i="2"/>
  <c r="AC79" i="2"/>
  <c r="AC71" i="2"/>
  <c r="AC63" i="2"/>
  <c r="AC31" i="2"/>
  <c r="AC23" i="2"/>
  <c r="AC15" i="2"/>
  <c r="AC7" i="2"/>
  <c r="AC1006" i="2"/>
  <c r="AC998" i="2"/>
  <c r="AC926" i="2"/>
  <c r="AC918" i="2"/>
  <c r="AC902" i="2"/>
  <c r="AC878" i="2"/>
  <c r="AC1385" i="2"/>
  <c r="AC1257" i="2"/>
  <c r="AC1249" i="2"/>
  <c r="AC1241" i="2"/>
  <c r="AC1225" i="2"/>
  <c r="AC1217" i="2"/>
  <c r="AC1161" i="2"/>
  <c r="AC1153" i="2"/>
  <c r="AC1145" i="2"/>
  <c r="AC1033" i="2"/>
  <c r="AC1025" i="2"/>
  <c r="AC1017" i="2"/>
  <c r="AC993" i="2"/>
  <c r="AC828" i="2"/>
  <c r="AC820" i="2"/>
  <c r="AC812" i="2"/>
  <c r="AC804" i="2"/>
  <c r="AC796" i="2"/>
  <c r="AC788" i="2"/>
  <c r="AC780" i="2"/>
  <c r="AC772" i="2"/>
  <c r="AC764" i="2"/>
  <c r="AC756" i="2"/>
  <c r="AC748" i="2"/>
  <c r="AC740" i="2"/>
  <c r="AC724" i="2"/>
  <c r="AC708" i="2"/>
  <c r="AC692" i="2"/>
  <c r="AC668" i="2"/>
  <c r="AC660" i="2"/>
  <c r="AC652" i="2"/>
  <c r="AC636" i="2"/>
  <c r="AC628" i="2"/>
  <c r="AC620" i="2"/>
  <c r="AC612" i="2"/>
  <c r="AC604" i="2"/>
  <c r="AC596" i="2"/>
  <c r="AC588" i="2"/>
  <c r="AC580" i="2"/>
  <c r="AC572" i="2"/>
  <c r="AC564" i="2"/>
  <c r="AC556" i="2"/>
  <c r="AC548" i="2"/>
  <c r="AC540" i="2"/>
  <c r="AC532" i="2"/>
  <c r="AC524" i="2"/>
  <c r="AC516" i="2"/>
  <c r="AC508" i="2"/>
  <c r="AC500" i="2"/>
  <c r="AC492" i="2"/>
  <c r="AC484" i="2"/>
  <c r="AC476" i="2"/>
  <c r="AC468" i="2"/>
  <c r="AC460" i="2"/>
  <c r="AC452" i="2"/>
  <c r="AC444" i="2"/>
  <c r="AC436" i="2"/>
  <c r="AC428" i="2"/>
  <c r="AC420" i="2"/>
  <c r="AC412" i="2"/>
  <c r="AC404" i="2"/>
  <c r="AC971" i="2"/>
  <c r="AC955" i="2"/>
  <c r="AC947" i="2"/>
  <c r="AC923" i="2"/>
  <c r="AC915" i="2"/>
  <c r="AC907" i="2"/>
  <c r="AC891" i="2"/>
  <c r="AC883" i="2"/>
  <c r="AC396" i="2"/>
  <c r="AC388" i="2"/>
  <c r="AC380" i="2"/>
  <c r="AC372" i="2"/>
  <c r="AC364" i="2"/>
  <c r="AC356" i="2"/>
  <c r="AC348" i="2"/>
  <c r="AC340" i="2"/>
  <c r="AC324" i="2"/>
  <c r="AC308" i="2"/>
  <c r="AC300" i="2"/>
  <c r="AC284" i="2"/>
  <c r="AC276" i="2"/>
  <c r="AC268" i="2"/>
  <c r="AC260" i="2"/>
  <c r="AC252" i="2"/>
  <c r="AC244" i="2"/>
  <c r="AC236" i="2"/>
  <c r="AC228" i="2"/>
  <c r="AC220" i="2"/>
  <c r="AC212" i="2"/>
  <c r="AC204" i="2"/>
  <c r="AC196" i="2"/>
  <c r="AC188" i="2"/>
  <c r="AC180" i="2"/>
  <c r="AC172" i="2"/>
  <c r="AC164" i="2"/>
  <c r="AC156" i="2"/>
  <c r="AC148" i="2"/>
  <c r="AC140" i="2"/>
  <c r="AC132" i="2"/>
  <c r="AC124" i="2"/>
  <c r="AC116" i="2"/>
  <c r="AC108" i="2"/>
  <c r="AC100" i="2"/>
  <c r="AC914" i="2"/>
  <c r="AC977" i="2"/>
  <c r="AC969" i="2"/>
  <c r="AC937" i="2"/>
  <c r="AC929" i="2"/>
  <c r="AC921" i="2"/>
  <c r="AC1031" i="2"/>
  <c r="AC1023" i="2"/>
  <c r="AC727" i="2"/>
  <c r="AC910" i="2"/>
  <c r="AC726" i="2"/>
  <c r="AC718" i="2"/>
  <c r="AC710" i="2"/>
  <c r="AC702" i="2"/>
  <c r="AC694" i="2"/>
  <c r="AC686" i="2"/>
  <c r="AC678" i="2"/>
  <c r="AC670" i="2"/>
  <c r="AC662" i="2"/>
  <c r="AC654" i="2"/>
  <c r="AC646" i="2"/>
  <c r="AC638" i="2"/>
  <c r="AC326" i="2"/>
  <c r="AC318" i="2"/>
  <c r="AC310" i="2"/>
  <c r="AC302" i="2"/>
  <c r="AC294" i="2"/>
  <c r="AC246" i="2"/>
  <c r="AC238" i="2"/>
  <c r="AC230" i="2"/>
  <c r="AC214" i="2"/>
  <c r="AC206" i="2"/>
  <c r="AC198" i="2"/>
  <c r="AC182" i="2"/>
  <c r="AC174" i="2"/>
  <c r="AC166" i="2"/>
  <c r="AC150" i="2"/>
  <c r="AC142" i="2"/>
  <c r="AC134" i="2"/>
  <c r="AC126" i="2"/>
  <c r="AC118" i="2"/>
  <c r="AC110" i="2"/>
  <c r="AC102" i="2"/>
  <c r="AC86" i="2"/>
  <c r="AC78" i="2"/>
  <c r="AC70" i="2"/>
  <c r="AC62" i="2"/>
  <c r="AC30" i="2"/>
  <c r="AC22" i="2"/>
  <c r="AC14" i="2"/>
  <c r="AC6" i="2"/>
  <c r="AC1373" i="2"/>
  <c r="AC1365" i="2"/>
  <c r="AC1357" i="2"/>
  <c r="AC1349" i="2"/>
  <c r="AC1333" i="2"/>
  <c r="AC1325" i="2"/>
  <c r="AC1317" i="2"/>
  <c r="AC1309" i="2"/>
  <c r="AC1301" i="2"/>
  <c r="AC1293" i="2"/>
  <c r="AC1285" i="2"/>
  <c r="AC1277" i="2"/>
  <c r="AC1269" i="2"/>
  <c r="AC1261" i="2"/>
  <c r="AC1253" i="2"/>
  <c r="AC1245" i="2"/>
  <c r="AC1237" i="2"/>
  <c r="AC1229" i="2"/>
  <c r="AC829" i="2"/>
  <c r="AC821" i="2"/>
  <c r="AC813" i="2"/>
  <c r="AC805" i="2"/>
  <c r="AC797" i="2"/>
  <c r="AC789" i="2"/>
  <c r="AC781" i="2"/>
  <c r="AC773" i="2"/>
  <c r="AC765" i="2"/>
  <c r="AC757" i="2"/>
  <c r="AC749" i="2"/>
  <c r="AC741" i="2"/>
  <c r="AC733" i="2"/>
  <c r="AC1388" i="2"/>
  <c r="AC852" i="2"/>
  <c r="AC844" i="2"/>
  <c r="AC836" i="2"/>
  <c r="AC1250" i="2"/>
  <c r="AC1242" i="2"/>
  <c r="AC1210" i="2"/>
  <c r="AC978" i="2"/>
  <c r="AC970" i="2"/>
  <c r="AC962" i="2"/>
  <c r="AC1377" i="2"/>
  <c r="AC1369" i="2"/>
  <c r="AC1353" i="2"/>
  <c r="AC1345" i="2"/>
  <c r="AC1289" i="2"/>
  <c r="AC1281" i="2"/>
  <c r="AC1273" i="2"/>
  <c r="D2" i="3"/>
  <c r="AC855" i="2"/>
  <c r="AC1030" i="2"/>
  <c r="AC870" i="2"/>
  <c r="AC862" i="2"/>
  <c r="AC94" i="2"/>
  <c r="AC1125" i="2"/>
  <c r="AC1117" i="2"/>
  <c r="AC1109" i="2"/>
  <c r="AC1101" i="2"/>
  <c r="AC1093" i="2"/>
  <c r="AC1077" i="2"/>
  <c r="AC1069" i="2"/>
  <c r="AC1061" i="2"/>
  <c r="AC1053" i="2"/>
  <c r="AC1045" i="2"/>
  <c r="AC1037" i="2"/>
  <c r="AC877" i="2"/>
  <c r="AC1444" i="2"/>
  <c r="AC1436" i="2"/>
  <c r="AC1204" i="2"/>
  <c r="AC1196" i="2"/>
  <c r="AC1188" i="2"/>
  <c r="AC1180" i="2"/>
  <c r="AC1172" i="2"/>
  <c r="AC1164" i="2"/>
  <c r="AC908" i="2"/>
  <c r="AC900" i="2"/>
  <c r="AC892" i="2"/>
  <c r="AC884" i="2"/>
  <c r="AC861" i="2"/>
  <c r="AC1020" i="2"/>
  <c r="AC1129" i="2"/>
  <c r="AC1121" i="2"/>
  <c r="AC1113" i="2"/>
  <c r="AC1097" i="2"/>
  <c r="AC1089" i="2"/>
  <c r="AC1144" i="2"/>
  <c r="AC1136" i="2"/>
  <c r="AC919" i="2"/>
  <c r="AC1014" i="2"/>
  <c r="AC990" i="2"/>
  <c r="AC974" i="2"/>
  <c r="AC950" i="2"/>
  <c r="AC942" i="2"/>
  <c r="AC934" i="2"/>
  <c r="AC854" i="2"/>
  <c r="AC846" i="2"/>
  <c r="AC838" i="2"/>
  <c r="AC93" i="2"/>
  <c r="AC85" i="2"/>
  <c r="AC77" i="2"/>
  <c r="AC69" i="2"/>
  <c r="AC61" i="2"/>
  <c r="AC53" i="2"/>
  <c r="AC45" i="2"/>
  <c r="AC37" i="2"/>
  <c r="AC29" i="2"/>
  <c r="AC21" i="2"/>
  <c r="AC13" i="2"/>
  <c r="AC5" i="2"/>
  <c r="AC868" i="2"/>
  <c r="AC1027" i="2"/>
  <c r="AC1011" i="2"/>
  <c r="AC995" i="2"/>
  <c r="AC875" i="2"/>
  <c r="AC675" i="2"/>
  <c r="AC667" i="2"/>
  <c r="AC659" i="2"/>
  <c r="AC627" i="2"/>
  <c r="AC619" i="2"/>
  <c r="AC611" i="2"/>
  <c r="AC603" i="2"/>
  <c r="AC595" i="2"/>
  <c r="AC587" i="2"/>
  <c r="AC579" i="2"/>
  <c r="AC571" i="2"/>
  <c r="AC563" i="2"/>
  <c r="AC555" i="2"/>
  <c r="AC547" i="2"/>
  <c r="AC539" i="2"/>
  <c r="AC531" i="2"/>
  <c r="AC523" i="2"/>
  <c r="AC515" i="2"/>
  <c r="AC507" i="2"/>
  <c r="AC499" i="2"/>
  <c r="AC491" i="2"/>
  <c r="AC483" i="2"/>
  <c r="AC475" i="2"/>
  <c r="AC467" i="2"/>
  <c r="AC459" i="2"/>
  <c r="AC451" i="2"/>
  <c r="AC443" i="2"/>
  <c r="AC435" i="2"/>
  <c r="AC427" i="2"/>
  <c r="AC419" i="2"/>
  <c r="AC411" i="2"/>
  <c r="AC403" i="2"/>
  <c r="AC395" i="2"/>
  <c r="AC387" i="2"/>
  <c r="AC379" i="2"/>
  <c r="AC371" i="2"/>
  <c r="AC363" i="2"/>
  <c r="AC355" i="2"/>
  <c r="AC347" i="2"/>
  <c r="AC339" i="2"/>
  <c r="AC331" i="2"/>
  <c r="AC323" i="2"/>
  <c r="AC315" i="2"/>
  <c r="AC291" i="2"/>
  <c r="AC283" i="2"/>
  <c r="AC275" i="2"/>
  <c r="AC267" i="2"/>
  <c r="AC259" i="2"/>
  <c r="AC251" i="2"/>
  <c r="AC243" i="2"/>
  <c r="AC235" i="2"/>
  <c r="AC227" i="2"/>
  <c r="AC187" i="2"/>
  <c r="AC179" i="2"/>
  <c r="AC171" i="2"/>
  <c r="AC163" i="2"/>
  <c r="AC155" i="2"/>
  <c r="AC147" i="2"/>
  <c r="AC139" i="2"/>
  <c r="AC131" i="2"/>
  <c r="AC123" i="2"/>
  <c r="AC115" i="2"/>
  <c r="AC107" i="2"/>
  <c r="AC99" i="2"/>
  <c r="AC1282" i="2"/>
  <c r="AC1274" i="2"/>
  <c r="AC1146" i="2"/>
  <c r="AC1106" i="2"/>
  <c r="AC1090" i="2"/>
  <c r="AC1082" i="2"/>
  <c r="AC1074" i="2"/>
  <c r="AC906" i="2"/>
  <c r="AC898" i="2"/>
  <c r="AC890" i="2"/>
  <c r="AC682" i="2"/>
  <c r="AC674" i="2"/>
  <c r="AC642" i="2"/>
  <c r="AC634" i="2"/>
  <c r="AC626" i="2"/>
  <c r="AC618" i="2"/>
  <c r="AC610" i="2"/>
  <c r="AC602" i="2"/>
  <c r="AC594" i="2"/>
  <c r="AC586" i="2"/>
  <c r="AC578" i="2"/>
  <c r="AC570" i="2"/>
  <c r="AC562" i="2"/>
  <c r="AC554" i="2"/>
  <c r="AC546" i="2"/>
  <c r="AC538" i="2"/>
  <c r="AC530" i="2"/>
  <c r="AC522" i="2"/>
  <c r="AC514" i="2"/>
  <c r="AC506" i="2"/>
  <c r="AC498" i="2"/>
  <c r="AC490" i="2"/>
  <c r="AC482" i="2"/>
  <c r="AC474" i="2"/>
  <c r="AC466" i="2"/>
  <c r="AC458" i="2"/>
  <c r="AC450" i="2"/>
  <c r="AC442" i="2"/>
  <c r="AC434" i="2"/>
  <c r="AC426" i="2"/>
  <c r="AC418" i="2"/>
  <c r="AC410" i="2"/>
  <c r="AC402" i="2"/>
  <c r="AC394" i="2"/>
  <c r="AC386" i="2"/>
  <c r="AC378" i="2"/>
  <c r="AC370" i="2"/>
  <c r="AC362" i="2"/>
  <c r="AC354" i="2"/>
  <c r="AC346" i="2"/>
  <c r="AC338" i="2"/>
  <c r="AC330" i="2"/>
  <c r="AC322" i="2"/>
  <c r="AC282" i="2"/>
  <c r="AC274" i="2"/>
  <c r="AC266" i="2"/>
  <c r="AC242" i="2"/>
  <c r="AC234" i="2"/>
  <c r="AC186" i="2"/>
  <c r="AC178" i="2"/>
  <c r="AC170" i="2"/>
  <c r="AC1022" i="2"/>
  <c r="AC982" i="2"/>
  <c r="AC1372" i="2"/>
  <c r="AC1284" i="2"/>
  <c r="AC1276" i="2"/>
  <c r="AC1268" i="2"/>
  <c r="AC1260" i="2"/>
  <c r="AC1156" i="2"/>
  <c r="AC1148" i="2"/>
  <c r="AC1140" i="2"/>
  <c r="AC1132" i="2"/>
  <c r="AC1028" i="2"/>
  <c r="AC996" i="2"/>
  <c r="AC980" i="2"/>
  <c r="AC924" i="2"/>
  <c r="AC860" i="2"/>
  <c r="AC60" i="2"/>
  <c r="AC52" i="2"/>
  <c r="AC44" i="2"/>
  <c r="AC36" i="2"/>
  <c r="AC28" i="2"/>
  <c r="AC20" i="2"/>
  <c r="AC12" i="2"/>
  <c r="AC4" i="2"/>
  <c r="AC1371" i="2"/>
  <c r="AC1291" i="2"/>
  <c r="AC1283" i="2"/>
  <c r="AC1275" i="2"/>
  <c r="AC1163" i="2"/>
  <c r="AC1155" i="2"/>
  <c r="AC1147" i="2"/>
  <c r="AC1035" i="2"/>
  <c r="AC1003" i="2"/>
  <c r="AC987" i="2"/>
  <c r="AC979" i="2"/>
  <c r="AC939" i="2"/>
  <c r="AC931" i="2"/>
  <c r="AC867" i="2"/>
  <c r="AC723" i="2"/>
  <c r="AC715" i="2"/>
  <c r="AC707" i="2"/>
  <c r="AC683" i="2"/>
  <c r="AC1381" i="2"/>
  <c r="AC1362" i="2"/>
  <c r="AC1338" i="2"/>
  <c r="AC1314" i="2"/>
  <c r="AC1306" i="2"/>
  <c r="AC1298" i="2"/>
  <c r="AC1234" i="2"/>
  <c r="AC1186" i="2"/>
  <c r="AC1178" i="2"/>
  <c r="AC1170" i="2"/>
  <c r="AC1058" i="2"/>
  <c r="AC1050" i="2"/>
  <c r="AC1042" i="2"/>
  <c r="AC1010" i="2"/>
  <c r="AC986" i="2"/>
  <c r="AC954" i="2"/>
  <c r="AC938" i="2"/>
  <c r="AC930" i="2"/>
  <c r="AC874" i="2"/>
  <c r="AC866" i="2"/>
  <c r="AC826" i="2"/>
  <c r="AC738" i="2"/>
  <c r="AC730" i="2"/>
  <c r="AC722" i="2"/>
  <c r="AC714" i="2"/>
  <c r="AC706" i="2"/>
  <c r="AC690" i="2"/>
  <c r="AC154" i="2"/>
  <c r="AC146" i="2"/>
  <c r="AC138" i="2"/>
  <c r="AC894" i="2"/>
  <c r="AC1337" i="2"/>
  <c r="AC1321" i="2"/>
  <c r="AC1313" i="2"/>
  <c r="AC1305" i="2"/>
  <c r="AC1209" i="2"/>
  <c r="AC1193" i="2"/>
  <c r="AC1185" i="2"/>
  <c r="AC1177" i="2"/>
  <c r="AC1081" i="2"/>
  <c r="AC1065" i="2"/>
  <c r="AC1057" i="2"/>
  <c r="AC1049" i="2"/>
  <c r="AC1009" i="2"/>
  <c r="AC985" i="2"/>
  <c r="AC961" i="2"/>
  <c r="AC953" i="2"/>
  <c r="AC945" i="2"/>
  <c r="AC889" i="2"/>
  <c r="AC881" i="2"/>
  <c r="AC873" i="2"/>
  <c r="AC833" i="2"/>
  <c r="AC825" i="2"/>
  <c r="AC817" i="2"/>
  <c r="AC809" i="2"/>
  <c r="AC801" i="2"/>
  <c r="AC793" i="2"/>
  <c r="AC785" i="2"/>
  <c r="AC777" i="2"/>
  <c r="AC769" i="2"/>
  <c r="AC761" i="2"/>
  <c r="AC753" i="2"/>
  <c r="AC745" i="2"/>
  <c r="AC737" i="2"/>
  <c r="AC729" i="2"/>
  <c r="AC289" i="2"/>
  <c r="AC281" i="2"/>
  <c r="AC273" i="2"/>
  <c r="AC265" i="2"/>
  <c r="AC257" i="2"/>
  <c r="AC1384" i="2"/>
  <c r="AC1352" i="2"/>
  <c r="AC1344" i="2"/>
  <c r="AC1336" i="2"/>
  <c r="AC1328" i="2"/>
  <c r="AC1224" i="2"/>
  <c r="AC1216" i="2"/>
  <c r="AC1208" i="2"/>
  <c r="AC1200" i="2"/>
  <c r="AC1096" i="2"/>
  <c r="AC1088" i="2"/>
  <c r="AC1080" i="2"/>
  <c r="AC1072" i="2"/>
  <c r="AC1024" i="2"/>
  <c r="AC1016" i="2"/>
  <c r="AC968" i="2"/>
  <c r="AC960" i="2"/>
  <c r="AC944" i="2"/>
  <c r="AC904" i="2"/>
  <c r="AC896" i="2"/>
  <c r="AC888" i="2"/>
  <c r="AC880" i="2"/>
  <c r="AC304" i="2"/>
  <c r="AC296" i="2"/>
  <c r="AC288" i="2"/>
  <c r="AC280" i="2"/>
  <c r="AC272" i="2"/>
  <c r="AC264" i="2"/>
  <c r="AC256" i="2"/>
  <c r="AC248" i="2"/>
  <c r="AC240" i="2"/>
  <c r="AC232" i="2"/>
  <c r="AC224" i="2"/>
  <c r="AC216" i="2"/>
  <c r="AC208" i="2"/>
  <c r="AC200" i="2"/>
  <c r="AC192" i="2"/>
  <c r="AC184" i="2"/>
  <c r="AC176" i="2"/>
  <c r="AC168" i="2"/>
  <c r="AC160" i="2"/>
  <c r="AC966" i="2"/>
  <c r="AC1375" i="2"/>
  <c r="AC1367" i="2"/>
  <c r="AC1359" i="2"/>
  <c r="AC1351" i="2"/>
  <c r="AC1343" i="2"/>
  <c r="AC1231" i="2"/>
  <c r="AC1223" i="2"/>
  <c r="AC1215" i="2"/>
  <c r="AC1103" i="2"/>
  <c r="AC1095" i="2"/>
  <c r="AC1087" i="2"/>
  <c r="AC1015" i="2"/>
  <c r="AC999" i="2"/>
  <c r="AC991" i="2"/>
  <c r="AC975" i="2"/>
  <c r="AC967" i="2"/>
  <c r="AC927" i="2"/>
  <c r="AC863" i="2"/>
  <c r="AC671" i="2"/>
  <c r="AC663" i="2"/>
  <c r="AC327" i="2"/>
  <c r="AC319" i="2"/>
  <c r="AC311" i="2"/>
  <c r="AC303" i="2"/>
  <c r="AC1266" i="2"/>
  <c r="AC1138" i="2"/>
  <c r="AC1026" i="2"/>
  <c r="AC1001" i="2"/>
  <c r="AC1376" i="2"/>
  <c r="AC936" i="2"/>
  <c r="AC928" i="2"/>
  <c r="AC864" i="2"/>
  <c r="AC1007" i="2"/>
  <c r="AC983" i="2"/>
  <c r="AC951" i="2"/>
  <c r="AC958" i="2"/>
  <c r="AC886" i="2"/>
  <c r="AC830" i="2"/>
  <c r="AC286" i="2"/>
  <c r="AC278" i="2"/>
  <c r="AC270" i="2"/>
  <c r="AC262" i="2"/>
  <c r="AC254" i="2"/>
  <c r="AC222" i="2"/>
  <c r="AC190" i="2"/>
  <c r="AC158" i="2"/>
  <c r="AC1341" i="2"/>
  <c r="AC1213" i="2"/>
  <c r="AC1085" i="2"/>
  <c r="AC989" i="2"/>
  <c r="AC732" i="2"/>
  <c r="AC716" i="2"/>
  <c r="AC700" i="2"/>
  <c r="AC684" i="2"/>
  <c r="AC676" i="2"/>
  <c r="AC644" i="2"/>
  <c r="AC332" i="2"/>
  <c r="AC316" i="2"/>
  <c r="AC292" i="2"/>
  <c r="AC92" i="2"/>
  <c r="AC84" i="2"/>
  <c r="AC76" i="2"/>
  <c r="AC68" i="2"/>
  <c r="AC859" i="2"/>
  <c r="AC739" i="2"/>
  <c r="AC699" i="2"/>
  <c r="AC691" i="2"/>
  <c r="AC651" i="2"/>
  <c r="AC635" i="2"/>
  <c r="AC307" i="2"/>
  <c r="AC299" i="2"/>
  <c r="AC219" i="2"/>
  <c r="AC211" i="2"/>
  <c r="AC203" i="2"/>
  <c r="AC195" i="2"/>
  <c r="AC3" i="2"/>
  <c r="AC946" i="2"/>
  <c r="AC882" i="2"/>
  <c r="AC818" i="2"/>
  <c r="AC810" i="2"/>
  <c r="AC802" i="2"/>
  <c r="AC794" i="2"/>
  <c r="AC786" i="2"/>
  <c r="AC778" i="2"/>
  <c r="AC770" i="2"/>
  <c r="AC762" i="2"/>
  <c r="AC754" i="2"/>
  <c r="AC746" i="2"/>
  <c r="AC698" i="2"/>
  <c r="AC666" i="2"/>
  <c r="AC658" i="2"/>
  <c r="AC314" i="2"/>
  <c r="AC290" i="2"/>
  <c r="AC258" i="2"/>
  <c r="AC250" i="2"/>
  <c r="AC226" i="2"/>
  <c r="AC162" i="2"/>
  <c r="AC130" i="2"/>
  <c r="AC122" i="2"/>
  <c r="AC114" i="2"/>
  <c r="AC106" i="2"/>
  <c r="AC98" i="2"/>
  <c r="AC66" i="2"/>
  <c r="AC58" i="2"/>
  <c r="AC34" i="2"/>
  <c r="AC10" i="2"/>
  <c r="AC841" i="2"/>
  <c r="AC321" i="2"/>
  <c r="AC249" i="2"/>
  <c r="AC241" i="2"/>
  <c r="AC233" i="2"/>
  <c r="AC129" i="2"/>
  <c r="AC25" i="2"/>
  <c r="AC17" i="2"/>
  <c r="AC848" i="2"/>
  <c r="AC840" i="2"/>
  <c r="AC832" i="2"/>
  <c r="AC824" i="2"/>
  <c r="AC704" i="2"/>
  <c r="AC688" i="2"/>
  <c r="AC672" i="2"/>
  <c r="AC328" i="2"/>
  <c r="AC312" i="2"/>
  <c r="AC152" i="2"/>
  <c r="AC144" i="2"/>
  <c r="AC136" i="2"/>
  <c r="AC32" i="2"/>
  <c r="AC943" i="2"/>
  <c r="AC935" i="2"/>
  <c r="AC911" i="2"/>
  <c r="AC903" i="2"/>
  <c r="AC895" i="2"/>
  <c r="AC879" i="2"/>
  <c r="AC871" i="2"/>
  <c r="AC847" i="2"/>
  <c r="AC839" i="2"/>
  <c r="AC831" i="2"/>
  <c r="AC743" i="2"/>
  <c r="AC711" i="2"/>
  <c r="AC695" i="2"/>
  <c r="AC679" i="2"/>
  <c r="AC655" i="2"/>
  <c r="AC647" i="2"/>
  <c r="AC639" i="2"/>
  <c r="AC631" i="2"/>
  <c r="AC623" i="2"/>
  <c r="AC615" i="2"/>
  <c r="AC607" i="2"/>
  <c r="AC599" i="2"/>
  <c r="AC591" i="2"/>
  <c r="AC583" i="2"/>
  <c r="AC575" i="2"/>
  <c r="AC567" i="2"/>
  <c r="AC559" i="2"/>
  <c r="AC551" i="2"/>
  <c r="AC543" i="2"/>
  <c r="AC535" i="2"/>
  <c r="AC527" i="2"/>
  <c r="AC519" i="2"/>
  <c r="AC511" i="2"/>
  <c r="AC503" i="2"/>
  <c r="AC495" i="2"/>
  <c r="AC487" i="2"/>
  <c r="AC479" i="2"/>
  <c r="AC471" i="2"/>
  <c r="AC463" i="2"/>
  <c r="AC455" i="2"/>
  <c r="AC447" i="2"/>
  <c r="AC439" i="2"/>
  <c r="AC431" i="2"/>
  <c r="AC423" i="2"/>
  <c r="AC415" i="2"/>
  <c r="AC407" i="2"/>
  <c r="AC399" i="2"/>
  <c r="AC391" i="2"/>
  <c r="AC383" i="2"/>
  <c r="AC375" i="2"/>
  <c r="AC367" i="2"/>
  <c r="AC359" i="2"/>
  <c r="AC351" i="2"/>
  <c r="AC343" i="2"/>
  <c r="AC335" i="2"/>
  <c r="AC255" i="2"/>
  <c r="AC55" i="2"/>
  <c r="AC47" i="2"/>
  <c r="AC39" i="2"/>
  <c r="AC1396" i="2"/>
  <c r="AC1467" i="2"/>
  <c r="AC1459" i="2"/>
  <c r="AC1451" i="2"/>
  <c r="AC1443" i="2"/>
  <c r="AC1435" i="2"/>
  <c r="AC1427" i="2"/>
  <c r="AC1419" i="2"/>
  <c r="AC1411" i="2"/>
  <c r="AC1403" i="2"/>
  <c r="AC1395" i="2"/>
  <c r="AC1387" i="2"/>
  <c r="AC1379" i="2"/>
  <c r="AC1019" i="2"/>
  <c r="AC963" i="2"/>
  <c r="AC899" i="2"/>
  <c r="AC835" i="2"/>
  <c r="AC731" i="2"/>
  <c r="AC643" i="2"/>
  <c r="AC1434" i="2"/>
  <c r="AC1386" i="2"/>
  <c r="AC1290" i="2"/>
  <c r="AC1098" i="2"/>
  <c r="AC306" i="2"/>
  <c r="AC298" i="2"/>
  <c r="AC218" i="2"/>
  <c r="AC210" i="2"/>
  <c r="AC202" i="2"/>
  <c r="AC194" i="2"/>
  <c r="AC1468" i="2"/>
  <c r="AC1420" i="2"/>
  <c r="AC1442" i="2"/>
  <c r="AC1394" i="2"/>
  <c r="AC1258" i="2"/>
  <c r="AC1226" i="2"/>
  <c r="AC922" i="2"/>
  <c r="AC650" i="2"/>
  <c r="AC1457" i="2"/>
  <c r="AC1449" i="2"/>
  <c r="AC1425" i="2"/>
  <c r="AC1417" i="2"/>
  <c r="AC1409" i="2"/>
  <c r="AC1401" i="2"/>
  <c r="AC1393" i="2"/>
  <c r="AC1361" i="2"/>
  <c r="AC1329" i="2"/>
  <c r="AC1297" i="2"/>
  <c r="AC1265" i="2"/>
  <c r="AC1233" i="2"/>
  <c r="AC1201" i="2"/>
  <c r="AC1169" i="2"/>
  <c r="AC1137" i="2"/>
  <c r="AC1105" i="2"/>
  <c r="AC1073" i="2"/>
  <c r="AC1041" i="2"/>
  <c r="AC105" i="2"/>
  <c r="AC9" i="2"/>
  <c r="AC1460" i="2"/>
  <c r="AC1404" i="2"/>
  <c r="AC1466" i="2"/>
  <c r="AC1418" i="2"/>
  <c r="AC1034" i="2"/>
  <c r="AC858" i="2"/>
  <c r="AC1433" i="2"/>
  <c r="AC1464" i="2"/>
  <c r="AC1456" i="2"/>
  <c r="AC1448" i="2"/>
  <c r="AC1440" i="2"/>
  <c r="AC1432" i="2"/>
  <c r="AC1424" i="2"/>
  <c r="AC1416" i="2"/>
  <c r="AC1408" i="2"/>
  <c r="AC1400" i="2"/>
  <c r="AC1392" i="2"/>
  <c r="AC320" i="2"/>
  <c r="AC1450" i="2"/>
  <c r="AC1402" i="2"/>
  <c r="AC1354" i="2"/>
  <c r="AC1162" i="2"/>
  <c r="AC1130" i="2"/>
  <c r="AC1465" i="2"/>
  <c r="AC1463" i="2"/>
  <c r="AC1447" i="2"/>
  <c r="AC1431" i="2"/>
  <c r="AC1415" i="2"/>
  <c r="AC1407" i="2"/>
  <c r="AC1399" i="2"/>
  <c r="AC1391" i="2"/>
  <c r="AC1383" i="2"/>
  <c r="AC1335" i="2"/>
  <c r="AC1303" i="2"/>
  <c r="AC1271" i="2"/>
  <c r="AC1239" i="2"/>
  <c r="AC1207" i="2"/>
  <c r="AC1175" i="2"/>
  <c r="AC1143" i="2"/>
  <c r="AC1111" i="2"/>
  <c r="AC1079" i="2"/>
  <c r="AC1047" i="2"/>
  <c r="AC887" i="2"/>
  <c r="AC823" i="2"/>
  <c r="AC703" i="2"/>
  <c r="AC143" i="2"/>
  <c r="AC1428" i="2"/>
  <c r="AC1458" i="2"/>
  <c r="AC1410" i="2"/>
  <c r="AC1370" i="2"/>
  <c r="AC1322" i="2"/>
  <c r="AC1066" i="2"/>
  <c r="AC1471" i="2"/>
  <c r="AC1455" i="2"/>
  <c r="AC1439" i="2"/>
  <c r="AC1423" i="2"/>
  <c r="AC1470" i="2"/>
  <c r="AC1462" i="2"/>
  <c r="AC1454" i="2"/>
  <c r="AC1446" i="2"/>
  <c r="AC1438" i="2"/>
  <c r="AC1430" i="2"/>
  <c r="AC1422" i="2"/>
  <c r="AC1414" i="2"/>
  <c r="AC1406" i="2"/>
  <c r="AC1398" i="2"/>
  <c r="AC1390" i="2"/>
  <c r="AC1382" i="2"/>
  <c r="AC1374" i="2"/>
  <c r="AC1366" i="2"/>
  <c r="AC1358" i="2"/>
  <c r="AC1350" i="2"/>
  <c r="AC1342" i="2"/>
  <c r="AC1334" i="2"/>
  <c r="AC1326" i="2"/>
  <c r="AC1318" i="2"/>
  <c r="AC1310" i="2"/>
  <c r="AC1302" i="2"/>
  <c r="AC1294" i="2"/>
  <c r="AC1286" i="2"/>
  <c r="AC1278" i="2"/>
  <c r="AC1270" i="2"/>
  <c r="AC1262" i="2"/>
  <c r="AC1254" i="2"/>
  <c r="AC1246" i="2"/>
  <c r="AC1238" i="2"/>
  <c r="AC1230" i="2"/>
  <c r="AC1222" i="2"/>
  <c r="AC1214" i="2"/>
  <c r="AC1206" i="2"/>
  <c r="AC1198" i="2"/>
  <c r="AC1190" i="2"/>
  <c r="AC1182" i="2"/>
  <c r="AC1174" i="2"/>
  <c r="AC1166" i="2"/>
  <c r="AC1158" i="2"/>
  <c r="AC1150" i="2"/>
  <c r="AC1142" i="2"/>
  <c r="AC1134" i="2"/>
  <c r="AC1126" i="2"/>
  <c r="AC1118" i="2"/>
  <c r="AC1110" i="2"/>
  <c r="AC1102" i="2"/>
  <c r="AC1094" i="2"/>
  <c r="AC1086" i="2"/>
  <c r="AC1078" i="2"/>
  <c r="AC1070" i="2"/>
  <c r="AC1062" i="2"/>
  <c r="AC1054" i="2"/>
  <c r="AC1046" i="2"/>
  <c r="AC1038" i="2"/>
  <c r="AC630" i="2"/>
  <c r="AC622" i="2"/>
  <c r="AC614" i="2"/>
  <c r="AC606" i="2"/>
  <c r="AC598" i="2"/>
  <c r="AC590" i="2"/>
  <c r="AC582" i="2"/>
  <c r="AC574" i="2"/>
  <c r="AC566" i="2"/>
  <c r="AC558" i="2"/>
  <c r="AC550" i="2"/>
  <c r="AC542" i="2"/>
  <c r="AC534" i="2"/>
  <c r="AC526" i="2"/>
  <c r="AC518" i="2"/>
  <c r="AC510" i="2"/>
  <c r="AC502" i="2"/>
  <c r="AC494" i="2"/>
  <c r="AC486" i="2"/>
  <c r="AC478" i="2"/>
  <c r="AC470" i="2"/>
  <c r="AC462" i="2"/>
  <c r="AC454" i="2"/>
  <c r="AC446" i="2"/>
  <c r="AC438" i="2"/>
  <c r="AC430" i="2"/>
  <c r="AC422" i="2"/>
  <c r="AC414" i="2"/>
  <c r="AC406" i="2"/>
  <c r="AC398" i="2"/>
  <c r="AC390" i="2"/>
  <c r="AC382" i="2"/>
  <c r="AC374" i="2"/>
  <c r="AC366" i="2"/>
  <c r="AC358" i="2"/>
  <c r="AC350" i="2"/>
  <c r="AC342" i="2"/>
  <c r="AC334" i="2"/>
  <c r="AC54" i="2"/>
  <c r="AC46" i="2"/>
  <c r="AC38" i="2"/>
  <c r="AC1452" i="2"/>
  <c r="AC1412" i="2"/>
  <c r="AC1426" i="2"/>
  <c r="AC1378" i="2"/>
  <c r="AC1194" i="2"/>
  <c r="AC1441" i="2"/>
  <c r="AC1469" i="2"/>
  <c r="AC1461" i="2"/>
  <c r="AC1453" i="2"/>
  <c r="AC1445" i="2"/>
  <c r="AC1437" i="2"/>
  <c r="AC1429" i="2"/>
  <c r="AC1421" i="2"/>
  <c r="AC1413" i="2"/>
  <c r="AC1405" i="2"/>
  <c r="AC1397" i="2"/>
  <c r="AC1389" i="2"/>
  <c r="AC637" i="2"/>
  <c r="AC2" i="2"/>
  <c r="B5" i="3"/>
  <c r="B15" i="3"/>
  <c r="A23" i="3" a="1"/>
  <c r="A23" i="3" s="1"/>
  <c r="B6" i="3" s="1"/>
  <c r="B8" i="3"/>
  <c r="C15" i="3"/>
  <c r="B9" i="3"/>
  <c r="B2" i="3"/>
  <c r="B17" i="3"/>
  <c r="G16" i="3"/>
  <c r="H15" i="3"/>
  <c r="G15" i="3"/>
  <c r="D15" i="3"/>
  <c r="J15" i="3"/>
  <c r="F15" i="3"/>
  <c r="E16" i="3"/>
  <c r="H17" i="3"/>
  <c r="C17" i="3"/>
  <c r="H16" i="3"/>
  <c r="C16" i="3"/>
  <c r="F17" i="3"/>
  <c r="F16" i="3"/>
  <c r="I17" i="3"/>
  <c r="D17" i="3"/>
  <c r="I16" i="3"/>
  <c r="D16" i="3"/>
  <c r="G17" i="3"/>
  <c r="B16" i="3"/>
  <c r="E17" i="3"/>
  <c r="C26" i="3" l="1"/>
  <c r="C23" i="3"/>
  <c r="B23" i="3"/>
  <c r="B24" i="3"/>
  <c r="B25" i="3"/>
  <c r="B7" i="3"/>
  <c r="B26" i="3"/>
  <c r="C24" i="3"/>
  <c r="C25" i="3"/>
  <c r="J17" i="3"/>
  <c r="J16" i="3"/>
  <c r="D23" i="3" l="1"/>
  <c r="D26" i="3"/>
  <c r="D25" i="3"/>
  <c r="D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<sst xmlns="http://schemas.openxmlformats.org/spreadsheetml/2006/main" count="23654" uniqueCount="137">
  <si>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</si>
  <si>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</si>
  <si>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</si>
  <si>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</si>
  <si>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</si>
  <si>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</si>
  <si>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</si>
  <si>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</si>
  <si>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</si>
  <si>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</si>
  <si>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</si>
  <si>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</si>
  <si>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</si>
  <si>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</si>
  <si>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</si>
  <si>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</si>
  <si>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</si>
  <si>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</si>
  <si>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</si>
  <si>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</si>
  <si>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</si>
  <si>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</si>
  <si>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</si>
  <si>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</si>
  <si>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</si>
  <si>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</si>
  <si>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</si>
  <si>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</si>
  <si>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</si>
  <si>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</si>
  <si>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</si>
  <si>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</si>
  <si>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</si>
  <si>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</si>
  <si>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</si>
  <si>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</si>
  <si>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</si>
  <si>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</si>
  <si>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</si>
  <si>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</si>
  <si>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</si>
  <si>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</si>
  <si>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</si>
  <si>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</si>
  <si>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</si>
  <si>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</si>
  <si>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</si>
  <si>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</si>
  <si>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</si>
  <si>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</si>
  <si>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</si>
  <si>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</si>
  <si>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</si>
  <si>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</si>
  <si>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</si>
  <si>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</si>
  <si>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</si>
  <si>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</si>
  <si>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</si>
  <si>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</si>
  <si>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</si>
  <si>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</si>
  <si>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Tax</t>
  </si>
  <si>
    <t>Take Home</t>
  </si>
  <si>
    <t>Maximum Salary</t>
  </si>
  <si>
    <t>Gross Salary</t>
  </si>
  <si>
    <t>Take Home Pay</t>
  </si>
  <si>
    <t>Average Salary</t>
  </si>
  <si>
    <t>Average Take Home</t>
  </si>
  <si>
    <t>Maximum Take Home</t>
  </si>
  <si>
    <t>Total Salary</t>
  </si>
  <si>
    <t>Total Take Home</t>
  </si>
  <si>
    <t>Tax Burden %</t>
  </si>
  <si>
    <t>Minimum Salary</t>
  </si>
  <si>
    <t>Minimum Take Home</t>
  </si>
  <si>
    <t>EmployeeID</t>
  </si>
  <si>
    <t>AgeBand</t>
  </si>
  <si>
    <t>Attrition Risk by Age Band</t>
  </si>
  <si>
    <t>Age Band</t>
  </si>
  <si>
    <t>Total Employee</t>
  </si>
  <si>
    <t>Left (Yes)</t>
  </si>
  <si>
    <t>Attrition Rate</t>
  </si>
  <si>
    <t>Department salary audit</t>
  </si>
  <si>
    <t>TenureBucket</t>
  </si>
  <si>
    <t>Total Employees</t>
  </si>
  <si>
    <t>Departments</t>
  </si>
  <si>
    <t>Avg Monthly Income</t>
  </si>
  <si>
    <t>Avg Take Home Pay</t>
  </si>
  <si>
    <t>Highest Attrition Band</t>
  </si>
  <si>
    <t>Most Stable Band</t>
  </si>
  <si>
    <t>Highest Paid Dept</t>
  </si>
  <si>
    <t>Lowest Paid Dept</t>
  </si>
  <si>
    <t>IBM HR EMPLOYMENT  OVERVIEW</t>
  </si>
  <si>
    <t>Left</t>
  </si>
  <si>
    <t>Full Employee Profile Text Card</t>
  </si>
  <si>
    <t>Seniority Title Builder</t>
  </si>
  <si>
    <t>EstimatedJoinDate</t>
  </si>
  <si>
    <t>NextReviewDate</t>
  </si>
  <si>
    <t>Review Flag</t>
  </si>
  <si>
    <t>UPCOMING REVIEW DATE</t>
  </si>
  <si>
    <t>NewSalaryAfter Hike</t>
  </si>
  <si>
    <t>AnnualRaiseAmount</t>
  </si>
  <si>
    <t>SalaryFlag</t>
  </si>
  <si>
    <t>WorkLifeBalance Level</t>
  </si>
  <si>
    <t>Poor</t>
  </si>
  <si>
    <t>Fair</t>
  </si>
  <si>
    <t>Good</t>
  </si>
  <si>
    <t>Excellent</t>
  </si>
  <si>
    <t>TotalEmployee</t>
  </si>
  <si>
    <t>OverTimeRate</t>
  </si>
  <si>
    <t>Underpaid Employee</t>
  </si>
  <si>
    <t>IBM HR ANALYTICS - DAY 1 &amp; 2 OVERVIEW</t>
  </si>
  <si>
    <t>1,470 Employees | 3 Departments</t>
  </si>
  <si>
    <t>OverTime2</t>
  </si>
  <si>
    <t>Total Attrition Rate</t>
  </si>
  <si>
    <t>Total Overtime Rate</t>
  </si>
  <si>
    <t>Average Gross Income</t>
  </si>
  <si>
    <t>Minimum Gross Income</t>
  </si>
  <si>
    <t>Maximum Gross Income</t>
  </si>
  <si>
    <t>Total Gross Income</t>
  </si>
  <si>
    <t>Total Take Home Income</t>
  </si>
  <si>
    <t>Department Salary Audit</t>
  </si>
  <si>
    <t>TENURE BUCKET</t>
  </si>
  <si>
    <t>Experienced</t>
  </si>
  <si>
    <t>New</t>
  </si>
  <si>
    <t>Developing</t>
  </si>
  <si>
    <t>Veteran</t>
  </si>
  <si>
    <t>Number of Employee</t>
  </si>
  <si>
    <t>% of WorkForce</t>
  </si>
  <si>
    <t>Tenure Distribution</t>
  </si>
  <si>
    <t>% WorkForce</t>
  </si>
  <si>
    <t>Total</t>
  </si>
  <si>
    <t>Risk Level</t>
  </si>
  <si>
    <t>Attrition Risk By Age Band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</si>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</sst>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3" tint="0.499984740745262"/>
      <name val="Aptos Narrow"/>
      <scheme val="minor"/>
    </font>
    <font>
      <b/>
      <sz val="11"/>
      <color theme="0"/>
      <name val="Aptos Narrow"/>
      <scheme val="minor"/>
    </font>
    <font>
      <b/>
      <sz val="18"/>
      <color theme="0"/>
      <name val="Aptos Narrow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FD87"/>
        <bgColor theme="0" tint="-0.14999847407452621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ck">
        <color rgb="FF00206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9" fontId="0" fillId="0" borderId="0" xfId="43" applyFont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8" fillId="0" borderId="10" xfId="0" applyFont="1" applyBorder="1"/>
    <xf numFmtId="164" fontId="0" fillId="0" borderId="10" xfId="0" applyNumberFormat="1" applyBorder="1"/>
    <xf numFmtId="9" fontId="0" fillId="0" borderId="10" xfId="43" applyFont="1" applyBorder="1"/>
    <xf numFmtId="0" fontId="18" fillId="0" borderId="0" xfId="0" applyFont="1" applyAlignment="1">
      <alignment horizontal="centerContinuous"/>
    </xf>
    <xf numFmtId="0" fontId="0" fillId="0" borderId="10" xfId="0" applyBorder="1" applyAlignment="1">
      <alignment horizontal="center" vertical="center"/>
    </xf>
    <xf numFmtId="165" fontId="0" fillId="0" borderId="10" xfId="42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33" borderId="10" xfId="0" applyFill="1" applyBorder="1"/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Continuous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164" fontId="0" fillId="0" borderId="19" xfId="0" applyNumberFormat="1" applyBorder="1"/>
    <xf numFmtId="0" fontId="18" fillId="33" borderId="17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164" fontId="0" fillId="0" borderId="16" xfId="0" applyNumberFormat="1" applyBorder="1"/>
    <xf numFmtId="164" fontId="0" fillId="0" borderId="21" xfId="0" applyNumberFormat="1" applyBorder="1"/>
    <xf numFmtId="164" fontId="0" fillId="0" borderId="17" xfId="0" applyNumberFormat="1" applyBorder="1"/>
    <xf numFmtId="164" fontId="0" fillId="0" borderId="20" xfId="0" applyNumberFormat="1" applyBorder="1"/>
    <xf numFmtId="14" fontId="0" fillId="0" borderId="10" xfId="0" applyNumberFormat="1" applyBorder="1"/>
    <xf numFmtId="0" fontId="18" fillId="33" borderId="0" xfId="0" applyFont="1" applyFill="1"/>
    <xf numFmtId="14" fontId="0" fillId="0" borderId="19" xfId="0" applyNumberForma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164" fontId="0" fillId="35" borderId="24" xfId="0" applyNumberFormat="1" applyFill="1" applyBorder="1" applyAlignment="1">
      <alignment horizontal="right" indent="2"/>
    </xf>
    <xf numFmtId="164" fontId="0" fillId="0" borderId="0" xfId="0" applyNumberFormat="1" applyAlignment="1">
      <alignment horizontal="right" indent="2"/>
    </xf>
    <xf numFmtId="164" fontId="0" fillId="35" borderId="0" xfId="0" applyNumberFormat="1" applyFill="1" applyAlignment="1">
      <alignment horizontal="right" indent="2"/>
    </xf>
    <xf numFmtId="0" fontId="13" fillId="36" borderId="23" xfId="0" applyFont="1" applyFill="1" applyBorder="1" applyAlignment="1">
      <alignment horizontal="center"/>
    </xf>
    <xf numFmtId="0" fontId="0" fillId="0" borderId="0" xfId="43" applyNumberFormat="1" applyFont="1"/>
    <xf numFmtId="0" fontId="13" fillId="36" borderId="0" xfId="0" applyFont="1" applyFill="1" applyAlignment="1">
      <alignment horizontal="center"/>
    </xf>
    <xf numFmtId="0" fontId="0" fillId="35" borderId="25" xfId="0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20" fillId="33" borderId="15" xfId="0" applyFont="1" applyFill="1" applyBorder="1"/>
    <xf numFmtId="0" fontId="20" fillId="33" borderId="18" xfId="0" applyFont="1" applyFill="1" applyBorder="1"/>
    <xf numFmtId="164" fontId="20" fillId="33" borderId="18" xfId="0" applyNumberFormat="1" applyFont="1" applyFill="1" applyBorder="1"/>
    <xf numFmtId="0" fontId="20" fillId="33" borderId="13" xfId="0" applyFont="1" applyFill="1" applyBorder="1"/>
    <xf numFmtId="0" fontId="20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5" borderId="25" xfId="0" applyFill="1" applyBorder="1" applyAlignment="1">
      <alignment horizontal="center"/>
    </xf>
    <xf numFmtId="0" fontId="20" fillId="34" borderId="25" xfId="0" applyFont="1" applyFill="1" applyBorder="1" applyAlignment="1">
      <alignment horizontal="center"/>
    </xf>
    <xf numFmtId="0" fontId="13" fillId="36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25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35" borderId="0" xfId="0" applyNumberFormat="1" applyFill="1" applyAlignment="1">
      <alignment horizontal="center"/>
    </xf>
    <xf numFmtId="9" fontId="0" fillId="35" borderId="25" xfId="0" applyNumberFormat="1" applyFill="1" applyBorder="1" applyAlignment="1">
      <alignment horizontal="center"/>
    </xf>
    <xf numFmtId="9" fontId="0" fillId="35" borderId="24" xfId="0" applyNumberFormat="1" applyFill="1" applyBorder="1" applyAlignment="1">
      <alignment horizontal="left" indent="10"/>
    </xf>
    <xf numFmtId="0" fontId="0" fillId="35" borderId="24" xfId="0" applyFill="1" applyBorder="1" applyAlignment="1">
      <alignment horizontal="left" indent="10"/>
    </xf>
    <xf numFmtId="9" fontId="0" fillId="0" borderId="0" xfId="0" applyNumberFormat="1" applyAlignment="1">
      <alignment horizontal="left" indent="10"/>
    </xf>
    <xf numFmtId="0" fontId="0" fillId="0" borderId="0" xfId="0" applyAlignment="1">
      <alignment horizontal="left" indent="10"/>
    </xf>
    <xf numFmtId="9" fontId="0" fillId="35" borderId="0" xfId="0" applyNumberFormat="1" applyFill="1" applyAlignment="1">
      <alignment horizontal="left" indent="10"/>
    </xf>
    <xf numFmtId="0" fontId="0" fillId="35" borderId="0" xfId="0" applyFill="1" applyAlignment="1">
      <alignment horizontal="left" indent="10"/>
    </xf>
    <xf numFmtId="0" fontId="24" fillId="34" borderId="25" xfId="0" applyFont="1" applyFill="1" applyBorder="1" applyAlignment="1">
      <alignment horizontal="center"/>
    </xf>
    <xf numFmtId="0" fontId="13" fillId="36" borderId="23" xfId="0" applyFont="1" applyFill="1" applyBorder="1" applyAlignment="1">
      <alignment horizontal="center"/>
    </xf>
    <xf numFmtId="164" fontId="0" fillId="35" borderId="24" xfId="0" applyNumberFormat="1" applyFill="1" applyBorder="1" applyAlignment="1">
      <alignment horizontal="right" indent="2"/>
    </xf>
    <xf numFmtId="164" fontId="0" fillId="0" borderId="0" xfId="0" applyNumberFormat="1" applyAlignment="1">
      <alignment horizontal="right" indent="2"/>
    </xf>
    <xf numFmtId="164" fontId="0" fillId="35" borderId="0" xfId="0" applyNumberFormat="1" applyFill="1" applyAlignment="1">
      <alignment horizontal="right" indent="2"/>
    </xf>
    <xf numFmtId="0" fontId="0" fillId="35" borderId="24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5" borderId="0" xfId="0" applyFill="1" applyAlignment="1">
      <alignment horizontal="left"/>
    </xf>
    <xf numFmtId="0" fontId="21" fillId="34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3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scheme val="minor"/>
      </font>
    </dxf>
  </dxfs>
  <tableStyles count="1" defaultTableStyle="TableStyleMedium2" defaultPivotStyle="PivotStyleLight16">
    <tableStyle name="Invisible" pivot="0" table="0" count="0" xr9:uid="{BC7F6B52-38B3-46F3-A532-4D7E2ABC7852}"/>
  </tableStyles>
  <colors>
    <mruColors>
      <color rgb="FFFDFD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3</xdr:row>
      <xdr:rowOff>55563</xdr:rowOff>
    </xdr:from>
    <xdr:to>
      <xdr:col>2</xdr:col>
      <xdr:colOff>214315</xdr:colOff>
      <xdr:row>6</xdr:row>
      <xdr:rowOff>134938</xdr:rowOff>
    </xdr:to>
    <xdr:sp macro="" textlink="'Clean Summary Table'!B2">
      <xdr:nvSpPr>
        <xdr:cNvPr id="2" name="TextBox 1">
          <a:extLst>
            <a:ext uri="{FF2B5EF4-FFF2-40B4-BE49-F238E27FC236}">
              <a16:creationId xmlns:a16="http://schemas.microsoft.com/office/drawing/2014/main" id="{E30B63B5-FB5E-A21A-C0C0-32F1F4FA3224}"/>
            </a:ext>
          </a:extLst>
        </xdr:cNvPr>
        <xdr:cNvSpPr txBox="1"/>
      </xdr:nvSpPr>
      <xdr:spPr>
        <a:xfrm>
          <a:off x="63500" y="579438"/>
          <a:ext cx="2246315" cy="60325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93B76868-1A27-4BF0-B536-F9F2F5E4A35B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 1,470 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398463</xdr:colOff>
      <xdr:row>3</xdr:row>
      <xdr:rowOff>49212</xdr:rowOff>
    </xdr:from>
    <xdr:to>
      <xdr:col>4</xdr:col>
      <xdr:colOff>549278</xdr:colOff>
      <xdr:row>6</xdr:row>
      <xdr:rowOff>128587</xdr:rowOff>
    </xdr:to>
    <xdr:sp macro="" textlink="'Clean Summary Table'!B28">
      <xdr:nvSpPr>
        <xdr:cNvPr id="6" name="TextBox 5">
          <a:extLst>
            <a:ext uri="{FF2B5EF4-FFF2-40B4-BE49-F238E27FC236}">
              <a16:creationId xmlns:a16="http://schemas.microsoft.com/office/drawing/2014/main" id="{998E5B67-11A1-78C2-A571-1CFBD6BC019F}"/>
            </a:ext>
          </a:extLst>
        </xdr:cNvPr>
        <xdr:cNvSpPr txBox="1"/>
      </xdr:nvSpPr>
      <xdr:spPr>
        <a:xfrm>
          <a:off x="2493963" y="573087"/>
          <a:ext cx="2246315" cy="60325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BAF7761A-D856-4FB6-947C-C43D495BA6E9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16%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717546</xdr:colOff>
      <xdr:row>3</xdr:row>
      <xdr:rowOff>50799</xdr:rowOff>
    </xdr:from>
    <xdr:to>
      <xdr:col>7</xdr:col>
      <xdr:colOff>868361</xdr:colOff>
      <xdr:row>6</xdr:row>
      <xdr:rowOff>130174</xdr:rowOff>
    </xdr:to>
    <xdr:sp macro="" textlink="'Clean Summary Table'!B4">
      <xdr:nvSpPr>
        <xdr:cNvPr id="7" name="TextBox 6">
          <a:extLst>
            <a:ext uri="{FF2B5EF4-FFF2-40B4-BE49-F238E27FC236}">
              <a16:creationId xmlns:a16="http://schemas.microsoft.com/office/drawing/2014/main" id="{793AEDAA-9620-ACE1-7099-8202F2A0DE14}"/>
            </a:ext>
          </a:extLst>
        </xdr:cNvPr>
        <xdr:cNvSpPr txBox="1"/>
      </xdr:nvSpPr>
      <xdr:spPr>
        <a:xfrm>
          <a:off x="4908546" y="574674"/>
          <a:ext cx="2246315" cy="6032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4080333-6F6E-44C8-A30A-EC74EEEF20F4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$6,502.93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12687</xdr:colOff>
      <xdr:row>3</xdr:row>
      <xdr:rowOff>44448</xdr:rowOff>
    </xdr:from>
    <xdr:to>
      <xdr:col>10</xdr:col>
      <xdr:colOff>163502</xdr:colOff>
      <xdr:row>6</xdr:row>
      <xdr:rowOff>123823</xdr:rowOff>
    </xdr:to>
    <xdr:sp macro="" textlink="'Clean Summary Table'!B5">
      <xdr:nvSpPr>
        <xdr:cNvPr id="8" name="TextBox 7">
          <a:extLst>
            <a:ext uri="{FF2B5EF4-FFF2-40B4-BE49-F238E27FC236}">
              <a16:creationId xmlns:a16="http://schemas.microsoft.com/office/drawing/2014/main" id="{D49AEF31-C367-21FC-C81A-D1EF594ACCCF}"/>
            </a:ext>
          </a:extLst>
        </xdr:cNvPr>
        <xdr:cNvSpPr txBox="1"/>
      </xdr:nvSpPr>
      <xdr:spPr>
        <a:xfrm>
          <a:off x="7346937" y="568323"/>
          <a:ext cx="2246315" cy="6032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763DFD53-420A-44E0-9AEC-2625828342FC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$5,148.34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371467</xdr:colOff>
      <xdr:row>3</xdr:row>
      <xdr:rowOff>53973</xdr:rowOff>
    </xdr:from>
    <xdr:to>
      <xdr:col>12</xdr:col>
      <xdr:colOff>522282</xdr:colOff>
      <xdr:row>6</xdr:row>
      <xdr:rowOff>133348</xdr:rowOff>
    </xdr:to>
    <xdr:sp macro="" textlink="'Clean Summary Table'!K6">
      <xdr:nvSpPr>
        <xdr:cNvPr id="9" name="TextBox 8">
          <a:extLst>
            <a:ext uri="{FF2B5EF4-FFF2-40B4-BE49-F238E27FC236}">
              <a16:creationId xmlns:a16="http://schemas.microsoft.com/office/drawing/2014/main" id="{6DEDE20D-0229-A978-B56D-3637B9E7EA8F}"/>
            </a:ext>
          </a:extLst>
        </xdr:cNvPr>
        <xdr:cNvSpPr txBox="1"/>
      </xdr:nvSpPr>
      <xdr:spPr>
        <a:xfrm>
          <a:off x="9801217" y="577848"/>
          <a:ext cx="2246315" cy="60325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909A54A0-93B2-4FC7-9A00-2CB4D3B64E1A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28%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738177</xdr:colOff>
      <xdr:row>3</xdr:row>
      <xdr:rowOff>55560</xdr:rowOff>
    </xdr:from>
    <xdr:to>
      <xdr:col>14</xdr:col>
      <xdr:colOff>888992</xdr:colOff>
      <xdr:row>6</xdr:row>
      <xdr:rowOff>134935</xdr:rowOff>
    </xdr:to>
    <xdr:sp macro="" textlink="'Clean Summary Table'!G2">
      <xdr:nvSpPr>
        <xdr:cNvPr id="10" name="TextBox 9">
          <a:extLst>
            <a:ext uri="{FF2B5EF4-FFF2-40B4-BE49-F238E27FC236}">
              <a16:creationId xmlns:a16="http://schemas.microsoft.com/office/drawing/2014/main" id="{245A358D-C61F-D585-9000-5F574F6EDB77}"/>
            </a:ext>
          </a:extLst>
        </xdr:cNvPr>
        <xdr:cNvSpPr txBox="1"/>
      </xdr:nvSpPr>
      <xdr:spPr>
        <a:xfrm>
          <a:off x="12263427" y="579435"/>
          <a:ext cx="2246315" cy="60325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9AC356BB-96CC-4565-9112-F04C2A69F8A7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0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365129</xdr:colOff>
      <xdr:row>3</xdr:row>
      <xdr:rowOff>23812</xdr:rowOff>
    </xdr:from>
    <xdr:to>
      <xdr:col>2</xdr:col>
      <xdr:colOff>174629</xdr:colOff>
      <xdr:row>4</xdr:row>
      <xdr:rowOff>150812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8A1168-CD52-261D-45D7-3A2338EF1DBB}"/>
            </a:ext>
          </a:extLst>
        </xdr:cNvPr>
        <xdr:cNvSpPr txBox="1"/>
      </xdr:nvSpPr>
      <xdr:spPr>
        <a:xfrm>
          <a:off x="365129" y="762000"/>
          <a:ext cx="190500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Total</a:t>
          </a:r>
          <a:r>
            <a:rPr lang="en-US" sz="1100" b="1" baseline="0">
              <a:ln>
                <a:noFill/>
              </a:ln>
            </a:rPr>
            <a:t> </a:t>
          </a:r>
          <a:r>
            <a:rPr lang="en-US" sz="1100" b="1" baseline="0">
              <a:ln>
                <a:noFill/>
              </a:ln>
              <a:solidFill>
                <a:schemeClr val="bg1"/>
              </a:solidFill>
            </a:rPr>
            <a:t>Employees</a:t>
          </a:r>
          <a:endParaRPr lang="en-US" sz="11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634999</xdr:colOff>
      <xdr:row>3</xdr:row>
      <xdr:rowOff>33338</xdr:rowOff>
    </xdr:from>
    <xdr:to>
      <xdr:col>4</xdr:col>
      <xdr:colOff>184149</xdr:colOff>
      <xdr:row>4</xdr:row>
      <xdr:rowOff>160338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F001B63-9DA0-4A64-0F5E-B84270C77DDC}"/>
            </a:ext>
          </a:extLst>
        </xdr:cNvPr>
        <xdr:cNvSpPr txBox="1"/>
      </xdr:nvSpPr>
      <xdr:spPr>
        <a:xfrm>
          <a:off x="2730499" y="771526"/>
          <a:ext cx="164465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Attrition</a:t>
          </a:r>
          <a:r>
            <a:rPr lang="en-US" sz="1100" b="1">
              <a:ln>
                <a:noFill/>
              </a:ln>
            </a:rPr>
            <a:t> </a:t>
          </a:r>
          <a:r>
            <a:rPr lang="en-US" sz="1100" b="1">
              <a:ln>
                <a:noFill/>
              </a:ln>
              <a:solidFill>
                <a:schemeClr val="bg1"/>
              </a:solidFill>
            </a:rPr>
            <a:t>Rate</a:t>
          </a:r>
          <a:r>
            <a:rPr lang="en-US" sz="1100" b="1">
              <a:ln>
                <a:noFill/>
              </a:ln>
            </a:rPr>
            <a:t> </a:t>
          </a:r>
          <a:r>
            <a:rPr lang="en-US" sz="1100" b="1">
              <a:ln>
                <a:noFill/>
              </a:ln>
              <a:solidFill>
                <a:schemeClr val="bg1"/>
              </a:solidFill>
            </a:rPr>
            <a:t>%</a:t>
          </a:r>
        </a:p>
      </xdr:txBody>
    </xdr:sp>
    <xdr:clientData/>
  </xdr:twoCellAnchor>
  <xdr:twoCellAnchor>
    <xdr:from>
      <xdr:col>5</xdr:col>
      <xdr:colOff>71435</xdr:colOff>
      <xdr:row>3</xdr:row>
      <xdr:rowOff>26988</xdr:rowOff>
    </xdr:from>
    <xdr:to>
      <xdr:col>7</xdr:col>
      <xdr:colOff>668335</xdr:colOff>
      <xdr:row>4</xdr:row>
      <xdr:rowOff>153988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06FE56-F29E-784E-1783-956003D0FD4D}"/>
            </a:ext>
          </a:extLst>
        </xdr:cNvPr>
        <xdr:cNvSpPr txBox="1"/>
      </xdr:nvSpPr>
      <xdr:spPr>
        <a:xfrm>
          <a:off x="5310185" y="765176"/>
          <a:ext cx="164465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Avg.</a:t>
          </a:r>
          <a:r>
            <a:rPr lang="en-US" sz="1100" b="1" baseline="0">
              <a:ln>
                <a:noFill/>
              </a:ln>
              <a:solidFill>
                <a:schemeClr val="bg1"/>
              </a:solidFill>
            </a:rPr>
            <a:t> Gross Income</a:t>
          </a:r>
          <a:endParaRPr lang="en-US" sz="11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301625</xdr:colOff>
      <xdr:row>3</xdr:row>
      <xdr:rowOff>28573</xdr:rowOff>
    </xdr:from>
    <xdr:to>
      <xdr:col>9</xdr:col>
      <xdr:colOff>898525</xdr:colOff>
      <xdr:row>4</xdr:row>
      <xdr:rowOff>155573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098D56C-7B7C-D566-9862-C65BDD7D0593}"/>
            </a:ext>
          </a:extLst>
        </xdr:cNvPr>
        <xdr:cNvSpPr txBox="1"/>
      </xdr:nvSpPr>
      <xdr:spPr>
        <a:xfrm>
          <a:off x="7635875" y="766761"/>
          <a:ext cx="164465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Avg. Take Home Pay</a:t>
          </a:r>
        </a:p>
      </xdr:txBody>
    </xdr:sp>
    <xdr:clientData/>
  </xdr:twoCellAnchor>
  <xdr:twoCellAnchor>
    <xdr:from>
      <xdr:col>10</xdr:col>
      <xdr:colOff>650879</xdr:colOff>
      <xdr:row>3</xdr:row>
      <xdr:rowOff>61910</xdr:rowOff>
    </xdr:from>
    <xdr:to>
      <xdr:col>12</xdr:col>
      <xdr:colOff>200029</xdr:colOff>
      <xdr:row>5</xdr:row>
      <xdr:rowOff>14285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A9C602-5B22-D7E8-7878-B5906840A872}"/>
            </a:ext>
          </a:extLst>
        </xdr:cNvPr>
        <xdr:cNvSpPr txBox="1"/>
      </xdr:nvSpPr>
      <xdr:spPr>
        <a:xfrm>
          <a:off x="10080629" y="800098"/>
          <a:ext cx="164465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Overtime %</a:t>
          </a:r>
        </a:p>
      </xdr:txBody>
    </xdr:sp>
    <xdr:clientData/>
  </xdr:twoCellAnchor>
  <xdr:twoCellAnchor>
    <xdr:from>
      <xdr:col>12</xdr:col>
      <xdr:colOff>825500</xdr:colOff>
      <xdr:row>3</xdr:row>
      <xdr:rowOff>15878</xdr:rowOff>
    </xdr:from>
    <xdr:to>
      <xdr:col>14</xdr:col>
      <xdr:colOff>793750</xdr:colOff>
      <xdr:row>5</xdr:row>
      <xdr:rowOff>111131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FC906A-C4EF-20E7-9AAB-ADF354BF6DFC}"/>
            </a:ext>
          </a:extLst>
        </xdr:cNvPr>
        <xdr:cNvSpPr txBox="1"/>
      </xdr:nvSpPr>
      <xdr:spPr>
        <a:xfrm>
          <a:off x="12350750" y="754066"/>
          <a:ext cx="2063750" cy="444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</a:rPr>
            <a:t>Underpaid High Performers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CF1F2-B187-4867-AD1E-3712F6169DB1}" name="HR" displayName="HR" ref="A1:AC1471" totalsRowShown="0" headerRowDxfId="32" headerRowBorderDxfId="31" tableBorderDxfId="30" totalsRowBorderDxfId="29">
  <autoFilter ref="A1:AC1471" xr:uid="{6B9CF1F2-B187-4867-AD1E-3712F6169D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1A09FEB4-7595-4B45-99A5-B3FF3822D6D1}" name="EmployeeID" dataDxfId="28">
      <calculatedColumnFormula>LEFT(H2,2)&amp;"-"&amp;LEFT(E2,3)&amp;"-"&amp;YEAR(TODAY())-W2&amp;"-"&amp;TEXT(ROW()-1,"000")</calculatedColumnFormula>
    </tableColumn>
    <tableColumn id="2" xr3:uid="{378BE2B0-B54A-4D33-8556-BB1FA4F7B661}" name="Age" dataDxfId="27"/>
    <tableColumn id="3" xr3:uid="{CF12A911-3E2C-430C-AB41-971CF77C61D7}" name="AgeBand" dataDxfId="26">
      <calculatedColumnFormula>IF(B2&lt;=29,"20-29",IF(B2&lt;=39,"30-39",IF(B2&lt;=49,"40-49","50+")))</calculatedColumnFormula>
    </tableColumn>
    <tableColumn id="4" xr3:uid="{2A3B0874-4FFF-4CDE-BB57-4B46DB790D3C}" name="Attrition" dataDxfId="25"/>
    <tableColumn id="5" xr3:uid="{05DA9D1A-BC3A-4B89-9C05-AD63508EBE75}" name="Department" dataDxfId="24"/>
    <tableColumn id="6" xr3:uid="{8F59CBE9-8765-4A56-BB67-5494AF39CC29}" name="Gender" dataDxfId="23"/>
    <tableColumn id="7" xr3:uid="{06FD76AE-5BC5-4E34-8EF2-98C0FB5A6299}" name="JobLevel" dataDxfId="22"/>
    <tableColumn id="8" xr3:uid="{81D6682D-AD4B-41AC-B1A9-FA862282B538}" name="JobRole" dataDxfId="21"/>
    <tableColumn id="9" xr3:uid="{75705143-C3FD-45E5-921D-7F0D1829C9A6}" name="MaritalStatus" dataDxfId="20"/>
    <tableColumn id="10" xr3:uid="{3B2A692E-09A4-4D55-96A6-D62B65A2317A}" name="MonthlyIncome" dataDxfId="19"/>
    <tableColumn id="11" xr3:uid="{29B02BD9-BDDA-40AF-8AB2-2D77BADB61B6}" name="Tax" dataDxfId="18">
      <calculatedColumnFormula>IF(J2&gt;13000,J2*30%,IF(J2&gt;7000,J2*22%,IF(J2&gt;3000,J2*15%,J2*7%)))</calculatedColumnFormula>
    </tableColumn>
    <tableColumn id="12" xr3:uid="{FDDF87FD-F3B7-4813-8B8D-1FBB89192149}" name="Take Home" dataDxfId="17">
      <calculatedColumnFormula>J2-K2</calculatedColumnFormula>
    </tableColumn>
    <tableColumn id="13" xr3:uid="{4554EF19-5555-4D8F-98B4-70AA8A084136}" name="MonthlyRate" dataDxfId="16"/>
    <tableColumn id="14" xr3:uid="{7E3F1302-FD2C-4722-B246-CDCDF0683EE8}" name="OverTime" dataDxfId="15"/>
    <tableColumn id="15" xr3:uid="{1C849EC0-6220-47D4-87D0-1711436E8BC1}" name="PercentSalaryHike" dataDxfId="14"/>
    <tableColumn id="16" xr3:uid="{30FB1205-76AE-482F-9BF2-8D20CE2ECE54}" name="NewSalaryAfter Hike" dataDxfId="13">
      <calculatedColumnFormula>J2*(1+(O2/100))</calculatedColumnFormula>
    </tableColumn>
    <tableColumn id="17" xr3:uid="{FE445980-1B43-4C02-A77B-6625EFEEFFCA}" name="AnnualRaiseAmount" dataDxfId="12">
      <calculatedColumnFormula>(P2-J2)*12</calculatedColumnFormula>
    </tableColumn>
    <tableColumn id="18" xr3:uid="{828235A9-8FC8-4CF6-8059-92332F8A5A6C}" name="SalaryFlag" dataDxfId="11">
      <calculatedColumnFormula>IF(AND(O2&lt;12,S2=4),"UnderPaid","Normal")</calculatedColumnFormula>
    </tableColumn>
    <tableColumn id="19" xr3:uid="{603168F1-F341-44F2-BBF5-1EAD88F90FAD}" name="PerformanceRating" dataDxfId="10"/>
    <tableColumn id="20" xr3:uid="{43384A91-6BD7-441E-84EF-F78D7B72514C}" name="WorkLifeBalance" dataDxfId="9"/>
    <tableColumn id="21" xr3:uid="{49481788-2DA4-4690-ABCD-7CEFDF9CD139}" name="WorkLifeBalance Level" dataDxfId="8">
      <calculatedColumnFormula array="1">_xlfn.IFS(T2=1,"Poor",T2=2,"Fair",T2=3,"Good",T2=4,"Excellent")</calculatedColumnFormula>
    </tableColumn>
    <tableColumn id="22" xr3:uid="{F177F0F3-2EC8-488D-B5F3-3D64F5C35DBA}" name="OverTime2" dataDxfId="7"/>
    <tableColumn id="23" xr3:uid="{08E49347-67C5-4C26-A53A-D1582A387D40}" name="YearsAtCompany" dataDxfId="6"/>
    <tableColumn id="24" xr3:uid="{7C6FCD26-CA94-4FF7-9D55-A2957FC95CBE}" name="EstimatedJoinDate" dataDxfId="5">
      <calculatedColumnFormula>EDATE(TODAY(),-W2*12)</calculatedColumnFormula>
    </tableColumn>
    <tableColumn id="25" xr3:uid="{ACA5CCCB-7913-4F2E-A8ED-58C368C3BA49}" name="NextReviewDate" dataDxfId="4">
      <calculatedColumnFormula>EDATE(X2,(INT(W2/2)+1)*24)</calculatedColumnFormula>
    </tableColumn>
    <tableColumn id="26" xr3:uid="{28CCCD23-7027-47F1-AD61-322FE492988A}" name="Review Flag" dataDxfId="3">
      <calculatedColumnFormula>IF(Y2&lt;=EDATE(TODAY(),12),"Due Soon","Upcoming")</calculatedColumnFormula>
    </tableColumn>
    <tableColumn id="27" xr3:uid="{D60E468C-4E8E-4908-A829-9F19B2C5E265}" name="TenureBucket" dataDxfId="2">
      <calculatedColumnFormula array="1">_xlfn.IFS(W2&gt;10,"Veteran",W2&gt;=6,"Experienced",W2&gt;=2,"Developing",W2&gt;=0,"New")</calculatedColumnFormula>
    </tableColumn>
    <tableColumn id="28" xr3:uid="{B436974A-7CB6-42E8-A4CD-5AC8F3BC74AA}" name="Seniority Title Builder" dataDxfId="1">
      <calculatedColumnFormula array="1">_xlfn.IFS(G2=1,"Junior",G2=2,"Mid-Level",G2=3,"Senior",G2=4,"Lead",G2=5,"Principal")&amp;" "&amp;TRIM(PROPER(H2))</calculatedColumnFormula>
    </tableColumn>
    <tableColumn id="29" xr3:uid="{7D4AEC3D-4677-4940-B627-F52CEDE7E90C}" name="Full Employee Profile Text Card" dataDxfId="0">
      <calculatedColumnFormula>A2&amp;" is a "&amp;AB2&amp;" in the "&amp;E2&amp;" department, aged "&amp;B2&amp;", "&amp;LOWER(I2)&amp;" and has been with the Company for "&amp;W2&amp;"years"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148F-A1BD-4702-98E9-8CF98AE9473D}">
  <dimension ref="A1:AI1471"/>
  <sheetViews>
    <sheetView topLeftCell="J1" zoomScale="91" zoomScaleNormal="91" workbookViewId="0">
      <selection activeCell="W1" sqref="W1:W1048576"/>
    </sheetView>
  </sheetViews>
  <sheetFormatPr defaultRowHeight="13.8"/>
  <cols>
    <col min="5" max="5" width="21.59765625" bestFit="1" customWidth="1"/>
    <col min="24" max="24" width="15.8984375" bestFit="1" customWidth="1"/>
    <col min="29" max="29" width="16.3984375" bestFit="1" customWidth="1"/>
    <col min="32" max="32" width="14.8984375" bestFit="1" customWidth="1"/>
    <col min="33" max="33" width="16.796875" bestFit="1" customWidth="1"/>
    <col min="34" max="34" width="21.8984375" bestFit="1" customWidth="1"/>
    <col min="35" max="35" width="20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2B6-DEE2-446E-A347-0077F9ED25C5}">
  <dimension ref="A1:AC1471"/>
  <sheetViews>
    <sheetView showGridLines="0" topLeftCell="T1" zoomScaleNormal="100" zoomScaleSheetLayoutView="95" workbookViewId="0">
      <selection activeCell="AC1" sqref="AC1"/>
    </sheetView>
  </sheetViews>
  <sheetFormatPr defaultRowHeight="13.8"/>
  <cols>
    <col min="1" max="1" width="17.09765625" style="5" bestFit="1" customWidth="1"/>
    <col min="2" max="2" width="6.09765625" style="5" customWidth="1"/>
    <col min="3" max="3" width="10.59765625" style="5" customWidth="1"/>
    <col min="4" max="4" width="9.59765625" style="5" customWidth="1"/>
    <col min="5" max="5" width="21.59765625" style="5" bestFit="1" customWidth="1"/>
    <col min="6" max="6" width="9.09765625" style="5" customWidth="1"/>
    <col min="7" max="7" width="10.69921875" style="5" customWidth="1"/>
    <col min="8" max="8" width="22.5" style="5" bestFit="1" customWidth="1"/>
    <col min="9" max="9" width="13.8984375" style="5" customWidth="1"/>
    <col min="10" max="10" width="16.09765625" style="7" customWidth="1"/>
    <col min="11" max="11" width="8.8984375" style="7" bestFit="1" customWidth="1"/>
    <col min="12" max="12" width="12.5" style="7" customWidth="1"/>
    <col min="13" max="13" width="13.796875" style="7" customWidth="1"/>
    <col min="14" max="14" width="11.296875" style="5" customWidth="1"/>
    <col min="15" max="15" width="18.796875" style="5" customWidth="1"/>
    <col min="16" max="16" width="20.69921875" style="5" customWidth="1"/>
    <col min="17" max="17" width="20.5" style="5" customWidth="1"/>
    <col min="18" max="18" width="11.796875" style="5" customWidth="1"/>
    <col min="19" max="19" width="19.5" style="5" customWidth="1"/>
    <col min="20" max="20" width="17.3984375" style="5" customWidth="1"/>
    <col min="21" max="21" width="22.796875" style="5" customWidth="1"/>
    <col min="22" max="22" width="12.296875" style="5" customWidth="1"/>
    <col min="23" max="23" width="18" style="5" customWidth="1"/>
    <col min="24" max="24" width="19.09765625" style="5" customWidth="1"/>
    <col min="25" max="25" width="17.296875" style="5" customWidth="1"/>
    <col min="26" max="26" width="13.3984375" style="5" customWidth="1"/>
    <col min="27" max="27" width="14.8984375" style="5" customWidth="1"/>
    <col min="28" max="28" width="31" style="5" bestFit="1" customWidth="1"/>
    <col min="29" max="29" width="139" style="5" bestFit="1" customWidth="1"/>
    <col min="30" max="16384" width="8.796875" style="5"/>
  </cols>
  <sheetData>
    <row r="1" spans="1:29" s="48" customFormat="1">
      <c r="A1" s="44" t="s">
        <v>75</v>
      </c>
      <c r="B1" s="45" t="s">
        <v>0</v>
      </c>
      <c r="C1" s="45" t="s">
        <v>76</v>
      </c>
      <c r="D1" s="45" t="s">
        <v>1</v>
      </c>
      <c r="E1" s="45" t="s">
        <v>4</v>
      </c>
      <c r="F1" s="45" t="s">
        <v>11</v>
      </c>
      <c r="G1" s="45" t="s">
        <v>14</v>
      </c>
      <c r="H1" s="45" t="s">
        <v>15</v>
      </c>
      <c r="I1" s="45" t="s">
        <v>17</v>
      </c>
      <c r="J1" s="46" t="s">
        <v>18</v>
      </c>
      <c r="K1" s="46" t="s">
        <v>62</v>
      </c>
      <c r="L1" s="46" t="s">
        <v>63</v>
      </c>
      <c r="M1" s="46" t="s">
        <v>19</v>
      </c>
      <c r="N1" s="45" t="s">
        <v>22</v>
      </c>
      <c r="O1" s="45" t="s">
        <v>23</v>
      </c>
      <c r="P1" s="45" t="s">
        <v>100</v>
      </c>
      <c r="Q1" s="45" t="s">
        <v>101</v>
      </c>
      <c r="R1" s="45" t="s">
        <v>102</v>
      </c>
      <c r="S1" s="45" t="s">
        <v>24</v>
      </c>
      <c r="T1" s="45" t="s">
        <v>30</v>
      </c>
      <c r="U1" s="45" t="s">
        <v>103</v>
      </c>
      <c r="V1" s="45" t="s">
        <v>113</v>
      </c>
      <c r="W1" s="45" t="s">
        <v>31</v>
      </c>
      <c r="X1" s="45" t="s">
        <v>96</v>
      </c>
      <c r="Y1" s="45" t="s">
        <v>97</v>
      </c>
      <c r="Z1" s="45" t="s">
        <v>98</v>
      </c>
      <c r="AA1" s="46" t="s">
        <v>83</v>
      </c>
      <c r="AB1" s="46" t="s">
        <v>95</v>
      </c>
      <c r="AC1" s="47" t="s">
        <v>94</v>
      </c>
    </row>
    <row r="2" spans="1:29">
      <c r="A2" s="18" t="str">
        <f ca="1">LEFT(H2,2)&amp;"-"&amp;LEFT(E2,3)&amp;"-"&amp;YEAR(TODAY())-W2&amp;"-"&amp;TEXT(ROW()-1,"000")</f>
        <v>Sa-Sal-2020-001</v>
      </c>
      <c r="B2" s="5">
        <v>41</v>
      </c>
      <c r="C2" s="5" t="str">
        <f>IF(B2&lt;=29,"20-29",IF(B2&lt;=39,"30-39",IF(B2&lt;=49,"40-49","50+")))</f>
        <v>40-49</v>
      </c>
      <c r="D2" s="5" t="s">
        <v>35</v>
      </c>
      <c r="E2" s="5" t="s">
        <v>37</v>
      </c>
      <c r="F2" s="5" t="s">
        <v>39</v>
      </c>
      <c r="G2" s="5">
        <v>2</v>
      </c>
      <c r="H2" s="5" t="s">
        <v>40</v>
      </c>
      <c r="I2" s="5" t="s">
        <v>41</v>
      </c>
      <c r="J2" s="7">
        <v>5993</v>
      </c>
      <c r="K2" s="7">
        <f>IF(J2&gt;13000,J2*30%,IF(J2&gt;7000,J2*22%,IF(J2&gt;3000,J2*15%,J2*7%)))</f>
        <v>898.94999999999993</v>
      </c>
      <c r="L2" s="7">
        <f>J2-K2</f>
        <v>5094.05</v>
      </c>
      <c r="M2" s="7">
        <v>19479</v>
      </c>
      <c r="N2" s="5" t="s">
        <v>35</v>
      </c>
      <c r="O2" s="5">
        <v>11</v>
      </c>
      <c r="P2" s="7">
        <f>J2*(1+(O2/100))</f>
        <v>6652.2300000000005</v>
      </c>
      <c r="Q2" s="7">
        <f>(P2-J2)*12</f>
        <v>7910.7600000000057</v>
      </c>
      <c r="R2" s="7" t="str">
        <f>IF(AND(O2&lt;12,S2=4),"UnderPaid High Performer","Normal")</f>
        <v>Normal</v>
      </c>
      <c r="S2" s="5">
        <v>3</v>
      </c>
      <c r="T2" s="5">
        <v>1</v>
      </c>
      <c r="U2" s="5" t="str" cm="1">
        <f t="array" ref="U2">_xlfn.IFS(T2=1,"Poor",T2=2,"Fair",T2=3,"Good",T2=4,"Excellent")</f>
        <v>Poor</v>
      </c>
      <c r="V2" s="5" t="s">
        <v>35</v>
      </c>
      <c r="W2" s="5">
        <v>6</v>
      </c>
      <c r="X2" s="28">
        <f ca="1">EDATE(TODAY(),-W2*12)</f>
        <v>43920</v>
      </c>
      <c r="Y2" s="28">
        <f ca="1">EDATE(X2,(INT(W2/2)+1)*24)</f>
        <v>46842</v>
      </c>
      <c r="Z2" s="28" t="str">
        <f ca="1">IF(Y2&lt;=EDATE(TODAY(),12),"Due Soon","Upcoming")</f>
        <v>Upcoming</v>
      </c>
      <c r="AA2" s="5" t="str" cm="1">
        <f t="array" ref="AA2">_xlfn.IFS(W2&gt;10,"Veteran",W2&gt;=6,"Experienced",W2&gt;=2,"Developing",W2&gt;=0,"New")</f>
        <v>Experienced</v>
      </c>
      <c r="AB2" s="5" t="str" cm="1">
        <f t="array" ref="AB2">_xlfn.IFS(G2=1,"Junior",G2=2,"Mid-Level",G2=3,"Senior",G2=4,"Lead",G2=5,"Principal")&amp;" "&amp;TRIM(PROPER(H2))</f>
        <v>Mid-Level Sales Executive</v>
      </c>
      <c r="AC2" s="19" t="str">
        <f ca="1">A2&amp;" is a "&amp;AB2&amp;" in the "&amp;E2&amp;" department, aged "&amp;B2&amp;", "&amp;LOWER(I2)&amp;" and has been with the Company for "&amp;W2&amp;"years"</f>
        <v>Sa-Sal-2020-001 is a Mid-Level Sales Executive in the Sales department, aged 41, single and has been with the Company for 6years</v>
      </c>
    </row>
    <row r="3" spans="1:29">
      <c r="A3" s="18" t="str">
        <f t="shared" ref="A3:A66" ca="1" si="0">LEFT(H3,2)&amp;"-"&amp;LEFT(E3,3)&amp;"-"&amp;YEAR(TODAY())-W3&amp;"-"&amp;TEXT(ROW()-1,"000")</f>
        <v>Re-Res-2016-002</v>
      </c>
      <c r="B3" s="5">
        <v>49</v>
      </c>
      <c r="C3" s="5" t="str">
        <f>IF(B3&lt;=29,"20-29",IF(B3&lt;=39,"30-39",IF(B3&lt;=49,"40-49","50+")))</f>
        <v>40-49</v>
      </c>
      <c r="D3" s="5" t="s">
        <v>43</v>
      </c>
      <c r="E3" s="5" t="s">
        <v>45</v>
      </c>
      <c r="F3" s="5" t="s">
        <v>46</v>
      </c>
      <c r="G3" s="5">
        <v>2</v>
      </c>
      <c r="H3" s="5" t="s">
        <v>47</v>
      </c>
      <c r="I3" s="5" t="s">
        <v>48</v>
      </c>
      <c r="J3" s="7">
        <v>5130</v>
      </c>
      <c r="K3" s="7">
        <f t="shared" ref="K3:K66" si="1">IF(J3&gt;13000,J3*30%,IF(J3&gt;7000,J3*22%,IF(J3&gt;3000,J3*15%,J3*7%)))</f>
        <v>769.5</v>
      </c>
      <c r="L3" s="7">
        <f t="shared" ref="L3:L66" si="2">J3-K3</f>
        <v>4360.5</v>
      </c>
      <c r="M3" s="7">
        <v>24907</v>
      </c>
      <c r="N3" s="5" t="s">
        <v>43</v>
      </c>
      <c r="O3" s="5">
        <v>23</v>
      </c>
      <c r="P3" s="7">
        <f t="shared" ref="P3:P66" si="3">J3*(1+(O3/100))</f>
        <v>6309.9</v>
      </c>
      <c r="Q3" s="7">
        <f t="shared" ref="Q3:Q66" si="4">(P3-J3)*12</f>
        <v>14158.799999999996</v>
      </c>
      <c r="R3" s="7" t="str">
        <f t="shared" ref="R3:R66" si="5">IF(AND(O3&lt;12,S3=4),"UnderPaid","Normal")</f>
        <v>Normal</v>
      </c>
      <c r="S3" s="5">
        <v>4</v>
      </c>
      <c r="T3" s="5">
        <v>3</v>
      </c>
      <c r="U3" s="5" t="str" cm="1">
        <f t="array" ref="U3">_xlfn.IFS(T3=1,"Poor",T3=2,"Fair",T3=3,"Good",T3=4,"Excellent")</f>
        <v>Good</v>
      </c>
      <c r="V3" s="5" t="s">
        <v>43</v>
      </c>
      <c r="W3" s="5">
        <v>10</v>
      </c>
      <c r="X3" s="28">
        <f t="shared" ref="X3:X66" ca="1" si="6">EDATE(TODAY(),-W3*12)</f>
        <v>42459</v>
      </c>
      <c r="Y3" s="28">
        <f t="shared" ref="Y3:Y66" ca="1" si="7">EDATE(X3,(INT(W3/2)+1)*24)</f>
        <v>46842</v>
      </c>
      <c r="Z3" s="28" t="str">
        <f t="shared" ref="Z3:Z66" ca="1" si="8">IF(Y3&lt;=EDATE(TODAY(),12),"Due Soon","Upcoming")</f>
        <v>Upcoming</v>
      </c>
      <c r="AA3" s="5" t="str" cm="1">
        <f t="array" ref="AA3">_xlfn.IFS(W3&gt;10,"Veteran",W3&gt;=6,"Experienced",W3&gt;=2,"Developing",W3&gt;=0,"New")</f>
        <v>Experienced</v>
      </c>
      <c r="AB3" s="5" t="str" cm="1">
        <f t="array" ref="AB3">_xlfn.IFS(G3=1,"Junior",G3=2,"Mid-Level",G3=3,"Senior",G3=4,"Lead",G3=5,"Principal")&amp;" "&amp;TRIM(PROPER(H3))</f>
        <v>Mid-Level Research Scientist</v>
      </c>
      <c r="AC3" s="19" t="str">
        <f t="shared" ref="AC3:AC66" ca="1" si="9">A3&amp;" is a "&amp;AB3&amp;" in the "&amp;E3&amp;" department, aged "&amp;B3&amp;", "&amp;LOWER(I3)&amp;" and has been with the Company for "&amp;W3&amp;"years"</f>
        <v>Re-Res-2016-002 is a Mid-Level Research Scientist in the Research &amp; Development department, aged 49, married and has been with the Company for 10years</v>
      </c>
    </row>
    <row r="4" spans="1:29">
      <c r="A4" s="18" t="str">
        <f t="shared" ca="1" si="0"/>
        <v>La-Res-2026-003</v>
      </c>
      <c r="B4" s="5">
        <v>37</v>
      </c>
      <c r="C4" s="5" t="str">
        <f t="shared" ref="C4:C66" si="10">IF(B4&lt;=29,"20-29",IF(B4&lt;=39,"30-39",IF(B4&lt;=49,"40-49","50+")))</f>
        <v>30-39</v>
      </c>
      <c r="D4" s="5" t="s">
        <v>35</v>
      </c>
      <c r="E4" s="5" t="s">
        <v>45</v>
      </c>
      <c r="F4" s="5" t="s">
        <v>46</v>
      </c>
      <c r="G4" s="5">
        <v>1</v>
      </c>
      <c r="H4" s="5" t="s">
        <v>50</v>
      </c>
      <c r="I4" s="5" t="s">
        <v>41</v>
      </c>
      <c r="J4" s="7">
        <v>2090</v>
      </c>
      <c r="K4" s="7">
        <f t="shared" si="1"/>
        <v>146.30000000000001</v>
      </c>
      <c r="L4" s="7">
        <f t="shared" si="2"/>
        <v>1943.7</v>
      </c>
      <c r="M4" s="7">
        <v>2396</v>
      </c>
      <c r="N4" s="5" t="s">
        <v>35</v>
      </c>
      <c r="O4" s="5">
        <v>15</v>
      </c>
      <c r="P4" s="7">
        <f t="shared" si="3"/>
        <v>2403.5</v>
      </c>
      <c r="Q4" s="7">
        <f t="shared" si="4"/>
        <v>3762</v>
      </c>
      <c r="R4" s="7" t="str">
        <f t="shared" si="5"/>
        <v>Normal</v>
      </c>
      <c r="S4" s="5">
        <v>3</v>
      </c>
      <c r="T4" s="5">
        <v>3</v>
      </c>
      <c r="U4" s="5" t="str" cm="1">
        <f t="array" ref="U4">_xlfn.IFS(T4=1,"Poor",T4=2,"Fair",T4=3,"Good",T4=4,"Excellent")</f>
        <v>Good</v>
      </c>
      <c r="V4" s="5" t="s">
        <v>35</v>
      </c>
      <c r="W4" s="5">
        <v>0</v>
      </c>
      <c r="X4" s="28">
        <f t="shared" ca="1" si="6"/>
        <v>46111</v>
      </c>
      <c r="Y4" s="28">
        <f t="shared" ca="1" si="7"/>
        <v>46842</v>
      </c>
      <c r="Z4" s="28" t="str">
        <f t="shared" ca="1" si="8"/>
        <v>Upcoming</v>
      </c>
      <c r="AA4" s="5" t="str" cm="1">
        <f t="array" ref="AA4">_xlfn.IFS(W4&gt;10,"Veteran",W4&gt;=6,"Experienced",W4&gt;=2,"Developing",W4&gt;=0,"New")</f>
        <v>New</v>
      </c>
      <c r="AB4" s="5" t="str" cm="1">
        <f t="array" ref="AB4">_xlfn.IFS(G4=1,"Junior",G4=2,"Mid-Level",G4=3,"Senior",G4=4,"Lead",G4=5,"Principal")&amp;" "&amp;TRIM(PROPER(H4))</f>
        <v>Junior Laboratory Technician</v>
      </c>
      <c r="AC4" s="19" t="str">
        <f t="shared" ca="1" si="9"/>
        <v>La-Res-2026-003 is a Junior Laboratory Technician in the Research &amp; Development department, aged 37, single and has been with the Company for 0years</v>
      </c>
    </row>
    <row r="5" spans="1:29">
      <c r="A5" s="18" t="str">
        <f t="shared" ca="1" si="0"/>
        <v>Re-Res-2018-004</v>
      </c>
      <c r="B5" s="5">
        <v>33</v>
      </c>
      <c r="C5" s="5" t="str">
        <f t="shared" si="10"/>
        <v>30-39</v>
      </c>
      <c r="D5" s="5" t="s">
        <v>43</v>
      </c>
      <c r="E5" s="5" t="s">
        <v>45</v>
      </c>
      <c r="F5" s="5" t="s">
        <v>39</v>
      </c>
      <c r="G5" s="5">
        <v>1</v>
      </c>
      <c r="H5" s="5" t="s">
        <v>47</v>
      </c>
      <c r="I5" s="5" t="s">
        <v>48</v>
      </c>
      <c r="J5" s="7">
        <v>2909</v>
      </c>
      <c r="K5" s="7">
        <f t="shared" si="1"/>
        <v>203.63000000000002</v>
      </c>
      <c r="L5" s="7">
        <f t="shared" si="2"/>
        <v>2705.37</v>
      </c>
      <c r="M5" s="7">
        <v>23159</v>
      </c>
      <c r="N5" s="5" t="s">
        <v>35</v>
      </c>
      <c r="O5" s="5">
        <v>11</v>
      </c>
      <c r="P5" s="7">
        <f t="shared" si="3"/>
        <v>3228.9900000000002</v>
      </c>
      <c r="Q5" s="7">
        <f t="shared" si="4"/>
        <v>3839.8800000000028</v>
      </c>
      <c r="R5" s="7" t="str">
        <f t="shared" si="5"/>
        <v>Normal</v>
      </c>
      <c r="S5" s="5">
        <v>3</v>
      </c>
      <c r="T5" s="5">
        <v>3</v>
      </c>
      <c r="U5" s="5" t="str" cm="1">
        <f t="array" ref="U5">_xlfn.IFS(T5=1,"Poor",T5=2,"Fair",T5=3,"Good",T5=4,"Excellent")</f>
        <v>Good</v>
      </c>
      <c r="V5" s="5" t="s">
        <v>35</v>
      </c>
      <c r="W5" s="5">
        <v>8</v>
      </c>
      <c r="X5" s="28">
        <f t="shared" ca="1" si="6"/>
        <v>43189</v>
      </c>
      <c r="Y5" s="28">
        <f t="shared" ca="1" si="7"/>
        <v>46842</v>
      </c>
      <c r="Z5" s="28" t="str">
        <f t="shared" ca="1" si="8"/>
        <v>Upcoming</v>
      </c>
      <c r="AA5" s="5" t="str" cm="1">
        <f t="array" ref="AA5">_xlfn.IFS(W5&gt;10,"Veteran",W5&gt;=6,"Experienced",W5&gt;=2,"Developing",W5&gt;=0,"New")</f>
        <v>Experienced</v>
      </c>
      <c r="AB5" s="5" t="str" cm="1">
        <f t="array" ref="AB5">_xlfn.IFS(G5=1,"Junior",G5=2,"Mid-Level",G5=3,"Senior",G5=4,"Lead",G5=5,"Principal")&amp;" "&amp;TRIM(PROPER(H5))</f>
        <v>Junior Research Scientist</v>
      </c>
      <c r="AC5" s="19" t="str">
        <f t="shared" ca="1" si="9"/>
        <v>Re-Res-2018-004 is a Junior Research Scientist in the Research &amp; Development department, aged 33, married and has been with the Company for 8years</v>
      </c>
    </row>
    <row r="6" spans="1:29">
      <c r="A6" s="18" t="str">
        <f t="shared" ca="1" si="0"/>
        <v>La-Res-2024-005</v>
      </c>
      <c r="B6" s="5">
        <v>27</v>
      </c>
      <c r="C6" s="5" t="str">
        <f t="shared" si="10"/>
        <v>20-29</v>
      </c>
      <c r="D6" s="5" t="s">
        <v>43</v>
      </c>
      <c r="E6" s="5" t="s">
        <v>45</v>
      </c>
      <c r="F6" s="5" t="s">
        <v>46</v>
      </c>
      <c r="G6" s="5">
        <v>1</v>
      </c>
      <c r="H6" s="5" t="s">
        <v>50</v>
      </c>
      <c r="I6" s="5" t="s">
        <v>48</v>
      </c>
      <c r="J6" s="7">
        <v>3468</v>
      </c>
      <c r="K6" s="7">
        <f t="shared" si="1"/>
        <v>520.19999999999993</v>
      </c>
      <c r="L6" s="7">
        <f t="shared" si="2"/>
        <v>2947.8</v>
      </c>
      <c r="M6" s="7">
        <v>16632</v>
      </c>
      <c r="N6" s="5" t="s">
        <v>43</v>
      </c>
      <c r="O6" s="5">
        <v>12</v>
      </c>
      <c r="P6" s="7">
        <f t="shared" si="3"/>
        <v>3884.1600000000003</v>
      </c>
      <c r="Q6" s="7">
        <f t="shared" si="4"/>
        <v>4993.9200000000037</v>
      </c>
      <c r="R6" s="7" t="str">
        <f t="shared" si="5"/>
        <v>Normal</v>
      </c>
      <c r="S6" s="5">
        <v>3</v>
      </c>
      <c r="T6" s="5">
        <v>3</v>
      </c>
      <c r="U6" s="5" t="str" cm="1">
        <f t="array" ref="U6">_xlfn.IFS(T6=1,"Poor",T6=2,"Fair",T6=3,"Good",T6=4,"Excellent")</f>
        <v>Good</v>
      </c>
      <c r="V6" s="5" t="s">
        <v>43</v>
      </c>
      <c r="W6" s="5">
        <v>2</v>
      </c>
      <c r="X6" s="28">
        <f t="shared" ca="1" si="6"/>
        <v>45381</v>
      </c>
      <c r="Y6" s="28">
        <f t="shared" ca="1" si="7"/>
        <v>46842</v>
      </c>
      <c r="Z6" s="28" t="str">
        <f t="shared" ca="1" si="8"/>
        <v>Upcoming</v>
      </c>
      <c r="AA6" s="5" t="str" cm="1">
        <f t="array" ref="AA6">_xlfn.IFS(W6&gt;10,"Veteran",W6&gt;=6,"Experienced",W6&gt;=2,"Developing",W6&gt;=0,"New")</f>
        <v>Developing</v>
      </c>
      <c r="AB6" s="5" t="str" cm="1">
        <f t="array" ref="AB6">_xlfn.IFS(G6=1,"Junior",G6=2,"Mid-Level",G6=3,"Senior",G6=4,"Lead",G6=5,"Principal")&amp;" "&amp;TRIM(PROPER(H6))</f>
        <v>Junior Laboratory Technician</v>
      </c>
      <c r="AC6" s="19" t="str">
        <f t="shared" ca="1" si="9"/>
        <v>La-Res-2024-005 is a Junior Laboratory Technician in the Research &amp; Development department, aged 27, married and has been with the Company for 2years</v>
      </c>
    </row>
    <row r="7" spans="1:29">
      <c r="A7" s="18" t="str">
        <f t="shared" ca="1" si="0"/>
        <v>La-Res-2019-006</v>
      </c>
      <c r="B7" s="5">
        <v>32</v>
      </c>
      <c r="C7" s="5" t="str">
        <f t="shared" si="10"/>
        <v>30-39</v>
      </c>
      <c r="D7" s="5" t="s">
        <v>43</v>
      </c>
      <c r="E7" s="5" t="s">
        <v>45</v>
      </c>
      <c r="F7" s="5" t="s">
        <v>46</v>
      </c>
      <c r="G7" s="5">
        <v>1</v>
      </c>
      <c r="H7" s="5" t="s">
        <v>50</v>
      </c>
      <c r="I7" s="5" t="s">
        <v>41</v>
      </c>
      <c r="J7" s="7">
        <v>3068</v>
      </c>
      <c r="K7" s="7">
        <f t="shared" si="1"/>
        <v>460.2</v>
      </c>
      <c r="L7" s="7">
        <f t="shared" si="2"/>
        <v>2607.8000000000002</v>
      </c>
      <c r="M7" s="7">
        <v>11864</v>
      </c>
      <c r="N7" s="5" t="s">
        <v>43</v>
      </c>
      <c r="O7" s="5">
        <v>13</v>
      </c>
      <c r="P7" s="7">
        <f t="shared" si="3"/>
        <v>3466.8399999999997</v>
      </c>
      <c r="Q7" s="7">
        <f t="shared" si="4"/>
        <v>4786.0799999999963</v>
      </c>
      <c r="R7" s="7" t="str">
        <f t="shared" si="5"/>
        <v>Normal</v>
      </c>
      <c r="S7" s="5">
        <v>3</v>
      </c>
      <c r="T7" s="5">
        <v>2</v>
      </c>
      <c r="U7" s="5" t="str" cm="1">
        <f t="array" ref="U7">_xlfn.IFS(T7=1,"Poor",T7=2,"Fair",T7=3,"Good",T7=4,"Excellent")</f>
        <v>Fair</v>
      </c>
      <c r="V7" s="5" t="s">
        <v>43</v>
      </c>
      <c r="W7" s="5">
        <v>7</v>
      </c>
      <c r="X7" s="28">
        <f t="shared" ca="1" si="6"/>
        <v>43554</v>
      </c>
      <c r="Y7" s="28">
        <f t="shared" ca="1" si="7"/>
        <v>46476</v>
      </c>
      <c r="Z7" s="28" t="str">
        <f t="shared" ca="1" si="8"/>
        <v>Due Soon</v>
      </c>
      <c r="AA7" s="5" t="str" cm="1">
        <f t="array" ref="AA7">_xlfn.IFS(W7&gt;10,"Veteran",W7&gt;=6,"Experienced",W7&gt;=2,"Developing",W7&gt;=0,"New")</f>
        <v>Experienced</v>
      </c>
      <c r="AB7" s="5" t="str" cm="1">
        <f t="array" ref="AB7">_xlfn.IFS(G7=1,"Junior",G7=2,"Mid-Level",G7=3,"Senior",G7=4,"Lead",G7=5,"Principal")&amp;" "&amp;TRIM(PROPER(H7))</f>
        <v>Junior Laboratory Technician</v>
      </c>
      <c r="AC7" s="19" t="str">
        <f t="shared" ca="1" si="9"/>
        <v>La-Res-2019-006 is a Junior Laboratory Technician in the Research &amp; Development department, aged 32, single and has been with the Company for 7years</v>
      </c>
    </row>
    <row r="8" spans="1:29">
      <c r="A8" s="18" t="str">
        <f t="shared" ca="1" si="0"/>
        <v>La-Res-2025-007</v>
      </c>
      <c r="B8" s="5">
        <v>59</v>
      </c>
      <c r="C8" s="5" t="str">
        <f t="shared" si="10"/>
        <v>50+</v>
      </c>
      <c r="D8" s="5" t="s">
        <v>43</v>
      </c>
      <c r="E8" s="5" t="s">
        <v>45</v>
      </c>
      <c r="F8" s="5" t="s">
        <v>39</v>
      </c>
      <c r="G8" s="5">
        <v>1</v>
      </c>
      <c r="H8" s="5" t="s">
        <v>50</v>
      </c>
      <c r="I8" s="5" t="s">
        <v>48</v>
      </c>
      <c r="J8" s="7">
        <v>2670</v>
      </c>
      <c r="K8" s="7">
        <f t="shared" si="1"/>
        <v>186.9</v>
      </c>
      <c r="L8" s="7">
        <f t="shared" si="2"/>
        <v>2483.1</v>
      </c>
      <c r="M8" s="7">
        <v>9964</v>
      </c>
      <c r="N8" s="5" t="s">
        <v>35</v>
      </c>
      <c r="O8" s="5">
        <v>20</v>
      </c>
      <c r="P8" s="7">
        <f t="shared" si="3"/>
        <v>3204</v>
      </c>
      <c r="Q8" s="7">
        <f t="shared" si="4"/>
        <v>6408</v>
      </c>
      <c r="R8" s="7" t="str">
        <f t="shared" si="5"/>
        <v>Normal</v>
      </c>
      <c r="S8" s="5">
        <v>4</v>
      </c>
      <c r="T8" s="5">
        <v>2</v>
      </c>
      <c r="U8" s="5" t="str" cm="1">
        <f t="array" ref="U8">_xlfn.IFS(T8=1,"Poor",T8=2,"Fair",T8=3,"Good",T8=4,"Excellent")</f>
        <v>Fair</v>
      </c>
      <c r="V8" s="5" t="s">
        <v>35</v>
      </c>
      <c r="W8" s="5">
        <v>1</v>
      </c>
      <c r="X8" s="28">
        <f t="shared" ca="1" si="6"/>
        <v>45746</v>
      </c>
      <c r="Y8" s="28">
        <f t="shared" ca="1" si="7"/>
        <v>46476</v>
      </c>
      <c r="Z8" s="28" t="str">
        <f t="shared" ca="1" si="8"/>
        <v>Due Soon</v>
      </c>
      <c r="AA8" s="5" t="str" cm="1">
        <f t="array" ref="AA8">_xlfn.IFS(W8&gt;10,"Veteran",W8&gt;=6,"Experienced",W8&gt;=2,"Developing",W8&gt;=0,"New")</f>
        <v>New</v>
      </c>
      <c r="AB8" s="5" t="str" cm="1">
        <f t="array" ref="AB8">_xlfn.IFS(G8=1,"Junior",G8=2,"Mid-Level",G8=3,"Senior",G8=4,"Lead",G8=5,"Principal")&amp;" "&amp;TRIM(PROPER(H8))</f>
        <v>Junior Laboratory Technician</v>
      </c>
      <c r="AC8" s="19" t="str">
        <f t="shared" ca="1" si="9"/>
        <v>La-Res-2025-007 is a Junior Laboratory Technician in the Research &amp; Development department, aged 59, married and has been with the Company for 1years</v>
      </c>
    </row>
    <row r="9" spans="1:29">
      <c r="A9" s="18" t="str">
        <f t="shared" ca="1" si="0"/>
        <v>La-Res-2025-008</v>
      </c>
      <c r="B9" s="5">
        <v>30</v>
      </c>
      <c r="C9" s="5" t="str">
        <f t="shared" si="10"/>
        <v>30-39</v>
      </c>
      <c r="D9" s="5" t="s">
        <v>43</v>
      </c>
      <c r="E9" s="5" t="s">
        <v>45</v>
      </c>
      <c r="F9" s="5" t="s">
        <v>46</v>
      </c>
      <c r="G9" s="5">
        <v>1</v>
      </c>
      <c r="H9" s="5" t="s">
        <v>50</v>
      </c>
      <c r="I9" s="5" t="s">
        <v>52</v>
      </c>
      <c r="J9" s="7">
        <v>2693</v>
      </c>
      <c r="K9" s="7">
        <f t="shared" si="1"/>
        <v>188.51000000000002</v>
      </c>
      <c r="L9" s="7">
        <f t="shared" si="2"/>
        <v>2504.4899999999998</v>
      </c>
      <c r="M9" s="7">
        <v>13335</v>
      </c>
      <c r="N9" s="5" t="s">
        <v>43</v>
      </c>
      <c r="O9" s="5">
        <v>22</v>
      </c>
      <c r="P9" s="7">
        <f t="shared" si="3"/>
        <v>3285.46</v>
      </c>
      <c r="Q9" s="7">
        <f t="shared" si="4"/>
        <v>7109.52</v>
      </c>
      <c r="R9" s="7" t="str">
        <f t="shared" si="5"/>
        <v>Normal</v>
      </c>
      <c r="S9" s="5">
        <v>4</v>
      </c>
      <c r="T9" s="5">
        <v>3</v>
      </c>
      <c r="U9" s="5" t="str" cm="1">
        <f t="array" ref="U9">_xlfn.IFS(T9=1,"Poor",T9=2,"Fair",T9=3,"Good",T9=4,"Excellent")</f>
        <v>Good</v>
      </c>
      <c r="V9" s="5" t="s">
        <v>43</v>
      </c>
      <c r="W9" s="5">
        <v>1</v>
      </c>
      <c r="X9" s="28">
        <f t="shared" ca="1" si="6"/>
        <v>45746</v>
      </c>
      <c r="Y9" s="28">
        <f t="shared" ca="1" si="7"/>
        <v>46476</v>
      </c>
      <c r="Z9" s="28" t="str">
        <f t="shared" ca="1" si="8"/>
        <v>Due Soon</v>
      </c>
      <c r="AA9" s="5" t="str" cm="1">
        <f t="array" ref="AA9">_xlfn.IFS(W9&gt;10,"Veteran",W9&gt;=6,"Experienced",W9&gt;=2,"Developing",W9&gt;=0,"New")</f>
        <v>New</v>
      </c>
      <c r="AB9" s="5" t="str" cm="1">
        <f t="array" ref="AB9">_xlfn.IFS(G9=1,"Junior",G9=2,"Mid-Level",G9=3,"Senior",G9=4,"Lead",G9=5,"Principal")&amp;" "&amp;TRIM(PROPER(H9))</f>
        <v>Junior Laboratory Technician</v>
      </c>
      <c r="AC9" s="19" t="str">
        <f t="shared" ca="1" si="9"/>
        <v>La-Res-2025-008 is a Junior Laboratory Technician in the Research &amp; Development department, aged 30, divorced and has been with the Company for 1years</v>
      </c>
    </row>
    <row r="10" spans="1:29">
      <c r="A10" s="18" t="str">
        <f t="shared" ca="1" si="0"/>
        <v>Ma-Res-2017-009</v>
      </c>
      <c r="B10" s="5">
        <v>38</v>
      </c>
      <c r="C10" s="5" t="str">
        <f t="shared" si="10"/>
        <v>30-39</v>
      </c>
      <c r="D10" s="5" t="s">
        <v>43</v>
      </c>
      <c r="E10" s="5" t="s">
        <v>45</v>
      </c>
      <c r="F10" s="5" t="s">
        <v>46</v>
      </c>
      <c r="G10" s="5">
        <v>3</v>
      </c>
      <c r="H10" s="5" t="s">
        <v>53</v>
      </c>
      <c r="I10" s="5" t="s">
        <v>41</v>
      </c>
      <c r="J10" s="7">
        <v>9526</v>
      </c>
      <c r="K10" s="7">
        <f t="shared" si="1"/>
        <v>2095.7199999999998</v>
      </c>
      <c r="L10" s="7">
        <f t="shared" si="2"/>
        <v>7430.2800000000007</v>
      </c>
      <c r="M10" s="7">
        <v>8787</v>
      </c>
      <c r="N10" s="5" t="s">
        <v>43</v>
      </c>
      <c r="O10" s="5">
        <v>21</v>
      </c>
      <c r="P10" s="7">
        <f t="shared" si="3"/>
        <v>11526.46</v>
      </c>
      <c r="Q10" s="7">
        <f t="shared" si="4"/>
        <v>24005.51999999999</v>
      </c>
      <c r="R10" s="7" t="str">
        <f t="shared" si="5"/>
        <v>Normal</v>
      </c>
      <c r="S10" s="5">
        <v>4</v>
      </c>
      <c r="T10" s="5">
        <v>3</v>
      </c>
      <c r="U10" s="5" t="str" cm="1">
        <f t="array" ref="U10">_xlfn.IFS(T10=1,"Poor",T10=2,"Fair",T10=3,"Good",T10=4,"Excellent")</f>
        <v>Good</v>
      </c>
      <c r="V10" s="5" t="s">
        <v>43</v>
      </c>
      <c r="W10" s="5">
        <v>9</v>
      </c>
      <c r="X10" s="28">
        <f t="shared" ca="1" si="6"/>
        <v>42824</v>
      </c>
      <c r="Y10" s="28">
        <f t="shared" ca="1" si="7"/>
        <v>46476</v>
      </c>
      <c r="Z10" s="28" t="str">
        <f t="shared" ca="1" si="8"/>
        <v>Due Soon</v>
      </c>
      <c r="AA10" s="5" t="str" cm="1">
        <f t="array" ref="AA10">_xlfn.IFS(W10&gt;10,"Veteran",W10&gt;=6,"Experienced",W10&gt;=2,"Developing",W10&gt;=0,"New")</f>
        <v>Experienced</v>
      </c>
      <c r="AB10" s="5" t="str" cm="1">
        <f t="array" ref="AB10">_xlfn.IFS(G10=1,"Junior",G10=2,"Mid-Level",G10=3,"Senior",G10=4,"Lead",G10=5,"Principal")&amp;" "&amp;TRIM(PROPER(H10))</f>
        <v>Senior Manufacturing Director</v>
      </c>
      <c r="AC10" s="19" t="str">
        <f t="shared" ca="1" si="9"/>
        <v>Ma-Res-2017-009 is a Senior Manufacturing Director in the Research &amp; Development department, aged 38, single and has been with the Company for 9years</v>
      </c>
    </row>
    <row r="11" spans="1:29">
      <c r="A11" s="18" t="str">
        <f t="shared" ca="1" si="0"/>
        <v>He-Res-2019-010</v>
      </c>
      <c r="B11" s="5">
        <v>36</v>
      </c>
      <c r="C11" s="5" t="str">
        <f t="shared" si="10"/>
        <v>30-39</v>
      </c>
      <c r="D11" s="5" t="s">
        <v>43</v>
      </c>
      <c r="E11" s="5" t="s">
        <v>45</v>
      </c>
      <c r="F11" s="5" t="s">
        <v>46</v>
      </c>
      <c r="G11" s="5">
        <v>2</v>
      </c>
      <c r="H11" s="5" t="s">
        <v>54</v>
      </c>
      <c r="I11" s="5" t="s">
        <v>48</v>
      </c>
      <c r="J11" s="7">
        <v>5237</v>
      </c>
      <c r="K11" s="7">
        <f t="shared" si="1"/>
        <v>785.55</v>
      </c>
      <c r="L11" s="7">
        <f t="shared" si="2"/>
        <v>4451.45</v>
      </c>
      <c r="M11" s="7">
        <v>16577</v>
      </c>
      <c r="N11" s="5" t="s">
        <v>43</v>
      </c>
      <c r="O11" s="5">
        <v>13</v>
      </c>
      <c r="P11" s="7">
        <f t="shared" si="3"/>
        <v>5917.8099999999995</v>
      </c>
      <c r="Q11" s="7">
        <f t="shared" si="4"/>
        <v>8169.7199999999939</v>
      </c>
      <c r="R11" s="7" t="str">
        <f t="shared" si="5"/>
        <v>Normal</v>
      </c>
      <c r="S11" s="5">
        <v>3</v>
      </c>
      <c r="T11" s="5">
        <v>2</v>
      </c>
      <c r="U11" s="5" t="str" cm="1">
        <f t="array" ref="U11">_xlfn.IFS(T11=1,"Poor",T11=2,"Fair",T11=3,"Good",T11=4,"Excellent")</f>
        <v>Fair</v>
      </c>
      <c r="V11" s="5" t="s">
        <v>43</v>
      </c>
      <c r="W11" s="5">
        <v>7</v>
      </c>
      <c r="X11" s="28">
        <f t="shared" ca="1" si="6"/>
        <v>43554</v>
      </c>
      <c r="Y11" s="28">
        <f t="shared" ca="1" si="7"/>
        <v>46476</v>
      </c>
      <c r="Z11" s="28" t="str">
        <f t="shared" ca="1" si="8"/>
        <v>Due Soon</v>
      </c>
      <c r="AA11" s="5" t="str" cm="1">
        <f t="array" ref="AA11">_xlfn.IFS(W11&gt;10,"Veteran",W11&gt;=6,"Experienced",W11&gt;=2,"Developing",W11&gt;=0,"New")</f>
        <v>Experienced</v>
      </c>
      <c r="AB11" s="5" t="str" cm="1">
        <f t="array" ref="AB11">_xlfn.IFS(G11=1,"Junior",G11=2,"Mid-Level",G11=3,"Senior",G11=4,"Lead",G11=5,"Principal")&amp;" "&amp;TRIM(PROPER(H11))</f>
        <v>Mid-Level Healthcare Representative</v>
      </c>
      <c r="AC11" s="19" t="str">
        <f t="shared" ca="1" si="9"/>
        <v>He-Res-2019-010 is a Mid-Level Healthcare Representative in the Research &amp; Development department, aged 36, married and has been with the Company for 7years</v>
      </c>
    </row>
    <row r="12" spans="1:29">
      <c r="A12" s="18" t="str">
        <f t="shared" ca="1" si="0"/>
        <v>La-Res-2021-011</v>
      </c>
      <c r="B12" s="5">
        <v>35</v>
      </c>
      <c r="C12" s="5" t="str">
        <f t="shared" si="10"/>
        <v>30-39</v>
      </c>
      <c r="D12" s="5" t="s">
        <v>43</v>
      </c>
      <c r="E12" s="5" t="s">
        <v>45</v>
      </c>
      <c r="F12" s="5" t="s">
        <v>46</v>
      </c>
      <c r="G12" s="5">
        <v>1</v>
      </c>
      <c r="H12" s="5" t="s">
        <v>50</v>
      </c>
      <c r="I12" s="5" t="s">
        <v>48</v>
      </c>
      <c r="J12" s="7">
        <v>2426</v>
      </c>
      <c r="K12" s="7">
        <f t="shared" si="1"/>
        <v>169.82000000000002</v>
      </c>
      <c r="L12" s="7">
        <f t="shared" si="2"/>
        <v>2256.1799999999998</v>
      </c>
      <c r="M12" s="7">
        <v>16479</v>
      </c>
      <c r="N12" s="5" t="s">
        <v>43</v>
      </c>
      <c r="O12" s="5">
        <v>13</v>
      </c>
      <c r="P12" s="7">
        <f t="shared" si="3"/>
        <v>2741.3799999999997</v>
      </c>
      <c r="Q12" s="7">
        <f t="shared" si="4"/>
        <v>3784.5599999999959</v>
      </c>
      <c r="R12" s="7" t="str">
        <f t="shared" si="5"/>
        <v>Normal</v>
      </c>
      <c r="S12" s="5">
        <v>3</v>
      </c>
      <c r="T12" s="5">
        <v>3</v>
      </c>
      <c r="U12" s="5" t="str" cm="1">
        <f t="array" ref="U12">_xlfn.IFS(T12=1,"Poor",T12=2,"Fair",T12=3,"Good",T12=4,"Excellent")</f>
        <v>Good</v>
      </c>
      <c r="V12" s="5" t="s">
        <v>43</v>
      </c>
      <c r="W12" s="5">
        <v>5</v>
      </c>
      <c r="X12" s="28">
        <f t="shared" ca="1" si="6"/>
        <v>44285</v>
      </c>
      <c r="Y12" s="28">
        <f t="shared" ca="1" si="7"/>
        <v>46476</v>
      </c>
      <c r="Z12" s="28" t="str">
        <f t="shared" ca="1" si="8"/>
        <v>Due Soon</v>
      </c>
      <c r="AA12" s="5" t="str" cm="1">
        <f t="array" ref="AA12">_xlfn.IFS(W12&gt;10,"Veteran",W12&gt;=6,"Experienced",W12&gt;=2,"Developing",W12&gt;=0,"New")</f>
        <v>Developing</v>
      </c>
      <c r="AB12" s="5" t="str" cm="1">
        <f t="array" ref="AB12">_xlfn.IFS(G12=1,"Junior",G12=2,"Mid-Level",G12=3,"Senior",G12=4,"Lead",G12=5,"Principal")&amp;" "&amp;TRIM(PROPER(H12))</f>
        <v>Junior Laboratory Technician</v>
      </c>
      <c r="AC12" s="19" t="str">
        <f t="shared" ca="1" si="9"/>
        <v>La-Res-2021-011 is a Junior Laboratory Technician in the Research &amp; Development department, aged 35, married and has been with the Company for 5years</v>
      </c>
    </row>
    <row r="13" spans="1:29">
      <c r="A13" s="18" t="str">
        <f t="shared" ca="1" si="0"/>
        <v>La-Res-2017-012</v>
      </c>
      <c r="B13" s="5">
        <v>29</v>
      </c>
      <c r="C13" s="5" t="str">
        <f t="shared" si="10"/>
        <v>20-29</v>
      </c>
      <c r="D13" s="5" t="s">
        <v>43</v>
      </c>
      <c r="E13" s="5" t="s">
        <v>45</v>
      </c>
      <c r="F13" s="5" t="s">
        <v>39</v>
      </c>
      <c r="G13" s="5">
        <v>2</v>
      </c>
      <c r="H13" s="5" t="s">
        <v>50</v>
      </c>
      <c r="I13" s="5" t="s">
        <v>41</v>
      </c>
      <c r="J13" s="7">
        <v>4193</v>
      </c>
      <c r="K13" s="7">
        <f t="shared" si="1"/>
        <v>628.94999999999993</v>
      </c>
      <c r="L13" s="7">
        <f t="shared" si="2"/>
        <v>3564.05</v>
      </c>
      <c r="M13" s="7">
        <v>12682</v>
      </c>
      <c r="N13" s="5" t="s">
        <v>35</v>
      </c>
      <c r="O13" s="5">
        <v>12</v>
      </c>
      <c r="P13" s="7">
        <f t="shared" si="3"/>
        <v>4696.1600000000008</v>
      </c>
      <c r="Q13" s="7">
        <f t="shared" si="4"/>
        <v>6037.9200000000092</v>
      </c>
      <c r="R13" s="7" t="str">
        <f t="shared" si="5"/>
        <v>Normal</v>
      </c>
      <c r="S13" s="5">
        <v>3</v>
      </c>
      <c r="T13" s="5">
        <v>3</v>
      </c>
      <c r="U13" s="5" t="str" cm="1">
        <f t="array" ref="U13">_xlfn.IFS(T13=1,"Poor",T13=2,"Fair",T13=3,"Good",T13=4,"Excellent")</f>
        <v>Good</v>
      </c>
      <c r="V13" s="5" t="s">
        <v>35</v>
      </c>
      <c r="W13" s="5">
        <v>9</v>
      </c>
      <c r="X13" s="28">
        <f t="shared" ca="1" si="6"/>
        <v>42824</v>
      </c>
      <c r="Y13" s="28">
        <f t="shared" ca="1" si="7"/>
        <v>46476</v>
      </c>
      <c r="Z13" s="28" t="str">
        <f t="shared" ca="1" si="8"/>
        <v>Due Soon</v>
      </c>
      <c r="AA13" s="5" t="str" cm="1">
        <f t="array" ref="AA13">_xlfn.IFS(W13&gt;10,"Veteran",W13&gt;=6,"Experienced",W13&gt;=2,"Developing",W13&gt;=0,"New")</f>
        <v>Experienced</v>
      </c>
      <c r="AB13" s="5" t="str" cm="1">
        <f t="array" ref="AB13">_xlfn.IFS(G13=1,"Junior",G13=2,"Mid-Level",G13=3,"Senior",G13=4,"Lead",G13=5,"Principal")&amp;" "&amp;TRIM(PROPER(H13))</f>
        <v>Mid-Level Laboratory Technician</v>
      </c>
      <c r="AC13" s="19" t="str">
        <f t="shared" ca="1" si="9"/>
        <v>La-Res-2017-012 is a Mid-Level Laboratory Technician in the Research &amp; Development department, aged 29, single and has been with the Company for 9years</v>
      </c>
    </row>
    <row r="14" spans="1:29">
      <c r="A14" s="18" t="str">
        <f t="shared" ca="1" si="0"/>
        <v>Re-Res-2021-013</v>
      </c>
      <c r="B14" s="5">
        <v>31</v>
      </c>
      <c r="C14" s="5" t="str">
        <f t="shared" si="10"/>
        <v>30-39</v>
      </c>
      <c r="D14" s="5" t="s">
        <v>43</v>
      </c>
      <c r="E14" s="5" t="s">
        <v>45</v>
      </c>
      <c r="F14" s="5" t="s">
        <v>46</v>
      </c>
      <c r="G14" s="5">
        <v>1</v>
      </c>
      <c r="H14" s="5" t="s">
        <v>47</v>
      </c>
      <c r="I14" s="5" t="s">
        <v>52</v>
      </c>
      <c r="J14" s="7">
        <v>2911</v>
      </c>
      <c r="K14" s="7">
        <f t="shared" si="1"/>
        <v>203.77</v>
      </c>
      <c r="L14" s="7">
        <f t="shared" si="2"/>
        <v>2707.23</v>
      </c>
      <c r="M14" s="7">
        <v>15170</v>
      </c>
      <c r="N14" s="5" t="s">
        <v>43</v>
      </c>
      <c r="O14" s="5">
        <v>17</v>
      </c>
      <c r="P14" s="7">
        <f t="shared" si="3"/>
        <v>3405.87</v>
      </c>
      <c r="Q14" s="7">
        <f t="shared" si="4"/>
        <v>5938.4399999999987</v>
      </c>
      <c r="R14" s="7" t="str">
        <f t="shared" si="5"/>
        <v>Normal</v>
      </c>
      <c r="S14" s="5">
        <v>3</v>
      </c>
      <c r="T14" s="5">
        <v>2</v>
      </c>
      <c r="U14" s="5" t="str" cm="1">
        <f t="array" ref="U14">_xlfn.IFS(T14=1,"Poor",T14=2,"Fair",T14=3,"Good",T14=4,"Excellent")</f>
        <v>Fair</v>
      </c>
      <c r="V14" s="5" t="s">
        <v>43</v>
      </c>
      <c r="W14" s="5">
        <v>5</v>
      </c>
      <c r="X14" s="28">
        <f t="shared" ca="1" si="6"/>
        <v>44285</v>
      </c>
      <c r="Y14" s="28">
        <f t="shared" ca="1" si="7"/>
        <v>46476</v>
      </c>
      <c r="Z14" s="28" t="str">
        <f t="shared" ca="1" si="8"/>
        <v>Due Soon</v>
      </c>
      <c r="AA14" s="5" t="str" cm="1">
        <f t="array" ref="AA14">_xlfn.IFS(W14&gt;10,"Veteran",W14&gt;=6,"Experienced",W14&gt;=2,"Developing",W14&gt;=0,"New")</f>
        <v>Developing</v>
      </c>
      <c r="AB14" s="5" t="str" cm="1">
        <f t="array" ref="AB14">_xlfn.IFS(G14=1,"Junior",G14=2,"Mid-Level",G14=3,"Senior",G14=4,"Lead",G14=5,"Principal")&amp;" "&amp;TRIM(PROPER(H14))</f>
        <v>Junior Research Scientist</v>
      </c>
      <c r="AC14" s="19" t="str">
        <f t="shared" ca="1" si="9"/>
        <v>Re-Res-2021-013 is a Junior Research Scientist in the Research &amp; Development department, aged 31, divorced and has been with the Company for 5years</v>
      </c>
    </row>
    <row r="15" spans="1:29">
      <c r="A15" s="18" t="str">
        <f t="shared" ca="1" si="0"/>
        <v>La-Res-2024-014</v>
      </c>
      <c r="B15" s="5">
        <v>34</v>
      </c>
      <c r="C15" s="5" t="str">
        <f t="shared" si="10"/>
        <v>30-39</v>
      </c>
      <c r="D15" s="5" t="s">
        <v>43</v>
      </c>
      <c r="E15" s="5" t="s">
        <v>45</v>
      </c>
      <c r="F15" s="5" t="s">
        <v>46</v>
      </c>
      <c r="G15" s="5">
        <v>1</v>
      </c>
      <c r="H15" s="5" t="s">
        <v>50</v>
      </c>
      <c r="I15" s="5" t="s">
        <v>52</v>
      </c>
      <c r="J15" s="7">
        <v>2661</v>
      </c>
      <c r="K15" s="7">
        <f t="shared" si="1"/>
        <v>186.27</v>
      </c>
      <c r="L15" s="7">
        <f t="shared" si="2"/>
        <v>2474.73</v>
      </c>
      <c r="M15" s="7">
        <v>8758</v>
      </c>
      <c r="N15" s="5" t="s">
        <v>43</v>
      </c>
      <c r="O15" s="5">
        <v>11</v>
      </c>
      <c r="P15" s="7">
        <f t="shared" si="3"/>
        <v>2953.71</v>
      </c>
      <c r="Q15" s="7">
        <f t="shared" si="4"/>
        <v>3512.5200000000004</v>
      </c>
      <c r="R15" s="7" t="str">
        <f t="shared" si="5"/>
        <v>Normal</v>
      </c>
      <c r="S15" s="5">
        <v>3</v>
      </c>
      <c r="T15" s="5">
        <v>3</v>
      </c>
      <c r="U15" s="5" t="str" cm="1">
        <f t="array" ref="U15">_xlfn.IFS(T15=1,"Poor",T15=2,"Fair",T15=3,"Good",T15=4,"Excellent")</f>
        <v>Good</v>
      </c>
      <c r="V15" s="5" t="s">
        <v>43</v>
      </c>
      <c r="W15" s="5">
        <v>2</v>
      </c>
      <c r="X15" s="28">
        <f t="shared" ca="1" si="6"/>
        <v>45381</v>
      </c>
      <c r="Y15" s="28">
        <f t="shared" ca="1" si="7"/>
        <v>46842</v>
      </c>
      <c r="Z15" s="28" t="str">
        <f t="shared" ca="1" si="8"/>
        <v>Upcoming</v>
      </c>
      <c r="AA15" s="5" t="str" cm="1">
        <f t="array" ref="AA15">_xlfn.IFS(W15&gt;10,"Veteran",W15&gt;=6,"Experienced",W15&gt;=2,"Developing",W15&gt;=0,"New")</f>
        <v>Developing</v>
      </c>
      <c r="AB15" s="5" t="str" cm="1">
        <f t="array" ref="AB15">_xlfn.IFS(G15=1,"Junior",G15=2,"Mid-Level",G15=3,"Senior",G15=4,"Lead",G15=5,"Principal")&amp;" "&amp;TRIM(PROPER(H15))</f>
        <v>Junior Laboratory Technician</v>
      </c>
      <c r="AC15" s="19" t="str">
        <f t="shared" ca="1" si="9"/>
        <v>La-Res-2024-014 is a Junior Laboratory Technician in the Research &amp; Development department, aged 34, divorced and has been with the Company for 2years</v>
      </c>
    </row>
    <row r="16" spans="1:29">
      <c r="A16" s="18" t="str">
        <f t="shared" ca="1" si="0"/>
        <v>La-Res-2022-015</v>
      </c>
      <c r="B16" s="5">
        <v>28</v>
      </c>
      <c r="C16" s="5" t="str">
        <f t="shared" si="10"/>
        <v>20-29</v>
      </c>
      <c r="D16" s="5" t="s">
        <v>35</v>
      </c>
      <c r="E16" s="5" t="s">
        <v>45</v>
      </c>
      <c r="F16" s="5" t="s">
        <v>46</v>
      </c>
      <c r="G16" s="5">
        <v>1</v>
      </c>
      <c r="H16" s="5" t="s">
        <v>50</v>
      </c>
      <c r="I16" s="5" t="s">
        <v>41</v>
      </c>
      <c r="J16" s="7">
        <v>2028</v>
      </c>
      <c r="K16" s="7">
        <f t="shared" si="1"/>
        <v>141.96</v>
      </c>
      <c r="L16" s="7">
        <f t="shared" si="2"/>
        <v>1886.04</v>
      </c>
      <c r="M16" s="7">
        <v>12947</v>
      </c>
      <c r="N16" s="5" t="s">
        <v>35</v>
      </c>
      <c r="O16" s="5">
        <v>14</v>
      </c>
      <c r="P16" s="7">
        <f t="shared" si="3"/>
        <v>2311.92</v>
      </c>
      <c r="Q16" s="7">
        <f t="shared" si="4"/>
        <v>3407.0400000000009</v>
      </c>
      <c r="R16" s="7" t="str">
        <f t="shared" si="5"/>
        <v>Normal</v>
      </c>
      <c r="S16" s="5">
        <v>3</v>
      </c>
      <c r="T16" s="5">
        <v>3</v>
      </c>
      <c r="U16" s="5" t="str" cm="1">
        <f t="array" ref="U16">_xlfn.IFS(T16=1,"Poor",T16=2,"Fair",T16=3,"Good",T16=4,"Excellent")</f>
        <v>Good</v>
      </c>
      <c r="V16" s="5" t="s">
        <v>35</v>
      </c>
      <c r="W16" s="5">
        <v>4</v>
      </c>
      <c r="X16" s="28">
        <f t="shared" ca="1" si="6"/>
        <v>44650</v>
      </c>
      <c r="Y16" s="28">
        <f t="shared" ca="1" si="7"/>
        <v>46842</v>
      </c>
      <c r="Z16" s="28" t="str">
        <f t="shared" ca="1" si="8"/>
        <v>Upcoming</v>
      </c>
      <c r="AA16" s="5" t="str" cm="1">
        <f t="array" ref="AA16">_xlfn.IFS(W16&gt;10,"Veteran",W16&gt;=6,"Experienced",W16&gt;=2,"Developing",W16&gt;=0,"New")</f>
        <v>Developing</v>
      </c>
      <c r="AB16" s="5" t="str" cm="1">
        <f t="array" ref="AB16">_xlfn.IFS(G16=1,"Junior",G16=2,"Mid-Level",G16=3,"Senior",G16=4,"Lead",G16=5,"Principal")&amp;" "&amp;TRIM(PROPER(H16))</f>
        <v>Junior Laboratory Technician</v>
      </c>
      <c r="AC16" s="19" t="str">
        <f t="shared" ca="1" si="9"/>
        <v>La-Res-2022-015 is a Junior Laboratory Technician in the Research &amp; Development department, aged 28, single and has been with the Company for 4years</v>
      </c>
    </row>
    <row r="17" spans="1:29">
      <c r="A17" s="18" t="str">
        <f t="shared" ca="1" si="0"/>
        <v>Ma-Res-2016-016</v>
      </c>
      <c r="B17" s="5">
        <v>29</v>
      </c>
      <c r="C17" s="5" t="str">
        <f t="shared" si="10"/>
        <v>20-29</v>
      </c>
      <c r="D17" s="5" t="s">
        <v>43</v>
      </c>
      <c r="E17" s="5" t="s">
        <v>45</v>
      </c>
      <c r="F17" s="5" t="s">
        <v>39</v>
      </c>
      <c r="G17" s="5">
        <v>3</v>
      </c>
      <c r="H17" s="5" t="s">
        <v>53</v>
      </c>
      <c r="I17" s="5" t="s">
        <v>52</v>
      </c>
      <c r="J17" s="7">
        <v>9980</v>
      </c>
      <c r="K17" s="7">
        <f t="shared" si="1"/>
        <v>2195.6</v>
      </c>
      <c r="L17" s="7">
        <f t="shared" si="2"/>
        <v>7784.4</v>
      </c>
      <c r="M17" s="7">
        <v>10195</v>
      </c>
      <c r="N17" s="5" t="s">
        <v>43</v>
      </c>
      <c r="O17" s="5">
        <v>11</v>
      </c>
      <c r="P17" s="7">
        <f t="shared" si="3"/>
        <v>11077.800000000001</v>
      </c>
      <c r="Q17" s="7">
        <f t="shared" si="4"/>
        <v>13173.600000000013</v>
      </c>
      <c r="R17" s="7" t="str">
        <f t="shared" si="5"/>
        <v>Normal</v>
      </c>
      <c r="S17" s="5">
        <v>3</v>
      </c>
      <c r="T17" s="5">
        <v>3</v>
      </c>
      <c r="U17" s="5" t="str" cm="1">
        <f t="array" ref="U17">_xlfn.IFS(T17=1,"Poor",T17=2,"Fair",T17=3,"Good",T17=4,"Excellent")</f>
        <v>Good</v>
      </c>
      <c r="V17" s="5" t="s">
        <v>43</v>
      </c>
      <c r="W17" s="5">
        <v>10</v>
      </c>
      <c r="X17" s="28">
        <f t="shared" ca="1" si="6"/>
        <v>42459</v>
      </c>
      <c r="Y17" s="28">
        <f t="shared" ca="1" si="7"/>
        <v>46842</v>
      </c>
      <c r="Z17" s="28" t="str">
        <f t="shared" ca="1" si="8"/>
        <v>Upcoming</v>
      </c>
      <c r="AA17" s="5" t="str" cm="1">
        <f t="array" ref="AA17">_xlfn.IFS(W17&gt;10,"Veteran",W17&gt;=6,"Experienced",W17&gt;=2,"Developing",W17&gt;=0,"New")</f>
        <v>Experienced</v>
      </c>
      <c r="AB17" s="5" t="str" cm="1">
        <f t="array" ref="AB17">_xlfn.IFS(G17=1,"Junior",G17=2,"Mid-Level",G17=3,"Senior",G17=4,"Lead",G17=5,"Principal")&amp;" "&amp;TRIM(PROPER(H17))</f>
        <v>Senior Manufacturing Director</v>
      </c>
      <c r="AC17" s="19" t="str">
        <f t="shared" ca="1" si="9"/>
        <v>Ma-Res-2016-016 is a Senior Manufacturing Director in the Research &amp; Development department, aged 29, divorced and has been with the Company for 10years</v>
      </c>
    </row>
    <row r="18" spans="1:29">
      <c r="A18" s="18" t="str">
        <f t="shared" ca="1" si="0"/>
        <v>Re-Res-2020-017</v>
      </c>
      <c r="B18" s="5">
        <v>32</v>
      </c>
      <c r="C18" s="5" t="str">
        <f t="shared" si="10"/>
        <v>30-39</v>
      </c>
      <c r="D18" s="5" t="s">
        <v>43</v>
      </c>
      <c r="E18" s="5" t="s">
        <v>45</v>
      </c>
      <c r="F18" s="5" t="s">
        <v>46</v>
      </c>
      <c r="G18" s="5">
        <v>1</v>
      </c>
      <c r="H18" s="5" t="s">
        <v>47</v>
      </c>
      <c r="I18" s="5" t="s">
        <v>52</v>
      </c>
      <c r="J18" s="7">
        <v>3298</v>
      </c>
      <c r="K18" s="7">
        <f t="shared" si="1"/>
        <v>494.7</v>
      </c>
      <c r="L18" s="7">
        <f t="shared" si="2"/>
        <v>2803.3</v>
      </c>
      <c r="M18" s="7">
        <v>15053</v>
      </c>
      <c r="N18" s="5" t="s">
        <v>35</v>
      </c>
      <c r="O18" s="5">
        <v>12</v>
      </c>
      <c r="P18" s="7">
        <f t="shared" si="3"/>
        <v>3693.76</v>
      </c>
      <c r="Q18" s="7">
        <f t="shared" si="4"/>
        <v>4749.1200000000026</v>
      </c>
      <c r="R18" s="7" t="str">
        <f t="shared" si="5"/>
        <v>Normal</v>
      </c>
      <c r="S18" s="5">
        <v>3</v>
      </c>
      <c r="T18" s="5">
        <v>2</v>
      </c>
      <c r="U18" s="5" t="str" cm="1">
        <f t="array" ref="U18">_xlfn.IFS(T18=1,"Poor",T18=2,"Fair",T18=3,"Good",T18=4,"Excellent")</f>
        <v>Fair</v>
      </c>
      <c r="V18" s="5" t="s">
        <v>35</v>
      </c>
      <c r="W18" s="5">
        <v>6</v>
      </c>
      <c r="X18" s="28">
        <f ca="1">EDATE(TODAY(),-W18*12)</f>
        <v>43920</v>
      </c>
      <c r="Y18" s="28">
        <f t="shared" ca="1" si="7"/>
        <v>46842</v>
      </c>
      <c r="Z18" s="28" t="str">
        <f t="shared" ca="1" si="8"/>
        <v>Upcoming</v>
      </c>
      <c r="AA18" s="5" t="str" cm="1">
        <f t="array" ref="AA18">_xlfn.IFS(W18&gt;10,"Veteran",W18&gt;=6,"Experienced",W18&gt;=2,"Developing",W18&gt;=0,"New")</f>
        <v>Experienced</v>
      </c>
      <c r="AB18" s="5" t="str" cm="1">
        <f t="array" ref="AB18">_xlfn.IFS(G18=1,"Junior",G18=2,"Mid-Level",G18=3,"Senior",G18=4,"Lead",G18=5,"Principal")&amp;" "&amp;TRIM(PROPER(H18))</f>
        <v>Junior Research Scientist</v>
      </c>
      <c r="AC18" s="19" t="str">
        <f t="shared" ca="1" si="9"/>
        <v>Re-Res-2020-017 is a Junior Research Scientist in the Research &amp; Development department, aged 32, divorced and has been with the Company for 6years</v>
      </c>
    </row>
    <row r="19" spans="1:29">
      <c r="A19" s="18" t="str">
        <f t="shared" ca="1" si="0"/>
        <v>La-Res-2025-018</v>
      </c>
      <c r="B19" s="5">
        <v>22</v>
      </c>
      <c r="C19" s="5" t="str">
        <f t="shared" si="10"/>
        <v>20-29</v>
      </c>
      <c r="D19" s="5" t="s">
        <v>43</v>
      </c>
      <c r="E19" s="5" t="s">
        <v>45</v>
      </c>
      <c r="F19" s="5" t="s">
        <v>46</v>
      </c>
      <c r="G19" s="5">
        <v>1</v>
      </c>
      <c r="H19" s="5" t="s">
        <v>50</v>
      </c>
      <c r="I19" s="5" t="s">
        <v>52</v>
      </c>
      <c r="J19" s="7">
        <v>2935</v>
      </c>
      <c r="K19" s="7">
        <f t="shared" si="1"/>
        <v>205.45000000000002</v>
      </c>
      <c r="L19" s="7">
        <f t="shared" si="2"/>
        <v>2729.55</v>
      </c>
      <c r="M19" s="7">
        <v>7324</v>
      </c>
      <c r="N19" s="5" t="s">
        <v>35</v>
      </c>
      <c r="O19" s="5">
        <v>13</v>
      </c>
      <c r="P19" s="7">
        <f t="shared" si="3"/>
        <v>3316.5499999999997</v>
      </c>
      <c r="Q19" s="7">
        <f t="shared" si="4"/>
        <v>4578.5999999999967</v>
      </c>
      <c r="R19" s="7" t="str">
        <f t="shared" si="5"/>
        <v>Normal</v>
      </c>
      <c r="S19" s="5">
        <v>3</v>
      </c>
      <c r="T19" s="5">
        <v>2</v>
      </c>
      <c r="U19" s="5" t="str" cm="1">
        <f t="array" ref="U19">_xlfn.IFS(T19=1,"Poor",T19=2,"Fair",T19=3,"Good",T19=4,"Excellent")</f>
        <v>Fair</v>
      </c>
      <c r="V19" s="5" t="s">
        <v>35</v>
      </c>
      <c r="W19" s="5">
        <v>1</v>
      </c>
      <c r="X19" s="28">
        <f t="shared" ca="1" si="6"/>
        <v>45746</v>
      </c>
      <c r="Y19" s="28">
        <f t="shared" ca="1" si="7"/>
        <v>46476</v>
      </c>
      <c r="Z19" s="28" t="str">
        <f t="shared" ca="1" si="8"/>
        <v>Due Soon</v>
      </c>
      <c r="AA19" s="5" t="str" cm="1">
        <f t="array" ref="AA19">_xlfn.IFS(W19&gt;10,"Veteran",W19&gt;=6,"Experienced",W19&gt;=2,"Developing",W19&gt;=0,"New")</f>
        <v>New</v>
      </c>
      <c r="AB19" s="5" t="str" cm="1">
        <f t="array" ref="AB19">_xlfn.IFS(G19=1,"Junior",G19=2,"Mid-Level",G19=3,"Senior",G19=4,"Lead",G19=5,"Principal")&amp;" "&amp;TRIM(PROPER(H19))</f>
        <v>Junior Laboratory Technician</v>
      </c>
      <c r="AC19" s="19" t="str">
        <f t="shared" ca="1" si="9"/>
        <v>La-Res-2025-018 is a Junior Laboratory Technician in the Research &amp; Development department, aged 22, divorced and has been with the Company for 1years</v>
      </c>
    </row>
    <row r="20" spans="1:29">
      <c r="A20" s="18" t="str">
        <f t="shared" ca="1" si="0"/>
        <v>Ma-Sal-2001-019</v>
      </c>
      <c r="B20" s="5">
        <v>53</v>
      </c>
      <c r="C20" s="5" t="str">
        <f t="shared" si="10"/>
        <v>50+</v>
      </c>
      <c r="D20" s="5" t="s">
        <v>43</v>
      </c>
      <c r="E20" s="5" t="s">
        <v>37</v>
      </c>
      <c r="F20" s="5" t="s">
        <v>39</v>
      </c>
      <c r="G20" s="5">
        <v>4</v>
      </c>
      <c r="H20" s="5" t="s">
        <v>56</v>
      </c>
      <c r="I20" s="5" t="s">
        <v>48</v>
      </c>
      <c r="J20" s="7">
        <v>15427</v>
      </c>
      <c r="K20" s="7">
        <f t="shared" si="1"/>
        <v>4628.0999999999995</v>
      </c>
      <c r="L20" s="7">
        <f t="shared" si="2"/>
        <v>10798.900000000001</v>
      </c>
      <c r="M20" s="7">
        <v>22021</v>
      </c>
      <c r="N20" s="5" t="s">
        <v>43</v>
      </c>
      <c r="O20" s="5">
        <v>16</v>
      </c>
      <c r="P20" s="7">
        <f t="shared" si="3"/>
        <v>17895.32</v>
      </c>
      <c r="Q20" s="7">
        <f t="shared" si="4"/>
        <v>29619.839999999997</v>
      </c>
      <c r="R20" s="7" t="str">
        <f t="shared" si="5"/>
        <v>Normal</v>
      </c>
      <c r="S20" s="5">
        <v>3</v>
      </c>
      <c r="T20" s="5">
        <v>3</v>
      </c>
      <c r="U20" s="5" t="str" cm="1">
        <f t="array" ref="U20">_xlfn.IFS(T20=1,"Poor",T20=2,"Fair",T20=3,"Good",T20=4,"Excellent")</f>
        <v>Good</v>
      </c>
      <c r="V20" s="5" t="s">
        <v>43</v>
      </c>
      <c r="W20" s="5">
        <v>25</v>
      </c>
      <c r="X20" s="28">
        <f t="shared" ca="1" si="6"/>
        <v>36980</v>
      </c>
      <c r="Y20" s="28">
        <f t="shared" ca="1" si="7"/>
        <v>46476</v>
      </c>
      <c r="Z20" s="28" t="str">
        <f t="shared" ca="1" si="8"/>
        <v>Due Soon</v>
      </c>
      <c r="AA20" s="5" t="str" cm="1">
        <f t="array" ref="AA20">_xlfn.IFS(W20&gt;10,"Veteran",W20&gt;=6,"Experienced",W20&gt;=2,"Developing",W20&gt;=0,"New")</f>
        <v>Veteran</v>
      </c>
      <c r="AB20" s="5" t="str" cm="1">
        <f t="array" ref="AB20">_xlfn.IFS(G20=1,"Junior",G20=2,"Mid-Level",G20=3,"Senior",G20=4,"Lead",G20=5,"Principal")&amp;" "&amp;TRIM(PROPER(H20))</f>
        <v>Lead Manager</v>
      </c>
      <c r="AC20" s="19" t="str">
        <f t="shared" ca="1" si="9"/>
        <v>Ma-Sal-2001-019 is a Lead Manager in the Sales department, aged 53, married and has been with the Company for 25years</v>
      </c>
    </row>
    <row r="21" spans="1:29">
      <c r="A21" s="18" t="str">
        <f t="shared" ca="1" si="0"/>
        <v>Re-Res-2023-020</v>
      </c>
      <c r="B21" s="5">
        <v>38</v>
      </c>
      <c r="C21" s="5" t="str">
        <f t="shared" si="10"/>
        <v>30-39</v>
      </c>
      <c r="D21" s="5" t="s">
        <v>43</v>
      </c>
      <c r="E21" s="5" t="s">
        <v>45</v>
      </c>
      <c r="F21" s="5" t="s">
        <v>46</v>
      </c>
      <c r="G21" s="5">
        <v>1</v>
      </c>
      <c r="H21" s="5" t="s">
        <v>47</v>
      </c>
      <c r="I21" s="5" t="s">
        <v>41</v>
      </c>
      <c r="J21" s="7">
        <v>3944</v>
      </c>
      <c r="K21" s="7">
        <f t="shared" si="1"/>
        <v>591.6</v>
      </c>
      <c r="L21" s="7">
        <f t="shared" si="2"/>
        <v>3352.4</v>
      </c>
      <c r="M21" s="7">
        <v>4306</v>
      </c>
      <c r="N21" s="5" t="s">
        <v>35</v>
      </c>
      <c r="O21" s="5">
        <v>11</v>
      </c>
      <c r="P21" s="7">
        <f t="shared" si="3"/>
        <v>4377.84</v>
      </c>
      <c r="Q21" s="7">
        <f t="shared" si="4"/>
        <v>5206.0800000000017</v>
      </c>
      <c r="R21" s="7" t="str">
        <f t="shared" si="5"/>
        <v>Normal</v>
      </c>
      <c r="S21" s="5">
        <v>3</v>
      </c>
      <c r="T21" s="5">
        <v>3</v>
      </c>
      <c r="U21" s="5" t="str" cm="1">
        <f t="array" ref="U21">_xlfn.IFS(T21=1,"Poor",T21=2,"Fair",T21=3,"Good",T21=4,"Excellent")</f>
        <v>Good</v>
      </c>
      <c r="V21" s="5" t="s">
        <v>35</v>
      </c>
      <c r="W21" s="5">
        <v>3</v>
      </c>
      <c r="X21" s="28">
        <f t="shared" ca="1" si="6"/>
        <v>45015</v>
      </c>
      <c r="Y21" s="28">
        <f t="shared" ca="1" si="7"/>
        <v>46476</v>
      </c>
      <c r="Z21" s="28" t="str">
        <f t="shared" ca="1" si="8"/>
        <v>Due Soon</v>
      </c>
      <c r="AA21" s="5" t="str" cm="1">
        <f t="array" ref="AA21">_xlfn.IFS(W21&gt;10,"Veteran",W21&gt;=6,"Experienced",W21&gt;=2,"Developing",W21&gt;=0,"New")</f>
        <v>Developing</v>
      </c>
      <c r="AB21" s="5" t="str" cm="1">
        <f t="array" ref="AB21">_xlfn.IFS(G21=1,"Junior",G21=2,"Mid-Level",G21=3,"Senior",G21=4,"Lead",G21=5,"Principal")&amp;" "&amp;TRIM(PROPER(H21))</f>
        <v>Junior Research Scientist</v>
      </c>
      <c r="AC21" s="19" t="str">
        <f t="shared" ca="1" si="9"/>
        <v>Re-Res-2023-020 is a Junior Research Scientist in the Research &amp; Development department, aged 38, single and has been with the Company for 3years</v>
      </c>
    </row>
    <row r="22" spans="1:29">
      <c r="A22" s="18" t="str">
        <f t="shared" ca="1" si="0"/>
        <v>Ma-Res-2022-021</v>
      </c>
      <c r="B22" s="5">
        <v>24</v>
      </c>
      <c r="C22" s="5" t="str">
        <f t="shared" si="10"/>
        <v>20-29</v>
      </c>
      <c r="D22" s="5" t="s">
        <v>43</v>
      </c>
      <c r="E22" s="5" t="s">
        <v>45</v>
      </c>
      <c r="F22" s="5" t="s">
        <v>39</v>
      </c>
      <c r="G22" s="5">
        <v>2</v>
      </c>
      <c r="H22" s="5" t="s">
        <v>53</v>
      </c>
      <c r="I22" s="5" t="s">
        <v>52</v>
      </c>
      <c r="J22" s="7">
        <v>4011</v>
      </c>
      <c r="K22" s="7">
        <f t="shared" si="1"/>
        <v>601.65</v>
      </c>
      <c r="L22" s="7">
        <f t="shared" si="2"/>
        <v>3409.35</v>
      </c>
      <c r="M22" s="7">
        <v>8232</v>
      </c>
      <c r="N22" s="5" t="s">
        <v>43</v>
      </c>
      <c r="O22" s="5">
        <v>18</v>
      </c>
      <c r="P22" s="7">
        <f t="shared" si="3"/>
        <v>4732.9799999999996</v>
      </c>
      <c r="Q22" s="7">
        <f t="shared" si="4"/>
        <v>8663.7599999999948</v>
      </c>
      <c r="R22" s="7" t="str">
        <f t="shared" si="5"/>
        <v>Normal</v>
      </c>
      <c r="S22" s="5">
        <v>3</v>
      </c>
      <c r="T22" s="5">
        <v>2</v>
      </c>
      <c r="U22" s="5" t="str" cm="1">
        <f t="array" ref="U22">_xlfn.IFS(T22=1,"Poor",T22=2,"Fair",T22=3,"Good",T22=4,"Excellent")</f>
        <v>Fair</v>
      </c>
      <c r="V22" s="5" t="s">
        <v>43</v>
      </c>
      <c r="W22" s="5">
        <v>4</v>
      </c>
      <c r="X22" s="28">
        <f t="shared" ca="1" si="6"/>
        <v>44650</v>
      </c>
      <c r="Y22" s="28">
        <f t="shared" ca="1" si="7"/>
        <v>46842</v>
      </c>
      <c r="Z22" s="28" t="str">
        <f t="shared" ca="1" si="8"/>
        <v>Upcoming</v>
      </c>
      <c r="AA22" s="5" t="str" cm="1">
        <f t="array" ref="AA22">_xlfn.IFS(W22&gt;10,"Veteran",W22&gt;=6,"Experienced",W22&gt;=2,"Developing",W22&gt;=0,"New")</f>
        <v>Developing</v>
      </c>
      <c r="AB22" s="5" t="str" cm="1">
        <f t="array" ref="AB22">_xlfn.IFS(G22=1,"Junior",G22=2,"Mid-Level",G22=3,"Senior",G22=4,"Lead",G22=5,"Principal")&amp;" "&amp;TRIM(PROPER(H22))</f>
        <v>Mid-Level Manufacturing Director</v>
      </c>
      <c r="AC22" s="19" t="str">
        <f t="shared" ca="1" si="9"/>
        <v>Ma-Res-2022-021 is a Mid-Level Manufacturing Director in the Research &amp; Development department, aged 24, divorced and has been with the Company for 4years</v>
      </c>
    </row>
    <row r="23" spans="1:29">
      <c r="A23" s="18" t="str">
        <f t="shared" ca="1" si="0"/>
        <v>Sa-Sal-2021-022</v>
      </c>
      <c r="B23" s="5">
        <v>36</v>
      </c>
      <c r="C23" s="5" t="str">
        <f t="shared" si="10"/>
        <v>30-39</v>
      </c>
      <c r="D23" s="5" t="s">
        <v>35</v>
      </c>
      <c r="E23" s="5" t="s">
        <v>37</v>
      </c>
      <c r="F23" s="5" t="s">
        <v>46</v>
      </c>
      <c r="G23" s="5">
        <v>1</v>
      </c>
      <c r="H23" s="5" t="s">
        <v>57</v>
      </c>
      <c r="I23" s="5" t="s">
        <v>41</v>
      </c>
      <c r="J23" s="7">
        <v>3407</v>
      </c>
      <c r="K23" s="7">
        <f t="shared" si="1"/>
        <v>511.04999999999995</v>
      </c>
      <c r="L23" s="7">
        <f t="shared" si="2"/>
        <v>2895.95</v>
      </c>
      <c r="M23" s="7">
        <v>6986</v>
      </c>
      <c r="N23" s="5" t="s">
        <v>43</v>
      </c>
      <c r="O23" s="5">
        <v>23</v>
      </c>
      <c r="P23" s="7">
        <f t="shared" si="3"/>
        <v>4190.6099999999997</v>
      </c>
      <c r="Q23" s="7">
        <f t="shared" si="4"/>
        <v>9403.3199999999961</v>
      </c>
      <c r="R23" s="7" t="str">
        <f t="shared" si="5"/>
        <v>Normal</v>
      </c>
      <c r="S23" s="5">
        <v>4</v>
      </c>
      <c r="T23" s="5">
        <v>3</v>
      </c>
      <c r="U23" s="5" t="str" cm="1">
        <f t="array" ref="U23">_xlfn.IFS(T23=1,"Poor",T23=2,"Fair",T23=3,"Good",T23=4,"Excellent")</f>
        <v>Good</v>
      </c>
      <c r="V23" s="5" t="s">
        <v>43</v>
      </c>
      <c r="W23" s="5">
        <v>5</v>
      </c>
      <c r="X23" s="28">
        <f t="shared" ca="1" si="6"/>
        <v>44285</v>
      </c>
      <c r="Y23" s="28">
        <f t="shared" ca="1" si="7"/>
        <v>46476</v>
      </c>
      <c r="Z23" s="28" t="str">
        <f t="shared" ca="1" si="8"/>
        <v>Due Soon</v>
      </c>
      <c r="AA23" s="5" t="str" cm="1">
        <f t="array" ref="AA23">_xlfn.IFS(W23&gt;10,"Veteran",W23&gt;=6,"Experienced",W23&gt;=2,"Developing",W23&gt;=0,"New")</f>
        <v>Developing</v>
      </c>
      <c r="AB23" s="5" t="str" cm="1">
        <f t="array" ref="AB23">_xlfn.IFS(G23=1,"Junior",G23=2,"Mid-Level",G23=3,"Senior",G23=4,"Lead",G23=5,"Principal")&amp;" "&amp;TRIM(PROPER(H23))</f>
        <v>Junior Sales Representative</v>
      </c>
      <c r="AC23" s="19" t="str">
        <f t="shared" ca="1" si="9"/>
        <v>Sa-Sal-2021-022 is a Junior Sales Representative in the Sales department, aged 36, single and has been with the Company for 5years</v>
      </c>
    </row>
    <row r="24" spans="1:29">
      <c r="A24" s="18" t="str">
        <f t="shared" ca="1" si="0"/>
        <v>Re-Res-2014-023</v>
      </c>
      <c r="B24" s="5">
        <v>34</v>
      </c>
      <c r="C24" s="5" t="str">
        <f t="shared" si="10"/>
        <v>30-39</v>
      </c>
      <c r="D24" s="5" t="s">
        <v>43</v>
      </c>
      <c r="E24" s="5" t="s">
        <v>45</v>
      </c>
      <c r="F24" s="5" t="s">
        <v>39</v>
      </c>
      <c r="G24" s="5">
        <v>3</v>
      </c>
      <c r="H24" s="5" t="s">
        <v>58</v>
      </c>
      <c r="I24" s="5" t="s">
        <v>41</v>
      </c>
      <c r="J24" s="7">
        <v>11994</v>
      </c>
      <c r="K24" s="7">
        <f t="shared" si="1"/>
        <v>2638.68</v>
      </c>
      <c r="L24" s="7">
        <f t="shared" si="2"/>
        <v>9355.32</v>
      </c>
      <c r="M24" s="7">
        <v>21293</v>
      </c>
      <c r="N24" s="5" t="s">
        <v>43</v>
      </c>
      <c r="O24" s="5">
        <v>11</v>
      </c>
      <c r="P24" s="7">
        <f t="shared" si="3"/>
        <v>13313.340000000002</v>
      </c>
      <c r="Q24" s="7">
        <f t="shared" si="4"/>
        <v>15832.080000000024</v>
      </c>
      <c r="R24" s="7" t="str">
        <f t="shared" si="5"/>
        <v>Normal</v>
      </c>
      <c r="S24" s="5">
        <v>3</v>
      </c>
      <c r="T24" s="5">
        <v>3</v>
      </c>
      <c r="U24" s="5" t="str" cm="1">
        <f t="array" ref="U24">_xlfn.IFS(T24=1,"Poor",T24=2,"Fair",T24=3,"Good",T24=4,"Excellent")</f>
        <v>Good</v>
      </c>
      <c r="V24" s="5" t="s">
        <v>43</v>
      </c>
      <c r="W24" s="5">
        <v>12</v>
      </c>
      <c r="X24" s="28">
        <f t="shared" ca="1" si="6"/>
        <v>41728</v>
      </c>
      <c r="Y24" s="28">
        <f t="shared" ca="1" si="7"/>
        <v>46842</v>
      </c>
      <c r="Z24" s="28" t="str">
        <f t="shared" ca="1" si="8"/>
        <v>Upcoming</v>
      </c>
      <c r="AA24" s="5" t="str" cm="1">
        <f t="array" ref="AA24">_xlfn.IFS(W24&gt;10,"Veteran",W24&gt;=6,"Experienced",W24&gt;=2,"Developing",W24&gt;=0,"New")</f>
        <v>Veteran</v>
      </c>
      <c r="AB24" s="5" t="str" cm="1">
        <f t="array" ref="AB24">_xlfn.IFS(G24=1,"Junior",G24=2,"Mid-Level",G24=3,"Senior",G24=4,"Lead",G24=5,"Principal")&amp;" "&amp;TRIM(PROPER(H24))</f>
        <v>Senior Research Director</v>
      </c>
      <c r="AC24" s="19" t="str">
        <f t="shared" ca="1" si="9"/>
        <v>Re-Res-2014-023 is a Senior Research Director in the Research &amp; Development department, aged 34, single and has been with the Company for 12years</v>
      </c>
    </row>
    <row r="25" spans="1:29">
      <c r="A25" s="18" t="str">
        <f t="shared" ca="1" si="0"/>
        <v>Re-Res-2026-024</v>
      </c>
      <c r="B25" s="5">
        <v>21</v>
      </c>
      <c r="C25" s="5" t="str">
        <f t="shared" si="10"/>
        <v>20-29</v>
      </c>
      <c r="D25" s="5" t="s">
        <v>43</v>
      </c>
      <c r="E25" s="5" t="s">
        <v>45</v>
      </c>
      <c r="F25" s="5" t="s">
        <v>46</v>
      </c>
      <c r="G25" s="5">
        <v>1</v>
      </c>
      <c r="H25" s="5" t="s">
        <v>47</v>
      </c>
      <c r="I25" s="5" t="s">
        <v>41</v>
      </c>
      <c r="J25" s="7">
        <v>1232</v>
      </c>
      <c r="K25" s="7">
        <f t="shared" si="1"/>
        <v>86.240000000000009</v>
      </c>
      <c r="L25" s="7">
        <f t="shared" si="2"/>
        <v>1145.76</v>
      </c>
      <c r="M25" s="7">
        <v>19281</v>
      </c>
      <c r="N25" s="5" t="s">
        <v>43</v>
      </c>
      <c r="O25" s="5">
        <v>14</v>
      </c>
      <c r="P25" s="7">
        <f t="shared" si="3"/>
        <v>1404.4800000000002</v>
      </c>
      <c r="Q25" s="7">
        <f t="shared" si="4"/>
        <v>2069.7600000000029</v>
      </c>
      <c r="R25" s="7" t="str">
        <f t="shared" si="5"/>
        <v>Normal</v>
      </c>
      <c r="S25" s="5">
        <v>3</v>
      </c>
      <c r="T25" s="5">
        <v>3</v>
      </c>
      <c r="U25" s="5" t="str" cm="1">
        <f t="array" ref="U25">_xlfn.IFS(T25=1,"Poor",T25=2,"Fair",T25=3,"Good",T25=4,"Excellent")</f>
        <v>Good</v>
      </c>
      <c r="V25" s="5" t="s">
        <v>43</v>
      </c>
      <c r="W25" s="5">
        <v>0</v>
      </c>
      <c r="X25" s="28">
        <f t="shared" ca="1" si="6"/>
        <v>46111</v>
      </c>
      <c r="Y25" s="28">
        <f t="shared" ca="1" si="7"/>
        <v>46842</v>
      </c>
      <c r="Z25" s="28" t="str">
        <f t="shared" ca="1" si="8"/>
        <v>Upcoming</v>
      </c>
      <c r="AA25" s="5" t="str" cm="1">
        <f t="array" ref="AA25">_xlfn.IFS(W25&gt;10,"Veteran",W25&gt;=6,"Experienced",W25&gt;=2,"Developing",W25&gt;=0,"New")</f>
        <v>New</v>
      </c>
      <c r="AB25" s="5" t="str" cm="1">
        <f t="array" ref="AB25">_xlfn.IFS(G25=1,"Junior",G25=2,"Mid-Level",G25=3,"Senior",G25=4,"Lead",G25=5,"Principal")&amp;" "&amp;TRIM(PROPER(H25))</f>
        <v>Junior Research Scientist</v>
      </c>
      <c r="AC25" s="19" t="str">
        <f t="shared" ca="1" si="9"/>
        <v>Re-Res-2026-024 is a Junior Research Scientist in the Research &amp; Development department, aged 21, single and has been with the Company for 0years</v>
      </c>
    </row>
    <row r="26" spans="1:29">
      <c r="A26" s="18" t="str">
        <f t="shared" ca="1" si="0"/>
        <v>Re-Res-2022-025</v>
      </c>
      <c r="B26" s="5">
        <v>34</v>
      </c>
      <c r="C26" s="5" t="str">
        <f t="shared" si="10"/>
        <v>30-39</v>
      </c>
      <c r="D26" s="5" t="s">
        <v>35</v>
      </c>
      <c r="E26" s="5" t="s">
        <v>45</v>
      </c>
      <c r="F26" s="5" t="s">
        <v>46</v>
      </c>
      <c r="G26" s="5">
        <v>1</v>
      </c>
      <c r="H26" s="5" t="s">
        <v>47</v>
      </c>
      <c r="I26" s="5" t="s">
        <v>41</v>
      </c>
      <c r="J26" s="7">
        <v>2960</v>
      </c>
      <c r="K26" s="7">
        <f t="shared" si="1"/>
        <v>207.20000000000002</v>
      </c>
      <c r="L26" s="7">
        <f t="shared" si="2"/>
        <v>2752.8</v>
      </c>
      <c r="M26" s="7">
        <v>17102</v>
      </c>
      <c r="N26" s="5" t="s">
        <v>43</v>
      </c>
      <c r="O26" s="5">
        <v>11</v>
      </c>
      <c r="P26" s="7">
        <f t="shared" si="3"/>
        <v>3285.6000000000004</v>
      </c>
      <c r="Q26" s="7">
        <f t="shared" si="4"/>
        <v>3907.2000000000044</v>
      </c>
      <c r="R26" s="7" t="str">
        <f t="shared" si="5"/>
        <v>Normal</v>
      </c>
      <c r="S26" s="5">
        <v>3</v>
      </c>
      <c r="T26" s="5">
        <v>3</v>
      </c>
      <c r="U26" s="5" t="str" cm="1">
        <f t="array" ref="U26">_xlfn.IFS(T26=1,"Poor",T26=2,"Fair",T26=3,"Good",T26=4,"Excellent")</f>
        <v>Good</v>
      </c>
      <c r="V26" s="5" t="s">
        <v>43</v>
      </c>
      <c r="W26" s="5">
        <v>4</v>
      </c>
      <c r="X26" s="28">
        <f t="shared" ca="1" si="6"/>
        <v>44650</v>
      </c>
      <c r="Y26" s="28">
        <f t="shared" ca="1" si="7"/>
        <v>46842</v>
      </c>
      <c r="Z26" s="28" t="str">
        <f t="shared" ca="1" si="8"/>
        <v>Upcoming</v>
      </c>
      <c r="AA26" s="5" t="str" cm="1">
        <f t="array" ref="AA26">_xlfn.IFS(W26&gt;10,"Veteran",W26&gt;=6,"Experienced",W26&gt;=2,"Developing",W26&gt;=0,"New")</f>
        <v>Developing</v>
      </c>
      <c r="AB26" s="5" t="str" cm="1">
        <f t="array" ref="AB26">_xlfn.IFS(G26=1,"Junior",G26=2,"Mid-Level",G26=3,"Senior",G26=4,"Lead",G26=5,"Principal")&amp;" "&amp;TRIM(PROPER(H26))</f>
        <v>Junior Research Scientist</v>
      </c>
      <c r="AC26" s="19" t="str">
        <f t="shared" ca="1" si="9"/>
        <v>Re-Res-2022-025 is a Junior Research Scientist in the Research &amp; Development department, aged 34, single and has been with the Company for 4years</v>
      </c>
    </row>
    <row r="27" spans="1:29">
      <c r="A27" s="18" t="str">
        <f t="shared" ca="1" si="0"/>
        <v>Ma-Res-2012-026</v>
      </c>
      <c r="B27" s="5">
        <v>53</v>
      </c>
      <c r="C27" s="5" t="str">
        <f t="shared" si="10"/>
        <v>50+</v>
      </c>
      <c r="D27" s="5" t="s">
        <v>43</v>
      </c>
      <c r="E27" s="5" t="s">
        <v>45</v>
      </c>
      <c r="F27" s="5" t="s">
        <v>39</v>
      </c>
      <c r="G27" s="5">
        <v>5</v>
      </c>
      <c r="H27" s="5" t="s">
        <v>56</v>
      </c>
      <c r="I27" s="5" t="s">
        <v>52</v>
      </c>
      <c r="J27" s="7">
        <v>19094</v>
      </c>
      <c r="K27" s="7">
        <f t="shared" si="1"/>
        <v>5728.2</v>
      </c>
      <c r="L27" s="7">
        <f t="shared" si="2"/>
        <v>13365.8</v>
      </c>
      <c r="M27" s="7">
        <v>10735</v>
      </c>
      <c r="N27" s="5" t="s">
        <v>43</v>
      </c>
      <c r="O27" s="5">
        <v>11</v>
      </c>
      <c r="P27" s="7">
        <f t="shared" si="3"/>
        <v>21194.34</v>
      </c>
      <c r="Q27" s="7">
        <f t="shared" si="4"/>
        <v>25204.080000000002</v>
      </c>
      <c r="R27" s="7" t="str">
        <f t="shared" si="5"/>
        <v>Normal</v>
      </c>
      <c r="S27" s="5">
        <v>3</v>
      </c>
      <c r="T27" s="5">
        <v>2</v>
      </c>
      <c r="U27" s="5" t="str" cm="1">
        <f t="array" ref="U27">_xlfn.IFS(T27=1,"Poor",T27=2,"Fair",T27=3,"Good",T27=4,"Excellent")</f>
        <v>Fair</v>
      </c>
      <c r="V27" s="5" t="s">
        <v>43</v>
      </c>
      <c r="W27" s="5">
        <v>14</v>
      </c>
      <c r="X27" s="28">
        <f t="shared" ca="1" si="6"/>
        <v>40998</v>
      </c>
      <c r="Y27" s="28">
        <f t="shared" ca="1" si="7"/>
        <v>46842</v>
      </c>
      <c r="Z27" s="28" t="str">
        <f t="shared" ca="1" si="8"/>
        <v>Upcoming</v>
      </c>
      <c r="AA27" s="5" t="str" cm="1">
        <f t="array" ref="AA27">_xlfn.IFS(W27&gt;10,"Veteran",W27&gt;=6,"Experienced",W27&gt;=2,"Developing",W27&gt;=0,"New")</f>
        <v>Veteran</v>
      </c>
      <c r="AB27" s="5" t="str" cm="1">
        <f t="array" ref="AB27">_xlfn.IFS(G27=1,"Junior",G27=2,"Mid-Level",G27=3,"Senior",G27=4,"Lead",G27=5,"Principal")&amp;" "&amp;TRIM(PROPER(H27))</f>
        <v>Principal Manager</v>
      </c>
      <c r="AC27" s="19" t="str">
        <f t="shared" ca="1" si="9"/>
        <v>Ma-Res-2012-026 is a Principal Manager in the Research &amp; Development department, aged 53, divorced and has been with the Company for 14years</v>
      </c>
    </row>
    <row r="28" spans="1:29">
      <c r="A28" s="18" t="str">
        <f t="shared" ca="1" si="0"/>
        <v>Re-Res-2016-027</v>
      </c>
      <c r="B28" s="5">
        <v>32</v>
      </c>
      <c r="C28" s="5" t="str">
        <f t="shared" si="10"/>
        <v>30-39</v>
      </c>
      <c r="D28" s="5" t="s">
        <v>35</v>
      </c>
      <c r="E28" s="5" t="s">
        <v>45</v>
      </c>
      <c r="F28" s="5" t="s">
        <v>39</v>
      </c>
      <c r="G28" s="5">
        <v>1</v>
      </c>
      <c r="H28" s="5" t="s">
        <v>47</v>
      </c>
      <c r="I28" s="5" t="s">
        <v>41</v>
      </c>
      <c r="J28" s="7">
        <v>3919</v>
      </c>
      <c r="K28" s="7">
        <f t="shared" si="1"/>
        <v>587.85</v>
      </c>
      <c r="L28" s="7">
        <f t="shared" si="2"/>
        <v>3331.15</v>
      </c>
      <c r="M28" s="7">
        <v>4681</v>
      </c>
      <c r="N28" s="5" t="s">
        <v>35</v>
      </c>
      <c r="O28" s="5">
        <v>22</v>
      </c>
      <c r="P28" s="7">
        <f t="shared" si="3"/>
        <v>4781.18</v>
      </c>
      <c r="Q28" s="7">
        <f t="shared" si="4"/>
        <v>10346.160000000003</v>
      </c>
      <c r="R28" s="7" t="str">
        <f t="shared" si="5"/>
        <v>Normal</v>
      </c>
      <c r="S28" s="5">
        <v>4</v>
      </c>
      <c r="T28" s="5">
        <v>3</v>
      </c>
      <c r="U28" s="5" t="str" cm="1">
        <f t="array" ref="U28">_xlfn.IFS(T28=1,"Poor",T28=2,"Fair",T28=3,"Good",T28=4,"Excellent")</f>
        <v>Good</v>
      </c>
      <c r="V28" s="5" t="s">
        <v>35</v>
      </c>
      <c r="W28" s="5">
        <v>10</v>
      </c>
      <c r="X28" s="28">
        <f t="shared" ca="1" si="6"/>
        <v>42459</v>
      </c>
      <c r="Y28" s="28">
        <f t="shared" ca="1" si="7"/>
        <v>46842</v>
      </c>
      <c r="Z28" s="28" t="str">
        <f t="shared" ca="1" si="8"/>
        <v>Upcoming</v>
      </c>
      <c r="AA28" s="5" t="str" cm="1">
        <f t="array" ref="AA28">_xlfn.IFS(W28&gt;10,"Veteran",W28&gt;=6,"Experienced",W28&gt;=2,"Developing",W28&gt;=0,"New")</f>
        <v>Experienced</v>
      </c>
      <c r="AB28" s="5" t="str" cm="1">
        <f t="array" ref="AB28">_xlfn.IFS(G28=1,"Junior",G28=2,"Mid-Level",G28=3,"Senior",G28=4,"Lead",G28=5,"Principal")&amp;" "&amp;TRIM(PROPER(H28))</f>
        <v>Junior Research Scientist</v>
      </c>
      <c r="AC28" s="19" t="str">
        <f t="shared" ca="1" si="9"/>
        <v>Re-Res-2016-027 is a Junior Research Scientist in the Research &amp; Development department, aged 32, single and has been with the Company for 10years</v>
      </c>
    </row>
    <row r="29" spans="1:29">
      <c r="A29" s="18" t="str">
        <f t="shared" ca="1" si="0"/>
        <v>Sa-Sal-2017-028</v>
      </c>
      <c r="B29" s="5">
        <v>42</v>
      </c>
      <c r="C29" s="5" t="str">
        <f t="shared" si="10"/>
        <v>40-49</v>
      </c>
      <c r="D29" s="5" t="s">
        <v>43</v>
      </c>
      <c r="E29" s="5" t="s">
        <v>37</v>
      </c>
      <c r="F29" s="5" t="s">
        <v>46</v>
      </c>
      <c r="G29" s="5">
        <v>2</v>
      </c>
      <c r="H29" s="5" t="s">
        <v>40</v>
      </c>
      <c r="I29" s="5" t="s">
        <v>48</v>
      </c>
      <c r="J29" s="7">
        <v>6825</v>
      </c>
      <c r="K29" s="7">
        <f t="shared" si="1"/>
        <v>1023.75</v>
      </c>
      <c r="L29" s="7">
        <f t="shared" si="2"/>
        <v>5801.25</v>
      </c>
      <c r="M29" s="7">
        <v>21173</v>
      </c>
      <c r="N29" s="5" t="s">
        <v>43</v>
      </c>
      <c r="O29" s="5">
        <v>11</v>
      </c>
      <c r="P29" s="7">
        <f t="shared" si="3"/>
        <v>7575.7500000000009</v>
      </c>
      <c r="Q29" s="7">
        <f t="shared" si="4"/>
        <v>9009.0000000000109</v>
      </c>
      <c r="R29" s="7" t="str">
        <f t="shared" si="5"/>
        <v>Normal</v>
      </c>
      <c r="S29" s="5">
        <v>3</v>
      </c>
      <c r="T29" s="5">
        <v>3</v>
      </c>
      <c r="U29" s="5" t="str" cm="1">
        <f t="array" ref="U29">_xlfn.IFS(T29=1,"Poor",T29=2,"Fair",T29=3,"Good",T29=4,"Excellent")</f>
        <v>Good</v>
      </c>
      <c r="V29" s="5" t="s">
        <v>43</v>
      </c>
      <c r="W29" s="5">
        <v>9</v>
      </c>
      <c r="X29" s="28">
        <f t="shared" ca="1" si="6"/>
        <v>42824</v>
      </c>
      <c r="Y29" s="28">
        <f t="shared" ca="1" si="7"/>
        <v>46476</v>
      </c>
      <c r="Z29" s="28" t="str">
        <f t="shared" ca="1" si="8"/>
        <v>Due Soon</v>
      </c>
      <c r="AA29" s="5" t="str" cm="1">
        <f t="array" ref="AA29">_xlfn.IFS(W29&gt;10,"Veteran",W29&gt;=6,"Experienced",W29&gt;=2,"Developing",W29&gt;=0,"New")</f>
        <v>Experienced</v>
      </c>
      <c r="AB29" s="5" t="str" cm="1">
        <f t="array" ref="AB29">_xlfn.IFS(G29=1,"Junior",G29=2,"Mid-Level",G29=3,"Senior",G29=4,"Lead",G29=5,"Principal")&amp;" "&amp;TRIM(PROPER(H29))</f>
        <v>Mid-Level Sales Executive</v>
      </c>
      <c r="AC29" s="19" t="str">
        <f t="shared" ca="1" si="9"/>
        <v>Sa-Sal-2017-028 is a Mid-Level Sales Executive in the Sales department, aged 42, married and has been with the Company for 9years</v>
      </c>
    </row>
    <row r="30" spans="1:29">
      <c r="A30" s="18" t="str">
        <f t="shared" ca="1" si="0"/>
        <v>He-Res-2004-029</v>
      </c>
      <c r="B30" s="5">
        <v>44</v>
      </c>
      <c r="C30" s="5" t="str">
        <f t="shared" si="10"/>
        <v>40-49</v>
      </c>
      <c r="D30" s="5" t="s">
        <v>43</v>
      </c>
      <c r="E30" s="5" t="s">
        <v>45</v>
      </c>
      <c r="F30" s="5" t="s">
        <v>39</v>
      </c>
      <c r="G30" s="5">
        <v>3</v>
      </c>
      <c r="H30" s="5" t="s">
        <v>54</v>
      </c>
      <c r="I30" s="5" t="s">
        <v>48</v>
      </c>
      <c r="J30" s="7">
        <v>10248</v>
      </c>
      <c r="K30" s="7">
        <f t="shared" si="1"/>
        <v>2254.56</v>
      </c>
      <c r="L30" s="7">
        <f t="shared" si="2"/>
        <v>7993.4400000000005</v>
      </c>
      <c r="M30" s="7">
        <v>2094</v>
      </c>
      <c r="N30" s="5" t="s">
        <v>43</v>
      </c>
      <c r="O30" s="5">
        <v>14</v>
      </c>
      <c r="P30" s="7">
        <f t="shared" si="3"/>
        <v>11682.720000000001</v>
      </c>
      <c r="Q30" s="7">
        <f t="shared" si="4"/>
        <v>17216.640000000014</v>
      </c>
      <c r="R30" s="7" t="str">
        <f t="shared" si="5"/>
        <v>Normal</v>
      </c>
      <c r="S30" s="5">
        <v>3</v>
      </c>
      <c r="T30" s="5">
        <v>3</v>
      </c>
      <c r="U30" s="5" t="str" cm="1">
        <f t="array" ref="U30">_xlfn.IFS(T30=1,"Poor",T30=2,"Fair",T30=3,"Good",T30=4,"Excellent")</f>
        <v>Good</v>
      </c>
      <c r="V30" s="5" t="s">
        <v>43</v>
      </c>
      <c r="W30" s="5">
        <v>22</v>
      </c>
      <c r="X30" s="28">
        <f t="shared" ca="1" si="6"/>
        <v>38076</v>
      </c>
      <c r="Y30" s="28">
        <f t="shared" ca="1" si="7"/>
        <v>46842</v>
      </c>
      <c r="Z30" s="28" t="str">
        <f t="shared" ca="1" si="8"/>
        <v>Upcoming</v>
      </c>
      <c r="AA30" s="5" t="str" cm="1">
        <f t="array" ref="AA30">_xlfn.IFS(W30&gt;10,"Veteran",W30&gt;=6,"Experienced",W30&gt;=2,"Developing",W30&gt;=0,"New")</f>
        <v>Veteran</v>
      </c>
      <c r="AB30" s="5" t="str" cm="1">
        <f t="array" ref="AB30">_xlfn.IFS(G30=1,"Junior",G30=2,"Mid-Level",G30=3,"Senior",G30=4,"Lead",G30=5,"Principal")&amp;" "&amp;TRIM(PROPER(H30))</f>
        <v>Senior Healthcare Representative</v>
      </c>
      <c r="AC30" s="19" t="str">
        <f t="shared" ca="1" si="9"/>
        <v>He-Res-2004-029 is a Senior Healthcare Representative in the Research &amp; Development department, aged 44, married and has been with the Company for 22years</v>
      </c>
    </row>
    <row r="31" spans="1:29">
      <c r="A31" s="18" t="str">
        <f t="shared" ca="1" si="0"/>
        <v>Ma-Sal-2024-030</v>
      </c>
      <c r="B31" s="5">
        <v>46</v>
      </c>
      <c r="C31" s="5" t="str">
        <f t="shared" si="10"/>
        <v>40-49</v>
      </c>
      <c r="D31" s="5" t="s">
        <v>43</v>
      </c>
      <c r="E31" s="5" t="s">
        <v>37</v>
      </c>
      <c r="F31" s="5" t="s">
        <v>39</v>
      </c>
      <c r="G31" s="5">
        <v>5</v>
      </c>
      <c r="H31" s="5" t="s">
        <v>56</v>
      </c>
      <c r="I31" s="5" t="s">
        <v>41</v>
      </c>
      <c r="J31" s="7">
        <v>18947</v>
      </c>
      <c r="K31" s="7">
        <f t="shared" si="1"/>
        <v>5684.0999999999995</v>
      </c>
      <c r="L31" s="7">
        <f t="shared" si="2"/>
        <v>13262.900000000001</v>
      </c>
      <c r="M31" s="7">
        <v>22822</v>
      </c>
      <c r="N31" s="5" t="s">
        <v>43</v>
      </c>
      <c r="O31" s="5">
        <v>12</v>
      </c>
      <c r="P31" s="7">
        <f t="shared" si="3"/>
        <v>21220.640000000003</v>
      </c>
      <c r="Q31" s="7">
        <f t="shared" si="4"/>
        <v>27283.680000000037</v>
      </c>
      <c r="R31" s="7" t="str">
        <f t="shared" si="5"/>
        <v>Normal</v>
      </c>
      <c r="S31" s="5">
        <v>3</v>
      </c>
      <c r="T31" s="5">
        <v>2</v>
      </c>
      <c r="U31" s="5" t="str" cm="1">
        <f t="array" ref="U31">_xlfn.IFS(T31=1,"Poor",T31=2,"Fair",T31=3,"Good",T31=4,"Excellent")</f>
        <v>Fair</v>
      </c>
      <c r="V31" s="5" t="s">
        <v>43</v>
      </c>
      <c r="W31" s="5">
        <v>2</v>
      </c>
      <c r="X31" s="28">
        <f t="shared" ca="1" si="6"/>
        <v>45381</v>
      </c>
      <c r="Y31" s="28">
        <f t="shared" ca="1" si="7"/>
        <v>46842</v>
      </c>
      <c r="Z31" s="28" t="str">
        <f t="shared" ca="1" si="8"/>
        <v>Upcoming</v>
      </c>
      <c r="AA31" s="5" t="str" cm="1">
        <f t="array" ref="AA31">_xlfn.IFS(W31&gt;10,"Veteran",W31&gt;=6,"Experienced",W31&gt;=2,"Developing",W31&gt;=0,"New")</f>
        <v>Developing</v>
      </c>
      <c r="AB31" s="5" t="str" cm="1">
        <f t="array" ref="AB31">_xlfn.IFS(G31=1,"Junior",G31=2,"Mid-Level",G31=3,"Senior",G31=4,"Lead",G31=5,"Principal")&amp;" "&amp;TRIM(PROPER(H31))</f>
        <v>Principal Manager</v>
      </c>
      <c r="AC31" s="19" t="str">
        <f t="shared" ca="1" si="9"/>
        <v>Ma-Sal-2024-030 is a Principal Manager in the Sales department, aged 46, single and has been with the Company for 2years</v>
      </c>
    </row>
    <row r="32" spans="1:29">
      <c r="A32" s="18" t="str">
        <f t="shared" ca="1" si="0"/>
        <v>La-Res-2025-031</v>
      </c>
      <c r="B32" s="5">
        <v>33</v>
      </c>
      <c r="C32" s="5" t="str">
        <f t="shared" si="10"/>
        <v>30-39</v>
      </c>
      <c r="D32" s="5" t="s">
        <v>43</v>
      </c>
      <c r="E32" s="5" t="s">
        <v>45</v>
      </c>
      <c r="F32" s="5" t="s">
        <v>46</v>
      </c>
      <c r="G32" s="5">
        <v>1</v>
      </c>
      <c r="H32" s="5" t="s">
        <v>50</v>
      </c>
      <c r="I32" s="5" t="s">
        <v>41</v>
      </c>
      <c r="J32" s="7">
        <v>2496</v>
      </c>
      <c r="K32" s="7">
        <f t="shared" si="1"/>
        <v>174.72000000000003</v>
      </c>
      <c r="L32" s="7">
        <f t="shared" si="2"/>
        <v>2321.2799999999997</v>
      </c>
      <c r="M32" s="7">
        <v>6670</v>
      </c>
      <c r="N32" s="5" t="s">
        <v>43</v>
      </c>
      <c r="O32" s="5">
        <v>11</v>
      </c>
      <c r="P32" s="7">
        <f t="shared" si="3"/>
        <v>2770.5600000000004</v>
      </c>
      <c r="Q32" s="7">
        <f t="shared" si="4"/>
        <v>3294.7200000000048</v>
      </c>
      <c r="R32" s="7" t="str">
        <f t="shared" si="5"/>
        <v>Normal</v>
      </c>
      <c r="S32" s="5">
        <v>3</v>
      </c>
      <c r="T32" s="5">
        <v>3</v>
      </c>
      <c r="U32" s="5" t="str" cm="1">
        <f t="array" ref="U32">_xlfn.IFS(T32=1,"Poor",T32=2,"Fair",T32=3,"Good",T32=4,"Excellent")</f>
        <v>Good</v>
      </c>
      <c r="V32" s="5" t="s">
        <v>43</v>
      </c>
      <c r="W32" s="5">
        <v>1</v>
      </c>
      <c r="X32" s="28">
        <f t="shared" ca="1" si="6"/>
        <v>45746</v>
      </c>
      <c r="Y32" s="28">
        <f t="shared" ca="1" si="7"/>
        <v>46476</v>
      </c>
      <c r="Z32" s="28" t="str">
        <f t="shared" ca="1" si="8"/>
        <v>Due Soon</v>
      </c>
      <c r="AA32" s="5" t="str" cm="1">
        <f t="array" ref="AA32">_xlfn.IFS(W32&gt;10,"Veteran",W32&gt;=6,"Experienced",W32&gt;=2,"Developing",W32&gt;=0,"New")</f>
        <v>New</v>
      </c>
      <c r="AB32" s="5" t="str" cm="1">
        <f t="array" ref="AB32">_xlfn.IFS(G32=1,"Junior",G32=2,"Mid-Level",G32=3,"Senior",G32=4,"Lead",G32=5,"Principal")&amp;" "&amp;TRIM(PROPER(H32))</f>
        <v>Junior Laboratory Technician</v>
      </c>
      <c r="AC32" s="19" t="str">
        <f t="shared" ca="1" si="9"/>
        <v>La-Res-2025-031 is a Junior Laboratory Technician in the Research &amp; Development department, aged 33, single and has been with the Company for 1years</v>
      </c>
    </row>
    <row r="33" spans="1:29">
      <c r="A33" s="18" t="str">
        <f t="shared" ca="1" si="0"/>
        <v>He-Res-2022-032</v>
      </c>
      <c r="B33" s="5">
        <v>44</v>
      </c>
      <c r="C33" s="5" t="str">
        <f t="shared" si="10"/>
        <v>40-49</v>
      </c>
      <c r="D33" s="5" t="s">
        <v>43</v>
      </c>
      <c r="E33" s="5" t="s">
        <v>45</v>
      </c>
      <c r="F33" s="5" t="s">
        <v>46</v>
      </c>
      <c r="G33" s="5">
        <v>2</v>
      </c>
      <c r="H33" s="5" t="s">
        <v>54</v>
      </c>
      <c r="I33" s="5" t="s">
        <v>48</v>
      </c>
      <c r="J33" s="7">
        <v>6465</v>
      </c>
      <c r="K33" s="7">
        <f t="shared" si="1"/>
        <v>969.75</v>
      </c>
      <c r="L33" s="7">
        <f t="shared" si="2"/>
        <v>5495.25</v>
      </c>
      <c r="M33" s="7">
        <v>19121</v>
      </c>
      <c r="N33" s="5" t="s">
        <v>35</v>
      </c>
      <c r="O33" s="5">
        <v>13</v>
      </c>
      <c r="P33" s="7">
        <f t="shared" si="3"/>
        <v>7305.4499999999989</v>
      </c>
      <c r="Q33" s="7">
        <f t="shared" si="4"/>
        <v>10085.399999999987</v>
      </c>
      <c r="R33" s="7" t="str">
        <f t="shared" si="5"/>
        <v>Normal</v>
      </c>
      <c r="S33" s="5">
        <v>3</v>
      </c>
      <c r="T33" s="5">
        <v>4</v>
      </c>
      <c r="U33" s="5" t="str" cm="1">
        <f t="array" ref="U33">_xlfn.IFS(T33=1,"Poor",T33=2,"Fair",T33=3,"Good",T33=4,"Excellent")</f>
        <v>Excellent</v>
      </c>
      <c r="V33" s="5" t="s">
        <v>35</v>
      </c>
      <c r="W33" s="5">
        <v>4</v>
      </c>
      <c r="X33" s="28">
        <f t="shared" ca="1" si="6"/>
        <v>44650</v>
      </c>
      <c r="Y33" s="28">
        <f t="shared" ca="1" si="7"/>
        <v>46842</v>
      </c>
      <c r="Z33" s="28" t="str">
        <f t="shared" ca="1" si="8"/>
        <v>Upcoming</v>
      </c>
      <c r="AA33" s="5" t="str" cm="1">
        <f t="array" ref="AA33">_xlfn.IFS(W33&gt;10,"Veteran",W33&gt;=6,"Experienced",W33&gt;=2,"Developing",W33&gt;=0,"New")</f>
        <v>Developing</v>
      </c>
      <c r="AB33" s="5" t="str" cm="1">
        <f t="array" ref="AB33">_xlfn.IFS(G33=1,"Junior",G33=2,"Mid-Level",G33=3,"Senior",G33=4,"Lead",G33=5,"Principal")&amp;" "&amp;TRIM(PROPER(H33))</f>
        <v>Mid-Level Healthcare Representative</v>
      </c>
      <c r="AC33" s="19" t="str">
        <f t="shared" ca="1" si="9"/>
        <v>He-Res-2022-032 is a Mid-Level Healthcare Representative in the Research &amp; Development department, aged 44, married and has been with the Company for 4years</v>
      </c>
    </row>
    <row r="34" spans="1:29">
      <c r="A34" s="18" t="str">
        <f t="shared" ca="1" si="0"/>
        <v>La-Res-2016-033</v>
      </c>
      <c r="B34" s="5">
        <v>30</v>
      </c>
      <c r="C34" s="5" t="str">
        <f t="shared" si="10"/>
        <v>30-39</v>
      </c>
      <c r="D34" s="5" t="s">
        <v>43</v>
      </c>
      <c r="E34" s="5" t="s">
        <v>45</v>
      </c>
      <c r="F34" s="5" t="s">
        <v>46</v>
      </c>
      <c r="G34" s="5">
        <v>1</v>
      </c>
      <c r="H34" s="5" t="s">
        <v>50</v>
      </c>
      <c r="I34" s="5" t="s">
        <v>41</v>
      </c>
      <c r="J34" s="7">
        <v>2206</v>
      </c>
      <c r="K34" s="7">
        <f t="shared" si="1"/>
        <v>154.42000000000002</v>
      </c>
      <c r="L34" s="7">
        <f t="shared" si="2"/>
        <v>2051.58</v>
      </c>
      <c r="M34" s="7">
        <v>16117</v>
      </c>
      <c r="N34" s="5" t="s">
        <v>43</v>
      </c>
      <c r="O34" s="5">
        <v>13</v>
      </c>
      <c r="P34" s="7">
        <f t="shared" si="3"/>
        <v>2492.7799999999997</v>
      </c>
      <c r="Q34" s="7">
        <f t="shared" si="4"/>
        <v>3441.3599999999969</v>
      </c>
      <c r="R34" s="7" t="str">
        <f t="shared" si="5"/>
        <v>Normal</v>
      </c>
      <c r="S34" s="5">
        <v>3</v>
      </c>
      <c r="T34" s="5">
        <v>3</v>
      </c>
      <c r="U34" s="5" t="str" cm="1">
        <f t="array" ref="U34">_xlfn.IFS(T34=1,"Poor",T34=2,"Fair",T34=3,"Good",T34=4,"Excellent")</f>
        <v>Good</v>
      </c>
      <c r="V34" s="5" t="s">
        <v>43</v>
      </c>
      <c r="W34" s="5">
        <v>10</v>
      </c>
      <c r="X34" s="28">
        <f t="shared" ca="1" si="6"/>
        <v>42459</v>
      </c>
      <c r="Y34" s="28">
        <f t="shared" ca="1" si="7"/>
        <v>46842</v>
      </c>
      <c r="Z34" s="28" t="str">
        <f t="shared" ca="1" si="8"/>
        <v>Upcoming</v>
      </c>
      <c r="AA34" s="5" t="str" cm="1">
        <f t="array" ref="AA34">_xlfn.IFS(W34&gt;10,"Veteran",W34&gt;=6,"Experienced",W34&gt;=2,"Developing",W34&gt;=0,"New")</f>
        <v>Experienced</v>
      </c>
      <c r="AB34" s="5" t="str" cm="1">
        <f t="array" ref="AB34">_xlfn.IFS(G34=1,"Junior",G34=2,"Mid-Level",G34=3,"Senior",G34=4,"Lead",G34=5,"Principal")&amp;" "&amp;TRIM(PROPER(H34))</f>
        <v>Junior Laboratory Technician</v>
      </c>
      <c r="AC34" s="19" t="str">
        <f t="shared" ca="1" si="9"/>
        <v>La-Res-2016-033 is a Junior Laboratory Technician in the Research &amp; Development department, aged 30, single and has been with the Company for 10years</v>
      </c>
    </row>
    <row r="35" spans="1:29">
      <c r="A35" s="18" t="str">
        <f t="shared" ca="1" si="0"/>
        <v>Sa-Sal-2025-034</v>
      </c>
      <c r="B35" s="5">
        <v>39</v>
      </c>
      <c r="C35" s="5" t="str">
        <f t="shared" si="10"/>
        <v>30-39</v>
      </c>
      <c r="D35" s="5" t="s">
        <v>35</v>
      </c>
      <c r="E35" s="5" t="s">
        <v>37</v>
      </c>
      <c r="F35" s="5" t="s">
        <v>46</v>
      </c>
      <c r="G35" s="5">
        <v>2</v>
      </c>
      <c r="H35" s="5" t="s">
        <v>57</v>
      </c>
      <c r="I35" s="5" t="s">
        <v>48</v>
      </c>
      <c r="J35" s="7">
        <v>2086</v>
      </c>
      <c r="K35" s="7">
        <f t="shared" si="1"/>
        <v>146.02000000000001</v>
      </c>
      <c r="L35" s="7">
        <f t="shared" si="2"/>
        <v>1939.98</v>
      </c>
      <c r="M35" s="7">
        <v>3335</v>
      </c>
      <c r="N35" s="5" t="s">
        <v>43</v>
      </c>
      <c r="O35" s="5">
        <v>14</v>
      </c>
      <c r="P35" s="7">
        <f t="shared" si="3"/>
        <v>2378.0400000000004</v>
      </c>
      <c r="Q35" s="7">
        <f t="shared" si="4"/>
        <v>3504.480000000005</v>
      </c>
      <c r="R35" s="7" t="str">
        <f t="shared" si="5"/>
        <v>Normal</v>
      </c>
      <c r="S35" s="5">
        <v>3</v>
      </c>
      <c r="T35" s="5">
        <v>4</v>
      </c>
      <c r="U35" s="5" t="str" cm="1">
        <f t="array" ref="U35">_xlfn.IFS(T35=1,"Poor",T35=2,"Fair",T35=3,"Good",T35=4,"Excellent")</f>
        <v>Excellent</v>
      </c>
      <c r="V35" s="5" t="s">
        <v>43</v>
      </c>
      <c r="W35" s="5">
        <v>1</v>
      </c>
      <c r="X35" s="28">
        <f t="shared" ca="1" si="6"/>
        <v>45746</v>
      </c>
      <c r="Y35" s="28">
        <f t="shared" ca="1" si="7"/>
        <v>46476</v>
      </c>
      <c r="Z35" s="28" t="str">
        <f t="shared" ca="1" si="8"/>
        <v>Due Soon</v>
      </c>
      <c r="AA35" s="5" t="str" cm="1">
        <f t="array" ref="AA35">_xlfn.IFS(W35&gt;10,"Veteran",W35&gt;=6,"Experienced",W35&gt;=2,"Developing",W35&gt;=0,"New")</f>
        <v>New</v>
      </c>
      <c r="AB35" s="5" t="str" cm="1">
        <f t="array" ref="AB35">_xlfn.IFS(G35=1,"Junior",G35=2,"Mid-Level",G35=3,"Senior",G35=4,"Lead",G35=5,"Principal")&amp;" "&amp;TRIM(PROPER(H35))</f>
        <v>Mid-Level Sales Representative</v>
      </c>
      <c r="AC35" s="19" t="str">
        <f t="shared" ca="1" si="9"/>
        <v>Sa-Sal-2025-034 is a Mid-Level Sales Representative in the Sales department, aged 39, married and has been with the Company for 1years</v>
      </c>
    </row>
    <row r="36" spans="1:29">
      <c r="A36" s="18" t="str">
        <f t="shared" ca="1" si="0"/>
        <v>Re-Res-2024-035</v>
      </c>
      <c r="B36" s="5">
        <v>24</v>
      </c>
      <c r="C36" s="5" t="str">
        <f t="shared" si="10"/>
        <v>20-29</v>
      </c>
      <c r="D36" s="5" t="s">
        <v>35</v>
      </c>
      <c r="E36" s="5" t="s">
        <v>45</v>
      </c>
      <c r="F36" s="5" t="s">
        <v>46</v>
      </c>
      <c r="G36" s="5">
        <v>1</v>
      </c>
      <c r="H36" s="5" t="s">
        <v>47</v>
      </c>
      <c r="I36" s="5" t="s">
        <v>48</v>
      </c>
      <c r="J36" s="7">
        <v>2293</v>
      </c>
      <c r="K36" s="7">
        <f t="shared" si="1"/>
        <v>160.51000000000002</v>
      </c>
      <c r="L36" s="7">
        <f t="shared" si="2"/>
        <v>2132.4899999999998</v>
      </c>
      <c r="M36" s="7">
        <v>3020</v>
      </c>
      <c r="N36" s="5" t="s">
        <v>35</v>
      </c>
      <c r="O36" s="5">
        <v>16</v>
      </c>
      <c r="P36" s="7">
        <f t="shared" si="3"/>
        <v>2659.8799999999997</v>
      </c>
      <c r="Q36" s="7">
        <f t="shared" si="4"/>
        <v>4402.5599999999959</v>
      </c>
      <c r="R36" s="7" t="str">
        <f t="shared" si="5"/>
        <v>Normal</v>
      </c>
      <c r="S36" s="5">
        <v>3</v>
      </c>
      <c r="T36" s="5">
        <v>2</v>
      </c>
      <c r="U36" s="5" t="str" cm="1">
        <f t="array" ref="U36">_xlfn.IFS(T36=1,"Poor",T36=2,"Fair",T36=3,"Good",T36=4,"Excellent")</f>
        <v>Fair</v>
      </c>
      <c r="V36" s="5" t="s">
        <v>35</v>
      </c>
      <c r="W36" s="5">
        <v>2</v>
      </c>
      <c r="X36" s="28">
        <f t="shared" ca="1" si="6"/>
        <v>45381</v>
      </c>
      <c r="Y36" s="28">
        <f t="shared" ca="1" si="7"/>
        <v>46842</v>
      </c>
      <c r="Z36" s="28" t="str">
        <f t="shared" ca="1" si="8"/>
        <v>Upcoming</v>
      </c>
      <c r="AA36" s="5" t="str" cm="1">
        <f t="array" ref="AA36">_xlfn.IFS(W36&gt;10,"Veteran",W36&gt;=6,"Experienced",W36&gt;=2,"Developing",W36&gt;=0,"New")</f>
        <v>Developing</v>
      </c>
      <c r="AB36" s="5" t="str" cm="1">
        <f t="array" ref="AB36">_xlfn.IFS(G36=1,"Junior",G36=2,"Mid-Level",G36=3,"Senior",G36=4,"Lead",G36=5,"Principal")&amp;" "&amp;TRIM(PROPER(H36))</f>
        <v>Junior Research Scientist</v>
      </c>
      <c r="AC36" s="19" t="str">
        <f t="shared" ca="1" si="9"/>
        <v>Re-Res-2024-035 is a Junior Research Scientist in the Research &amp; Development department, aged 24, married and has been with the Company for 2years</v>
      </c>
    </row>
    <row r="37" spans="1:29">
      <c r="A37" s="18" t="str">
        <f t="shared" ca="1" si="0"/>
        <v>Re-Res-2021-036</v>
      </c>
      <c r="B37" s="5">
        <v>43</v>
      </c>
      <c r="C37" s="5" t="str">
        <f t="shared" si="10"/>
        <v>40-49</v>
      </c>
      <c r="D37" s="5" t="s">
        <v>43</v>
      </c>
      <c r="E37" s="5" t="s">
        <v>45</v>
      </c>
      <c r="F37" s="5" t="s">
        <v>39</v>
      </c>
      <c r="G37" s="5">
        <v>1</v>
      </c>
      <c r="H37" s="5" t="s">
        <v>47</v>
      </c>
      <c r="I37" s="5" t="s">
        <v>52</v>
      </c>
      <c r="J37" s="7">
        <v>2645</v>
      </c>
      <c r="K37" s="7">
        <f t="shared" si="1"/>
        <v>185.15</v>
      </c>
      <c r="L37" s="7">
        <f t="shared" si="2"/>
        <v>2459.85</v>
      </c>
      <c r="M37" s="7">
        <v>21923</v>
      </c>
      <c r="N37" s="5" t="s">
        <v>43</v>
      </c>
      <c r="O37" s="5">
        <v>12</v>
      </c>
      <c r="P37" s="7">
        <f t="shared" si="3"/>
        <v>2962.4</v>
      </c>
      <c r="Q37" s="7">
        <f t="shared" si="4"/>
        <v>3808.8000000000011</v>
      </c>
      <c r="R37" s="7" t="str">
        <f t="shared" si="5"/>
        <v>Normal</v>
      </c>
      <c r="S37" s="5">
        <v>3</v>
      </c>
      <c r="T37" s="5">
        <v>2</v>
      </c>
      <c r="U37" s="5" t="str" cm="1">
        <f t="array" ref="U37">_xlfn.IFS(T37=1,"Poor",T37=2,"Fair",T37=3,"Good",T37=4,"Excellent")</f>
        <v>Fair</v>
      </c>
      <c r="V37" s="5" t="s">
        <v>43</v>
      </c>
      <c r="W37" s="5">
        <v>5</v>
      </c>
      <c r="X37" s="28">
        <f t="shared" ca="1" si="6"/>
        <v>44285</v>
      </c>
      <c r="Y37" s="28">
        <f t="shared" ca="1" si="7"/>
        <v>46476</v>
      </c>
      <c r="Z37" s="28" t="str">
        <f t="shared" ca="1" si="8"/>
        <v>Due Soon</v>
      </c>
      <c r="AA37" s="5" t="str" cm="1">
        <f t="array" ref="AA37">_xlfn.IFS(W37&gt;10,"Veteran",W37&gt;=6,"Experienced",W37&gt;=2,"Developing",W37&gt;=0,"New")</f>
        <v>Developing</v>
      </c>
      <c r="AB37" s="5" t="str" cm="1">
        <f t="array" ref="AB37">_xlfn.IFS(G37=1,"Junior",G37=2,"Mid-Level",G37=3,"Senior",G37=4,"Lead",G37=5,"Principal")&amp;" "&amp;TRIM(PROPER(H37))</f>
        <v>Junior Research Scientist</v>
      </c>
      <c r="AC37" s="19" t="str">
        <f t="shared" ca="1" si="9"/>
        <v>Re-Res-2021-036 is a Junior Research Scientist in the Research &amp; Development department, aged 43, divorced and has been with the Company for 5years</v>
      </c>
    </row>
    <row r="38" spans="1:29">
      <c r="A38" s="18" t="str">
        <f t="shared" ca="1" si="0"/>
        <v>Sa-Sal-2023-037</v>
      </c>
      <c r="B38" s="5">
        <v>50</v>
      </c>
      <c r="C38" s="5" t="str">
        <f t="shared" si="10"/>
        <v>50+</v>
      </c>
      <c r="D38" s="5" t="s">
        <v>35</v>
      </c>
      <c r="E38" s="5" t="s">
        <v>37</v>
      </c>
      <c r="F38" s="5" t="s">
        <v>46</v>
      </c>
      <c r="G38" s="5">
        <v>1</v>
      </c>
      <c r="H38" s="5" t="s">
        <v>57</v>
      </c>
      <c r="I38" s="5" t="s">
        <v>48</v>
      </c>
      <c r="J38" s="7">
        <v>2683</v>
      </c>
      <c r="K38" s="7">
        <f t="shared" si="1"/>
        <v>187.81000000000003</v>
      </c>
      <c r="L38" s="7">
        <f t="shared" si="2"/>
        <v>2495.19</v>
      </c>
      <c r="M38" s="7">
        <v>3810</v>
      </c>
      <c r="N38" s="5" t="s">
        <v>35</v>
      </c>
      <c r="O38" s="5">
        <v>14</v>
      </c>
      <c r="P38" s="7">
        <f t="shared" si="3"/>
        <v>3058.6200000000003</v>
      </c>
      <c r="Q38" s="7">
        <f t="shared" si="4"/>
        <v>4507.4400000000041</v>
      </c>
      <c r="R38" s="7" t="str">
        <f t="shared" si="5"/>
        <v>Normal</v>
      </c>
      <c r="S38" s="5">
        <v>3</v>
      </c>
      <c r="T38" s="5">
        <v>3</v>
      </c>
      <c r="U38" s="5" t="str" cm="1">
        <f t="array" ref="U38">_xlfn.IFS(T38=1,"Poor",T38=2,"Fair",T38=3,"Good",T38=4,"Excellent")</f>
        <v>Good</v>
      </c>
      <c r="V38" s="5" t="s">
        <v>35</v>
      </c>
      <c r="W38" s="5">
        <v>3</v>
      </c>
      <c r="X38" s="28">
        <f t="shared" ca="1" si="6"/>
        <v>45015</v>
      </c>
      <c r="Y38" s="28">
        <f t="shared" ca="1" si="7"/>
        <v>46476</v>
      </c>
      <c r="Z38" s="28" t="str">
        <f t="shared" ca="1" si="8"/>
        <v>Due Soon</v>
      </c>
      <c r="AA38" s="5" t="str" cm="1">
        <f t="array" ref="AA38">_xlfn.IFS(W38&gt;10,"Veteran",W38&gt;=6,"Experienced",W38&gt;=2,"Developing",W38&gt;=0,"New")</f>
        <v>Developing</v>
      </c>
      <c r="AB38" s="5" t="str" cm="1">
        <f t="array" ref="AB38">_xlfn.IFS(G38=1,"Junior",G38=2,"Mid-Level",G38=3,"Senior",G38=4,"Lead",G38=5,"Principal")&amp;" "&amp;TRIM(PROPER(H38))</f>
        <v>Junior Sales Representative</v>
      </c>
      <c r="AC38" s="19" t="str">
        <f t="shared" ca="1" si="9"/>
        <v>Sa-Sal-2023-037 is a Junior Sales Representative in the Sales department, aged 50, married and has been with the Company for 3years</v>
      </c>
    </row>
    <row r="39" spans="1:29">
      <c r="A39" s="18" t="str">
        <f t="shared" ca="1" si="0"/>
        <v>Sa-Sal-2024-038</v>
      </c>
      <c r="B39" s="5">
        <v>35</v>
      </c>
      <c r="C39" s="5" t="str">
        <f t="shared" si="10"/>
        <v>30-39</v>
      </c>
      <c r="D39" s="5" t="s">
        <v>43</v>
      </c>
      <c r="E39" s="5" t="s">
        <v>37</v>
      </c>
      <c r="F39" s="5" t="s">
        <v>39</v>
      </c>
      <c r="G39" s="5">
        <v>1</v>
      </c>
      <c r="H39" s="5" t="s">
        <v>57</v>
      </c>
      <c r="I39" s="5" t="s">
        <v>48</v>
      </c>
      <c r="J39" s="7">
        <v>2014</v>
      </c>
      <c r="K39" s="7">
        <f t="shared" si="1"/>
        <v>140.98000000000002</v>
      </c>
      <c r="L39" s="7">
        <f t="shared" si="2"/>
        <v>1873.02</v>
      </c>
      <c r="M39" s="7">
        <v>9687</v>
      </c>
      <c r="N39" s="5" t="s">
        <v>43</v>
      </c>
      <c r="O39" s="5">
        <v>13</v>
      </c>
      <c r="P39" s="7">
        <f t="shared" si="3"/>
        <v>2275.8199999999997</v>
      </c>
      <c r="Q39" s="7">
        <f t="shared" si="4"/>
        <v>3141.8399999999965</v>
      </c>
      <c r="R39" s="7" t="str">
        <f t="shared" si="5"/>
        <v>Normal</v>
      </c>
      <c r="S39" s="5">
        <v>3</v>
      </c>
      <c r="T39" s="5">
        <v>3</v>
      </c>
      <c r="U39" s="5" t="str" cm="1">
        <f t="array" ref="U39">_xlfn.IFS(T39=1,"Poor",T39=2,"Fair",T39=3,"Good",T39=4,"Excellent")</f>
        <v>Good</v>
      </c>
      <c r="V39" s="5" t="s">
        <v>43</v>
      </c>
      <c r="W39" s="5">
        <v>2</v>
      </c>
      <c r="X39" s="28">
        <f t="shared" ca="1" si="6"/>
        <v>45381</v>
      </c>
      <c r="Y39" s="28">
        <f t="shared" ca="1" si="7"/>
        <v>46842</v>
      </c>
      <c r="Z39" s="28" t="str">
        <f t="shared" ca="1" si="8"/>
        <v>Upcoming</v>
      </c>
      <c r="AA39" s="5" t="str" cm="1">
        <f t="array" ref="AA39">_xlfn.IFS(W39&gt;10,"Veteran",W39&gt;=6,"Experienced",W39&gt;=2,"Developing",W39&gt;=0,"New")</f>
        <v>Developing</v>
      </c>
      <c r="AB39" s="5" t="str" cm="1">
        <f t="array" ref="AB39">_xlfn.IFS(G39=1,"Junior",G39=2,"Mid-Level",G39=3,"Senior",G39=4,"Lead",G39=5,"Principal")&amp;" "&amp;TRIM(PROPER(H39))</f>
        <v>Junior Sales Representative</v>
      </c>
      <c r="AC39" s="19" t="str">
        <f t="shared" ca="1" si="9"/>
        <v>Sa-Sal-2024-038 is a Junior Sales Representative in the Sales department, aged 35, married and has been with the Company for 2years</v>
      </c>
    </row>
    <row r="40" spans="1:29">
      <c r="A40" s="18" t="str">
        <f t="shared" ca="1" si="0"/>
        <v>Re-Res-2025-039</v>
      </c>
      <c r="B40" s="5">
        <v>36</v>
      </c>
      <c r="C40" s="5" t="str">
        <f t="shared" si="10"/>
        <v>30-39</v>
      </c>
      <c r="D40" s="5" t="s">
        <v>43</v>
      </c>
      <c r="E40" s="5" t="s">
        <v>45</v>
      </c>
      <c r="F40" s="5" t="s">
        <v>39</v>
      </c>
      <c r="G40" s="5">
        <v>1</v>
      </c>
      <c r="H40" s="5" t="s">
        <v>47</v>
      </c>
      <c r="I40" s="5" t="s">
        <v>48</v>
      </c>
      <c r="J40" s="7">
        <v>3419</v>
      </c>
      <c r="K40" s="7">
        <f t="shared" si="1"/>
        <v>512.85</v>
      </c>
      <c r="L40" s="7">
        <f t="shared" si="2"/>
        <v>2906.15</v>
      </c>
      <c r="M40" s="7">
        <v>13072</v>
      </c>
      <c r="N40" s="5" t="s">
        <v>35</v>
      </c>
      <c r="O40" s="5">
        <v>14</v>
      </c>
      <c r="P40" s="7">
        <f t="shared" si="3"/>
        <v>3897.6600000000003</v>
      </c>
      <c r="Q40" s="7">
        <f t="shared" si="4"/>
        <v>5743.9200000000037</v>
      </c>
      <c r="R40" s="7" t="str">
        <f t="shared" si="5"/>
        <v>Normal</v>
      </c>
      <c r="S40" s="5">
        <v>3</v>
      </c>
      <c r="T40" s="5">
        <v>4</v>
      </c>
      <c r="U40" s="5" t="str" cm="1">
        <f t="array" ref="U40">_xlfn.IFS(T40=1,"Poor",T40=2,"Fair",T40=3,"Good",T40=4,"Excellent")</f>
        <v>Excellent</v>
      </c>
      <c r="V40" s="5" t="s">
        <v>35</v>
      </c>
      <c r="W40" s="5">
        <v>1</v>
      </c>
      <c r="X40" s="28">
        <f t="shared" ca="1" si="6"/>
        <v>45746</v>
      </c>
      <c r="Y40" s="28">
        <f t="shared" ca="1" si="7"/>
        <v>46476</v>
      </c>
      <c r="Z40" s="28" t="str">
        <f t="shared" ca="1" si="8"/>
        <v>Due Soon</v>
      </c>
      <c r="AA40" s="5" t="str" cm="1">
        <f t="array" ref="AA40">_xlfn.IFS(W40&gt;10,"Veteran",W40&gt;=6,"Experienced",W40&gt;=2,"Developing",W40&gt;=0,"New")</f>
        <v>New</v>
      </c>
      <c r="AB40" s="5" t="str" cm="1">
        <f t="array" ref="AB40">_xlfn.IFS(G40=1,"Junior",G40=2,"Mid-Level",G40=3,"Senior",G40=4,"Lead",G40=5,"Principal")&amp;" "&amp;TRIM(PROPER(H40))</f>
        <v>Junior Research Scientist</v>
      </c>
      <c r="AC40" s="19" t="str">
        <f t="shared" ca="1" si="9"/>
        <v>Re-Res-2025-039 is a Junior Research Scientist in the Research &amp; Development department, aged 36, married and has been with the Company for 1years</v>
      </c>
    </row>
    <row r="41" spans="1:29">
      <c r="A41" s="18" t="str">
        <f t="shared" ca="1" si="0"/>
        <v>Sa-Sal-2021-040</v>
      </c>
      <c r="B41" s="5">
        <v>33</v>
      </c>
      <c r="C41" s="5" t="str">
        <f t="shared" si="10"/>
        <v>30-39</v>
      </c>
      <c r="D41" s="5" t="s">
        <v>43</v>
      </c>
      <c r="E41" s="5" t="s">
        <v>37</v>
      </c>
      <c r="F41" s="5" t="s">
        <v>39</v>
      </c>
      <c r="G41" s="5">
        <v>2</v>
      </c>
      <c r="H41" s="5" t="s">
        <v>40</v>
      </c>
      <c r="I41" s="5" t="s">
        <v>48</v>
      </c>
      <c r="J41" s="7">
        <v>5376</v>
      </c>
      <c r="K41" s="7">
        <f t="shared" si="1"/>
        <v>806.4</v>
      </c>
      <c r="L41" s="7">
        <f t="shared" si="2"/>
        <v>4569.6000000000004</v>
      </c>
      <c r="M41" s="7">
        <v>3193</v>
      </c>
      <c r="N41" s="5" t="s">
        <v>43</v>
      </c>
      <c r="O41" s="5">
        <v>19</v>
      </c>
      <c r="P41" s="7">
        <f t="shared" si="3"/>
        <v>6397.44</v>
      </c>
      <c r="Q41" s="7">
        <f t="shared" si="4"/>
        <v>12257.279999999995</v>
      </c>
      <c r="R41" s="7" t="str">
        <f t="shared" si="5"/>
        <v>Normal</v>
      </c>
      <c r="S41" s="5">
        <v>3</v>
      </c>
      <c r="T41" s="5">
        <v>3</v>
      </c>
      <c r="U41" s="5" t="str" cm="1">
        <f t="array" ref="U41">_xlfn.IFS(T41=1,"Poor",T41=2,"Fair",T41=3,"Good",T41=4,"Excellent")</f>
        <v>Good</v>
      </c>
      <c r="V41" s="5" t="s">
        <v>43</v>
      </c>
      <c r="W41" s="5">
        <v>5</v>
      </c>
      <c r="X41" s="28">
        <f t="shared" ca="1" si="6"/>
        <v>44285</v>
      </c>
      <c r="Y41" s="28">
        <f t="shared" ca="1" si="7"/>
        <v>46476</v>
      </c>
      <c r="Z41" s="28" t="str">
        <f t="shared" ca="1" si="8"/>
        <v>Due Soon</v>
      </c>
      <c r="AA41" s="5" t="str" cm="1">
        <f t="array" ref="AA41">_xlfn.IFS(W41&gt;10,"Veteran",W41&gt;=6,"Experienced",W41&gt;=2,"Developing",W41&gt;=0,"New")</f>
        <v>Developing</v>
      </c>
      <c r="AB41" s="5" t="str" cm="1">
        <f t="array" ref="AB41">_xlfn.IFS(G41=1,"Junior",G41=2,"Mid-Level",G41=3,"Senior",G41=4,"Lead",G41=5,"Principal")&amp;" "&amp;TRIM(PROPER(H41))</f>
        <v>Mid-Level Sales Executive</v>
      </c>
      <c r="AC41" s="19" t="str">
        <f t="shared" ca="1" si="9"/>
        <v>Sa-Sal-2021-040 is a Mid-Level Sales Executive in the Sales department, aged 33, married and has been with the Company for 5years</v>
      </c>
    </row>
    <row r="42" spans="1:29">
      <c r="A42" s="18" t="str">
        <f t="shared" ca="1" si="0"/>
        <v>La-Res-2025-041</v>
      </c>
      <c r="B42" s="5">
        <v>35</v>
      </c>
      <c r="C42" s="5" t="str">
        <f t="shared" si="10"/>
        <v>30-39</v>
      </c>
      <c r="D42" s="5" t="s">
        <v>43</v>
      </c>
      <c r="E42" s="5" t="s">
        <v>45</v>
      </c>
      <c r="F42" s="5" t="s">
        <v>46</v>
      </c>
      <c r="G42" s="5">
        <v>1</v>
      </c>
      <c r="H42" s="5" t="s">
        <v>50</v>
      </c>
      <c r="I42" s="5" t="s">
        <v>52</v>
      </c>
      <c r="J42" s="7">
        <v>1951</v>
      </c>
      <c r="K42" s="7">
        <f t="shared" si="1"/>
        <v>136.57000000000002</v>
      </c>
      <c r="L42" s="7">
        <f t="shared" si="2"/>
        <v>1814.43</v>
      </c>
      <c r="M42" s="7">
        <v>10910</v>
      </c>
      <c r="N42" s="5" t="s">
        <v>43</v>
      </c>
      <c r="O42" s="5">
        <v>12</v>
      </c>
      <c r="P42" s="7">
        <f t="shared" si="3"/>
        <v>2185.1200000000003</v>
      </c>
      <c r="Q42" s="7">
        <f t="shared" si="4"/>
        <v>2809.4400000000041</v>
      </c>
      <c r="R42" s="7" t="str">
        <f t="shared" si="5"/>
        <v>Normal</v>
      </c>
      <c r="S42" s="5">
        <v>3</v>
      </c>
      <c r="T42" s="5">
        <v>3</v>
      </c>
      <c r="U42" s="5" t="str" cm="1">
        <f t="array" ref="U42">_xlfn.IFS(T42=1,"Poor",T42=2,"Fair",T42=3,"Good",T42=4,"Excellent")</f>
        <v>Good</v>
      </c>
      <c r="V42" s="5" t="s">
        <v>43</v>
      </c>
      <c r="W42" s="5">
        <v>1</v>
      </c>
      <c r="X42" s="28">
        <f t="shared" ca="1" si="6"/>
        <v>45746</v>
      </c>
      <c r="Y42" s="28">
        <f t="shared" ca="1" si="7"/>
        <v>46476</v>
      </c>
      <c r="Z42" s="28" t="str">
        <f t="shared" ca="1" si="8"/>
        <v>Due Soon</v>
      </c>
      <c r="AA42" s="5" t="str" cm="1">
        <f t="array" ref="AA42">_xlfn.IFS(W42&gt;10,"Veteran",W42&gt;=6,"Experienced",W42&gt;=2,"Developing",W42&gt;=0,"New")</f>
        <v>New</v>
      </c>
      <c r="AB42" s="5" t="str" cm="1">
        <f t="array" ref="AB42">_xlfn.IFS(G42=1,"Junior",G42=2,"Mid-Level",G42=3,"Senior",G42=4,"Lead",G42=5,"Principal")&amp;" "&amp;TRIM(PROPER(H42))</f>
        <v>Junior Laboratory Technician</v>
      </c>
      <c r="AC42" s="19" t="str">
        <f t="shared" ca="1" si="9"/>
        <v>La-Res-2025-041 is a Junior Laboratory Technician in the Research &amp; Development department, aged 35, divorced and has been with the Company for 1years</v>
      </c>
    </row>
    <row r="43" spans="1:29">
      <c r="A43" s="18" t="str">
        <f t="shared" ca="1" si="0"/>
        <v>La-Res-2025-042</v>
      </c>
      <c r="B43" s="5">
        <v>27</v>
      </c>
      <c r="C43" s="5" t="str">
        <f t="shared" si="10"/>
        <v>20-29</v>
      </c>
      <c r="D43" s="5" t="s">
        <v>43</v>
      </c>
      <c r="E43" s="5" t="s">
        <v>45</v>
      </c>
      <c r="F43" s="5" t="s">
        <v>39</v>
      </c>
      <c r="G43" s="5">
        <v>1</v>
      </c>
      <c r="H43" s="5" t="s">
        <v>50</v>
      </c>
      <c r="I43" s="5" t="s">
        <v>52</v>
      </c>
      <c r="J43" s="7">
        <v>2341</v>
      </c>
      <c r="K43" s="7">
        <f t="shared" si="1"/>
        <v>163.87</v>
      </c>
      <c r="L43" s="7">
        <f t="shared" si="2"/>
        <v>2177.13</v>
      </c>
      <c r="M43" s="7">
        <v>19715</v>
      </c>
      <c r="N43" s="5" t="s">
        <v>43</v>
      </c>
      <c r="O43" s="5">
        <v>13</v>
      </c>
      <c r="P43" s="7">
        <f t="shared" si="3"/>
        <v>2645.33</v>
      </c>
      <c r="Q43" s="7">
        <f t="shared" si="4"/>
        <v>3651.9599999999991</v>
      </c>
      <c r="R43" s="7" t="str">
        <f t="shared" si="5"/>
        <v>Normal</v>
      </c>
      <c r="S43" s="5">
        <v>3</v>
      </c>
      <c r="T43" s="5">
        <v>3</v>
      </c>
      <c r="U43" s="5" t="str" cm="1">
        <f t="array" ref="U43">_xlfn.IFS(T43=1,"Poor",T43=2,"Fair",T43=3,"Good",T43=4,"Excellent")</f>
        <v>Good</v>
      </c>
      <c r="V43" s="5" t="s">
        <v>43</v>
      </c>
      <c r="W43" s="5">
        <v>1</v>
      </c>
      <c r="X43" s="28">
        <f t="shared" ca="1" si="6"/>
        <v>45746</v>
      </c>
      <c r="Y43" s="28">
        <f t="shared" ca="1" si="7"/>
        <v>46476</v>
      </c>
      <c r="Z43" s="28" t="str">
        <f t="shared" ca="1" si="8"/>
        <v>Due Soon</v>
      </c>
      <c r="AA43" s="5" t="str" cm="1">
        <f t="array" ref="AA43">_xlfn.IFS(W43&gt;10,"Veteran",W43&gt;=6,"Experienced",W43&gt;=2,"Developing",W43&gt;=0,"New")</f>
        <v>New</v>
      </c>
      <c r="AB43" s="5" t="str" cm="1">
        <f t="array" ref="AB43">_xlfn.IFS(G43=1,"Junior",G43=2,"Mid-Level",G43=3,"Senior",G43=4,"Lead",G43=5,"Principal")&amp;" "&amp;TRIM(PROPER(H43))</f>
        <v>Junior Laboratory Technician</v>
      </c>
      <c r="AC43" s="19" t="str">
        <f t="shared" ca="1" si="9"/>
        <v>La-Res-2025-042 is a Junior Laboratory Technician in the Research &amp; Development department, aged 27, divorced and has been with the Company for 1years</v>
      </c>
    </row>
    <row r="44" spans="1:29">
      <c r="A44" s="18" t="str">
        <f t="shared" ca="1" si="0"/>
        <v>La-Res-2025-043</v>
      </c>
      <c r="B44" s="5">
        <v>26</v>
      </c>
      <c r="C44" s="5" t="str">
        <f t="shared" si="10"/>
        <v>20-29</v>
      </c>
      <c r="D44" s="5" t="s">
        <v>35</v>
      </c>
      <c r="E44" s="5" t="s">
        <v>45</v>
      </c>
      <c r="F44" s="5" t="s">
        <v>46</v>
      </c>
      <c r="G44" s="5">
        <v>1</v>
      </c>
      <c r="H44" s="5" t="s">
        <v>50</v>
      </c>
      <c r="I44" s="5" t="s">
        <v>41</v>
      </c>
      <c r="J44" s="7">
        <v>2293</v>
      </c>
      <c r="K44" s="7">
        <f t="shared" si="1"/>
        <v>160.51000000000002</v>
      </c>
      <c r="L44" s="7">
        <f t="shared" si="2"/>
        <v>2132.4899999999998</v>
      </c>
      <c r="M44" s="7">
        <v>10558</v>
      </c>
      <c r="N44" s="5" t="s">
        <v>43</v>
      </c>
      <c r="O44" s="5">
        <v>12</v>
      </c>
      <c r="P44" s="7">
        <f t="shared" si="3"/>
        <v>2568.1600000000003</v>
      </c>
      <c r="Q44" s="7">
        <f t="shared" si="4"/>
        <v>3301.9200000000037</v>
      </c>
      <c r="R44" s="7" t="str">
        <f t="shared" si="5"/>
        <v>Normal</v>
      </c>
      <c r="S44" s="5">
        <v>3</v>
      </c>
      <c r="T44" s="5">
        <v>2</v>
      </c>
      <c r="U44" s="5" t="str" cm="1">
        <f t="array" ref="U44">_xlfn.IFS(T44=1,"Poor",T44=2,"Fair",T44=3,"Good",T44=4,"Excellent")</f>
        <v>Fair</v>
      </c>
      <c r="V44" s="5" t="s">
        <v>43</v>
      </c>
      <c r="W44" s="5">
        <v>1</v>
      </c>
      <c r="X44" s="28">
        <f t="shared" ca="1" si="6"/>
        <v>45746</v>
      </c>
      <c r="Y44" s="28">
        <f t="shared" ca="1" si="7"/>
        <v>46476</v>
      </c>
      <c r="Z44" s="28" t="str">
        <f t="shared" ca="1" si="8"/>
        <v>Due Soon</v>
      </c>
      <c r="AA44" s="5" t="str" cm="1">
        <f t="array" ref="AA44">_xlfn.IFS(W44&gt;10,"Veteran",W44&gt;=6,"Experienced",W44&gt;=2,"Developing",W44&gt;=0,"New")</f>
        <v>New</v>
      </c>
      <c r="AB44" s="5" t="str" cm="1">
        <f t="array" ref="AB44">_xlfn.IFS(G44=1,"Junior",G44=2,"Mid-Level",G44=3,"Senior",G44=4,"Lead",G44=5,"Principal")&amp;" "&amp;TRIM(PROPER(H44))</f>
        <v>Junior Laboratory Technician</v>
      </c>
      <c r="AC44" s="19" t="str">
        <f t="shared" ca="1" si="9"/>
        <v>La-Res-2025-043 is a Junior Laboratory Technician in the Research &amp; Development department, aged 26, single and has been with the Company for 1years</v>
      </c>
    </row>
    <row r="45" spans="1:29">
      <c r="A45" s="18" t="str">
        <f t="shared" ca="1" si="0"/>
        <v>Sa-Sal-2017-044</v>
      </c>
      <c r="B45" s="5">
        <v>27</v>
      </c>
      <c r="C45" s="5" t="str">
        <f t="shared" si="10"/>
        <v>20-29</v>
      </c>
      <c r="D45" s="5" t="s">
        <v>43</v>
      </c>
      <c r="E45" s="5" t="s">
        <v>37</v>
      </c>
      <c r="F45" s="5" t="s">
        <v>46</v>
      </c>
      <c r="G45" s="5">
        <v>3</v>
      </c>
      <c r="H45" s="5" t="s">
        <v>40</v>
      </c>
      <c r="I45" s="5" t="s">
        <v>41</v>
      </c>
      <c r="J45" s="7">
        <v>8726</v>
      </c>
      <c r="K45" s="7">
        <f t="shared" si="1"/>
        <v>1919.72</v>
      </c>
      <c r="L45" s="7">
        <f t="shared" si="2"/>
        <v>6806.28</v>
      </c>
      <c r="M45" s="7">
        <v>2975</v>
      </c>
      <c r="N45" s="5" t="s">
        <v>43</v>
      </c>
      <c r="O45" s="5">
        <v>15</v>
      </c>
      <c r="P45" s="7">
        <f t="shared" si="3"/>
        <v>10034.9</v>
      </c>
      <c r="Q45" s="7">
        <f t="shared" si="4"/>
        <v>15706.799999999996</v>
      </c>
      <c r="R45" s="7" t="str">
        <f t="shared" si="5"/>
        <v>Normal</v>
      </c>
      <c r="S45" s="5">
        <v>3</v>
      </c>
      <c r="T45" s="5">
        <v>3</v>
      </c>
      <c r="U45" s="5" t="str" cm="1">
        <f t="array" ref="U45">_xlfn.IFS(T45=1,"Poor",T45=2,"Fair",T45=3,"Good",T45=4,"Excellent")</f>
        <v>Good</v>
      </c>
      <c r="V45" s="5" t="s">
        <v>43</v>
      </c>
      <c r="W45" s="5">
        <v>9</v>
      </c>
      <c r="X45" s="28">
        <f t="shared" ca="1" si="6"/>
        <v>42824</v>
      </c>
      <c r="Y45" s="28">
        <f t="shared" ca="1" si="7"/>
        <v>46476</v>
      </c>
      <c r="Z45" s="28" t="str">
        <f t="shared" ca="1" si="8"/>
        <v>Due Soon</v>
      </c>
      <c r="AA45" s="5" t="str" cm="1">
        <f t="array" ref="AA45">_xlfn.IFS(W45&gt;10,"Veteran",W45&gt;=6,"Experienced",W45&gt;=2,"Developing",W45&gt;=0,"New")</f>
        <v>Experienced</v>
      </c>
      <c r="AB45" s="5" t="str" cm="1">
        <f t="array" ref="AB45">_xlfn.IFS(G45=1,"Junior",G45=2,"Mid-Level",G45=3,"Senior",G45=4,"Lead",G45=5,"Principal")&amp;" "&amp;TRIM(PROPER(H45))</f>
        <v>Senior Sales Executive</v>
      </c>
      <c r="AC45" s="19" t="str">
        <f t="shared" ca="1" si="9"/>
        <v>Sa-Sal-2017-044 is a Senior Sales Executive in the Sales department, aged 27, single and has been with the Company for 9years</v>
      </c>
    </row>
    <row r="46" spans="1:29">
      <c r="A46" s="18" t="str">
        <f t="shared" ca="1" si="0"/>
        <v>La-Res-2014-045</v>
      </c>
      <c r="B46" s="5">
        <v>30</v>
      </c>
      <c r="C46" s="5" t="str">
        <f t="shared" si="10"/>
        <v>30-39</v>
      </c>
      <c r="D46" s="5" t="s">
        <v>43</v>
      </c>
      <c r="E46" s="5" t="s">
        <v>45</v>
      </c>
      <c r="F46" s="5" t="s">
        <v>39</v>
      </c>
      <c r="G46" s="5">
        <v>2</v>
      </c>
      <c r="H46" s="5" t="s">
        <v>50</v>
      </c>
      <c r="I46" s="5" t="s">
        <v>41</v>
      </c>
      <c r="J46" s="7">
        <v>4011</v>
      </c>
      <c r="K46" s="7">
        <f t="shared" si="1"/>
        <v>601.65</v>
      </c>
      <c r="L46" s="7">
        <f t="shared" si="2"/>
        <v>3409.35</v>
      </c>
      <c r="M46" s="7">
        <v>10781</v>
      </c>
      <c r="N46" s="5" t="s">
        <v>43</v>
      </c>
      <c r="O46" s="5">
        <v>23</v>
      </c>
      <c r="P46" s="7">
        <f t="shared" si="3"/>
        <v>4933.53</v>
      </c>
      <c r="Q46" s="7">
        <f t="shared" si="4"/>
        <v>11070.359999999997</v>
      </c>
      <c r="R46" s="7" t="str">
        <f t="shared" si="5"/>
        <v>Normal</v>
      </c>
      <c r="S46" s="5">
        <v>4</v>
      </c>
      <c r="T46" s="5">
        <v>3</v>
      </c>
      <c r="U46" s="5" t="str" cm="1">
        <f t="array" ref="U46">_xlfn.IFS(T46=1,"Poor",T46=2,"Fair",T46=3,"Good",T46=4,"Excellent")</f>
        <v>Good</v>
      </c>
      <c r="V46" s="5" t="s">
        <v>43</v>
      </c>
      <c r="W46" s="5">
        <v>12</v>
      </c>
      <c r="X46" s="28">
        <f t="shared" ca="1" si="6"/>
        <v>41728</v>
      </c>
      <c r="Y46" s="28">
        <f t="shared" ca="1" si="7"/>
        <v>46842</v>
      </c>
      <c r="Z46" s="28" t="str">
        <f t="shared" ca="1" si="8"/>
        <v>Upcoming</v>
      </c>
      <c r="AA46" s="5" t="str" cm="1">
        <f t="array" ref="AA46">_xlfn.IFS(W46&gt;10,"Veteran",W46&gt;=6,"Experienced",W46&gt;=2,"Developing",W46&gt;=0,"New")</f>
        <v>Veteran</v>
      </c>
      <c r="AB46" s="5" t="str" cm="1">
        <f t="array" ref="AB46">_xlfn.IFS(G46=1,"Junior",G46=2,"Mid-Level",G46=3,"Senior",G46=4,"Lead",G46=5,"Principal")&amp;" "&amp;TRIM(PROPER(H46))</f>
        <v>Mid-Level Laboratory Technician</v>
      </c>
      <c r="AC46" s="19" t="str">
        <f t="shared" ca="1" si="9"/>
        <v>La-Res-2014-045 is a Mid-Level Laboratory Technician in the Research &amp; Development department, aged 30, single and has been with the Company for 12years</v>
      </c>
    </row>
    <row r="47" spans="1:29">
      <c r="A47" s="18" t="str">
        <f t="shared" ca="1" si="0"/>
        <v>Re-Res-2004-046</v>
      </c>
      <c r="B47" s="5">
        <v>41</v>
      </c>
      <c r="C47" s="5" t="str">
        <f t="shared" si="10"/>
        <v>40-49</v>
      </c>
      <c r="D47" s="5" t="s">
        <v>35</v>
      </c>
      <c r="E47" s="5" t="s">
        <v>45</v>
      </c>
      <c r="F47" s="5" t="s">
        <v>39</v>
      </c>
      <c r="G47" s="5">
        <v>5</v>
      </c>
      <c r="H47" s="5" t="s">
        <v>58</v>
      </c>
      <c r="I47" s="5" t="s">
        <v>48</v>
      </c>
      <c r="J47" s="7">
        <v>19545</v>
      </c>
      <c r="K47" s="7">
        <f t="shared" si="1"/>
        <v>5863.5</v>
      </c>
      <c r="L47" s="7">
        <f t="shared" si="2"/>
        <v>13681.5</v>
      </c>
      <c r="M47" s="7">
        <v>16280</v>
      </c>
      <c r="N47" s="5" t="s">
        <v>43</v>
      </c>
      <c r="O47" s="5">
        <v>12</v>
      </c>
      <c r="P47" s="7">
        <f t="shared" si="3"/>
        <v>21890.400000000001</v>
      </c>
      <c r="Q47" s="7">
        <f t="shared" si="4"/>
        <v>28144.800000000017</v>
      </c>
      <c r="R47" s="7" t="str">
        <f t="shared" si="5"/>
        <v>Normal</v>
      </c>
      <c r="S47" s="5">
        <v>3</v>
      </c>
      <c r="T47" s="5">
        <v>3</v>
      </c>
      <c r="U47" s="5" t="str" cm="1">
        <f t="array" ref="U47">_xlfn.IFS(T47=1,"Poor",T47=2,"Fair",T47=3,"Good",T47=4,"Excellent")</f>
        <v>Good</v>
      </c>
      <c r="V47" s="5" t="s">
        <v>43</v>
      </c>
      <c r="W47" s="5">
        <v>22</v>
      </c>
      <c r="X47" s="28">
        <f t="shared" ca="1" si="6"/>
        <v>38076</v>
      </c>
      <c r="Y47" s="28">
        <f t="shared" ca="1" si="7"/>
        <v>46842</v>
      </c>
      <c r="Z47" s="28" t="str">
        <f t="shared" ca="1" si="8"/>
        <v>Upcoming</v>
      </c>
      <c r="AA47" s="5" t="str" cm="1">
        <f t="array" ref="AA47">_xlfn.IFS(W47&gt;10,"Veteran",W47&gt;=6,"Experienced",W47&gt;=2,"Developing",W47&gt;=0,"New")</f>
        <v>Veteran</v>
      </c>
      <c r="AB47" s="5" t="str" cm="1">
        <f t="array" ref="AB47">_xlfn.IFS(G47=1,"Junior",G47=2,"Mid-Level",G47=3,"Senior",G47=4,"Lead",G47=5,"Principal")&amp;" "&amp;TRIM(PROPER(H47))</f>
        <v>Principal Research Director</v>
      </c>
      <c r="AC47" s="19" t="str">
        <f t="shared" ca="1" si="9"/>
        <v>Re-Res-2004-046 is a Principal Research Director in the Research &amp; Development department, aged 41, married and has been with the Company for 22years</v>
      </c>
    </row>
    <row r="48" spans="1:29">
      <c r="A48" s="18" t="str">
        <f t="shared" ca="1" si="0"/>
        <v>Sa-Sal-2017-047</v>
      </c>
      <c r="B48" s="5">
        <v>34</v>
      </c>
      <c r="C48" s="5" t="str">
        <f t="shared" si="10"/>
        <v>30-39</v>
      </c>
      <c r="D48" s="5" t="s">
        <v>43</v>
      </c>
      <c r="E48" s="5" t="s">
        <v>37</v>
      </c>
      <c r="F48" s="5" t="s">
        <v>46</v>
      </c>
      <c r="G48" s="5">
        <v>2</v>
      </c>
      <c r="H48" s="5" t="s">
        <v>40</v>
      </c>
      <c r="I48" s="5" t="s">
        <v>41</v>
      </c>
      <c r="J48" s="7">
        <v>4568</v>
      </c>
      <c r="K48" s="7">
        <f t="shared" si="1"/>
        <v>685.19999999999993</v>
      </c>
      <c r="L48" s="7">
        <f t="shared" si="2"/>
        <v>3882.8</v>
      </c>
      <c r="M48" s="7">
        <v>10034</v>
      </c>
      <c r="N48" s="5" t="s">
        <v>43</v>
      </c>
      <c r="O48" s="5">
        <v>20</v>
      </c>
      <c r="P48" s="7">
        <f t="shared" si="3"/>
        <v>5481.5999999999995</v>
      </c>
      <c r="Q48" s="7">
        <f t="shared" si="4"/>
        <v>10963.199999999993</v>
      </c>
      <c r="R48" s="7" t="str">
        <f t="shared" si="5"/>
        <v>Normal</v>
      </c>
      <c r="S48" s="5">
        <v>4</v>
      </c>
      <c r="T48" s="5">
        <v>3</v>
      </c>
      <c r="U48" s="5" t="str" cm="1">
        <f t="array" ref="U48">_xlfn.IFS(T48=1,"Poor",T48=2,"Fair",T48=3,"Good",T48=4,"Excellent")</f>
        <v>Good</v>
      </c>
      <c r="V48" s="5" t="s">
        <v>43</v>
      </c>
      <c r="W48" s="5">
        <v>9</v>
      </c>
      <c r="X48" s="28">
        <f t="shared" ca="1" si="6"/>
        <v>42824</v>
      </c>
      <c r="Y48" s="28">
        <f t="shared" ca="1" si="7"/>
        <v>46476</v>
      </c>
      <c r="Z48" s="28" t="str">
        <f t="shared" ca="1" si="8"/>
        <v>Due Soon</v>
      </c>
      <c r="AA48" s="5" t="str" cm="1">
        <f t="array" ref="AA48">_xlfn.IFS(W48&gt;10,"Veteran",W48&gt;=6,"Experienced",W48&gt;=2,"Developing",W48&gt;=0,"New")</f>
        <v>Experienced</v>
      </c>
      <c r="AB48" s="5" t="str" cm="1">
        <f t="array" ref="AB48">_xlfn.IFS(G48=1,"Junior",G48=2,"Mid-Level",G48=3,"Senior",G48=4,"Lead",G48=5,"Principal")&amp;" "&amp;TRIM(PROPER(H48))</f>
        <v>Mid-Level Sales Executive</v>
      </c>
      <c r="AC48" s="19" t="str">
        <f t="shared" ca="1" si="9"/>
        <v>Sa-Sal-2017-047 is a Mid-Level Sales Executive in the Sales department, aged 34, single and has been with the Company for 9years</v>
      </c>
    </row>
    <row r="49" spans="1:29">
      <c r="A49" s="18" t="str">
        <f t="shared" ca="1" si="0"/>
        <v>Re-Res-2025-048</v>
      </c>
      <c r="B49" s="5">
        <v>37</v>
      </c>
      <c r="C49" s="5" t="str">
        <f t="shared" si="10"/>
        <v>30-39</v>
      </c>
      <c r="D49" s="5" t="s">
        <v>43</v>
      </c>
      <c r="E49" s="5" t="s">
        <v>45</v>
      </c>
      <c r="F49" s="5" t="s">
        <v>46</v>
      </c>
      <c r="G49" s="5">
        <v>1</v>
      </c>
      <c r="H49" s="5" t="s">
        <v>47</v>
      </c>
      <c r="I49" s="5" t="s">
        <v>48</v>
      </c>
      <c r="J49" s="7">
        <v>3022</v>
      </c>
      <c r="K49" s="7">
        <f t="shared" si="1"/>
        <v>453.3</v>
      </c>
      <c r="L49" s="7">
        <f t="shared" si="2"/>
        <v>2568.6999999999998</v>
      </c>
      <c r="M49" s="7">
        <v>10227</v>
      </c>
      <c r="N49" s="5" t="s">
        <v>43</v>
      </c>
      <c r="O49" s="5">
        <v>21</v>
      </c>
      <c r="P49" s="7">
        <f t="shared" si="3"/>
        <v>3656.62</v>
      </c>
      <c r="Q49" s="7">
        <f t="shared" si="4"/>
        <v>7615.4399999999987</v>
      </c>
      <c r="R49" s="7" t="str">
        <f t="shared" si="5"/>
        <v>Normal</v>
      </c>
      <c r="S49" s="5">
        <v>4</v>
      </c>
      <c r="T49" s="5">
        <v>3</v>
      </c>
      <c r="U49" s="5" t="str" cm="1">
        <f t="array" ref="U49">_xlfn.IFS(T49=1,"Poor",T49=2,"Fair",T49=3,"Good",T49=4,"Excellent")</f>
        <v>Good</v>
      </c>
      <c r="V49" s="5" t="s">
        <v>43</v>
      </c>
      <c r="W49" s="5">
        <v>1</v>
      </c>
      <c r="X49" s="28">
        <f t="shared" ca="1" si="6"/>
        <v>45746</v>
      </c>
      <c r="Y49" s="28">
        <f t="shared" ca="1" si="7"/>
        <v>46476</v>
      </c>
      <c r="Z49" s="28" t="str">
        <f t="shared" ca="1" si="8"/>
        <v>Due Soon</v>
      </c>
      <c r="AA49" s="5" t="str" cm="1">
        <f t="array" ref="AA49">_xlfn.IFS(W49&gt;10,"Veteran",W49&gt;=6,"Experienced",W49&gt;=2,"Developing",W49&gt;=0,"New")</f>
        <v>New</v>
      </c>
      <c r="AB49" s="5" t="str" cm="1">
        <f t="array" ref="AB49">_xlfn.IFS(G49=1,"Junior",G49=2,"Mid-Level",G49=3,"Senior",G49=4,"Lead",G49=5,"Principal")&amp;" "&amp;TRIM(PROPER(H49))</f>
        <v>Junior Research Scientist</v>
      </c>
      <c r="AC49" s="19" t="str">
        <f t="shared" ca="1" si="9"/>
        <v>Re-Res-2025-048 is a Junior Research Scientist in the Research &amp; Development department, aged 37, married and has been with the Company for 1years</v>
      </c>
    </row>
    <row r="50" spans="1:29">
      <c r="A50" s="18" t="str">
        <f t="shared" ca="1" si="0"/>
        <v>Sa-Sal-2017-049</v>
      </c>
      <c r="B50" s="5">
        <v>46</v>
      </c>
      <c r="C50" s="5" t="str">
        <f t="shared" si="10"/>
        <v>40-49</v>
      </c>
      <c r="D50" s="5" t="s">
        <v>43</v>
      </c>
      <c r="E50" s="5" t="s">
        <v>37</v>
      </c>
      <c r="F50" s="5" t="s">
        <v>46</v>
      </c>
      <c r="G50" s="5">
        <v>2</v>
      </c>
      <c r="H50" s="5" t="s">
        <v>40</v>
      </c>
      <c r="I50" s="5" t="s">
        <v>41</v>
      </c>
      <c r="J50" s="7">
        <v>5772</v>
      </c>
      <c r="K50" s="7">
        <f t="shared" si="1"/>
        <v>865.8</v>
      </c>
      <c r="L50" s="7">
        <f t="shared" si="2"/>
        <v>4906.2</v>
      </c>
      <c r="M50" s="7">
        <v>20445</v>
      </c>
      <c r="N50" s="5" t="s">
        <v>35</v>
      </c>
      <c r="O50" s="5">
        <v>21</v>
      </c>
      <c r="P50" s="7">
        <f t="shared" si="3"/>
        <v>6984.12</v>
      </c>
      <c r="Q50" s="7">
        <f t="shared" si="4"/>
        <v>14545.439999999999</v>
      </c>
      <c r="R50" s="7" t="str">
        <f t="shared" si="5"/>
        <v>Normal</v>
      </c>
      <c r="S50" s="5">
        <v>4</v>
      </c>
      <c r="T50" s="5">
        <v>3</v>
      </c>
      <c r="U50" s="5" t="str" cm="1">
        <f t="array" ref="U50">_xlfn.IFS(T50=1,"Poor",T50=2,"Fair",T50=3,"Good",T50=4,"Excellent")</f>
        <v>Good</v>
      </c>
      <c r="V50" s="5" t="s">
        <v>35</v>
      </c>
      <c r="W50" s="5">
        <v>9</v>
      </c>
      <c r="X50" s="28">
        <f t="shared" ca="1" si="6"/>
        <v>42824</v>
      </c>
      <c r="Y50" s="28">
        <f t="shared" ca="1" si="7"/>
        <v>46476</v>
      </c>
      <c r="Z50" s="28" t="str">
        <f t="shared" ca="1" si="8"/>
        <v>Due Soon</v>
      </c>
      <c r="AA50" s="5" t="str" cm="1">
        <f t="array" ref="AA50">_xlfn.IFS(W50&gt;10,"Veteran",W50&gt;=6,"Experienced",W50&gt;=2,"Developing",W50&gt;=0,"New")</f>
        <v>Experienced</v>
      </c>
      <c r="AB50" s="5" t="str" cm="1">
        <f t="array" ref="AB50">_xlfn.IFS(G50=1,"Junior",G50=2,"Mid-Level",G50=3,"Senior",G50=4,"Lead",G50=5,"Principal")&amp;" "&amp;TRIM(PROPER(H50))</f>
        <v>Mid-Level Sales Executive</v>
      </c>
      <c r="AC50" s="19" t="str">
        <f t="shared" ca="1" si="9"/>
        <v>Sa-Sal-2017-049 is a Mid-Level Sales Executive in the Sales department, aged 46, single and has been with the Company for 9years</v>
      </c>
    </row>
    <row r="51" spans="1:29">
      <c r="A51" s="18" t="str">
        <f t="shared" ca="1" si="0"/>
        <v>La-Res-2025-050</v>
      </c>
      <c r="B51" s="5">
        <v>35</v>
      </c>
      <c r="C51" s="5" t="str">
        <f t="shared" si="10"/>
        <v>30-39</v>
      </c>
      <c r="D51" s="5" t="s">
        <v>43</v>
      </c>
      <c r="E51" s="5" t="s">
        <v>45</v>
      </c>
      <c r="F51" s="5" t="s">
        <v>46</v>
      </c>
      <c r="G51" s="5">
        <v>1</v>
      </c>
      <c r="H51" s="5" t="s">
        <v>50</v>
      </c>
      <c r="I51" s="5" t="s">
        <v>48</v>
      </c>
      <c r="J51" s="7">
        <v>2269</v>
      </c>
      <c r="K51" s="7">
        <f t="shared" si="1"/>
        <v>158.83000000000001</v>
      </c>
      <c r="L51" s="7">
        <f t="shared" si="2"/>
        <v>2110.17</v>
      </c>
      <c r="M51" s="7">
        <v>4892</v>
      </c>
      <c r="N51" s="5" t="s">
        <v>43</v>
      </c>
      <c r="O51" s="5">
        <v>19</v>
      </c>
      <c r="P51" s="7">
        <f t="shared" si="3"/>
        <v>2700.1099999999997</v>
      </c>
      <c r="Q51" s="7">
        <f t="shared" si="4"/>
        <v>5173.3199999999961</v>
      </c>
      <c r="R51" s="7" t="str">
        <f t="shared" si="5"/>
        <v>Normal</v>
      </c>
      <c r="S51" s="5">
        <v>3</v>
      </c>
      <c r="T51" s="5">
        <v>3</v>
      </c>
      <c r="U51" s="5" t="str" cm="1">
        <f t="array" ref="U51">_xlfn.IFS(T51=1,"Poor",T51=2,"Fair",T51=3,"Good",T51=4,"Excellent")</f>
        <v>Good</v>
      </c>
      <c r="V51" s="5" t="s">
        <v>43</v>
      </c>
      <c r="W51" s="5">
        <v>1</v>
      </c>
      <c r="X51" s="28">
        <f t="shared" ca="1" si="6"/>
        <v>45746</v>
      </c>
      <c r="Y51" s="28">
        <f t="shared" ca="1" si="7"/>
        <v>46476</v>
      </c>
      <c r="Z51" s="28" t="str">
        <f t="shared" ca="1" si="8"/>
        <v>Due Soon</v>
      </c>
      <c r="AA51" s="5" t="str" cm="1">
        <f t="array" ref="AA51">_xlfn.IFS(W51&gt;10,"Veteran",W51&gt;=6,"Experienced",W51&gt;=2,"Developing",W51&gt;=0,"New")</f>
        <v>New</v>
      </c>
      <c r="AB51" s="5" t="str" cm="1">
        <f t="array" ref="AB51">_xlfn.IFS(G51=1,"Junior",G51=2,"Mid-Level",G51=3,"Senior",G51=4,"Lead",G51=5,"Principal")&amp;" "&amp;TRIM(PROPER(H51))</f>
        <v>Junior Laboratory Technician</v>
      </c>
      <c r="AC51" s="19" t="str">
        <f t="shared" ca="1" si="9"/>
        <v>La-Res-2025-050 is a Junior Laboratory Technician in the Research &amp; Development department, aged 35, married and has been with the Company for 1years</v>
      </c>
    </row>
    <row r="52" spans="1:29">
      <c r="A52" s="18" t="str">
        <f t="shared" ca="1" si="0"/>
        <v>La-Res-2025-051</v>
      </c>
      <c r="B52" s="5">
        <v>48</v>
      </c>
      <c r="C52" s="5" t="str">
        <f t="shared" si="10"/>
        <v>40-49</v>
      </c>
      <c r="D52" s="5" t="s">
        <v>35</v>
      </c>
      <c r="E52" s="5" t="s">
        <v>45</v>
      </c>
      <c r="F52" s="5" t="s">
        <v>46</v>
      </c>
      <c r="G52" s="5">
        <v>3</v>
      </c>
      <c r="H52" s="5" t="s">
        <v>50</v>
      </c>
      <c r="I52" s="5" t="s">
        <v>41</v>
      </c>
      <c r="J52" s="7">
        <v>5381</v>
      </c>
      <c r="K52" s="7">
        <f t="shared" si="1"/>
        <v>807.15</v>
      </c>
      <c r="L52" s="7">
        <f t="shared" si="2"/>
        <v>4573.8500000000004</v>
      </c>
      <c r="M52" s="7">
        <v>19294</v>
      </c>
      <c r="N52" s="5" t="s">
        <v>35</v>
      </c>
      <c r="O52" s="5">
        <v>13</v>
      </c>
      <c r="P52" s="7">
        <f t="shared" si="3"/>
        <v>6080.53</v>
      </c>
      <c r="Q52" s="7">
        <f t="shared" si="4"/>
        <v>8394.3599999999969</v>
      </c>
      <c r="R52" s="7" t="str">
        <f t="shared" si="5"/>
        <v>Normal</v>
      </c>
      <c r="S52" s="5">
        <v>3</v>
      </c>
      <c r="T52" s="5">
        <v>3</v>
      </c>
      <c r="U52" s="5" t="str" cm="1">
        <f t="array" ref="U52">_xlfn.IFS(T52=1,"Poor",T52=2,"Fair",T52=3,"Good",T52=4,"Excellent")</f>
        <v>Good</v>
      </c>
      <c r="V52" s="5" t="s">
        <v>35</v>
      </c>
      <c r="W52" s="5">
        <v>1</v>
      </c>
      <c r="X52" s="28">
        <f t="shared" ca="1" si="6"/>
        <v>45746</v>
      </c>
      <c r="Y52" s="28">
        <f t="shared" ca="1" si="7"/>
        <v>46476</v>
      </c>
      <c r="Z52" s="28" t="str">
        <f t="shared" ca="1" si="8"/>
        <v>Due Soon</v>
      </c>
      <c r="AA52" s="5" t="str" cm="1">
        <f t="array" ref="AA52">_xlfn.IFS(W52&gt;10,"Veteran",W52&gt;=6,"Experienced",W52&gt;=2,"Developing",W52&gt;=0,"New")</f>
        <v>New</v>
      </c>
      <c r="AB52" s="5" t="str" cm="1">
        <f t="array" ref="AB52">_xlfn.IFS(G52=1,"Junior",G52=2,"Mid-Level",G52=3,"Senior",G52=4,"Lead",G52=5,"Principal")&amp;" "&amp;TRIM(PROPER(H52))</f>
        <v>Senior Laboratory Technician</v>
      </c>
      <c r="AC52" s="19" t="str">
        <f t="shared" ca="1" si="9"/>
        <v>La-Res-2025-051 is a Senior Laboratory Technician in the Research &amp; Development department, aged 48, single and has been with the Company for 1years</v>
      </c>
    </row>
    <row r="53" spans="1:29">
      <c r="A53" s="18" t="str">
        <f t="shared" ca="1" si="0"/>
        <v>La-Res-2024-052</v>
      </c>
      <c r="B53" s="5">
        <v>28</v>
      </c>
      <c r="C53" s="5" t="str">
        <f t="shared" si="10"/>
        <v>20-29</v>
      </c>
      <c r="D53" s="5" t="s">
        <v>35</v>
      </c>
      <c r="E53" s="5" t="s">
        <v>45</v>
      </c>
      <c r="F53" s="5" t="s">
        <v>46</v>
      </c>
      <c r="G53" s="5">
        <v>1</v>
      </c>
      <c r="H53" s="5" t="s">
        <v>50</v>
      </c>
      <c r="I53" s="5" t="s">
        <v>41</v>
      </c>
      <c r="J53" s="7">
        <v>3441</v>
      </c>
      <c r="K53" s="7">
        <f t="shared" si="1"/>
        <v>516.15</v>
      </c>
      <c r="L53" s="7">
        <f t="shared" si="2"/>
        <v>2924.85</v>
      </c>
      <c r="M53" s="7">
        <v>11179</v>
      </c>
      <c r="N53" s="5" t="s">
        <v>35</v>
      </c>
      <c r="O53" s="5">
        <v>13</v>
      </c>
      <c r="P53" s="7">
        <f t="shared" si="3"/>
        <v>3888.3299999999995</v>
      </c>
      <c r="Q53" s="7">
        <f t="shared" si="4"/>
        <v>5367.9599999999937</v>
      </c>
      <c r="R53" s="7" t="str">
        <f t="shared" si="5"/>
        <v>Normal</v>
      </c>
      <c r="S53" s="5">
        <v>3</v>
      </c>
      <c r="T53" s="5">
        <v>2</v>
      </c>
      <c r="U53" s="5" t="str" cm="1">
        <f t="array" ref="U53">_xlfn.IFS(T53=1,"Poor",T53=2,"Fair",T53=3,"Good",T53=4,"Excellent")</f>
        <v>Fair</v>
      </c>
      <c r="V53" s="5" t="s">
        <v>35</v>
      </c>
      <c r="W53" s="5">
        <v>2</v>
      </c>
      <c r="X53" s="28">
        <f t="shared" ca="1" si="6"/>
        <v>45381</v>
      </c>
      <c r="Y53" s="28">
        <f t="shared" ca="1" si="7"/>
        <v>46842</v>
      </c>
      <c r="Z53" s="28" t="str">
        <f t="shared" ca="1" si="8"/>
        <v>Upcoming</v>
      </c>
      <c r="AA53" s="5" t="str" cm="1">
        <f t="array" ref="AA53">_xlfn.IFS(W53&gt;10,"Veteran",W53&gt;=6,"Experienced",W53&gt;=2,"Developing",W53&gt;=0,"New")</f>
        <v>Developing</v>
      </c>
      <c r="AB53" s="5" t="str" cm="1">
        <f t="array" ref="AB53">_xlfn.IFS(G53=1,"Junior",G53=2,"Mid-Level",G53=3,"Senior",G53=4,"Lead",G53=5,"Principal")&amp;" "&amp;TRIM(PROPER(H53))</f>
        <v>Junior Laboratory Technician</v>
      </c>
      <c r="AC53" s="19" t="str">
        <f t="shared" ca="1" si="9"/>
        <v>La-Res-2024-052 is a Junior Laboratory Technician in the Research &amp; Development department, aged 28, single and has been with the Company for 2years</v>
      </c>
    </row>
    <row r="54" spans="1:29">
      <c r="A54" s="18" t="str">
        <f t="shared" ca="1" si="0"/>
        <v>Sa-Sal-2022-053</v>
      </c>
      <c r="B54" s="5">
        <v>44</v>
      </c>
      <c r="C54" s="5" t="str">
        <f t="shared" si="10"/>
        <v>40-49</v>
      </c>
      <c r="D54" s="5" t="s">
        <v>43</v>
      </c>
      <c r="E54" s="5" t="s">
        <v>37</v>
      </c>
      <c r="F54" s="5" t="s">
        <v>39</v>
      </c>
      <c r="G54" s="5">
        <v>2</v>
      </c>
      <c r="H54" s="5" t="s">
        <v>40</v>
      </c>
      <c r="I54" s="5" t="s">
        <v>52</v>
      </c>
      <c r="J54" s="7">
        <v>5454</v>
      </c>
      <c r="K54" s="7">
        <f t="shared" si="1"/>
        <v>818.1</v>
      </c>
      <c r="L54" s="7">
        <f t="shared" si="2"/>
        <v>4635.8999999999996</v>
      </c>
      <c r="M54" s="7">
        <v>4009</v>
      </c>
      <c r="N54" s="5" t="s">
        <v>35</v>
      </c>
      <c r="O54" s="5">
        <v>21</v>
      </c>
      <c r="P54" s="7">
        <f t="shared" si="3"/>
        <v>6599.34</v>
      </c>
      <c r="Q54" s="7">
        <f t="shared" si="4"/>
        <v>13744.080000000002</v>
      </c>
      <c r="R54" s="7" t="str">
        <f t="shared" si="5"/>
        <v>Normal</v>
      </c>
      <c r="S54" s="5">
        <v>4</v>
      </c>
      <c r="T54" s="5">
        <v>2</v>
      </c>
      <c r="U54" s="5" t="str" cm="1">
        <f t="array" ref="U54">_xlfn.IFS(T54=1,"Poor",T54=2,"Fair",T54=3,"Good",T54=4,"Excellent")</f>
        <v>Fair</v>
      </c>
      <c r="V54" s="5" t="s">
        <v>35</v>
      </c>
      <c r="W54" s="5">
        <v>4</v>
      </c>
      <c r="X54" s="28">
        <f t="shared" ca="1" si="6"/>
        <v>44650</v>
      </c>
      <c r="Y54" s="28">
        <f t="shared" ca="1" si="7"/>
        <v>46842</v>
      </c>
      <c r="Z54" s="28" t="str">
        <f t="shared" ca="1" si="8"/>
        <v>Upcoming</v>
      </c>
      <c r="AA54" s="5" t="str" cm="1">
        <f t="array" ref="AA54">_xlfn.IFS(W54&gt;10,"Veteran",W54&gt;=6,"Experienced",W54&gt;=2,"Developing",W54&gt;=0,"New")</f>
        <v>Developing</v>
      </c>
      <c r="AB54" s="5" t="str" cm="1">
        <f t="array" ref="AB54">_xlfn.IFS(G54=1,"Junior",G54=2,"Mid-Level",G54=3,"Senior",G54=4,"Lead",G54=5,"Principal")&amp;" "&amp;TRIM(PROPER(H54))</f>
        <v>Mid-Level Sales Executive</v>
      </c>
      <c r="AC54" s="19" t="str">
        <f t="shared" ca="1" si="9"/>
        <v>Sa-Sal-2022-053 is a Mid-Level Sales Executive in the Sales department, aged 44, divorced and has been with the Company for 4years</v>
      </c>
    </row>
    <row r="55" spans="1:29">
      <c r="A55" s="18" t="str">
        <f t="shared" ca="1" si="0"/>
        <v>He-Res-2022-054</v>
      </c>
      <c r="B55" s="5">
        <v>35</v>
      </c>
      <c r="C55" s="5" t="str">
        <f t="shared" si="10"/>
        <v>30-39</v>
      </c>
      <c r="D55" s="5" t="s">
        <v>43</v>
      </c>
      <c r="E55" s="5" t="s">
        <v>45</v>
      </c>
      <c r="F55" s="5" t="s">
        <v>46</v>
      </c>
      <c r="G55" s="5">
        <v>3</v>
      </c>
      <c r="H55" s="5" t="s">
        <v>54</v>
      </c>
      <c r="I55" s="5" t="s">
        <v>48</v>
      </c>
      <c r="J55" s="7">
        <v>9884</v>
      </c>
      <c r="K55" s="7">
        <f t="shared" si="1"/>
        <v>2174.48</v>
      </c>
      <c r="L55" s="7">
        <f t="shared" si="2"/>
        <v>7709.52</v>
      </c>
      <c r="M55" s="7">
        <v>8302</v>
      </c>
      <c r="N55" s="5" t="s">
        <v>35</v>
      </c>
      <c r="O55" s="5">
        <v>13</v>
      </c>
      <c r="P55" s="7">
        <f t="shared" si="3"/>
        <v>11168.919999999998</v>
      </c>
      <c r="Q55" s="7">
        <f t="shared" si="4"/>
        <v>15419.039999999979</v>
      </c>
      <c r="R55" s="7" t="str">
        <f t="shared" si="5"/>
        <v>Normal</v>
      </c>
      <c r="S55" s="5">
        <v>3</v>
      </c>
      <c r="T55" s="5">
        <v>3</v>
      </c>
      <c r="U55" s="5" t="str" cm="1">
        <f t="array" ref="U55">_xlfn.IFS(T55=1,"Poor",T55=2,"Fair",T55=3,"Good",T55=4,"Excellent")</f>
        <v>Good</v>
      </c>
      <c r="V55" s="5" t="s">
        <v>35</v>
      </c>
      <c r="W55" s="5">
        <v>4</v>
      </c>
      <c r="X55" s="28">
        <f t="shared" ca="1" si="6"/>
        <v>44650</v>
      </c>
      <c r="Y55" s="28">
        <f t="shared" ca="1" si="7"/>
        <v>46842</v>
      </c>
      <c r="Z55" s="28" t="str">
        <f t="shared" ca="1" si="8"/>
        <v>Upcoming</v>
      </c>
      <c r="AA55" s="5" t="str" cm="1">
        <f t="array" ref="AA55">_xlfn.IFS(W55&gt;10,"Veteran",W55&gt;=6,"Experienced",W55&gt;=2,"Developing",W55&gt;=0,"New")</f>
        <v>Developing</v>
      </c>
      <c r="AB55" s="5" t="str" cm="1">
        <f t="array" ref="AB55">_xlfn.IFS(G55=1,"Junior",G55=2,"Mid-Level",G55=3,"Senior",G55=4,"Lead",G55=5,"Principal")&amp;" "&amp;TRIM(PROPER(H55))</f>
        <v>Senior Healthcare Representative</v>
      </c>
      <c r="AC55" s="19" t="str">
        <f t="shared" ca="1" si="9"/>
        <v>He-Res-2022-054 is a Senior Healthcare Representative in the Research &amp; Development department, aged 35, married and has been with the Company for 4years</v>
      </c>
    </row>
    <row r="56" spans="1:29">
      <c r="A56" s="18" t="str">
        <f t="shared" ca="1" si="0"/>
        <v>Sa-Sal-2024-055</v>
      </c>
      <c r="B56" s="5">
        <v>26</v>
      </c>
      <c r="C56" s="5" t="str">
        <f t="shared" si="10"/>
        <v>20-29</v>
      </c>
      <c r="D56" s="5" t="s">
        <v>43</v>
      </c>
      <c r="E56" s="5" t="s">
        <v>37</v>
      </c>
      <c r="F56" s="5" t="s">
        <v>39</v>
      </c>
      <c r="G56" s="5">
        <v>2</v>
      </c>
      <c r="H56" s="5" t="s">
        <v>40</v>
      </c>
      <c r="I56" s="5" t="s">
        <v>48</v>
      </c>
      <c r="J56" s="7">
        <v>4157</v>
      </c>
      <c r="K56" s="7">
        <f t="shared" si="1"/>
        <v>623.54999999999995</v>
      </c>
      <c r="L56" s="7">
        <f t="shared" si="2"/>
        <v>3533.45</v>
      </c>
      <c r="M56" s="7">
        <v>21436</v>
      </c>
      <c r="N56" s="5" t="s">
        <v>35</v>
      </c>
      <c r="O56" s="5">
        <v>19</v>
      </c>
      <c r="P56" s="7">
        <f t="shared" si="3"/>
        <v>4946.83</v>
      </c>
      <c r="Q56" s="7">
        <f t="shared" si="4"/>
        <v>9477.9599999999991</v>
      </c>
      <c r="R56" s="7" t="str">
        <f t="shared" si="5"/>
        <v>Normal</v>
      </c>
      <c r="S56" s="5">
        <v>3</v>
      </c>
      <c r="T56" s="5">
        <v>2</v>
      </c>
      <c r="U56" s="5" t="str" cm="1">
        <f t="array" ref="U56">_xlfn.IFS(T56=1,"Poor",T56=2,"Fair",T56=3,"Good",T56=4,"Excellent")</f>
        <v>Fair</v>
      </c>
      <c r="V56" s="5" t="s">
        <v>35</v>
      </c>
      <c r="W56" s="5">
        <v>2</v>
      </c>
      <c r="X56" s="28">
        <f t="shared" ca="1" si="6"/>
        <v>45381</v>
      </c>
      <c r="Y56" s="28">
        <f t="shared" ca="1" si="7"/>
        <v>46842</v>
      </c>
      <c r="Z56" s="28" t="str">
        <f t="shared" ca="1" si="8"/>
        <v>Upcoming</v>
      </c>
      <c r="AA56" s="5" t="str" cm="1">
        <f t="array" ref="AA56">_xlfn.IFS(W56&gt;10,"Veteran",W56&gt;=6,"Experienced",W56&gt;=2,"Developing",W56&gt;=0,"New")</f>
        <v>Developing</v>
      </c>
      <c r="AB56" s="5" t="str" cm="1">
        <f t="array" ref="AB56">_xlfn.IFS(G56=1,"Junior",G56=2,"Mid-Level",G56=3,"Senior",G56=4,"Lead",G56=5,"Principal")&amp;" "&amp;TRIM(PROPER(H56))</f>
        <v>Mid-Level Sales Executive</v>
      </c>
      <c r="AC56" s="19" t="str">
        <f t="shared" ca="1" si="9"/>
        <v>Sa-Sal-2024-055 is a Mid-Level Sales Executive in the Sales department, aged 26, married and has been with the Company for 2years</v>
      </c>
    </row>
    <row r="57" spans="1:29">
      <c r="A57" s="18" t="str">
        <f t="shared" ca="1" si="0"/>
        <v>Re-Res-2011-056</v>
      </c>
      <c r="B57" s="5">
        <v>33</v>
      </c>
      <c r="C57" s="5" t="str">
        <f t="shared" si="10"/>
        <v>30-39</v>
      </c>
      <c r="D57" s="5" t="s">
        <v>43</v>
      </c>
      <c r="E57" s="5" t="s">
        <v>45</v>
      </c>
      <c r="F57" s="5" t="s">
        <v>39</v>
      </c>
      <c r="G57" s="5">
        <v>3</v>
      </c>
      <c r="H57" s="5" t="s">
        <v>58</v>
      </c>
      <c r="I57" s="5" t="s">
        <v>41</v>
      </c>
      <c r="J57" s="7">
        <v>13458</v>
      </c>
      <c r="K57" s="7">
        <f t="shared" si="1"/>
        <v>4037.3999999999996</v>
      </c>
      <c r="L57" s="7">
        <f t="shared" si="2"/>
        <v>9420.6</v>
      </c>
      <c r="M57" s="7">
        <v>15146</v>
      </c>
      <c r="N57" s="5" t="s">
        <v>35</v>
      </c>
      <c r="O57" s="5">
        <v>12</v>
      </c>
      <c r="P57" s="7">
        <f t="shared" si="3"/>
        <v>15072.960000000001</v>
      </c>
      <c r="Q57" s="7">
        <f t="shared" si="4"/>
        <v>19379.520000000011</v>
      </c>
      <c r="R57" s="7" t="str">
        <f t="shared" si="5"/>
        <v>Normal</v>
      </c>
      <c r="S57" s="5">
        <v>3</v>
      </c>
      <c r="T57" s="5">
        <v>3</v>
      </c>
      <c r="U57" s="5" t="str" cm="1">
        <f t="array" ref="U57">_xlfn.IFS(T57=1,"Poor",T57=2,"Fair",T57=3,"Good",T57=4,"Excellent")</f>
        <v>Good</v>
      </c>
      <c r="V57" s="5" t="s">
        <v>35</v>
      </c>
      <c r="W57" s="5">
        <v>15</v>
      </c>
      <c r="X57" s="28">
        <f t="shared" ca="1" si="6"/>
        <v>40632</v>
      </c>
      <c r="Y57" s="28">
        <f t="shared" ca="1" si="7"/>
        <v>46476</v>
      </c>
      <c r="Z57" s="28" t="str">
        <f t="shared" ca="1" si="8"/>
        <v>Due Soon</v>
      </c>
      <c r="AA57" s="5" t="str" cm="1">
        <f t="array" ref="AA57">_xlfn.IFS(W57&gt;10,"Veteran",W57&gt;=6,"Experienced",W57&gt;=2,"Developing",W57&gt;=0,"New")</f>
        <v>Veteran</v>
      </c>
      <c r="AB57" s="5" t="str" cm="1">
        <f t="array" ref="AB57">_xlfn.IFS(G57=1,"Junior",G57=2,"Mid-Level",G57=3,"Senior",G57=4,"Lead",G57=5,"Principal")&amp;" "&amp;TRIM(PROPER(H57))</f>
        <v>Senior Research Director</v>
      </c>
      <c r="AC57" s="19" t="str">
        <f t="shared" ca="1" si="9"/>
        <v>Re-Res-2011-056 is a Senior Research Director in the Research &amp; Development department, aged 33, single and has been with the Company for 15years</v>
      </c>
    </row>
    <row r="58" spans="1:29">
      <c r="A58" s="18" t="str">
        <f t="shared" ca="1" si="0"/>
        <v>Sa-Sal-2017-057</v>
      </c>
      <c r="B58" s="5">
        <v>35</v>
      </c>
      <c r="C58" s="5" t="str">
        <f t="shared" si="10"/>
        <v>30-39</v>
      </c>
      <c r="D58" s="5" t="s">
        <v>43</v>
      </c>
      <c r="E58" s="5" t="s">
        <v>37</v>
      </c>
      <c r="F58" s="5" t="s">
        <v>46</v>
      </c>
      <c r="G58" s="5">
        <v>3</v>
      </c>
      <c r="H58" s="5" t="s">
        <v>40</v>
      </c>
      <c r="I58" s="5" t="s">
        <v>48</v>
      </c>
      <c r="J58" s="7">
        <v>9069</v>
      </c>
      <c r="K58" s="7">
        <f t="shared" si="1"/>
        <v>1995.18</v>
      </c>
      <c r="L58" s="7">
        <f t="shared" si="2"/>
        <v>7073.82</v>
      </c>
      <c r="M58" s="7">
        <v>11031</v>
      </c>
      <c r="N58" s="5" t="s">
        <v>43</v>
      </c>
      <c r="O58" s="5">
        <v>22</v>
      </c>
      <c r="P58" s="7">
        <f t="shared" si="3"/>
        <v>11064.18</v>
      </c>
      <c r="Q58" s="7">
        <f t="shared" si="4"/>
        <v>23942.160000000003</v>
      </c>
      <c r="R58" s="7" t="str">
        <f t="shared" si="5"/>
        <v>Normal</v>
      </c>
      <c r="S58" s="5">
        <v>4</v>
      </c>
      <c r="T58" s="5">
        <v>2</v>
      </c>
      <c r="U58" s="5" t="str" cm="1">
        <f t="array" ref="U58">_xlfn.IFS(T58=1,"Poor",T58=2,"Fair",T58=3,"Good",T58=4,"Excellent")</f>
        <v>Fair</v>
      </c>
      <c r="V58" s="5" t="s">
        <v>43</v>
      </c>
      <c r="W58" s="5">
        <v>9</v>
      </c>
      <c r="X58" s="28">
        <f t="shared" ca="1" si="6"/>
        <v>42824</v>
      </c>
      <c r="Y58" s="28">
        <f t="shared" ca="1" si="7"/>
        <v>46476</v>
      </c>
      <c r="Z58" s="28" t="str">
        <f t="shared" ca="1" si="8"/>
        <v>Due Soon</v>
      </c>
      <c r="AA58" s="5" t="str" cm="1">
        <f t="array" ref="AA58">_xlfn.IFS(W58&gt;10,"Veteran",W58&gt;=6,"Experienced",W58&gt;=2,"Developing",W58&gt;=0,"New")</f>
        <v>Experienced</v>
      </c>
      <c r="AB58" s="5" t="str" cm="1">
        <f t="array" ref="AB58">_xlfn.IFS(G58=1,"Junior",G58=2,"Mid-Level",G58=3,"Senior",G58=4,"Lead",G58=5,"Principal")&amp;" "&amp;TRIM(PROPER(H58))</f>
        <v>Senior Sales Executive</v>
      </c>
      <c r="AC58" s="19" t="str">
        <f t="shared" ca="1" si="9"/>
        <v>Sa-Sal-2017-057 is a Senior Sales Executive in the Sales department, aged 35, married and has been with the Company for 9years</v>
      </c>
    </row>
    <row r="59" spans="1:29">
      <c r="A59" s="18" t="str">
        <f t="shared" ca="1" si="0"/>
        <v>La-Res-2024-058</v>
      </c>
      <c r="B59" s="5">
        <v>35</v>
      </c>
      <c r="C59" s="5" t="str">
        <f t="shared" si="10"/>
        <v>30-39</v>
      </c>
      <c r="D59" s="5" t="s">
        <v>43</v>
      </c>
      <c r="E59" s="5" t="s">
        <v>45</v>
      </c>
      <c r="F59" s="5" t="s">
        <v>39</v>
      </c>
      <c r="G59" s="5">
        <v>1</v>
      </c>
      <c r="H59" s="5" t="s">
        <v>50</v>
      </c>
      <c r="I59" s="5" t="s">
        <v>48</v>
      </c>
      <c r="J59" s="7">
        <v>4014</v>
      </c>
      <c r="K59" s="7">
        <f t="shared" si="1"/>
        <v>602.1</v>
      </c>
      <c r="L59" s="7">
        <f t="shared" si="2"/>
        <v>3411.9</v>
      </c>
      <c r="M59" s="7">
        <v>16002</v>
      </c>
      <c r="N59" s="5" t="s">
        <v>35</v>
      </c>
      <c r="O59" s="5">
        <v>15</v>
      </c>
      <c r="P59" s="7">
        <f t="shared" si="3"/>
        <v>4616.0999999999995</v>
      </c>
      <c r="Q59" s="7">
        <f t="shared" si="4"/>
        <v>7225.1999999999935</v>
      </c>
      <c r="R59" s="7" t="str">
        <f t="shared" si="5"/>
        <v>Normal</v>
      </c>
      <c r="S59" s="5">
        <v>3</v>
      </c>
      <c r="T59" s="5">
        <v>3</v>
      </c>
      <c r="U59" s="5" t="str" cm="1">
        <f t="array" ref="U59">_xlfn.IFS(T59=1,"Poor",T59=2,"Fair",T59=3,"Good",T59=4,"Excellent")</f>
        <v>Good</v>
      </c>
      <c r="V59" s="5" t="s">
        <v>35</v>
      </c>
      <c r="W59" s="5">
        <v>2</v>
      </c>
      <c r="X59" s="28">
        <f t="shared" ca="1" si="6"/>
        <v>45381</v>
      </c>
      <c r="Y59" s="28">
        <f t="shared" ca="1" si="7"/>
        <v>46842</v>
      </c>
      <c r="Z59" s="28" t="str">
        <f t="shared" ca="1" si="8"/>
        <v>Upcoming</v>
      </c>
      <c r="AA59" s="5" t="str" cm="1">
        <f t="array" ref="AA59">_xlfn.IFS(W59&gt;10,"Veteran",W59&gt;=6,"Experienced",W59&gt;=2,"Developing",W59&gt;=0,"New")</f>
        <v>Developing</v>
      </c>
      <c r="AB59" s="5" t="str" cm="1">
        <f t="array" ref="AB59">_xlfn.IFS(G59=1,"Junior",G59=2,"Mid-Level",G59=3,"Senior",G59=4,"Lead",G59=5,"Principal")&amp;" "&amp;TRIM(PROPER(H59))</f>
        <v>Junior Laboratory Technician</v>
      </c>
      <c r="AC59" s="19" t="str">
        <f t="shared" ca="1" si="9"/>
        <v>La-Res-2024-058 is a Junior Laboratory Technician in the Research &amp; Development department, aged 35, married and has been with the Company for 2years</v>
      </c>
    </row>
    <row r="60" spans="1:29">
      <c r="A60" s="18" t="str">
        <f t="shared" ca="1" si="0"/>
        <v>La-Res-2019-059</v>
      </c>
      <c r="B60" s="5">
        <v>31</v>
      </c>
      <c r="C60" s="5" t="str">
        <f t="shared" si="10"/>
        <v>30-39</v>
      </c>
      <c r="D60" s="5" t="s">
        <v>43</v>
      </c>
      <c r="E60" s="5" t="s">
        <v>45</v>
      </c>
      <c r="F60" s="5" t="s">
        <v>46</v>
      </c>
      <c r="G60" s="5">
        <v>2</v>
      </c>
      <c r="H60" s="5" t="s">
        <v>50</v>
      </c>
      <c r="I60" s="5" t="s">
        <v>52</v>
      </c>
      <c r="J60" s="7">
        <v>5915</v>
      </c>
      <c r="K60" s="7">
        <f t="shared" si="1"/>
        <v>887.25</v>
      </c>
      <c r="L60" s="7">
        <f t="shared" si="2"/>
        <v>5027.75</v>
      </c>
      <c r="M60" s="7">
        <v>9528</v>
      </c>
      <c r="N60" s="5" t="s">
        <v>43</v>
      </c>
      <c r="O60" s="5">
        <v>22</v>
      </c>
      <c r="P60" s="7">
        <f t="shared" si="3"/>
        <v>7216.3</v>
      </c>
      <c r="Q60" s="7">
        <f t="shared" si="4"/>
        <v>15615.600000000002</v>
      </c>
      <c r="R60" s="7" t="str">
        <f t="shared" si="5"/>
        <v>Normal</v>
      </c>
      <c r="S60" s="5">
        <v>4</v>
      </c>
      <c r="T60" s="5">
        <v>2</v>
      </c>
      <c r="U60" s="5" t="str" cm="1">
        <f t="array" ref="U60">_xlfn.IFS(T60=1,"Poor",T60=2,"Fair",T60=3,"Good",T60=4,"Excellent")</f>
        <v>Fair</v>
      </c>
      <c r="V60" s="5" t="s">
        <v>43</v>
      </c>
      <c r="W60" s="5">
        <v>7</v>
      </c>
      <c r="X60" s="28">
        <f t="shared" ca="1" si="6"/>
        <v>43554</v>
      </c>
      <c r="Y60" s="28">
        <f t="shared" ca="1" si="7"/>
        <v>46476</v>
      </c>
      <c r="Z60" s="28" t="str">
        <f t="shared" ca="1" si="8"/>
        <v>Due Soon</v>
      </c>
      <c r="AA60" s="5" t="str" cm="1">
        <f t="array" ref="AA60">_xlfn.IFS(W60&gt;10,"Veteran",W60&gt;=6,"Experienced",W60&gt;=2,"Developing",W60&gt;=0,"New")</f>
        <v>Experienced</v>
      </c>
      <c r="AB60" s="5" t="str" cm="1">
        <f t="array" ref="AB60">_xlfn.IFS(G60=1,"Junior",G60=2,"Mid-Level",G60=3,"Senior",G60=4,"Lead",G60=5,"Principal")&amp;" "&amp;TRIM(PROPER(H60))</f>
        <v>Mid-Level Laboratory Technician</v>
      </c>
      <c r="AC60" s="19" t="str">
        <f t="shared" ca="1" si="9"/>
        <v>La-Res-2019-059 is a Mid-Level Laboratory Technician in the Research &amp; Development department, aged 31, divorced and has been with the Company for 7years</v>
      </c>
    </row>
    <row r="61" spans="1:29">
      <c r="A61" s="18" t="str">
        <f t="shared" ca="1" si="0"/>
        <v>Ma-Res-2019-060</v>
      </c>
      <c r="B61" s="5">
        <v>37</v>
      </c>
      <c r="C61" s="5" t="str">
        <f t="shared" si="10"/>
        <v>30-39</v>
      </c>
      <c r="D61" s="5" t="s">
        <v>43</v>
      </c>
      <c r="E61" s="5" t="s">
        <v>45</v>
      </c>
      <c r="F61" s="5" t="s">
        <v>46</v>
      </c>
      <c r="G61" s="5">
        <v>2</v>
      </c>
      <c r="H61" s="5" t="s">
        <v>53</v>
      </c>
      <c r="I61" s="5" t="s">
        <v>52</v>
      </c>
      <c r="J61" s="7">
        <v>5993</v>
      </c>
      <c r="K61" s="7">
        <f t="shared" si="1"/>
        <v>898.94999999999993</v>
      </c>
      <c r="L61" s="7">
        <f t="shared" si="2"/>
        <v>5094.05</v>
      </c>
      <c r="M61" s="7">
        <v>2689</v>
      </c>
      <c r="N61" s="5" t="s">
        <v>43</v>
      </c>
      <c r="O61" s="5">
        <v>18</v>
      </c>
      <c r="P61" s="7">
        <f t="shared" si="3"/>
        <v>7071.74</v>
      </c>
      <c r="Q61" s="7">
        <f t="shared" si="4"/>
        <v>12944.879999999997</v>
      </c>
      <c r="R61" s="7" t="str">
        <f t="shared" si="5"/>
        <v>Normal</v>
      </c>
      <c r="S61" s="5">
        <v>3</v>
      </c>
      <c r="T61" s="5">
        <v>4</v>
      </c>
      <c r="U61" s="5" t="str" cm="1">
        <f t="array" ref="U61">_xlfn.IFS(T61=1,"Poor",T61=2,"Fair",T61=3,"Good",T61=4,"Excellent")</f>
        <v>Excellent</v>
      </c>
      <c r="V61" s="5" t="s">
        <v>43</v>
      </c>
      <c r="W61" s="5">
        <v>7</v>
      </c>
      <c r="X61" s="28">
        <f t="shared" ca="1" si="6"/>
        <v>43554</v>
      </c>
      <c r="Y61" s="28">
        <f t="shared" ca="1" si="7"/>
        <v>46476</v>
      </c>
      <c r="Z61" s="28" t="str">
        <f t="shared" ca="1" si="8"/>
        <v>Due Soon</v>
      </c>
      <c r="AA61" s="5" t="str" cm="1">
        <f t="array" ref="AA61">_xlfn.IFS(W61&gt;10,"Veteran",W61&gt;=6,"Experienced",W61&gt;=2,"Developing",W61&gt;=0,"New")</f>
        <v>Experienced</v>
      </c>
      <c r="AB61" s="5" t="str" cm="1">
        <f t="array" ref="AB61">_xlfn.IFS(G61=1,"Junior",G61=2,"Mid-Level",G61=3,"Senior",G61=4,"Lead",G61=5,"Principal")&amp;" "&amp;TRIM(PROPER(H61))</f>
        <v>Mid-Level Manufacturing Director</v>
      </c>
      <c r="AC61" s="19" t="str">
        <f t="shared" ca="1" si="9"/>
        <v>Ma-Res-2019-060 is a Mid-Level Manufacturing Director in the Research &amp; Development department, aged 37, divorced and has been with the Company for 7years</v>
      </c>
    </row>
    <row r="62" spans="1:29">
      <c r="A62" s="18" t="str">
        <f t="shared" ca="1" si="0"/>
        <v>Ma-Res-2017-061</v>
      </c>
      <c r="B62" s="5">
        <v>32</v>
      </c>
      <c r="C62" s="5" t="str">
        <f t="shared" si="10"/>
        <v>30-39</v>
      </c>
      <c r="D62" s="5" t="s">
        <v>43</v>
      </c>
      <c r="E62" s="5" t="s">
        <v>45</v>
      </c>
      <c r="F62" s="5" t="s">
        <v>46</v>
      </c>
      <c r="G62" s="5">
        <v>2</v>
      </c>
      <c r="H62" s="5" t="s">
        <v>53</v>
      </c>
      <c r="I62" s="5" t="s">
        <v>48</v>
      </c>
      <c r="J62" s="7">
        <v>6162</v>
      </c>
      <c r="K62" s="7">
        <f t="shared" si="1"/>
        <v>924.3</v>
      </c>
      <c r="L62" s="7">
        <f t="shared" si="2"/>
        <v>5237.7</v>
      </c>
      <c r="M62" s="7">
        <v>10877</v>
      </c>
      <c r="N62" s="5" t="s">
        <v>35</v>
      </c>
      <c r="O62" s="5">
        <v>22</v>
      </c>
      <c r="P62" s="7">
        <f t="shared" si="3"/>
        <v>7517.6399999999994</v>
      </c>
      <c r="Q62" s="7">
        <f t="shared" si="4"/>
        <v>16267.679999999993</v>
      </c>
      <c r="R62" s="7" t="str">
        <f t="shared" si="5"/>
        <v>Normal</v>
      </c>
      <c r="S62" s="5">
        <v>4</v>
      </c>
      <c r="T62" s="5">
        <v>3</v>
      </c>
      <c r="U62" s="5" t="str" cm="1">
        <f t="array" ref="U62">_xlfn.IFS(T62=1,"Poor",T62=2,"Fair",T62=3,"Good",T62=4,"Excellent")</f>
        <v>Good</v>
      </c>
      <c r="V62" s="5" t="s">
        <v>35</v>
      </c>
      <c r="W62" s="5">
        <v>9</v>
      </c>
      <c r="X62" s="28">
        <f t="shared" ca="1" si="6"/>
        <v>42824</v>
      </c>
      <c r="Y62" s="28">
        <f t="shared" ca="1" si="7"/>
        <v>46476</v>
      </c>
      <c r="Z62" s="28" t="str">
        <f t="shared" ca="1" si="8"/>
        <v>Due Soon</v>
      </c>
      <c r="AA62" s="5" t="str" cm="1">
        <f t="array" ref="AA62">_xlfn.IFS(W62&gt;10,"Veteran",W62&gt;=6,"Experienced",W62&gt;=2,"Developing",W62&gt;=0,"New")</f>
        <v>Experienced</v>
      </c>
      <c r="AB62" s="5" t="str" cm="1">
        <f t="array" ref="AB62">_xlfn.IFS(G62=1,"Junior",G62=2,"Mid-Level",G62=3,"Senior",G62=4,"Lead",G62=5,"Principal")&amp;" "&amp;TRIM(PROPER(H62))</f>
        <v>Mid-Level Manufacturing Director</v>
      </c>
      <c r="AC62" s="19" t="str">
        <f t="shared" ca="1" si="9"/>
        <v>Ma-Res-2017-061 is a Mid-Level Manufacturing Director in the Research &amp; Development department, aged 32, married and has been with the Company for 9years</v>
      </c>
    </row>
    <row r="63" spans="1:29">
      <c r="A63" s="18" t="str">
        <f t="shared" ca="1" si="0"/>
        <v>La-Res-2016-062</v>
      </c>
      <c r="B63" s="5">
        <v>38</v>
      </c>
      <c r="C63" s="5" t="str">
        <f t="shared" si="10"/>
        <v>30-39</v>
      </c>
      <c r="D63" s="5" t="s">
        <v>43</v>
      </c>
      <c r="E63" s="5" t="s">
        <v>45</v>
      </c>
      <c r="F63" s="5" t="s">
        <v>39</v>
      </c>
      <c r="G63" s="5">
        <v>2</v>
      </c>
      <c r="H63" s="5" t="s">
        <v>50</v>
      </c>
      <c r="I63" s="5" t="s">
        <v>41</v>
      </c>
      <c r="J63" s="7">
        <v>2406</v>
      </c>
      <c r="K63" s="7">
        <f t="shared" si="1"/>
        <v>168.42000000000002</v>
      </c>
      <c r="L63" s="7">
        <f t="shared" si="2"/>
        <v>2237.58</v>
      </c>
      <c r="M63" s="7">
        <v>5456</v>
      </c>
      <c r="N63" s="5" t="s">
        <v>43</v>
      </c>
      <c r="O63" s="5">
        <v>11</v>
      </c>
      <c r="P63" s="7">
        <f t="shared" si="3"/>
        <v>2670.6600000000003</v>
      </c>
      <c r="Q63" s="7">
        <f t="shared" si="4"/>
        <v>3175.9200000000037</v>
      </c>
      <c r="R63" s="7" t="str">
        <f t="shared" si="5"/>
        <v>Normal</v>
      </c>
      <c r="S63" s="5">
        <v>3</v>
      </c>
      <c r="T63" s="5">
        <v>3</v>
      </c>
      <c r="U63" s="5" t="str" cm="1">
        <f t="array" ref="U63">_xlfn.IFS(T63=1,"Poor",T63=2,"Fair",T63=3,"Good",T63=4,"Excellent")</f>
        <v>Good</v>
      </c>
      <c r="V63" s="5" t="s">
        <v>43</v>
      </c>
      <c r="W63" s="5">
        <v>10</v>
      </c>
      <c r="X63" s="28">
        <f t="shared" ca="1" si="6"/>
        <v>42459</v>
      </c>
      <c r="Y63" s="28">
        <f t="shared" ca="1" si="7"/>
        <v>46842</v>
      </c>
      <c r="Z63" s="28" t="str">
        <f t="shared" ca="1" si="8"/>
        <v>Upcoming</v>
      </c>
      <c r="AA63" s="5" t="str" cm="1">
        <f t="array" ref="AA63">_xlfn.IFS(W63&gt;10,"Veteran",W63&gt;=6,"Experienced",W63&gt;=2,"Developing",W63&gt;=0,"New")</f>
        <v>Experienced</v>
      </c>
      <c r="AB63" s="5" t="str" cm="1">
        <f t="array" ref="AB63">_xlfn.IFS(G63=1,"Junior",G63=2,"Mid-Level",G63=3,"Senior",G63=4,"Lead",G63=5,"Principal")&amp;" "&amp;TRIM(PROPER(H63))</f>
        <v>Mid-Level Laboratory Technician</v>
      </c>
      <c r="AC63" s="19" t="str">
        <f t="shared" ca="1" si="9"/>
        <v>La-Res-2016-062 is a Mid-Level Laboratory Technician in the Research &amp; Development department, aged 38, single and has been with the Company for 10years</v>
      </c>
    </row>
    <row r="64" spans="1:29">
      <c r="A64" s="18" t="str">
        <f t="shared" ca="1" si="0"/>
        <v>Re-Res-1999-063</v>
      </c>
      <c r="B64" s="5">
        <v>50</v>
      </c>
      <c r="C64" s="5" t="str">
        <f t="shared" si="10"/>
        <v>50+</v>
      </c>
      <c r="D64" s="5" t="s">
        <v>43</v>
      </c>
      <c r="E64" s="5" t="s">
        <v>45</v>
      </c>
      <c r="F64" s="5" t="s">
        <v>39</v>
      </c>
      <c r="G64" s="5">
        <v>5</v>
      </c>
      <c r="H64" s="5" t="s">
        <v>58</v>
      </c>
      <c r="I64" s="5" t="s">
        <v>52</v>
      </c>
      <c r="J64" s="7">
        <v>18740</v>
      </c>
      <c r="K64" s="7">
        <f t="shared" si="1"/>
        <v>5622</v>
      </c>
      <c r="L64" s="7">
        <f t="shared" si="2"/>
        <v>13118</v>
      </c>
      <c r="M64" s="7">
        <v>16701</v>
      </c>
      <c r="N64" s="5" t="s">
        <v>35</v>
      </c>
      <c r="O64" s="5">
        <v>12</v>
      </c>
      <c r="P64" s="7">
        <f t="shared" si="3"/>
        <v>20988.800000000003</v>
      </c>
      <c r="Q64" s="7">
        <f t="shared" si="4"/>
        <v>26985.600000000035</v>
      </c>
      <c r="R64" s="7" t="str">
        <f t="shared" si="5"/>
        <v>Normal</v>
      </c>
      <c r="S64" s="5">
        <v>3</v>
      </c>
      <c r="T64" s="5">
        <v>2</v>
      </c>
      <c r="U64" s="5" t="str" cm="1">
        <f t="array" ref="U64">_xlfn.IFS(T64=1,"Poor",T64=2,"Fair",T64=3,"Good",T64=4,"Excellent")</f>
        <v>Fair</v>
      </c>
      <c r="V64" s="5" t="s">
        <v>35</v>
      </c>
      <c r="W64" s="5">
        <v>27</v>
      </c>
      <c r="X64" s="28">
        <f t="shared" ca="1" si="6"/>
        <v>36249</v>
      </c>
      <c r="Y64" s="28">
        <f t="shared" ca="1" si="7"/>
        <v>46476</v>
      </c>
      <c r="Z64" s="28" t="str">
        <f t="shared" ca="1" si="8"/>
        <v>Due Soon</v>
      </c>
      <c r="AA64" s="5" t="str" cm="1">
        <f t="array" ref="AA64">_xlfn.IFS(W64&gt;10,"Veteran",W64&gt;=6,"Experienced",W64&gt;=2,"Developing",W64&gt;=0,"New")</f>
        <v>Veteran</v>
      </c>
      <c r="AB64" s="5" t="str" cm="1">
        <f t="array" ref="AB64">_xlfn.IFS(G64=1,"Junior",G64=2,"Mid-Level",G64=3,"Senior",G64=4,"Lead",G64=5,"Principal")&amp;" "&amp;TRIM(PROPER(H64))</f>
        <v>Principal Research Director</v>
      </c>
      <c r="AC64" s="19" t="str">
        <f t="shared" ca="1" si="9"/>
        <v>Re-Res-1999-063 is a Principal Research Director in the Research &amp; Development department, aged 50, divorced and has been with the Company for 27years</v>
      </c>
    </row>
    <row r="65" spans="1:29">
      <c r="A65" s="18" t="str">
        <f t="shared" ca="1" si="0"/>
        <v>Sa-Sal-2005-064</v>
      </c>
      <c r="B65" s="5">
        <v>59</v>
      </c>
      <c r="C65" s="5" t="str">
        <f t="shared" si="10"/>
        <v>50+</v>
      </c>
      <c r="D65" s="5" t="s">
        <v>43</v>
      </c>
      <c r="E65" s="5" t="s">
        <v>37</v>
      </c>
      <c r="F65" s="5" t="s">
        <v>39</v>
      </c>
      <c r="G65" s="5">
        <v>3</v>
      </c>
      <c r="H65" s="5" t="s">
        <v>40</v>
      </c>
      <c r="I65" s="5" t="s">
        <v>41</v>
      </c>
      <c r="J65" s="7">
        <v>7637</v>
      </c>
      <c r="K65" s="7">
        <f t="shared" si="1"/>
        <v>1680.14</v>
      </c>
      <c r="L65" s="7">
        <f t="shared" si="2"/>
        <v>5956.86</v>
      </c>
      <c r="M65" s="7">
        <v>2354</v>
      </c>
      <c r="N65" s="5" t="s">
        <v>43</v>
      </c>
      <c r="O65" s="5">
        <v>11</v>
      </c>
      <c r="P65" s="7">
        <f t="shared" si="3"/>
        <v>8477.0700000000015</v>
      </c>
      <c r="Q65" s="7">
        <f t="shared" si="4"/>
        <v>10080.840000000018</v>
      </c>
      <c r="R65" s="7" t="str">
        <f t="shared" si="5"/>
        <v>Normal</v>
      </c>
      <c r="S65" s="5">
        <v>3</v>
      </c>
      <c r="T65" s="5">
        <v>2</v>
      </c>
      <c r="U65" s="5" t="str" cm="1">
        <f t="array" ref="U65">_xlfn.IFS(T65=1,"Poor",T65=2,"Fair",T65=3,"Good",T65=4,"Excellent")</f>
        <v>Fair</v>
      </c>
      <c r="V65" s="5" t="s">
        <v>43</v>
      </c>
      <c r="W65" s="5">
        <v>21</v>
      </c>
      <c r="X65" s="28">
        <f t="shared" ca="1" si="6"/>
        <v>38441</v>
      </c>
      <c r="Y65" s="28">
        <f t="shared" ca="1" si="7"/>
        <v>46476</v>
      </c>
      <c r="Z65" s="28" t="str">
        <f t="shared" ca="1" si="8"/>
        <v>Due Soon</v>
      </c>
      <c r="AA65" s="5" t="str" cm="1">
        <f t="array" ref="AA65">_xlfn.IFS(W65&gt;10,"Veteran",W65&gt;=6,"Experienced",W65&gt;=2,"Developing",W65&gt;=0,"New")</f>
        <v>Veteran</v>
      </c>
      <c r="AB65" s="5" t="str" cm="1">
        <f t="array" ref="AB65">_xlfn.IFS(G65=1,"Junior",G65=2,"Mid-Level",G65=3,"Senior",G65=4,"Lead",G65=5,"Principal")&amp;" "&amp;TRIM(PROPER(H65))</f>
        <v>Senior Sales Executive</v>
      </c>
      <c r="AC65" s="19" t="str">
        <f t="shared" ca="1" si="9"/>
        <v>Sa-Sal-2005-064 is a Senior Sales Executive in the Sales department, aged 59, single and has been with the Company for 21years</v>
      </c>
    </row>
    <row r="66" spans="1:29">
      <c r="A66" s="18" t="str">
        <f t="shared" ca="1" si="0"/>
        <v>He-Res-2009-065</v>
      </c>
      <c r="B66" s="5">
        <v>36</v>
      </c>
      <c r="C66" s="5" t="str">
        <f t="shared" si="10"/>
        <v>30-39</v>
      </c>
      <c r="D66" s="5" t="s">
        <v>43</v>
      </c>
      <c r="E66" s="5" t="s">
        <v>45</v>
      </c>
      <c r="F66" s="5" t="s">
        <v>39</v>
      </c>
      <c r="G66" s="5">
        <v>3</v>
      </c>
      <c r="H66" s="5" t="s">
        <v>54</v>
      </c>
      <c r="I66" s="5" t="s">
        <v>52</v>
      </c>
      <c r="J66" s="7">
        <v>10096</v>
      </c>
      <c r="K66" s="7">
        <f t="shared" si="1"/>
        <v>2221.12</v>
      </c>
      <c r="L66" s="7">
        <f t="shared" si="2"/>
        <v>7874.88</v>
      </c>
      <c r="M66" s="7">
        <v>8202</v>
      </c>
      <c r="N66" s="5" t="s">
        <v>43</v>
      </c>
      <c r="O66" s="5">
        <v>13</v>
      </c>
      <c r="P66" s="7">
        <f t="shared" si="3"/>
        <v>11408.48</v>
      </c>
      <c r="Q66" s="7">
        <f t="shared" si="4"/>
        <v>15749.759999999995</v>
      </c>
      <c r="R66" s="7" t="str">
        <f t="shared" si="5"/>
        <v>Normal</v>
      </c>
      <c r="S66" s="5">
        <v>3</v>
      </c>
      <c r="T66" s="5">
        <v>3</v>
      </c>
      <c r="U66" s="5" t="str" cm="1">
        <f t="array" ref="U66">_xlfn.IFS(T66=1,"Poor",T66=2,"Fair",T66=3,"Good",T66=4,"Excellent")</f>
        <v>Good</v>
      </c>
      <c r="V66" s="5" t="s">
        <v>43</v>
      </c>
      <c r="W66" s="5">
        <v>17</v>
      </c>
      <c r="X66" s="28">
        <f t="shared" ca="1" si="6"/>
        <v>39902</v>
      </c>
      <c r="Y66" s="28">
        <f t="shared" ca="1" si="7"/>
        <v>46476</v>
      </c>
      <c r="Z66" s="28" t="str">
        <f t="shared" ca="1" si="8"/>
        <v>Due Soon</v>
      </c>
      <c r="AA66" s="5" t="str" cm="1">
        <f t="array" ref="AA66">_xlfn.IFS(W66&gt;10,"Veteran",W66&gt;=6,"Experienced",W66&gt;=2,"Developing",W66&gt;=0,"New")</f>
        <v>Veteran</v>
      </c>
      <c r="AB66" s="5" t="str" cm="1">
        <f t="array" ref="AB66">_xlfn.IFS(G66=1,"Junior",G66=2,"Mid-Level",G66=3,"Senior",G66=4,"Lead",G66=5,"Principal")&amp;" "&amp;TRIM(PROPER(H66))</f>
        <v>Senior Healthcare Representative</v>
      </c>
      <c r="AC66" s="19" t="str">
        <f t="shared" ca="1" si="9"/>
        <v>He-Res-2009-065 is a Senior Healthcare Representative in the Research &amp; Development department, aged 36, divorced and has been with the Company for 17years</v>
      </c>
    </row>
    <row r="67" spans="1:29">
      <c r="A67" s="18" t="str">
        <f t="shared" ref="A67:A130" ca="1" si="11">LEFT(H67,2)&amp;"-"&amp;LEFT(E67,3)&amp;"-"&amp;YEAR(TODAY())-W67&amp;"-"&amp;TEXT(ROW()-1,"000")</f>
        <v>Ma-Res-2021-066</v>
      </c>
      <c r="B67" s="5">
        <v>55</v>
      </c>
      <c r="C67" s="5" t="str">
        <f t="shared" ref="C67:C130" si="12">IF(B67&lt;=29,"20-29",IF(B67&lt;=39,"30-39",IF(B67&lt;=49,"40-49","50+")))</f>
        <v>50+</v>
      </c>
      <c r="D67" s="5" t="s">
        <v>43</v>
      </c>
      <c r="E67" s="5" t="s">
        <v>45</v>
      </c>
      <c r="F67" s="5" t="s">
        <v>39</v>
      </c>
      <c r="G67" s="5">
        <v>4</v>
      </c>
      <c r="H67" s="5" t="s">
        <v>56</v>
      </c>
      <c r="I67" s="5" t="s">
        <v>52</v>
      </c>
      <c r="J67" s="7">
        <v>14756</v>
      </c>
      <c r="K67" s="7">
        <f t="shared" ref="K67:K130" si="13">IF(J67&gt;13000,J67*30%,IF(J67&gt;7000,J67*22%,IF(J67&gt;3000,J67*15%,J67*7%)))</f>
        <v>4426.8</v>
      </c>
      <c r="L67" s="7">
        <f t="shared" ref="L67:L130" si="14">J67-K67</f>
        <v>10329.200000000001</v>
      </c>
      <c r="M67" s="7">
        <v>19730</v>
      </c>
      <c r="N67" s="5" t="s">
        <v>35</v>
      </c>
      <c r="O67" s="5">
        <v>14</v>
      </c>
      <c r="P67" s="7">
        <f t="shared" ref="P67:P130" si="15">J67*(1+(O67/100))</f>
        <v>16821.84</v>
      </c>
      <c r="Q67" s="7">
        <f t="shared" ref="Q67:Q130" si="16">(P67-J67)*12</f>
        <v>24790.080000000002</v>
      </c>
      <c r="R67" s="7" t="str">
        <f t="shared" ref="R67:R130" si="17">IF(AND(O67&lt;12,S67=4),"UnderPaid","Normal")</f>
        <v>Normal</v>
      </c>
      <c r="S67" s="5">
        <v>3</v>
      </c>
      <c r="T67" s="5">
        <v>3</v>
      </c>
      <c r="U67" s="5" t="str" cm="1">
        <f t="array" ref="U67">_xlfn.IFS(T67=1,"Poor",T67=2,"Fair",T67=3,"Good",T67=4,"Excellent")</f>
        <v>Good</v>
      </c>
      <c r="V67" s="5" t="s">
        <v>35</v>
      </c>
      <c r="W67" s="5">
        <v>5</v>
      </c>
      <c r="X67" s="28">
        <f t="shared" ref="X67:X130" ca="1" si="18">EDATE(TODAY(),-W67*12)</f>
        <v>44285</v>
      </c>
      <c r="Y67" s="28">
        <f t="shared" ref="Y67:Y130" ca="1" si="19">EDATE(X67,(INT(W67/2)+1)*24)</f>
        <v>46476</v>
      </c>
      <c r="Z67" s="28" t="str">
        <f t="shared" ref="Z67:Z130" ca="1" si="20">IF(Y67&lt;=EDATE(TODAY(),12),"Due Soon","Upcoming")</f>
        <v>Due Soon</v>
      </c>
      <c r="AA67" s="5" t="str" cm="1">
        <f t="array" ref="AA67">_xlfn.IFS(W67&gt;10,"Veteran",W67&gt;=6,"Experienced",W67&gt;=2,"Developing",W67&gt;=0,"New")</f>
        <v>Developing</v>
      </c>
      <c r="AB67" s="5" t="str" cm="1">
        <f t="array" ref="AB67">_xlfn.IFS(G67=1,"Junior",G67=2,"Mid-Level",G67=3,"Senior",G67=4,"Lead",G67=5,"Principal")&amp;" "&amp;TRIM(PROPER(H67))</f>
        <v>Lead Manager</v>
      </c>
      <c r="AC67" s="19" t="str">
        <f t="shared" ref="AC67:AC130" ca="1" si="21">A67&amp;" is a "&amp;AB67&amp;" in the "&amp;E67&amp;" department, aged "&amp;B67&amp;", "&amp;LOWER(I67)&amp;" and has been with the Company for "&amp;W67&amp;"years"</f>
        <v>Ma-Res-2021-066 is a Lead Manager in the Research &amp; Development department, aged 55, divorced and has been with the Company for 5years</v>
      </c>
    </row>
    <row r="68" spans="1:29">
      <c r="A68" s="18" t="str">
        <f t="shared" ca="1" si="11"/>
        <v>Ma-Res-2020-067</v>
      </c>
      <c r="B68" s="5">
        <v>36</v>
      </c>
      <c r="C68" s="5" t="str">
        <f t="shared" si="12"/>
        <v>30-39</v>
      </c>
      <c r="D68" s="5" t="s">
        <v>43</v>
      </c>
      <c r="E68" s="5" t="s">
        <v>45</v>
      </c>
      <c r="F68" s="5" t="s">
        <v>46</v>
      </c>
      <c r="G68" s="5">
        <v>2</v>
      </c>
      <c r="H68" s="5" t="s">
        <v>53</v>
      </c>
      <c r="I68" s="5" t="s">
        <v>41</v>
      </c>
      <c r="J68" s="7">
        <v>6499</v>
      </c>
      <c r="K68" s="7">
        <f t="shared" si="13"/>
        <v>974.84999999999991</v>
      </c>
      <c r="L68" s="7">
        <f t="shared" si="14"/>
        <v>5524.15</v>
      </c>
      <c r="M68" s="7">
        <v>22656</v>
      </c>
      <c r="N68" s="5" t="s">
        <v>43</v>
      </c>
      <c r="O68" s="5">
        <v>13</v>
      </c>
      <c r="P68" s="7">
        <f t="shared" si="15"/>
        <v>7343.869999999999</v>
      </c>
      <c r="Q68" s="7">
        <f t="shared" si="16"/>
        <v>10138.439999999988</v>
      </c>
      <c r="R68" s="7" t="str">
        <f t="shared" si="17"/>
        <v>Normal</v>
      </c>
      <c r="S68" s="5">
        <v>3</v>
      </c>
      <c r="T68" s="5">
        <v>3</v>
      </c>
      <c r="U68" s="5" t="str" cm="1">
        <f t="array" ref="U68">_xlfn.IFS(T68=1,"Poor",T68=2,"Fair",T68=3,"Good",T68=4,"Excellent")</f>
        <v>Good</v>
      </c>
      <c r="V68" s="5" t="s">
        <v>43</v>
      </c>
      <c r="W68" s="5">
        <v>6</v>
      </c>
      <c r="X68" s="28">
        <f t="shared" ca="1" si="18"/>
        <v>43920</v>
      </c>
      <c r="Y68" s="28">
        <f t="shared" ca="1" si="19"/>
        <v>46842</v>
      </c>
      <c r="Z68" s="28" t="str">
        <f t="shared" ca="1" si="20"/>
        <v>Upcoming</v>
      </c>
      <c r="AA68" s="5" t="str" cm="1">
        <f t="array" ref="AA68">_xlfn.IFS(W68&gt;10,"Veteran",W68&gt;=6,"Experienced",W68&gt;=2,"Developing",W68&gt;=0,"New")</f>
        <v>Experienced</v>
      </c>
      <c r="AB68" s="5" t="str" cm="1">
        <f t="array" ref="AB68">_xlfn.IFS(G68=1,"Junior",G68=2,"Mid-Level",G68=3,"Senior",G68=4,"Lead",G68=5,"Principal")&amp;" "&amp;TRIM(PROPER(H68))</f>
        <v>Mid-Level Manufacturing Director</v>
      </c>
      <c r="AC68" s="19" t="str">
        <f t="shared" ca="1" si="21"/>
        <v>Ma-Res-2020-067 is a Mid-Level Manufacturing Director in the Research &amp; Development department, aged 36, single and has been with the Company for 6years</v>
      </c>
    </row>
    <row r="69" spans="1:29">
      <c r="A69" s="18" t="str">
        <f t="shared" ca="1" si="11"/>
        <v>Re-Res-2025-068</v>
      </c>
      <c r="B69" s="5">
        <v>45</v>
      </c>
      <c r="C69" s="5" t="str">
        <f t="shared" si="12"/>
        <v>40-49</v>
      </c>
      <c r="D69" s="5" t="s">
        <v>43</v>
      </c>
      <c r="E69" s="5" t="s">
        <v>45</v>
      </c>
      <c r="F69" s="5" t="s">
        <v>46</v>
      </c>
      <c r="G69" s="5">
        <v>3</v>
      </c>
      <c r="H69" s="5" t="s">
        <v>47</v>
      </c>
      <c r="I69" s="5" t="s">
        <v>52</v>
      </c>
      <c r="J69" s="7">
        <v>9724</v>
      </c>
      <c r="K69" s="7">
        <f t="shared" si="13"/>
        <v>2139.2800000000002</v>
      </c>
      <c r="L69" s="7">
        <f t="shared" si="14"/>
        <v>7584.7199999999993</v>
      </c>
      <c r="M69" s="7">
        <v>18787</v>
      </c>
      <c r="N69" s="5" t="s">
        <v>43</v>
      </c>
      <c r="O69" s="5">
        <v>17</v>
      </c>
      <c r="P69" s="7">
        <f t="shared" si="15"/>
        <v>11377.08</v>
      </c>
      <c r="Q69" s="7">
        <f t="shared" si="16"/>
        <v>19836.96</v>
      </c>
      <c r="R69" s="7" t="str">
        <f t="shared" si="17"/>
        <v>Normal</v>
      </c>
      <c r="S69" s="5">
        <v>3</v>
      </c>
      <c r="T69" s="5">
        <v>3</v>
      </c>
      <c r="U69" s="5" t="str" cm="1">
        <f t="array" ref="U69">_xlfn.IFS(T69=1,"Poor",T69=2,"Fair",T69=3,"Good",T69=4,"Excellent")</f>
        <v>Good</v>
      </c>
      <c r="V69" s="5" t="s">
        <v>43</v>
      </c>
      <c r="W69" s="5">
        <v>1</v>
      </c>
      <c r="X69" s="28">
        <f t="shared" ca="1" si="18"/>
        <v>45746</v>
      </c>
      <c r="Y69" s="28">
        <f t="shared" ca="1" si="19"/>
        <v>46476</v>
      </c>
      <c r="Z69" s="28" t="str">
        <f t="shared" ca="1" si="20"/>
        <v>Due Soon</v>
      </c>
      <c r="AA69" s="5" t="str" cm="1">
        <f t="array" ref="AA69">_xlfn.IFS(W69&gt;10,"Veteran",W69&gt;=6,"Experienced",W69&gt;=2,"Developing",W69&gt;=0,"New")</f>
        <v>New</v>
      </c>
      <c r="AB69" s="5" t="str" cm="1">
        <f t="array" ref="AB69">_xlfn.IFS(G69=1,"Junior",G69=2,"Mid-Level",G69=3,"Senior",G69=4,"Lead",G69=5,"Principal")&amp;" "&amp;TRIM(PROPER(H69))</f>
        <v>Senior Research Scientist</v>
      </c>
      <c r="AC69" s="19" t="str">
        <f t="shared" ca="1" si="21"/>
        <v>Re-Res-2025-068 is a Senior Research Scientist in the Research &amp; Development department, aged 45, divorced and has been with the Company for 1years</v>
      </c>
    </row>
    <row r="70" spans="1:29">
      <c r="A70" s="18" t="str">
        <f t="shared" ca="1" si="11"/>
        <v>Re-Res-2023-069</v>
      </c>
      <c r="B70" s="5">
        <v>35</v>
      </c>
      <c r="C70" s="5" t="str">
        <f t="shared" si="12"/>
        <v>30-39</v>
      </c>
      <c r="D70" s="5" t="s">
        <v>43</v>
      </c>
      <c r="E70" s="5" t="s">
        <v>45</v>
      </c>
      <c r="F70" s="5" t="s">
        <v>46</v>
      </c>
      <c r="G70" s="5">
        <v>1</v>
      </c>
      <c r="H70" s="5" t="s">
        <v>47</v>
      </c>
      <c r="I70" s="5" t="s">
        <v>48</v>
      </c>
      <c r="J70" s="7">
        <v>2194</v>
      </c>
      <c r="K70" s="7">
        <f t="shared" si="13"/>
        <v>153.58000000000001</v>
      </c>
      <c r="L70" s="7">
        <f t="shared" si="14"/>
        <v>2040.42</v>
      </c>
      <c r="M70" s="7">
        <v>5868</v>
      </c>
      <c r="N70" s="5" t="s">
        <v>43</v>
      </c>
      <c r="O70" s="5">
        <v>13</v>
      </c>
      <c r="P70" s="7">
        <f t="shared" si="15"/>
        <v>2479.2199999999998</v>
      </c>
      <c r="Q70" s="7">
        <f t="shared" si="16"/>
        <v>3422.6399999999976</v>
      </c>
      <c r="R70" s="7" t="str">
        <f t="shared" si="17"/>
        <v>Normal</v>
      </c>
      <c r="S70" s="5">
        <v>3</v>
      </c>
      <c r="T70" s="5">
        <v>2</v>
      </c>
      <c r="U70" s="5" t="str" cm="1">
        <f t="array" ref="U70">_xlfn.IFS(T70=1,"Poor",T70=2,"Fair",T70=3,"Good",T70=4,"Excellent")</f>
        <v>Fair</v>
      </c>
      <c r="V70" s="5" t="s">
        <v>43</v>
      </c>
      <c r="W70" s="5">
        <v>3</v>
      </c>
      <c r="X70" s="28">
        <f t="shared" ca="1" si="18"/>
        <v>45015</v>
      </c>
      <c r="Y70" s="28">
        <f t="shared" ca="1" si="19"/>
        <v>46476</v>
      </c>
      <c r="Z70" s="28" t="str">
        <f t="shared" ca="1" si="20"/>
        <v>Due Soon</v>
      </c>
      <c r="AA70" s="5" t="str" cm="1">
        <f t="array" ref="AA70">_xlfn.IFS(W70&gt;10,"Veteran",W70&gt;=6,"Experienced",W70&gt;=2,"Developing",W70&gt;=0,"New")</f>
        <v>Developing</v>
      </c>
      <c r="AB70" s="5" t="str" cm="1">
        <f t="array" ref="AB70">_xlfn.IFS(G70=1,"Junior",G70=2,"Mid-Level",G70=3,"Senior",G70=4,"Lead",G70=5,"Principal")&amp;" "&amp;TRIM(PROPER(H70))</f>
        <v>Junior Research Scientist</v>
      </c>
      <c r="AC70" s="19" t="str">
        <f t="shared" ca="1" si="21"/>
        <v>Re-Res-2023-069 is a Junior Research Scientist in the Research &amp; Development department, aged 35, married and has been with the Company for 3years</v>
      </c>
    </row>
    <row r="71" spans="1:29">
      <c r="A71" s="18" t="str">
        <f t="shared" ca="1" si="11"/>
        <v>Re-Res-2025-070</v>
      </c>
      <c r="B71" s="5">
        <v>36</v>
      </c>
      <c r="C71" s="5" t="str">
        <f t="shared" si="12"/>
        <v>30-39</v>
      </c>
      <c r="D71" s="5" t="s">
        <v>35</v>
      </c>
      <c r="E71" s="5" t="s">
        <v>45</v>
      </c>
      <c r="F71" s="5" t="s">
        <v>46</v>
      </c>
      <c r="G71" s="5">
        <v>1</v>
      </c>
      <c r="H71" s="5" t="s">
        <v>47</v>
      </c>
      <c r="I71" s="5" t="s">
        <v>48</v>
      </c>
      <c r="J71" s="7">
        <v>3388</v>
      </c>
      <c r="K71" s="7">
        <f t="shared" si="13"/>
        <v>508.2</v>
      </c>
      <c r="L71" s="7">
        <f t="shared" si="14"/>
        <v>2879.8</v>
      </c>
      <c r="M71" s="7">
        <v>21777</v>
      </c>
      <c r="N71" s="5" t="s">
        <v>35</v>
      </c>
      <c r="O71" s="5">
        <v>17</v>
      </c>
      <c r="P71" s="7">
        <f t="shared" si="15"/>
        <v>3963.9599999999996</v>
      </c>
      <c r="Q71" s="7">
        <f t="shared" si="16"/>
        <v>6911.519999999995</v>
      </c>
      <c r="R71" s="7" t="str">
        <f t="shared" si="17"/>
        <v>Normal</v>
      </c>
      <c r="S71" s="5">
        <v>3</v>
      </c>
      <c r="T71" s="5">
        <v>2</v>
      </c>
      <c r="U71" s="5" t="str" cm="1">
        <f t="array" ref="U71">_xlfn.IFS(T71=1,"Poor",T71=2,"Fair",T71=3,"Good",T71=4,"Excellent")</f>
        <v>Fair</v>
      </c>
      <c r="V71" s="5" t="s">
        <v>35</v>
      </c>
      <c r="W71" s="5">
        <v>1</v>
      </c>
      <c r="X71" s="28">
        <f t="shared" ca="1" si="18"/>
        <v>45746</v>
      </c>
      <c r="Y71" s="28">
        <f t="shared" ca="1" si="19"/>
        <v>46476</v>
      </c>
      <c r="Z71" s="28" t="str">
        <f t="shared" ca="1" si="20"/>
        <v>Due Soon</v>
      </c>
      <c r="AA71" s="5" t="str" cm="1">
        <f t="array" ref="AA71">_xlfn.IFS(W71&gt;10,"Veteran",W71&gt;=6,"Experienced",W71&gt;=2,"Developing",W71&gt;=0,"New")</f>
        <v>New</v>
      </c>
      <c r="AB71" s="5" t="str" cm="1">
        <f t="array" ref="AB71">_xlfn.IFS(G71=1,"Junior",G71=2,"Mid-Level",G71=3,"Senior",G71=4,"Lead",G71=5,"Principal")&amp;" "&amp;TRIM(PROPER(H71))</f>
        <v>Junior Research Scientist</v>
      </c>
      <c r="AC71" s="19" t="str">
        <f t="shared" ca="1" si="21"/>
        <v>Re-Res-2025-070 is a Junior Research Scientist in the Research &amp; Development department, aged 36, married and has been with the Company for 1years</v>
      </c>
    </row>
    <row r="72" spans="1:29">
      <c r="A72" s="18" t="str">
        <f t="shared" ca="1" si="11"/>
        <v>Sa-Sal-2022-071</v>
      </c>
      <c r="B72" s="5">
        <v>59</v>
      </c>
      <c r="C72" s="5" t="str">
        <f t="shared" si="12"/>
        <v>50+</v>
      </c>
      <c r="D72" s="5" t="s">
        <v>43</v>
      </c>
      <c r="E72" s="5" t="s">
        <v>37</v>
      </c>
      <c r="F72" s="5" t="s">
        <v>39</v>
      </c>
      <c r="G72" s="5">
        <v>2</v>
      </c>
      <c r="H72" s="5" t="s">
        <v>40</v>
      </c>
      <c r="I72" s="5" t="s">
        <v>41</v>
      </c>
      <c r="J72" s="7">
        <v>5473</v>
      </c>
      <c r="K72" s="7">
        <f t="shared" si="13"/>
        <v>820.94999999999993</v>
      </c>
      <c r="L72" s="7">
        <f t="shared" si="14"/>
        <v>4652.05</v>
      </c>
      <c r="M72" s="7">
        <v>24668</v>
      </c>
      <c r="N72" s="5" t="s">
        <v>43</v>
      </c>
      <c r="O72" s="5">
        <v>11</v>
      </c>
      <c r="P72" s="7">
        <f t="shared" si="15"/>
        <v>6075.0300000000007</v>
      </c>
      <c r="Q72" s="7">
        <f t="shared" si="16"/>
        <v>7224.3600000000079</v>
      </c>
      <c r="R72" s="7" t="str">
        <f t="shared" si="17"/>
        <v>Normal</v>
      </c>
      <c r="S72" s="5">
        <v>3</v>
      </c>
      <c r="T72" s="5">
        <v>2</v>
      </c>
      <c r="U72" s="5" t="str" cm="1">
        <f t="array" ref="U72">_xlfn.IFS(T72=1,"Poor",T72=2,"Fair",T72=3,"Good",T72=4,"Excellent")</f>
        <v>Fair</v>
      </c>
      <c r="V72" s="5" t="s">
        <v>43</v>
      </c>
      <c r="W72" s="5">
        <v>4</v>
      </c>
      <c r="X72" s="28">
        <f t="shared" ca="1" si="18"/>
        <v>44650</v>
      </c>
      <c r="Y72" s="28">
        <f t="shared" ca="1" si="19"/>
        <v>46842</v>
      </c>
      <c r="Z72" s="28" t="str">
        <f t="shared" ca="1" si="20"/>
        <v>Upcoming</v>
      </c>
      <c r="AA72" s="5" t="str" cm="1">
        <f t="array" ref="AA72">_xlfn.IFS(W72&gt;10,"Veteran",W72&gt;=6,"Experienced",W72&gt;=2,"Developing",W72&gt;=0,"New")</f>
        <v>Developing</v>
      </c>
      <c r="AB72" s="5" t="str" cm="1">
        <f t="array" ref="AB72">_xlfn.IFS(G72=1,"Junior",G72=2,"Mid-Level",G72=3,"Senior",G72=4,"Lead",G72=5,"Principal")&amp;" "&amp;TRIM(PROPER(H72))</f>
        <v>Mid-Level Sales Executive</v>
      </c>
      <c r="AC72" s="19" t="str">
        <f t="shared" ca="1" si="21"/>
        <v>Sa-Sal-2022-071 is a Mid-Level Sales Executive in the Sales department, aged 59, single and has been with the Company for 4years</v>
      </c>
    </row>
    <row r="73" spans="1:29">
      <c r="A73" s="18" t="str">
        <f t="shared" ca="1" si="11"/>
        <v>Re-Res-2021-072</v>
      </c>
      <c r="B73" s="5">
        <v>29</v>
      </c>
      <c r="C73" s="5" t="str">
        <f t="shared" si="12"/>
        <v>20-29</v>
      </c>
      <c r="D73" s="5" t="s">
        <v>43</v>
      </c>
      <c r="E73" s="5" t="s">
        <v>45</v>
      </c>
      <c r="F73" s="5" t="s">
        <v>46</v>
      </c>
      <c r="G73" s="5">
        <v>1</v>
      </c>
      <c r="H73" s="5" t="s">
        <v>47</v>
      </c>
      <c r="I73" s="5" t="s">
        <v>48</v>
      </c>
      <c r="J73" s="7">
        <v>2703</v>
      </c>
      <c r="K73" s="7">
        <f t="shared" si="13"/>
        <v>189.21</v>
      </c>
      <c r="L73" s="7">
        <f t="shared" si="14"/>
        <v>2513.79</v>
      </c>
      <c r="M73" s="7">
        <v>4956</v>
      </c>
      <c r="N73" s="5" t="s">
        <v>43</v>
      </c>
      <c r="O73" s="5">
        <v>23</v>
      </c>
      <c r="P73" s="7">
        <f t="shared" si="15"/>
        <v>3324.69</v>
      </c>
      <c r="Q73" s="7">
        <f t="shared" si="16"/>
        <v>7460.2800000000007</v>
      </c>
      <c r="R73" s="7" t="str">
        <f t="shared" si="17"/>
        <v>Normal</v>
      </c>
      <c r="S73" s="5">
        <v>4</v>
      </c>
      <c r="T73" s="5">
        <v>3</v>
      </c>
      <c r="U73" s="5" t="str" cm="1">
        <f t="array" ref="U73">_xlfn.IFS(T73=1,"Poor",T73=2,"Fair",T73=3,"Good",T73=4,"Excellent")</f>
        <v>Good</v>
      </c>
      <c r="V73" s="5" t="s">
        <v>43</v>
      </c>
      <c r="W73" s="5">
        <v>5</v>
      </c>
      <c r="X73" s="28">
        <f t="shared" ca="1" si="18"/>
        <v>44285</v>
      </c>
      <c r="Y73" s="28">
        <f t="shared" ca="1" si="19"/>
        <v>46476</v>
      </c>
      <c r="Z73" s="28" t="str">
        <f t="shared" ca="1" si="20"/>
        <v>Due Soon</v>
      </c>
      <c r="AA73" s="5" t="str" cm="1">
        <f t="array" ref="AA73">_xlfn.IFS(W73&gt;10,"Veteran",W73&gt;=6,"Experienced",W73&gt;=2,"Developing",W73&gt;=0,"New")</f>
        <v>Developing</v>
      </c>
      <c r="AB73" s="5" t="str" cm="1">
        <f t="array" ref="AB73">_xlfn.IFS(G73=1,"Junior",G73=2,"Mid-Level",G73=3,"Senior",G73=4,"Lead",G73=5,"Principal")&amp;" "&amp;TRIM(PROPER(H73))</f>
        <v>Junior Research Scientist</v>
      </c>
      <c r="AC73" s="19" t="str">
        <f t="shared" ca="1" si="21"/>
        <v>Re-Res-2021-072 is a Junior Research Scientist in the Research &amp; Development department, aged 29, married and has been with the Company for 5years</v>
      </c>
    </row>
    <row r="74" spans="1:29">
      <c r="A74" s="18" t="str">
        <f t="shared" ca="1" si="11"/>
        <v>Re-Res-2025-073</v>
      </c>
      <c r="B74" s="5">
        <v>31</v>
      </c>
      <c r="C74" s="5" t="str">
        <f t="shared" si="12"/>
        <v>30-39</v>
      </c>
      <c r="D74" s="5" t="s">
        <v>43</v>
      </c>
      <c r="E74" s="5" t="s">
        <v>45</v>
      </c>
      <c r="F74" s="5" t="s">
        <v>46</v>
      </c>
      <c r="G74" s="5">
        <v>1</v>
      </c>
      <c r="H74" s="5" t="s">
        <v>47</v>
      </c>
      <c r="I74" s="5" t="s">
        <v>41</v>
      </c>
      <c r="J74" s="7">
        <v>2501</v>
      </c>
      <c r="K74" s="7">
        <f t="shared" si="13"/>
        <v>175.07000000000002</v>
      </c>
      <c r="L74" s="7">
        <f t="shared" si="14"/>
        <v>2325.9299999999998</v>
      </c>
      <c r="M74" s="7">
        <v>18775</v>
      </c>
      <c r="N74" s="5" t="s">
        <v>43</v>
      </c>
      <c r="O74" s="5">
        <v>17</v>
      </c>
      <c r="P74" s="7">
        <f t="shared" si="15"/>
        <v>2926.1699999999996</v>
      </c>
      <c r="Q74" s="7">
        <f t="shared" si="16"/>
        <v>5102.0399999999954</v>
      </c>
      <c r="R74" s="7" t="str">
        <f t="shared" si="17"/>
        <v>Normal</v>
      </c>
      <c r="S74" s="5">
        <v>3</v>
      </c>
      <c r="T74" s="5">
        <v>3</v>
      </c>
      <c r="U74" s="5" t="str" cm="1">
        <f t="array" ref="U74">_xlfn.IFS(T74=1,"Poor",T74=2,"Fair",T74=3,"Good",T74=4,"Excellent")</f>
        <v>Good</v>
      </c>
      <c r="V74" s="5" t="s">
        <v>43</v>
      </c>
      <c r="W74" s="5">
        <v>1</v>
      </c>
      <c r="X74" s="28">
        <f t="shared" ca="1" si="18"/>
        <v>45746</v>
      </c>
      <c r="Y74" s="28">
        <f t="shared" ca="1" si="19"/>
        <v>46476</v>
      </c>
      <c r="Z74" s="28" t="str">
        <f t="shared" ca="1" si="20"/>
        <v>Due Soon</v>
      </c>
      <c r="AA74" s="5" t="str" cm="1">
        <f t="array" ref="AA74">_xlfn.IFS(W74&gt;10,"Veteran",W74&gt;=6,"Experienced",W74&gt;=2,"Developing",W74&gt;=0,"New")</f>
        <v>New</v>
      </c>
      <c r="AB74" s="5" t="str" cm="1">
        <f t="array" ref="AB74">_xlfn.IFS(G74=1,"Junior",G74=2,"Mid-Level",G74=3,"Senior",G74=4,"Lead",G74=5,"Principal")&amp;" "&amp;TRIM(PROPER(H74))</f>
        <v>Junior Research Scientist</v>
      </c>
      <c r="AC74" s="19" t="str">
        <f t="shared" ca="1" si="21"/>
        <v>Re-Res-2025-073 is a Junior Research Scientist in the Research &amp; Development department, aged 31, single and has been with the Company for 1years</v>
      </c>
    </row>
    <row r="75" spans="1:29">
      <c r="A75" s="18" t="str">
        <f t="shared" ca="1" si="11"/>
        <v>Re-Res-2016-074</v>
      </c>
      <c r="B75" s="5">
        <v>32</v>
      </c>
      <c r="C75" s="5" t="str">
        <f t="shared" si="12"/>
        <v>30-39</v>
      </c>
      <c r="D75" s="5" t="s">
        <v>43</v>
      </c>
      <c r="E75" s="5" t="s">
        <v>45</v>
      </c>
      <c r="F75" s="5" t="s">
        <v>46</v>
      </c>
      <c r="G75" s="5">
        <v>2</v>
      </c>
      <c r="H75" s="5" t="s">
        <v>47</v>
      </c>
      <c r="I75" s="5" t="s">
        <v>48</v>
      </c>
      <c r="J75" s="7">
        <v>6220</v>
      </c>
      <c r="K75" s="7">
        <f t="shared" si="13"/>
        <v>933</v>
      </c>
      <c r="L75" s="7">
        <f t="shared" si="14"/>
        <v>5287</v>
      </c>
      <c r="M75" s="7">
        <v>7346</v>
      </c>
      <c r="N75" s="5" t="s">
        <v>43</v>
      </c>
      <c r="O75" s="5">
        <v>17</v>
      </c>
      <c r="P75" s="7">
        <f t="shared" si="15"/>
        <v>7277.4</v>
      </c>
      <c r="Q75" s="7">
        <f t="shared" si="16"/>
        <v>12688.799999999996</v>
      </c>
      <c r="R75" s="7" t="str">
        <f t="shared" si="17"/>
        <v>Normal</v>
      </c>
      <c r="S75" s="5">
        <v>3</v>
      </c>
      <c r="T75" s="5">
        <v>3</v>
      </c>
      <c r="U75" s="5" t="str" cm="1">
        <f t="array" ref="U75">_xlfn.IFS(T75=1,"Poor",T75=2,"Fair",T75=3,"Good",T75=4,"Excellent")</f>
        <v>Good</v>
      </c>
      <c r="V75" s="5" t="s">
        <v>43</v>
      </c>
      <c r="W75" s="5">
        <v>10</v>
      </c>
      <c r="X75" s="28">
        <f t="shared" ca="1" si="18"/>
        <v>42459</v>
      </c>
      <c r="Y75" s="28">
        <f t="shared" ca="1" si="19"/>
        <v>46842</v>
      </c>
      <c r="Z75" s="28" t="str">
        <f t="shared" ca="1" si="20"/>
        <v>Upcoming</v>
      </c>
      <c r="AA75" s="5" t="str" cm="1">
        <f t="array" ref="AA75">_xlfn.IFS(W75&gt;10,"Veteran",W75&gt;=6,"Experienced",W75&gt;=2,"Developing",W75&gt;=0,"New")</f>
        <v>Experienced</v>
      </c>
      <c r="AB75" s="5" t="str" cm="1">
        <f t="array" ref="AB75">_xlfn.IFS(G75=1,"Junior",G75=2,"Mid-Level",G75=3,"Senior",G75=4,"Lead",G75=5,"Principal")&amp;" "&amp;TRIM(PROPER(H75))</f>
        <v>Mid-Level Research Scientist</v>
      </c>
      <c r="AC75" s="19" t="str">
        <f t="shared" ca="1" si="21"/>
        <v>Re-Res-2016-074 is a Mid-Level Research Scientist in the Research &amp; Development department, aged 32, married and has been with the Company for 10years</v>
      </c>
    </row>
    <row r="76" spans="1:29">
      <c r="A76" s="18" t="str">
        <f t="shared" ca="1" si="11"/>
        <v>La-Res-2025-075</v>
      </c>
      <c r="B76" s="5">
        <v>36</v>
      </c>
      <c r="C76" s="5" t="str">
        <f t="shared" si="12"/>
        <v>30-39</v>
      </c>
      <c r="D76" s="5" t="s">
        <v>43</v>
      </c>
      <c r="E76" s="5" t="s">
        <v>45</v>
      </c>
      <c r="F76" s="5" t="s">
        <v>39</v>
      </c>
      <c r="G76" s="5">
        <v>1</v>
      </c>
      <c r="H76" s="5" t="s">
        <v>50</v>
      </c>
      <c r="I76" s="5" t="s">
        <v>48</v>
      </c>
      <c r="J76" s="7">
        <v>3038</v>
      </c>
      <c r="K76" s="7">
        <f t="shared" si="13"/>
        <v>455.7</v>
      </c>
      <c r="L76" s="7">
        <f t="shared" si="14"/>
        <v>2582.3000000000002</v>
      </c>
      <c r="M76" s="7">
        <v>22002</v>
      </c>
      <c r="N76" s="5" t="s">
        <v>43</v>
      </c>
      <c r="O76" s="5">
        <v>12</v>
      </c>
      <c r="P76" s="7">
        <f t="shared" si="15"/>
        <v>3402.5600000000004</v>
      </c>
      <c r="Q76" s="7">
        <f t="shared" si="16"/>
        <v>4374.7200000000048</v>
      </c>
      <c r="R76" s="7" t="str">
        <f t="shared" si="17"/>
        <v>Normal</v>
      </c>
      <c r="S76" s="5">
        <v>3</v>
      </c>
      <c r="T76" s="5">
        <v>3</v>
      </c>
      <c r="U76" s="5" t="str" cm="1">
        <f t="array" ref="U76">_xlfn.IFS(T76=1,"Poor",T76=2,"Fair",T76=3,"Good",T76=4,"Excellent")</f>
        <v>Good</v>
      </c>
      <c r="V76" s="5" t="s">
        <v>43</v>
      </c>
      <c r="W76" s="5">
        <v>1</v>
      </c>
      <c r="X76" s="28">
        <f t="shared" ca="1" si="18"/>
        <v>45746</v>
      </c>
      <c r="Y76" s="28">
        <f t="shared" ca="1" si="19"/>
        <v>46476</v>
      </c>
      <c r="Z76" s="28" t="str">
        <f t="shared" ca="1" si="20"/>
        <v>Due Soon</v>
      </c>
      <c r="AA76" s="5" t="str" cm="1">
        <f t="array" ref="AA76">_xlfn.IFS(W76&gt;10,"Veteran",W76&gt;=6,"Experienced",W76&gt;=2,"Developing",W76&gt;=0,"New")</f>
        <v>New</v>
      </c>
      <c r="AB76" s="5" t="str" cm="1">
        <f t="array" ref="AB76">_xlfn.IFS(G76=1,"Junior",G76=2,"Mid-Level",G76=3,"Senior",G76=4,"Lead",G76=5,"Principal")&amp;" "&amp;TRIM(PROPER(H76))</f>
        <v>Junior Laboratory Technician</v>
      </c>
      <c r="AC76" s="19" t="str">
        <f t="shared" ca="1" si="21"/>
        <v>La-Res-2025-075 is a Junior Laboratory Technician in the Research &amp; Development department, aged 36, married and has been with the Company for 1years</v>
      </c>
    </row>
    <row r="77" spans="1:29">
      <c r="A77" s="18" t="str">
        <f t="shared" ca="1" si="11"/>
        <v>Ma-Res-2015-076</v>
      </c>
      <c r="B77" s="5">
        <v>31</v>
      </c>
      <c r="C77" s="5" t="str">
        <f t="shared" si="12"/>
        <v>30-39</v>
      </c>
      <c r="D77" s="5" t="s">
        <v>43</v>
      </c>
      <c r="E77" s="5" t="s">
        <v>45</v>
      </c>
      <c r="F77" s="5" t="s">
        <v>39</v>
      </c>
      <c r="G77" s="5">
        <v>2</v>
      </c>
      <c r="H77" s="5" t="s">
        <v>53</v>
      </c>
      <c r="I77" s="5" t="s">
        <v>41</v>
      </c>
      <c r="J77" s="7">
        <v>4424</v>
      </c>
      <c r="K77" s="7">
        <f t="shared" si="13"/>
        <v>663.6</v>
      </c>
      <c r="L77" s="7">
        <f t="shared" si="14"/>
        <v>3760.4</v>
      </c>
      <c r="M77" s="7">
        <v>20682</v>
      </c>
      <c r="N77" s="5" t="s">
        <v>43</v>
      </c>
      <c r="O77" s="5">
        <v>23</v>
      </c>
      <c r="P77" s="7">
        <f t="shared" si="15"/>
        <v>5441.5199999999995</v>
      </c>
      <c r="Q77" s="7">
        <f t="shared" si="16"/>
        <v>12210.239999999994</v>
      </c>
      <c r="R77" s="7" t="str">
        <f t="shared" si="17"/>
        <v>Normal</v>
      </c>
      <c r="S77" s="5">
        <v>4</v>
      </c>
      <c r="T77" s="5">
        <v>3</v>
      </c>
      <c r="U77" s="5" t="str" cm="1">
        <f t="array" ref="U77">_xlfn.IFS(T77=1,"Poor",T77=2,"Fair",T77=3,"Good",T77=4,"Excellent")</f>
        <v>Good</v>
      </c>
      <c r="V77" s="5" t="s">
        <v>43</v>
      </c>
      <c r="W77" s="5">
        <v>11</v>
      </c>
      <c r="X77" s="28">
        <f t="shared" ca="1" si="18"/>
        <v>42093</v>
      </c>
      <c r="Y77" s="28">
        <f t="shared" ca="1" si="19"/>
        <v>46476</v>
      </c>
      <c r="Z77" s="28" t="str">
        <f t="shared" ca="1" si="20"/>
        <v>Due Soon</v>
      </c>
      <c r="AA77" s="5" t="str" cm="1">
        <f t="array" ref="AA77">_xlfn.IFS(W77&gt;10,"Veteran",W77&gt;=6,"Experienced",W77&gt;=2,"Developing",W77&gt;=0,"New")</f>
        <v>Veteran</v>
      </c>
      <c r="AB77" s="5" t="str" cm="1">
        <f t="array" ref="AB77">_xlfn.IFS(G77=1,"Junior",G77=2,"Mid-Level",G77=3,"Senior",G77=4,"Lead",G77=5,"Principal")&amp;" "&amp;TRIM(PROPER(H77))</f>
        <v>Mid-Level Manufacturing Director</v>
      </c>
      <c r="AC77" s="19" t="str">
        <f t="shared" ca="1" si="21"/>
        <v>Ma-Res-2015-076 is a Mid-Level Manufacturing Director in the Research &amp; Development department, aged 31, single and has been with the Company for 11years</v>
      </c>
    </row>
    <row r="78" spans="1:29">
      <c r="A78" s="18" t="str">
        <f t="shared" ca="1" si="11"/>
        <v>Sa-Sal-2011-077</v>
      </c>
      <c r="B78" s="5">
        <v>35</v>
      </c>
      <c r="C78" s="5" t="str">
        <f t="shared" si="12"/>
        <v>30-39</v>
      </c>
      <c r="D78" s="5" t="s">
        <v>43</v>
      </c>
      <c r="E78" s="5" t="s">
        <v>37</v>
      </c>
      <c r="F78" s="5" t="s">
        <v>46</v>
      </c>
      <c r="G78" s="5">
        <v>2</v>
      </c>
      <c r="H78" s="5" t="s">
        <v>40</v>
      </c>
      <c r="I78" s="5" t="s">
        <v>41</v>
      </c>
      <c r="J78" s="7">
        <v>4312</v>
      </c>
      <c r="K78" s="7">
        <f t="shared" si="13"/>
        <v>646.79999999999995</v>
      </c>
      <c r="L78" s="7">
        <f t="shared" si="14"/>
        <v>3665.2</v>
      </c>
      <c r="M78" s="7">
        <v>23016</v>
      </c>
      <c r="N78" s="5" t="s">
        <v>43</v>
      </c>
      <c r="O78" s="5">
        <v>14</v>
      </c>
      <c r="P78" s="7">
        <f t="shared" si="15"/>
        <v>4915.68</v>
      </c>
      <c r="Q78" s="7">
        <f t="shared" si="16"/>
        <v>7244.1600000000035</v>
      </c>
      <c r="R78" s="7" t="str">
        <f t="shared" si="17"/>
        <v>Normal</v>
      </c>
      <c r="S78" s="5">
        <v>3</v>
      </c>
      <c r="T78" s="5">
        <v>3</v>
      </c>
      <c r="U78" s="5" t="str" cm="1">
        <f t="array" ref="U78">_xlfn.IFS(T78=1,"Poor",T78=2,"Fair",T78=3,"Good",T78=4,"Excellent")</f>
        <v>Good</v>
      </c>
      <c r="V78" s="5" t="s">
        <v>43</v>
      </c>
      <c r="W78" s="5">
        <v>15</v>
      </c>
      <c r="X78" s="28">
        <f t="shared" ca="1" si="18"/>
        <v>40632</v>
      </c>
      <c r="Y78" s="28">
        <f t="shared" ca="1" si="19"/>
        <v>46476</v>
      </c>
      <c r="Z78" s="28" t="str">
        <f t="shared" ca="1" si="20"/>
        <v>Due Soon</v>
      </c>
      <c r="AA78" s="5" t="str" cm="1">
        <f t="array" ref="AA78">_xlfn.IFS(W78&gt;10,"Veteran",W78&gt;=6,"Experienced",W78&gt;=2,"Developing",W78&gt;=0,"New")</f>
        <v>Veteran</v>
      </c>
      <c r="AB78" s="5" t="str" cm="1">
        <f t="array" ref="AB78">_xlfn.IFS(G78=1,"Junior",G78=2,"Mid-Level",G78=3,"Senior",G78=4,"Lead",G78=5,"Principal")&amp;" "&amp;TRIM(PROPER(H78))</f>
        <v>Mid-Level Sales Executive</v>
      </c>
      <c r="AC78" s="19" t="str">
        <f t="shared" ca="1" si="21"/>
        <v>Sa-Sal-2011-077 is a Mid-Level Sales Executive in the Sales department, aged 35, single and has been with the Company for 15years</v>
      </c>
    </row>
    <row r="79" spans="1:29">
      <c r="A79" s="18" t="str">
        <f t="shared" ca="1" si="11"/>
        <v>Re-Res-2026-078</v>
      </c>
      <c r="B79" s="5">
        <v>45</v>
      </c>
      <c r="C79" s="5" t="str">
        <f t="shared" si="12"/>
        <v>40-49</v>
      </c>
      <c r="D79" s="5" t="s">
        <v>43</v>
      </c>
      <c r="E79" s="5" t="s">
        <v>45</v>
      </c>
      <c r="F79" s="5" t="s">
        <v>46</v>
      </c>
      <c r="G79" s="5">
        <v>3</v>
      </c>
      <c r="H79" s="5" t="s">
        <v>58</v>
      </c>
      <c r="I79" s="5" t="s">
        <v>48</v>
      </c>
      <c r="J79" s="7">
        <v>13245</v>
      </c>
      <c r="K79" s="7">
        <f t="shared" si="13"/>
        <v>3973.5</v>
      </c>
      <c r="L79" s="7">
        <f t="shared" si="14"/>
        <v>9271.5</v>
      </c>
      <c r="M79" s="7">
        <v>15067</v>
      </c>
      <c r="N79" s="5" t="s">
        <v>35</v>
      </c>
      <c r="O79" s="5">
        <v>14</v>
      </c>
      <c r="P79" s="7">
        <f t="shared" si="15"/>
        <v>15099.300000000001</v>
      </c>
      <c r="Q79" s="7">
        <f t="shared" si="16"/>
        <v>22251.600000000013</v>
      </c>
      <c r="R79" s="7" t="str">
        <f t="shared" si="17"/>
        <v>Normal</v>
      </c>
      <c r="S79" s="5">
        <v>3</v>
      </c>
      <c r="T79" s="5">
        <v>4</v>
      </c>
      <c r="U79" s="5" t="str" cm="1">
        <f t="array" ref="U79">_xlfn.IFS(T79=1,"Poor",T79=2,"Fair",T79=3,"Good",T79=4,"Excellent")</f>
        <v>Excellent</v>
      </c>
      <c r="V79" s="5" t="s">
        <v>35</v>
      </c>
      <c r="W79" s="5">
        <v>0</v>
      </c>
      <c r="X79" s="28">
        <f t="shared" ca="1" si="18"/>
        <v>46111</v>
      </c>
      <c r="Y79" s="28">
        <f t="shared" ca="1" si="19"/>
        <v>46842</v>
      </c>
      <c r="Z79" s="28" t="str">
        <f t="shared" ca="1" si="20"/>
        <v>Upcoming</v>
      </c>
      <c r="AA79" s="5" t="str" cm="1">
        <f t="array" ref="AA79">_xlfn.IFS(W79&gt;10,"Veteran",W79&gt;=6,"Experienced",W79&gt;=2,"Developing",W79&gt;=0,"New")</f>
        <v>New</v>
      </c>
      <c r="AB79" s="5" t="str" cm="1">
        <f t="array" ref="AB79">_xlfn.IFS(G79=1,"Junior",G79=2,"Mid-Level",G79=3,"Senior",G79=4,"Lead",G79=5,"Principal")&amp;" "&amp;TRIM(PROPER(H79))</f>
        <v>Senior Research Director</v>
      </c>
      <c r="AC79" s="19" t="str">
        <f t="shared" ca="1" si="21"/>
        <v>Re-Res-2026-078 is a Senior Research Director in the Research &amp; Development department, aged 45, married and has been with the Company for 0years</v>
      </c>
    </row>
    <row r="80" spans="1:29">
      <c r="A80" s="18" t="str">
        <f t="shared" ca="1" si="11"/>
        <v>Re-Res-2021-079</v>
      </c>
      <c r="B80" s="5">
        <v>37</v>
      </c>
      <c r="C80" s="5" t="str">
        <f t="shared" si="12"/>
        <v>30-39</v>
      </c>
      <c r="D80" s="5" t="s">
        <v>43</v>
      </c>
      <c r="E80" s="5" t="s">
        <v>45</v>
      </c>
      <c r="F80" s="5" t="s">
        <v>46</v>
      </c>
      <c r="G80" s="5">
        <v>3</v>
      </c>
      <c r="H80" s="5" t="s">
        <v>58</v>
      </c>
      <c r="I80" s="5" t="s">
        <v>41</v>
      </c>
      <c r="J80" s="7">
        <v>13664</v>
      </c>
      <c r="K80" s="7">
        <f t="shared" si="13"/>
        <v>4099.2</v>
      </c>
      <c r="L80" s="7">
        <f t="shared" si="14"/>
        <v>9564.7999999999993</v>
      </c>
      <c r="M80" s="7">
        <v>25258</v>
      </c>
      <c r="N80" s="5" t="s">
        <v>43</v>
      </c>
      <c r="O80" s="5">
        <v>13</v>
      </c>
      <c r="P80" s="7">
        <f t="shared" si="15"/>
        <v>15440.319999999998</v>
      </c>
      <c r="Q80" s="7">
        <f t="shared" si="16"/>
        <v>21315.839999999975</v>
      </c>
      <c r="R80" s="7" t="str">
        <f t="shared" si="17"/>
        <v>Normal</v>
      </c>
      <c r="S80" s="5">
        <v>3</v>
      </c>
      <c r="T80" s="5">
        <v>4</v>
      </c>
      <c r="U80" s="5" t="str" cm="1">
        <f t="array" ref="U80">_xlfn.IFS(T80=1,"Poor",T80=2,"Fair",T80=3,"Good",T80=4,"Excellent")</f>
        <v>Excellent</v>
      </c>
      <c r="V80" s="5" t="s">
        <v>43</v>
      </c>
      <c r="W80" s="5">
        <v>5</v>
      </c>
      <c r="X80" s="28">
        <f t="shared" ca="1" si="18"/>
        <v>44285</v>
      </c>
      <c r="Y80" s="28">
        <f t="shared" ca="1" si="19"/>
        <v>46476</v>
      </c>
      <c r="Z80" s="28" t="str">
        <f t="shared" ca="1" si="20"/>
        <v>Due Soon</v>
      </c>
      <c r="AA80" s="5" t="str" cm="1">
        <f t="array" ref="AA80">_xlfn.IFS(W80&gt;10,"Veteran",W80&gt;=6,"Experienced",W80&gt;=2,"Developing",W80&gt;=0,"New")</f>
        <v>Developing</v>
      </c>
      <c r="AB80" s="5" t="str" cm="1">
        <f t="array" ref="AB80">_xlfn.IFS(G80=1,"Junior",G80=2,"Mid-Level",G80=3,"Senior",G80=4,"Lead",G80=5,"Principal")&amp;" "&amp;TRIM(PROPER(H80))</f>
        <v>Senior Research Director</v>
      </c>
      <c r="AC80" s="19" t="str">
        <f t="shared" ca="1" si="21"/>
        <v>Re-Res-2021-079 is a Senior Research Director in the Research &amp; Development department, aged 37, single and has been with the Company for 5years</v>
      </c>
    </row>
    <row r="81" spans="1:29">
      <c r="A81" s="18" t="str">
        <f t="shared" ca="1" si="11"/>
        <v>Hu-Hum-2022-080</v>
      </c>
      <c r="B81" s="5">
        <v>46</v>
      </c>
      <c r="C81" s="5" t="str">
        <f t="shared" si="12"/>
        <v>40-49</v>
      </c>
      <c r="D81" s="5" t="s">
        <v>43</v>
      </c>
      <c r="E81" s="5" t="s">
        <v>61</v>
      </c>
      <c r="F81" s="5" t="s">
        <v>46</v>
      </c>
      <c r="G81" s="5">
        <v>2</v>
      </c>
      <c r="H81" s="5" t="s">
        <v>61</v>
      </c>
      <c r="I81" s="5" t="s">
        <v>52</v>
      </c>
      <c r="J81" s="7">
        <v>5021</v>
      </c>
      <c r="K81" s="7">
        <f t="shared" si="13"/>
        <v>753.15</v>
      </c>
      <c r="L81" s="7">
        <f t="shared" si="14"/>
        <v>4267.8500000000004</v>
      </c>
      <c r="M81" s="7">
        <v>10425</v>
      </c>
      <c r="N81" s="5" t="s">
        <v>35</v>
      </c>
      <c r="O81" s="5">
        <v>22</v>
      </c>
      <c r="P81" s="7">
        <f t="shared" si="15"/>
        <v>6125.62</v>
      </c>
      <c r="Q81" s="7">
        <f t="shared" si="16"/>
        <v>13255.439999999999</v>
      </c>
      <c r="R81" s="7" t="str">
        <f t="shared" si="17"/>
        <v>Normal</v>
      </c>
      <c r="S81" s="5">
        <v>4</v>
      </c>
      <c r="T81" s="5">
        <v>3</v>
      </c>
      <c r="U81" s="5" t="str" cm="1">
        <f t="array" ref="U81">_xlfn.IFS(T81=1,"Poor",T81=2,"Fair",T81=3,"Good",T81=4,"Excellent")</f>
        <v>Good</v>
      </c>
      <c r="V81" s="5" t="s">
        <v>35</v>
      </c>
      <c r="W81" s="5">
        <v>4</v>
      </c>
      <c r="X81" s="28">
        <f t="shared" ca="1" si="18"/>
        <v>44650</v>
      </c>
      <c r="Y81" s="28">
        <f t="shared" ca="1" si="19"/>
        <v>46842</v>
      </c>
      <c r="Z81" s="28" t="str">
        <f t="shared" ca="1" si="20"/>
        <v>Upcoming</v>
      </c>
      <c r="AA81" s="5" t="str" cm="1">
        <f t="array" ref="AA81">_xlfn.IFS(W81&gt;10,"Veteran",W81&gt;=6,"Experienced",W81&gt;=2,"Developing",W81&gt;=0,"New")</f>
        <v>Developing</v>
      </c>
      <c r="AB81" s="5" t="str" cm="1">
        <f t="array" ref="AB81">_xlfn.IFS(G81=1,"Junior",G81=2,"Mid-Level",G81=3,"Senior",G81=4,"Lead",G81=5,"Principal")&amp;" "&amp;TRIM(PROPER(H81))</f>
        <v>Mid-Level Human Resources</v>
      </c>
      <c r="AC81" s="19" t="str">
        <f t="shared" ca="1" si="21"/>
        <v>Hu-Hum-2022-080 is a Mid-Level Human Resources in the Human Resources department, aged 46, divorced and has been with the Company for 4years</v>
      </c>
    </row>
    <row r="82" spans="1:29">
      <c r="A82" s="18" t="str">
        <f t="shared" ca="1" si="11"/>
        <v>La-Res-2016-081</v>
      </c>
      <c r="B82" s="5">
        <v>30</v>
      </c>
      <c r="C82" s="5" t="str">
        <f t="shared" si="12"/>
        <v>30-39</v>
      </c>
      <c r="D82" s="5" t="s">
        <v>43</v>
      </c>
      <c r="E82" s="5" t="s">
        <v>45</v>
      </c>
      <c r="F82" s="5" t="s">
        <v>46</v>
      </c>
      <c r="G82" s="5">
        <v>2</v>
      </c>
      <c r="H82" s="5" t="s">
        <v>50</v>
      </c>
      <c r="I82" s="5" t="s">
        <v>48</v>
      </c>
      <c r="J82" s="7">
        <v>5126</v>
      </c>
      <c r="K82" s="7">
        <f t="shared" si="13"/>
        <v>768.9</v>
      </c>
      <c r="L82" s="7">
        <f t="shared" si="14"/>
        <v>4357.1000000000004</v>
      </c>
      <c r="M82" s="7">
        <v>15998</v>
      </c>
      <c r="N82" s="5" t="s">
        <v>35</v>
      </c>
      <c r="O82" s="5">
        <v>12</v>
      </c>
      <c r="P82" s="7">
        <f t="shared" si="15"/>
        <v>5741.1200000000008</v>
      </c>
      <c r="Q82" s="7">
        <f t="shared" si="16"/>
        <v>7381.4400000000096</v>
      </c>
      <c r="R82" s="7" t="str">
        <f t="shared" si="17"/>
        <v>Normal</v>
      </c>
      <c r="S82" s="5">
        <v>3</v>
      </c>
      <c r="T82" s="5">
        <v>2</v>
      </c>
      <c r="U82" s="5" t="str" cm="1">
        <f t="array" ref="U82">_xlfn.IFS(T82=1,"Poor",T82=2,"Fair",T82=3,"Good",T82=4,"Excellent")</f>
        <v>Fair</v>
      </c>
      <c r="V82" s="5" t="s">
        <v>35</v>
      </c>
      <c r="W82" s="5">
        <v>10</v>
      </c>
      <c r="X82" s="28">
        <f t="shared" ca="1" si="18"/>
        <v>42459</v>
      </c>
      <c r="Y82" s="28">
        <f t="shared" ca="1" si="19"/>
        <v>46842</v>
      </c>
      <c r="Z82" s="28" t="str">
        <f t="shared" ca="1" si="20"/>
        <v>Upcoming</v>
      </c>
      <c r="AA82" s="5" t="str" cm="1">
        <f t="array" ref="AA82">_xlfn.IFS(W82&gt;10,"Veteran",W82&gt;=6,"Experienced",W82&gt;=2,"Developing",W82&gt;=0,"New")</f>
        <v>Experienced</v>
      </c>
      <c r="AB82" s="5" t="str" cm="1">
        <f t="array" ref="AB82">_xlfn.IFS(G82=1,"Junior",G82=2,"Mid-Level",G82=3,"Senior",G82=4,"Lead",G82=5,"Principal")&amp;" "&amp;TRIM(PROPER(H82))</f>
        <v>Mid-Level Laboratory Technician</v>
      </c>
      <c r="AC82" s="19" t="str">
        <f t="shared" ca="1" si="21"/>
        <v>La-Res-2016-081 is a Mid-Level Laboratory Technician in the Research &amp; Development department, aged 30, married and has been with the Company for 10years</v>
      </c>
    </row>
    <row r="83" spans="1:29">
      <c r="A83" s="18" t="str">
        <f t="shared" ca="1" si="11"/>
        <v>Re-Res-2020-082</v>
      </c>
      <c r="B83" s="5">
        <v>35</v>
      </c>
      <c r="C83" s="5" t="str">
        <f t="shared" si="12"/>
        <v>30-39</v>
      </c>
      <c r="D83" s="5" t="s">
        <v>43</v>
      </c>
      <c r="E83" s="5" t="s">
        <v>45</v>
      </c>
      <c r="F83" s="5" t="s">
        <v>46</v>
      </c>
      <c r="G83" s="5">
        <v>1</v>
      </c>
      <c r="H83" s="5" t="s">
        <v>47</v>
      </c>
      <c r="I83" s="5" t="s">
        <v>41</v>
      </c>
      <c r="J83" s="7">
        <v>2859</v>
      </c>
      <c r="K83" s="7">
        <f t="shared" si="13"/>
        <v>200.13000000000002</v>
      </c>
      <c r="L83" s="7">
        <f t="shared" si="14"/>
        <v>2658.87</v>
      </c>
      <c r="M83" s="7">
        <v>26278</v>
      </c>
      <c r="N83" s="5" t="s">
        <v>43</v>
      </c>
      <c r="O83" s="5">
        <v>18</v>
      </c>
      <c r="P83" s="7">
        <f t="shared" si="15"/>
        <v>3373.62</v>
      </c>
      <c r="Q83" s="7">
        <f t="shared" si="16"/>
        <v>6175.4399999999987</v>
      </c>
      <c r="R83" s="7" t="str">
        <f t="shared" si="17"/>
        <v>Normal</v>
      </c>
      <c r="S83" s="5">
        <v>3</v>
      </c>
      <c r="T83" s="5">
        <v>3</v>
      </c>
      <c r="U83" s="5" t="str" cm="1">
        <f t="array" ref="U83">_xlfn.IFS(T83=1,"Poor",T83=2,"Fair",T83=3,"Good",T83=4,"Excellent")</f>
        <v>Good</v>
      </c>
      <c r="V83" s="5" t="s">
        <v>43</v>
      </c>
      <c r="W83" s="5">
        <v>6</v>
      </c>
      <c r="X83" s="28">
        <f t="shared" ca="1" si="18"/>
        <v>43920</v>
      </c>
      <c r="Y83" s="28">
        <f t="shared" ca="1" si="19"/>
        <v>46842</v>
      </c>
      <c r="Z83" s="28" t="str">
        <f t="shared" ca="1" si="20"/>
        <v>Upcoming</v>
      </c>
      <c r="AA83" s="5" t="str" cm="1">
        <f t="array" ref="AA83">_xlfn.IFS(W83&gt;10,"Veteran",W83&gt;=6,"Experienced",W83&gt;=2,"Developing",W83&gt;=0,"New")</f>
        <v>Experienced</v>
      </c>
      <c r="AB83" s="5" t="str" cm="1">
        <f t="array" ref="AB83">_xlfn.IFS(G83=1,"Junior",G83=2,"Mid-Level",G83=3,"Senior",G83=4,"Lead",G83=5,"Principal")&amp;" "&amp;TRIM(PROPER(H83))</f>
        <v>Junior Research Scientist</v>
      </c>
      <c r="AC83" s="19" t="str">
        <f t="shared" ca="1" si="21"/>
        <v>Re-Res-2020-082 is a Junior Research Scientist in the Research &amp; Development department, aged 35, single and has been with the Company for 6years</v>
      </c>
    </row>
    <row r="84" spans="1:29">
      <c r="A84" s="18" t="str">
        <f t="shared" ca="1" si="11"/>
        <v>Sa-Sal-2025-083</v>
      </c>
      <c r="B84" s="5">
        <v>55</v>
      </c>
      <c r="C84" s="5" t="str">
        <f t="shared" si="12"/>
        <v>50+</v>
      </c>
      <c r="D84" s="5" t="s">
        <v>43</v>
      </c>
      <c r="E84" s="5" t="s">
        <v>37</v>
      </c>
      <c r="F84" s="5" t="s">
        <v>46</v>
      </c>
      <c r="G84" s="5">
        <v>3</v>
      </c>
      <c r="H84" s="5" t="s">
        <v>40</v>
      </c>
      <c r="I84" s="5" t="s">
        <v>48</v>
      </c>
      <c r="J84" s="7">
        <v>10239</v>
      </c>
      <c r="K84" s="7">
        <f t="shared" si="13"/>
        <v>2252.58</v>
      </c>
      <c r="L84" s="7">
        <f t="shared" si="14"/>
        <v>7986.42</v>
      </c>
      <c r="M84" s="7">
        <v>18092</v>
      </c>
      <c r="N84" s="5" t="s">
        <v>43</v>
      </c>
      <c r="O84" s="5">
        <v>14</v>
      </c>
      <c r="P84" s="7">
        <f t="shared" si="15"/>
        <v>11672.460000000001</v>
      </c>
      <c r="Q84" s="7">
        <f t="shared" si="16"/>
        <v>17201.520000000011</v>
      </c>
      <c r="R84" s="7" t="str">
        <f t="shared" si="17"/>
        <v>Normal</v>
      </c>
      <c r="S84" s="5">
        <v>3</v>
      </c>
      <c r="T84" s="5">
        <v>3</v>
      </c>
      <c r="U84" s="5" t="str" cm="1">
        <f t="array" ref="U84">_xlfn.IFS(T84=1,"Poor",T84=2,"Fair",T84=3,"Good",T84=4,"Excellent")</f>
        <v>Good</v>
      </c>
      <c r="V84" s="5" t="s">
        <v>43</v>
      </c>
      <c r="W84" s="5">
        <v>1</v>
      </c>
      <c r="X84" s="28">
        <f t="shared" ca="1" si="18"/>
        <v>45746</v>
      </c>
      <c r="Y84" s="28">
        <f t="shared" ca="1" si="19"/>
        <v>46476</v>
      </c>
      <c r="Z84" s="28" t="str">
        <f t="shared" ca="1" si="20"/>
        <v>Due Soon</v>
      </c>
      <c r="AA84" s="5" t="str" cm="1">
        <f t="array" ref="AA84">_xlfn.IFS(W84&gt;10,"Veteran",W84&gt;=6,"Experienced",W84&gt;=2,"Developing",W84&gt;=0,"New")</f>
        <v>New</v>
      </c>
      <c r="AB84" s="5" t="str" cm="1">
        <f t="array" ref="AB84">_xlfn.IFS(G84=1,"Junior",G84=2,"Mid-Level",G84=3,"Senior",G84=4,"Lead",G84=5,"Principal")&amp;" "&amp;TRIM(PROPER(H84))</f>
        <v>Senior Sales Executive</v>
      </c>
      <c r="AC84" s="19" t="str">
        <f t="shared" ca="1" si="21"/>
        <v>Sa-Sal-2025-083 is a Senior Sales Executive in the Sales department, aged 55, married and has been with the Company for 1years</v>
      </c>
    </row>
    <row r="85" spans="1:29">
      <c r="A85" s="18" t="str">
        <f t="shared" ca="1" si="11"/>
        <v>Re-Res-2013-084</v>
      </c>
      <c r="B85" s="5">
        <v>38</v>
      </c>
      <c r="C85" s="5" t="str">
        <f t="shared" si="12"/>
        <v>30-39</v>
      </c>
      <c r="D85" s="5" t="s">
        <v>43</v>
      </c>
      <c r="E85" s="5" t="s">
        <v>45</v>
      </c>
      <c r="F85" s="5" t="s">
        <v>39</v>
      </c>
      <c r="G85" s="5">
        <v>2</v>
      </c>
      <c r="H85" s="5" t="s">
        <v>47</v>
      </c>
      <c r="I85" s="5" t="s">
        <v>52</v>
      </c>
      <c r="J85" s="7">
        <v>5329</v>
      </c>
      <c r="K85" s="7">
        <f t="shared" si="13"/>
        <v>799.35</v>
      </c>
      <c r="L85" s="7">
        <f t="shared" si="14"/>
        <v>4529.6499999999996</v>
      </c>
      <c r="M85" s="7">
        <v>15717</v>
      </c>
      <c r="N85" s="5" t="s">
        <v>35</v>
      </c>
      <c r="O85" s="5">
        <v>12</v>
      </c>
      <c r="P85" s="7">
        <f t="shared" si="15"/>
        <v>5968.4800000000005</v>
      </c>
      <c r="Q85" s="7">
        <f t="shared" si="16"/>
        <v>7673.7600000000057</v>
      </c>
      <c r="R85" s="7" t="str">
        <f t="shared" si="17"/>
        <v>Normal</v>
      </c>
      <c r="S85" s="5">
        <v>3</v>
      </c>
      <c r="T85" s="5">
        <v>3</v>
      </c>
      <c r="U85" s="5" t="str" cm="1">
        <f t="array" ref="U85">_xlfn.IFS(T85=1,"Poor",T85=2,"Fair",T85=3,"Good",T85=4,"Excellent")</f>
        <v>Good</v>
      </c>
      <c r="V85" s="5" t="s">
        <v>35</v>
      </c>
      <c r="W85" s="5">
        <v>13</v>
      </c>
      <c r="X85" s="28">
        <f t="shared" ca="1" si="18"/>
        <v>41363</v>
      </c>
      <c r="Y85" s="28">
        <f t="shared" ca="1" si="19"/>
        <v>46476</v>
      </c>
      <c r="Z85" s="28" t="str">
        <f t="shared" ca="1" si="20"/>
        <v>Due Soon</v>
      </c>
      <c r="AA85" s="5" t="str" cm="1">
        <f t="array" ref="AA85">_xlfn.IFS(W85&gt;10,"Veteran",W85&gt;=6,"Experienced",W85&gt;=2,"Developing",W85&gt;=0,"New")</f>
        <v>Veteran</v>
      </c>
      <c r="AB85" s="5" t="str" cm="1">
        <f t="array" ref="AB85">_xlfn.IFS(G85=1,"Junior",G85=2,"Mid-Level",G85=3,"Senior",G85=4,"Lead",G85=5,"Principal")&amp;" "&amp;TRIM(PROPER(H85))</f>
        <v>Mid-Level Research Scientist</v>
      </c>
      <c r="AC85" s="19" t="str">
        <f t="shared" ca="1" si="21"/>
        <v>Re-Res-2013-084 is a Mid-Level Research Scientist in the Research &amp; Development department, aged 38, divorced and has been with the Company for 13years</v>
      </c>
    </row>
    <row r="86" spans="1:29">
      <c r="A86" s="18" t="str">
        <f t="shared" ca="1" si="11"/>
        <v>Ma-Res-2021-085</v>
      </c>
      <c r="B86" s="5">
        <v>34</v>
      </c>
      <c r="C86" s="5" t="str">
        <f t="shared" si="12"/>
        <v>30-39</v>
      </c>
      <c r="D86" s="5" t="s">
        <v>43</v>
      </c>
      <c r="E86" s="5" t="s">
        <v>45</v>
      </c>
      <c r="F86" s="5" t="s">
        <v>46</v>
      </c>
      <c r="G86" s="5">
        <v>2</v>
      </c>
      <c r="H86" s="5" t="s">
        <v>53</v>
      </c>
      <c r="I86" s="5" t="s">
        <v>48</v>
      </c>
      <c r="J86" s="7">
        <v>4325</v>
      </c>
      <c r="K86" s="7">
        <f t="shared" si="13"/>
        <v>648.75</v>
      </c>
      <c r="L86" s="7">
        <f t="shared" si="14"/>
        <v>3676.25</v>
      </c>
      <c r="M86" s="7">
        <v>17736</v>
      </c>
      <c r="N86" s="5" t="s">
        <v>43</v>
      </c>
      <c r="O86" s="5">
        <v>15</v>
      </c>
      <c r="P86" s="7">
        <f t="shared" si="15"/>
        <v>4973.75</v>
      </c>
      <c r="Q86" s="7">
        <f t="shared" si="16"/>
        <v>7785</v>
      </c>
      <c r="R86" s="7" t="str">
        <f t="shared" si="17"/>
        <v>Normal</v>
      </c>
      <c r="S86" s="5">
        <v>3</v>
      </c>
      <c r="T86" s="5">
        <v>3</v>
      </c>
      <c r="U86" s="5" t="str" cm="1">
        <f t="array" ref="U86">_xlfn.IFS(T86=1,"Poor",T86=2,"Fair",T86=3,"Good",T86=4,"Excellent")</f>
        <v>Good</v>
      </c>
      <c r="V86" s="5" t="s">
        <v>43</v>
      </c>
      <c r="W86" s="5">
        <v>5</v>
      </c>
      <c r="X86" s="28">
        <f t="shared" ca="1" si="18"/>
        <v>44285</v>
      </c>
      <c r="Y86" s="28">
        <f t="shared" ca="1" si="19"/>
        <v>46476</v>
      </c>
      <c r="Z86" s="28" t="str">
        <f t="shared" ca="1" si="20"/>
        <v>Due Soon</v>
      </c>
      <c r="AA86" s="5" t="str" cm="1">
        <f t="array" ref="AA86">_xlfn.IFS(W86&gt;10,"Veteran",W86&gt;=6,"Experienced",W86&gt;=2,"Developing",W86&gt;=0,"New")</f>
        <v>Developing</v>
      </c>
      <c r="AB86" s="5" t="str" cm="1">
        <f t="array" ref="AB86">_xlfn.IFS(G86=1,"Junior",G86=2,"Mid-Level",G86=3,"Senior",G86=4,"Lead",G86=5,"Principal")&amp;" "&amp;TRIM(PROPER(H86))</f>
        <v>Mid-Level Manufacturing Director</v>
      </c>
      <c r="AC86" s="19" t="str">
        <f t="shared" ca="1" si="21"/>
        <v>Ma-Res-2021-085 is a Mid-Level Manufacturing Director in the Research &amp; Development department, aged 34, married and has been with the Company for 5years</v>
      </c>
    </row>
    <row r="87" spans="1:29">
      <c r="A87" s="18" t="str">
        <f t="shared" ca="1" si="11"/>
        <v>Ma-Res-2020-086</v>
      </c>
      <c r="B87" s="5">
        <v>56</v>
      </c>
      <c r="C87" s="5" t="str">
        <f t="shared" si="12"/>
        <v>50+</v>
      </c>
      <c r="D87" s="5" t="s">
        <v>43</v>
      </c>
      <c r="E87" s="5" t="s">
        <v>45</v>
      </c>
      <c r="F87" s="5" t="s">
        <v>46</v>
      </c>
      <c r="G87" s="5">
        <v>3</v>
      </c>
      <c r="H87" s="5" t="s">
        <v>53</v>
      </c>
      <c r="I87" s="5" t="s">
        <v>41</v>
      </c>
      <c r="J87" s="7">
        <v>7260</v>
      </c>
      <c r="K87" s="7">
        <f t="shared" si="13"/>
        <v>1597.2</v>
      </c>
      <c r="L87" s="7">
        <f t="shared" si="14"/>
        <v>5662.8</v>
      </c>
      <c r="M87" s="7">
        <v>21698</v>
      </c>
      <c r="N87" s="5" t="s">
        <v>43</v>
      </c>
      <c r="O87" s="5">
        <v>11</v>
      </c>
      <c r="P87" s="7">
        <f t="shared" si="15"/>
        <v>8058.6</v>
      </c>
      <c r="Q87" s="7">
        <f t="shared" si="16"/>
        <v>9583.2000000000044</v>
      </c>
      <c r="R87" s="7" t="str">
        <f t="shared" si="17"/>
        <v>Normal</v>
      </c>
      <c r="S87" s="5">
        <v>3</v>
      </c>
      <c r="T87" s="5">
        <v>2</v>
      </c>
      <c r="U87" s="5" t="str" cm="1">
        <f t="array" ref="U87">_xlfn.IFS(T87=1,"Poor",T87=2,"Fair",T87=3,"Good",T87=4,"Excellent")</f>
        <v>Fair</v>
      </c>
      <c r="V87" s="5" t="s">
        <v>43</v>
      </c>
      <c r="W87" s="5">
        <v>6</v>
      </c>
      <c r="X87" s="28">
        <f t="shared" ca="1" si="18"/>
        <v>43920</v>
      </c>
      <c r="Y87" s="28">
        <f t="shared" ca="1" si="19"/>
        <v>46842</v>
      </c>
      <c r="Z87" s="28" t="str">
        <f t="shared" ca="1" si="20"/>
        <v>Upcoming</v>
      </c>
      <c r="AA87" s="5" t="str" cm="1">
        <f t="array" ref="AA87">_xlfn.IFS(W87&gt;10,"Veteran",W87&gt;=6,"Experienced",W87&gt;=2,"Developing",W87&gt;=0,"New")</f>
        <v>Experienced</v>
      </c>
      <c r="AB87" s="5" t="str" cm="1">
        <f t="array" ref="AB87">_xlfn.IFS(G87=1,"Junior",G87=2,"Mid-Level",G87=3,"Senior",G87=4,"Lead",G87=5,"Principal")&amp;" "&amp;TRIM(PROPER(H87))</f>
        <v>Senior Manufacturing Director</v>
      </c>
      <c r="AC87" s="19" t="str">
        <f t="shared" ca="1" si="21"/>
        <v>Ma-Res-2020-086 is a Senior Manufacturing Director in the Research &amp; Development department, aged 56, single and has been with the Company for 6years</v>
      </c>
    </row>
    <row r="88" spans="1:29">
      <c r="A88" s="18" t="str">
        <f t="shared" ca="1" si="11"/>
        <v>Sa-Sal-2026-087</v>
      </c>
      <c r="B88" s="5">
        <v>23</v>
      </c>
      <c r="C88" s="5" t="str">
        <f t="shared" si="12"/>
        <v>20-29</v>
      </c>
      <c r="D88" s="5" t="s">
        <v>43</v>
      </c>
      <c r="E88" s="5" t="s">
        <v>37</v>
      </c>
      <c r="F88" s="5" t="s">
        <v>46</v>
      </c>
      <c r="G88" s="5">
        <v>1</v>
      </c>
      <c r="H88" s="5" t="s">
        <v>57</v>
      </c>
      <c r="I88" s="5" t="s">
        <v>52</v>
      </c>
      <c r="J88" s="7">
        <v>2322</v>
      </c>
      <c r="K88" s="7">
        <f t="shared" si="13"/>
        <v>162.54000000000002</v>
      </c>
      <c r="L88" s="7">
        <f t="shared" si="14"/>
        <v>2159.46</v>
      </c>
      <c r="M88" s="7">
        <v>9518</v>
      </c>
      <c r="N88" s="5" t="s">
        <v>43</v>
      </c>
      <c r="O88" s="5">
        <v>13</v>
      </c>
      <c r="P88" s="7">
        <f t="shared" si="15"/>
        <v>2623.8599999999997</v>
      </c>
      <c r="Q88" s="7">
        <f t="shared" si="16"/>
        <v>3622.3199999999961</v>
      </c>
      <c r="R88" s="7" t="str">
        <f t="shared" si="17"/>
        <v>Normal</v>
      </c>
      <c r="S88" s="5">
        <v>3</v>
      </c>
      <c r="T88" s="5">
        <v>3</v>
      </c>
      <c r="U88" s="5" t="str" cm="1">
        <f t="array" ref="U88">_xlfn.IFS(T88=1,"Poor",T88=2,"Fair",T88=3,"Good",T88=4,"Excellent")</f>
        <v>Good</v>
      </c>
      <c r="V88" s="5" t="s">
        <v>43</v>
      </c>
      <c r="W88" s="5">
        <v>0</v>
      </c>
      <c r="X88" s="28">
        <f t="shared" ca="1" si="18"/>
        <v>46111</v>
      </c>
      <c r="Y88" s="28">
        <f t="shared" ca="1" si="19"/>
        <v>46842</v>
      </c>
      <c r="Z88" s="28" t="str">
        <f t="shared" ca="1" si="20"/>
        <v>Upcoming</v>
      </c>
      <c r="AA88" s="5" t="str" cm="1">
        <f t="array" ref="AA88">_xlfn.IFS(W88&gt;10,"Veteran",W88&gt;=6,"Experienced",W88&gt;=2,"Developing",W88&gt;=0,"New")</f>
        <v>New</v>
      </c>
      <c r="AB88" s="5" t="str" cm="1">
        <f t="array" ref="AB88">_xlfn.IFS(G88=1,"Junior",G88=2,"Mid-Level",G88=3,"Senior",G88=4,"Lead",G88=5,"Principal")&amp;" "&amp;TRIM(PROPER(H88))</f>
        <v>Junior Sales Representative</v>
      </c>
      <c r="AC88" s="19" t="str">
        <f t="shared" ca="1" si="21"/>
        <v>Sa-Sal-2026-087 is a Junior Sales Representative in the Sales department, aged 23, divorced and has been with the Company for 0years</v>
      </c>
    </row>
    <row r="89" spans="1:29">
      <c r="A89" s="18" t="str">
        <f t="shared" ca="1" si="11"/>
        <v>La-Res-2022-088</v>
      </c>
      <c r="B89" s="5">
        <v>51</v>
      </c>
      <c r="C89" s="5" t="str">
        <f t="shared" si="12"/>
        <v>50+</v>
      </c>
      <c r="D89" s="5" t="s">
        <v>43</v>
      </c>
      <c r="E89" s="5" t="s">
        <v>45</v>
      </c>
      <c r="F89" s="5" t="s">
        <v>46</v>
      </c>
      <c r="G89" s="5">
        <v>1</v>
      </c>
      <c r="H89" s="5" t="s">
        <v>50</v>
      </c>
      <c r="I89" s="5" t="s">
        <v>48</v>
      </c>
      <c r="J89" s="7">
        <v>2075</v>
      </c>
      <c r="K89" s="7">
        <f t="shared" si="13"/>
        <v>145.25</v>
      </c>
      <c r="L89" s="7">
        <f t="shared" si="14"/>
        <v>1929.75</v>
      </c>
      <c r="M89" s="7">
        <v>18725</v>
      </c>
      <c r="N89" s="5" t="s">
        <v>43</v>
      </c>
      <c r="O89" s="5">
        <v>23</v>
      </c>
      <c r="P89" s="7">
        <f t="shared" si="15"/>
        <v>2552.25</v>
      </c>
      <c r="Q89" s="7">
        <f t="shared" si="16"/>
        <v>5727</v>
      </c>
      <c r="R89" s="7" t="str">
        <f t="shared" si="17"/>
        <v>Normal</v>
      </c>
      <c r="S89" s="5">
        <v>4</v>
      </c>
      <c r="T89" s="5">
        <v>3</v>
      </c>
      <c r="U89" s="5" t="str" cm="1">
        <f t="array" ref="U89">_xlfn.IFS(T89=1,"Poor",T89=2,"Fair",T89=3,"Good",T89=4,"Excellent")</f>
        <v>Good</v>
      </c>
      <c r="V89" s="5" t="s">
        <v>43</v>
      </c>
      <c r="W89" s="5">
        <v>4</v>
      </c>
      <c r="X89" s="28">
        <f t="shared" ca="1" si="18"/>
        <v>44650</v>
      </c>
      <c r="Y89" s="28">
        <f t="shared" ca="1" si="19"/>
        <v>46842</v>
      </c>
      <c r="Z89" s="28" t="str">
        <f t="shared" ca="1" si="20"/>
        <v>Upcoming</v>
      </c>
      <c r="AA89" s="5" t="str" cm="1">
        <f t="array" ref="AA89">_xlfn.IFS(W89&gt;10,"Veteran",W89&gt;=6,"Experienced",W89&gt;=2,"Developing",W89&gt;=0,"New")</f>
        <v>Developing</v>
      </c>
      <c r="AB89" s="5" t="str" cm="1">
        <f t="array" ref="AB89">_xlfn.IFS(G89=1,"Junior",G89=2,"Mid-Level",G89=3,"Senior",G89=4,"Lead",G89=5,"Principal")&amp;" "&amp;TRIM(PROPER(H89))</f>
        <v>Junior Laboratory Technician</v>
      </c>
      <c r="AC89" s="19" t="str">
        <f t="shared" ca="1" si="21"/>
        <v>La-Res-2022-088 is a Junior Laboratory Technician in the Research &amp; Development department, aged 51, married and has been with the Company for 4years</v>
      </c>
    </row>
    <row r="90" spans="1:29">
      <c r="A90" s="18" t="str">
        <f t="shared" ca="1" si="11"/>
        <v>He-Res-2015-089</v>
      </c>
      <c r="B90" s="5">
        <v>30</v>
      </c>
      <c r="C90" s="5" t="str">
        <f t="shared" si="12"/>
        <v>30-39</v>
      </c>
      <c r="D90" s="5" t="s">
        <v>43</v>
      </c>
      <c r="E90" s="5" t="s">
        <v>45</v>
      </c>
      <c r="F90" s="5" t="s">
        <v>46</v>
      </c>
      <c r="G90" s="5">
        <v>2</v>
      </c>
      <c r="H90" s="5" t="s">
        <v>54</v>
      </c>
      <c r="I90" s="5" t="s">
        <v>48</v>
      </c>
      <c r="J90" s="7">
        <v>4152</v>
      </c>
      <c r="K90" s="7">
        <f t="shared" si="13"/>
        <v>622.79999999999995</v>
      </c>
      <c r="L90" s="7">
        <f t="shared" si="14"/>
        <v>3529.2</v>
      </c>
      <c r="M90" s="7">
        <v>15830</v>
      </c>
      <c r="N90" s="5" t="s">
        <v>43</v>
      </c>
      <c r="O90" s="5">
        <v>19</v>
      </c>
      <c r="P90" s="7">
        <f t="shared" si="15"/>
        <v>4940.88</v>
      </c>
      <c r="Q90" s="7">
        <f t="shared" si="16"/>
        <v>9466.5600000000013</v>
      </c>
      <c r="R90" s="7" t="str">
        <f t="shared" si="17"/>
        <v>Normal</v>
      </c>
      <c r="S90" s="5">
        <v>3</v>
      </c>
      <c r="T90" s="5">
        <v>3</v>
      </c>
      <c r="U90" s="5" t="str" cm="1">
        <f t="array" ref="U90">_xlfn.IFS(T90=1,"Poor",T90=2,"Fair",T90=3,"Good",T90=4,"Excellent")</f>
        <v>Good</v>
      </c>
      <c r="V90" s="5" t="s">
        <v>43</v>
      </c>
      <c r="W90" s="5">
        <v>11</v>
      </c>
      <c r="X90" s="28">
        <f t="shared" ca="1" si="18"/>
        <v>42093</v>
      </c>
      <c r="Y90" s="28">
        <f t="shared" ca="1" si="19"/>
        <v>46476</v>
      </c>
      <c r="Z90" s="28" t="str">
        <f t="shared" ca="1" si="20"/>
        <v>Due Soon</v>
      </c>
      <c r="AA90" s="5" t="str" cm="1">
        <f t="array" ref="AA90">_xlfn.IFS(W90&gt;10,"Veteran",W90&gt;=6,"Experienced",W90&gt;=2,"Developing",W90&gt;=0,"New")</f>
        <v>Veteran</v>
      </c>
      <c r="AB90" s="5" t="str" cm="1">
        <f t="array" ref="AB90">_xlfn.IFS(G90=1,"Junior",G90=2,"Mid-Level",G90=3,"Senior",G90=4,"Lead",G90=5,"Principal")&amp;" "&amp;TRIM(PROPER(H90))</f>
        <v>Mid-Level Healthcare Representative</v>
      </c>
      <c r="AC90" s="19" t="str">
        <f t="shared" ca="1" si="21"/>
        <v>He-Res-2015-089 is a Mid-Level Healthcare Representative in the Research &amp; Development department, aged 30, married and has been with the Company for 11years</v>
      </c>
    </row>
    <row r="91" spans="1:29">
      <c r="A91" s="18" t="str">
        <f t="shared" ca="1" si="11"/>
        <v>Sa-Sal-2017-090</v>
      </c>
      <c r="B91" s="5">
        <v>46</v>
      </c>
      <c r="C91" s="5" t="str">
        <f t="shared" si="12"/>
        <v>40-49</v>
      </c>
      <c r="D91" s="5" t="s">
        <v>35</v>
      </c>
      <c r="E91" s="5" t="s">
        <v>37</v>
      </c>
      <c r="F91" s="5" t="s">
        <v>46</v>
      </c>
      <c r="G91" s="5">
        <v>3</v>
      </c>
      <c r="H91" s="5" t="s">
        <v>40</v>
      </c>
      <c r="I91" s="5" t="s">
        <v>41</v>
      </c>
      <c r="J91" s="7">
        <v>9619</v>
      </c>
      <c r="K91" s="7">
        <f t="shared" si="13"/>
        <v>2116.1799999999998</v>
      </c>
      <c r="L91" s="7">
        <f t="shared" si="14"/>
        <v>7502.82</v>
      </c>
      <c r="M91" s="7">
        <v>13596</v>
      </c>
      <c r="N91" s="5" t="s">
        <v>43</v>
      </c>
      <c r="O91" s="5">
        <v>16</v>
      </c>
      <c r="P91" s="7">
        <f t="shared" si="15"/>
        <v>11158.039999999999</v>
      </c>
      <c r="Q91" s="7">
        <f t="shared" si="16"/>
        <v>18468.479999999989</v>
      </c>
      <c r="R91" s="7" t="str">
        <f t="shared" si="17"/>
        <v>Normal</v>
      </c>
      <c r="S91" s="5">
        <v>3</v>
      </c>
      <c r="T91" s="5">
        <v>3</v>
      </c>
      <c r="U91" s="5" t="str" cm="1">
        <f t="array" ref="U91">_xlfn.IFS(T91=1,"Poor",T91=2,"Fair",T91=3,"Good",T91=4,"Excellent")</f>
        <v>Good</v>
      </c>
      <c r="V91" s="5" t="s">
        <v>43</v>
      </c>
      <c r="W91" s="5">
        <v>9</v>
      </c>
      <c r="X91" s="28">
        <f t="shared" ca="1" si="18"/>
        <v>42824</v>
      </c>
      <c r="Y91" s="28">
        <f t="shared" ca="1" si="19"/>
        <v>46476</v>
      </c>
      <c r="Z91" s="28" t="str">
        <f t="shared" ca="1" si="20"/>
        <v>Due Soon</v>
      </c>
      <c r="AA91" s="5" t="str" cm="1">
        <f t="array" ref="AA91">_xlfn.IFS(W91&gt;10,"Veteran",W91&gt;=6,"Experienced",W91&gt;=2,"Developing",W91&gt;=0,"New")</f>
        <v>Experienced</v>
      </c>
      <c r="AB91" s="5" t="str" cm="1">
        <f t="array" ref="AB91">_xlfn.IFS(G91=1,"Junior",G91=2,"Mid-Level",G91=3,"Senior",G91=4,"Lead",G91=5,"Principal")&amp;" "&amp;TRIM(PROPER(H91))</f>
        <v>Senior Sales Executive</v>
      </c>
      <c r="AC91" s="19" t="str">
        <f t="shared" ca="1" si="21"/>
        <v>Sa-Sal-2017-090 is a Senior Sales Executive in the Sales department, aged 46, single and has been with the Company for 9years</v>
      </c>
    </row>
    <row r="92" spans="1:29">
      <c r="A92" s="18" t="str">
        <f t="shared" ca="1" si="11"/>
        <v>He-Res-2004-091</v>
      </c>
      <c r="B92" s="5">
        <v>40</v>
      </c>
      <c r="C92" s="5" t="str">
        <f t="shared" si="12"/>
        <v>40-49</v>
      </c>
      <c r="D92" s="5" t="s">
        <v>43</v>
      </c>
      <c r="E92" s="5" t="s">
        <v>45</v>
      </c>
      <c r="F92" s="5" t="s">
        <v>46</v>
      </c>
      <c r="G92" s="5">
        <v>4</v>
      </c>
      <c r="H92" s="5" t="s">
        <v>54</v>
      </c>
      <c r="I92" s="5" t="s">
        <v>48</v>
      </c>
      <c r="J92" s="7">
        <v>13503</v>
      </c>
      <c r="K92" s="7">
        <f t="shared" si="13"/>
        <v>4050.8999999999996</v>
      </c>
      <c r="L92" s="7">
        <f t="shared" si="14"/>
        <v>9452.1</v>
      </c>
      <c r="M92" s="7">
        <v>14115</v>
      </c>
      <c r="N92" s="5" t="s">
        <v>43</v>
      </c>
      <c r="O92" s="5">
        <v>22</v>
      </c>
      <c r="P92" s="7">
        <f t="shared" si="15"/>
        <v>16473.66</v>
      </c>
      <c r="Q92" s="7">
        <f t="shared" si="16"/>
        <v>35647.919999999998</v>
      </c>
      <c r="R92" s="7" t="str">
        <f t="shared" si="17"/>
        <v>Normal</v>
      </c>
      <c r="S92" s="5">
        <v>4</v>
      </c>
      <c r="T92" s="5">
        <v>2</v>
      </c>
      <c r="U92" s="5" t="str" cm="1">
        <f t="array" ref="U92">_xlfn.IFS(T92=1,"Poor",T92=2,"Fair",T92=3,"Good",T92=4,"Excellent")</f>
        <v>Fair</v>
      </c>
      <c r="V92" s="5" t="s">
        <v>43</v>
      </c>
      <c r="W92" s="5">
        <v>22</v>
      </c>
      <c r="X92" s="28">
        <f t="shared" ca="1" si="18"/>
        <v>38076</v>
      </c>
      <c r="Y92" s="28">
        <f t="shared" ca="1" si="19"/>
        <v>46842</v>
      </c>
      <c r="Z92" s="28" t="str">
        <f t="shared" ca="1" si="20"/>
        <v>Upcoming</v>
      </c>
      <c r="AA92" s="5" t="str" cm="1">
        <f t="array" ref="AA92">_xlfn.IFS(W92&gt;10,"Veteran",W92&gt;=6,"Experienced",W92&gt;=2,"Developing",W92&gt;=0,"New")</f>
        <v>Veteran</v>
      </c>
      <c r="AB92" s="5" t="str" cm="1">
        <f t="array" ref="AB92">_xlfn.IFS(G92=1,"Junior",G92=2,"Mid-Level",G92=3,"Senior",G92=4,"Lead",G92=5,"Principal")&amp;" "&amp;TRIM(PROPER(H92))</f>
        <v>Lead Healthcare Representative</v>
      </c>
      <c r="AC92" s="19" t="str">
        <f t="shared" ca="1" si="21"/>
        <v>He-Res-2004-091 is a Lead Healthcare Representative in the Research &amp; Development department, aged 40, married and has been with the Company for 22years</v>
      </c>
    </row>
    <row r="93" spans="1:29">
      <c r="A93" s="18" t="str">
        <f t="shared" ca="1" si="11"/>
        <v>Sa-Sal-2016-092</v>
      </c>
      <c r="B93" s="5">
        <v>51</v>
      </c>
      <c r="C93" s="5" t="str">
        <f t="shared" si="12"/>
        <v>50+</v>
      </c>
      <c r="D93" s="5" t="s">
        <v>43</v>
      </c>
      <c r="E93" s="5" t="s">
        <v>37</v>
      </c>
      <c r="F93" s="5" t="s">
        <v>46</v>
      </c>
      <c r="G93" s="5">
        <v>2</v>
      </c>
      <c r="H93" s="5" t="s">
        <v>40</v>
      </c>
      <c r="I93" s="5" t="s">
        <v>41</v>
      </c>
      <c r="J93" s="7">
        <v>5441</v>
      </c>
      <c r="K93" s="7">
        <f t="shared" si="13"/>
        <v>816.15</v>
      </c>
      <c r="L93" s="7">
        <f t="shared" si="14"/>
        <v>4624.8500000000004</v>
      </c>
      <c r="M93" s="7">
        <v>8423</v>
      </c>
      <c r="N93" s="5" t="s">
        <v>35</v>
      </c>
      <c r="O93" s="5">
        <v>22</v>
      </c>
      <c r="P93" s="7">
        <f t="shared" si="15"/>
        <v>6638.0199999999995</v>
      </c>
      <c r="Q93" s="7">
        <f t="shared" si="16"/>
        <v>14364.239999999994</v>
      </c>
      <c r="R93" s="7" t="str">
        <f t="shared" si="17"/>
        <v>Normal</v>
      </c>
      <c r="S93" s="5">
        <v>4</v>
      </c>
      <c r="T93" s="5">
        <v>1</v>
      </c>
      <c r="U93" s="5" t="str" cm="1">
        <f t="array" ref="U93">_xlfn.IFS(T93=1,"Poor",T93=2,"Fair",T93=3,"Good",T93=4,"Excellent")</f>
        <v>Poor</v>
      </c>
      <c r="V93" s="5" t="s">
        <v>35</v>
      </c>
      <c r="W93" s="5">
        <v>10</v>
      </c>
      <c r="X93" s="28">
        <f t="shared" ca="1" si="18"/>
        <v>42459</v>
      </c>
      <c r="Y93" s="28">
        <f t="shared" ca="1" si="19"/>
        <v>46842</v>
      </c>
      <c r="Z93" s="28" t="str">
        <f t="shared" ca="1" si="20"/>
        <v>Upcoming</v>
      </c>
      <c r="AA93" s="5" t="str" cm="1">
        <f t="array" ref="AA93">_xlfn.IFS(W93&gt;10,"Veteran",W93&gt;=6,"Experienced",W93&gt;=2,"Developing",W93&gt;=0,"New")</f>
        <v>Experienced</v>
      </c>
      <c r="AB93" s="5" t="str" cm="1">
        <f t="array" ref="AB93">_xlfn.IFS(G93=1,"Junior",G93=2,"Mid-Level",G93=3,"Senior",G93=4,"Lead",G93=5,"Principal")&amp;" "&amp;TRIM(PROPER(H93))</f>
        <v>Mid-Level Sales Executive</v>
      </c>
      <c r="AC93" s="19" t="str">
        <f t="shared" ca="1" si="21"/>
        <v>Sa-Sal-2016-092 is a Mid-Level Sales Executive in the Sales department, aged 51, single and has been with the Company for 10years</v>
      </c>
    </row>
    <row r="94" spans="1:29">
      <c r="A94" s="18" t="str">
        <f t="shared" ca="1" si="11"/>
        <v>Sa-Sal-2015-093</v>
      </c>
      <c r="B94" s="5">
        <v>30</v>
      </c>
      <c r="C94" s="5" t="str">
        <f t="shared" si="12"/>
        <v>30-39</v>
      </c>
      <c r="D94" s="5" t="s">
        <v>43</v>
      </c>
      <c r="E94" s="5" t="s">
        <v>37</v>
      </c>
      <c r="F94" s="5" t="s">
        <v>39</v>
      </c>
      <c r="G94" s="5">
        <v>2</v>
      </c>
      <c r="H94" s="5" t="s">
        <v>40</v>
      </c>
      <c r="I94" s="5" t="s">
        <v>52</v>
      </c>
      <c r="J94" s="7">
        <v>5209</v>
      </c>
      <c r="K94" s="7">
        <f t="shared" si="13"/>
        <v>781.35</v>
      </c>
      <c r="L94" s="7">
        <f t="shared" si="14"/>
        <v>4427.6499999999996</v>
      </c>
      <c r="M94" s="7">
        <v>19760</v>
      </c>
      <c r="N94" s="5" t="s">
        <v>35</v>
      </c>
      <c r="O94" s="5">
        <v>12</v>
      </c>
      <c r="P94" s="7">
        <f t="shared" si="15"/>
        <v>5834.0800000000008</v>
      </c>
      <c r="Q94" s="7">
        <f t="shared" si="16"/>
        <v>7500.96000000001</v>
      </c>
      <c r="R94" s="7" t="str">
        <f t="shared" si="17"/>
        <v>Normal</v>
      </c>
      <c r="S94" s="5">
        <v>3</v>
      </c>
      <c r="T94" s="5">
        <v>2</v>
      </c>
      <c r="U94" s="5" t="str" cm="1">
        <f t="array" ref="U94">_xlfn.IFS(T94=1,"Poor",T94=2,"Fair",T94=3,"Good",T94=4,"Excellent")</f>
        <v>Fair</v>
      </c>
      <c r="V94" s="5" t="s">
        <v>35</v>
      </c>
      <c r="W94" s="5">
        <v>11</v>
      </c>
      <c r="X94" s="28">
        <f t="shared" ca="1" si="18"/>
        <v>42093</v>
      </c>
      <c r="Y94" s="28">
        <f t="shared" ca="1" si="19"/>
        <v>46476</v>
      </c>
      <c r="Z94" s="28" t="str">
        <f t="shared" ca="1" si="20"/>
        <v>Due Soon</v>
      </c>
      <c r="AA94" s="5" t="str" cm="1">
        <f t="array" ref="AA94">_xlfn.IFS(W94&gt;10,"Veteran",W94&gt;=6,"Experienced",W94&gt;=2,"Developing",W94&gt;=0,"New")</f>
        <v>Veteran</v>
      </c>
      <c r="AB94" s="5" t="str" cm="1">
        <f t="array" ref="AB94">_xlfn.IFS(G94=1,"Junior",G94=2,"Mid-Level",G94=3,"Senior",G94=4,"Lead",G94=5,"Principal")&amp;" "&amp;TRIM(PROPER(H94))</f>
        <v>Mid-Level Sales Executive</v>
      </c>
      <c r="AC94" s="19" t="str">
        <f t="shared" ca="1" si="21"/>
        <v>Sa-Sal-2015-093 is a Mid-Level Sales Executive in the Sales department, aged 30, divorced and has been with the Company for 11years</v>
      </c>
    </row>
    <row r="95" spans="1:29">
      <c r="A95" s="18" t="str">
        <f t="shared" ca="1" si="11"/>
        <v>He-Res-2016-094</v>
      </c>
      <c r="B95" s="5">
        <v>46</v>
      </c>
      <c r="C95" s="5" t="str">
        <f t="shared" si="12"/>
        <v>40-49</v>
      </c>
      <c r="D95" s="5" t="s">
        <v>43</v>
      </c>
      <c r="E95" s="5" t="s">
        <v>45</v>
      </c>
      <c r="F95" s="5" t="s">
        <v>46</v>
      </c>
      <c r="G95" s="5">
        <v>3</v>
      </c>
      <c r="H95" s="5" t="s">
        <v>54</v>
      </c>
      <c r="I95" s="5" t="s">
        <v>48</v>
      </c>
      <c r="J95" s="7">
        <v>10673</v>
      </c>
      <c r="K95" s="7">
        <f t="shared" si="13"/>
        <v>2348.06</v>
      </c>
      <c r="L95" s="7">
        <f t="shared" si="14"/>
        <v>8324.94</v>
      </c>
      <c r="M95" s="7">
        <v>3142</v>
      </c>
      <c r="N95" s="5" t="s">
        <v>35</v>
      </c>
      <c r="O95" s="5">
        <v>13</v>
      </c>
      <c r="P95" s="7">
        <f t="shared" si="15"/>
        <v>12060.489999999998</v>
      </c>
      <c r="Q95" s="7">
        <f t="shared" si="16"/>
        <v>16649.879999999976</v>
      </c>
      <c r="R95" s="7" t="str">
        <f t="shared" si="17"/>
        <v>Normal</v>
      </c>
      <c r="S95" s="5">
        <v>3</v>
      </c>
      <c r="T95" s="5">
        <v>2</v>
      </c>
      <c r="U95" s="5" t="str" cm="1">
        <f t="array" ref="U95">_xlfn.IFS(T95=1,"Poor",T95=2,"Fair",T95=3,"Good",T95=4,"Excellent")</f>
        <v>Fair</v>
      </c>
      <c r="V95" s="5" t="s">
        <v>35</v>
      </c>
      <c r="W95" s="5">
        <v>10</v>
      </c>
      <c r="X95" s="28">
        <f t="shared" ca="1" si="18"/>
        <v>42459</v>
      </c>
      <c r="Y95" s="28">
        <f t="shared" ca="1" si="19"/>
        <v>46842</v>
      </c>
      <c r="Z95" s="28" t="str">
        <f t="shared" ca="1" si="20"/>
        <v>Upcoming</v>
      </c>
      <c r="AA95" s="5" t="str" cm="1">
        <f t="array" ref="AA95">_xlfn.IFS(W95&gt;10,"Veteran",W95&gt;=6,"Experienced",W95&gt;=2,"Developing",W95&gt;=0,"New")</f>
        <v>Experienced</v>
      </c>
      <c r="AB95" s="5" t="str" cm="1">
        <f t="array" ref="AB95">_xlfn.IFS(G95=1,"Junior",G95=2,"Mid-Level",G95=3,"Senior",G95=4,"Lead",G95=5,"Principal")&amp;" "&amp;TRIM(PROPER(H95))</f>
        <v>Senior Healthcare Representative</v>
      </c>
      <c r="AC95" s="19" t="str">
        <f t="shared" ca="1" si="21"/>
        <v>He-Res-2016-094 is a Senior Healthcare Representative in the Research &amp; Development department, aged 46, married and has been with the Company for 10years</v>
      </c>
    </row>
    <row r="96" spans="1:29">
      <c r="A96" s="18" t="str">
        <f t="shared" ca="1" si="11"/>
        <v>Sa-Sal-2015-095</v>
      </c>
      <c r="B96" s="5">
        <v>32</v>
      </c>
      <c r="C96" s="5" t="str">
        <f t="shared" si="12"/>
        <v>30-39</v>
      </c>
      <c r="D96" s="5" t="s">
        <v>43</v>
      </c>
      <c r="E96" s="5" t="s">
        <v>37</v>
      </c>
      <c r="F96" s="5" t="s">
        <v>46</v>
      </c>
      <c r="G96" s="5">
        <v>2</v>
      </c>
      <c r="H96" s="5" t="s">
        <v>40</v>
      </c>
      <c r="I96" s="5" t="s">
        <v>41</v>
      </c>
      <c r="J96" s="7">
        <v>5010</v>
      </c>
      <c r="K96" s="7">
        <f t="shared" si="13"/>
        <v>751.5</v>
      </c>
      <c r="L96" s="7">
        <f t="shared" si="14"/>
        <v>4258.5</v>
      </c>
      <c r="M96" s="7">
        <v>24301</v>
      </c>
      <c r="N96" s="5" t="s">
        <v>43</v>
      </c>
      <c r="O96" s="5">
        <v>16</v>
      </c>
      <c r="P96" s="7">
        <f t="shared" si="15"/>
        <v>5811.5999999999995</v>
      </c>
      <c r="Q96" s="7">
        <f t="shared" si="16"/>
        <v>9619.1999999999935</v>
      </c>
      <c r="R96" s="7" t="str">
        <f t="shared" si="17"/>
        <v>Normal</v>
      </c>
      <c r="S96" s="5">
        <v>3</v>
      </c>
      <c r="T96" s="5">
        <v>3</v>
      </c>
      <c r="U96" s="5" t="str" cm="1">
        <f t="array" ref="U96">_xlfn.IFS(T96=1,"Poor",T96=2,"Fair",T96=3,"Good",T96=4,"Excellent")</f>
        <v>Good</v>
      </c>
      <c r="V96" s="5" t="s">
        <v>43</v>
      </c>
      <c r="W96" s="5">
        <v>11</v>
      </c>
      <c r="X96" s="28">
        <f t="shared" ca="1" si="18"/>
        <v>42093</v>
      </c>
      <c r="Y96" s="28">
        <f t="shared" ca="1" si="19"/>
        <v>46476</v>
      </c>
      <c r="Z96" s="28" t="str">
        <f t="shared" ca="1" si="20"/>
        <v>Due Soon</v>
      </c>
      <c r="AA96" s="5" t="str" cm="1">
        <f t="array" ref="AA96">_xlfn.IFS(W96&gt;10,"Veteran",W96&gt;=6,"Experienced",W96&gt;=2,"Developing",W96&gt;=0,"New")</f>
        <v>Veteran</v>
      </c>
      <c r="AB96" s="5" t="str" cm="1">
        <f t="array" ref="AB96">_xlfn.IFS(G96=1,"Junior",G96=2,"Mid-Level",G96=3,"Senior",G96=4,"Lead",G96=5,"Principal")&amp;" "&amp;TRIM(PROPER(H96))</f>
        <v>Mid-Level Sales Executive</v>
      </c>
      <c r="AC96" s="19" t="str">
        <f t="shared" ca="1" si="21"/>
        <v>Sa-Sal-2015-095 is a Mid-Level Sales Executive in the Sales department, aged 32, single and has been with the Company for 11years</v>
      </c>
    </row>
    <row r="97" spans="1:29">
      <c r="A97" s="18" t="str">
        <f t="shared" ca="1" si="11"/>
        <v>Re-Res-2022-096</v>
      </c>
      <c r="B97" s="5">
        <v>54</v>
      </c>
      <c r="C97" s="5" t="str">
        <f t="shared" si="12"/>
        <v>50+</v>
      </c>
      <c r="D97" s="5" t="s">
        <v>43</v>
      </c>
      <c r="E97" s="5" t="s">
        <v>45</v>
      </c>
      <c r="F97" s="5" t="s">
        <v>39</v>
      </c>
      <c r="G97" s="5">
        <v>3</v>
      </c>
      <c r="H97" s="5" t="s">
        <v>58</v>
      </c>
      <c r="I97" s="5" t="s">
        <v>48</v>
      </c>
      <c r="J97" s="7">
        <v>13549</v>
      </c>
      <c r="K97" s="7">
        <f t="shared" si="13"/>
        <v>4064.7</v>
      </c>
      <c r="L97" s="7">
        <f t="shared" si="14"/>
        <v>9484.2999999999993</v>
      </c>
      <c r="M97" s="7">
        <v>24001</v>
      </c>
      <c r="N97" s="5" t="s">
        <v>43</v>
      </c>
      <c r="O97" s="5">
        <v>12</v>
      </c>
      <c r="P97" s="7">
        <f t="shared" si="15"/>
        <v>15174.880000000001</v>
      </c>
      <c r="Q97" s="7">
        <f t="shared" si="16"/>
        <v>19510.560000000012</v>
      </c>
      <c r="R97" s="7" t="str">
        <f t="shared" si="17"/>
        <v>Normal</v>
      </c>
      <c r="S97" s="5">
        <v>3</v>
      </c>
      <c r="T97" s="5">
        <v>1</v>
      </c>
      <c r="U97" s="5" t="str" cm="1">
        <f t="array" ref="U97">_xlfn.IFS(T97=1,"Poor",T97=2,"Fair",T97=3,"Good",T97=4,"Excellent")</f>
        <v>Poor</v>
      </c>
      <c r="V97" s="5" t="s">
        <v>43</v>
      </c>
      <c r="W97" s="5">
        <v>4</v>
      </c>
      <c r="X97" s="28">
        <f t="shared" ca="1" si="18"/>
        <v>44650</v>
      </c>
      <c r="Y97" s="28">
        <f t="shared" ca="1" si="19"/>
        <v>46842</v>
      </c>
      <c r="Z97" s="28" t="str">
        <f t="shared" ca="1" si="20"/>
        <v>Upcoming</v>
      </c>
      <c r="AA97" s="5" t="str" cm="1">
        <f t="array" ref="AA97">_xlfn.IFS(W97&gt;10,"Veteran",W97&gt;=6,"Experienced",W97&gt;=2,"Developing",W97&gt;=0,"New")</f>
        <v>Developing</v>
      </c>
      <c r="AB97" s="5" t="str" cm="1">
        <f t="array" ref="AB97">_xlfn.IFS(G97=1,"Junior",G97=2,"Mid-Level",G97=3,"Senior",G97=4,"Lead",G97=5,"Principal")&amp;" "&amp;TRIM(PROPER(H97))</f>
        <v>Senior Research Director</v>
      </c>
      <c r="AC97" s="19" t="str">
        <f t="shared" ca="1" si="21"/>
        <v>Re-Res-2022-096 is a Senior Research Director in the Research &amp; Development department, aged 54, married and has been with the Company for 4years</v>
      </c>
    </row>
    <row r="98" spans="1:29">
      <c r="A98" s="18" t="str">
        <f t="shared" ca="1" si="11"/>
        <v>Sa-Sal-2023-097</v>
      </c>
      <c r="B98" s="5">
        <v>24</v>
      </c>
      <c r="C98" s="5" t="str">
        <f t="shared" si="12"/>
        <v>20-29</v>
      </c>
      <c r="D98" s="5" t="s">
        <v>43</v>
      </c>
      <c r="E98" s="5" t="s">
        <v>37</v>
      </c>
      <c r="F98" s="5" t="s">
        <v>39</v>
      </c>
      <c r="G98" s="5">
        <v>2</v>
      </c>
      <c r="H98" s="5" t="s">
        <v>40</v>
      </c>
      <c r="I98" s="5" t="s">
        <v>48</v>
      </c>
      <c r="J98" s="7">
        <v>4999</v>
      </c>
      <c r="K98" s="7">
        <f t="shared" si="13"/>
        <v>749.85</v>
      </c>
      <c r="L98" s="7">
        <f t="shared" si="14"/>
        <v>4249.1499999999996</v>
      </c>
      <c r="M98" s="7">
        <v>17519</v>
      </c>
      <c r="N98" s="5" t="s">
        <v>43</v>
      </c>
      <c r="O98" s="5">
        <v>21</v>
      </c>
      <c r="P98" s="7">
        <f t="shared" si="15"/>
        <v>6048.79</v>
      </c>
      <c r="Q98" s="7">
        <f t="shared" si="16"/>
        <v>12597.48</v>
      </c>
      <c r="R98" s="7" t="str">
        <f t="shared" si="17"/>
        <v>Normal</v>
      </c>
      <c r="S98" s="5">
        <v>4</v>
      </c>
      <c r="T98" s="5">
        <v>2</v>
      </c>
      <c r="U98" s="5" t="str" cm="1">
        <f t="array" ref="U98">_xlfn.IFS(T98=1,"Poor",T98=2,"Fair",T98=3,"Good",T98=4,"Excellent")</f>
        <v>Fair</v>
      </c>
      <c r="V98" s="5" t="s">
        <v>43</v>
      </c>
      <c r="W98" s="5">
        <v>3</v>
      </c>
      <c r="X98" s="28">
        <f t="shared" ca="1" si="18"/>
        <v>45015</v>
      </c>
      <c r="Y98" s="28">
        <f t="shared" ca="1" si="19"/>
        <v>46476</v>
      </c>
      <c r="Z98" s="28" t="str">
        <f t="shared" ca="1" si="20"/>
        <v>Due Soon</v>
      </c>
      <c r="AA98" s="5" t="str" cm="1">
        <f t="array" ref="AA98">_xlfn.IFS(W98&gt;10,"Veteran",W98&gt;=6,"Experienced",W98&gt;=2,"Developing",W98&gt;=0,"New")</f>
        <v>Developing</v>
      </c>
      <c r="AB98" s="5" t="str" cm="1">
        <f t="array" ref="AB98">_xlfn.IFS(G98=1,"Junior",G98=2,"Mid-Level",G98=3,"Senior",G98=4,"Lead",G98=5,"Principal")&amp;" "&amp;TRIM(PROPER(H98))</f>
        <v>Mid-Level Sales Executive</v>
      </c>
      <c r="AC98" s="19" t="str">
        <f t="shared" ca="1" si="21"/>
        <v>Sa-Sal-2023-097 is a Mid-Level Sales Executive in the Sales department, aged 24, married and has been with the Company for 3years</v>
      </c>
    </row>
    <row r="99" spans="1:29">
      <c r="A99" s="18" t="str">
        <f t="shared" ca="1" si="11"/>
        <v>Sa-Sal-2021-098</v>
      </c>
      <c r="B99" s="5">
        <v>28</v>
      </c>
      <c r="C99" s="5" t="str">
        <f t="shared" si="12"/>
        <v>20-29</v>
      </c>
      <c r="D99" s="5" t="s">
        <v>43</v>
      </c>
      <c r="E99" s="5" t="s">
        <v>37</v>
      </c>
      <c r="F99" s="5" t="s">
        <v>46</v>
      </c>
      <c r="G99" s="5">
        <v>2</v>
      </c>
      <c r="H99" s="5" t="s">
        <v>40</v>
      </c>
      <c r="I99" s="5" t="s">
        <v>48</v>
      </c>
      <c r="J99" s="7">
        <v>4221</v>
      </c>
      <c r="K99" s="7">
        <f t="shared" si="13"/>
        <v>633.15</v>
      </c>
      <c r="L99" s="7">
        <f t="shared" si="14"/>
        <v>3587.85</v>
      </c>
      <c r="M99" s="7">
        <v>8863</v>
      </c>
      <c r="N99" s="5" t="s">
        <v>43</v>
      </c>
      <c r="O99" s="5">
        <v>15</v>
      </c>
      <c r="P99" s="7">
        <f t="shared" si="15"/>
        <v>4854.1499999999996</v>
      </c>
      <c r="Q99" s="7">
        <f t="shared" si="16"/>
        <v>7597.7999999999956</v>
      </c>
      <c r="R99" s="7" t="str">
        <f t="shared" si="17"/>
        <v>Normal</v>
      </c>
      <c r="S99" s="5">
        <v>3</v>
      </c>
      <c r="T99" s="5">
        <v>4</v>
      </c>
      <c r="U99" s="5" t="str" cm="1">
        <f t="array" ref="U99">_xlfn.IFS(T99=1,"Poor",T99=2,"Fair",T99=3,"Good",T99=4,"Excellent")</f>
        <v>Excellent</v>
      </c>
      <c r="V99" s="5" t="s">
        <v>43</v>
      </c>
      <c r="W99" s="5">
        <v>5</v>
      </c>
      <c r="X99" s="28">
        <f t="shared" ca="1" si="18"/>
        <v>44285</v>
      </c>
      <c r="Y99" s="28">
        <f t="shared" ca="1" si="19"/>
        <v>46476</v>
      </c>
      <c r="Z99" s="28" t="str">
        <f t="shared" ca="1" si="20"/>
        <v>Due Soon</v>
      </c>
      <c r="AA99" s="5" t="str" cm="1">
        <f t="array" ref="AA99">_xlfn.IFS(W99&gt;10,"Veteran",W99&gt;=6,"Experienced",W99&gt;=2,"Developing",W99&gt;=0,"New")</f>
        <v>Developing</v>
      </c>
      <c r="AB99" s="5" t="str" cm="1">
        <f t="array" ref="AB99">_xlfn.IFS(G99=1,"Junior",G99=2,"Mid-Level",G99=3,"Senior",G99=4,"Lead",G99=5,"Principal")&amp;" "&amp;TRIM(PROPER(H99))</f>
        <v>Mid-Level Sales Executive</v>
      </c>
      <c r="AC99" s="19" t="str">
        <f t="shared" ca="1" si="21"/>
        <v>Sa-Sal-2021-098 is a Mid-Level Sales Executive in the Sales department, aged 28, married and has been with the Company for 5years</v>
      </c>
    </row>
    <row r="100" spans="1:29">
      <c r="A100" s="18" t="str">
        <f t="shared" ca="1" si="11"/>
        <v>Sa-Sal-1989-099</v>
      </c>
      <c r="B100" s="5">
        <v>58</v>
      </c>
      <c r="C100" s="5" t="str">
        <f t="shared" si="12"/>
        <v>50+</v>
      </c>
      <c r="D100" s="5" t="s">
        <v>43</v>
      </c>
      <c r="E100" s="5" t="s">
        <v>37</v>
      </c>
      <c r="F100" s="5" t="s">
        <v>46</v>
      </c>
      <c r="G100" s="5">
        <v>4</v>
      </c>
      <c r="H100" s="5" t="s">
        <v>40</v>
      </c>
      <c r="I100" s="5" t="s">
        <v>41</v>
      </c>
      <c r="J100" s="7">
        <v>13872</v>
      </c>
      <c r="K100" s="7">
        <f t="shared" si="13"/>
        <v>4161.5999999999995</v>
      </c>
      <c r="L100" s="7">
        <f t="shared" si="14"/>
        <v>9710.4000000000015</v>
      </c>
      <c r="M100" s="7">
        <v>24409</v>
      </c>
      <c r="N100" s="5" t="s">
        <v>43</v>
      </c>
      <c r="O100" s="5">
        <v>13</v>
      </c>
      <c r="P100" s="7">
        <f t="shared" si="15"/>
        <v>15675.359999999999</v>
      </c>
      <c r="Q100" s="7">
        <f t="shared" si="16"/>
        <v>21640.319999999985</v>
      </c>
      <c r="R100" s="7" t="str">
        <f t="shared" si="17"/>
        <v>Normal</v>
      </c>
      <c r="S100" s="5">
        <v>3</v>
      </c>
      <c r="T100" s="5">
        <v>2</v>
      </c>
      <c r="U100" s="5" t="str" cm="1">
        <f t="array" ref="U100">_xlfn.IFS(T100=1,"Poor",T100=2,"Fair",T100=3,"Good",T100=4,"Excellent")</f>
        <v>Fair</v>
      </c>
      <c r="V100" s="5" t="s">
        <v>43</v>
      </c>
      <c r="W100" s="5">
        <v>37</v>
      </c>
      <c r="X100" s="28">
        <f t="shared" ca="1" si="18"/>
        <v>32597</v>
      </c>
      <c r="Y100" s="28">
        <f t="shared" ca="1" si="19"/>
        <v>46476</v>
      </c>
      <c r="Z100" s="28" t="str">
        <f t="shared" ca="1" si="20"/>
        <v>Due Soon</v>
      </c>
      <c r="AA100" s="5" t="str" cm="1">
        <f t="array" ref="AA100">_xlfn.IFS(W100&gt;10,"Veteran",W100&gt;=6,"Experienced",W100&gt;=2,"Developing",W100&gt;=0,"New")</f>
        <v>Veteran</v>
      </c>
      <c r="AB100" s="5" t="str" cm="1">
        <f t="array" ref="AB100">_xlfn.IFS(G100=1,"Junior",G100=2,"Mid-Level",G100=3,"Senior",G100=4,"Lead",G100=5,"Principal")&amp;" "&amp;TRIM(PROPER(H100))</f>
        <v>Lead Sales Executive</v>
      </c>
      <c r="AC100" s="19" t="str">
        <f t="shared" ca="1" si="21"/>
        <v>Sa-Sal-1989-099 is a Lead Sales Executive in the Sales department, aged 58, single and has been with the Company for 37years</v>
      </c>
    </row>
    <row r="101" spans="1:29">
      <c r="A101" s="18" t="str">
        <f t="shared" ca="1" si="11"/>
        <v>La-Res-2023-100</v>
      </c>
      <c r="B101" s="5">
        <v>44</v>
      </c>
      <c r="C101" s="5" t="str">
        <f t="shared" si="12"/>
        <v>40-49</v>
      </c>
      <c r="D101" s="5" t="s">
        <v>43</v>
      </c>
      <c r="E101" s="5" t="s">
        <v>45</v>
      </c>
      <c r="F101" s="5" t="s">
        <v>46</v>
      </c>
      <c r="G101" s="5">
        <v>2</v>
      </c>
      <c r="H101" s="5" t="s">
        <v>50</v>
      </c>
      <c r="I101" s="5" t="s">
        <v>48</v>
      </c>
      <c r="J101" s="7">
        <v>2042</v>
      </c>
      <c r="K101" s="7">
        <f t="shared" si="13"/>
        <v>142.94000000000003</v>
      </c>
      <c r="L101" s="7">
        <f t="shared" si="14"/>
        <v>1899.06</v>
      </c>
      <c r="M101" s="7">
        <v>25043</v>
      </c>
      <c r="N101" s="5" t="s">
        <v>43</v>
      </c>
      <c r="O101" s="5">
        <v>12</v>
      </c>
      <c r="P101" s="7">
        <f t="shared" si="15"/>
        <v>2287.0400000000004</v>
      </c>
      <c r="Q101" s="7">
        <f t="shared" si="16"/>
        <v>2940.480000000005</v>
      </c>
      <c r="R101" s="7" t="str">
        <f t="shared" si="17"/>
        <v>Normal</v>
      </c>
      <c r="S101" s="5">
        <v>3</v>
      </c>
      <c r="T101" s="5">
        <v>4</v>
      </c>
      <c r="U101" s="5" t="str" cm="1">
        <f t="array" ref="U101">_xlfn.IFS(T101=1,"Poor",T101=2,"Fair",T101=3,"Good",T101=4,"Excellent")</f>
        <v>Excellent</v>
      </c>
      <c r="V101" s="5" t="s">
        <v>43</v>
      </c>
      <c r="W101" s="5">
        <v>3</v>
      </c>
      <c r="X101" s="28">
        <f t="shared" ca="1" si="18"/>
        <v>45015</v>
      </c>
      <c r="Y101" s="28">
        <f t="shared" ca="1" si="19"/>
        <v>46476</v>
      </c>
      <c r="Z101" s="28" t="str">
        <f t="shared" ca="1" si="20"/>
        <v>Due Soon</v>
      </c>
      <c r="AA101" s="5" t="str" cm="1">
        <f t="array" ref="AA101">_xlfn.IFS(W101&gt;10,"Veteran",W101&gt;=6,"Experienced",W101&gt;=2,"Developing",W101&gt;=0,"New")</f>
        <v>Developing</v>
      </c>
      <c r="AB101" s="5" t="str" cm="1">
        <f t="array" ref="AB101">_xlfn.IFS(G101=1,"Junior",G101=2,"Mid-Level",G101=3,"Senior",G101=4,"Lead",G101=5,"Principal")&amp;" "&amp;TRIM(PROPER(H101))</f>
        <v>Mid-Level Laboratory Technician</v>
      </c>
      <c r="AC101" s="19" t="str">
        <f t="shared" ca="1" si="21"/>
        <v>La-Res-2023-100 is a Mid-Level Laboratory Technician in the Research &amp; Development department, aged 44, married and has been with the Company for 3years</v>
      </c>
    </row>
    <row r="102" spans="1:29">
      <c r="A102" s="18" t="str">
        <f t="shared" ca="1" si="11"/>
        <v>Hu-Hum-2023-101</v>
      </c>
      <c r="B102" s="5">
        <v>37</v>
      </c>
      <c r="C102" s="5" t="str">
        <f t="shared" si="12"/>
        <v>30-39</v>
      </c>
      <c r="D102" s="5" t="s">
        <v>35</v>
      </c>
      <c r="E102" s="5" t="s">
        <v>61</v>
      </c>
      <c r="F102" s="5" t="s">
        <v>46</v>
      </c>
      <c r="G102" s="5">
        <v>1</v>
      </c>
      <c r="H102" s="5" t="s">
        <v>61</v>
      </c>
      <c r="I102" s="5" t="s">
        <v>52</v>
      </c>
      <c r="J102" s="7">
        <v>2073</v>
      </c>
      <c r="K102" s="7">
        <f t="shared" si="13"/>
        <v>145.11000000000001</v>
      </c>
      <c r="L102" s="7">
        <f t="shared" si="14"/>
        <v>1927.8899999999999</v>
      </c>
      <c r="M102" s="7">
        <v>23648</v>
      </c>
      <c r="N102" s="5" t="s">
        <v>35</v>
      </c>
      <c r="O102" s="5">
        <v>22</v>
      </c>
      <c r="P102" s="7">
        <f t="shared" si="15"/>
        <v>2529.06</v>
      </c>
      <c r="Q102" s="7">
        <f t="shared" si="16"/>
        <v>5472.7199999999993</v>
      </c>
      <c r="R102" s="7" t="str">
        <f t="shared" si="17"/>
        <v>Normal</v>
      </c>
      <c r="S102" s="5">
        <v>4</v>
      </c>
      <c r="T102" s="5">
        <v>3</v>
      </c>
      <c r="U102" s="5" t="str" cm="1">
        <f t="array" ref="U102">_xlfn.IFS(T102=1,"Poor",T102=2,"Fair",T102=3,"Good",T102=4,"Excellent")</f>
        <v>Good</v>
      </c>
      <c r="V102" s="5" t="s">
        <v>35</v>
      </c>
      <c r="W102" s="5">
        <v>3</v>
      </c>
      <c r="X102" s="28">
        <f t="shared" ca="1" si="18"/>
        <v>45015</v>
      </c>
      <c r="Y102" s="28">
        <f t="shared" ca="1" si="19"/>
        <v>46476</v>
      </c>
      <c r="Z102" s="28" t="str">
        <f t="shared" ca="1" si="20"/>
        <v>Due Soon</v>
      </c>
      <c r="AA102" s="5" t="str" cm="1">
        <f t="array" ref="AA102">_xlfn.IFS(W102&gt;10,"Veteran",W102&gt;=6,"Experienced",W102&gt;=2,"Developing",W102&gt;=0,"New")</f>
        <v>Developing</v>
      </c>
      <c r="AB102" s="5" t="str" cm="1">
        <f t="array" ref="AB102">_xlfn.IFS(G102=1,"Junior",G102=2,"Mid-Level",G102=3,"Senior",G102=4,"Lead",G102=5,"Principal")&amp;" "&amp;TRIM(PROPER(H102))</f>
        <v>Junior Human Resources</v>
      </c>
      <c r="AC102" s="19" t="str">
        <f t="shared" ca="1" si="21"/>
        <v>Hu-Hum-2023-101 is a Junior Human Resources in the Human Resources department, aged 37, divorced and has been with the Company for 3years</v>
      </c>
    </row>
    <row r="103" spans="1:29">
      <c r="A103" s="18" t="str">
        <f t="shared" ca="1" si="11"/>
        <v>Re-Res-2025-102</v>
      </c>
      <c r="B103" s="5">
        <v>32</v>
      </c>
      <c r="C103" s="5" t="str">
        <f t="shared" si="12"/>
        <v>30-39</v>
      </c>
      <c r="D103" s="5" t="s">
        <v>43</v>
      </c>
      <c r="E103" s="5" t="s">
        <v>45</v>
      </c>
      <c r="F103" s="5" t="s">
        <v>46</v>
      </c>
      <c r="G103" s="5">
        <v>1</v>
      </c>
      <c r="H103" s="5" t="s">
        <v>47</v>
      </c>
      <c r="I103" s="5" t="s">
        <v>41</v>
      </c>
      <c r="J103" s="7">
        <v>2956</v>
      </c>
      <c r="K103" s="7">
        <f t="shared" si="13"/>
        <v>206.92000000000002</v>
      </c>
      <c r="L103" s="7">
        <f t="shared" si="14"/>
        <v>2749.08</v>
      </c>
      <c r="M103" s="7">
        <v>15178</v>
      </c>
      <c r="N103" s="5" t="s">
        <v>43</v>
      </c>
      <c r="O103" s="5">
        <v>13</v>
      </c>
      <c r="P103" s="7">
        <f t="shared" si="15"/>
        <v>3340.2799999999997</v>
      </c>
      <c r="Q103" s="7">
        <f t="shared" si="16"/>
        <v>4611.3599999999969</v>
      </c>
      <c r="R103" s="7" t="str">
        <f t="shared" si="17"/>
        <v>Normal</v>
      </c>
      <c r="S103" s="5">
        <v>3</v>
      </c>
      <c r="T103" s="5">
        <v>3</v>
      </c>
      <c r="U103" s="5" t="str" cm="1">
        <f t="array" ref="U103">_xlfn.IFS(T103=1,"Poor",T103=2,"Fair",T103=3,"Good",T103=4,"Excellent")</f>
        <v>Good</v>
      </c>
      <c r="V103" s="5" t="s">
        <v>43</v>
      </c>
      <c r="W103" s="5">
        <v>1</v>
      </c>
      <c r="X103" s="28">
        <f t="shared" ca="1" si="18"/>
        <v>45746</v>
      </c>
      <c r="Y103" s="28">
        <f t="shared" ca="1" si="19"/>
        <v>46476</v>
      </c>
      <c r="Z103" s="28" t="str">
        <f t="shared" ca="1" si="20"/>
        <v>Due Soon</v>
      </c>
      <c r="AA103" s="5" t="str" cm="1">
        <f t="array" ref="AA103">_xlfn.IFS(W103&gt;10,"Veteran",W103&gt;=6,"Experienced",W103&gt;=2,"Developing",W103&gt;=0,"New")</f>
        <v>New</v>
      </c>
      <c r="AB103" s="5" t="str" cm="1">
        <f t="array" ref="AB103">_xlfn.IFS(G103=1,"Junior",G103=2,"Mid-Level",G103=3,"Senior",G103=4,"Lead",G103=5,"Principal")&amp;" "&amp;TRIM(PROPER(H103))</f>
        <v>Junior Research Scientist</v>
      </c>
      <c r="AC103" s="19" t="str">
        <f t="shared" ca="1" si="21"/>
        <v>Re-Res-2025-102 is a Junior Research Scientist in the Research &amp; Development department, aged 32, single and has been with the Company for 1years</v>
      </c>
    </row>
    <row r="104" spans="1:29">
      <c r="A104" s="18" t="str">
        <f t="shared" ca="1" si="11"/>
        <v>La-Res-2025-103</v>
      </c>
      <c r="B104" s="5">
        <v>20</v>
      </c>
      <c r="C104" s="5" t="str">
        <f t="shared" si="12"/>
        <v>20-29</v>
      </c>
      <c r="D104" s="5" t="s">
        <v>35</v>
      </c>
      <c r="E104" s="5" t="s">
        <v>45</v>
      </c>
      <c r="F104" s="5" t="s">
        <v>39</v>
      </c>
      <c r="G104" s="5">
        <v>1</v>
      </c>
      <c r="H104" s="5" t="s">
        <v>50</v>
      </c>
      <c r="I104" s="5" t="s">
        <v>41</v>
      </c>
      <c r="J104" s="7">
        <v>2926</v>
      </c>
      <c r="K104" s="7">
        <f t="shared" si="13"/>
        <v>204.82000000000002</v>
      </c>
      <c r="L104" s="7">
        <f t="shared" si="14"/>
        <v>2721.18</v>
      </c>
      <c r="M104" s="7">
        <v>19783</v>
      </c>
      <c r="N104" s="5" t="s">
        <v>35</v>
      </c>
      <c r="O104" s="5">
        <v>18</v>
      </c>
      <c r="P104" s="7">
        <f t="shared" si="15"/>
        <v>3452.68</v>
      </c>
      <c r="Q104" s="7">
        <f t="shared" si="16"/>
        <v>6320.159999999998</v>
      </c>
      <c r="R104" s="7" t="str">
        <f t="shared" si="17"/>
        <v>Normal</v>
      </c>
      <c r="S104" s="5">
        <v>3</v>
      </c>
      <c r="T104" s="5">
        <v>3</v>
      </c>
      <c r="U104" s="5" t="str" cm="1">
        <f t="array" ref="U104">_xlfn.IFS(T104=1,"Poor",T104=2,"Fair",T104=3,"Good",T104=4,"Excellent")</f>
        <v>Good</v>
      </c>
      <c r="V104" s="5" t="s">
        <v>35</v>
      </c>
      <c r="W104" s="5">
        <v>1</v>
      </c>
      <c r="X104" s="28">
        <f t="shared" ca="1" si="18"/>
        <v>45746</v>
      </c>
      <c r="Y104" s="28">
        <f t="shared" ca="1" si="19"/>
        <v>46476</v>
      </c>
      <c r="Z104" s="28" t="str">
        <f t="shared" ca="1" si="20"/>
        <v>Due Soon</v>
      </c>
      <c r="AA104" s="5" t="str" cm="1">
        <f t="array" ref="AA104">_xlfn.IFS(W104&gt;10,"Veteran",W104&gt;=6,"Experienced",W104&gt;=2,"Developing",W104&gt;=0,"New")</f>
        <v>New</v>
      </c>
      <c r="AB104" s="5" t="str" cm="1">
        <f t="array" ref="AB104">_xlfn.IFS(G104=1,"Junior",G104=2,"Mid-Level",G104=3,"Senior",G104=4,"Lead",G104=5,"Principal")&amp;" "&amp;TRIM(PROPER(H104))</f>
        <v>Junior Laboratory Technician</v>
      </c>
      <c r="AC104" s="19" t="str">
        <f t="shared" ca="1" si="21"/>
        <v>La-Res-2025-103 is a Junior Laboratory Technician in the Research &amp; Development department, aged 20, single and has been with the Company for 1years</v>
      </c>
    </row>
    <row r="105" spans="1:29">
      <c r="A105" s="18" t="str">
        <f t="shared" ca="1" si="11"/>
        <v>Re-Res-2010-104</v>
      </c>
      <c r="B105" s="5">
        <v>34</v>
      </c>
      <c r="C105" s="5" t="str">
        <f t="shared" si="12"/>
        <v>30-39</v>
      </c>
      <c r="D105" s="5" t="s">
        <v>43</v>
      </c>
      <c r="E105" s="5" t="s">
        <v>45</v>
      </c>
      <c r="F105" s="5" t="s">
        <v>39</v>
      </c>
      <c r="G105" s="5">
        <v>2</v>
      </c>
      <c r="H105" s="5" t="s">
        <v>47</v>
      </c>
      <c r="I105" s="5" t="s">
        <v>41</v>
      </c>
      <c r="J105" s="7">
        <v>4809</v>
      </c>
      <c r="K105" s="7">
        <f t="shared" si="13"/>
        <v>721.35</v>
      </c>
      <c r="L105" s="7">
        <f t="shared" si="14"/>
        <v>4087.65</v>
      </c>
      <c r="M105" s="7">
        <v>12482</v>
      </c>
      <c r="N105" s="5" t="s">
        <v>43</v>
      </c>
      <c r="O105" s="5">
        <v>14</v>
      </c>
      <c r="P105" s="7">
        <f t="shared" si="15"/>
        <v>5482.26</v>
      </c>
      <c r="Q105" s="7">
        <f t="shared" si="16"/>
        <v>8079.1200000000026</v>
      </c>
      <c r="R105" s="7" t="str">
        <f t="shared" si="17"/>
        <v>Normal</v>
      </c>
      <c r="S105" s="5">
        <v>3</v>
      </c>
      <c r="T105" s="5">
        <v>3</v>
      </c>
      <c r="U105" s="5" t="str" cm="1">
        <f t="array" ref="U105">_xlfn.IFS(T105=1,"Poor",T105=2,"Fair",T105=3,"Good",T105=4,"Excellent")</f>
        <v>Good</v>
      </c>
      <c r="V105" s="5" t="s">
        <v>43</v>
      </c>
      <c r="W105" s="5">
        <v>16</v>
      </c>
      <c r="X105" s="28">
        <f t="shared" ca="1" si="18"/>
        <v>40267</v>
      </c>
      <c r="Y105" s="28">
        <f t="shared" ca="1" si="19"/>
        <v>46842</v>
      </c>
      <c r="Z105" s="28" t="str">
        <f t="shared" ca="1" si="20"/>
        <v>Upcoming</v>
      </c>
      <c r="AA105" s="5" t="str" cm="1">
        <f t="array" ref="AA105">_xlfn.IFS(W105&gt;10,"Veteran",W105&gt;=6,"Experienced",W105&gt;=2,"Developing",W105&gt;=0,"New")</f>
        <v>Veteran</v>
      </c>
      <c r="AB105" s="5" t="str" cm="1">
        <f t="array" ref="AB105">_xlfn.IFS(G105=1,"Junior",G105=2,"Mid-Level",G105=3,"Senior",G105=4,"Lead",G105=5,"Principal")&amp;" "&amp;TRIM(PROPER(H105))</f>
        <v>Mid-Level Research Scientist</v>
      </c>
      <c r="AC105" s="19" t="str">
        <f t="shared" ca="1" si="21"/>
        <v>Re-Res-2010-104 is a Mid-Level Research Scientist in the Research &amp; Development department, aged 34, single and has been with the Company for 16years</v>
      </c>
    </row>
    <row r="106" spans="1:29">
      <c r="A106" s="18" t="str">
        <f t="shared" ca="1" si="11"/>
        <v>He-Res-2025-105</v>
      </c>
      <c r="B106" s="5">
        <v>37</v>
      </c>
      <c r="C106" s="5" t="str">
        <f t="shared" si="12"/>
        <v>30-39</v>
      </c>
      <c r="D106" s="5" t="s">
        <v>43</v>
      </c>
      <c r="E106" s="5" t="s">
        <v>45</v>
      </c>
      <c r="F106" s="5" t="s">
        <v>46</v>
      </c>
      <c r="G106" s="5">
        <v>2</v>
      </c>
      <c r="H106" s="5" t="s">
        <v>54</v>
      </c>
      <c r="I106" s="5" t="s">
        <v>52</v>
      </c>
      <c r="J106" s="7">
        <v>5163</v>
      </c>
      <c r="K106" s="7">
        <f t="shared" si="13"/>
        <v>774.44999999999993</v>
      </c>
      <c r="L106" s="7">
        <f t="shared" si="14"/>
        <v>4388.55</v>
      </c>
      <c r="M106" s="7">
        <v>15850</v>
      </c>
      <c r="N106" s="5" t="s">
        <v>43</v>
      </c>
      <c r="O106" s="5">
        <v>14</v>
      </c>
      <c r="P106" s="7">
        <f t="shared" si="15"/>
        <v>5885.8200000000006</v>
      </c>
      <c r="Q106" s="7">
        <f t="shared" si="16"/>
        <v>8673.8400000000074</v>
      </c>
      <c r="R106" s="7" t="str">
        <f t="shared" si="17"/>
        <v>Normal</v>
      </c>
      <c r="S106" s="5">
        <v>3</v>
      </c>
      <c r="T106" s="5">
        <v>4</v>
      </c>
      <c r="U106" s="5" t="str" cm="1">
        <f t="array" ref="U106">_xlfn.IFS(T106=1,"Poor",T106=2,"Fair",T106=3,"Good",T106=4,"Excellent")</f>
        <v>Excellent</v>
      </c>
      <c r="V106" s="5" t="s">
        <v>43</v>
      </c>
      <c r="W106" s="5">
        <v>1</v>
      </c>
      <c r="X106" s="28">
        <f t="shared" ca="1" si="18"/>
        <v>45746</v>
      </c>
      <c r="Y106" s="28">
        <f t="shared" ca="1" si="19"/>
        <v>46476</v>
      </c>
      <c r="Z106" s="28" t="str">
        <f t="shared" ca="1" si="20"/>
        <v>Due Soon</v>
      </c>
      <c r="AA106" s="5" t="str" cm="1">
        <f t="array" ref="AA106">_xlfn.IFS(W106&gt;10,"Veteran",W106&gt;=6,"Experienced",W106&gt;=2,"Developing",W106&gt;=0,"New")</f>
        <v>New</v>
      </c>
      <c r="AB106" s="5" t="str" cm="1">
        <f t="array" ref="AB106">_xlfn.IFS(G106=1,"Junior",G106=2,"Mid-Level",G106=3,"Senior",G106=4,"Lead",G106=5,"Principal")&amp;" "&amp;TRIM(PROPER(H106))</f>
        <v>Mid-Level Healthcare Representative</v>
      </c>
      <c r="AC106" s="19" t="str">
        <f t="shared" ca="1" si="21"/>
        <v>He-Res-2025-105 is a Mid-Level Healthcare Representative in the Research &amp; Development department, aged 37, divorced and has been with the Company for 1years</v>
      </c>
    </row>
    <row r="107" spans="1:29">
      <c r="A107" s="18" t="str">
        <f t="shared" ca="1" si="11"/>
        <v>Ma-Hum-2023-106</v>
      </c>
      <c r="B107" s="5">
        <v>59</v>
      </c>
      <c r="C107" s="5" t="str">
        <f t="shared" si="12"/>
        <v>50+</v>
      </c>
      <c r="D107" s="5" t="s">
        <v>43</v>
      </c>
      <c r="E107" s="5" t="s">
        <v>61</v>
      </c>
      <c r="F107" s="5" t="s">
        <v>39</v>
      </c>
      <c r="G107" s="5">
        <v>5</v>
      </c>
      <c r="H107" s="5" t="s">
        <v>56</v>
      </c>
      <c r="I107" s="5" t="s">
        <v>48</v>
      </c>
      <c r="J107" s="7">
        <v>18844</v>
      </c>
      <c r="K107" s="7">
        <f t="shared" si="13"/>
        <v>5653.2</v>
      </c>
      <c r="L107" s="7">
        <f t="shared" si="14"/>
        <v>13190.8</v>
      </c>
      <c r="M107" s="7">
        <v>21922</v>
      </c>
      <c r="N107" s="5" t="s">
        <v>43</v>
      </c>
      <c r="O107" s="5">
        <v>21</v>
      </c>
      <c r="P107" s="7">
        <f t="shared" si="15"/>
        <v>22801.239999999998</v>
      </c>
      <c r="Q107" s="7">
        <f t="shared" si="16"/>
        <v>47486.879999999976</v>
      </c>
      <c r="R107" s="7" t="str">
        <f t="shared" si="17"/>
        <v>Normal</v>
      </c>
      <c r="S107" s="5">
        <v>4</v>
      </c>
      <c r="T107" s="5">
        <v>3</v>
      </c>
      <c r="U107" s="5" t="str" cm="1">
        <f t="array" ref="U107">_xlfn.IFS(T107=1,"Poor",T107=2,"Fair",T107=3,"Good",T107=4,"Excellent")</f>
        <v>Good</v>
      </c>
      <c r="V107" s="5" t="s">
        <v>43</v>
      </c>
      <c r="W107" s="5">
        <v>3</v>
      </c>
      <c r="X107" s="28">
        <f t="shared" ca="1" si="18"/>
        <v>45015</v>
      </c>
      <c r="Y107" s="28">
        <f t="shared" ca="1" si="19"/>
        <v>46476</v>
      </c>
      <c r="Z107" s="28" t="str">
        <f t="shared" ca="1" si="20"/>
        <v>Due Soon</v>
      </c>
      <c r="AA107" s="5" t="str" cm="1">
        <f t="array" ref="AA107">_xlfn.IFS(W107&gt;10,"Veteran",W107&gt;=6,"Experienced",W107&gt;=2,"Developing",W107&gt;=0,"New")</f>
        <v>Developing</v>
      </c>
      <c r="AB107" s="5" t="str" cm="1">
        <f t="array" ref="AB107">_xlfn.IFS(G107=1,"Junior",G107=2,"Mid-Level",G107=3,"Senior",G107=4,"Lead",G107=5,"Principal")&amp;" "&amp;TRIM(PROPER(H107))</f>
        <v>Principal Manager</v>
      </c>
      <c r="AC107" s="19" t="str">
        <f t="shared" ca="1" si="21"/>
        <v>Ma-Hum-2023-106 is a Principal Manager in the Human Resources department, aged 59, married and has been with the Company for 3years</v>
      </c>
    </row>
    <row r="108" spans="1:29">
      <c r="A108" s="18" t="str">
        <f t="shared" ca="1" si="11"/>
        <v>Re-Res-2018-107</v>
      </c>
      <c r="B108" s="5">
        <v>50</v>
      </c>
      <c r="C108" s="5" t="str">
        <f t="shared" si="12"/>
        <v>50+</v>
      </c>
      <c r="D108" s="5" t="s">
        <v>43</v>
      </c>
      <c r="E108" s="5" t="s">
        <v>45</v>
      </c>
      <c r="F108" s="5" t="s">
        <v>39</v>
      </c>
      <c r="G108" s="5">
        <v>5</v>
      </c>
      <c r="H108" s="5" t="s">
        <v>58</v>
      </c>
      <c r="I108" s="5" t="s">
        <v>48</v>
      </c>
      <c r="J108" s="7">
        <v>18172</v>
      </c>
      <c r="K108" s="7">
        <f t="shared" si="13"/>
        <v>5451.5999999999995</v>
      </c>
      <c r="L108" s="7">
        <f t="shared" si="14"/>
        <v>12720.400000000001</v>
      </c>
      <c r="M108" s="7">
        <v>9755</v>
      </c>
      <c r="N108" s="5" t="s">
        <v>35</v>
      </c>
      <c r="O108" s="5">
        <v>19</v>
      </c>
      <c r="P108" s="7">
        <f t="shared" si="15"/>
        <v>21624.68</v>
      </c>
      <c r="Q108" s="7">
        <f t="shared" si="16"/>
        <v>41432.160000000003</v>
      </c>
      <c r="R108" s="7" t="str">
        <f t="shared" si="17"/>
        <v>Normal</v>
      </c>
      <c r="S108" s="5">
        <v>3</v>
      </c>
      <c r="T108" s="5">
        <v>2</v>
      </c>
      <c r="U108" s="5" t="str" cm="1">
        <f t="array" ref="U108">_xlfn.IFS(T108=1,"Poor",T108=2,"Fair",T108=3,"Good",T108=4,"Excellent")</f>
        <v>Fair</v>
      </c>
      <c r="V108" s="5" t="s">
        <v>35</v>
      </c>
      <c r="W108" s="5">
        <v>8</v>
      </c>
      <c r="X108" s="28">
        <f t="shared" ca="1" si="18"/>
        <v>43189</v>
      </c>
      <c r="Y108" s="28">
        <f t="shared" ca="1" si="19"/>
        <v>46842</v>
      </c>
      <c r="Z108" s="28" t="str">
        <f t="shared" ca="1" si="20"/>
        <v>Upcoming</v>
      </c>
      <c r="AA108" s="5" t="str" cm="1">
        <f t="array" ref="AA108">_xlfn.IFS(W108&gt;10,"Veteran",W108&gt;=6,"Experienced",W108&gt;=2,"Developing",W108&gt;=0,"New")</f>
        <v>Experienced</v>
      </c>
      <c r="AB108" s="5" t="str" cm="1">
        <f t="array" ref="AB108">_xlfn.IFS(G108=1,"Junior",G108=2,"Mid-Level",G108=3,"Senior",G108=4,"Lead",G108=5,"Principal")&amp;" "&amp;TRIM(PROPER(H108))</f>
        <v>Principal Research Director</v>
      </c>
      <c r="AC108" s="19" t="str">
        <f t="shared" ca="1" si="21"/>
        <v>Re-Res-2018-107 is a Principal Research Director in the Research &amp; Development department, aged 50, married and has been with the Company for 8years</v>
      </c>
    </row>
    <row r="109" spans="1:29">
      <c r="A109" s="18" t="str">
        <f t="shared" ca="1" si="11"/>
        <v>Sa-Sal-2020-108</v>
      </c>
      <c r="B109" s="5">
        <v>25</v>
      </c>
      <c r="C109" s="5" t="str">
        <f t="shared" si="12"/>
        <v>20-29</v>
      </c>
      <c r="D109" s="5" t="s">
        <v>35</v>
      </c>
      <c r="E109" s="5" t="s">
        <v>37</v>
      </c>
      <c r="F109" s="5" t="s">
        <v>46</v>
      </c>
      <c r="G109" s="5">
        <v>2</v>
      </c>
      <c r="H109" s="5" t="s">
        <v>40</v>
      </c>
      <c r="I109" s="5" t="s">
        <v>41</v>
      </c>
      <c r="J109" s="7">
        <v>5744</v>
      </c>
      <c r="K109" s="7">
        <f t="shared" si="13"/>
        <v>861.6</v>
      </c>
      <c r="L109" s="7">
        <f t="shared" si="14"/>
        <v>4882.3999999999996</v>
      </c>
      <c r="M109" s="7">
        <v>26959</v>
      </c>
      <c r="N109" s="5" t="s">
        <v>35</v>
      </c>
      <c r="O109" s="5">
        <v>11</v>
      </c>
      <c r="P109" s="7">
        <f t="shared" si="15"/>
        <v>6375.84</v>
      </c>
      <c r="Q109" s="7">
        <f t="shared" si="16"/>
        <v>7582.0800000000017</v>
      </c>
      <c r="R109" s="7" t="str">
        <f t="shared" si="17"/>
        <v>Normal</v>
      </c>
      <c r="S109" s="5">
        <v>3</v>
      </c>
      <c r="T109" s="5">
        <v>3</v>
      </c>
      <c r="U109" s="5" t="str" cm="1">
        <f t="array" ref="U109">_xlfn.IFS(T109=1,"Poor",T109=2,"Fair",T109=3,"Good",T109=4,"Excellent")</f>
        <v>Good</v>
      </c>
      <c r="V109" s="5" t="s">
        <v>35</v>
      </c>
      <c r="W109" s="5">
        <v>6</v>
      </c>
      <c r="X109" s="28">
        <f t="shared" ca="1" si="18"/>
        <v>43920</v>
      </c>
      <c r="Y109" s="28">
        <f t="shared" ca="1" si="19"/>
        <v>46842</v>
      </c>
      <c r="Z109" s="28" t="str">
        <f t="shared" ca="1" si="20"/>
        <v>Upcoming</v>
      </c>
      <c r="AA109" s="5" t="str" cm="1">
        <f t="array" ref="AA109">_xlfn.IFS(W109&gt;10,"Veteran",W109&gt;=6,"Experienced",W109&gt;=2,"Developing",W109&gt;=0,"New")</f>
        <v>Experienced</v>
      </c>
      <c r="AB109" s="5" t="str" cm="1">
        <f t="array" ref="AB109">_xlfn.IFS(G109=1,"Junior",G109=2,"Mid-Level",G109=3,"Senior",G109=4,"Lead",G109=5,"Principal")&amp;" "&amp;TRIM(PROPER(H109))</f>
        <v>Mid-Level Sales Executive</v>
      </c>
      <c r="AC109" s="19" t="str">
        <f t="shared" ca="1" si="21"/>
        <v>Sa-Sal-2020-108 is a Mid-Level Sales Executive in the Sales department, aged 25, single and has been with the Company for 6years</v>
      </c>
    </row>
    <row r="110" spans="1:29">
      <c r="A110" s="18" t="str">
        <f t="shared" ca="1" si="11"/>
        <v>Re-Res-2024-109</v>
      </c>
      <c r="B110" s="5">
        <v>25</v>
      </c>
      <c r="C110" s="5" t="str">
        <f t="shared" si="12"/>
        <v>20-29</v>
      </c>
      <c r="D110" s="5" t="s">
        <v>43</v>
      </c>
      <c r="E110" s="5" t="s">
        <v>45</v>
      </c>
      <c r="F110" s="5" t="s">
        <v>46</v>
      </c>
      <c r="G110" s="5">
        <v>1</v>
      </c>
      <c r="H110" s="5" t="s">
        <v>47</v>
      </c>
      <c r="I110" s="5" t="s">
        <v>48</v>
      </c>
      <c r="J110" s="7">
        <v>2889</v>
      </c>
      <c r="K110" s="7">
        <f t="shared" si="13"/>
        <v>202.23000000000002</v>
      </c>
      <c r="L110" s="7">
        <f t="shared" si="14"/>
        <v>2686.77</v>
      </c>
      <c r="M110" s="7">
        <v>26897</v>
      </c>
      <c r="N110" s="5" t="s">
        <v>43</v>
      </c>
      <c r="O110" s="5">
        <v>11</v>
      </c>
      <c r="P110" s="7">
        <f t="shared" si="15"/>
        <v>3206.7900000000004</v>
      </c>
      <c r="Q110" s="7">
        <f t="shared" si="16"/>
        <v>3813.480000000005</v>
      </c>
      <c r="R110" s="7" t="str">
        <f t="shared" si="17"/>
        <v>Normal</v>
      </c>
      <c r="S110" s="5">
        <v>3</v>
      </c>
      <c r="T110" s="5">
        <v>3</v>
      </c>
      <c r="U110" s="5" t="str" cm="1">
        <f t="array" ref="U110">_xlfn.IFS(T110=1,"Poor",T110=2,"Fair",T110=3,"Good",T110=4,"Excellent")</f>
        <v>Good</v>
      </c>
      <c r="V110" s="5" t="s">
        <v>43</v>
      </c>
      <c r="W110" s="5">
        <v>2</v>
      </c>
      <c r="X110" s="28">
        <f t="shared" ca="1" si="18"/>
        <v>45381</v>
      </c>
      <c r="Y110" s="28">
        <f t="shared" ca="1" si="19"/>
        <v>46842</v>
      </c>
      <c r="Z110" s="28" t="str">
        <f t="shared" ca="1" si="20"/>
        <v>Upcoming</v>
      </c>
      <c r="AA110" s="5" t="str" cm="1">
        <f t="array" ref="AA110">_xlfn.IFS(W110&gt;10,"Veteran",W110&gt;=6,"Experienced",W110&gt;=2,"Developing",W110&gt;=0,"New")</f>
        <v>Developing</v>
      </c>
      <c r="AB110" s="5" t="str" cm="1">
        <f t="array" ref="AB110">_xlfn.IFS(G110=1,"Junior",G110=2,"Mid-Level",G110=3,"Senior",G110=4,"Lead",G110=5,"Principal")&amp;" "&amp;TRIM(PROPER(H110))</f>
        <v>Junior Research Scientist</v>
      </c>
      <c r="AC110" s="19" t="str">
        <f t="shared" ca="1" si="21"/>
        <v>Re-Res-2024-109 is a Junior Research Scientist in the Research &amp; Development department, aged 25, married and has been with the Company for 2years</v>
      </c>
    </row>
    <row r="111" spans="1:29">
      <c r="A111" s="18" t="str">
        <f t="shared" ca="1" si="11"/>
        <v>La-Res-2026-110</v>
      </c>
      <c r="B111" s="5">
        <v>22</v>
      </c>
      <c r="C111" s="5" t="str">
        <f t="shared" si="12"/>
        <v>20-29</v>
      </c>
      <c r="D111" s="5" t="s">
        <v>43</v>
      </c>
      <c r="E111" s="5" t="s">
        <v>45</v>
      </c>
      <c r="F111" s="5" t="s">
        <v>39</v>
      </c>
      <c r="G111" s="5">
        <v>1</v>
      </c>
      <c r="H111" s="5" t="s">
        <v>50</v>
      </c>
      <c r="I111" s="5" t="s">
        <v>41</v>
      </c>
      <c r="J111" s="7">
        <v>2871</v>
      </c>
      <c r="K111" s="7">
        <f t="shared" si="13"/>
        <v>200.97000000000003</v>
      </c>
      <c r="L111" s="7">
        <f t="shared" si="14"/>
        <v>2670.0299999999997</v>
      </c>
      <c r="M111" s="7">
        <v>23785</v>
      </c>
      <c r="N111" s="5" t="s">
        <v>43</v>
      </c>
      <c r="O111" s="5">
        <v>15</v>
      </c>
      <c r="P111" s="7">
        <f t="shared" si="15"/>
        <v>3301.6499999999996</v>
      </c>
      <c r="Q111" s="7">
        <f t="shared" si="16"/>
        <v>5167.7999999999956</v>
      </c>
      <c r="R111" s="7" t="str">
        <f t="shared" si="17"/>
        <v>Normal</v>
      </c>
      <c r="S111" s="5">
        <v>3</v>
      </c>
      <c r="T111" s="5">
        <v>3</v>
      </c>
      <c r="U111" s="5" t="str" cm="1">
        <f t="array" ref="U111">_xlfn.IFS(T111=1,"Poor",T111=2,"Fair",T111=3,"Good",T111=4,"Excellent")</f>
        <v>Good</v>
      </c>
      <c r="V111" s="5" t="s">
        <v>43</v>
      </c>
      <c r="W111" s="5">
        <v>0</v>
      </c>
      <c r="X111" s="28">
        <f t="shared" ca="1" si="18"/>
        <v>46111</v>
      </c>
      <c r="Y111" s="28">
        <f t="shared" ca="1" si="19"/>
        <v>46842</v>
      </c>
      <c r="Z111" s="28" t="str">
        <f t="shared" ca="1" si="20"/>
        <v>Upcoming</v>
      </c>
      <c r="AA111" s="5" t="str" cm="1">
        <f t="array" ref="AA111">_xlfn.IFS(W111&gt;10,"Veteran",W111&gt;=6,"Experienced",W111&gt;=2,"Developing",W111&gt;=0,"New")</f>
        <v>New</v>
      </c>
      <c r="AB111" s="5" t="str" cm="1">
        <f t="array" ref="AB111">_xlfn.IFS(G111=1,"Junior",G111=2,"Mid-Level",G111=3,"Senior",G111=4,"Lead",G111=5,"Principal")&amp;" "&amp;TRIM(PROPER(H111))</f>
        <v>Junior Laboratory Technician</v>
      </c>
      <c r="AC111" s="19" t="str">
        <f t="shared" ca="1" si="21"/>
        <v>La-Res-2026-110 is a Junior Laboratory Technician in the Research &amp; Development department, aged 22, single and has been with the Company for 0years</v>
      </c>
    </row>
    <row r="112" spans="1:29">
      <c r="A112" s="18" t="str">
        <f t="shared" ca="1" si="11"/>
        <v>He-Res-2013-111</v>
      </c>
      <c r="B112" s="5">
        <v>51</v>
      </c>
      <c r="C112" s="5" t="str">
        <f t="shared" si="12"/>
        <v>50+</v>
      </c>
      <c r="D112" s="5" t="s">
        <v>43</v>
      </c>
      <c r="E112" s="5" t="s">
        <v>45</v>
      </c>
      <c r="F112" s="5" t="s">
        <v>39</v>
      </c>
      <c r="G112" s="5">
        <v>3</v>
      </c>
      <c r="H112" s="5" t="s">
        <v>54</v>
      </c>
      <c r="I112" s="5" t="s">
        <v>41</v>
      </c>
      <c r="J112" s="7">
        <v>7484</v>
      </c>
      <c r="K112" s="7">
        <f t="shared" si="13"/>
        <v>1646.48</v>
      </c>
      <c r="L112" s="7">
        <f t="shared" si="14"/>
        <v>5837.52</v>
      </c>
      <c r="M112" s="7">
        <v>25796</v>
      </c>
      <c r="N112" s="5" t="s">
        <v>43</v>
      </c>
      <c r="O112" s="5">
        <v>20</v>
      </c>
      <c r="P112" s="7">
        <f t="shared" si="15"/>
        <v>8980.7999999999993</v>
      </c>
      <c r="Q112" s="7">
        <f t="shared" si="16"/>
        <v>17961.599999999991</v>
      </c>
      <c r="R112" s="7" t="str">
        <f t="shared" si="17"/>
        <v>Normal</v>
      </c>
      <c r="S112" s="5">
        <v>4</v>
      </c>
      <c r="T112" s="5">
        <v>2</v>
      </c>
      <c r="U112" s="5" t="str" cm="1">
        <f t="array" ref="U112">_xlfn.IFS(T112=1,"Poor",T112=2,"Fair",T112=3,"Good",T112=4,"Excellent")</f>
        <v>Fair</v>
      </c>
      <c r="V112" s="5" t="s">
        <v>43</v>
      </c>
      <c r="W112" s="5">
        <v>13</v>
      </c>
      <c r="X112" s="28">
        <f t="shared" ca="1" si="18"/>
        <v>41363</v>
      </c>
      <c r="Y112" s="28">
        <f t="shared" ca="1" si="19"/>
        <v>46476</v>
      </c>
      <c r="Z112" s="28" t="str">
        <f t="shared" ca="1" si="20"/>
        <v>Due Soon</v>
      </c>
      <c r="AA112" s="5" t="str" cm="1">
        <f t="array" ref="AA112">_xlfn.IFS(W112&gt;10,"Veteran",W112&gt;=6,"Experienced",W112&gt;=2,"Developing",W112&gt;=0,"New")</f>
        <v>Veteran</v>
      </c>
      <c r="AB112" s="5" t="str" cm="1">
        <f t="array" ref="AB112">_xlfn.IFS(G112=1,"Junior",G112=2,"Mid-Level",G112=3,"Senior",G112=4,"Lead",G112=5,"Principal")&amp;" "&amp;TRIM(PROPER(H112))</f>
        <v>Senior Healthcare Representative</v>
      </c>
      <c r="AC112" s="19" t="str">
        <f t="shared" ca="1" si="21"/>
        <v>He-Res-2013-111 is a Senior Healthcare Representative in the Research &amp; Development department, aged 51, single and has been with the Company for 13years</v>
      </c>
    </row>
    <row r="113" spans="1:29">
      <c r="A113" s="18" t="str">
        <f t="shared" ca="1" si="11"/>
        <v>La-Res-2017-112</v>
      </c>
      <c r="B113" s="5">
        <v>34</v>
      </c>
      <c r="C113" s="5" t="str">
        <f t="shared" si="12"/>
        <v>30-39</v>
      </c>
      <c r="D113" s="5" t="s">
        <v>35</v>
      </c>
      <c r="E113" s="5" t="s">
        <v>45</v>
      </c>
      <c r="F113" s="5" t="s">
        <v>46</v>
      </c>
      <c r="G113" s="5">
        <v>2</v>
      </c>
      <c r="H113" s="5" t="s">
        <v>50</v>
      </c>
      <c r="I113" s="5" t="s">
        <v>41</v>
      </c>
      <c r="J113" s="7">
        <v>6074</v>
      </c>
      <c r="K113" s="7">
        <f t="shared" si="13"/>
        <v>911.1</v>
      </c>
      <c r="L113" s="7">
        <f t="shared" si="14"/>
        <v>5162.8999999999996</v>
      </c>
      <c r="M113" s="7">
        <v>22887</v>
      </c>
      <c r="N113" s="5" t="s">
        <v>35</v>
      </c>
      <c r="O113" s="5">
        <v>24</v>
      </c>
      <c r="P113" s="7">
        <f t="shared" si="15"/>
        <v>7531.76</v>
      </c>
      <c r="Q113" s="7">
        <f t="shared" si="16"/>
        <v>17493.120000000003</v>
      </c>
      <c r="R113" s="7" t="str">
        <f t="shared" si="17"/>
        <v>Normal</v>
      </c>
      <c r="S113" s="5">
        <v>4</v>
      </c>
      <c r="T113" s="5">
        <v>3</v>
      </c>
      <c r="U113" s="5" t="str" cm="1">
        <f t="array" ref="U113">_xlfn.IFS(T113=1,"Poor",T113=2,"Fair",T113=3,"Good",T113=4,"Excellent")</f>
        <v>Good</v>
      </c>
      <c r="V113" s="5" t="s">
        <v>35</v>
      </c>
      <c r="W113" s="5">
        <v>9</v>
      </c>
      <c r="X113" s="28">
        <f t="shared" ca="1" si="18"/>
        <v>42824</v>
      </c>
      <c r="Y113" s="28">
        <f t="shared" ca="1" si="19"/>
        <v>46476</v>
      </c>
      <c r="Z113" s="28" t="str">
        <f t="shared" ca="1" si="20"/>
        <v>Due Soon</v>
      </c>
      <c r="AA113" s="5" t="str" cm="1">
        <f t="array" ref="AA113">_xlfn.IFS(W113&gt;10,"Veteran",W113&gt;=6,"Experienced",W113&gt;=2,"Developing",W113&gt;=0,"New")</f>
        <v>Experienced</v>
      </c>
      <c r="AB113" s="5" t="str" cm="1">
        <f t="array" ref="AB113">_xlfn.IFS(G113=1,"Junior",G113=2,"Mid-Level",G113=3,"Senior",G113=4,"Lead",G113=5,"Principal")&amp;" "&amp;TRIM(PROPER(H113))</f>
        <v>Mid-Level Laboratory Technician</v>
      </c>
      <c r="AC113" s="19" t="str">
        <f t="shared" ca="1" si="21"/>
        <v>La-Res-2017-112 is a Mid-Level Laboratory Technician in the Research &amp; Development department, aged 34, single and has been with the Company for 9years</v>
      </c>
    </row>
    <row r="114" spans="1:29">
      <c r="A114" s="18" t="str">
        <f t="shared" ca="1" si="11"/>
        <v>Ma-Hum-2021-113</v>
      </c>
      <c r="B114" s="5">
        <v>54</v>
      </c>
      <c r="C114" s="5" t="str">
        <f t="shared" si="12"/>
        <v>50+</v>
      </c>
      <c r="D114" s="5" t="s">
        <v>43</v>
      </c>
      <c r="E114" s="5" t="s">
        <v>61</v>
      </c>
      <c r="F114" s="5" t="s">
        <v>39</v>
      </c>
      <c r="G114" s="5">
        <v>4</v>
      </c>
      <c r="H114" s="5" t="s">
        <v>56</v>
      </c>
      <c r="I114" s="5" t="s">
        <v>41</v>
      </c>
      <c r="J114" s="7">
        <v>17328</v>
      </c>
      <c r="K114" s="7">
        <f t="shared" si="13"/>
        <v>5198.3999999999996</v>
      </c>
      <c r="L114" s="7">
        <f t="shared" si="14"/>
        <v>12129.6</v>
      </c>
      <c r="M114" s="7">
        <v>13871</v>
      </c>
      <c r="N114" s="5" t="s">
        <v>35</v>
      </c>
      <c r="O114" s="5">
        <v>12</v>
      </c>
      <c r="P114" s="7">
        <f t="shared" si="15"/>
        <v>19407.36</v>
      </c>
      <c r="Q114" s="7">
        <f t="shared" si="16"/>
        <v>24952.320000000007</v>
      </c>
      <c r="R114" s="7" t="str">
        <f t="shared" si="17"/>
        <v>Normal</v>
      </c>
      <c r="S114" s="5">
        <v>3</v>
      </c>
      <c r="T114" s="5">
        <v>3</v>
      </c>
      <c r="U114" s="5" t="str" cm="1">
        <f t="array" ref="U114">_xlfn.IFS(T114=1,"Poor",T114=2,"Fair",T114=3,"Good",T114=4,"Excellent")</f>
        <v>Good</v>
      </c>
      <c r="V114" s="5" t="s">
        <v>35</v>
      </c>
      <c r="W114" s="5">
        <v>5</v>
      </c>
      <c r="X114" s="28">
        <f t="shared" ca="1" si="18"/>
        <v>44285</v>
      </c>
      <c r="Y114" s="28">
        <f t="shared" ca="1" si="19"/>
        <v>46476</v>
      </c>
      <c r="Z114" s="28" t="str">
        <f t="shared" ca="1" si="20"/>
        <v>Due Soon</v>
      </c>
      <c r="AA114" s="5" t="str" cm="1">
        <f t="array" ref="AA114">_xlfn.IFS(W114&gt;10,"Veteran",W114&gt;=6,"Experienced",W114&gt;=2,"Developing",W114&gt;=0,"New")</f>
        <v>Developing</v>
      </c>
      <c r="AB114" s="5" t="str" cm="1">
        <f t="array" ref="AB114">_xlfn.IFS(G114=1,"Junior",G114=2,"Mid-Level",G114=3,"Senior",G114=4,"Lead",G114=5,"Principal")&amp;" "&amp;TRIM(PROPER(H114))</f>
        <v>Lead Manager</v>
      </c>
      <c r="AC114" s="19" t="str">
        <f t="shared" ca="1" si="21"/>
        <v>Ma-Hum-2021-113 is a Lead Manager in the Human Resources department, aged 54, single and has been with the Company for 5years</v>
      </c>
    </row>
    <row r="115" spans="1:29">
      <c r="A115" s="18" t="str">
        <f t="shared" ca="1" si="11"/>
        <v>La-Res-2021-114</v>
      </c>
      <c r="B115" s="5">
        <v>24</v>
      </c>
      <c r="C115" s="5" t="str">
        <f t="shared" si="12"/>
        <v>20-29</v>
      </c>
      <c r="D115" s="5" t="s">
        <v>43</v>
      </c>
      <c r="E115" s="5" t="s">
        <v>45</v>
      </c>
      <c r="F115" s="5" t="s">
        <v>46</v>
      </c>
      <c r="G115" s="5">
        <v>1</v>
      </c>
      <c r="H115" s="5" t="s">
        <v>50</v>
      </c>
      <c r="I115" s="5" t="s">
        <v>48</v>
      </c>
      <c r="J115" s="7">
        <v>2774</v>
      </c>
      <c r="K115" s="7">
        <f t="shared" si="13"/>
        <v>194.18</v>
      </c>
      <c r="L115" s="7">
        <f t="shared" si="14"/>
        <v>2579.8200000000002</v>
      </c>
      <c r="M115" s="7">
        <v>13257</v>
      </c>
      <c r="N115" s="5" t="s">
        <v>43</v>
      </c>
      <c r="O115" s="5">
        <v>12</v>
      </c>
      <c r="P115" s="7">
        <f t="shared" si="15"/>
        <v>3106.88</v>
      </c>
      <c r="Q115" s="7">
        <f t="shared" si="16"/>
        <v>3994.5600000000013</v>
      </c>
      <c r="R115" s="7" t="str">
        <f t="shared" si="17"/>
        <v>Normal</v>
      </c>
      <c r="S115" s="5">
        <v>3</v>
      </c>
      <c r="T115" s="5">
        <v>3</v>
      </c>
      <c r="U115" s="5" t="str" cm="1">
        <f t="array" ref="U115">_xlfn.IFS(T115=1,"Poor",T115=2,"Fair",T115=3,"Good",T115=4,"Excellent")</f>
        <v>Good</v>
      </c>
      <c r="V115" s="5" t="s">
        <v>43</v>
      </c>
      <c r="W115" s="5">
        <v>5</v>
      </c>
      <c r="X115" s="28">
        <f t="shared" ca="1" si="18"/>
        <v>44285</v>
      </c>
      <c r="Y115" s="28">
        <f t="shared" ca="1" si="19"/>
        <v>46476</v>
      </c>
      <c r="Z115" s="28" t="str">
        <f t="shared" ca="1" si="20"/>
        <v>Due Soon</v>
      </c>
      <c r="AA115" s="5" t="str" cm="1">
        <f t="array" ref="AA115">_xlfn.IFS(W115&gt;10,"Veteran",W115&gt;=6,"Experienced",W115&gt;=2,"Developing",W115&gt;=0,"New")</f>
        <v>Developing</v>
      </c>
      <c r="AB115" s="5" t="str" cm="1">
        <f t="array" ref="AB115">_xlfn.IFS(G115=1,"Junior",G115=2,"Mid-Level",G115=3,"Senior",G115=4,"Lead",G115=5,"Principal")&amp;" "&amp;TRIM(PROPER(H115))</f>
        <v>Junior Laboratory Technician</v>
      </c>
      <c r="AC115" s="19" t="str">
        <f t="shared" ca="1" si="21"/>
        <v>La-Res-2021-114 is a Junior Laboratory Technician in the Research &amp; Development department, aged 24, married and has been with the Company for 5years</v>
      </c>
    </row>
    <row r="116" spans="1:29">
      <c r="A116" s="18" t="str">
        <f t="shared" ca="1" si="11"/>
        <v>Re-Res-2025-115</v>
      </c>
      <c r="B116" s="5">
        <v>34</v>
      </c>
      <c r="C116" s="5" t="str">
        <f t="shared" si="12"/>
        <v>30-39</v>
      </c>
      <c r="D116" s="5" t="s">
        <v>43</v>
      </c>
      <c r="E116" s="5" t="s">
        <v>45</v>
      </c>
      <c r="F116" s="5" t="s">
        <v>39</v>
      </c>
      <c r="G116" s="5">
        <v>2</v>
      </c>
      <c r="H116" s="5" t="s">
        <v>47</v>
      </c>
      <c r="I116" s="5" t="s">
        <v>52</v>
      </c>
      <c r="J116" s="7">
        <v>4505</v>
      </c>
      <c r="K116" s="7">
        <f t="shared" si="13"/>
        <v>675.75</v>
      </c>
      <c r="L116" s="7">
        <f t="shared" si="14"/>
        <v>3829.25</v>
      </c>
      <c r="M116" s="7">
        <v>15000</v>
      </c>
      <c r="N116" s="5" t="s">
        <v>43</v>
      </c>
      <c r="O116" s="5">
        <v>15</v>
      </c>
      <c r="P116" s="7">
        <f t="shared" si="15"/>
        <v>5180.75</v>
      </c>
      <c r="Q116" s="7">
        <f t="shared" si="16"/>
        <v>8109</v>
      </c>
      <c r="R116" s="7" t="str">
        <f t="shared" si="17"/>
        <v>Normal</v>
      </c>
      <c r="S116" s="5">
        <v>3</v>
      </c>
      <c r="T116" s="5">
        <v>3</v>
      </c>
      <c r="U116" s="5" t="str" cm="1">
        <f t="array" ref="U116">_xlfn.IFS(T116=1,"Poor",T116=2,"Fair",T116=3,"Good",T116=4,"Excellent")</f>
        <v>Good</v>
      </c>
      <c r="V116" s="5" t="s">
        <v>43</v>
      </c>
      <c r="W116" s="5">
        <v>1</v>
      </c>
      <c r="X116" s="28">
        <f t="shared" ca="1" si="18"/>
        <v>45746</v>
      </c>
      <c r="Y116" s="28">
        <f t="shared" ca="1" si="19"/>
        <v>46476</v>
      </c>
      <c r="Z116" s="28" t="str">
        <f t="shared" ca="1" si="20"/>
        <v>Due Soon</v>
      </c>
      <c r="AA116" s="5" t="str" cm="1">
        <f t="array" ref="AA116">_xlfn.IFS(W116&gt;10,"Veteran",W116&gt;=6,"Experienced",W116&gt;=2,"Developing",W116&gt;=0,"New")</f>
        <v>New</v>
      </c>
      <c r="AB116" s="5" t="str" cm="1">
        <f t="array" ref="AB116">_xlfn.IFS(G116=1,"Junior",G116=2,"Mid-Level",G116=3,"Senior",G116=4,"Lead",G116=5,"Principal")&amp;" "&amp;TRIM(PROPER(H116))</f>
        <v>Mid-Level Research Scientist</v>
      </c>
      <c r="AC116" s="19" t="str">
        <f t="shared" ca="1" si="21"/>
        <v>Re-Res-2025-115 is a Mid-Level Research Scientist in the Research &amp; Development department, aged 34, divorced and has been with the Company for 1years</v>
      </c>
    </row>
    <row r="117" spans="1:29">
      <c r="A117" s="18" t="str">
        <f t="shared" ca="1" si="11"/>
        <v>Sa-Sal-2021-116</v>
      </c>
      <c r="B117" s="5">
        <v>37</v>
      </c>
      <c r="C117" s="5" t="str">
        <f t="shared" si="12"/>
        <v>30-39</v>
      </c>
      <c r="D117" s="5" t="s">
        <v>43</v>
      </c>
      <c r="E117" s="5" t="s">
        <v>37</v>
      </c>
      <c r="F117" s="5" t="s">
        <v>46</v>
      </c>
      <c r="G117" s="5">
        <v>3</v>
      </c>
      <c r="H117" s="5" t="s">
        <v>40</v>
      </c>
      <c r="I117" s="5" t="s">
        <v>41</v>
      </c>
      <c r="J117" s="7">
        <v>7428</v>
      </c>
      <c r="K117" s="7">
        <f t="shared" si="13"/>
        <v>1634.16</v>
      </c>
      <c r="L117" s="7">
        <f t="shared" si="14"/>
        <v>5793.84</v>
      </c>
      <c r="M117" s="7">
        <v>14506</v>
      </c>
      <c r="N117" s="5" t="s">
        <v>43</v>
      </c>
      <c r="O117" s="5">
        <v>12</v>
      </c>
      <c r="P117" s="7">
        <f t="shared" si="15"/>
        <v>8319.36</v>
      </c>
      <c r="Q117" s="7">
        <f t="shared" si="16"/>
        <v>10696.320000000007</v>
      </c>
      <c r="R117" s="7" t="str">
        <f t="shared" si="17"/>
        <v>Normal</v>
      </c>
      <c r="S117" s="5">
        <v>3</v>
      </c>
      <c r="T117" s="5">
        <v>3</v>
      </c>
      <c r="U117" s="5" t="str" cm="1">
        <f t="array" ref="U117">_xlfn.IFS(T117=1,"Poor",T117=2,"Fair",T117=3,"Good",T117=4,"Excellent")</f>
        <v>Good</v>
      </c>
      <c r="V117" s="5" t="s">
        <v>43</v>
      </c>
      <c r="W117" s="5">
        <v>5</v>
      </c>
      <c r="X117" s="28">
        <f t="shared" ca="1" si="18"/>
        <v>44285</v>
      </c>
      <c r="Y117" s="28">
        <f t="shared" ca="1" si="19"/>
        <v>46476</v>
      </c>
      <c r="Z117" s="28" t="str">
        <f t="shared" ca="1" si="20"/>
        <v>Due Soon</v>
      </c>
      <c r="AA117" s="5" t="str" cm="1">
        <f t="array" ref="AA117">_xlfn.IFS(W117&gt;10,"Veteran",W117&gt;=6,"Experienced",W117&gt;=2,"Developing",W117&gt;=0,"New")</f>
        <v>Developing</v>
      </c>
      <c r="AB117" s="5" t="str" cm="1">
        <f t="array" ref="AB117">_xlfn.IFS(G117=1,"Junior",G117=2,"Mid-Level",G117=3,"Senior",G117=4,"Lead",G117=5,"Principal")&amp;" "&amp;TRIM(PROPER(H117))</f>
        <v>Senior Sales Executive</v>
      </c>
      <c r="AC117" s="19" t="str">
        <f t="shared" ca="1" si="21"/>
        <v>Sa-Sal-2021-116 is a Senior Sales Executive in the Sales department, aged 37, single and has been with the Company for 5years</v>
      </c>
    </row>
    <row r="118" spans="1:29">
      <c r="A118" s="18" t="str">
        <f t="shared" ca="1" si="11"/>
        <v>Ma-Res-2015-117</v>
      </c>
      <c r="B118" s="5">
        <v>34</v>
      </c>
      <c r="C118" s="5" t="str">
        <f t="shared" si="12"/>
        <v>30-39</v>
      </c>
      <c r="D118" s="5" t="s">
        <v>43</v>
      </c>
      <c r="E118" s="5" t="s">
        <v>45</v>
      </c>
      <c r="F118" s="5" t="s">
        <v>39</v>
      </c>
      <c r="G118" s="5">
        <v>3</v>
      </c>
      <c r="H118" s="5" t="s">
        <v>56</v>
      </c>
      <c r="I118" s="5" t="s">
        <v>41</v>
      </c>
      <c r="J118" s="7">
        <v>11631</v>
      </c>
      <c r="K118" s="7">
        <f t="shared" si="13"/>
        <v>2558.8200000000002</v>
      </c>
      <c r="L118" s="7">
        <f t="shared" si="14"/>
        <v>9072.18</v>
      </c>
      <c r="M118" s="7">
        <v>5615</v>
      </c>
      <c r="N118" s="5" t="s">
        <v>43</v>
      </c>
      <c r="O118" s="5">
        <v>12</v>
      </c>
      <c r="P118" s="7">
        <f t="shared" si="15"/>
        <v>13026.720000000001</v>
      </c>
      <c r="Q118" s="7">
        <f t="shared" si="16"/>
        <v>16748.640000000014</v>
      </c>
      <c r="R118" s="7" t="str">
        <f t="shared" si="17"/>
        <v>Normal</v>
      </c>
      <c r="S118" s="5">
        <v>3</v>
      </c>
      <c r="T118" s="5">
        <v>3</v>
      </c>
      <c r="U118" s="5" t="str" cm="1">
        <f t="array" ref="U118">_xlfn.IFS(T118=1,"Poor",T118=2,"Fair",T118=3,"Good",T118=4,"Excellent")</f>
        <v>Good</v>
      </c>
      <c r="V118" s="5" t="s">
        <v>43</v>
      </c>
      <c r="W118" s="5">
        <v>11</v>
      </c>
      <c r="X118" s="28">
        <f t="shared" ca="1" si="18"/>
        <v>42093</v>
      </c>
      <c r="Y118" s="28">
        <f t="shared" ca="1" si="19"/>
        <v>46476</v>
      </c>
      <c r="Z118" s="28" t="str">
        <f t="shared" ca="1" si="20"/>
        <v>Due Soon</v>
      </c>
      <c r="AA118" s="5" t="str" cm="1">
        <f t="array" ref="AA118">_xlfn.IFS(W118&gt;10,"Veteran",W118&gt;=6,"Experienced",W118&gt;=2,"Developing",W118&gt;=0,"New")</f>
        <v>Veteran</v>
      </c>
      <c r="AB118" s="5" t="str" cm="1">
        <f t="array" ref="AB118">_xlfn.IFS(G118=1,"Junior",G118=2,"Mid-Level",G118=3,"Senior",G118=4,"Lead",G118=5,"Principal")&amp;" "&amp;TRIM(PROPER(H118))</f>
        <v>Senior Manager</v>
      </c>
      <c r="AC118" s="19" t="str">
        <f t="shared" ca="1" si="21"/>
        <v>Ma-Res-2015-117 is a Senior Manager in the Research &amp; Development department, aged 34, single and has been with the Company for 11years</v>
      </c>
    </row>
    <row r="119" spans="1:29">
      <c r="A119" s="18" t="str">
        <f t="shared" ca="1" si="11"/>
        <v>Sa-Sal-2017-118</v>
      </c>
      <c r="B119" s="5">
        <v>36</v>
      </c>
      <c r="C119" s="5" t="str">
        <f t="shared" si="12"/>
        <v>30-39</v>
      </c>
      <c r="D119" s="5" t="s">
        <v>43</v>
      </c>
      <c r="E119" s="5" t="s">
        <v>37</v>
      </c>
      <c r="F119" s="5" t="s">
        <v>39</v>
      </c>
      <c r="G119" s="5">
        <v>3</v>
      </c>
      <c r="H119" s="5" t="s">
        <v>40</v>
      </c>
      <c r="I119" s="5" t="s">
        <v>48</v>
      </c>
      <c r="J119" s="7">
        <v>9738</v>
      </c>
      <c r="K119" s="7">
        <f t="shared" si="13"/>
        <v>2142.36</v>
      </c>
      <c r="L119" s="7">
        <f t="shared" si="14"/>
        <v>7595.6399999999994</v>
      </c>
      <c r="M119" s="7">
        <v>22952</v>
      </c>
      <c r="N119" s="5" t="s">
        <v>43</v>
      </c>
      <c r="O119" s="5">
        <v>14</v>
      </c>
      <c r="P119" s="7">
        <f t="shared" si="15"/>
        <v>11101.320000000002</v>
      </c>
      <c r="Q119" s="7">
        <f t="shared" si="16"/>
        <v>16359.840000000018</v>
      </c>
      <c r="R119" s="7" t="str">
        <f t="shared" si="17"/>
        <v>Normal</v>
      </c>
      <c r="S119" s="5">
        <v>3</v>
      </c>
      <c r="T119" s="5">
        <v>3</v>
      </c>
      <c r="U119" s="5" t="str" cm="1">
        <f t="array" ref="U119">_xlfn.IFS(T119=1,"Poor",T119=2,"Fair",T119=3,"Good",T119=4,"Excellent")</f>
        <v>Good</v>
      </c>
      <c r="V119" s="5" t="s">
        <v>43</v>
      </c>
      <c r="W119" s="5">
        <v>9</v>
      </c>
      <c r="X119" s="28">
        <f t="shared" ca="1" si="18"/>
        <v>42824</v>
      </c>
      <c r="Y119" s="28">
        <f t="shared" ca="1" si="19"/>
        <v>46476</v>
      </c>
      <c r="Z119" s="28" t="str">
        <f t="shared" ca="1" si="20"/>
        <v>Due Soon</v>
      </c>
      <c r="AA119" s="5" t="str" cm="1">
        <f t="array" ref="AA119">_xlfn.IFS(W119&gt;10,"Veteran",W119&gt;=6,"Experienced",W119&gt;=2,"Developing",W119&gt;=0,"New")</f>
        <v>Experienced</v>
      </c>
      <c r="AB119" s="5" t="str" cm="1">
        <f t="array" ref="AB119">_xlfn.IFS(G119=1,"Junior",G119=2,"Mid-Level",G119=3,"Senior",G119=4,"Lead",G119=5,"Principal")&amp;" "&amp;TRIM(PROPER(H119))</f>
        <v>Senior Sales Executive</v>
      </c>
      <c r="AC119" s="19" t="str">
        <f t="shared" ca="1" si="21"/>
        <v>Sa-Sal-2017-118 is a Senior Sales Executive in the Sales department, aged 36, married and has been with the Company for 9years</v>
      </c>
    </row>
    <row r="120" spans="1:29">
      <c r="A120" s="18" t="str">
        <f t="shared" ca="1" si="11"/>
        <v>La-Res-2025-119</v>
      </c>
      <c r="B120" s="5">
        <v>36</v>
      </c>
      <c r="C120" s="5" t="str">
        <f t="shared" si="12"/>
        <v>30-39</v>
      </c>
      <c r="D120" s="5" t="s">
        <v>43</v>
      </c>
      <c r="E120" s="5" t="s">
        <v>45</v>
      </c>
      <c r="F120" s="5" t="s">
        <v>39</v>
      </c>
      <c r="G120" s="5">
        <v>1</v>
      </c>
      <c r="H120" s="5" t="s">
        <v>50</v>
      </c>
      <c r="I120" s="5" t="s">
        <v>52</v>
      </c>
      <c r="J120" s="7">
        <v>2835</v>
      </c>
      <c r="K120" s="7">
        <f t="shared" si="13"/>
        <v>198.45000000000002</v>
      </c>
      <c r="L120" s="7">
        <f t="shared" si="14"/>
        <v>2636.55</v>
      </c>
      <c r="M120" s="7">
        <v>2561</v>
      </c>
      <c r="N120" s="5" t="s">
        <v>43</v>
      </c>
      <c r="O120" s="5">
        <v>22</v>
      </c>
      <c r="P120" s="7">
        <f t="shared" si="15"/>
        <v>3458.7</v>
      </c>
      <c r="Q120" s="7">
        <f t="shared" si="16"/>
        <v>7484.3999999999978</v>
      </c>
      <c r="R120" s="7" t="str">
        <f t="shared" si="17"/>
        <v>Normal</v>
      </c>
      <c r="S120" s="5">
        <v>4</v>
      </c>
      <c r="T120" s="5">
        <v>3</v>
      </c>
      <c r="U120" s="5" t="str" cm="1">
        <f t="array" ref="U120">_xlfn.IFS(T120=1,"Poor",T120=2,"Fair",T120=3,"Good",T120=4,"Excellent")</f>
        <v>Good</v>
      </c>
      <c r="V120" s="5" t="s">
        <v>43</v>
      </c>
      <c r="W120" s="5">
        <v>1</v>
      </c>
      <c r="X120" s="28">
        <f t="shared" ca="1" si="18"/>
        <v>45746</v>
      </c>
      <c r="Y120" s="28">
        <f t="shared" ca="1" si="19"/>
        <v>46476</v>
      </c>
      <c r="Z120" s="28" t="str">
        <f t="shared" ca="1" si="20"/>
        <v>Due Soon</v>
      </c>
      <c r="AA120" s="5" t="str" cm="1">
        <f t="array" ref="AA120">_xlfn.IFS(W120&gt;10,"Veteran",W120&gt;=6,"Experienced",W120&gt;=2,"Developing",W120&gt;=0,"New")</f>
        <v>New</v>
      </c>
      <c r="AB120" s="5" t="str" cm="1">
        <f t="array" ref="AB120">_xlfn.IFS(G120=1,"Junior",G120=2,"Mid-Level",G120=3,"Senior",G120=4,"Lead",G120=5,"Principal")&amp;" "&amp;TRIM(PROPER(H120))</f>
        <v>Junior Laboratory Technician</v>
      </c>
      <c r="AC120" s="19" t="str">
        <f t="shared" ca="1" si="21"/>
        <v>La-Res-2025-119 is a Junior Laboratory Technician in the Research &amp; Development department, aged 36, divorced and has been with the Company for 1years</v>
      </c>
    </row>
    <row r="121" spans="1:29">
      <c r="A121" s="18" t="str">
        <f t="shared" ca="1" si="11"/>
        <v>Ma-Sal-2001-120</v>
      </c>
      <c r="B121" s="5">
        <v>43</v>
      </c>
      <c r="C121" s="5" t="str">
        <f t="shared" si="12"/>
        <v>40-49</v>
      </c>
      <c r="D121" s="5" t="s">
        <v>43</v>
      </c>
      <c r="E121" s="5" t="s">
        <v>37</v>
      </c>
      <c r="F121" s="5" t="s">
        <v>46</v>
      </c>
      <c r="G121" s="5">
        <v>4</v>
      </c>
      <c r="H121" s="5" t="s">
        <v>56</v>
      </c>
      <c r="I121" s="5" t="s">
        <v>48</v>
      </c>
      <c r="J121" s="7">
        <v>16959</v>
      </c>
      <c r="K121" s="7">
        <f t="shared" si="13"/>
        <v>5087.7</v>
      </c>
      <c r="L121" s="7">
        <f t="shared" si="14"/>
        <v>11871.3</v>
      </c>
      <c r="M121" s="7">
        <v>19494</v>
      </c>
      <c r="N121" s="5" t="s">
        <v>35</v>
      </c>
      <c r="O121" s="5">
        <v>12</v>
      </c>
      <c r="P121" s="7">
        <f t="shared" si="15"/>
        <v>18994.080000000002</v>
      </c>
      <c r="Q121" s="7">
        <f t="shared" si="16"/>
        <v>24420.960000000021</v>
      </c>
      <c r="R121" s="7" t="str">
        <f t="shared" si="17"/>
        <v>Normal</v>
      </c>
      <c r="S121" s="5">
        <v>3</v>
      </c>
      <c r="T121" s="5">
        <v>4</v>
      </c>
      <c r="U121" s="5" t="str" cm="1">
        <f t="array" ref="U121">_xlfn.IFS(T121=1,"Poor",T121=2,"Fair",T121=3,"Good",T121=4,"Excellent")</f>
        <v>Excellent</v>
      </c>
      <c r="V121" s="5" t="s">
        <v>35</v>
      </c>
      <c r="W121" s="5">
        <v>25</v>
      </c>
      <c r="X121" s="28">
        <f t="shared" ca="1" si="18"/>
        <v>36980</v>
      </c>
      <c r="Y121" s="28">
        <f t="shared" ca="1" si="19"/>
        <v>46476</v>
      </c>
      <c r="Z121" s="28" t="str">
        <f t="shared" ca="1" si="20"/>
        <v>Due Soon</v>
      </c>
      <c r="AA121" s="5" t="str" cm="1">
        <f t="array" ref="AA121">_xlfn.IFS(W121&gt;10,"Veteran",W121&gt;=6,"Experienced",W121&gt;=2,"Developing",W121&gt;=0,"New")</f>
        <v>Veteran</v>
      </c>
      <c r="AB121" s="5" t="str" cm="1">
        <f t="array" ref="AB121">_xlfn.IFS(G121=1,"Junior",G121=2,"Mid-Level",G121=3,"Senior",G121=4,"Lead",G121=5,"Principal")&amp;" "&amp;TRIM(PROPER(H121))</f>
        <v>Lead Manager</v>
      </c>
      <c r="AC121" s="19" t="str">
        <f t="shared" ca="1" si="21"/>
        <v>Ma-Sal-2001-120 is a Lead Manager in the Sales department, aged 43, married and has been with the Company for 25years</v>
      </c>
    </row>
    <row r="122" spans="1:29">
      <c r="A122" s="18" t="str">
        <f t="shared" ca="1" si="11"/>
        <v>Re-Res-2016-121</v>
      </c>
      <c r="B122" s="5">
        <v>30</v>
      </c>
      <c r="C122" s="5" t="str">
        <f t="shared" si="12"/>
        <v>30-39</v>
      </c>
      <c r="D122" s="5" t="s">
        <v>43</v>
      </c>
      <c r="E122" s="5" t="s">
        <v>45</v>
      </c>
      <c r="F122" s="5" t="s">
        <v>46</v>
      </c>
      <c r="G122" s="5">
        <v>1</v>
      </c>
      <c r="H122" s="5" t="s">
        <v>47</v>
      </c>
      <c r="I122" s="5" t="s">
        <v>52</v>
      </c>
      <c r="J122" s="7">
        <v>2613</v>
      </c>
      <c r="K122" s="7">
        <f t="shared" si="13"/>
        <v>182.91000000000003</v>
      </c>
      <c r="L122" s="7">
        <f t="shared" si="14"/>
        <v>2430.09</v>
      </c>
      <c r="M122" s="7">
        <v>22310</v>
      </c>
      <c r="N122" s="5" t="s">
        <v>43</v>
      </c>
      <c r="O122" s="5">
        <v>25</v>
      </c>
      <c r="P122" s="7">
        <f t="shared" si="15"/>
        <v>3266.25</v>
      </c>
      <c r="Q122" s="7">
        <f t="shared" si="16"/>
        <v>7839</v>
      </c>
      <c r="R122" s="7" t="str">
        <f t="shared" si="17"/>
        <v>Normal</v>
      </c>
      <c r="S122" s="5">
        <v>4</v>
      </c>
      <c r="T122" s="5">
        <v>2</v>
      </c>
      <c r="U122" s="5" t="str" cm="1">
        <f t="array" ref="U122">_xlfn.IFS(T122=1,"Poor",T122=2,"Fair",T122=3,"Good",T122=4,"Excellent")</f>
        <v>Fair</v>
      </c>
      <c r="V122" s="5" t="s">
        <v>43</v>
      </c>
      <c r="W122" s="5">
        <v>10</v>
      </c>
      <c r="X122" s="28">
        <f t="shared" ca="1" si="18"/>
        <v>42459</v>
      </c>
      <c r="Y122" s="28">
        <f t="shared" ca="1" si="19"/>
        <v>46842</v>
      </c>
      <c r="Z122" s="28" t="str">
        <f t="shared" ca="1" si="20"/>
        <v>Upcoming</v>
      </c>
      <c r="AA122" s="5" t="str" cm="1">
        <f t="array" ref="AA122">_xlfn.IFS(W122&gt;10,"Veteran",W122&gt;=6,"Experienced",W122&gt;=2,"Developing",W122&gt;=0,"New")</f>
        <v>Experienced</v>
      </c>
      <c r="AB122" s="5" t="str" cm="1">
        <f t="array" ref="AB122">_xlfn.IFS(G122=1,"Junior",G122=2,"Mid-Level",G122=3,"Senior",G122=4,"Lead",G122=5,"Principal")&amp;" "&amp;TRIM(PROPER(H122))</f>
        <v>Junior Research Scientist</v>
      </c>
      <c r="AC122" s="19" t="str">
        <f t="shared" ca="1" si="21"/>
        <v>Re-Res-2016-121 is a Junior Research Scientist in the Research &amp; Development department, aged 30, divorced and has been with the Company for 10years</v>
      </c>
    </row>
    <row r="123" spans="1:29">
      <c r="A123" s="18" t="str">
        <f t="shared" ca="1" si="11"/>
        <v>Sa-Sal-2019-122</v>
      </c>
      <c r="B123" s="5">
        <v>33</v>
      </c>
      <c r="C123" s="5" t="str">
        <f t="shared" si="12"/>
        <v>30-39</v>
      </c>
      <c r="D123" s="5" t="s">
        <v>43</v>
      </c>
      <c r="E123" s="5" t="s">
        <v>37</v>
      </c>
      <c r="F123" s="5" t="s">
        <v>46</v>
      </c>
      <c r="G123" s="5">
        <v>2</v>
      </c>
      <c r="H123" s="5" t="s">
        <v>40</v>
      </c>
      <c r="I123" s="5" t="s">
        <v>48</v>
      </c>
      <c r="J123" s="7">
        <v>6146</v>
      </c>
      <c r="K123" s="7">
        <f t="shared" si="13"/>
        <v>921.9</v>
      </c>
      <c r="L123" s="7">
        <f t="shared" si="14"/>
        <v>5224.1000000000004</v>
      </c>
      <c r="M123" s="7">
        <v>15480</v>
      </c>
      <c r="N123" s="5" t="s">
        <v>43</v>
      </c>
      <c r="O123" s="5">
        <v>13</v>
      </c>
      <c r="P123" s="7">
        <f t="shared" si="15"/>
        <v>6944.98</v>
      </c>
      <c r="Q123" s="7">
        <f t="shared" si="16"/>
        <v>9587.7599999999948</v>
      </c>
      <c r="R123" s="7" t="str">
        <f t="shared" si="17"/>
        <v>Normal</v>
      </c>
      <c r="S123" s="5">
        <v>3</v>
      </c>
      <c r="T123" s="5">
        <v>4</v>
      </c>
      <c r="U123" s="5" t="str" cm="1">
        <f t="array" ref="U123">_xlfn.IFS(T123=1,"Poor",T123=2,"Fair",T123=3,"Good",T123=4,"Excellent")</f>
        <v>Excellent</v>
      </c>
      <c r="V123" s="5" t="s">
        <v>43</v>
      </c>
      <c r="W123" s="5">
        <v>7</v>
      </c>
      <c r="X123" s="28">
        <f t="shared" ca="1" si="18"/>
        <v>43554</v>
      </c>
      <c r="Y123" s="28">
        <f t="shared" ca="1" si="19"/>
        <v>46476</v>
      </c>
      <c r="Z123" s="28" t="str">
        <f t="shared" ca="1" si="20"/>
        <v>Due Soon</v>
      </c>
      <c r="AA123" s="5" t="str" cm="1">
        <f t="array" ref="AA123">_xlfn.IFS(W123&gt;10,"Veteran",W123&gt;=6,"Experienced",W123&gt;=2,"Developing",W123&gt;=0,"New")</f>
        <v>Experienced</v>
      </c>
      <c r="AB123" s="5" t="str" cm="1">
        <f t="array" ref="AB123">_xlfn.IFS(G123=1,"Junior",G123=2,"Mid-Level",G123=3,"Senior",G123=4,"Lead",G123=5,"Principal")&amp;" "&amp;TRIM(PROPER(H123))</f>
        <v>Mid-Level Sales Executive</v>
      </c>
      <c r="AC123" s="19" t="str">
        <f t="shared" ca="1" si="21"/>
        <v>Sa-Sal-2019-122 is a Mid-Level Sales Executive in the Sales department, aged 33, married and has been with the Company for 7years</v>
      </c>
    </row>
    <row r="124" spans="1:29">
      <c r="A124" s="18" t="str">
        <f t="shared" ca="1" si="11"/>
        <v>Re-Res-2021-123</v>
      </c>
      <c r="B124" s="5">
        <v>56</v>
      </c>
      <c r="C124" s="5" t="str">
        <f t="shared" si="12"/>
        <v>50+</v>
      </c>
      <c r="D124" s="5" t="s">
        <v>35</v>
      </c>
      <c r="E124" s="5" t="s">
        <v>45</v>
      </c>
      <c r="F124" s="5" t="s">
        <v>39</v>
      </c>
      <c r="G124" s="5">
        <v>1</v>
      </c>
      <c r="H124" s="5" t="s">
        <v>47</v>
      </c>
      <c r="I124" s="5" t="s">
        <v>48</v>
      </c>
      <c r="J124" s="7">
        <v>4963</v>
      </c>
      <c r="K124" s="7">
        <f t="shared" si="13"/>
        <v>744.44999999999993</v>
      </c>
      <c r="L124" s="7">
        <f t="shared" si="14"/>
        <v>4218.55</v>
      </c>
      <c r="M124" s="7">
        <v>4510</v>
      </c>
      <c r="N124" s="5" t="s">
        <v>35</v>
      </c>
      <c r="O124" s="5">
        <v>18</v>
      </c>
      <c r="P124" s="7">
        <f t="shared" si="15"/>
        <v>5856.34</v>
      </c>
      <c r="Q124" s="7">
        <f t="shared" si="16"/>
        <v>10720.080000000002</v>
      </c>
      <c r="R124" s="7" t="str">
        <f t="shared" si="17"/>
        <v>Normal</v>
      </c>
      <c r="S124" s="5">
        <v>3</v>
      </c>
      <c r="T124" s="5">
        <v>3</v>
      </c>
      <c r="U124" s="5" t="str" cm="1">
        <f t="array" ref="U124">_xlfn.IFS(T124=1,"Poor",T124=2,"Fair",T124=3,"Good",T124=4,"Excellent")</f>
        <v>Good</v>
      </c>
      <c r="V124" s="5" t="s">
        <v>35</v>
      </c>
      <c r="W124" s="5">
        <v>5</v>
      </c>
      <c r="X124" s="28">
        <f t="shared" ca="1" si="18"/>
        <v>44285</v>
      </c>
      <c r="Y124" s="28">
        <f t="shared" ca="1" si="19"/>
        <v>46476</v>
      </c>
      <c r="Z124" s="28" t="str">
        <f t="shared" ca="1" si="20"/>
        <v>Due Soon</v>
      </c>
      <c r="AA124" s="5" t="str" cm="1">
        <f t="array" ref="AA124">_xlfn.IFS(W124&gt;10,"Veteran",W124&gt;=6,"Experienced",W124&gt;=2,"Developing",W124&gt;=0,"New")</f>
        <v>Developing</v>
      </c>
      <c r="AB124" s="5" t="str" cm="1">
        <f t="array" ref="AB124">_xlfn.IFS(G124=1,"Junior",G124=2,"Mid-Level",G124=3,"Senior",G124=4,"Lead",G124=5,"Principal")&amp;" "&amp;TRIM(PROPER(H124))</f>
        <v>Junior Research Scientist</v>
      </c>
      <c r="AC124" s="19" t="str">
        <f t="shared" ca="1" si="21"/>
        <v>Re-Res-2021-123 is a Junior Research Scientist in the Research &amp; Development department, aged 56, married and has been with the Company for 5years</v>
      </c>
    </row>
    <row r="125" spans="1:29">
      <c r="A125" s="18" t="str">
        <f t="shared" ca="1" si="11"/>
        <v>Re-Res-2006-124</v>
      </c>
      <c r="B125" s="5">
        <v>51</v>
      </c>
      <c r="C125" s="5" t="str">
        <f t="shared" si="12"/>
        <v>50+</v>
      </c>
      <c r="D125" s="5" t="s">
        <v>43</v>
      </c>
      <c r="E125" s="5" t="s">
        <v>45</v>
      </c>
      <c r="F125" s="5" t="s">
        <v>46</v>
      </c>
      <c r="G125" s="5">
        <v>5</v>
      </c>
      <c r="H125" s="5" t="s">
        <v>58</v>
      </c>
      <c r="I125" s="5" t="s">
        <v>41</v>
      </c>
      <c r="J125" s="7">
        <v>19537</v>
      </c>
      <c r="K125" s="7">
        <f t="shared" si="13"/>
        <v>5861.0999999999995</v>
      </c>
      <c r="L125" s="7">
        <f t="shared" si="14"/>
        <v>13675.900000000001</v>
      </c>
      <c r="M125" s="7">
        <v>6462</v>
      </c>
      <c r="N125" s="5" t="s">
        <v>43</v>
      </c>
      <c r="O125" s="5">
        <v>13</v>
      </c>
      <c r="P125" s="7">
        <f t="shared" si="15"/>
        <v>22076.809999999998</v>
      </c>
      <c r="Q125" s="7">
        <f t="shared" si="16"/>
        <v>30477.719999999972</v>
      </c>
      <c r="R125" s="7" t="str">
        <f t="shared" si="17"/>
        <v>Normal</v>
      </c>
      <c r="S125" s="5">
        <v>3</v>
      </c>
      <c r="T125" s="5">
        <v>3</v>
      </c>
      <c r="U125" s="5" t="str" cm="1">
        <f t="array" ref="U125">_xlfn.IFS(T125=1,"Poor",T125=2,"Fair",T125=3,"Good",T125=4,"Excellent")</f>
        <v>Good</v>
      </c>
      <c r="V125" s="5" t="s">
        <v>43</v>
      </c>
      <c r="W125" s="5">
        <v>20</v>
      </c>
      <c r="X125" s="28">
        <f t="shared" ca="1" si="18"/>
        <v>38806</v>
      </c>
      <c r="Y125" s="28">
        <f t="shared" ca="1" si="19"/>
        <v>46842</v>
      </c>
      <c r="Z125" s="28" t="str">
        <f t="shared" ca="1" si="20"/>
        <v>Upcoming</v>
      </c>
      <c r="AA125" s="5" t="str" cm="1">
        <f t="array" ref="AA125">_xlfn.IFS(W125&gt;10,"Veteran",W125&gt;=6,"Experienced",W125&gt;=2,"Developing",W125&gt;=0,"New")</f>
        <v>Veteran</v>
      </c>
      <c r="AB125" s="5" t="str" cm="1">
        <f t="array" ref="AB125">_xlfn.IFS(G125=1,"Junior",G125=2,"Mid-Level",G125=3,"Senior",G125=4,"Lead",G125=5,"Principal")&amp;" "&amp;TRIM(PROPER(H125))</f>
        <v>Principal Research Director</v>
      </c>
      <c r="AC125" s="19" t="str">
        <f t="shared" ca="1" si="21"/>
        <v>Re-Res-2006-124 is a Principal Research Director in the Research &amp; Development department, aged 51, single and has been with the Company for 20years</v>
      </c>
    </row>
    <row r="126" spans="1:29">
      <c r="A126" s="18" t="str">
        <f t="shared" ca="1" si="11"/>
        <v>Sa-Sal-2019-125</v>
      </c>
      <c r="B126" s="5">
        <v>31</v>
      </c>
      <c r="C126" s="5" t="str">
        <f t="shared" si="12"/>
        <v>30-39</v>
      </c>
      <c r="D126" s="5" t="s">
        <v>35</v>
      </c>
      <c r="E126" s="5" t="s">
        <v>37</v>
      </c>
      <c r="F126" s="5" t="s">
        <v>46</v>
      </c>
      <c r="G126" s="5">
        <v>2</v>
      </c>
      <c r="H126" s="5" t="s">
        <v>40</v>
      </c>
      <c r="I126" s="5" t="s">
        <v>48</v>
      </c>
      <c r="J126" s="7">
        <v>6172</v>
      </c>
      <c r="K126" s="7">
        <f t="shared" si="13"/>
        <v>925.8</v>
      </c>
      <c r="L126" s="7">
        <f t="shared" si="14"/>
        <v>5246.2</v>
      </c>
      <c r="M126" s="7">
        <v>20739</v>
      </c>
      <c r="N126" s="5" t="s">
        <v>35</v>
      </c>
      <c r="O126" s="5">
        <v>18</v>
      </c>
      <c r="P126" s="7">
        <f t="shared" si="15"/>
        <v>7282.96</v>
      </c>
      <c r="Q126" s="7">
        <f t="shared" si="16"/>
        <v>13331.52</v>
      </c>
      <c r="R126" s="7" t="str">
        <f t="shared" si="17"/>
        <v>Normal</v>
      </c>
      <c r="S126" s="5">
        <v>3</v>
      </c>
      <c r="T126" s="5">
        <v>2</v>
      </c>
      <c r="U126" s="5" t="str" cm="1">
        <f t="array" ref="U126">_xlfn.IFS(T126=1,"Poor",T126=2,"Fair",T126=3,"Good",T126=4,"Excellent")</f>
        <v>Fair</v>
      </c>
      <c r="V126" s="5" t="s">
        <v>35</v>
      </c>
      <c r="W126" s="5">
        <v>7</v>
      </c>
      <c r="X126" s="28">
        <f t="shared" ca="1" si="18"/>
        <v>43554</v>
      </c>
      <c r="Y126" s="28">
        <f t="shared" ca="1" si="19"/>
        <v>46476</v>
      </c>
      <c r="Z126" s="28" t="str">
        <f t="shared" ca="1" si="20"/>
        <v>Due Soon</v>
      </c>
      <c r="AA126" s="5" t="str" cm="1">
        <f t="array" ref="AA126">_xlfn.IFS(W126&gt;10,"Veteran",W126&gt;=6,"Experienced",W126&gt;=2,"Developing",W126&gt;=0,"New")</f>
        <v>Experienced</v>
      </c>
      <c r="AB126" s="5" t="str" cm="1">
        <f t="array" ref="AB126">_xlfn.IFS(G126=1,"Junior",G126=2,"Mid-Level",G126=3,"Senior",G126=4,"Lead",G126=5,"Principal")&amp;" "&amp;TRIM(PROPER(H126))</f>
        <v>Mid-Level Sales Executive</v>
      </c>
      <c r="AC126" s="19" t="str">
        <f t="shared" ca="1" si="21"/>
        <v>Sa-Sal-2019-125 is a Mid-Level Sales Executive in the Sales department, aged 31, married and has been with the Company for 7years</v>
      </c>
    </row>
    <row r="127" spans="1:29">
      <c r="A127" s="18" t="str">
        <f t="shared" ca="1" si="11"/>
        <v>Re-Res-2021-126</v>
      </c>
      <c r="B127" s="5">
        <v>26</v>
      </c>
      <c r="C127" s="5" t="str">
        <f t="shared" si="12"/>
        <v>20-29</v>
      </c>
      <c r="D127" s="5" t="s">
        <v>43</v>
      </c>
      <c r="E127" s="5" t="s">
        <v>45</v>
      </c>
      <c r="F127" s="5" t="s">
        <v>39</v>
      </c>
      <c r="G127" s="5">
        <v>1</v>
      </c>
      <c r="H127" s="5" t="s">
        <v>47</v>
      </c>
      <c r="I127" s="5" t="s">
        <v>48</v>
      </c>
      <c r="J127" s="7">
        <v>2368</v>
      </c>
      <c r="K127" s="7">
        <f t="shared" si="13"/>
        <v>165.76000000000002</v>
      </c>
      <c r="L127" s="7">
        <f t="shared" si="14"/>
        <v>2202.2399999999998</v>
      </c>
      <c r="M127" s="7">
        <v>23300</v>
      </c>
      <c r="N127" s="5" t="s">
        <v>43</v>
      </c>
      <c r="O127" s="5">
        <v>19</v>
      </c>
      <c r="P127" s="7">
        <f t="shared" si="15"/>
        <v>2817.92</v>
      </c>
      <c r="Q127" s="7">
        <f t="shared" si="16"/>
        <v>5399.0400000000009</v>
      </c>
      <c r="R127" s="7" t="str">
        <f t="shared" si="17"/>
        <v>Normal</v>
      </c>
      <c r="S127" s="5">
        <v>3</v>
      </c>
      <c r="T127" s="5">
        <v>2</v>
      </c>
      <c r="U127" s="5" t="str" cm="1">
        <f t="array" ref="U127">_xlfn.IFS(T127=1,"Poor",T127=2,"Fair",T127=3,"Good",T127=4,"Excellent")</f>
        <v>Fair</v>
      </c>
      <c r="V127" s="5" t="s">
        <v>43</v>
      </c>
      <c r="W127" s="5">
        <v>5</v>
      </c>
      <c r="X127" s="28">
        <f t="shared" ca="1" si="18"/>
        <v>44285</v>
      </c>
      <c r="Y127" s="28">
        <f t="shared" ca="1" si="19"/>
        <v>46476</v>
      </c>
      <c r="Z127" s="28" t="str">
        <f t="shared" ca="1" si="20"/>
        <v>Due Soon</v>
      </c>
      <c r="AA127" s="5" t="str" cm="1">
        <f t="array" ref="AA127">_xlfn.IFS(W127&gt;10,"Veteran",W127&gt;=6,"Experienced",W127&gt;=2,"Developing",W127&gt;=0,"New")</f>
        <v>Developing</v>
      </c>
      <c r="AB127" s="5" t="str" cm="1">
        <f t="array" ref="AB127">_xlfn.IFS(G127=1,"Junior",G127=2,"Mid-Level",G127=3,"Senior",G127=4,"Lead",G127=5,"Principal")&amp;" "&amp;TRIM(PROPER(H127))</f>
        <v>Junior Research Scientist</v>
      </c>
      <c r="AC127" s="19" t="str">
        <f t="shared" ca="1" si="21"/>
        <v>Re-Res-2021-126 is a Junior Research Scientist in the Research &amp; Development department, aged 26, married and has been with the Company for 5years</v>
      </c>
    </row>
    <row r="128" spans="1:29">
      <c r="A128" s="18" t="str">
        <f t="shared" ca="1" si="11"/>
        <v>He-Res-1986-127</v>
      </c>
      <c r="B128" s="5">
        <v>58</v>
      </c>
      <c r="C128" s="5" t="str">
        <f t="shared" si="12"/>
        <v>50+</v>
      </c>
      <c r="D128" s="5" t="s">
        <v>35</v>
      </c>
      <c r="E128" s="5" t="s">
        <v>45</v>
      </c>
      <c r="F128" s="5" t="s">
        <v>39</v>
      </c>
      <c r="G128" s="5">
        <v>3</v>
      </c>
      <c r="H128" s="5" t="s">
        <v>54</v>
      </c>
      <c r="I128" s="5" t="s">
        <v>48</v>
      </c>
      <c r="J128" s="7">
        <v>10312</v>
      </c>
      <c r="K128" s="7">
        <f t="shared" si="13"/>
        <v>2268.64</v>
      </c>
      <c r="L128" s="7">
        <f t="shared" si="14"/>
        <v>8043.3600000000006</v>
      </c>
      <c r="M128" s="7">
        <v>3465</v>
      </c>
      <c r="N128" s="5" t="s">
        <v>43</v>
      </c>
      <c r="O128" s="5">
        <v>12</v>
      </c>
      <c r="P128" s="7">
        <f t="shared" si="15"/>
        <v>11549.44</v>
      </c>
      <c r="Q128" s="7">
        <f t="shared" si="16"/>
        <v>14849.280000000006</v>
      </c>
      <c r="R128" s="7" t="str">
        <f t="shared" si="17"/>
        <v>Normal</v>
      </c>
      <c r="S128" s="5">
        <v>3</v>
      </c>
      <c r="T128" s="5">
        <v>2</v>
      </c>
      <c r="U128" s="5" t="str" cm="1">
        <f t="array" ref="U128">_xlfn.IFS(T128=1,"Poor",T128=2,"Fair",T128=3,"Good",T128=4,"Excellent")</f>
        <v>Fair</v>
      </c>
      <c r="V128" s="5" t="s">
        <v>43</v>
      </c>
      <c r="W128" s="5">
        <v>40</v>
      </c>
      <c r="X128" s="28">
        <f t="shared" ca="1" si="18"/>
        <v>31501</v>
      </c>
      <c r="Y128" s="28">
        <f t="shared" ca="1" si="19"/>
        <v>46842</v>
      </c>
      <c r="Z128" s="28" t="str">
        <f t="shared" ca="1" si="20"/>
        <v>Upcoming</v>
      </c>
      <c r="AA128" s="5" t="str" cm="1">
        <f t="array" ref="AA128">_xlfn.IFS(W128&gt;10,"Veteran",W128&gt;=6,"Experienced",W128&gt;=2,"Developing",W128&gt;=0,"New")</f>
        <v>Veteran</v>
      </c>
      <c r="AB128" s="5" t="str" cm="1">
        <f t="array" ref="AB128">_xlfn.IFS(G128=1,"Junior",G128=2,"Mid-Level",G128=3,"Senior",G128=4,"Lead",G128=5,"Principal")&amp;" "&amp;TRIM(PROPER(H128))</f>
        <v>Senior Healthcare Representative</v>
      </c>
      <c r="AC128" s="19" t="str">
        <f t="shared" ca="1" si="21"/>
        <v>He-Res-1986-127 is a Senior Healthcare Representative in the Research &amp; Development department, aged 58, married and has been with the Company for 40years</v>
      </c>
    </row>
    <row r="129" spans="1:29">
      <c r="A129" s="18" t="str">
        <f t="shared" ca="1" si="11"/>
        <v>Sa-Sal-2026-128</v>
      </c>
      <c r="B129" s="5">
        <v>19</v>
      </c>
      <c r="C129" s="5" t="str">
        <f t="shared" si="12"/>
        <v>20-29</v>
      </c>
      <c r="D129" s="5" t="s">
        <v>35</v>
      </c>
      <c r="E129" s="5" t="s">
        <v>37</v>
      </c>
      <c r="F129" s="5" t="s">
        <v>46</v>
      </c>
      <c r="G129" s="5">
        <v>1</v>
      </c>
      <c r="H129" s="5" t="s">
        <v>57</v>
      </c>
      <c r="I129" s="5" t="s">
        <v>41</v>
      </c>
      <c r="J129" s="7">
        <v>1675</v>
      </c>
      <c r="K129" s="7">
        <f t="shared" si="13"/>
        <v>117.25000000000001</v>
      </c>
      <c r="L129" s="7">
        <f t="shared" si="14"/>
        <v>1557.75</v>
      </c>
      <c r="M129" s="7">
        <v>26820</v>
      </c>
      <c r="N129" s="5" t="s">
        <v>35</v>
      </c>
      <c r="O129" s="5">
        <v>19</v>
      </c>
      <c r="P129" s="7">
        <f t="shared" si="15"/>
        <v>1993.25</v>
      </c>
      <c r="Q129" s="7">
        <f t="shared" si="16"/>
        <v>3819</v>
      </c>
      <c r="R129" s="7" t="str">
        <f t="shared" si="17"/>
        <v>Normal</v>
      </c>
      <c r="S129" s="5">
        <v>3</v>
      </c>
      <c r="T129" s="5">
        <v>2</v>
      </c>
      <c r="U129" s="5" t="str" cm="1">
        <f t="array" ref="U129">_xlfn.IFS(T129=1,"Poor",T129=2,"Fair",T129=3,"Good",T129=4,"Excellent")</f>
        <v>Fair</v>
      </c>
      <c r="V129" s="5" t="s">
        <v>35</v>
      </c>
      <c r="W129" s="5">
        <v>0</v>
      </c>
      <c r="X129" s="28">
        <f t="shared" ca="1" si="18"/>
        <v>46111</v>
      </c>
      <c r="Y129" s="28">
        <f t="shared" ca="1" si="19"/>
        <v>46842</v>
      </c>
      <c r="Z129" s="28" t="str">
        <f t="shared" ca="1" si="20"/>
        <v>Upcoming</v>
      </c>
      <c r="AA129" s="5" t="str" cm="1">
        <f t="array" ref="AA129">_xlfn.IFS(W129&gt;10,"Veteran",W129&gt;=6,"Experienced",W129&gt;=2,"Developing",W129&gt;=0,"New")</f>
        <v>New</v>
      </c>
      <c r="AB129" s="5" t="str" cm="1">
        <f t="array" ref="AB129">_xlfn.IFS(G129=1,"Junior",G129=2,"Mid-Level",G129=3,"Senior",G129=4,"Lead",G129=5,"Principal")&amp;" "&amp;TRIM(PROPER(H129))</f>
        <v>Junior Sales Representative</v>
      </c>
      <c r="AC129" s="19" t="str">
        <f t="shared" ca="1" si="21"/>
        <v>Sa-Sal-2026-128 is a Junior Sales Representative in the Sales department, aged 19, single and has been with the Company for 0years</v>
      </c>
    </row>
    <row r="130" spans="1:29">
      <c r="A130" s="18" t="str">
        <f t="shared" ca="1" si="11"/>
        <v>La-Res-2024-129</v>
      </c>
      <c r="B130" s="5">
        <v>22</v>
      </c>
      <c r="C130" s="5" t="str">
        <f t="shared" si="12"/>
        <v>20-29</v>
      </c>
      <c r="D130" s="5" t="s">
        <v>43</v>
      </c>
      <c r="E130" s="5" t="s">
        <v>45</v>
      </c>
      <c r="F130" s="5" t="s">
        <v>46</v>
      </c>
      <c r="G130" s="5">
        <v>1</v>
      </c>
      <c r="H130" s="5" t="s">
        <v>50</v>
      </c>
      <c r="I130" s="5" t="s">
        <v>48</v>
      </c>
      <c r="J130" s="7">
        <v>2523</v>
      </c>
      <c r="K130" s="7">
        <f t="shared" si="13"/>
        <v>176.61</v>
      </c>
      <c r="L130" s="7">
        <f t="shared" si="14"/>
        <v>2346.39</v>
      </c>
      <c r="M130" s="7">
        <v>19299</v>
      </c>
      <c r="N130" s="5" t="s">
        <v>43</v>
      </c>
      <c r="O130" s="5">
        <v>14</v>
      </c>
      <c r="P130" s="7">
        <f t="shared" si="15"/>
        <v>2876.2200000000003</v>
      </c>
      <c r="Q130" s="7">
        <f t="shared" si="16"/>
        <v>4238.6400000000031</v>
      </c>
      <c r="R130" s="7" t="str">
        <f t="shared" si="17"/>
        <v>Normal</v>
      </c>
      <c r="S130" s="5">
        <v>3</v>
      </c>
      <c r="T130" s="5">
        <v>3</v>
      </c>
      <c r="U130" s="5" t="str" cm="1">
        <f t="array" ref="U130">_xlfn.IFS(T130=1,"Poor",T130=2,"Fair",T130=3,"Good",T130=4,"Excellent")</f>
        <v>Good</v>
      </c>
      <c r="V130" s="5" t="s">
        <v>43</v>
      </c>
      <c r="W130" s="5">
        <v>2</v>
      </c>
      <c r="X130" s="28">
        <f t="shared" ca="1" si="18"/>
        <v>45381</v>
      </c>
      <c r="Y130" s="28">
        <f t="shared" ca="1" si="19"/>
        <v>46842</v>
      </c>
      <c r="Z130" s="28" t="str">
        <f t="shared" ca="1" si="20"/>
        <v>Upcoming</v>
      </c>
      <c r="AA130" s="5" t="str" cm="1">
        <f t="array" ref="AA130">_xlfn.IFS(W130&gt;10,"Veteran",W130&gt;=6,"Experienced",W130&gt;=2,"Developing",W130&gt;=0,"New")</f>
        <v>Developing</v>
      </c>
      <c r="AB130" s="5" t="str" cm="1">
        <f t="array" ref="AB130">_xlfn.IFS(G130=1,"Junior",G130=2,"Mid-Level",G130=3,"Senior",G130=4,"Lead",G130=5,"Principal")&amp;" "&amp;TRIM(PROPER(H130))</f>
        <v>Junior Laboratory Technician</v>
      </c>
      <c r="AC130" s="19" t="str">
        <f t="shared" ca="1" si="21"/>
        <v>La-Res-2024-129 is a Junior Laboratory Technician in the Research &amp; Development department, aged 22, married and has been with the Company for 2years</v>
      </c>
    </row>
    <row r="131" spans="1:29">
      <c r="A131" s="18" t="str">
        <f t="shared" ref="A131:A194" ca="1" si="22">LEFT(H131,2)&amp;"-"&amp;LEFT(E131,3)&amp;"-"&amp;YEAR(TODAY())-W131&amp;"-"&amp;TEXT(ROW()-1,"000")</f>
        <v>Ma-Res-2011-130</v>
      </c>
      <c r="B131" s="5">
        <v>49</v>
      </c>
      <c r="C131" s="5" t="str">
        <f t="shared" ref="C131:C194" si="23">IF(B131&lt;=29,"20-29",IF(B131&lt;=39,"30-39",IF(B131&lt;=49,"40-49","50+")))</f>
        <v>40-49</v>
      </c>
      <c r="D131" s="5" t="s">
        <v>43</v>
      </c>
      <c r="E131" s="5" t="s">
        <v>45</v>
      </c>
      <c r="F131" s="5" t="s">
        <v>39</v>
      </c>
      <c r="G131" s="5">
        <v>2</v>
      </c>
      <c r="H131" s="5" t="s">
        <v>53</v>
      </c>
      <c r="I131" s="5" t="s">
        <v>48</v>
      </c>
      <c r="J131" s="7">
        <v>6567</v>
      </c>
      <c r="K131" s="7">
        <f t="shared" ref="K131:K194" si="24">IF(J131&gt;13000,J131*30%,IF(J131&gt;7000,J131*22%,IF(J131&gt;3000,J131*15%,J131*7%)))</f>
        <v>985.05</v>
      </c>
      <c r="L131" s="7">
        <f t="shared" ref="L131:L194" si="25">J131-K131</f>
        <v>5581.95</v>
      </c>
      <c r="M131" s="7">
        <v>5549</v>
      </c>
      <c r="N131" s="5" t="s">
        <v>43</v>
      </c>
      <c r="O131" s="5">
        <v>14</v>
      </c>
      <c r="P131" s="7">
        <f t="shared" ref="P131:P194" si="26">J131*(1+(O131/100))</f>
        <v>7486.380000000001</v>
      </c>
      <c r="Q131" s="7">
        <f t="shared" ref="Q131:Q194" si="27">(P131-J131)*12</f>
        <v>11032.560000000012</v>
      </c>
      <c r="R131" s="7" t="str">
        <f t="shared" ref="R131:R194" si="28">IF(AND(O131&lt;12,S131=4),"UnderPaid","Normal")</f>
        <v>Normal</v>
      </c>
      <c r="S131" s="5">
        <v>3</v>
      </c>
      <c r="T131" s="5">
        <v>2</v>
      </c>
      <c r="U131" s="5" t="str" cm="1">
        <f t="array" ref="U131">_xlfn.IFS(T131=1,"Poor",T131=2,"Fair",T131=3,"Good",T131=4,"Excellent")</f>
        <v>Fair</v>
      </c>
      <c r="V131" s="5" t="s">
        <v>43</v>
      </c>
      <c r="W131" s="5">
        <v>15</v>
      </c>
      <c r="X131" s="28">
        <f t="shared" ref="X131:X194" ca="1" si="29">EDATE(TODAY(),-W131*12)</f>
        <v>40632</v>
      </c>
      <c r="Y131" s="28">
        <f t="shared" ref="Y131:Y194" ca="1" si="30">EDATE(X131,(INT(W131/2)+1)*24)</f>
        <v>46476</v>
      </c>
      <c r="Z131" s="28" t="str">
        <f t="shared" ref="Z131:Z194" ca="1" si="31">IF(Y131&lt;=EDATE(TODAY(),12),"Due Soon","Upcoming")</f>
        <v>Due Soon</v>
      </c>
      <c r="AA131" s="5" t="str" cm="1">
        <f t="array" ref="AA131">_xlfn.IFS(W131&gt;10,"Veteran",W131&gt;=6,"Experienced",W131&gt;=2,"Developing",W131&gt;=0,"New")</f>
        <v>Veteran</v>
      </c>
      <c r="AB131" s="5" t="str" cm="1">
        <f t="array" ref="AB131">_xlfn.IFS(G131=1,"Junior",G131=2,"Mid-Level",G131=3,"Senior",G131=4,"Lead",G131=5,"Principal")&amp;" "&amp;TRIM(PROPER(H131))</f>
        <v>Mid-Level Manufacturing Director</v>
      </c>
      <c r="AC131" s="19" t="str">
        <f t="shared" ref="AC131:AC194" ca="1" si="32">A131&amp;" is a "&amp;AB131&amp;" in the "&amp;E131&amp;" department, aged "&amp;B131&amp;", "&amp;LOWER(I131)&amp;" and has been with the Company for "&amp;W131&amp;"years"</f>
        <v>Ma-Res-2011-130 is a Mid-Level Manufacturing Director in the Research &amp; Development department, aged 49, married and has been with the Company for 15years</v>
      </c>
    </row>
    <row r="132" spans="1:29">
      <c r="A132" s="18" t="str">
        <f t="shared" ca="1" si="22"/>
        <v>Re-Res-2023-131</v>
      </c>
      <c r="B132" s="5">
        <v>43</v>
      </c>
      <c r="C132" s="5" t="str">
        <f t="shared" si="23"/>
        <v>40-49</v>
      </c>
      <c r="D132" s="5" t="s">
        <v>43</v>
      </c>
      <c r="E132" s="5" t="s">
        <v>45</v>
      </c>
      <c r="F132" s="5" t="s">
        <v>39</v>
      </c>
      <c r="G132" s="5">
        <v>1</v>
      </c>
      <c r="H132" s="5" t="s">
        <v>47</v>
      </c>
      <c r="I132" s="5" t="s">
        <v>41</v>
      </c>
      <c r="J132" s="7">
        <v>4739</v>
      </c>
      <c r="K132" s="7">
        <f t="shared" si="24"/>
        <v>710.85</v>
      </c>
      <c r="L132" s="7">
        <f t="shared" si="25"/>
        <v>4028.15</v>
      </c>
      <c r="M132" s="7">
        <v>16090</v>
      </c>
      <c r="N132" s="5" t="s">
        <v>43</v>
      </c>
      <c r="O132" s="5">
        <v>12</v>
      </c>
      <c r="P132" s="7">
        <f t="shared" si="26"/>
        <v>5307.68</v>
      </c>
      <c r="Q132" s="7">
        <f t="shared" si="27"/>
        <v>6824.1600000000035</v>
      </c>
      <c r="R132" s="7" t="str">
        <f t="shared" si="28"/>
        <v>Normal</v>
      </c>
      <c r="S132" s="5">
        <v>3</v>
      </c>
      <c r="T132" s="5">
        <v>3</v>
      </c>
      <c r="U132" s="5" t="str" cm="1">
        <f t="array" ref="U132">_xlfn.IFS(T132=1,"Poor",T132=2,"Fair",T132=3,"Good",T132=4,"Excellent")</f>
        <v>Good</v>
      </c>
      <c r="V132" s="5" t="s">
        <v>43</v>
      </c>
      <c r="W132" s="5">
        <v>3</v>
      </c>
      <c r="X132" s="28">
        <f t="shared" ca="1" si="29"/>
        <v>45015</v>
      </c>
      <c r="Y132" s="28">
        <f t="shared" ca="1" si="30"/>
        <v>46476</v>
      </c>
      <c r="Z132" s="28" t="str">
        <f t="shared" ca="1" si="31"/>
        <v>Due Soon</v>
      </c>
      <c r="AA132" s="5" t="str" cm="1">
        <f t="array" ref="AA132">_xlfn.IFS(W132&gt;10,"Veteran",W132&gt;=6,"Experienced",W132&gt;=2,"Developing",W132&gt;=0,"New")</f>
        <v>Developing</v>
      </c>
      <c r="AB132" s="5" t="str" cm="1">
        <f t="array" ref="AB132">_xlfn.IFS(G132=1,"Junior",G132=2,"Mid-Level",G132=3,"Senior",G132=4,"Lead",G132=5,"Principal")&amp;" "&amp;TRIM(PROPER(H132))</f>
        <v>Junior Research Scientist</v>
      </c>
      <c r="AC132" s="19" t="str">
        <f t="shared" ca="1" si="32"/>
        <v>Re-Res-2023-131 is a Junior Research Scientist in the Research &amp; Development department, aged 43, single and has been with the Company for 3years</v>
      </c>
    </row>
    <row r="133" spans="1:29">
      <c r="A133" s="18" t="str">
        <f t="shared" ca="1" si="22"/>
        <v>Sa-Sal-2024-132</v>
      </c>
      <c r="B133" s="5">
        <v>50</v>
      </c>
      <c r="C133" s="5" t="str">
        <f t="shared" si="23"/>
        <v>50+</v>
      </c>
      <c r="D133" s="5" t="s">
        <v>43</v>
      </c>
      <c r="E133" s="5" t="s">
        <v>37</v>
      </c>
      <c r="F133" s="5" t="s">
        <v>39</v>
      </c>
      <c r="G133" s="5">
        <v>3</v>
      </c>
      <c r="H133" s="5" t="s">
        <v>40</v>
      </c>
      <c r="I133" s="5" t="s">
        <v>41</v>
      </c>
      <c r="J133" s="7">
        <v>9208</v>
      </c>
      <c r="K133" s="7">
        <f t="shared" si="24"/>
        <v>2025.76</v>
      </c>
      <c r="L133" s="7">
        <f t="shared" si="25"/>
        <v>7182.24</v>
      </c>
      <c r="M133" s="7">
        <v>6645</v>
      </c>
      <c r="N133" s="5" t="s">
        <v>43</v>
      </c>
      <c r="O133" s="5">
        <v>11</v>
      </c>
      <c r="P133" s="7">
        <f t="shared" si="26"/>
        <v>10220.880000000001</v>
      </c>
      <c r="Q133" s="7">
        <f t="shared" si="27"/>
        <v>12154.560000000012</v>
      </c>
      <c r="R133" s="7" t="str">
        <f t="shared" si="28"/>
        <v>Normal</v>
      </c>
      <c r="S133" s="5">
        <v>3</v>
      </c>
      <c r="T133" s="5">
        <v>3</v>
      </c>
      <c r="U133" s="5" t="str" cm="1">
        <f t="array" ref="U133">_xlfn.IFS(T133=1,"Poor",T133=2,"Fair",T133=3,"Good",T133=4,"Excellent")</f>
        <v>Good</v>
      </c>
      <c r="V133" s="5" t="s">
        <v>43</v>
      </c>
      <c r="W133" s="5">
        <v>2</v>
      </c>
      <c r="X133" s="28">
        <f t="shared" ca="1" si="29"/>
        <v>45381</v>
      </c>
      <c r="Y133" s="28">
        <f t="shared" ca="1" si="30"/>
        <v>46842</v>
      </c>
      <c r="Z133" s="28" t="str">
        <f t="shared" ca="1" si="31"/>
        <v>Upcoming</v>
      </c>
      <c r="AA133" s="5" t="str" cm="1">
        <f t="array" ref="AA133">_xlfn.IFS(W133&gt;10,"Veteran",W133&gt;=6,"Experienced",W133&gt;=2,"Developing",W133&gt;=0,"New")</f>
        <v>Developing</v>
      </c>
      <c r="AB133" s="5" t="str" cm="1">
        <f t="array" ref="AB133">_xlfn.IFS(G133=1,"Junior",G133=2,"Mid-Level",G133=3,"Senior",G133=4,"Lead",G133=5,"Principal")&amp;" "&amp;TRIM(PROPER(H133))</f>
        <v>Senior Sales Executive</v>
      </c>
      <c r="AC133" s="19" t="str">
        <f t="shared" ca="1" si="32"/>
        <v>Sa-Sal-2024-132 is a Senior Sales Executive in the Sales department, aged 50, single and has been with the Company for 2years</v>
      </c>
    </row>
    <row r="134" spans="1:29">
      <c r="A134" s="18" t="str">
        <f t="shared" ca="1" si="22"/>
        <v>Sa-Sal-2024-133</v>
      </c>
      <c r="B134" s="5">
        <v>31</v>
      </c>
      <c r="C134" s="5" t="str">
        <f t="shared" si="23"/>
        <v>30-39</v>
      </c>
      <c r="D134" s="5" t="s">
        <v>35</v>
      </c>
      <c r="E134" s="5" t="s">
        <v>37</v>
      </c>
      <c r="F134" s="5" t="s">
        <v>39</v>
      </c>
      <c r="G134" s="5">
        <v>2</v>
      </c>
      <c r="H134" s="5" t="s">
        <v>40</v>
      </c>
      <c r="I134" s="5" t="s">
        <v>48</v>
      </c>
      <c r="J134" s="7">
        <v>4559</v>
      </c>
      <c r="K134" s="7">
        <f t="shared" si="24"/>
        <v>683.85</v>
      </c>
      <c r="L134" s="7">
        <f t="shared" si="25"/>
        <v>3875.15</v>
      </c>
      <c r="M134" s="7">
        <v>24788</v>
      </c>
      <c r="N134" s="5" t="s">
        <v>35</v>
      </c>
      <c r="O134" s="5">
        <v>11</v>
      </c>
      <c r="P134" s="7">
        <f t="shared" si="26"/>
        <v>5060.4900000000007</v>
      </c>
      <c r="Q134" s="7">
        <f t="shared" si="27"/>
        <v>6017.8800000000083</v>
      </c>
      <c r="R134" s="7" t="str">
        <f t="shared" si="28"/>
        <v>Normal</v>
      </c>
      <c r="S134" s="5">
        <v>3</v>
      </c>
      <c r="T134" s="5">
        <v>3</v>
      </c>
      <c r="U134" s="5" t="str" cm="1">
        <f t="array" ref="U134">_xlfn.IFS(T134=1,"Poor",T134=2,"Fair",T134=3,"Good",T134=4,"Excellent")</f>
        <v>Good</v>
      </c>
      <c r="V134" s="5" t="s">
        <v>35</v>
      </c>
      <c r="W134" s="5">
        <v>2</v>
      </c>
      <c r="X134" s="28">
        <f t="shared" ca="1" si="29"/>
        <v>45381</v>
      </c>
      <c r="Y134" s="28">
        <f t="shared" ca="1" si="30"/>
        <v>46842</v>
      </c>
      <c r="Z134" s="28" t="str">
        <f t="shared" ca="1" si="31"/>
        <v>Upcoming</v>
      </c>
      <c r="AA134" s="5" t="str" cm="1">
        <f t="array" ref="AA134">_xlfn.IFS(W134&gt;10,"Veteran",W134&gt;=6,"Experienced",W134&gt;=2,"Developing",W134&gt;=0,"New")</f>
        <v>Developing</v>
      </c>
      <c r="AB134" s="5" t="str" cm="1">
        <f t="array" ref="AB134">_xlfn.IFS(G134=1,"Junior",G134=2,"Mid-Level",G134=3,"Senior",G134=4,"Lead",G134=5,"Principal")&amp;" "&amp;TRIM(PROPER(H134))</f>
        <v>Mid-Level Sales Executive</v>
      </c>
      <c r="AC134" s="19" t="str">
        <f t="shared" ca="1" si="32"/>
        <v>Sa-Sal-2024-133 is a Mid-Level Sales Executive in the Sales department, aged 31, married and has been with the Company for 2years</v>
      </c>
    </row>
    <row r="135" spans="1:29">
      <c r="A135" s="18" t="str">
        <f t="shared" ca="1" si="22"/>
        <v>Sa-Sal-2017-134</v>
      </c>
      <c r="B135" s="5">
        <v>41</v>
      </c>
      <c r="C135" s="5" t="str">
        <f t="shared" si="23"/>
        <v>40-49</v>
      </c>
      <c r="D135" s="5" t="s">
        <v>43</v>
      </c>
      <c r="E135" s="5" t="s">
        <v>37</v>
      </c>
      <c r="F135" s="5" t="s">
        <v>46</v>
      </c>
      <c r="G135" s="5">
        <v>3</v>
      </c>
      <c r="H135" s="5" t="s">
        <v>40</v>
      </c>
      <c r="I135" s="5" t="s">
        <v>52</v>
      </c>
      <c r="J135" s="7">
        <v>8189</v>
      </c>
      <c r="K135" s="7">
        <f t="shared" si="24"/>
        <v>1801.58</v>
      </c>
      <c r="L135" s="7">
        <f t="shared" si="25"/>
        <v>6387.42</v>
      </c>
      <c r="M135" s="7">
        <v>21196</v>
      </c>
      <c r="N135" s="5" t="s">
        <v>35</v>
      </c>
      <c r="O135" s="5">
        <v>13</v>
      </c>
      <c r="P135" s="7">
        <f t="shared" si="26"/>
        <v>9253.57</v>
      </c>
      <c r="Q135" s="7">
        <f t="shared" si="27"/>
        <v>12774.839999999997</v>
      </c>
      <c r="R135" s="7" t="str">
        <f t="shared" si="28"/>
        <v>Normal</v>
      </c>
      <c r="S135" s="5">
        <v>3</v>
      </c>
      <c r="T135" s="5">
        <v>3</v>
      </c>
      <c r="U135" s="5" t="str" cm="1">
        <f t="array" ref="U135">_xlfn.IFS(T135=1,"Poor",T135=2,"Fair",T135=3,"Good",T135=4,"Excellent")</f>
        <v>Good</v>
      </c>
      <c r="V135" s="5" t="s">
        <v>35</v>
      </c>
      <c r="W135" s="5">
        <v>9</v>
      </c>
      <c r="X135" s="28">
        <f t="shared" ca="1" si="29"/>
        <v>42824</v>
      </c>
      <c r="Y135" s="28">
        <f t="shared" ca="1" si="30"/>
        <v>46476</v>
      </c>
      <c r="Z135" s="28" t="str">
        <f t="shared" ca="1" si="31"/>
        <v>Due Soon</v>
      </c>
      <c r="AA135" s="5" t="str" cm="1">
        <f t="array" ref="AA135">_xlfn.IFS(W135&gt;10,"Veteran",W135&gt;=6,"Experienced",W135&gt;=2,"Developing",W135&gt;=0,"New")</f>
        <v>Experienced</v>
      </c>
      <c r="AB135" s="5" t="str" cm="1">
        <f t="array" ref="AB135">_xlfn.IFS(G135=1,"Junior",G135=2,"Mid-Level",G135=3,"Senior",G135=4,"Lead",G135=5,"Principal")&amp;" "&amp;TRIM(PROPER(H135))</f>
        <v>Senior Sales Executive</v>
      </c>
      <c r="AC135" s="19" t="str">
        <f t="shared" ca="1" si="32"/>
        <v>Sa-Sal-2017-134 is a Senior Sales Executive in the Sales department, aged 41, divorced and has been with the Company for 9years</v>
      </c>
    </row>
    <row r="136" spans="1:29">
      <c r="A136" s="18" t="str">
        <f t="shared" ca="1" si="22"/>
        <v>Hu-Hum-2018-135</v>
      </c>
      <c r="B136" s="5">
        <v>26</v>
      </c>
      <c r="C136" s="5" t="str">
        <f t="shared" si="23"/>
        <v>20-29</v>
      </c>
      <c r="D136" s="5" t="s">
        <v>43</v>
      </c>
      <c r="E136" s="5" t="s">
        <v>61</v>
      </c>
      <c r="F136" s="5" t="s">
        <v>39</v>
      </c>
      <c r="G136" s="5">
        <v>1</v>
      </c>
      <c r="H136" s="5" t="s">
        <v>61</v>
      </c>
      <c r="I136" s="5" t="s">
        <v>48</v>
      </c>
      <c r="J136" s="7">
        <v>2942</v>
      </c>
      <c r="K136" s="7">
        <f t="shared" si="24"/>
        <v>205.94000000000003</v>
      </c>
      <c r="L136" s="7">
        <f t="shared" si="25"/>
        <v>2736.06</v>
      </c>
      <c r="M136" s="7">
        <v>8916</v>
      </c>
      <c r="N136" s="5" t="s">
        <v>43</v>
      </c>
      <c r="O136" s="5">
        <v>23</v>
      </c>
      <c r="P136" s="7">
        <f t="shared" si="26"/>
        <v>3618.66</v>
      </c>
      <c r="Q136" s="7">
        <f t="shared" si="27"/>
        <v>8119.9199999999983</v>
      </c>
      <c r="R136" s="7" t="str">
        <f t="shared" si="28"/>
        <v>Normal</v>
      </c>
      <c r="S136" s="5">
        <v>4</v>
      </c>
      <c r="T136" s="5">
        <v>3</v>
      </c>
      <c r="U136" s="5" t="str" cm="1">
        <f t="array" ref="U136">_xlfn.IFS(T136=1,"Poor",T136=2,"Fair",T136=3,"Good",T136=4,"Excellent")</f>
        <v>Good</v>
      </c>
      <c r="V136" s="5" t="s">
        <v>43</v>
      </c>
      <c r="W136" s="5">
        <v>8</v>
      </c>
      <c r="X136" s="28">
        <f t="shared" ca="1" si="29"/>
        <v>43189</v>
      </c>
      <c r="Y136" s="28">
        <f t="shared" ca="1" si="30"/>
        <v>46842</v>
      </c>
      <c r="Z136" s="28" t="str">
        <f t="shared" ca="1" si="31"/>
        <v>Upcoming</v>
      </c>
      <c r="AA136" s="5" t="str" cm="1">
        <f t="array" ref="AA136">_xlfn.IFS(W136&gt;10,"Veteran",W136&gt;=6,"Experienced",W136&gt;=2,"Developing",W136&gt;=0,"New")</f>
        <v>Experienced</v>
      </c>
      <c r="AB136" s="5" t="str" cm="1">
        <f t="array" ref="AB136">_xlfn.IFS(G136=1,"Junior",G136=2,"Mid-Level",G136=3,"Senior",G136=4,"Lead",G136=5,"Principal")&amp;" "&amp;TRIM(PROPER(H136))</f>
        <v>Junior Human Resources</v>
      </c>
      <c r="AC136" s="19" t="str">
        <f t="shared" ca="1" si="32"/>
        <v>Hu-Hum-2018-135 is a Junior Human Resources in the Human Resources department, aged 26, married and has been with the Company for 8years</v>
      </c>
    </row>
    <row r="137" spans="1:29">
      <c r="A137" s="18" t="str">
        <f t="shared" ca="1" si="22"/>
        <v>Ma-Res-2023-136</v>
      </c>
      <c r="B137" s="5">
        <v>36</v>
      </c>
      <c r="C137" s="5" t="str">
        <f t="shared" si="23"/>
        <v>30-39</v>
      </c>
      <c r="D137" s="5" t="s">
        <v>43</v>
      </c>
      <c r="E137" s="5" t="s">
        <v>45</v>
      </c>
      <c r="F137" s="5" t="s">
        <v>46</v>
      </c>
      <c r="G137" s="5">
        <v>2</v>
      </c>
      <c r="H137" s="5" t="s">
        <v>53</v>
      </c>
      <c r="I137" s="5" t="s">
        <v>52</v>
      </c>
      <c r="J137" s="7">
        <v>4941</v>
      </c>
      <c r="K137" s="7">
        <f t="shared" si="24"/>
        <v>741.15</v>
      </c>
      <c r="L137" s="7">
        <f t="shared" si="25"/>
        <v>4199.8500000000004</v>
      </c>
      <c r="M137" s="7">
        <v>2819</v>
      </c>
      <c r="N137" s="5" t="s">
        <v>43</v>
      </c>
      <c r="O137" s="5">
        <v>20</v>
      </c>
      <c r="P137" s="7">
        <f t="shared" si="26"/>
        <v>5929.2</v>
      </c>
      <c r="Q137" s="7">
        <f t="shared" si="27"/>
        <v>11858.399999999998</v>
      </c>
      <c r="R137" s="7" t="str">
        <f t="shared" si="28"/>
        <v>Normal</v>
      </c>
      <c r="S137" s="5">
        <v>4</v>
      </c>
      <c r="T137" s="5">
        <v>3</v>
      </c>
      <c r="U137" s="5" t="str" cm="1">
        <f t="array" ref="U137">_xlfn.IFS(T137=1,"Poor",T137=2,"Fair",T137=3,"Good",T137=4,"Excellent")</f>
        <v>Good</v>
      </c>
      <c r="V137" s="5" t="s">
        <v>43</v>
      </c>
      <c r="W137" s="5">
        <v>3</v>
      </c>
      <c r="X137" s="28">
        <f t="shared" ca="1" si="29"/>
        <v>45015</v>
      </c>
      <c r="Y137" s="28">
        <f t="shared" ca="1" si="30"/>
        <v>46476</v>
      </c>
      <c r="Z137" s="28" t="str">
        <f t="shared" ca="1" si="31"/>
        <v>Due Soon</v>
      </c>
      <c r="AA137" s="5" t="str" cm="1">
        <f t="array" ref="AA137">_xlfn.IFS(W137&gt;10,"Veteran",W137&gt;=6,"Experienced",W137&gt;=2,"Developing",W137&gt;=0,"New")</f>
        <v>Developing</v>
      </c>
      <c r="AB137" s="5" t="str" cm="1">
        <f t="array" ref="AB137">_xlfn.IFS(G137=1,"Junior",G137=2,"Mid-Level",G137=3,"Senior",G137=4,"Lead",G137=5,"Principal")&amp;" "&amp;TRIM(PROPER(H137))</f>
        <v>Mid-Level Manufacturing Director</v>
      </c>
      <c r="AC137" s="19" t="str">
        <f t="shared" ca="1" si="32"/>
        <v>Ma-Res-2023-136 is a Mid-Level Manufacturing Director in the Research &amp; Development department, aged 36, divorced and has been with the Company for 3years</v>
      </c>
    </row>
    <row r="138" spans="1:29">
      <c r="A138" s="18" t="str">
        <f t="shared" ca="1" si="22"/>
        <v>Ma-Res-2022-137</v>
      </c>
      <c r="B138" s="5">
        <v>51</v>
      </c>
      <c r="C138" s="5" t="str">
        <f t="shared" si="23"/>
        <v>50+</v>
      </c>
      <c r="D138" s="5" t="s">
        <v>35</v>
      </c>
      <c r="E138" s="5" t="s">
        <v>45</v>
      </c>
      <c r="F138" s="5" t="s">
        <v>46</v>
      </c>
      <c r="G138" s="5">
        <v>3</v>
      </c>
      <c r="H138" s="5" t="s">
        <v>53</v>
      </c>
      <c r="I138" s="5" t="s">
        <v>41</v>
      </c>
      <c r="J138" s="7">
        <v>10650</v>
      </c>
      <c r="K138" s="7">
        <f t="shared" si="24"/>
        <v>2343</v>
      </c>
      <c r="L138" s="7">
        <f t="shared" si="25"/>
        <v>8307</v>
      </c>
      <c r="M138" s="7">
        <v>25150</v>
      </c>
      <c r="N138" s="5" t="s">
        <v>43</v>
      </c>
      <c r="O138" s="5">
        <v>15</v>
      </c>
      <c r="P138" s="7">
        <f t="shared" si="26"/>
        <v>12247.499999999998</v>
      </c>
      <c r="Q138" s="7">
        <f t="shared" si="27"/>
        <v>19169.999999999978</v>
      </c>
      <c r="R138" s="7" t="str">
        <f t="shared" si="28"/>
        <v>Normal</v>
      </c>
      <c r="S138" s="5">
        <v>3</v>
      </c>
      <c r="T138" s="5">
        <v>3</v>
      </c>
      <c r="U138" s="5" t="str" cm="1">
        <f t="array" ref="U138">_xlfn.IFS(T138=1,"Poor",T138=2,"Fair",T138=3,"Good",T138=4,"Excellent")</f>
        <v>Good</v>
      </c>
      <c r="V138" s="5" t="s">
        <v>43</v>
      </c>
      <c r="W138" s="5">
        <v>4</v>
      </c>
      <c r="X138" s="28">
        <f t="shared" ca="1" si="29"/>
        <v>44650</v>
      </c>
      <c r="Y138" s="28">
        <f t="shared" ca="1" si="30"/>
        <v>46842</v>
      </c>
      <c r="Z138" s="28" t="str">
        <f t="shared" ca="1" si="31"/>
        <v>Upcoming</v>
      </c>
      <c r="AA138" s="5" t="str" cm="1">
        <f t="array" ref="AA138">_xlfn.IFS(W138&gt;10,"Veteran",W138&gt;=6,"Experienced",W138&gt;=2,"Developing",W138&gt;=0,"New")</f>
        <v>Developing</v>
      </c>
      <c r="AB138" s="5" t="str" cm="1">
        <f t="array" ref="AB138">_xlfn.IFS(G138=1,"Junior",G138=2,"Mid-Level",G138=3,"Senior",G138=4,"Lead",G138=5,"Principal")&amp;" "&amp;TRIM(PROPER(H138))</f>
        <v>Senior Manufacturing Director</v>
      </c>
      <c r="AC138" s="19" t="str">
        <f t="shared" ca="1" si="32"/>
        <v>Ma-Res-2022-137 is a Senior Manufacturing Director in the Research &amp; Development department, aged 51, single and has been with the Company for 4years</v>
      </c>
    </row>
    <row r="139" spans="1:29">
      <c r="A139" s="18" t="str">
        <f t="shared" ca="1" si="22"/>
        <v>Sa-Sal-2011-138</v>
      </c>
      <c r="B139" s="5">
        <v>39</v>
      </c>
      <c r="C139" s="5" t="str">
        <f t="shared" si="23"/>
        <v>30-39</v>
      </c>
      <c r="D139" s="5" t="s">
        <v>43</v>
      </c>
      <c r="E139" s="5" t="s">
        <v>37</v>
      </c>
      <c r="F139" s="5" t="s">
        <v>39</v>
      </c>
      <c r="G139" s="5">
        <v>2</v>
      </c>
      <c r="H139" s="5" t="s">
        <v>40</v>
      </c>
      <c r="I139" s="5" t="s">
        <v>48</v>
      </c>
      <c r="J139" s="7">
        <v>5902</v>
      </c>
      <c r="K139" s="7">
        <f t="shared" si="24"/>
        <v>885.3</v>
      </c>
      <c r="L139" s="7">
        <f t="shared" si="25"/>
        <v>5016.7</v>
      </c>
      <c r="M139" s="7">
        <v>14590</v>
      </c>
      <c r="N139" s="5" t="s">
        <v>43</v>
      </c>
      <c r="O139" s="5">
        <v>14</v>
      </c>
      <c r="P139" s="7">
        <f t="shared" si="26"/>
        <v>6728.2800000000007</v>
      </c>
      <c r="Q139" s="7">
        <f t="shared" si="27"/>
        <v>9915.3600000000079</v>
      </c>
      <c r="R139" s="7" t="str">
        <f t="shared" si="28"/>
        <v>Normal</v>
      </c>
      <c r="S139" s="5">
        <v>3</v>
      </c>
      <c r="T139" s="5">
        <v>4</v>
      </c>
      <c r="U139" s="5" t="str" cm="1">
        <f t="array" ref="U139">_xlfn.IFS(T139=1,"Poor",T139=2,"Fair",T139=3,"Good",T139=4,"Excellent")</f>
        <v>Excellent</v>
      </c>
      <c r="V139" s="5" t="s">
        <v>43</v>
      </c>
      <c r="W139" s="5">
        <v>15</v>
      </c>
      <c r="X139" s="28">
        <f t="shared" ca="1" si="29"/>
        <v>40632</v>
      </c>
      <c r="Y139" s="28">
        <f t="shared" ca="1" si="30"/>
        <v>46476</v>
      </c>
      <c r="Z139" s="28" t="str">
        <f t="shared" ca="1" si="31"/>
        <v>Due Soon</v>
      </c>
      <c r="AA139" s="5" t="str" cm="1">
        <f t="array" ref="AA139">_xlfn.IFS(W139&gt;10,"Veteran",W139&gt;=6,"Experienced",W139&gt;=2,"Developing",W139&gt;=0,"New")</f>
        <v>Veteran</v>
      </c>
      <c r="AB139" s="5" t="str" cm="1">
        <f t="array" ref="AB139">_xlfn.IFS(G139=1,"Junior",G139=2,"Mid-Level",G139=3,"Senior",G139=4,"Lead",G139=5,"Principal")&amp;" "&amp;TRIM(PROPER(H139))</f>
        <v>Mid-Level Sales Executive</v>
      </c>
      <c r="AC139" s="19" t="str">
        <f t="shared" ca="1" si="32"/>
        <v>Sa-Sal-2011-138 is a Mid-Level Sales Executive in the Sales department, aged 39, married and has been with the Company for 15years</v>
      </c>
    </row>
    <row r="140" spans="1:29">
      <c r="A140" s="18" t="str">
        <f t="shared" ca="1" si="22"/>
        <v>Sa-Sal-2024-139</v>
      </c>
      <c r="B140" s="5">
        <v>25</v>
      </c>
      <c r="C140" s="5" t="str">
        <f t="shared" si="23"/>
        <v>20-29</v>
      </c>
      <c r="D140" s="5" t="s">
        <v>43</v>
      </c>
      <c r="E140" s="5" t="s">
        <v>37</v>
      </c>
      <c r="F140" s="5" t="s">
        <v>46</v>
      </c>
      <c r="G140" s="5">
        <v>2</v>
      </c>
      <c r="H140" s="5" t="s">
        <v>40</v>
      </c>
      <c r="I140" s="5" t="s">
        <v>48</v>
      </c>
      <c r="J140" s="7">
        <v>8639</v>
      </c>
      <c r="K140" s="7">
        <f t="shared" si="24"/>
        <v>1900.58</v>
      </c>
      <c r="L140" s="7">
        <f t="shared" si="25"/>
        <v>6738.42</v>
      </c>
      <c r="M140" s="7">
        <v>24835</v>
      </c>
      <c r="N140" s="5" t="s">
        <v>43</v>
      </c>
      <c r="O140" s="5">
        <v>18</v>
      </c>
      <c r="P140" s="7">
        <f t="shared" si="26"/>
        <v>10194.019999999999</v>
      </c>
      <c r="Q140" s="7">
        <f t="shared" si="27"/>
        <v>18660.239999999983</v>
      </c>
      <c r="R140" s="7" t="str">
        <f t="shared" si="28"/>
        <v>Normal</v>
      </c>
      <c r="S140" s="5">
        <v>3</v>
      </c>
      <c r="T140" s="5">
        <v>3</v>
      </c>
      <c r="U140" s="5" t="str" cm="1">
        <f t="array" ref="U140">_xlfn.IFS(T140=1,"Poor",T140=2,"Fair",T140=3,"Good",T140=4,"Excellent")</f>
        <v>Good</v>
      </c>
      <c r="V140" s="5" t="s">
        <v>43</v>
      </c>
      <c r="W140" s="5">
        <v>2</v>
      </c>
      <c r="X140" s="28">
        <f t="shared" ca="1" si="29"/>
        <v>45381</v>
      </c>
      <c r="Y140" s="28">
        <f t="shared" ca="1" si="30"/>
        <v>46842</v>
      </c>
      <c r="Z140" s="28" t="str">
        <f t="shared" ca="1" si="31"/>
        <v>Upcoming</v>
      </c>
      <c r="AA140" s="5" t="str" cm="1">
        <f t="array" ref="AA140">_xlfn.IFS(W140&gt;10,"Veteran",W140&gt;=6,"Experienced",W140&gt;=2,"Developing",W140&gt;=0,"New")</f>
        <v>Developing</v>
      </c>
      <c r="AB140" s="5" t="str" cm="1">
        <f t="array" ref="AB140">_xlfn.IFS(G140=1,"Junior",G140=2,"Mid-Level",G140=3,"Senior",G140=4,"Lead",G140=5,"Principal")&amp;" "&amp;TRIM(PROPER(H140))</f>
        <v>Mid-Level Sales Executive</v>
      </c>
      <c r="AC140" s="19" t="str">
        <f t="shared" ca="1" si="32"/>
        <v>Sa-Sal-2024-139 is a Mid-Level Sales Executive in the Sales department, aged 25, married and has been with the Company for 2years</v>
      </c>
    </row>
    <row r="141" spans="1:29">
      <c r="A141" s="18" t="str">
        <f t="shared" ca="1" si="22"/>
        <v>Hu-Hum-2015-140</v>
      </c>
      <c r="B141" s="5">
        <v>30</v>
      </c>
      <c r="C141" s="5" t="str">
        <f t="shared" si="23"/>
        <v>30-39</v>
      </c>
      <c r="D141" s="5" t="s">
        <v>43</v>
      </c>
      <c r="E141" s="5" t="s">
        <v>61</v>
      </c>
      <c r="F141" s="5" t="s">
        <v>46</v>
      </c>
      <c r="G141" s="5">
        <v>2</v>
      </c>
      <c r="H141" s="5" t="s">
        <v>61</v>
      </c>
      <c r="I141" s="5" t="s">
        <v>48</v>
      </c>
      <c r="J141" s="7">
        <v>6347</v>
      </c>
      <c r="K141" s="7">
        <f t="shared" si="24"/>
        <v>952.05</v>
      </c>
      <c r="L141" s="7">
        <f t="shared" si="25"/>
        <v>5394.95</v>
      </c>
      <c r="M141" s="7">
        <v>13982</v>
      </c>
      <c r="N141" s="5" t="s">
        <v>35</v>
      </c>
      <c r="O141" s="5">
        <v>19</v>
      </c>
      <c r="P141" s="7">
        <f t="shared" si="26"/>
        <v>7552.9299999999994</v>
      </c>
      <c r="Q141" s="7">
        <f t="shared" si="27"/>
        <v>14471.159999999993</v>
      </c>
      <c r="R141" s="7" t="str">
        <f t="shared" si="28"/>
        <v>Normal</v>
      </c>
      <c r="S141" s="5">
        <v>3</v>
      </c>
      <c r="T141" s="5">
        <v>1</v>
      </c>
      <c r="U141" s="5" t="str" cm="1">
        <f t="array" ref="U141">_xlfn.IFS(T141=1,"Poor",T141=2,"Fair",T141=3,"Good",T141=4,"Excellent")</f>
        <v>Poor</v>
      </c>
      <c r="V141" s="5" t="s">
        <v>35</v>
      </c>
      <c r="W141" s="5">
        <v>11</v>
      </c>
      <c r="X141" s="28">
        <f t="shared" ca="1" si="29"/>
        <v>42093</v>
      </c>
      <c r="Y141" s="28">
        <f t="shared" ca="1" si="30"/>
        <v>46476</v>
      </c>
      <c r="Z141" s="28" t="str">
        <f t="shared" ca="1" si="31"/>
        <v>Due Soon</v>
      </c>
      <c r="AA141" s="5" t="str" cm="1">
        <f t="array" ref="AA141">_xlfn.IFS(W141&gt;10,"Veteran",W141&gt;=6,"Experienced",W141&gt;=2,"Developing",W141&gt;=0,"New")</f>
        <v>Veteran</v>
      </c>
      <c r="AB141" s="5" t="str" cm="1">
        <f t="array" ref="AB141">_xlfn.IFS(G141=1,"Junior",G141=2,"Mid-Level",G141=3,"Senior",G141=4,"Lead",G141=5,"Principal")&amp;" "&amp;TRIM(PROPER(H141))</f>
        <v>Mid-Level Human Resources</v>
      </c>
      <c r="AC141" s="19" t="str">
        <f t="shared" ca="1" si="32"/>
        <v>Hu-Hum-2015-140 is a Mid-Level Human Resources in the Human Resources department, aged 30, married and has been with the Company for 11years</v>
      </c>
    </row>
    <row r="142" spans="1:29">
      <c r="A142" s="18" t="str">
        <f t="shared" ca="1" si="22"/>
        <v>La-Res-2021-141</v>
      </c>
      <c r="B142" s="5">
        <v>32</v>
      </c>
      <c r="C142" s="5" t="str">
        <f t="shared" si="23"/>
        <v>30-39</v>
      </c>
      <c r="D142" s="5" t="s">
        <v>35</v>
      </c>
      <c r="E142" s="5" t="s">
        <v>45</v>
      </c>
      <c r="F142" s="5" t="s">
        <v>39</v>
      </c>
      <c r="G142" s="5">
        <v>1</v>
      </c>
      <c r="H142" s="5" t="s">
        <v>50</v>
      </c>
      <c r="I142" s="5" t="s">
        <v>41</v>
      </c>
      <c r="J142" s="7">
        <v>4200</v>
      </c>
      <c r="K142" s="7">
        <f t="shared" si="24"/>
        <v>630</v>
      </c>
      <c r="L142" s="7">
        <f t="shared" si="25"/>
        <v>3570</v>
      </c>
      <c r="M142" s="7">
        <v>10224</v>
      </c>
      <c r="N142" s="5" t="s">
        <v>43</v>
      </c>
      <c r="O142" s="5">
        <v>22</v>
      </c>
      <c r="P142" s="7">
        <f t="shared" si="26"/>
        <v>5124</v>
      </c>
      <c r="Q142" s="7">
        <f t="shared" si="27"/>
        <v>11088</v>
      </c>
      <c r="R142" s="7" t="str">
        <f t="shared" si="28"/>
        <v>Normal</v>
      </c>
      <c r="S142" s="5">
        <v>4</v>
      </c>
      <c r="T142" s="5">
        <v>4</v>
      </c>
      <c r="U142" s="5" t="str" cm="1">
        <f t="array" ref="U142">_xlfn.IFS(T142=1,"Poor",T142=2,"Fair",T142=3,"Good",T142=4,"Excellent")</f>
        <v>Excellent</v>
      </c>
      <c r="V142" s="5" t="s">
        <v>43</v>
      </c>
      <c r="W142" s="5">
        <v>5</v>
      </c>
      <c r="X142" s="28">
        <f t="shared" ca="1" si="29"/>
        <v>44285</v>
      </c>
      <c r="Y142" s="28">
        <f t="shared" ca="1" si="30"/>
        <v>46476</v>
      </c>
      <c r="Z142" s="28" t="str">
        <f t="shared" ca="1" si="31"/>
        <v>Due Soon</v>
      </c>
      <c r="AA142" s="5" t="str" cm="1">
        <f t="array" ref="AA142">_xlfn.IFS(W142&gt;10,"Veteran",W142&gt;=6,"Experienced",W142&gt;=2,"Developing",W142&gt;=0,"New")</f>
        <v>Developing</v>
      </c>
      <c r="AB142" s="5" t="str" cm="1">
        <f t="array" ref="AB142">_xlfn.IFS(G142=1,"Junior",G142=2,"Mid-Level",G142=3,"Senior",G142=4,"Lead",G142=5,"Principal")&amp;" "&amp;TRIM(PROPER(H142))</f>
        <v>Junior Laboratory Technician</v>
      </c>
      <c r="AC142" s="19" t="str">
        <f t="shared" ca="1" si="32"/>
        <v>La-Res-2021-141 is a Junior Laboratory Technician in the Research &amp; Development department, aged 32, single and has been with the Company for 5years</v>
      </c>
    </row>
    <row r="143" spans="1:29">
      <c r="A143" s="18" t="str">
        <f t="shared" ca="1" si="22"/>
        <v>Re-Res-2020-142</v>
      </c>
      <c r="B143" s="5">
        <v>45</v>
      </c>
      <c r="C143" s="5" t="str">
        <f t="shared" si="23"/>
        <v>40-49</v>
      </c>
      <c r="D143" s="5" t="s">
        <v>43</v>
      </c>
      <c r="E143" s="5" t="s">
        <v>45</v>
      </c>
      <c r="F143" s="5" t="s">
        <v>46</v>
      </c>
      <c r="G143" s="5">
        <v>1</v>
      </c>
      <c r="H143" s="5" t="s">
        <v>47</v>
      </c>
      <c r="I143" s="5" t="s">
        <v>41</v>
      </c>
      <c r="J143" s="7">
        <v>3452</v>
      </c>
      <c r="K143" s="7">
        <f t="shared" si="24"/>
        <v>517.79999999999995</v>
      </c>
      <c r="L143" s="7">
        <f t="shared" si="25"/>
        <v>2934.2</v>
      </c>
      <c r="M143" s="7">
        <v>9752</v>
      </c>
      <c r="N143" s="5" t="s">
        <v>43</v>
      </c>
      <c r="O143" s="5">
        <v>13</v>
      </c>
      <c r="P143" s="7">
        <f t="shared" si="26"/>
        <v>3900.7599999999998</v>
      </c>
      <c r="Q143" s="7">
        <f t="shared" si="27"/>
        <v>5385.1199999999972</v>
      </c>
      <c r="R143" s="7" t="str">
        <f t="shared" si="28"/>
        <v>Normal</v>
      </c>
      <c r="S143" s="5">
        <v>3</v>
      </c>
      <c r="T143" s="5">
        <v>2</v>
      </c>
      <c r="U143" s="5" t="str" cm="1">
        <f t="array" ref="U143">_xlfn.IFS(T143=1,"Poor",T143=2,"Fair",T143=3,"Good",T143=4,"Excellent")</f>
        <v>Fair</v>
      </c>
      <c r="V143" s="5" t="s">
        <v>43</v>
      </c>
      <c r="W143" s="5">
        <v>6</v>
      </c>
      <c r="X143" s="28">
        <f t="shared" ca="1" si="29"/>
        <v>43920</v>
      </c>
      <c r="Y143" s="28">
        <f t="shared" ca="1" si="30"/>
        <v>46842</v>
      </c>
      <c r="Z143" s="28" t="str">
        <f t="shared" ca="1" si="31"/>
        <v>Upcoming</v>
      </c>
      <c r="AA143" s="5" t="str" cm="1">
        <f t="array" ref="AA143">_xlfn.IFS(W143&gt;10,"Veteran",W143&gt;=6,"Experienced",W143&gt;=2,"Developing",W143&gt;=0,"New")</f>
        <v>Experienced</v>
      </c>
      <c r="AB143" s="5" t="str" cm="1">
        <f t="array" ref="AB143">_xlfn.IFS(G143=1,"Junior",G143=2,"Mid-Level",G143=3,"Senior",G143=4,"Lead",G143=5,"Principal")&amp;" "&amp;TRIM(PROPER(H143))</f>
        <v>Junior Research Scientist</v>
      </c>
      <c r="AC143" s="19" t="str">
        <f t="shared" ca="1" si="32"/>
        <v>Re-Res-2020-142 is a Junior Research Scientist in the Research &amp; Development department, aged 45, single and has been with the Company for 6years</v>
      </c>
    </row>
    <row r="144" spans="1:29">
      <c r="A144" s="18" t="str">
        <f t="shared" ca="1" si="22"/>
        <v>Re-Res-2023-143</v>
      </c>
      <c r="B144" s="5">
        <v>38</v>
      </c>
      <c r="C144" s="5" t="str">
        <f t="shared" si="23"/>
        <v>30-39</v>
      </c>
      <c r="D144" s="5" t="s">
        <v>43</v>
      </c>
      <c r="E144" s="5" t="s">
        <v>45</v>
      </c>
      <c r="F144" s="5" t="s">
        <v>39</v>
      </c>
      <c r="G144" s="5">
        <v>2</v>
      </c>
      <c r="H144" s="5" t="s">
        <v>47</v>
      </c>
      <c r="I144" s="5" t="s">
        <v>41</v>
      </c>
      <c r="J144" s="7">
        <v>4317</v>
      </c>
      <c r="K144" s="7">
        <f t="shared" si="24"/>
        <v>647.54999999999995</v>
      </c>
      <c r="L144" s="7">
        <f t="shared" si="25"/>
        <v>3669.45</v>
      </c>
      <c r="M144" s="7">
        <v>2302</v>
      </c>
      <c r="N144" s="5" t="s">
        <v>35</v>
      </c>
      <c r="O144" s="5">
        <v>20</v>
      </c>
      <c r="P144" s="7">
        <f t="shared" si="26"/>
        <v>5180.3999999999996</v>
      </c>
      <c r="Q144" s="7">
        <f t="shared" si="27"/>
        <v>10360.799999999996</v>
      </c>
      <c r="R144" s="7" t="str">
        <f t="shared" si="28"/>
        <v>Normal</v>
      </c>
      <c r="S144" s="5">
        <v>4</v>
      </c>
      <c r="T144" s="5">
        <v>3</v>
      </c>
      <c r="U144" s="5" t="str" cm="1">
        <f t="array" ref="U144">_xlfn.IFS(T144=1,"Poor",T144=2,"Fair",T144=3,"Good",T144=4,"Excellent")</f>
        <v>Good</v>
      </c>
      <c r="V144" s="5" t="s">
        <v>35</v>
      </c>
      <c r="W144" s="5">
        <v>3</v>
      </c>
      <c r="X144" s="28">
        <f t="shared" ca="1" si="29"/>
        <v>45015</v>
      </c>
      <c r="Y144" s="28">
        <f t="shared" ca="1" si="30"/>
        <v>46476</v>
      </c>
      <c r="Z144" s="28" t="str">
        <f t="shared" ca="1" si="31"/>
        <v>Due Soon</v>
      </c>
      <c r="AA144" s="5" t="str" cm="1">
        <f t="array" ref="AA144">_xlfn.IFS(W144&gt;10,"Veteran",W144&gt;=6,"Experienced",W144&gt;=2,"Developing",W144&gt;=0,"New")</f>
        <v>Developing</v>
      </c>
      <c r="AB144" s="5" t="str" cm="1">
        <f t="array" ref="AB144">_xlfn.IFS(G144=1,"Junior",G144=2,"Mid-Level",G144=3,"Senior",G144=4,"Lead",G144=5,"Principal")&amp;" "&amp;TRIM(PROPER(H144))</f>
        <v>Mid-Level Research Scientist</v>
      </c>
      <c r="AC144" s="19" t="str">
        <f t="shared" ca="1" si="32"/>
        <v>Re-Res-2023-143 is a Mid-Level Research Scientist in the Research &amp; Development department, aged 38, single and has been with the Company for 3years</v>
      </c>
    </row>
    <row r="145" spans="1:29">
      <c r="A145" s="18" t="str">
        <f t="shared" ca="1" si="22"/>
        <v>Re-Res-2021-144</v>
      </c>
      <c r="B145" s="5">
        <v>30</v>
      </c>
      <c r="C145" s="5" t="str">
        <f t="shared" si="23"/>
        <v>30-39</v>
      </c>
      <c r="D145" s="5" t="s">
        <v>43</v>
      </c>
      <c r="E145" s="5" t="s">
        <v>45</v>
      </c>
      <c r="F145" s="5" t="s">
        <v>39</v>
      </c>
      <c r="G145" s="5">
        <v>1</v>
      </c>
      <c r="H145" s="5" t="s">
        <v>47</v>
      </c>
      <c r="I145" s="5" t="s">
        <v>41</v>
      </c>
      <c r="J145" s="7">
        <v>2632</v>
      </c>
      <c r="K145" s="7">
        <f t="shared" si="24"/>
        <v>184.24</v>
      </c>
      <c r="L145" s="7">
        <f t="shared" si="25"/>
        <v>2447.7600000000002</v>
      </c>
      <c r="M145" s="7">
        <v>23910</v>
      </c>
      <c r="N145" s="5" t="s">
        <v>43</v>
      </c>
      <c r="O145" s="5">
        <v>14</v>
      </c>
      <c r="P145" s="7">
        <f t="shared" si="26"/>
        <v>3000.4800000000005</v>
      </c>
      <c r="Q145" s="7">
        <f t="shared" si="27"/>
        <v>4421.7600000000057</v>
      </c>
      <c r="R145" s="7" t="str">
        <f t="shared" si="28"/>
        <v>Normal</v>
      </c>
      <c r="S145" s="5">
        <v>3</v>
      </c>
      <c r="T145" s="5">
        <v>2</v>
      </c>
      <c r="U145" s="5" t="str" cm="1">
        <f t="array" ref="U145">_xlfn.IFS(T145=1,"Poor",T145=2,"Fair",T145=3,"Good",T145=4,"Excellent")</f>
        <v>Fair</v>
      </c>
      <c r="V145" s="5" t="s">
        <v>43</v>
      </c>
      <c r="W145" s="5">
        <v>5</v>
      </c>
      <c r="X145" s="28">
        <f t="shared" ca="1" si="29"/>
        <v>44285</v>
      </c>
      <c r="Y145" s="28">
        <f t="shared" ca="1" si="30"/>
        <v>46476</v>
      </c>
      <c r="Z145" s="28" t="str">
        <f t="shared" ca="1" si="31"/>
        <v>Due Soon</v>
      </c>
      <c r="AA145" s="5" t="str" cm="1">
        <f t="array" ref="AA145">_xlfn.IFS(W145&gt;10,"Veteran",W145&gt;=6,"Experienced",W145&gt;=2,"Developing",W145&gt;=0,"New")</f>
        <v>Developing</v>
      </c>
      <c r="AB145" s="5" t="str" cm="1">
        <f t="array" ref="AB145">_xlfn.IFS(G145=1,"Junior",G145=2,"Mid-Level",G145=3,"Senior",G145=4,"Lead",G145=5,"Principal")&amp;" "&amp;TRIM(PROPER(H145))</f>
        <v>Junior Research Scientist</v>
      </c>
      <c r="AC145" s="19" t="str">
        <f t="shared" ca="1" si="32"/>
        <v>Re-Res-2021-144 is a Junior Research Scientist in the Research &amp; Development department, aged 30, single and has been with the Company for 5years</v>
      </c>
    </row>
    <row r="146" spans="1:29">
      <c r="A146" s="18" t="str">
        <f t="shared" ca="1" si="22"/>
        <v>Sa-Sal-2018-145</v>
      </c>
      <c r="B146" s="5">
        <v>32</v>
      </c>
      <c r="C146" s="5" t="str">
        <f t="shared" si="23"/>
        <v>30-39</v>
      </c>
      <c r="D146" s="5" t="s">
        <v>43</v>
      </c>
      <c r="E146" s="5" t="s">
        <v>37</v>
      </c>
      <c r="F146" s="5" t="s">
        <v>46</v>
      </c>
      <c r="G146" s="5">
        <v>2</v>
      </c>
      <c r="H146" s="5" t="s">
        <v>40</v>
      </c>
      <c r="I146" s="5" t="s">
        <v>52</v>
      </c>
      <c r="J146" s="7">
        <v>4668</v>
      </c>
      <c r="K146" s="7">
        <f t="shared" si="24"/>
        <v>700.19999999999993</v>
      </c>
      <c r="L146" s="7">
        <f t="shared" si="25"/>
        <v>3967.8</v>
      </c>
      <c r="M146" s="7">
        <v>22812</v>
      </c>
      <c r="N146" s="5" t="s">
        <v>43</v>
      </c>
      <c r="O146" s="5">
        <v>17</v>
      </c>
      <c r="P146" s="7">
        <f t="shared" si="26"/>
        <v>5461.5599999999995</v>
      </c>
      <c r="Q146" s="7">
        <f t="shared" si="27"/>
        <v>9522.7199999999939</v>
      </c>
      <c r="R146" s="7" t="str">
        <f t="shared" si="28"/>
        <v>Normal</v>
      </c>
      <c r="S146" s="5">
        <v>3</v>
      </c>
      <c r="T146" s="5">
        <v>4</v>
      </c>
      <c r="U146" s="5" t="str" cm="1">
        <f t="array" ref="U146">_xlfn.IFS(T146=1,"Poor",T146=2,"Fair",T146=3,"Good",T146=4,"Excellent")</f>
        <v>Excellent</v>
      </c>
      <c r="V146" s="5" t="s">
        <v>43</v>
      </c>
      <c r="W146" s="5">
        <v>8</v>
      </c>
      <c r="X146" s="28">
        <f t="shared" ca="1" si="29"/>
        <v>43189</v>
      </c>
      <c r="Y146" s="28">
        <f t="shared" ca="1" si="30"/>
        <v>46842</v>
      </c>
      <c r="Z146" s="28" t="str">
        <f t="shared" ca="1" si="31"/>
        <v>Upcoming</v>
      </c>
      <c r="AA146" s="5" t="str" cm="1">
        <f t="array" ref="AA146">_xlfn.IFS(W146&gt;10,"Veteran",W146&gt;=6,"Experienced",W146&gt;=2,"Developing",W146&gt;=0,"New")</f>
        <v>Experienced</v>
      </c>
      <c r="AB146" s="5" t="str" cm="1">
        <f t="array" ref="AB146">_xlfn.IFS(G146=1,"Junior",G146=2,"Mid-Level",G146=3,"Senior",G146=4,"Lead",G146=5,"Principal")&amp;" "&amp;TRIM(PROPER(H146))</f>
        <v>Mid-Level Sales Executive</v>
      </c>
      <c r="AC146" s="19" t="str">
        <f t="shared" ca="1" si="32"/>
        <v>Sa-Sal-2018-145 is a Mid-Level Sales Executive in the Sales department, aged 32, divorced and has been with the Company for 8years</v>
      </c>
    </row>
    <row r="147" spans="1:29">
      <c r="A147" s="18" t="str">
        <f t="shared" ca="1" si="22"/>
        <v>Re-Res-2023-146</v>
      </c>
      <c r="B147" s="5">
        <v>30</v>
      </c>
      <c r="C147" s="5" t="str">
        <f t="shared" si="23"/>
        <v>30-39</v>
      </c>
      <c r="D147" s="5" t="s">
        <v>43</v>
      </c>
      <c r="E147" s="5" t="s">
        <v>45</v>
      </c>
      <c r="F147" s="5" t="s">
        <v>39</v>
      </c>
      <c r="G147" s="5">
        <v>1</v>
      </c>
      <c r="H147" s="5" t="s">
        <v>47</v>
      </c>
      <c r="I147" s="5" t="s">
        <v>52</v>
      </c>
      <c r="J147" s="7">
        <v>3204</v>
      </c>
      <c r="K147" s="7">
        <f t="shared" si="24"/>
        <v>480.59999999999997</v>
      </c>
      <c r="L147" s="7">
        <f t="shared" si="25"/>
        <v>2723.4</v>
      </c>
      <c r="M147" s="7">
        <v>10415</v>
      </c>
      <c r="N147" s="5" t="s">
        <v>43</v>
      </c>
      <c r="O147" s="5">
        <v>14</v>
      </c>
      <c r="P147" s="7">
        <f t="shared" si="26"/>
        <v>3652.5600000000004</v>
      </c>
      <c r="Q147" s="7">
        <f t="shared" si="27"/>
        <v>5382.7200000000048</v>
      </c>
      <c r="R147" s="7" t="str">
        <f t="shared" si="28"/>
        <v>Normal</v>
      </c>
      <c r="S147" s="5">
        <v>3</v>
      </c>
      <c r="T147" s="5">
        <v>3</v>
      </c>
      <c r="U147" s="5" t="str" cm="1">
        <f t="array" ref="U147">_xlfn.IFS(T147=1,"Poor",T147=2,"Fair",T147=3,"Good",T147=4,"Excellent")</f>
        <v>Good</v>
      </c>
      <c r="V147" s="5" t="s">
        <v>43</v>
      </c>
      <c r="W147" s="5">
        <v>3</v>
      </c>
      <c r="X147" s="28">
        <f t="shared" ca="1" si="29"/>
        <v>45015</v>
      </c>
      <c r="Y147" s="28">
        <f t="shared" ca="1" si="30"/>
        <v>46476</v>
      </c>
      <c r="Z147" s="28" t="str">
        <f t="shared" ca="1" si="31"/>
        <v>Due Soon</v>
      </c>
      <c r="AA147" s="5" t="str" cm="1">
        <f t="array" ref="AA147">_xlfn.IFS(W147&gt;10,"Veteran",W147&gt;=6,"Experienced",W147&gt;=2,"Developing",W147&gt;=0,"New")</f>
        <v>Developing</v>
      </c>
      <c r="AB147" s="5" t="str" cm="1">
        <f t="array" ref="AB147">_xlfn.IFS(G147=1,"Junior",G147=2,"Mid-Level",G147=3,"Senior",G147=4,"Lead",G147=5,"Principal")&amp;" "&amp;TRIM(PROPER(H147))</f>
        <v>Junior Research Scientist</v>
      </c>
      <c r="AC147" s="19" t="str">
        <f t="shared" ca="1" si="32"/>
        <v>Re-Res-2023-146 is a Junior Research Scientist in the Research &amp; Development department, aged 30, divorced and has been with the Company for 3years</v>
      </c>
    </row>
    <row r="148" spans="1:29">
      <c r="A148" s="18" t="str">
        <f t="shared" ca="1" si="22"/>
        <v>La-Res-2021-147</v>
      </c>
      <c r="B148" s="5">
        <v>30</v>
      </c>
      <c r="C148" s="5" t="str">
        <f t="shared" si="23"/>
        <v>30-39</v>
      </c>
      <c r="D148" s="5" t="s">
        <v>43</v>
      </c>
      <c r="E148" s="5" t="s">
        <v>45</v>
      </c>
      <c r="F148" s="5" t="s">
        <v>46</v>
      </c>
      <c r="G148" s="5">
        <v>1</v>
      </c>
      <c r="H148" s="5" t="s">
        <v>50</v>
      </c>
      <c r="I148" s="5" t="s">
        <v>41</v>
      </c>
      <c r="J148" s="7">
        <v>2720</v>
      </c>
      <c r="K148" s="7">
        <f t="shared" si="24"/>
        <v>190.4</v>
      </c>
      <c r="L148" s="7">
        <f t="shared" si="25"/>
        <v>2529.6</v>
      </c>
      <c r="M148" s="7">
        <v>11162</v>
      </c>
      <c r="N148" s="5" t="s">
        <v>43</v>
      </c>
      <c r="O148" s="5">
        <v>13</v>
      </c>
      <c r="P148" s="7">
        <f t="shared" si="26"/>
        <v>3073.6</v>
      </c>
      <c r="Q148" s="7">
        <f t="shared" si="27"/>
        <v>4243.1999999999989</v>
      </c>
      <c r="R148" s="7" t="str">
        <f t="shared" si="28"/>
        <v>Normal</v>
      </c>
      <c r="S148" s="5">
        <v>3</v>
      </c>
      <c r="T148" s="5">
        <v>3</v>
      </c>
      <c r="U148" s="5" t="str" cm="1">
        <f t="array" ref="U148">_xlfn.IFS(T148=1,"Poor",T148=2,"Fair",T148=3,"Good",T148=4,"Excellent")</f>
        <v>Good</v>
      </c>
      <c r="V148" s="5" t="s">
        <v>43</v>
      </c>
      <c r="W148" s="5">
        <v>5</v>
      </c>
      <c r="X148" s="28">
        <f t="shared" ca="1" si="29"/>
        <v>44285</v>
      </c>
      <c r="Y148" s="28">
        <f t="shared" ca="1" si="30"/>
        <v>46476</v>
      </c>
      <c r="Z148" s="28" t="str">
        <f t="shared" ca="1" si="31"/>
        <v>Due Soon</v>
      </c>
      <c r="AA148" s="5" t="str" cm="1">
        <f t="array" ref="AA148">_xlfn.IFS(W148&gt;10,"Veteran",W148&gt;=6,"Experienced",W148&gt;=2,"Developing",W148&gt;=0,"New")</f>
        <v>Developing</v>
      </c>
      <c r="AB148" s="5" t="str" cm="1">
        <f t="array" ref="AB148">_xlfn.IFS(G148=1,"Junior",G148=2,"Mid-Level",G148=3,"Senior",G148=4,"Lead",G148=5,"Principal")&amp;" "&amp;TRIM(PROPER(H148))</f>
        <v>Junior Laboratory Technician</v>
      </c>
      <c r="AC148" s="19" t="str">
        <f t="shared" ca="1" si="32"/>
        <v>La-Res-2021-147 is a Junior Laboratory Technician in the Research &amp; Development department, aged 30, single and has been with the Company for 5years</v>
      </c>
    </row>
    <row r="149" spans="1:29">
      <c r="A149" s="18" t="str">
        <f t="shared" ca="1" si="22"/>
        <v>Ma-Res-2019-148</v>
      </c>
      <c r="B149" s="5">
        <v>41</v>
      </c>
      <c r="C149" s="5" t="str">
        <f t="shared" si="23"/>
        <v>40-49</v>
      </c>
      <c r="D149" s="5" t="s">
        <v>43</v>
      </c>
      <c r="E149" s="5" t="s">
        <v>45</v>
      </c>
      <c r="F149" s="5" t="s">
        <v>46</v>
      </c>
      <c r="G149" s="5">
        <v>4</v>
      </c>
      <c r="H149" s="5" t="s">
        <v>56</v>
      </c>
      <c r="I149" s="5" t="s">
        <v>52</v>
      </c>
      <c r="J149" s="7">
        <v>17181</v>
      </c>
      <c r="K149" s="7">
        <f t="shared" si="24"/>
        <v>5154.3</v>
      </c>
      <c r="L149" s="7">
        <f t="shared" si="25"/>
        <v>12026.7</v>
      </c>
      <c r="M149" s="7">
        <v>12888</v>
      </c>
      <c r="N149" s="5" t="s">
        <v>43</v>
      </c>
      <c r="O149" s="5">
        <v>13</v>
      </c>
      <c r="P149" s="7">
        <f t="shared" si="26"/>
        <v>19414.53</v>
      </c>
      <c r="Q149" s="7">
        <f t="shared" si="27"/>
        <v>26802.359999999986</v>
      </c>
      <c r="R149" s="7" t="str">
        <f t="shared" si="28"/>
        <v>Normal</v>
      </c>
      <c r="S149" s="5">
        <v>3</v>
      </c>
      <c r="T149" s="5">
        <v>2</v>
      </c>
      <c r="U149" s="5" t="str" cm="1">
        <f t="array" ref="U149">_xlfn.IFS(T149=1,"Poor",T149=2,"Fair",T149=3,"Good",T149=4,"Excellent")</f>
        <v>Fair</v>
      </c>
      <c r="V149" s="5" t="s">
        <v>43</v>
      </c>
      <c r="W149" s="5">
        <v>7</v>
      </c>
      <c r="X149" s="28">
        <f t="shared" ca="1" si="29"/>
        <v>43554</v>
      </c>
      <c r="Y149" s="28">
        <f t="shared" ca="1" si="30"/>
        <v>46476</v>
      </c>
      <c r="Z149" s="28" t="str">
        <f t="shared" ca="1" si="31"/>
        <v>Due Soon</v>
      </c>
      <c r="AA149" s="5" t="str" cm="1">
        <f t="array" ref="AA149">_xlfn.IFS(W149&gt;10,"Veteran",W149&gt;=6,"Experienced",W149&gt;=2,"Developing",W149&gt;=0,"New")</f>
        <v>Experienced</v>
      </c>
      <c r="AB149" s="5" t="str" cm="1">
        <f t="array" ref="AB149">_xlfn.IFS(G149=1,"Junior",G149=2,"Mid-Level",G149=3,"Senior",G149=4,"Lead",G149=5,"Principal")&amp;" "&amp;TRIM(PROPER(H149))</f>
        <v>Lead Manager</v>
      </c>
      <c r="AC149" s="19" t="str">
        <f t="shared" ca="1" si="32"/>
        <v>Ma-Res-2019-148 is a Lead Manager in the Research &amp; Development department, aged 41, divorced and has been with the Company for 7years</v>
      </c>
    </row>
    <row r="150" spans="1:29">
      <c r="A150" s="18" t="str">
        <f t="shared" ca="1" si="22"/>
        <v>La-Res-2021-149</v>
      </c>
      <c r="B150" s="5">
        <v>41</v>
      </c>
      <c r="C150" s="5" t="str">
        <f t="shared" si="23"/>
        <v>40-49</v>
      </c>
      <c r="D150" s="5" t="s">
        <v>43</v>
      </c>
      <c r="E150" s="5" t="s">
        <v>45</v>
      </c>
      <c r="F150" s="5" t="s">
        <v>46</v>
      </c>
      <c r="G150" s="5">
        <v>1</v>
      </c>
      <c r="H150" s="5" t="s">
        <v>50</v>
      </c>
      <c r="I150" s="5" t="s">
        <v>48</v>
      </c>
      <c r="J150" s="7">
        <v>2238</v>
      </c>
      <c r="K150" s="7">
        <f t="shared" si="24"/>
        <v>156.66000000000003</v>
      </c>
      <c r="L150" s="7">
        <f t="shared" si="25"/>
        <v>2081.34</v>
      </c>
      <c r="M150" s="7">
        <v>6961</v>
      </c>
      <c r="N150" s="5" t="s">
        <v>43</v>
      </c>
      <c r="O150" s="5">
        <v>21</v>
      </c>
      <c r="P150" s="7">
        <f t="shared" si="26"/>
        <v>2707.98</v>
      </c>
      <c r="Q150" s="7">
        <f t="shared" si="27"/>
        <v>5639.76</v>
      </c>
      <c r="R150" s="7" t="str">
        <f t="shared" si="28"/>
        <v>Normal</v>
      </c>
      <c r="S150" s="5">
        <v>4</v>
      </c>
      <c r="T150" s="5">
        <v>3</v>
      </c>
      <c r="U150" s="5" t="str" cm="1">
        <f t="array" ref="U150">_xlfn.IFS(T150=1,"Poor",T150=2,"Fair",T150=3,"Good",T150=4,"Excellent")</f>
        <v>Good</v>
      </c>
      <c r="V150" s="5" t="s">
        <v>43</v>
      </c>
      <c r="W150" s="5">
        <v>5</v>
      </c>
      <c r="X150" s="28">
        <f t="shared" ca="1" si="29"/>
        <v>44285</v>
      </c>
      <c r="Y150" s="28">
        <f t="shared" ca="1" si="30"/>
        <v>46476</v>
      </c>
      <c r="Z150" s="28" t="str">
        <f t="shared" ca="1" si="31"/>
        <v>Due Soon</v>
      </c>
      <c r="AA150" s="5" t="str" cm="1">
        <f t="array" ref="AA150">_xlfn.IFS(W150&gt;10,"Veteran",W150&gt;=6,"Experienced",W150&gt;=2,"Developing",W150&gt;=0,"New")</f>
        <v>Developing</v>
      </c>
      <c r="AB150" s="5" t="str" cm="1">
        <f t="array" ref="AB150">_xlfn.IFS(G150=1,"Junior",G150=2,"Mid-Level",G150=3,"Senior",G150=4,"Lead",G150=5,"Principal")&amp;" "&amp;TRIM(PROPER(H150))</f>
        <v>Junior Laboratory Technician</v>
      </c>
      <c r="AC150" s="19" t="str">
        <f t="shared" ca="1" si="32"/>
        <v>La-Res-2021-149 is a Junior Laboratory Technician in the Research &amp; Development department, aged 41, married and has been with the Company for 5years</v>
      </c>
    </row>
    <row r="151" spans="1:29">
      <c r="A151" s="18" t="str">
        <f t="shared" ca="1" si="22"/>
        <v>La-Res-2025-150</v>
      </c>
      <c r="B151" s="5">
        <v>19</v>
      </c>
      <c r="C151" s="5" t="str">
        <f t="shared" si="23"/>
        <v>20-29</v>
      </c>
      <c r="D151" s="5" t="s">
        <v>43</v>
      </c>
      <c r="E151" s="5" t="s">
        <v>45</v>
      </c>
      <c r="F151" s="5" t="s">
        <v>39</v>
      </c>
      <c r="G151" s="5">
        <v>1</v>
      </c>
      <c r="H151" s="5" t="s">
        <v>50</v>
      </c>
      <c r="I151" s="5" t="s">
        <v>41</v>
      </c>
      <c r="J151" s="7">
        <v>1483</v>
      </c>
      <c r="K151" s="7">
        <f t="shared" si="24"/>
        <v>103.81000000000002</v>
      </c>
      <c r="L151" s="7">
        <f t="shared" si="25"/>
        <v>1379.19</v>
      </c>
      <c r="M151" s="7">
        <v>16102</v>
      </c>
      <c r="N151" s="5" t="s">
        <v>43</v>
      </c>
      <c r="O151" s="5">
        <v>14</v>
      </c>
      <c r="P151" s="7">
        <f t="shared" si="26"/>
        <v>1690.6200000000001</v>
      </c>
      <c r="Q151" s="7">
        <f t="shared" si="27"/>
        <v>2491.4400000000014</v>
      </c>
      <c r="R151" s="7" t="str">
        <f t="shared" si="28"/>
        <v>Normal</v>
      </c>
      <c r="S151" s="5">
        <v>3</v>
      </c>
      <c r="T151" s="5">
        <v>3</v>
      </c>
      <c r="U151" s="5" t="str" cm="1">
        <f t="array" ref="U151">_xlfn.IFS(T151=1,"Poor",T151=2,"Fair",T151=3,"Good",T151=4,"Excellent")</f>
        <v>Good</v>
      </c>
      <c r="V151" s="5" t="s">
        <v>43</v>
      </c>
      <c r="W151" s="5">
        <v>1</v>
      </c>
      <c r="X151" s="28">
        <f t="shared" ca="1" si="29"/>
        <v>45746</v>
      </c>
      <c r="Y151" s="28">
        <f t="shared" ca="1" si="30"/>
        <v>46476</v>
      </c>
      <c r="Z151" s="28" t="str">
        <f t="shared" ca="1" si="31"/>
        <v>Due Soon</v>
      </c>
      <c r="AA151" s="5" t="str" cm="1">
        <f t="array" ref="AA151">_xlfn.IFS(W151&gt;10,"Veteran",W151&gt;=6,"Experienced",W151&gt;=2,"Developing",W151&gt;=0,"New")</f>
        <v>New</v>
      </c>
      <c r="AB151" s="5" t="str" cm="1">
        <f t="array" ref="AB151">_xlfn.IFS(G151=1,"Junior",G151=2,"Mid-Level",G151=3,"Senior",G151=4,"Lead",G151=5,"Principal")&amp;" "&amp;TRIM(PROPER(H151))</f>
        <v>Junior Laboratory Technician</v>
      </c>
      <c r="AC151" s="19" t="str">
        <f t="shared" ca="1" si="32"/>
        <v>La-Res-2025-150 is a Junior Laboratory Technician in the Research &amp; Development department, aged 19, single and has been with the Company for 1years</v>
      </c>
    </row>
    <row r="152" spans="1:29">
      <c r="A152" s="18" t="str">
        <f t="shared" ca="1" si="22"/>
        <v>Re-Res-2006-151</v>
      </c>
      <c r="B152" s="5">
        <v>40</v>
      </c>
      <c r="C152" s="5" t="str">
        <f t="shared" si="23"/>
        <v>40-49</v>
      </c>
      <c r="D152" s="5" t="s">
        <v>43</v>
      </c>
      <c r="E152" s="5" t="s">
        <v>45</v>
      </c>
      <c r="F152" s="5" t="s">
        <v>39</v>
      </c>
      <c r="G152" s="5">
        <v>2</v>
      </c>
      <c r="H152" s="5" t="s">
        <v>47</v>
      </c>
      <c r="I152" s="5" t="s">
        <v>52</v>
      </c>
      <c r="J152" s="7">
        <v>5605</v>
      </c>
      <c r="K152" s="7">
        <f t="shared" si="24"/>
        <v>840.75</v>
      </c>
      <c r="L152" s="7">
        <f t="shared" si="25"/>
        <v>4764.25</v>
      </c>
      <c r="M152" s="7">
        <v>8504</v>
      </c>
      <c r="N152" s="5" t="s">
        <v>43</v>
      </c>
      <c r="O152" s="5">
        <v>11</v>
      </c>
      <c r="P152" s="7">
        <f t="shared" si="26"/>
        <v>6221.55</v>
      </c>
      <c r="Q152" s="7">
        <f t="shared" si="27"/>
        <v>7398.6000000000022</v>
      </c>
      <c r="R152" s="7" t="str">
        <f t="shared" si="28"/>
        <v>Normal</v>
      </c>
      <c r="S152" s="5">
        <v>3</v>
      </c>
      <c r="T152" s="5">
        <v>3</v>
      </c>
      <c r="U152" s="5" t="str" cm="1">
        <f t="array" ref="U152">_xlfn.IFS(T152=1,"Poor",T152=2,"Fair",T152=3,"Good",T152=4,"Excellent")</f>
        <v>Good</v>
      </c>
      <c r="V152" s="5" t="s">
        <v>43</v>
      </c>
      <c r="W152" s="5">
        <v>20</v>
      </c>
      <c r="X152" s="28">
        <f t="shared" ca="1" si="29"/>
        <v>38806</v>
      </c>
      <c r="Y152" s="28">
        <f t="shared" ca="1" si="30"/>
        <v>46842</v>
      </c>
      <c r="Z152" s="28" t="str">
        <f t="shared" ca="1" si="31"/>
        <v>Upcoming</v>
      </c>
      <c r="AA152" s="5" t="str" cm="1">
        <f t="array" ref="AA152">_xlfn.IFS(W152&gt;10,"Veteran",W152&gt;=6,"Experienced",W152&gt;=2,"Developing",W152&gt;=0,"New")</f>
        <v>Veteran</v>
      </c>
      <c r="AB152" s="5" t="str" cm="1">
        <f t="array" ref="AB152">_xlfn.IFS(G152=1,"Junior",G152=2,"Mid-Level",G152=3,"Senior",G152=4,"Lead",G152=5,"Principal")&amp;" "&amp;TRIM(PROPER(H152))</f>
        <v>Mid-Level Research Scientist</v>
      </c>
      <c r="AC152" s="19" t="str">
        <f t="shared" ca="1" si="32"/>
        <v>Re-Res-2006-151 is a Mid-Level Research Scientist in the Research &amp; Development department, aged 40, divorced and has been with the Company for 20years</v>
      </c>
    </row>
    <row r="153" spans="1:29">
      <c r="A153" s="18" t="str">
        <f t="shared" ca="1" si="22"/>
        <v>Sa-Sal-2016-152</v>
      </c>
      <c r="B153" s="5">
        <v>35</v>
      </c>
      <c r="C153" s="5" t="str">
        <f t="shared" si="23"/>
        <v>30-39</v>
      </c>
      <c r="D153" s="5" t="s">
        <v>43</v>
      </c>
      <c r="E153" s="5" t="s">
        <v>37</v>
      </c>
      <c r="F153" s="5" t="s">
        <v>46</v>
      </c>
      <c r="G153" s="5">
        <v>3</v>
      </c>
      <c r="H153" s="5" t="s">
        <v>40</v>
      </c>
      <c r="I153" s="5" t="s">
        <v>48</v>
      </c>
      <c r="J153" s="7">
        <v>7295</v>
      </c>
      <c r="K153" s="7">
        <f t="shared" si="24"/>
        <v>1604.9</v>
      </c>
      <c r="L153" s="7">
        <f t="shared" si="25"/>
        <v>5690.1</v>
      </c>
      <c r="M153" s="7">
        <v>11439</v>
      </c>
      <c r="N153" s="5" t="s">
        <v>43</v>
      </c>
      <c r="O153" s="5">
        <v>13</v>
      </c>
      <c r="P153" s="7">
        <f t="shared" si="26"/>
        <v>8243.3499999999985</v>
      </c>
      <c r="Q153" s="7">
        <f t="shared" si="27"/>
        <v>11380.199999999983</v>
      </c>
      <c r="R153" s="7" t="str">
        <f t="shared" si="28"/>
        <v>Normal</v>
      </c>
      <c r="S153" s="5">
        <v>3</v>
      </c>
      <c r="T153" s="5">
        <v>3</v>
      </c>
      <c r="U153" s="5" t="str" cm="1">
        <f t="array" ref="U153">_xlfn.IFS(T153=1,"Poor",T153=2,"Fair",T153=3,"Good",T153=4,"Excellent")</f>
        <v>Good</v>
      </c>
      <c r="V153" s="5" t="s">
        <v>43</v>
      </c>
      <c r="W153" s="5">
        <v>10</v>
      </c>
      <c r="X153" s="28">
        <f t="shared" ca="1" si="29"/>
        <v>42459</v>
      </c>
      <c r="Y153" s="28">
        <f t="shared" ca="1" si="30"/>
        <v>46842</v>
      </c>
      <c r="Z153" s="28" t="str">
        <f t="shared" ca="1" si="31"/>
        <v>Upcoming</v>
      </c>
      <c r="AA153" s="5" t="str" cm="1">
        <f t="array" ref="AA153">_xlfn.IFS(W153&gt;10,"Veteran",W153&gt;=6,"Experienced",W153&gt;=2,"Developing",W153&gt;=0,"New")</f>
        <v>Experienced</v>
      </c>
      <c r="AB153" s="5" t="str" cm="1">
        <f t="array" ref="AB153">_xlfn.IFS(G153=1,"Junior",G153=2,"Mid-Level",G153=3,"Senior",G153=4,"Lead",G153=5,"Principal")&amp;" "&amp;TRIM(PROPER(H153))</f>
        <v>Senior Sales Executive</v>
      </c>
      <c r="AC153" s="19" t="str">
        <f t="shared" ca="1" si="32"/>
        <v>Sa-Sal-2016-152 is a Senior Sales Executive in the Sales department, aged 35, married and has been with the Company for 10years</v>
      </c>
    </row>
    <row r="154" spans="1:29">
      <c r="A154" s="18" t="str">
        <f t="shared" ca="1" si="22"/>
        <v>Sa-Sal-2019-153</v>
      </c>
      <c r="B154" s="5">
        <v>53</v>
      </c>
      <c r="C154" s="5" t="str">
        <f t="shared" si="23"/>
        <v>50+</v>
      </c>
      <c r="D154" s="5" t="s">
        <v>43</v>
      </c>
      <c r="E154" s="5" t="s">
        <v>37</v>
      </c>
      <c r="F154" s="5" t="s">
        <v>46</v>
      </c>
      <c r="G154" s="5">
        <v>2</v>
      </c>
      <c r="H154" s="5" t="s">
        <v>57</v>
      </c>
      <c r="I154" s="5" t="s">
        <v>48</v>
      </c>
      <c r="J154" s="7">
        <v>2306</v>
      </c>
      <c r="K154" s="7">
        <f t="shared" si="24"/>
        <v>161.42000000000002</v>
      </c>
      <c r="L154" s="7">
        <f t="shared" si="25"/>
        <v>2144.58</v>
      </c>
      <c r="M154" s="7">
        <v>16047</v>
      </c>
      <c r="N154" s="5" t="s">
        <v>35</v>
      </c>
      <c r="O154" s="5">
        <v>20</v>
      </c>
      <c r="P154" s="7">
        <f t="shared" si="26"/>
        <v>2767.2</v>
      </c>
      <c r="Q154" s="7">
        <f t="shared" si="27"/>
        <v>5534.3999999999978</v>
      </c>
      <c r="R154" s="7" t="str">
        <f t="shared" si="28"/>
        <v>Normal</v>
      </c>
      <c r="S154" s="5">
        <v>4</v>
      </c>
      <c r="T154" s="5">
        <v>1</v>
      </c>
      <c r="U154" s="5" t="str" cm="1">
        <f t="array" ref="U154">_xlfn.IFS(T154=1,"Poor",T154=2,"Fair",T154=3,"Good",T154=4,"Excellent")</f>
        <v>Poor</v>
      </c>
      <c r="V154" s="5" t="s">
        <v>35</v>
      </c>
      <c r="W154" s="5">
        <v>7</v>
      </c>
      <c r="X154" s="28">
        <f t="shared" ca="1" si="29"/>
        <v>43554</v>
      </c>
      <c r="Y154" s="28">
        <f t="shared" ca="1" si="30"/>
        <v>46476</v>
      </c>
      <c r="Z154" s="28" t="str">
        <f t="shared" ca="1" si="31"/>
        <v>Due Soon</v>
      </c>
      <c r="AA154" s="5" t="str" cm="1">
        <f t="array" ref="AA154">_xlfn.IFS(W154&gt;10,"Veteran",W154&gt;=6,"Experienced",W154&gt;=2,"Developing",W154&gt;=0,"New")</f>
        <v>Experienced</v>
      </c>
      <c r="AB154" s="5" t="str" cm="1">
        <f t="array" ref="AB154">_xlfn.IFS(G154=1,"Junior",G154=2,"Mid-Level",G154=3,"Senior",G154=4,"Lead",G154=5,"Principal")&amp;" "&amp;TRIM(PROPER(H154))</f>
        <v>Mid-Level Sales Representative</v>
      </c>
      <c r="AC154" s="19" t="str">
        <f t="shared" ca="1" si="32"/>
        <v>Sa-Sal-2019-153 is a Mid-Level Sales Representative in the Sales department, aged 53, married and has been with the Company for 7years</v>
      </c>
    </row>
    <row r="155" spans="1:29">
      <c r="A155" s="18" t="str">
        <f t="shared" ca="1" si="22"/>
        <v>La-Res-2009-154</v>
      </c>
      <c r="B155" s="5">
        <v>45</v>
      </c>
      <c r="C155" s="5" t="str">
        <f t="shared" si="23"/>
        <v>40-49</v>
      </c>
      <c r="D155" s="5" t="s">
        <v>43</v>
      </c>
      <c r="E155" s="5" t="s">
        <v>45</v>
      </c>
      <c r="F155" s="5" t="s">
        <v>46</v>
      </c>
      <c r="G155" s="5">
        <v>2</v>
      </c>
      <c r="H155" s="5" t="s">
        <v>50</v>
      </c>
      <c r="I155" s="5" t="s">
        <v>52</v>
      </c>
      <c r="J155" s="7">
        <v>2348</v>
      </c>
      <c r="K155" s="7">
        <f t="shared" si="24"/>
        <v>164.36</v>
      </c>
      <c r="L155" s="7">
        <f t="shared" si="25"/>
        <v>2183.64</v>
      </c>
      <c r="M155" s="7">
        <v>10901</v>
      </c>
      <c r="N155" s="5" t="s">
        <v>43</v>
      </c>
      <c r="O155" s="5">
        <v>18</v>
      </c>
      <c r="P155" s="7">
        <f t="shared" si="26"/>
        <v>2770.64</v>
      </c>
      <c r="Q155" s="7">
        <f t="shared" si="27"/>
        <v>5071.6799999999985</v>
      </c>
      <c r="R155" s="7" t="str">
        <f t="shared" si="28"/>
        <v>Normal</v>
      </c>
      <c r="S155" s="5">
        <v>3</v>
      </c>
      <c r="T155" s="5">
        <v>1</v>
      </c>
      <c r="U155" s="5" t="str" cm="1">
        <f t="array" ref="U155">_xlfn.IFS(T155=1,"Poor",T155=2,"Fair",T155=3,"Good",T155=4,"Excellent")</f>
        <v>Poor</v>
      </c>
      <c r="V155" s="5" t="s">
        <v>43</v>
      </c>
      <c r="W155" s="5">
        <v>17</v>
      </c>
      <c r="X155" s="28">
        <f t="shared" ca="1" si="29"/>
        <v>39902</v>
      </c>
      <c r="Y155" s="28">
        <f t="shared" ca="1" si="30"/>
        <v>46476</v>
      </c>
      <c r="Z155" s="28" t="str">
        <f t="shared" ca="1" si="31"/>
        <v>Due Soon</v>
      </c>
      <c r="AA155" s="5" t="str" cm="1">
        <f t="array" ref="AA155">_xlfn.IFS(W155&gt;10,"Veteran",W155&gt;=6,"Experienced",W155&gt;=2,"Developing",W155&gt;=0,"New")</f>
        <v>Veteran</v>
      </c>
      <c r="AB155" s="5" t="str" cm="1">
        <f t="array" ref="AB155">_xlfn.IFS(G155=1,"Junior",G155=2,"Mid-Level",G155=3,"Senior",G155=4,"Lead",G155=5,"Principal")&amp;" "&amp;TRIM(PROPER(H155))</f>
        <v>Mid-Level Laboratory Technician</v>
      </c>
      <c r="AC155" s="19" t="str">
        <f t="shared" ca="1" si="32"/>
        <v>La-Res-2009-154 is a Mid-Level Laboratory Technician in the Research &amp; Development department, aged 45, divorced and has been with the Company for 17years</v>
      </c>
    </row>
    <row r="156" spans="1:29">
      <c r="A156" s="18" t="str">
        <f t="shared" ca="1" si="22"/>
        <v>Sa-Sal-2017-155</v>
      </c>
      <c r="B156" s="5">
        <v>32</v>
      </c>
      <c r="C156" s="5" t="str">
        <f t="shared" si="23"/>
        <v>30-39</v>
      </c>
      <c r="D156" s="5" t="s">
        <v>43</v>
      </c>
      <c r="E156" s="5" t="s">
        <v>37</v>
      </c>
      <c r="F156" s="5" t="s">
        <v>39</v>
      </c>
      <c r="G156" s="5">
        <v>3</v>
      </c>
      <c r="H156" s="5" t="s">
        <v>40</v>
      </c>
      <c r="I156" s="5" t="s">
        <v>41</v>
      </c>
      <c r="J156" s="7">
        <v>8998</v>
      </c>
      <c r="K156" s="7">
        <f t="shared" si="24"/>
        <v>1979.56</v>
      </c>
      <c r="L156" s="7">
        <f t="shared" si="25"/>
        <v>7018.4400000000005</v>
      </c>
      <c r="M156" s="7">
        <v>15589</v>
      </c>
      <c r="N156" s="5" t="s">
        <v>43</v>
      </c>
      <c r="O156" s="5">
        <v>14</v>
      </c>
      <c r="P156" s="7">
        <f t="shared" si="26"/>
        <v>10257.720000000001</v>
      </c>
      <c r="Q156" s="7">
        <f t="shared" si="27"/>
        <v>15116.640000000014</v>
      </c>
      <c r="R156" s="7" t="str">
        <f t="shared" si="28"/>
        <v>Normal</v>
      </c>
      <c r="S156" s="5">
        <v>3</v>
      </c>
      <c r="T156" s="5">
        <v>3</v>
      </c>
      <c r="U156" s="5" t="str" cm="1">
        <f t="array" ref="U156">_xlfn.IFS(T156=1,"Poor",T156=2,"Fair",T156=3,"Good",T156=4,"Excellent")</f>
        <v>Good</v>
      </c>
      <c r="V156" s="5" t="s">
        <v>43</v>
      </c>
      <c r="W156" s="5">
        <v>9</v>
      </c>
      <c r="X156" s="28">
        <f t="shared" ca="1" si="29"/>
        <v>42824</v>
      </c>
      <c r="Y156" s="28">
        <f t="shared" ca="1" si="30"/>
        <v>46476</v>
      </c>
      <c r="Z156" s="28" t="str">
        <f t="shared" ca="1" si="31"/>
        <v>Due Soon</v>
      </c>
      <c r="AA156" s="5" t="str" cm="1">
        <f t="array" ref="AA156">_xlfn.IFS(W156&gt;10,"Veteran",W156&gt;=6,"Experienced",W156&gt;=2,"Developing",W156&gt;=0,"New")</f>
        <v>Experienced</v>
      </c>
      <c r="AB156" s="5" t="str" cm="1">
        <f t="array" ref="AB156">_xlfn.IFS(G156=1,"Junior",G156=2,"Mid-Level",G156=3,"Senior",G156=4,"Lead",G156=5,"Principal")&amp;" "&amp;TRIM(PROPER(H156))</f>
        <v>Senior Sales Executive</v>
      </c>
      <c r="AC156" s="19" t="str">
        <f t="shared" ca="1" si="32"/>
        <v>Sa-Sal-2017-155 is a Senior Sales Executive in the Sales department, aged 32, single and has been with the Company for 9years</v>
      </c>
    </row>
    <row r="157" spans="1:29">
      <c r="A157" s="18" t="str">
        <f t="shared" ca="1" si="22"/>
        <v>Ma-Res-2016-156</v>
      </c>
      <c r="B157" s="5">
        <v>29</v>
      </c>
      <c r="C157" s="5" t="str">
        <f t="shared" si="23"/>
        <v>20-29</v>
      </c>
      <c r="D157" s="5" t="s">
        <v>43</v>
      </c>
      <c r="E157" s="5" t="s">
        <v>45</v>
      </c>
      <c r="F157" s="5" t="s">
        <v>46</v>
      </c>
      <c r="G157" s="5">
        <v>2</v>
      </c>
      <c r="H157" s="5" t="s">
        <v>53</v>
      </c>
      <c r="I157" s="5" t="s">
        <v>48</v>
      </c>
      <c r="J157" s="7">
        <v>4319</v>
      </c>
      <c r="K157" s="7">
        <f t="shared" si="24"/>
        <v>647.85</v>
      </c>
      <c r="L157" s="7">
        <f t="shared" si="25"/>
        <v>3671.15</v>
      </c>
      <c r="M157" s="7">
        <v>26283</v>
      </c>
      <c r="N157" s="5" t="s">
        <v>43</v>
      </c>
      <c r="O157" s="5">
        <v>13</v>
      </c>
      <c r="P157" s="7">
        <f t="shared" si="26"/>
        <v>4880.4699999999993</v>
      </c>
      <c r="Q157" s="7">
        <f t="shared" si="27"/>
        <v>6737.6399999999921</v>
      </c>
      <c r="R157" s="7" t="str">
        <f t="shared" si="28"/>
        <v>Normal</v>
      </c>
      <c r="S157" s="5">
        <v>3</v>
      </c>
      <c r="T157" s="5">
        <v>3</v>
      </c>
      <c r="U157" s="5" t="str" cm="1">
        <f t="array" ref="U157">_xlfn.IFS(T157=1,"Poor",T157=2,"Fair",T157=3,"Good",T157=4,"Excellent")</f>
        <v>Good</v>
      </c>
      <c r="V157" s="5" t="s">
        <v>43</v>
      </c>
      <c r="W157" s="5">
        <v>10</v>
      </c>
      <c r="X157" s="28">
        <f t="shared" ca="1" si="29"/>
        <v>42459</v>
      </c>
      <c r="Y157" s="28">
        <f t="shared" ca="1" si="30"/>
        <v>46842</v>
      </c>
      <c r="Z157" s="28" t="str">
        <f t="shared" ca="1" si="31"/>
        <v>Upcoming</v>
      </c>
      <c r="AA157" s="5" t="str" cm="1">
        <f t="array" ref="AA157">_xlfn.IFS(W157&gt;10,"Veteran",W157&gt;=6,"Experienced",W157&gt;=2,"Developing",W157&gt;=0,"New")</f>
        <v>Experienced</v>
      </c>
      <c r="AB157" s="5" t="str" cm="1">
        <f t="array" ref="AB157">_xlfn.IFS(G157=1,"Junior",G157=2,"Mid-Level",G157=3,"Senior",G157=4,"Lead",G157=5,"Principal")&amp;" "&amp;TRIM(PROPER(H157))</f>
        <v>Mid-Level Manufacturing Director</v>
      </c>
      <c r="AC157" s="19" t="str">
        <f t="shared" ca="1" si="32"/>
        <v>Ma-Res-2016-156 is a Mid-Level Manufacturing Director in the Research &amp; Development department, aged 29, married and has been with the Company for 10years</v>
      </c>
    </row>
    <row r="158" spans="1:29">
      <c r="A158" s="18" t="str">
        <f t="shared" ca="1" si="22"/>
        <v>Ma-Res-2025-157</v>
      </c>
      <c r="B158" s="5">
        <v>51</v>
      </c>
      <c r="C158" s="5" t="str">
        <f t="shared" si="23"/>
        <v>50+</v>
      </c>
      <c r="D158" s="5" t="s">
        <v>43</v>
      </c>
      <c r="E158" s="5" t="s">
        <v>45</v>
      </c>
      <c r="F158" s="5" t="s">
        <v>46</v>
      </c>
      <c r="G158" s="5">
        <v>2</v>
      </c>
      <c r="H158" s="5" t="s">
        <v>53</v>
      </c>
      <c r="I158" s="5" t="s">
        <v>48</v>
      </c>
      <c r="J158" s="7">
        <v>6132</v>
      </c>
      <c r="K158" s="7">
        <f t="shared" si="24"/>
        <v>919.8</v>
      </c>
      <c r="L158" s="7">
        <f t="shared" si="25"/>
        <v>5212.2</v>
      </c>
      <c r="M158" s="7">
        <v>13983</v>
      </c>
      <c r="N158" s="5" t="s">
        <v>43</v>
      </c>
      <c r="O158" s="5">
        <v>17</v>
      </c>
      <c r="P158" s="7">
        <f t="shared" si="26"/>
        <v>7174.44</v>
      </c>
      <c r="Q158" s="7">
        <f t="shared" si="27"/>
        <v>12509.279999999995</v>
      </c>
      <c r="R158" s="7" t="str">
        <f t="shared" si="28"/>
        <v>Normal</v>
      </c>
      <c r="S158" s="5">
        <v>3</v>
      </c>
      <c r="T158" s="5">
        <v>3</v>
      </c>
      <c r="U158" s="5" t="str" cm="1">
        <f t="array" ref="U158">_xlfn.IFS(T158=1,"Poor",T158=2,"Fair",T158=3,"Good",T158=4,"Excellent")</f>
        <v>Good</v>
      </c>
      <c r="V158" s="5" t="s">
        <v>43</v>
      </c>
      <c r="W158" s="5">
        <v>1</v>
      </c>
      <c r="X158" s="28">
        <f t="shared" ca="1" si="29"/>
        <v>45746</v>
      </c>
      <c r="Y158" s="28">
        <f t="shared" ca="1" si="30"/>
        <v>46476</v>
      </c>
      <c r="Z158" s="28" t="str">
        <f t="shared" ca="1" si="31"/>
        <v>Due Soon</v>
      </c>
      <c r="AA158" s="5" t="str" cm="1">
        <f t="array" ref="AA158">_xlfn.IFS(W158&gt;10,"Veteran",W158&gt;=6,"Experienced",W158&gt;=2,"Developing",W158&gt;=0,"New")</f>
        <v>New</v>
      </c>
      <c r="AB158" s="5" t="str" cm="1">
        <f t="array" ref="AB158">_xlfn.IFS(G158=1,"Junior",G158=2,"Mid-Level",G158=3,"Senior",G158=4,"Lead",G158=5,"Principal")&amp;" "&amp;TRIM(PROPER(H158))</f>
        <v>Mid-Level Manufacturing Director</v>
      </c>
      <c r="AC158" s="19" t="str">
        <f t="shared" ca="1" si="32"/>
        <v>Ma-Res-2025-157 is a Mid-Level Manufacturing Director in the Research &amp; Development department, aged 51, married and has been with the Company for 1years</v>
      </c>
    </row>
    <row r="159" spans="1:29">
      <c r="A159" s="18" t="str">
        <f t="shared" ca="1" si="22"/>
        <v>Re-Res-2025-158</v>
      </c>
      <c r="B159" s="5">
        <v>58</v>
      </c>
      <c r="C159" s="5" t="str">
        <f t="shared" si="23"/>
        <v>50+</v>
      </c>
      <c r="D159" s="5" t="s">
        <v>43</v>
      </c>
      <c r="E159" s="5" t="s">
        <v>45</v>
      </c>
      <c r="F159" s="5" t="s">
        <v>39</v>
      </c>
      <c r="G159" s="5">
        <v>1</v>
      </c>
      <c r="H159" s="5" t="s">
        <v>47</v>
      </c>
      <c r="I159" s="5" t="s">
        <v>48</v>
      </c>
      <c r="J159" s="7">
        <v>3346</v>
      </c>
      <c r="K159" s="7">
        <f t="shared" si="24"/>
        <v>501.9</v>
      </c>
      <c r="L159" s="7">
        <f t="shared" si="25"/>
        <v>2844.1</v>
      </c>
      <c r="M159" s="7">
        <v>11873</v>
      </c>
      <c r="N159" s="5" t="s">
        <v>35</v>
      </c>
      <c r="O159" s="5">
        <v>20</v>
      </c>
      <c r="P159" s="7">
        <f t="shared" si="26"/>
        <v>4015.2</v>
      </c>
      <c r="Q159" s="7">
        <f t="shared" si="27"/>
        <v>8030.3999999999978</v>
      </c>
      <c r="R159" s="7" t="str">
        <f t="shared" si="28"/>
        <v>Normal</v>
      </c>
      <c r="S159" s="5">
        <v>4</v>
      </c>
      <c r="T159" s="5">
        <v>2</v>
      </c>
      <c r="U159" s="5" t="str" cm="1">
        <f t="array" ref="U159">_xlfn.IFS(T159=1,"Poor",T159=2,"Fair",T159=3,"Good",T159=4,"Excellent")</f>
        <v>Fair</v>
      </c>
      <c r="V159" s="5" t="s">
        <v>35</v>
      </c>
      <c r="W159" s="5">
        <v>1</v>
      </c>
      <c r="X159" s="28">
        <f t="shared" ca="1" si="29"/>
        <v>45746</v>
      </c>
      <c r="Y159" s="28">
        <f t="shared" ca="1" si="30"/>
        <v>46476</v>
      </c>
      <c r="Z159" s="28" t="str">
        <f t="shared" ca="1" si="31"/>
        <v>Due Soon</v>
      </c>
      <c r="AA159" s="5" t="str" cm="1">
        <f t="array" ref="AA159">_xlfn.IFS(W159&gt;10,"Veteran",W159&gt;=6,"Experienced",W159&gt;=2,"Developing",W159&gt;=0,"New")</f>
        <v>New</v>
      </c>
      <c r="AB159" s="5" t="str" cm="1">
        <f t="array" ref="AB159">_xlfn.IFS(G159=1,"Junior",G159=2,"Mid-Level",G159=3,"Senior",G159=4,"Lead",G159=5,"Principal")&amp;" "&amp;TRIM(PROPER(H159))</f>
        <v>Junior Research Scientist</v>
      </c>
      <c r="AC159" s="19" t="str">
        <f t="shared" ca="1" si="32"/>
        <v>Re-Res-2025-158 is a Junior Research Scientist in the Research &amp; Development department, aged 58, married and has been with the Company for 1years</v>
      </c>
    </row>
    <row r="160" spans="1:29">
      <c r="A160" s="18" t="str">
        <f t="shared" ca="1" si="22"/>
        <v>Sa-Sal-2014-159</v>
      </c>
      <c r="B160" s="5">
        <v>40</v>
      </c>
      <c r="C160" s="5" t="str">
        <f t="shared" si="23"/>
        <v>40-49</v>
      </c>
      <c r="D160" s="5" t="s">
        <v>43</v>
      </c>
      <c r="E160" s="5" t="s">
        <v>37</v>
      </c>
      <c r="F160" s="5" t="s">
        <v>46</v>
      </c>
      <c r="G160" s="5">
        <v>3</v>
      </c>
      <c r="H160" s="5" t="s">
        <v>40</v>
      </c>
      <c r="I160" s="5" t="s">
        <v>48</v>
      </c>
      <c r="J160" s="7">
        <v>10855</v>
      </c>
      <c r="K160" s="7">
        <f t="shared" si="24"/>
        <v>2388.1</v>
      </c>
      <c r="L160" s="7">
        <f t="shared" si="25"/>
        <v>8466.9</v>
      </c>
      <c r="M160" s="7">
        <v>8552</v>
      </c>
      <c r="N160" s="5" t="s">
        <v>43</v>
      </c>
      <c r="O160" s="5">
        <v>11</v>
      </c>
      <c r="P160" s="7">
        <f t="shared" si="26"/>
        <v>12049.050000000001</v>
      </c>
      <c r="Q160" s="7">
        <f t="shared" si="27"/>
        <v>14328.600000000013</v>
      </c>
      <c r="R160" s="7" t="str">
        <f t="shared" si="28"/>
        <v>Normal</v>
      </c>
      <c r="S160" s="5">
        <v>3</v>
      </c>
      <c r="T160" s="5">
        <v>2</v>
      </c>
      <c r="U160" s="5" t="str" cm="1">
        <f t="array" ref="U160">_xlfn.IFS(T160=1,"Poor",T160=2,"Fair",T160=3,"Good",T160=4,"Excellent")</f>
        <v>Fair</v>
      </c>
      <c r="V160" s="5" t="s">
        <v>43</v>
      </c>
      <c r="W160" s="5">
        <v>12</v>
      </c>
      <c r="X160" s="28">
        <f t="shared" ca="1" si="29"/>
        <v>41728</v>
      </c>
      <c r="Y160" s="28">
        <f t="shared" ca="1" si="30"/>
        <v>46842</v>
      </c>
      <c r="Z160" s="28" t="str">
        <f t="shared" ca="1" si="31"/>
        <v>Upcoming</v>
      </c>
      <c r="AA160" s="5" t="str" cm="1">
        <f t="array" ref="AA160">_xlfn.IFS(W160&gt;10,"Veteran",W160&gt;=6,"Experienced",W160&gt;=2,"Developing",W160&gt;=0,"New")</f>
        <v>Veteran</v>
      </c>
      <c r="AB160" s="5" t="str" cm="1">
        <f t="array" ref="AB160">_xlfn.IFS(G160=1,"Junior",G160=2,"Mid-Level",G160=3,"Senior",G160=4,"Lead",G160=5,"Principal")&amp;" "&amp;TRIM(PROPER(H160))</f>
        <v>Senior Sales Executive</v>
      </c>
      <c r="AC160" s="19" t="str">
        <f t="shared" ca="1" si="32"/>
        <v>Sa-Sal-2014-159 is a Senior Sales Executive in the Sales department, aged 40, married and has been with the Company for 12years</v>
      </c>
    </row>
    <row r="161" spans="1:29">
      <c r="A161" s="18" t="str">
        <f t="shared" ca="1" si="22"/>
        <v>Sa-Sal-2022-160</v>
      </c>
      <c r="B161" s="5">
        <v>34</v>
      </c>
      <c r="C161" s="5" t="str">
        <f t="shared" si="23"/>
        <v>30-39</v>
      </c>
      <c r="D161" s="5" t="s">
        <v>43</v>
      </c>
      <c r="E161" s="5" t="s">
        <v>37</v>
      </c>
      <c r="F161" s="5" t="s">
        <v>39</v>
      </c>
      <c r="G161" s="5">
        <v>1</v>
      </c>
      <c r="H161" s="5" t="s">
        <v>57</v>
      </c>
      <c r="I161" s="5" t="s">
        <v>48</v>
      </c>
      <c r="J161" s="7">
        <v>2231</v>
      </c>
      <c r="K161" s="7">
        <f t="shared" si="24"/>
        <v>156.17000000000002</v>
      </c>
      <c r="L161" s="7">
        <f t="shared" si="25"/>
        <v>2074.83</v>
      </c>
      <c r="M161" s="7">
        <v>11314</v>
      </c>
      <c r="N161" s="5" t="s">
        <v>43</v>
      </c>
      <c r="O161" s="5">
        <v>18</v>
      </c>
      <c r="P161" s="7">
        <f t="shared" si="26"/>
        <v>2632.58</v>
      </c>
      <c r="Q161" s="7">
        <f t="shared" si="27"/>
        <v>4818.9599999999991</v>
      </c>
      <c r="R161" s="7" t="str">
        <f t="shared" si="28"/>
        <v>Normal</v>
      </c>
      <c r="S161" s="5">
        <v>3</v>
      </c>
      <c r="T161" s="5">
        <v>3</v>
      </c>
      <c r="U161" s="5" t="str" cm="1">
        <f t="array" ref="U161">_xlfn.IFS(T161=1,"Poor",T161=2,"Fair",T161=3,"Good",T161=4,"Excellent")</f>
        <v>Good</v>
      </c>
      <c r="V161" s="5" t="s">
        <v>43</v>
      </c>
      <c r="W161" s="5">
        <v>4</v>
      </c>
      <c r="X161" s="28">
        <f t="shared" ca="1" si="29"/>
        <v>44650</v>
      </c>
      <c r="Y161" s="28">
        <f t="shared" ca="1" si="30"/>
        <v>46842</v>
      </c>
      <c r="Z161" s="28" t="str">
        <f t="shared" ca="1" si="31"/>
        <v>Upcoming</v>
      </c>
      <c r="AA161" s="5" t="str" cm="1">
        <f t="array" ref="AA161">_xlfn.IFS(W161&gt;10,"Veteran",W161&gt;=6,"Experienced",W161&gt;=2,"Developing",W161&gt;=0,"New")</f>
        <v>Developing</v>
      </c>
      <c r="AB161" s="5" t="str" cm="1">
        <f t="array" ref="AB161">_xlfn.IFS(G161=1,"Junior",G161=2,"Mid-Level",G161=3,"Senior",G161=4,"Lead",G161=5,"Principal")&amp;" "&amp;TRIM(PROPER(H161))</f>
        <v>Junior Sales Representative</v>
      </c>
      <c r="AC161" s="19" t="str">
        <f t="shared" ca="1" si="32"/>
        <v>Sa-Sal-2022-160 is a Junior Sales Representative in the Sales department, aged 34, married and has been with the Company for 4years</v>
      </c>
    </row>
    <row r="162" spans="1:29">
      <c r="A162" s="18" t="str">
        <f t="shared" ca="1" si="22"/>
        <v>Re-Res-2024-161</v>
      </c>
      <c r="B162" s="5">
        <v>22</v>
      </c>
      <c r="C162" s="5" t="str">
        <f t="shared" si="23"/>
        <v>20-29</v>
      </c>
      <c r="D162" s="5" t="s">
        <v>43</v>
      </c>
      <c r="E162" s="5" t="s">
        <v>45</v>
      </c>
      <c r="F162" s="5" t="s">
        <v>46</v>
      </c>
      <c r="G162" s="5">
        <v>1</v>
      </c>
      <c r="H162" s="5" t="s">
        <v>47</v>
      </c>
      <c r="I162" s="5" t="s">
        <v>48</v>
      </c>
      <c r="J162" s="7">
        <v>2323</v>
      </c>
      <c r="K162" s="7">
        <f t="shared" si="24"/>
        <v>162.61000000000001</v>
      </c>
      <c r="L162" s="7">
        <f t="shared" si="25"/>
        <v>2160.39</v>
      </c>
      <c r="M162" s="7">
        <v>11992</v>
      </c>
      <c r="N162" s="5" t="s">
        <v>43</v>
      </c>
      <c r="O162" s="5">
        <v>24</v>
      </c>
      <c r="P162" s="7">
        <f t="shared" si="26"/>
        <v>2880.52</v>
      </c>
      <c r="Q162" s="7">
        <f t="shared" si="27"/>
        <v>6690.24</v>
      </c>
      <c r="R162" s="7" t="str">
        <f t="shared" si="28"/>
        <v>Normal</v>
      </c>
      <c r="S162" s="5">
        <v>4</v>
      </c>
      <c r="T162" s="5">
        <v>3</v>
      </c>
      <c r="U162" s="5" t="str" cm="1">
        <f t="array" ref="U162">_xlfn.IFS(T162=1,"Poor",T162=2,"Fair",T162=3,"Good",T162=4,"Excellent")</f>
        <v>Good</v>
      </c>
      <c r="V162" s="5" t="s">
        <v>43</v>
      </c>
      <c r="W162" s="5">
        <v>2</v>
      </c>
      <c r="X162" s="28">
        <f t="shared" ca="1" si="29"/>
        <v>45381</v>
      </c>
      <c r="Y162" s="28">
        <f t="shared" ca="1" si="30"/>
        <v>46842</v>
      </c>
      <c r="Z162" s="28" t="str">
        <f t="shared" ca="1" si="31"/>
        <v>Upcoming</v>
      </c>
      <c r="AA162" s="5" t="str" cm="1">
        <f t="array" ref="AA162">_xlfn.IFS(W162&gt;10,"Veteran",W162&gt;=6,"Experienced",W162&gt;=2,"Developing",W162&gt;=0,"New")</f>
        <v>Developing</v>
      </c>
      <c r="AB162" s="5" t="str" cm="1">
        <f t="array" ref="AB162">_xlfn.IFS(G162=1,"Junior",G162=2,"Mid-Level",G162=3,"Senior",G162=4,"Lead",G162=5,"Principal")&amp;" "&amp;TRIM(PROPER(H162))</f>
        <v>Junior Research Scientist</v>
      </c>
      <c r="AC162" s="19" t="str">
        <f t="shared" ca="1" si="32"/>
        <v>Re-Res-2024-161 is a Junior Research Scientist in the Research &amp; Development department, aged 22, married and has been with the Company for 2years</v>
      </c>
    </row>
    <row r="163" spans="1:29">
      <c r="A163" s="18" t="str">
        <f t="shared" ca="1" si="22"/>
        <v>Re-Res-2024-162</v>
      </c>
      <c r="B163" s="5">
        <v>27</v>
      </c>
      <c r="C163" s="5" t="str">
        <f t="shared" si="23"/>
        <v>20-29</v>
      </c>
      <c r="D163" s="5" t="s">
        <v>43</v>
      </c>
      <c r="E163" s="5" t="s">
        <v>45</v>
      </c>
      <c r="F163" s="5" t="s">
        <v>46</v>
      </c>
      <c r="G163" s="5">
        <v>1</v>
      </c>
      <c r="H163" s="5" t="s">
        <v>47</v>
      </c>
      <c r="I163" s="5" t="s">
        <v>52</v>
      </c>
      <c r="J163" s="7">
        <v>2024</v>
      </c>
      <c r="K163" s="7">
        <f t="shared" si="24"/>
        <v>141.68</v>
      </c>
      <c r="L163" s="7">
        <f t="shared" si="25"/>
        <v>1882.32</v>
      </c>
      <c r="M163" s="7">
        <v>5970</v>
      </c>
      <c r="N163" s="5" t="s">
        <v>43</v>
      </c>
      <c r="O163" s="5">
        <v>18</v>
      </c>
      <c r="P163" s="7">
        <f t="shared" si="26"/>
        <v>2388.3199999999997</v>
      </c>
      <c r="Q163" s="7">
        <f t="shared" si="27"/>
        <v>4371.8399999999965</v>
      </c>
      <c r="R163" s="7" t="str">
        <f t="shared" si="28"/>
        <v>Normal</v>
      </c>
      <c r="S163" s="5">
        <v>3</v>
      </c>
      <c r="T163" s="5">
        <v>1</v>
      </c>
      <c r="U163" s="5" t="str" cm="1">
        <f t="array" ref="U163">_xlfn.IFS(T163=1,"Poor",T163=2,"Fair",T163=3,"Good",T163=4,"Excellent")</f>
        <v>Poor</v>
      </c>
      <c r="V163" s="5" t="s">
        <v>43</v>
      </c>
      <c r="W163" s="5">
        <v>2</v>
      </c>
      <c r="X163" s="28">
        <f t="shared" ca="1" si="29"/>
        <v>45381</v>
      </c>
      <c r="Y163" s="28">
        <f t="shared" ca="1" si="30"/>
        <v>46842</v>
      </c>
      <c r="Z163" s="28" t="str">
        <f t="shared" ca="1" si="31"/>
        <v>Upcoming</v>
      </c>
      <c r="AA163" s="5" t="str" cm="1">
        <f t="array" ref="AA163">_xlfn.IFS(W163&gt;10,"Veteran",W163&gt;=6,"Experienced",W163&gt;=2,"Developing",W163&gt;=0,"New")</f>
        <v>Developing</v>
      </c>
      <c r="AB163" s="5" t="str" cm="1">
        <f t="array" ref="AB163">_xlfn.IFS(G163=1,"Junior",G163=2,"Mid-Level",G163=3,"Senior",G163=4,"Lead",G163=5,"Principal")&amp;" "&amp;TRIM(PROPER(H163))</f>
        <v>Junior Research Scientist</v>
      </c>
      <c r="AC163" s="19" t="str">
        <f t="shared" ca="1" si="32"/>
        <v>Re-Res-2024-162 is a Junior Research Scientist in the Research &amp; Development department, aged 27, divorced and has been with the Company for 2years</v>
      </c>
    </row>
    <row r="164" spans="1:29">
      <c r="A164" s="18" t="str">
        <f t="shared" ca="1" si="22"/>
        <v>Re-Res-2021-163</v>
      </c>
      <c r="B164" s="5">
        <v>28</v>
      </c>
      <c r="C164" s="5" t="str">
        <f t="shared" si="23"/>
        <v>20-29</v>
      </c>
      <c r="D164" s="5" t="s">
        <v>43</v>
      </c>
      <c r="E164" s="5" t="s">
        <v>45</v>
      </c>
      <c r="F164" s="5" t="s">
        <v>46</v>
      </c>
      <c r="G164" s="5">
        <v>1</v>
      </c>
      <c r="H164" s="5" t="s">
        <v>47</v>
      </c>
      <c r="I164" s="5" t="s">
        <v>48</v>
      </c>
      <c r="J164" s="7">
        <v>2713</v>
      </c>
      <c r="K164" s="7">
        <f t="shared" si="24"/>
        <v>189.91000000000003</v>
      </c>
      <c r="L164" s="7">
        <f t="shared" si="25"/>
        <v>2523.09</v>
      </c>
      <c r="M164" s="7">
        <v>6672</v>
      </c>
      <c r="N164" s="5" t="s">
        <v>43</v>
      </c>
      <c r="O164" s="5">
        <v>11</v>
      </c>
      <c r="P164" s="7">
        <f t="shared" si="26"/>
        <v>3011.4300000000003</v>
      </c>
      <c r="Q164" s="7">
        <f t="shared" si="27"/>
        <v>3581.1600000000035</v>
      </c>
      <c r="R164" s="7" t="str">
        <f t="shared" si="28"/>
        <v>Normal</v>
      </c>
      <c r="S164" s="5">
        <v>3</v>
      </c>
      <c r="T164" s="5">
        <v>1</v>
      </c>
      <c r="U164" s="5" t="str" cm="1">
        <f t="array" ref="U164">_xlfn.IFS(T164=1,"Poor",T164=2,"Fair",T164=3,"Good",T164=4,"Excellent")</f>
        <v>Poor</v>
      </c>
      <c r="V164" s="5" t="s">
        <v>43</v>
      </c>
      <c r="W164" s="5">
        <v>5</v>
      </c>
      <c r="X164" s="28">
        <f t="shared" ca="1" si="29"/>
        <v>44285</v>
      </c>
      <c r="Y164" s="28">
        <f t="shared" ca="1" si="30"/>
        <v>46476</v>
      </c>
      <c r="Z164" s="28" t="str">
        <f t="shared" ca="1" si="31"/>
        <v>Due Soon</v>
      </c>
      <c r="AA164" s="5" t="str" cm="1">
        <f t="array" ref="AA164">_xlfn.IFS(W164&gt;10,"Veteran",W164&gt;=6,"Experienced",W164&gt;=2,"Developing",W164&gt;=0,"New")</f>
        <v>Developing</v>
      </c>
      <c r="AB164" s="5" t="str" cm="1">
        <f t="array" ref="AB164">_xlfn.IFS(G164=1,"Junior",G164=2,"Mid-Level",G164=3,"Senior",G164=4,"Lead",G164=5,"Principal")&amp;" "&amp;TRIM(PROPER(H164))</f>
        <v>Junior Research Scientist</v>
      </c>
      <c r="AC164" s="19" t="str">
        <f t="shared" ca="1" si="32"/>
        <v>Re-Res-2021-163 is a Junior Research Scientist in the Research &amp; Development department, aged 28, married and has been with the Company for 5years</v>
      </c>
    </row>
    <row r="165" spans="1:29">
      <c r="A165" s="18" t="str">
        <f t="shared" ca="1" si="22"/>
        <v>He-Res-2021-164</v>
      </c>
      <c r="B165" s="5">
        <v>57</v>
      </c>
      <c r="C165" s="5" t="str">
        <f t="shared" si="23"/>
        <v>50+</v>
      </c>
      <c r="D165" s="5" t="s">
        <v>43</v>
      </c>
      <c r="E165" s="5" t="s">
        <v>45</v>
      </c>
      <c r="F165" s="5" t="s">
        <v>46</v>
      </c>
      <c r="G165" s="5">
        <v>3</v>
      </c>
      <c r="H165" s="5" t="s">
        <v>54</v>
      </c>
      <c r="I165" s="5" t="s">
        <v>52</v>
      </c>
      <c r="J165" s="7">
        <v>9439</v>
      </c>
      <c r="K165" s="7">
        <f t="shared" si="24"/>
        <v>2076.58</v>
      </c>
      <c r="L165" s="7">
        <f t="shared" si="25"/>
        <v>7362.42</v>
      </c>
      <c r="M165" s="7">
        <v>23402</v>
      </c>
      <c r="N165" s="5" t="s">
        <v>35</v>
      </c>
      <c r="O165" s="5">
        <v>16</v>
      </c>
      <c r="P165" s="7">
        <f t="shared" si="26"/>
        <v>10949.24</v>
      </c>
      <c r="Q165" s="7">
        <f t="shared" si="27"/>
        <v>18122.879999999997</v>
      </c>
      <c r="R165" s="7" t="str">
        <f t="shared" si="28"/>
        <v>Normal</v>
      </c>
      <c r="S165" s="5">
        <v>3</v>
      </c>
      <c r="T165" s="5">
        <v>1</v>
      </c>
      <c r="U165" s="5" t="str" cm="1">
        <f t="array" ref="U165">_xlfn.IFS(T165=1,"Poor",T165=2,"Fair",T165=3,"Good",T165=4,"Excellent")</f>
        <v>Poor</v>
      </c>
      <c r="V165" s="5" t="s">
        <v>35</v>
      </c>
      <c r="W165" s="5">
        <v>5</v>
      </c>
      <c r="X165" s="28">
        <f t="shared" ca="1" si="29"/>
        <v>44285</v>
      </c>
      <c r="Y165" s="28">
        <f t="shared" ca="1" si="30"/>
        <v>46476</v>
      </c>
      <c r="Z165" s="28" t="str">
        <f t="shared" ca="1" si="31"/>
        <v>Due Soon</v>
      </c>
      <c r="AA165" s="5" t="str" cm="1">
        <f t="array" ref="AA165">_xlfn.IFS(W165&gt;10,"Veteran",W165&gt;=6,"Experienced",W165&gt;=2,"Developing",W165&gt;=0,"New")</f>
        <v>Developing</v>
      </c>
      <c r="AB165" s="5" t="str" cm="1">
        <f t="array" ref="AB165">_xlfn.IFS(G165=1,"Junior",G165=2,"Mid-Level",G165=3,"Senior",G165=4,"Lead",G165=5,"Principal")&amp;" "&amp;TRIM(PROPER(H165))</f>
        <v>Senior Healthcare Representative</v>
      </c>
      <c r="AC165" s="19" t="str">
        <f t="shared" ca="1" si="32"/>
        <v>He-Res-2021-164 is a Senior Healthcare Representative in the Research &amp; Development department, aged 57, divorced and has been with the Company for 5years</v>
      </c>
    </row>
    <row r="166" spans="1:29">
      <c r="A166" s="18" t="str">
        <f t="shared" ca="1" si="22"/>
        <v>Re-Res-2025-165</v>
      </c>
      <c r="B166" s="5">
        <v>27</v>
      </c>
      <c r="C166" s="5" t="str">
        <f t="shared" si="23"/>
        <v>20-29</v>
      </c>
      <c r="D166" s="5" t="s">
        <v>43</v>
      </c>
      <c r="E166" s="5" t="s">
        <v>45</v>
      </c>
      <c r="F166" s="5" t="s">
        <v>46</v>
      </c>
      <c r="G166" s="5">
        <v>1</v>
      </c>
      <c r="H166" s="5" t="s">
        <v>47</v>
      </c>
      <c r="I166" s="5" t="s">
        <v>52</v>
      </c>
      <c r="J166" s="7">
        <v>2566</v>
      </c>
      <c r="K166" s="7">
        <f t="shared" si="24"/>
        <v>179.62</v>
      </c>
      <c r="L166" s="7">
        <f t="shared" si="25"/>
        <v>2386.38</v>
      </c>
      <c r="M166" s="7">
        <v>25326</v>
      </c>
      <c r="N166" s="5" t="s">
        <v>35</v>
      </c>
      <c r="O166" s="5">
        <v>15</v>
      </c>
      <c r="P166" s="7">
        <f t="shared" si="26"/>
        <v>2950.8999999999996</v>
      </c>
      <c r="Q166" s="7">
        <f t="shared" si="27"/>
        <v>4618.7999999999956</v>
      </c>
      <c r="R166" s="7" t="str">
        <f t="shared" si="28"/>
        <v>Normal</v>
      </c>
      <c r="S166" s="5">
        <v>3</v>
      </c>
      <c r="T166" s="5">
        <v>2</v>
      </c>
      <c r="U166" s="5" t="str" cm="1">
        <f t="array" ref="U166">_xlfn.IFS(T166=1,"Poor",T166=2,"Fair",T166=3,"Good",T166=4,"Excellent")</f>
        <v>Fair</v>
      </c>
      <c r="V166" s="5" t="s">
        <v>35</v>
      </c>
      <c r="W166" s="5">
        <v>1</v>
      </c>
      <c r="X166" s="28">
        <f t="shared" ca="1" si="29"/>
        <v>45746</v>
      </c>
      <c r="Y166" s="28">
        <f t="shared" ca="1" si="30"/>
        <v>46476</v>
      </c>
      <c r="Z166" s="28" t="str">
        <f t="shared" ca="1" si="31"/>
        <v>Due Soon</v>
      </c>
      <c r="AA166" s="5" t="str" cm="1">
        <f t="array" ref="AA166">_xlfn.IFS(W166&gt;10,"Veteran",W166&gt;=6,"Experienced",W166&gt;=2,"Developing",W166&gt;=0,"New")</f>
        <v>New</v>
      </c>
      <c r="AB166" s="5" t="str" cm="1">
        <f t="array" ref="AB166">_xlfn.IFS(G166=1,"Junior",G166=2,"Mid-Level",G166=3,"Senior",G166=4,"Lead",G166=5,"Principal")&amp;" "&amp;TRIM(PROPER(H166))</f>
        <v>Junior Research Scientist</v>
      </c>
      <c r="AC166" s="19" t="str">
        <f t="shared" ca="1" si="32"/>
        <v>Re-Res-2025-165 is a Junior Research Scientist in the Research &amp; Development department, aged 27, divorced and has been with the Company for 1years</v>
      </c>
    </row>
    <row r="167" spans="1:29">
      <c r="A167" s="18" t="str">
        <f t="shared" ca="1" si="22"/>
        <v>Ma-Res-2021-166</v>
      </c>
      <c r="B167" s="5">
        <v>50</v>
      </c>
      <c r="C167" s="5" t="str">
        <f t="shared" si="23"/>
        <v>50+</v>
      </c>
      <c r="D167" s="5" t="s">
        <v>43</v>
      </c>
      <c r="E167" s="5" t="s">
        <v>45</v>
      </c>
      <c r="F167" s="5" t="s">
        <v>39</v>
      </c>
      <c r="G167" s="5">
        <v>5</v>
      </c>
      <c r="H167" s="5" t="s">
        <v>56</v>
      </c>
      <c r="I167" s="5" t="s">
        <v>41</v>
      </c>
      <c r="J167" s="7">
        <v>19926</v>
      </c>
      <c r="K167" s="7">
        <f t="shared" si="24"/>
        <v>5977.8</v>
      </c>
      <c r="L167" s="7">
        <f t="shared" si="25"/>
        <v>13948.2</v>
      </c>
      <c r="M167" s="7">
        <v>17053</v>
      </c>
      <c r="N167" s="5" t="s">
        <v>43</v>
      </c>
      <c r="O167" s="5">
        <v>15</v>
      </c>
      <c r="P167" s="7">
        <f t="shared" si="26"/>
        <v>22914.899999999998</v>
      </c>
      <c r="Q167" s="7">
        <f t="shared" si="27"/>
        <v>35866.799999999974</v>
      </c>
      <c r="R167" s="7" t="str">
        <f t="shared" si="28"/>
        <v>Normal</v>
      </c>
      <c r="S167" s="5">
        <v>3</v>
      </c>
      <c r="T167" s="5">
        <v>3</v>
      </c>
      <c r="U167" s="5" t="str" cm="1">
        <f t="array" ref="U167">_xlfn.IFS(T167=1,"Poor",T167=2,"Fair",T167=3,"Good",T167=4,"Excellent")</f>
        <v>Good</v>
      </c>
      <c r="V167" s="5" t="s">
        <v>43</v>
      </c>
      <c r="W167" s="5">
        <v>5</v>
      </c>
      <c r="X167" s="28">
        <f t="shared" ca="1" si="29"/>
        <v>44285</v>
      </c>
      <c r="Y167" s="28">
        <f t="shared" ca="1" si="30"/>
        <v>46476</v>
      </c>
      <c r="Z167" s="28" t="str">
        <f t="shared" ca="1" si="31"/>
        <v>Due Soon</v>
      </c>
      <c r="AA167" s="5" t="str" cm="1">
        <f t="array" ref="AA167">_xlfn.IFS(W167&gt;10,"Veteran",W167&gt;=6,"Experienced",W167&gt;=2,"Developing",W167&gt;=0,"New")</f>
        <v>Developing</v>
      </c>
      <c r="AB167" s="5" t="str" cm="1">
        <f t="array" ref="AB167">_xlfn.IFS(G167=1,"Junior",G167=2,"Mid-Level",G167=3,"Senior",G167=4,"Lead",G167=5,"Principal")&amp;" "&amp;TRIM(PROPER(H167))</f>
        <v>Principal Manager</v>
      </c>
      <c r="AC167" s="19" t="str">
        <f t="shared" ca="1" si="32"/>
        <v>Ma-Res-2021-166 is a Principal Manager in the Research &amp; Development department, aged 50, single and has been with the Company for 5years</v>
      </c>
    </row>
    <row r="168" spans="1:29">
      <c r="A168" s="18" t="str">
        <f t="shared" ca="1" si="22"/>
        <v>Re-Res-2017-167</v>
      </c>
      <c r="B168" s="5">
        <v>41</v>
      </c>
      <c r="C168" s="5" t="str">
        <f t="shared" si="23"/>
        <v>40-49</v>
      </c>
      <c r="D168" s="5" t="s">
        <v>43</v>
      </c>
      <c r="E168" s="5" t="s">
        <v>45</v>
      </c>
      <c r="F168" s="5" t="s">
        <v>46</v>
      </c>
      <c r="G168" s="5">
        <v>1</v>
      </c>
      <c r="H168" s="5" t="s">
        <v>47</v>
      </c>
      <c r="I168" s="5" t="s">
        <v>52</v>
      </c>
      <c r="J168" s="7">
        <v>2451</v>
      </c>
      <c r="K168" s="7">
        <f t="shared" si="24"/>
        <v>171.57000000000002</v>
      </c>
      <c r="L168" s="7">
        <f t="shared" si="25"/>
        <v>2279.4299999999998</v>
      </c>
      <c r="M168" s="7">
        <v>4609</v>
      </c>
      <c r="N168" s="5" t="s">
        <v>43</v>
      </c>
      <c r="O168" s="5">
        <v>12</v>
      </c>
      <c r="P168" s="7">
        <f t="shared" si="26"/>
        <v>2745.1200000000003</v>
      </c>
      <c r="Q168" s="7">
        <f t="shared" si="27"/>
        <v>3529.4400000000041</v>
      </c>
      <c r="R168" s="7" t="str">
        <f t="shared" si="28"/>
        <v>Normal</v>
      </c>
      <c r="S168" s="5">
        <v>3</v>
      </c>
      <c r="T168" s="5">
        <v>3</v>
      </c>
      <c r="U168" s="5" t="str" cm="1">
        <f t="array" ref="U168">_xlfn.IFS(T168=1,"Poor",T168=2,"Fair",T168=3,"Good",T168=4,"Excellent")</f>
        <v>Good</v>
      </c>
      <c r="V168" s="5" t="s">
        <v>43</v>
      </c>
      <c r="W168" s="5">
        <v>9</v>
      </c>
      <c r="X168" s="28">
        <f t="shared" ca="1" si="29"/>
        <v>42824</v>
      </c>
      <c r="Y168" s="28">
        <f t="shared" ca="1" si="30"/>
        <v>46476</v>
      </c>
      <c r="Z168" s="28" t="str">
        <f t="shared" ca="1" si="31"/>
        <v>Due Soon</v>
      </c>
      <c r="AA168" s="5" t="str" cm="1">
        <f t="array" ref="AA168">_xlfn.IFS(W168&gt;10,"Veteran",W168&gt;=6,"Experienced",W168&gt;=2,"Developing",W168&gt;=0,"New")</f>
        <v>Experienced</v>
      </c>
      <c r="AB168" s="5" t="str" cm="1">
        <f t="array" ref="AB168">_xlfn.IFS(G168=1,"Junior",G168=2,"Mid-Level",G168=3,"Senior",G168=4,"Lead",G168=5,"Principal")&amp;" "&amp;TRIM(PROPER(H168))</f>
        <v>Junior Research Scientist</v>
      </c>
      <c r="AC168" s="19" t="str">
        <f t="shared" ca="1" si="32"/>
        <v>Re-Res-2017-167 is a Junior Research Scientist in the Research &amp; Development department, aged 41, divorced and has been with the Company for 9years</v>
      </c>
    </row>
    <row r="169" spans="1:29">
      <c r="A169" s="18" t="str">
        <f t="shared" ca="1" si="22"/>
        <v>Sa-Sal-2016-168</v>
      </c>
      <c r="B169" s="5">
        <v>30</v>
      </c>
      <c r="C169" s="5" t="str">
        <f t="shared" si="23"/>
        <v>30-39</v>
      </c>
      <c r="D169" s="5" t="s">
        <v>43</v>
      </c>
      <c r="E169" s="5" t="s">
        <v>37</v>
      </c>
      <c r="F169" s="5" t="s">
        <v>39</v>
      </c>
      <c r="G169" s="5">
        <v>3</v>
      </c>
      <c r="H169" s="5" t="s">
        <v>40</v>
      </c>
      <c r="I169" s="5" t="s">
        <v>48</v>
      </c>
      <c r="J169" s="7">
        <v>9419</v>
      </c>
      <c r="K169" s="7">
        <f t="shared" si="24"/>
        <v>2072.1799999999998</v>
      </c>
      <c r="L169" s="7">
        <f t="shared" si="25"/>
        <v>7346.82</v>
      </c>
      <c r="M169" s="7">
        <v>8053</v>
      </c>
      <c r="N169" s="5" t="s">
        <v>43</v>
      </c>
      <c r="O169" s="5">
        <v>12</v>
      </c>
      <c r="P169" s="7">
        <f t="shared" si="26"/>
        <v>10549.28</v>
      </c>
      <c r="Q169" s="7">
        <f t="shared" si="27"/>
        <v>13563.360000000008</v>
      </c>
      <c r="R169" s="7" t="str">
        <f t="shared" si="28"/>
        <v>Normal</v>
      </c>
      <c r="S169" s="5">
        <v>3</v>
      </c>
      <c r="T169" s="5">
        <v>3</v>
      </c>
      <c r="U169" s="5" t="str" cm="1">
        <f t="array" ref="U169">_xlfn.IFS(T169=1,"Poor",T169=2,"Fair",T169=3,"Good",T169=4,"Excellent")</f>
        <v>Good</v>
      </c>
      <c r="V169" s="5" t="s">
        <v>43</v>
      </c>
      <c r="W169" s="5">
        <v>10</v>
      </c>
      <c r="X169" s="28">
        <f t="shared" ca="1" si="29"/>
        <v>42459</v>
      </c>
      <c r="Y169" s="28">
        <f t="shared" ca="1" si="30"/>
        <v>46842</v>
      </c>
      <c r="Z169" s="28" t="str">
        <f t="shared" ca="1" si="31"/>
        <v>Upcoming</v>
      </c>
      <c r="AA169" s="5" t="str" cm="1">
        <f t="array" ref="AA169">_xlfn.IFS(W169&gt;10,"Veteran",W169&gt;=6,"Experienced",W169&gt;=2,"Developing",W169&gt;=0,"New")</f>
        <v>Experienced</v>
      </c>
      <c r="AB169" s="5" t="str" cm="1">
        <f t="array" ref="AB169">_xlfn.IFS(G169=1,"Junior",G169=2,"Mid-Level",G169=3,"Senior",G169=4,"Lead",G169=5,"Principal")&amp;" "&amp;TRIM(PROPER(H169))</f>
        <v>Senior Sales Executive</v>
      </c>
      <c r="AC169" s="19" t="str">
        <f t="shared" ca="1" si="32"/>
        <v>Sa-Sal-2016-168 is a Senior Sales Executive in the Sales department, aged 30, married and has been with the Company for 10years</v>
      </c>
    </row>
    <row r="170" spans="1:29">
      <c r="A170" s="18" t="str">
        <f t="shared" ca="1" si="22"/>
        <v>Sa-Sal-2018-169</v>
      </c>
      <c r="B170" s="5">
        <v>38</v>
      </c>
      <c r="C170" s="5" t="str">
        <f t="shared" si="23"/>
        <v>30-39</v>
      </c>
      <c r="D170" s="5" t="s">
        <v>43</v>
      </c>
      <c r="E170" s="5" t="s">
        <v>37</v>
      </c>
      <c r="F170" s="5" t="s">
        <v>39</v>
      </c>
      <c r="G170" s="5">
        <v>2</v>
      </c>
      <c r="H170" s="5" t="s">
        <v>40</v>
      </c>
      <c r="I170" s="5" t="s">
        <v>41</v>
      </c>
      <c r="J170" s="7">
        <v>8686</v>
      </c>
      <c r="K170" s="7">
        <f t="shared" si="24"/>
        <v>1910.92</v>
      </c>
      <c r="L170" s="7">
        <f t="shared" si="25"/>
        <v>6775.08</v>
      </c>
      <c r="M170" s="7">
        <v>12930</v>
      </c>
      <c r="N170" s="5" t="s">
        <v>43</v>
      </c>
      <c r="O170" s="5">
        <v>22</v>
      </c>
      <c r="P170" s="7">
        <f t="shared" si="26"/>
        <v>10596.92</v>
      </c>
      <c r="Q170" s="7">
        <f t="shared" si="27"/>
        <v>22931.040000000001</v>
      </c>
      <c r="R170" s="7" t="str">
        <f t="shared" si="28"/>
        <v>Normal</v>
      </c>
      <c r="S170" s="5">
        <v>4</v>
      </c>
      <c r="T170" s="5">
        <v>4</v>
      </c>
      <c r="U170" s="5" t="str" cm="1">
        <f t="array" ref="U170">_xlfn.IFS(T170=1,"Poor",T170=2,"Fair",T170=3,"Good",T170=4,"Excellent")</f>
        <v>Excellent</v>
      </c>
      <c r="V170" s="5" t="s">
        <v>43</v>
      </c>
      <c r="W170" s="5">
        <v>8</v>
      </c>
      <c r="X170" s="28">
        <f t="shared" ca="1" si="29"/>
        <v>43189</v>
      </c>
      <c r="Y170" s="28">
        <f t="shared" ca="1" si="30"/>
        <v>46842</v>
      </c>
      <c r="Z170" s="28" t="str">
        <f t="shared" ca="1" si="31"/>
        <v>Upcoming</v>
      </c>
      <c r="AA170" s="5" t="str" cm="1">
        <f t="array" ref="AA170">_xlfn.IFS(W170&gt;10,"Veteran",W170&gt;=6,"Experienced",W170&gt;=2,"Developing",W170&gt;=0,"New")</f>
        <v>Experienced</v>
      </c>
      <c r="AB170" s="5" t="str" cm="1">
        <f t="array" ref="AB170">_xlfn.IFS(G170=1,"Junior",G170=2,"Mid-Level",G170=3,"Senior",G170=4,"Lead",G170=5,"Principal")&amp;" "&amp;TRIM(PROPER(H170))</f>
        <v>Mid-Level Sales Executive</v>
      </c>
      <c r="AC170" s="19" t="str">
        <f t="shared" ca="1" si="32"/>
        <v>Sa-Sal-2018-169 is a Mid-Level Sales Executive in the Sales department, aged 38, single and has been with the Company for 8years</v>
      </c>
    </row>
    <row r="171" spans="1:29">
      <c r="A171" s="18" t="str">
        <f t="shared" ca="1" si="22"/>
        <v>Re-Res-2021-170</v>
      </c>
      <c r="B171" s="5">
        <v>32</v>
      </c>
      <c r="C171" s="5" t="str">
        <f t="shared" si="23"/>
        <v>30-39</v>
      </c>
      <c r="D171" s="5" t="s">
        <v>43</v>
      </c>
      <c r="E171" s="5" t="s">
        <v>45</v>
      </c>
      <c r="F171" s="5" t="s">
        <v>46</v>
      </c>
      <c r="G171" s="5">
        <v>1</v>
      </c>
      <c r="H171" s="5" t="s">
        <v>47</v>
      </c>
      <c r="I171" s="5" t="s">
        <v>41</v>
      </c>
      <c r="J171" s="7">
        <v>3038</v>
      </c>
      <c r="K171" s="7">
        <f t="shared" si="24"/>
        <v>455.7</v>
      </c>
      <c r="L171" s="7">
        <f t="shared" si="25"/>
        <v>2582.3000000000002</v>
      </c>
      <c r="M171" s="7">
        <v>12430</v>
      </c>
      <c r="N171" s="5" t="s">
        <v>43</v>
      </c>
      <c r="O171" s="5">
        <v>20</v>
      </c>
      <c r="P171" s="7">
        <f t="shared" si="26"/>
        <v>3645.6</v>
      </c>
      <c r="Q171" s="7">
        <f t="shared" si="27"/>
        <v>7291.1999999999989</v>
      </c>
      <c r="R171" s="7" t="str">
        <f t="shared" si="28"/>
        <v>Normal</v>
      </c>
      <c r="S171" s="5">
        <v>4</v>
      </c>
      <c r="T171" s="5">
        <v>3</v>
      </c>
      <c r="U171" s="5" t="str" cm="1">
        <f t="array" ref="U171">_xlfn.IFS(T171=1,"Poor",T171=2,"Fair",T171=3,"Good",T171=4,"Excellent")</f>
        <v>Good</v>
      </c>
      <c r="V171" s="5" t="s">
        <v>43</v>
      </c>
      <c r="W171" s="5">
        <v>5</v>
      </c>
      <c r="X171" s="28">
        <f t="shared" ca="1" si="29"/>
        <v>44285</v>
      </c>
      <c r="Y171" s="28">
        <f t="shared" ca="1" si="30"/>
        <v>46476</v>
      </c>
      <c r="Z171" s="28" t="str">
        <f t="shared" ca="1" si="31"/>
        <v>Due Soon</v>
      </c>
      <c r="AA171" s="5" t="str" cm="1">
        <f t="array" ref="AA171">_xlfn.IFS(W171&gt;10,"Veteran",W171&gt;=6,"Experienced",W171&gt;=2,"Developing",W171&gt;=0,"New")</f>
        <v>Developing</v>
      </c>
      <c r="AB171" s="5" t="str" cm="1">
        <f t="array" ref="AB171">_xlfn.IFS(G171=1,"Junior",G171=2,"Mid-Level",G171=3,"Senior",G171=4,"Lead",G171=5,"Principal")&amp;" "&amp;TRIM(PROPER(H171))</f>
        <v>Junior Research Scientist</v>
      </c>
      <c r="AC171" s="19" t="str">
        <f t="shared" ca="1" si="32"/>
        <v>Re-Res-2021-170 is a Junior Research Scientist in the Research &amp; Development department, aged 32, single and has been with the Company for 5years</v>
      </c>
    </row>
    <row r="172" spans="1:29">
      <c r="A172" s="18" t="str">
        <f t="shared" ca="1" si="22"/>
        <v>Re-Res-2021-171</v>
      </c>
      <c r="B172" s="5">
        <v>27</v>
      </c>
      <c r="C172" s="5" t="str">
        <f t="shared" si="23"/>
        <v>20-29</v>
      </c>
      <c r="D172" s="5" t="s">
        <v>43</v>
      </c>
      <c r="E172" s="5" t="s">
        <v>45</v>
      </c>
      <c r="F172" s="5" t="s">
        <v>46</v>
      </c>
      <c r="G172" s="5">
        <v>1</v>
      </c>
      <c r="H172" s="5" t="s">
        <v>47</v>
      </c>
      <c r="I172" s="5" t="s">
        <v>48</v>
      </c>
      <c r="J172" s="7">
        <v>3058</v>
      </c>
      <c r="K172" s="7">
        <f t="shared" si="24"/>
        <v>458.7</v>
      </c>
      <c r="L172" s="7">
        <f t="shared" si="25"/>
        <v>2599.3000000000002</v>
      </c>
      <c r="M172" s="7">
        <v>13364</v>
      </c>
      <c r="N172" s="5" t="s">
        <v>35</v>
      </c>
      <c r="O172" s="5">
        <v>16</v>
      </c>
      <c r="P172" s="7">
        <f t="shared" si="26"/>
        <v>3547.2799999999997</v>
      </c>
      <c r="Q172" s="7">
        <f t="shared" si="27"/>
        <v>5871.3599999999969</v>
      </c>
      <c r="R172" s="7" t="str">
        <f t="shared" si="28"/>
        <v>Normal</v>
      </c>
      <c r="S172" s="5">
        <v>3</v>
      </c>
      <c r="T172" s="5">
        <v>2</v>
      </c>
      <c r="U172" s="5" t="str" cm="1">
        <f t="array" ref="U172">_xlfn.IFS(T172=1,"Poor",T172=2,"Fair",T172=3,"Good",T172=4,"Excellent")</f>
        <v>Fair</v>
      </c>
      <c r="V172" s="5" t="s">
        <v>35</v>
      </c>
      <c r="W172" s="5">
        <v>5</v>
      </c>
      <c r="X172" s="28">
        <f t="shared" ca="1" si="29"/>
        <v>44285</v>
      </c>
      <c r="Y172" s="28">
        <f t="shared" ca="1" si="30"/>
        <v>46476</v>
      </c>
      <c r="Z172" s="28" t="str">
        <f t="shared" ca="1" si="31"/>
        <v>Due Soon</v>
      </c>
      <c r="AA172" s="5" t="str" cm="1">
        <f t="array" ref="AA172">_xlfn.IFS(W172&gt;10,"Veteran",W172&gt;=6,"Experienced",W172&gt;=2,"Developing",W172&gt;=0,"New")</f>
        <v>Developing</v>
      </c>
      <c r="AB172" s="5" t="str" cm="1">
        <f t="array" ref="AB172">_xlfn.IFS(G172=1,"Junior",G172=2,"Mid-Level",G172=3,"Senior",G172=4,"Lead",G172=5,"Principal")&amp;" "&amp;TRIM(PROPER(H172))</f>
        <v>Junior Research Scientist</v>
      </c>
      <c r="AC172" s="19" t="str">
        <f t="shared" ca="1" si="32"/>
        <v>Re-Res-2021-171 is a Junior Research Scientist in the Research &amp; Development department, aged 27, married and has been with the Company for 5years</v>
      </c>
    </row>
    <row r="173" spans="1:29">
      <c r="A173" s="18" t="str">
        <f t="shared" ca="1" si="22"/>
        <v>Sa-Sal-2026-172</v>
      </c>
      <c r="B173" s="5">
        <v>19</v>
      </c>
      <c r="C173" s="5" t="str">
        <f t="shared" si="23"/>
        <v>20-29</v>
      </c>
      <c r="D173" s="5" t="s">
        <v>35</v>
      </c>
      <c r="E173" s="5" t="s">
        <v>37</v>
      </c>
      <c r="F173" s="5" t="s">
        <v>39</v>
      </c>
      <c r="G173" s="5">
        <v>1</v>
      </c>
      <c r="H173" s="5" t="s">
        <v>57</v>
      </c>
      <c r="I173" s="5" t="s">
        <v>41</v>
      </c>
      <c r="J173" s="7">
        <v>2325</v>
      </c>
      <c r="K173" s="7">
        <f t="shared" si="24"/>
        <v>162.75000000000003</v>
      </c>
      <c r="L173" s="7">
        <f t="shared" si="25"/>
        <v>2162.25</v>
      </c>
      <c r="M173" s="7">
        <v>20989</v>
      </c>
      <c r="N173" s="5" t="s">
        <v>43</v>
      </c>
      <c r="O173" s="5">
        <v>21</v>
      </c>
      <c r="P173" s="7">
        <f t="shared" si="26"/>
        <v>2813.25</v>
      </c>
      <c r="Q173" s="7">
        <f t="shared" si="27"/>
        <v>5859</v>
      </c>
      <c r="R173" s="7" t="str">
        <f t="shared" si="28"/>
        <v>Normal</v>
      </c>
      <c r="S173" s="5">
        <v>4</v>
      </c>
      <c r="T173" s="5">
        <v>4</v>
      </c>
      <c r="U173" s="5" t="str" cm="1">
        <f t="array" ref="U173">_xlfn.IFS(T173=1,"Poor",T173=2,"Fair",T173=3,"Good",T173=4,"Excellent")</f>
        <v>Excellent</v>
      </c>
      <c r="V173" s="5" t="s">
        <v>43</v>
      </c>
      <c r="W173" s="5">
        <v>0</v>
      </c>
      <c r="X173" s="28">
        <f t="shared" ca="1" si="29"/>
        <v>46111</v>
      </c>
      <c r="Y173" s="28">
        <f t="shared" ca="1" si="30"/>
        <v>46842</v>
      </c>
      <c r="Z173" s="28" t="str">
        <f t="shared" ca="1" si="31"/>
        <v>Upcoming</v>
      </c>
      <c r="AA173" s="5" t="str" cm="1">
        <f t="array" ref="AA173">_xlfn.IFS(W173&gt;10,"Veteran",W173&gt;=6,"Experienced",W173&gt;=2,"Developing",W173&gt;=0,"New")</f>
        <v>New</v>
      </c>
      <c r="AB173" s="5" t="str" cm="1">
        <f t="array" ref="AB173">_xlfn.IFS(G173=1,"Junior",G173=2,"Mid-Level",G173=3,"Senior",G173=4,"Lead",G173=5,"Principal")&amp;" "&amp;TRIM(PROPER(H173))</f>
        <v>Junior Sales Representative</v>
      </c>
      <c r="AC173" s="19" t="str">
        <f t="shared" ca="1" si="32"/>
        <v>Sa-Sal-2026-172 is a Junior Sales Representative in the Sales department, aged 19, single and has been with the Company for 0years</v>
      </c>
    </row>
    <row r="174" spans="1:29">
      <c r="A174" s="18" t="str">
        <f t="shared" ca="1" si="22"/>
        <v>La-Res-2018-173</v>
      </c>
      <c r="B174" s="5">
        <v>36</v>
      </c>
      <c r="C174" s="5" t="str">
        <f t="shared" si="23"/>
        <v>30-39</v>
      </c>
      <c r="D174" s="5" t="s">
        <v>43</v>
      </c>
      <c r="E174" s="5" t="s">
        <v>45</v>
      </c>
      <c r="F174" s="5" t="s">
        <v>46</v>
      </c>
      <c r="G174" s="5">
        <v>1</v>
      </c>
      <c r="H174" s="5" t="s">
        <v>50</v>
      </c>
      <c r="I174" s="5" t="s">
        <v>41</v>
      </c>
      <c r="J174" s="7">
        <v>2088</v>
      </c>
      <c r="K174" s="7">
        <f t="shared" si="24"/>
        <v>146.16000000000003</v>
      </c>
      <c r="L174" s="7">
        <f t="shared" si="25"/>
        <v>1941.84</v>
      </c>
      <c r="M174" s="7">
        <v>15062</v>
      </c>
      <c r="N174" s="5" t="s">
        <v>43</v>
      </c>
      <c r="O174" s="5">
        <v>12</v>
      </c>
      <c r="P174" s="7">
        <f t="shared" si="26"/>
        <v>2338.5600000000004</v>
      </c>
      <c r="Q174" s="7">
        <f t="shared" si="27"/>
        <v>3006.7200000000048</v>
      </c>
      <c r="R174" s="7" t="str">
        <f t="shared" si="28"/>
        <v>Normal</v>
      </c>
      <c r="S174" s="5">
        <v>3</v>
      </c>
      <c r="T174" s="5">
        <v>2</v>
      </c>
      <c r="U174" s="5" t="str" cm="1">
        <f t="array" ref="U174">_xlfn.IFS(T174=1,"Poor",T174=2,"Fair",T174=3,"Good",T174=4,"Excellent")</f>
        <v>Fair</v>
      </c>
      <c r="V174" s="5" t="s">
        <v>43</v>
      </c>
      <c r="W174" s="5">
        <v>8</v>
      </c>
      <c r="X174" s="28">
        <f t="shared" ca="1" si="29"/>
        <v>43189</v>
      </c>
      <c r="Y174" s="28">
        <f t="shared" ca="1" si="30"/>
        <v>46842</v>
      </c>
      <c r="Z174" s="28" t="str">
        <f t="shared" ca="1" si="31"/>
        <v>Upcoming</v>
      </c>
      <c r="AA174" s="5" t="str" cm="1">
        <f t="array" ref="AA174">_xlfn.IFS(W174&gt;10,"Veteran",W174&gt;=6,"Experienced",W174&gt;=2,"Developing",W174&gt;=0,"New")</f>
        <v>Experienced</v>
      </c>
      <c r="AB174" s="5" t="str" cm="1">
        <f t="array" ref="AB174">_xlfn.IFS(G174=1,"Junior",G174=2,"Mid-Level",G174=3,"Senior",G174=4,"Lead",G174=5,"Principal")&amp;" "&amp;TRIM(PROPER(H174))</f>
        <v>Junior Laboratory Technician</v>
      </c>
      <c r="AC174" s="19" t="str">
        <f t="shared" ca="1" si="32"/>
        <v>La-Res-2018-173 is a Junior Laboratory Technician in the Research &amp; Development department, aged 36, single and has been with the Company for 8years</v>
      </c>
    </row>
    <row r="175" spans="1:29">
      <c r="A175" s="18" t="str">
        <f t="shared" ca="1" si="22"/>
        <v>La-Res-2014-174</v>
      </c>
      <c r="B175" s="5">
        <v>30</v>
      </c>
      <c r="C175" s="5" t="str">
        <f t="shared" si="23"/>
        <v>30-39</v>
      </c>
      <c r="D175" s="5" t="s">
        <v>43</v>
      </c>
      <c r="E175" s="5" t="s">
        <v>45</v>
      </c>
      <c r="F175" s="5" t="s">
        <v>46</v>
      </c>
      <c r="G175" s="5">
        <v>2</v>
      </c>
      <c r="H175" s="5" t="s">
        <v>50</v>
      </c>
      <c r="I175" s="5" t="s">
        <v>52</v>
      </c>
      <c r="J175" s="7">
        <v>3072</v>
      </c>
      <c r="K175" s="7">
        <f t="shared" si="24"/>
        <v>460.79999999999995</v>
      </c>
      <c r="L175" s="7">
        <f t="shared" si="25"/>
        <v>2611.1999999999998</v>
      </c>
      <c r="M175" s="7">
        <v>11012</v>
      </c>
      <c r="N175" s="5" t="s">
        <v>43</v>
      </c>
      <c r="O175" s="5">
        <v>11</v>
      </c>
      <c r="P175" s="7">
        <f t="shared" si="26"/>
        <v>3409.92</v>
      </c>
      <c r="Q175" s="7">
        <f t="shared" si="27"/>
        <v>4055.0400000000009</v>
      </c>
      <c r="R175" s="7" t="str">
        <f t="shared" si="28"/>
        <v>Normal</v>
      </c>
      <c r="S175" s="5">
        <v>3</v>
      </c>
      <c r="T175" s="5">
        <v>3</v>
      </c>
      <c r="U175" s="5" t="str" cm="1">
        <f t="array" ref="U175">_xlfn.IFS(T175=1,"Poor",T175=2,"Fair",T175=3,"Good",T175=4,"Excellent")</f>
        <v>Good</v>
      </c>
      <c r="V175" s="5" t="s">
        <v>43</v>
      </c>
      <c r="W175" s="5">
        <v>12</v>
      </c>
      <c r="X175" s="28">
        <f t="shared" ca="1" si="29"/>
        <v>41728</v>
      </c>
      <c r="Y175" s="28">
        <f t="shared" ca="1" si="30"/>
        <v>46842</v>
      </c>
      <c r="Z175" s="28" t="str">
        <f t="shared" ca="1" si="31"/>
        <v>Upcoming</v>
      </c>
      <c r="AA175" s="5" t="str" cm="1">
        <f t="array" ref="AA175">_xlfn.IFS(W175&gt;10,"Veteran",W175&gt;=6,"Experienced",W175&gt;=2,"Developing",W175&gt;=0,"New")</f>
        <v>Veteran</v>
      </c>
      <c r="AB175" s="5" t="str" cm="1">
        <f t="array" ref="AB175">_xlfn.IFS(G175=1,"Junior",G175=2,"Mid-Level",G175=3,"Senior",G175=4,"Lead",G175=5,"Principal")&amp;" "&amp;TRIM(PROPER(H175))</f>
        <v>Mid-Level Laboratory Technician</v>
      </c>
      <c r="AC175" s="19" t="str">
        <f t="shared" ca="1" si="32"/>
        <v>La-Res-2014-174 is a Mid-Level Laboratory Technician in the Research &amp; Development department, aged 30, divorced and has been with the Company for 12years</v>
      </c>
    </row>
    <row r="176" spans="1:29">
      <c r="A176" s="18" t="str">
        <f t="shared" ca="1" si="22"/>
        <v>Sa-Sal-2021-175</v>
      </c>
      <c r="B176" s="5">
        <v>45</v>
      </c>
      <c r="C176" s="5" t="str">
        <f t="shared" si="23"/>
        <v>40-49</v>
      </c>
      <c r="D176" s="5" t="s">
        <v>43</v>
      </c>
      <c r="E176" s="5" t="s">
        <v>37</v>
      </c>
      <c r="F176" s="5" t="s">
        <v>39</v>
      </c>
      <c r="G176" s="5">
        <v>2</v>
      </c>
      <c r="H176" s="5" t="s">
        <v>40</v>
      </c>
      <c r="I176" s="5" t="s">
        <v>52</v>
      </c>
      <c r="J176" s="7">
        <v>5006</v>
      </c>
      <c r="K176" s="7">
        <f t="shared" si="24"/>
        <v>750.9</v>
      </c>
      <c r="L176" s="7">
        <f t="shared" si="25"/>
        <v>4255.1000000000004</v>
      </c>
      <c r="M176" s="7">
        <v>6319</v>
      </c>
      <c r="N176" s="5" t="s">
        <v>35</v>
      </c>
      <c r="O176" s="5">
        <v>11</v>
      </c>
      <c r="P176" s="7">
        <f t="shared" si="26"/>
        <v>5556.6600000000008</v>
      </c>
      <c r="Q176" s="7">
        <f t="shared" si="27"/>
        <v>6607.9200000000092</v>
      </c>
      <c r="R176" s="7" t="str">
        <f t="shared" si="28"/>
        <v>Normal</v>
      </c>
      <c r="S176" s="5">
        <v>3</v>
      </c>
      <c r="T176" s="5">
        <v>4</v>
      </c>
      <c r="U176" s="5" t="str" cm="1">
        <f t="array" ref="U176">_xlfn.IFS(T176=1,"Poor",T176=2,"Fair",T176=3,"Good",T176=4,"Excellent")</f>
        <v>Excellent</v>
      </c>
      <c r="V176" s="5" t="s">
        <v>35</v>
      </c>
      <c r="W176" s="5">
        <v>5</v>
      </c>
      <c r="X176" s="28">
        <f t="shared" ca="1" si="29"/>
        <v>44285</v>
      </c>
      <c r="Y176" s="28">
        <f t="shared" ca="1" si="30"/>
        <v>46476</v>
      </c>
      <c r="Z176" s="28" t="str">
        <f t="shared" ca="1" si="31"/>
        <v>Due Soon</v>
      </c>
      <c r="AA176" s="5" t="str" cm="1">
        <f t="array" ref="AA176">_xlfn.IFS(W176&gt;10,"Veteran",W176&gt;=6,"Experienced",W176&gt;=2,"Developing",W176&gt;=0,"New")</f>
        <v>Developing</v>
      </c>
      <c r="AB176" s="5" t="str" cm="1">
        <f t="array" ref="AB176">_xlfn.IFS(G176=1,"Junior",G176=2,"Mid-Level",G176=3,"Senior",G176=4,"Lead",G176=5,"Principal")&amp;" "&amp;TRIM(PROPER(H176))</f>
        <v>Mid-Level Sales Executive</v>
      </c>
      <c r="AC176" s="19" t="str">
        <f t="shared" ca="1" si="32"/>
        <v>Sa-Sal-2021-175 is a Mid-Level Sales Executive in the Sales department, aged 45, divorced and has been with the Company for 5years</v>
      </c>
    </row>
    <row r="177" spans="1:29">
      <c r="A177" s="18" t="str">
        <f t="shared" ca="1" si="22"/>
        <v>Re-Res-2024-176</v>
      </c>
      <c r="B177" s="5">
        <v>56</v>
      </c>
      <c r="C177" s="5" t="str">
        <f t="shared" si="23"/>
        <v>50+</v>
      </c>
      <c r="D177" s="5" t="s">
        <v>43</v>
      </c>
      <c r="E177" s="5" t="s">
        <v>45</v>
      </c>
      <c r="F177" s="5" t="s">
        <v>39</v>
      </c>
      <c r="G177" s="5">
        <v>1</v>
      </c>
      <c r="H177" s="5" t="s">
        <v>47</v>
      </c>
      <c r="I177" s="5" t="s">
        <v>52</v>
      </c>
      <c r="J177" s="7">
        <v>4257</v>
      </c>
      <c r="K177" s="7">
        <f t="shared" si="24"/>
        <v>638.54999999999995</v>
      </c>
      <c r="L177" s="7">
        <f t="shared" si="25"/>
        <v>3618.45</v>
      </c>
      <c r="M177" s="7">
        <v>13939</v>
      </c>
      <c r="N177" s="5" t="s">
        <v>35</v>
      </c>
      <c r="O177" s="5">
        <v>18</v>
      </c>
      <c r="P177" s="7">
        <f t="shared" si="26"/>
        <v>5023.2599999999993</v>
      </c>
      <c r="Q177" s="7">
        <f t="shared" si="27"/>
        <v>9195.1199999999917</v>
      </c>
      <c r="R177" s="7" t="str">
        <f t="shared" si="28"/>
        <v>Normal</v>
      </c>
      <c r="S177" s="5">
        <v>3</v>
      </c>
      <c r="T177" s="5">
        <v>3</v>
      </c>
      <c r="U177" s="5" t="str" cm="1">
        <f t="array" ref="U177">_xlfn.IFS(T177=1,"Poor",T177=2,"Fair",T177=3,"Good",T177=4,"Excellent")</f>
        <v>Good</v>
      </c>
      <c r="V177" s="5" t="s">
        <v>35</v>
      </c>
      <c r="W177" s="5">
        <v>2</v>
      </c>
      <c r="X177" s="28">
        <f t="shared" ca="1" si="29"/>
        <v>45381</v>
      </c>
      <c r="Y177" s="28">
        <f t="shared" ca="1" si="30"/>
        <v>46842</v>
      </c>
      <c r="Z177" s="28" t="str">
        <f t="shared" ca="1" si="31"/>
        <v>Upcoming</v>
      </c>
      <c r="AA177" s="5" t="str" cm="1">
        <f t="array" ref="AA177">_xlfn.IFS(W177&gt;10,"Veteran",W177&gt;=6,"Experienced",W177&gt;=2,"Developing",W177&gt;=0,"New")</f>
        <v>Developing</v>
      </c>
      <c r="AB177" s="5" t="str" cm="1">
        <f t="array" ref="AB177">_xlfn.IFS(G177=1,"Junior",G177=2,"Mid-Level",G177=3,"Senior",G177=4,"Lead",G177=5,"Principal")&amp;" "&amp;TRIM(PROPER(H177))</f>
        <v>Junior Research Scientist</v>
      </c>
      <c r="AC177" s="19" t="str">
        <f t="shared" ca="1" si="32"/>
        <v>Re-Res-2024-176 is a Junior Research Scientist in the Research &amp; Development department, aged 56, divorced and has been with the Company for 2years</v>
      </c>
    </row>
    <row r="178" spans="1:29">
      <c r="A178" s="18" t="str">
        <f t="shared" ca="1" si="22"/>
        <v>Re-Res-2023-177</v>
      </c>
      <c r="B178" s="5">
        <v>33</v>
      </c>
      <c r="C178" s="5" t="str">
        <f t="shared" si="23"/>
        <v>30-39</v>
      </c>
      <c r="D178" s="5" t="s">
        <v>43</v>
      </c>
      <c r="E178" s="5" t="s">
        <v>45</v>
      </c>
      <c r="F178" s="5" t="s">
        <v>46</v>
      </c>
      <c r="G178" s="5">
        <v>1</v>
      </c>
      <c r="H178" s="5" t="s">
        <v>47</v>
      </c>
      <c r="I178" s="5" t="s">
        <v>41</v>
      </c>
      <c r="J178" s="7">
        <v>2500</v>
      </c>
      <c r="K178" s="7">
        <f t="shared" si="24"/>
        <v>175.00000000000003</v>
      </c>
      <c r="L178" s="7">
        <f t="shared" si="25"/>
        <v>2325</v>
      </c>
      <c r="M178" s="7">
        <v>10515</v>
      </c>
      <c r="N178" s="5" t="s">
        <v>43</v>
      </c>
      <c r="O178" s="5">
        <v>14</v>
      </c>
      <c r="P178" s="7">
        <f t="shared" si="26"/>
        <v>2850.0000000000005</v>
      </c>
      <c r="Q178" s="7">
        <f t="shared" si="27"/>
        <v>4200.0000000000055</v>
      </c>
      <c r="R178" s="7" t="str">
        <f t="shared" si="28"/>
        <v>Normal</v>
      </c>
      <c r="S178" s="5">
        <v>3</v>
      </c>
      <c r="T178" s="5">
        <v>4</v>
      </c>
      <c r="U178" s="5" t="str" cm="1">
        <f t="array" ref="U178">_xlfn.IFS(T178=1,"Poor",T178=2,"Fair",T178=3,"Good",T178=4,"Excellent")</f>
        <v>Excellent</v>
      </c>
      <c r="V178" s="5" t="s">
        <v>43</v>
      </c>
      <c r="W178" s="5">
        <v>3</v>
      </c>
      <c r="X178" s="28">
        <f t="shared" ca="1" si="29"/>
        <v>45015</v>
      </c>
      <c r="Y178" s="28">
        <f t="shared" ca="1" si="30"/>
        <v>46476</v>
      </c>
      <c r="Z178" s="28" t="str">
        <f t="shared" ca="1" si="31"/>
        <v>Due Soon</v>
      </c>
      <c r="AA178" s="5" t="str" cm="1">
        <f t="array" ref="AA178">_xlfn.IFS(W178&gt;10,"Veteran",W178&gt;=6,"Experienced",W178&gt;=2,"Developing",W178&gt;=0,"New")</f>
        <v>Developing</v>
      </c>
      <c r="AB178" s="5" t="str" cm="1">
        <f t="array" ref="AB178">_xlfn.IFS(G178=1,"Junior",G178=2,"Mid-Level",G178=3,"Senior",G178=4,"Lead",G178=5,"Principal")&amp;" "&amp;TRIM(PROPER(H178))</f>
        <v>Junior Research Scientist</v>
      </c>
      <c r="AC178" s="19" t="str">
        <f t="shared" ca="1" si="32"/>
        <v>Re-Res-2023-177 is a Junior Research Scientist in the Research &amp; Development department, aged 33, single and has been with the Company for 3years</v>
      </c>
    </row>
    <row r="179" spans="1:29">
      <c r="A179" s="18" t="str">
        <f t="shared" ca="1" si="22"/>
        <v>La-Res-2025-178</v>
      </c>
      <c r="B179" s="5">
        <v>19</v>
      </c>
      <c r="C179" s="5" t="str">
        <f t="shared" si="23"/>
        <v>20-29</v>
      </c>
      <c r="D179" s="5" t="s">
        <v>35</v>
      </c>
      <c r="E179" s="5" t="s">
        <v>45</v>
      </c>
      <c r="F179" s="5" t="s">
        <v>46</v>
      </c>
      <c r="G179" s="5">
        <v>1</v>
      </c>
      <c r="H179" s="5" t="s">
        <v>50</v>
      </c>
      <c r="I179" s="5" t="s">
        <v>41</v>
      </c>
      <c r="J179" s="7">
        <v>1102</v>
      </c>
      <c r="K179" s="7">
        <f t="shared" si="24"/>
        <v>77.14</v>
      </c>
      <c r="L179" s="7">
        <f t="shared" si="25"/>
        <v>1024.8599999999999</v>
      </c>
      <c r="M179" s="7">
        <v>9241</v>
      </c>
      <c r="N179" s="5" t="s">
        <v>43</v>
      </c>
      <c r="O179" s="5">
        <v>22</v>
      </c>
      <c r="P179" s="7">
        <f t="shared" si="26"/>
        <v>1344.44</v>
      </c>
      <c r="Q179" s="7">
        <f t="shared" si="27"/>
        <v>2909.2800000000007</v>
      </c>
      <c r="R179" s="7" t="str">
        <f t="shared" si="28"/>
        <v>Normal</v>
      </c>
      <c r="S179" s="5">
        <v>4</v>
      </c>
      <c r="T179" s="5">
        <v>2</v>
      </c>
      <c r="U179" s="5" t="str" cm="1">
        <f t="array" ref="U179">_xlfn.IFS(T179=1,"Poor",T179=2,"Fair",T179=3,"Good",T179=4,"Excellent")</f>
        <v>Fair</v>
      </c>
      <c r="V179" s="5" t="s">
        <v>43</v>
      </c>
      <c r="W179" s="5">
        <v>1</v>
      </c>
      <c r="X179" s="28">
        <f t="shared" ca="1" si="29"/>
        <v>45746</v>
      </c>
      <c r="Y179" s="28">
        <f t="shared" ca="1" si="30"/>
        <v>46476</v>
      </c>
      <c r="Z179" s="28" t="str">
        <f t="shared" ca="1" si="31"/>
        <v>Due Soon</v>
      </c>
      <c r="AA179" s="5" t="str" cm="1">
        <f t="array" ref="AA179">_xlfn.IFS(W179&gt;10,"Veteran",W179&gt;=6,"Experienced",W179&gt;=2,"Developing",W179&gt;=0,"New")</f>
        <v>New</v>
      </c>
      <c r="AB179" s="5" t="str" cm="1">
        <f t="array" ref="AB179">_xlfn.IFS(G179=1,"Junior",G179=2,"Mid-Level",G179=3,"Senior",G179=4,"Lead",G179=5,"Principal")&amp;" "&amp;TRIM(PROPER(H179))</f>
        <v>Junior Laboratory Technician</v>
      </c>
      <c r="AC179" s="19" t="str">
        <f t="shared" ca="1" si="32"/>
        <v>La-Res-2025-178 is a Junior Laboratory Technician in the Research &amp; Development department, aged 19, single and has been with the Company for 1years</v>
      </c>
    </row>
    <row r="180" spans="1:29">
      <c r="A180" s="18" t="str">
        <f t="shared" ca="1" si="22"/>
        <v>Sa-Sal-2002-179</v>
      </c>
      <c r="B180" s="5">
        <v>46</v>
      </c>
      <c r="C180" s="5" t="str">
        <f t="shared" si="23"/>
        <v>40-49</v>
      </c>
      <c r="D180" s="5" t="s">
        <v>43</v>
      </c>
      <c r="E180" s="5" t="s">
        <v>37</v>
      </c>
      <c r="F180" s="5" t="s">
        <v>39</v>
      </c>
      <c r="G180" s="5">
        <v>3</v>
      </c>
      <c r="H180" s="5" t="s">
        <v>40</v>
      </c>
      <c r="I180" s="5" t="s">
        <v>52</v>
      </c>
      <c r="J180" s="7">
        <v>10453</v>
      </c>
      <c r="K180" s="7">
        <f t="shared" si="24"/>
        <v>2299.66</v>
      </c>
      <c r="L180" s="7">
        <f t="shared" si="25"/>
        <v>8153.34</v>
      </c>
      <c r="M180" s="7">
        <v>2137</v>
      </c>
      <c r="N180" s="5" t="s">
        <v>43</v>
      </c>
      <c r="O180" s="5">
        <v>25</v>
      </c>
      <c r="P180" s="7">
        <f t="shared" si="26"/>
        <v>13066.25</v>
      </c>
      <c r="Q180" s="7">
        <f t="shared" si="27"/>
        <v>31359</v>
      </c>
      <c r="R180" s="7" t="str">
        <f t="shared" si="28"/>
        <v>Normal</v>
      </c>
      <c r="S180" s="5">
        <v>4</v>
      </c>
      <c r="T180" s="5">
        <v>3</v>
      </c>
      <c r="U180" s="5" t="str" cm="1">
        <f t="array" ref="U180">_xlfn.IFS(T180=1,"Poor",T180=2,"Fair",T180=3,"Good",T180=4,"Excellent")</f>
        <v>Good</v>
      </c>
      <c r="V180" s="5" t="s">
        <v>43</v>
      </c>
      <c r="W180" s="5">
        <v>24</v>
      </c>
      <c r="X180" s="28">
        <f t="shared" ca="1" si="29"/>
        <v>37345</v>
      </c>
      <c r="Y180" s="28">
        <f t="shared" ca="1" si="30"/>
        <v>46842</v>
      </c>
      <c r="Z180" s="28" t="str">
        <f t="shared" ca="1" si="31"/>
        <v>Upcoming</v>
      </c>
      <c r="AA180" s="5" t="str" cm="1">
        <f t="array" ref="AA180">_xlfn.IFS(W180&gt;10,"Veteran",W180&gt;=6,"Experienced",W180&gt;=2,"Developing",W180&gt;=0,"New")</f>
        <v>Veteran</v>
      </c>
      <c r="AB180" s="5" t="str" cm="1">
        <f t="array" ref="AB180">_xlfn.IFS(G180=1,"Junior",G180=2,"Mid-Level",G180=3,"Senior",G180=4,"Lead",G180=5,"Principal")&amp;" "&amp;TRIM(PROPER(H180))</f>
        <v>Senior Sales Executive</v>
      </c>
      <c r="AC180" s="19" t="str">
        <f t="shared" ca="1" si="32"/>
        <v>Sa-Sal-2002-179 is a Senior Sales Executive in the Sales department, aged 46, divorced and has been with the Company for 24years</v>
      </c>
    </row>
    <row r="181" spans="1:29">
      <c r="A181" s="18" t="str">
        <f t="shared" ca="1" si="22"/>
        <v>La-Res-2024-180</v>
      </c>
      <c r="B181" s="5">
        <v>38</v>
      </c>
      <c r="C181" s="5" t="str">
        <f t="shared" si="23"/>
        <v>30-39</v>
      </c>
      <c r="D181" s="5" t="s">
        <v>43</v>
      </c>
      <c r="E181" s="5" t="s">
        <v>45</v>
      </c>
      <c r="F181" s="5" t="s">
        <v>39</v>
      </c>
      <c r="G181" s="5">
        <v>1</v>
      </c>
      <c r="H181" s="5" t="s">
        <v>50</v>
      </c>
      <c r="I181" s="5" t="s">
        <v>41</v>
      </c>
      <c r="J181" s="7">
        <v>2288</v>
      </c>
      <c r="K181" s="7">
        <f t="shared" si="24"/>
        <v>160.16000000000003</v>
      </c>
      <c r="L181" s="7">
        <f t="shared" si="25"/>
        <v>2127.84</v>
      </c>
      <c r="M181" s="7">
        <v>6319</v>
      </c>
      <c r="N181" s="5" t="s">
        <v>43</v>
      </c>
      <c r="O181" s="5">
        <v>12</v>
      </c>
      <c r="P181" s="7">
        <f t="shared" si="26"/>
        <v>2562.5600000000004</v>
      </c>
      <c r="Q181" s="7">
        <f t="shared" si="27"/>
        <v>3294.7200000000048</v>
      </c>
      <c r="R181" s="7" t="str">
        <f t="shared" si="28"/>
        <v>Normal</v>
      </c>
      <c r="S181" s="5">
        <v>3</v>
      </c>
      <c r="T181" s="5">
        <v>3</v>
      </c>
      <c r="U181" s="5" t="str" cm="1">
        <f t="array" ref="U181">_xlfn.IFS(T181=1,"Poor",T181=2,"Fair",T181=3,"Good",T181=4,"Excellent")</f>
        <v>Good</v>
      </c>
      <c r="V181" s="5" t="s">
        <v>43</v>
      </c>
      <c r="W181" s="5">
        <v>2</v>
      </c>
      <c r="X181" s="28">
        <f t="shared" ca="1" si="29"/>
        <v>45381</v>
      </c>
      <c r="Y181" s="28">
        <f t="shared" ca="1" si="30"/>
        <v>46842</v>
      </c>
      <c r="Z181" s="28" t="str">
        <f t="shared" ca="1" si="31"/>
        <v>Upcoming</v>
      </c>
      <c r="AA181" s="5" t="str" cm="1">
        <f t="array" ref="AA181">_xlfn.IFS(W181&gt;10,"Veteran",W181&gt;=6,"Experienced",W181&gt;=2,"Developing",W181&gt;=0,"New")</f>
        <v>Developing</v>
      </c>
      <c r="AB181" s="5" t="str" cm="1">
        <f t="array" ref="AB181">_xlfn.IFS(G181=1,"Junior",G181=2,"Mid-Level",G181=3,"Senior",G181=4,"Lead",G181=5,"Principal")&amp;" "&amp;TRIM(PROPER(H181))</f>
        <v>Junior Laboratory Technician</v>
      </c>
      <c r="AC181" s="19" t="str">
        <f t="shared" ca="1" si="32"/>
        <v>La-Res-2024-180 is a Junior Laboratory Technician in the Research &amp; Development department, aged 38, single and has been with the Company for 2years</v>
      </c>
    </row>
    <row r="182" spans="1:29">
      <c r="A182" s="18" t="str">
        <f t="shared" ca="1" si="22"/>
        <v>Re-Res-2022-181</v>
      </c>
      <c r="B182" s="5">
        <v>31</v>
      </c>
      <c r="C182" s="5" t="str">
        <f t="shared" si="23"/>
        <v>30-39</v>
      </c>
      <c r="D182" s="5" t="s">
        <v>43</v>
      </c>
      <c r="E182" s="5" t="s">
        <v>45</v>
      </c>
      <c r="F182" s="5" t="s">
        <v>39</v>
      </c>
      <c r="G182" s="5">
        <v>1</v>
      </c>
      <c r="H182" s="5" t="s">
        <v>47</v>
      </c>
      <c r="I182" s="5" t="s">
        <v>48</v>
      </c>
      <c r="J182" s="7">
        <v>3929</v>
      </c>
      <c r="K182" s="7">
        <f t="shared" si="24"/>
        <v>589.35</v>
      </c>
      <c r="L182" s="7">
        <f t="shared" si="25"/>
        <v>3339.65</v>
      </c>
      <c r="M182" s="7">
        <v>6984</v>
      </c>
      <c r="N182" s="5" t="s">
        <v>35</v>
      </c>
      <c r="O182" s="5">
        <v>23</v>
      </c>
      <c r="P182" s="7">
        <f t="shared" si="26"/>
        <v>4832.67</v>
      </c>
      <c r="Q182" s="7">
        <f t="shared" si="27"/>
        <v>10844.04</v>
      </c>
      <c r="R182" s="7" t="str">
        <f t="shared" si="28"/>
        <v>Normal</v>
      </c>
      <c r="S182" s="5">
        <v>4</v>
      </c>
      <c r="T182" s="5">
        <v>3</v>
      </c>
      <c r="U182" s="5" t="str" cm="1">
        <f t="array" ref="U182">_xlfn.IFS(T182=1,"Poor",T182=2,"Fair",T182=3,"Good",T182=4,"Excellent")</f>
        <v>Good</v>
      </c>
      <c r="V182" s="5" t="s">
        <v>35</v>
      </c>
      <c r="W182" s="5">
        <v>4</v>
      </c>
      <c r="X182" s="28">
        <f t="shared" ca="1" si="29"/>
        <v>44650</v>
      </c>
      <c r="Y182" s="28">
        <f t="shared" ca="1" si="30"/>
        <v>46842</v>
      </c>
      <c r="Z182" s="28" t="str">
        <f t="shared" ca="1" si="31"/>
        <v>Upcoming</v>
      </c>
      <c r="AA182" s="5" t="str" cm="1">
        <f t="array" ref="AA182">_xlfn.IFS(W182&gt;10,"Veteran",W182&gt;=6,"Experienced",W182&gt;=2,"Developing",W182&gt;=0,"New")</f>
        <v>Developing</v>
      </c>
      <c r="AB182" s="5" t="str" cm="1">
        <f t="array" ref="AB182">_xlfn.IFS(G182=1,"Junior",G182=2,"Mid-Level",G182=3,"Senior",G182=4,"Lead",G182=5,"Principal")&amp;" "&amp;TRIM(PROPER(H182))</f>
        <v>Junior Research Scientist</v>
      </c>
      <c r="AC182" s="19" t="str">
        <f t="shared" ca="1" si="32"/>
        <v>Re-Res-2022-181 is a Junior Research Scientist in the Research &amp; Development department, aged 31, married and has been with the Company for 4years</v>
      </c>
    </row>
    <row r="183" spans="1:29">
      <c r="A183" s="18" t="str">
        <f t="shared" ca="1" si="22"/>
        <v>Re-Res-2023-182</v>
      </c>
      <c r="B183" s="5">
        <v>34</v>
      </c>
      <c r="C183" s="5" t="str">
        <f t="shared" si="23"/>
        <v>30-39</v>
      </c>
      <c r="D183" s="5" t="s">
        <v>43</v>
      </c>
      <c r="E183" s="5" t="s">
        <v>45</v>
      </c>
      <c r="F183" s="5" t="s">
        <v>39</v>
      </c>
      <c r="G183" s="5">
        <v>1</v>
      </c>
      <c r="H183" s="5" t="s">
        <v>47</v>
      </c>
      <c r="I183" s="5" t="s">
        <v>41</v>
      </c>
      <c r="J183" s="7">
        <v>2311</v>
      </c>
      <c r="K183" s="7">
        <f t="shared" si="24"/>
        <v>161.77000000000001</v>
      </c>
      <c r="L183" s="7">
        <f t="shared" si="25"/>
        <v>2149.23</v>
      </c>
      <c r="M183" s="7">
        <v>5711</v>
      </c>
      <c r="N183" s="5" t="s">
        <v>43</v>
      </c>
      <c r="O183" s="5">
        <v>15</v>
      </c>
      <c r="P183" s="7">
        <f t="shared" si="26"/>
        <v>2657.6499999999996</v>
      </c>
      <c r="Q183" s="7">
        <f t="shared" si="27"/>
        <v>4159.7999999999956</v>
      </c>
      <c r="R183" s="7" t="str">
        <f t="shared" si="28"/>
        <v>Normal</v>
      </c>
      <c r="S183" s="5">
        <v>3</v>
      </c>
      <c r="T183" s="5">
        <v>3</v>
      </c>
      <c r="U183" s="5" t="str" cm="1">
        <f t="array" ref="U183">_xlfn.IFS(T183=1,"Poor",T183=2,"Fair",T183=3,"Good",T183=4,"Excellent")</f>
        <v>Good</v>
      </c>
      <c r="V183" s="5" t="s">
        <v>43</v>
      </c>
      <c r="W183" s="5">
        <v>3</v>
      </c>
      <c r="X183" s="28">
        <f t="shared" ca="1" si="29"/>
        <v>45015</v>
      </c>
      <c r="Y183" s="28">
        <f t="shared" ca="1" si="30"/>
        <v>46476</v>
      </c>
      <c r="Z183" s="28" t="str">
        <f t="shared" ca="1" si="31"/>
        <v>Due Soon</v>
      </c>
      <c r="AA183" s="5" t="str" cm="1">
        <f t="array" ref="AA183">_xlfn.IFS(W183&gt;10,"Veteran",W183&gt;=6,"Experienced",W183&gt;=2,"Developing",W183&gt;=0,"New")</f>
        <v>Developing</v>
      </c>
      <c r="AB183" s="5" t="str" cm="1">
        <f t="array" ref="AB183">_xlfn.IFS(G183=1,"Junior",G183=2,"Mid-Level",G183=3,"Senior",G183=4,"Lead",G183=5,"Principal")&amp;" "&amp;TRIM(PROPER(H183))</f>
        <v>Junior Research Scientist</v>
      </c>
      <c r="AC183" s="19" t="str">
        <f t="shared" ca="1" si="32"/>
        <v>Re-Res-2023-182 is a Junior Research Scientist in the Research &amp; Development department, aged 34, single and has been with the Company for 3years</v>
      </c>
    </row>
    <row r="184" spans="1:29">
      <c r="A184" s="18" t="str">
        <f t="shared" ca="1" si="22"/>
        <v>Sa-Sal-2022-183</v>
      </c>
      <c r="B184" s="5">
        <v>41</v>
      </c>
      <c r="C184" s="5" t="str">
        <f t="shared" si="23"/>
        <v>40-49</v>
      </c>
      <c r="D184" s="5" t="s">
        <v>35</v>
      </c>
      <c r="E184" s="5" t="s">
        <v>37</v>
      </c>
      <c r="F184" s="5" t="s">
        <v>39</v>
      </c>
      <c r="G184" s="5">
        <v>1</v>
      </c>
      <c r="H184" s="5" t="s">
        <v>57</v>
      </c>
      <c r="I184" s="5" t="s">
        <v>41</v>
      </c>
      <c r="J184" s="7">
        <v>3140</v>
      </c>
      <c r="K184" s="7">
        <f t="shared" si="24"/>
        <v>471</v>
      </c>
      <c r="L184" s="7">
        <f t="shared" si="25"/>
        <v>2669</v>
      </c>
      <c r="M184" s="7">
        <v>21728</v>
      </c>
      <c r="N184" s="5" t="s">
        <v>35</v>
      </c>
      <c r="O184" s="5">
        <v>22</v>
      </c>
      <c r="P184" s="7">
        <f t="shared" si="26"/>
        <v>3830.7999999999997</v>
      </c>
      <c r="Q184" s="7">
        <f t="shared" si="27"/>
        <v>8289.5999999999967</v>
      </c>
      <c r="R184" s="7" t="str">
        <f t="shared" si="28"/>
        <v>Normal</v>
      </c>
      <c r="S184" s="5">
        <v>4</v>
      </c>
      <c r="T184" s="5">
        <v>2</v>
      </c>
      <c r="U184" s="5" t="str" cm="1">
        <f t="array" ref="U184">_xlfn.IFS(T184=1,"Poor",T184=2,"Fair",T184=3,"Good",T184=4,"Excellent")</f>
        <v>Fair</v>
      </c>
      <c r="V184" s="5" t="s">
        <v>35</v>
      </c>
      <c r="W184" s="5">
        <v>4</v>
      </c>
      <c r="X184" s="28">
        <f t="shared" ca="1" si="29"/>
        <v>44650</v>
      </c>
      <c r="Y184" s="28">
        <f t="shared" ca="1" si="30"/>
        <v>46842</v>
      </c>
      <c r="Z184" s="28" t="str">
        <f t="shared" ca="1" si="31"/>
        <v>Upcoming</v>
      </c>
      <c r="AA184" s="5" t="str" cm="1">
        <f t="array" ref="AA184">_xlfn.IFS(W184&gt;10,"Veteran",W184&gt;=6,"Experienced",W184&gt;=2,"Developing",W184&gt;=0,"New")</f>
        <v>Developing</v>
      </c>
      <c r="AB184" s="5" t="str" cm="1">
        <f t="array" ref="AB184">_xlfn.IFS(G184=1,"Junior",G184=2,"Mid-Level",G184=3,"Senior",G184=4,"Lead",G184=5,"Principal")&amp;" "&amp;TRIM(PROPER(H184))</f>
        <v>Junior Sales Representative</v>
      </c>
      <c r="AC184" s="19" t="str">
        <f t="shared" ca="1" si="32"/>
        <v>Sa-Sal-2022-183 is a Junior Sales Representative in the Sales department, aged 41, single and has been with the Company for 4years</v>
      </c>
    </row>
    <row r="185" spans="1:29">
      <c r="A185" s="18" t="str">
        <f t="shared" ca="1" si="22"/>
        <v>La-Res-2023-184</v>
      </c>
      <c r="B185" s="5">
        <v>50</v>
      </c>
      <c r="C185" s="5" t="str">
        <f t="shared" si="23"/>
        <v>50+</v>
      </c>
      <c r="D185" s="5" t="s">
        <v>43</v>
      </c>
      <c r="E185" s="5" t="s">
        <v>45</v>
      </c>
      <c r="F185" s="5" t="s">
        <v>46</v>
      </c>
      <c r="G185" s="5">
        <v>1</v>
      </c>
      <c r="H185" s="5" t="s">
        <v>50</v>
      </c>
      <c r="I185" s="5" t="s">
        <v>48</v>
      </c>
      <c r="J185" s="7">
        <v>3690</v>
      </c>
      <c r="K185" s="7">
        <f t="shared" si="24"/>
        <v>553.5</v>
      </c>
      <c r="L185" s="7">
        <f t="shared" si="25"/>
        <v>3136.5</v>
      </c>
      <c r="M185" s="7">
        <v>3425</v>
      </c>
      <c r="N185" s="5" t="s">
        <v>43</v>
      </c>
      <c r="O185" s="5">
        <v>15</v>
      </c>
      <c r="P185" s="7">
        <f t="shared" si="26"/>
        <v>4243.5</v>
      </c>
      <c r="Q185" s="7">
        <f t="shared" si="27"/>
        <v>6642</v>
      </c>
      <c r="R185" s="7" t="str">
        <f t="shared" si="28"/>
        <v>Normal</v>
      </c>
      <c r="S185" s="5">
        <v>3</v>
      </c>
      <c r="T185" s="5">
        <v>2</v>
      </c>
      <c r="U185" s="5" t="str" cm="1">
        <f t="array" ref="U185">_xlfn.IFS(T185=1,"Poor",T185=2,"Fair",T185=3,"Good",T185=4,"Excellent")</f>
        <v>Fair</v>
      </c>
      <c r="V185" s="5" t="s">
        <v>43</v>
      </c>
      <c r="W185" s="5">
        <v>3</v>
      </c>
      <c r="X185" s="28">
        <f t="shared" ca="1" si="29"/>
        <v>45015</v>
      </c>
      <c r="Y185" s="28">
        <f t="shared" ca="1" si="30"/>
        <v>46476</v>
      </c>
      <c r="Z185" s="28" t="str">
        <f t="shared" ca="1" si="31"/>
        <v>Due Soon</v>
      </c>
      <c r="AA185" s="5" t="str" cm="1">
        <f t="array" ref="AA185">_xlfn.IFS(W185&gt;10,"Veteran",W185&gt;=6,"Experienced",W185&gt;=2,"Developing",W185&gt;=0,"New")</f>
        <v>Developing</v>
      </c>
      <c r="AB185" s="5" t="str" cm="1">
        <f t="array" ref="AB185">_xlfn.IFS(G185=1,"Junior",G185=2,"Mid-Level",G185=3,"Senior",G185=4,"Lead",G185=5,"Principal")&amp;" "&amp;TRIM(PROPER(H185))</f>
        <v>Junior Laboratory Technician</v>
      </c>
      <c r="AC185" s="19" t="str">
        <f t="shared" ca="1" si="32"/>
        <v>La-Res-2023-184 is a Junior Laboratory Technician in the Research &amp; Development department, aged 50, married and has been with the Company for 3years</v>
      </c>
    </row>
    <row r="186" spans="1:29">
      <c r="A186" s="18" t="str">
        <f t="shared" ca="1" si="22"/>
        <v>Ma-Res-2022-185</v>
      </c>
      <c r="B186" s="5">
        <v>53</v>
      </c>
      <c r="C186" s="5" t="str">
        <f t="shared" si="23"/>
        <v>50+</v>
      </c>
      <c r="D186" s="5" t="s">
        <v>43</v>
      </c>
      <c r="E186" s="5" t="s">
        <v>45</v>
      </c>
      <c r="F186" s="5" t="s">
        <v>39</v>
      </c>
      <c r="G186" s="5">
        <v>2</v>
      </c>
      <c r="H186" s="5" t="s">
        <v>53</v>
      </c>
      <c r="I186" s="5" t="s">
        <v>52</v>
      </c>
      <c r="J186" s="7">
        <v>4450</v>
      </c>
      <c r="K186" s="7">
        <f t="shared" si="24"/>
        <v>667.5</v>
      </c>
      <c r="L186" s="7">
        <f t="shared" si="25"/>
        <v>3782.5</v>
      </c>
      <c r="M186" s="7">
        <v>26250</v>
      </c>
      <c r="N186" s="5" t="s">
        <v>43</v>
      </c>
      <c r="O186" s="5">
        <v>11</v>
      </c>
      <c r="P186" s="7">
        <f t="shared" si="26"/>
        <v>4939.5</v>
      </c>
      <c r="Q186" s="7">
        <f t="shared" si="27"/>
        <v>5874</v>
      </c>
      <c r="R186" s="7" t="str">
        <f t="shared" si="28"/>
        <v>Normal</v>
      </c>
      <c r="S186" s="5">
        <v>3</v>
      </c>
      <c r="T186" s="5">
        <v>3</v>
      </c>
      <c r="U186" s="5" t="str" cm="1">
        <f t="array" ref="U186">_xlfn.IFS(T186=1,"Poor",T186=2,"Fair",T186=3,"Good",T186=4,"Excellent")</f>
        <v>Good</v>
      </c>
      <c r="V186" s="5" t="s">
        <v>43</v>
      </c>
      <c r="W186" s="5">
        <v>4</v>
      </c>
      <c r="X186" s="28">
        <f t="shared" ca="1" si="29"/>
        <v>44650</v>
      </c>
      <c r="Y186" s="28">
        <f t="shared" ca="1" si="30"/>
        <v>46842</v>
      </c>
      <c r="Z186" s="28" t="str">
        <f t="shared" ca="1" si="31"/>
        <v>Upcoming</v>
      </c>
      <c r="AA186" s="5" t="str" cm="1">
        <f t="array" ref="AA186">_xlfn.IFS(W186&gt;10,"Veteran",W186&gt;=6,"Experienced",W186&gt;=2,"Developing",W186&gt;=0,"New")</f>
        <v>Developing</v>
      </c>
      <c r="AB186" s="5" t="str" cm="1">
        <f t="array" ref="AB186">_xlfn.IFS(G186=1,"Junior",G186=2,"Mid-Level",G186=3,"Senior",G186=4,"Lead",G186=5,"Principal")&amp;" "&amp;TRIM(PROPER(H186))</f>
        <v>Mid-Level Manufacturing Director</v>
      </c>
      <c r="AC186" s="19" t="str">
        <f t="shared" ca="1" si="32"/>
        <v>Ma-Res-2022-185 is a Mid-Level Manufacturing Director in the Research &amp; Development department, aged 53, divorced and has been with the Company for 4years</v>
      </c>
    </row>
    <row r="187" spans="1:29">
      <c r="A187" s="18" t="str">
        <f t="shared" ca="1" si="22"/>
        <v>Re-Res-2018-186</v>
      </c>
      <c r="B187" s="5">
        <v>33</v>
      </c>
      <c r="C187" s="5" t="str">
        <f t="shared" si="23"/>
        <v>30-39</v>
      </c>
      <c r="D187" s="5" t="s">
        <v>43</v>
      </c>
      <c r="E187" s="5" t="s">
        <v>45</v>
      </c>
      <c r="F187" s="5" t="s">
        <v>39</v>
      </c>
      <c r="G187" s="5">
        <v>1</v>
      </c>
      <c r="H187" s="5" t="s">
        <v>47</v>
      </c>
      <c r="I187" s="5" t="s">
        <v>48</v>
      </c>
      <c r="J187" s="7">
        <v>2756</v>
      </c>
      <c r="K187" s="7">
        <f t="shared" si="24"/>
        <v>192.92000000000002</v>
      </c>
      <c r="L187" s="7">
        <f t="shared" si="25"/>
        <v>2563.08</v>
      </c>
      <c r="M187" s="7">
        <v>4673</v>
      </c>
      <c r="N187" s="5" t="s">
        <v>43</v>
      </c>
      <c r="O187" s="5">
        <v>13</v>
      </c>
      <c r="P187" s="7">
        <f t="shared" si="26"/>
        <v>3114.2799999999997</v>
      </c>
      <c r="Q187" s="7">
        <f t="shared" si="27"/>
        <v>4299.3599999999969</v>
      </c>
      <c r="R187" s="7" t="str">
        <f t="shared" si="28"/>
        <v>Normal</v>
      </c>
      <c r="S187" s="5">
        <v>3</v>
      </c>
      <c r="T187" s="5">
        <v>3</v>
      </c>
      <c r="U187" s="5" t="str" cm="1">
        <f t="array" ref="U187">_xlfn.IFS(T187=1,"Poor",T187=2,"Fair",T187=3,"Good",T187=4,"Excellent")</f>
        <v>Good</v>
      </c>
      <c r="V187" s="5" t="s">
        <v>43</v>
      </c>
      <c r="W187" s="5">
        <v>8</v>
      </c>
      <c r="X187" s="28">
        <f t="shared" ca="1" si="29"/>
        <v>43189</v>
      </c>
      <c r="Y187" s="28">
        <f t="shared" ca="1" si="30"/>
        <v>46842</v>
      </c>
      <c r="Z187" s="28" t="str">
        <f t="shared" ca="1" si="31"/>
        <v>Upcoming</v>
      </c>
      <c r="AA187" s="5" t="str" cm="1">
        <f t="array" ref="AA187">_xlfn.IFS(W187&gt;10,"Veteran",W187&gt;=6,"Experienced",W187&gt;=2,"Developing",W187&gt;=0,"New")</f>
        <v>Experienced</v>
      </c>
      <c r="AB187" s="5" t="str" cm="1">
        <f t="array" ref="AB187">_xlfn.IFS(G187=1,"Junior",G187=2,"Mid-Level",G187=3,"Senior",G187=4,"Lead",G187=5,"Principal")&amp;" "&amp;TRIM(PROPER(H187))</f>
        <v>Junior Research Scientist</v>
      </c>
      <c r="AC187" s="19" t="str">
        <f t="shared" ca="1" si="32"/>
        <v>Re-Res-2018-186 is a Junior Research Scientist in the Research &amp; Development department, aged 33, married and has been with the Company for 8years</v>
      </c>
    </row>
    <row r="188" spans="1:29">
      <c r="A188" s="18" t="str">
        <f t="shared" ca="1" si="22"/>
        <v>Ma-Res-2006-187</v>
      </c>
      <c r="B188" s="5">
        <v>40</v>
      </c>
      <c r="C188" s="5" t="str">
        <f t="shared" si="23"/>
        <v>40-49</v>
      </c>
      <c r="D188" s="5" t="s">
        <v>43</v>
      </c>
      <c r="E188" s="5" t="s">
        <v>45</v>
      </c>
      <c r="F188" s="5" t="s">
        <v>39</v>
      </c>
      <c r="G188" s="5">
        <v>5</v>
      </c>
      <c r="H188" s="5" t="s">
        <v>56</v>
      </c>
      <c r="I188" s="5" t="s">
        <v>48</v>
      </c>
      <c r="J188" s="7">
        <v>19033</v>
      </c>
      <c r="K188" s="7">
        <f t="shared" si="24"/>
        <v>5709.9</v>
      </c>
      <c r="L188" s="7">
        <f t="shared" si="25"/>
        <v>13323.1</v>
      </c>
      <c r="M188" s="7">
        <v>6499</v>
      </c>
      <c r="N188" s="5" t="s">
        <v>43</v>
      </c>
      <c r="O188" s="5">
        <v>14</v>
      </c>
      <c r="P188" s="7">
        <f t="shared" si="26"/>
        <v>21697.620000000003</v>
      </c>
      <c r="Q188" s="7">
        <f t="shared" si="27"/>
        <v>31975.440000000031</v>
      </c>
      <c r="R188" s="7" t="str">
        <f t="shared" si="28"/>
        <v>Normal</v>
      </c>
      <c r="S188" s="5">
        <v>3</v>
      </c>
      <c r="T188" s="5">
        <v>3</v>
      </c>
      <c r="U188" s="5" t="str" cm="1">
        <f t="array" ref="U188">_xlfn.IFS(T188=1,"Poor",T188=2,"Fair",T188=3,"Good",T188=4,"Excellent")</f>
        <v>Good</v>
      </c>
      <c r="V188" s="5" t="s">
        <v>43</v>
      </c>
      <c r="W188" s="5">
        <v>20</v>
      </c>
      <c r="X188" s="28">
        <f t="shared" ca="1" si="29"/>
        <v>38806</v>
      </c>
      <c r="Y188" s="28">
        <f t="shared" ca="1" si="30"/>
        <v>46842</v>
      </c>
      <c r="Z188" s="28" t="str">
        <f t="shared" ca="1" si="31"/>
        <v>Upcoming</v>
      </c>
      <c r="AA188" s="5" t="str" cm="1">
        <f t="array" ref="AA188">_xlfn.IFS(W188&gt;10,"Veteran",W188&gt;=6,"Experienced",W188&gt;=2,"Developing",W188&gt;=0,"New")</f>
        <v>Veteran</v>
      </c>
      <c r="AB188" s="5" t="str" cm="1">
        <f t="array" ref="AB188">_xlfn.IFS(G188=1,"Junior",G188=2,"Mid-Level",G188=3,"Senior",G188=4,"Lead",G188=5,"Principal")&amp;" "&amp;TRIM(PROPER(H188))</f>
        <v>Principal Manager</v>
      </c>
      <c r="AC188" s="19" t="str">
        <f t="shared" ca="1" si="32"/>
        <v>Ma-Res-2006-187 is a Principal Manager in the Research &amp; Development department, aged 40, married and has been with the Company for 20years</v>
      </c>
    </row>
    <row r="189" spans="1:29">
      <c r="A189" s="18" t="str">
        <f t="shared" ca="1" si="22"/>
        <v>Re-Res-2002-188</v>
      </c>
      <c r="B189" s="5">
        <v>55</v>
      </c>
      <c r="C189" s="5" t="str">
        <f t="shared" si="23"/>
        <v>50+</v>
      </c>
      <c r="D189" s="5" t="s">
        <v>43</v>
      </c>
      <c r="E189" s="5" t="s">
        <v>45</v>
      </c>
      <c r="F189" s="5" t="s">
        <v>46</v>
      </c>
      <c r="G189" s="5">
        <v>5</v>
      </c>
      <c r="H189" s="5" t="s">
        <v>58</v>
      </c>
      <c r="I189" s="5" t="s">
        <v>41</v>
      </c>
      <c r="J189" s="7">
        <v>18722</v>
      </c>
      <c r="K189" s="7">
        <f t="shared" si="24"/>
        <v>5616.5999999999995</v>
      </c>
      <c r="L189" s="7">
        <f t="shared" si="25"/>
        <v>13105.400000000001</v>
      </c>
      <c r="M189" s="7">
        <v>13339</v>
      </c>
      <c r="N189" s="5" t="s">
        <v>43</v>
      </c>
      <c r="O189" s="5">
        <v>11</v>
      </c>
      <c r="P189" s="7">
        <f t="shared" si="26"/>
        <v>20781.420000000002</v>
      </c>
      <c r="Q189" s="7">
        <f t="shared" si="27"/>
        <v>24713.040000000023</v>
      </c>
      <c r="R189" s="7" t="str">
        <f t="shared" si="28"/>
        <v>Normal</v>
      </c>
      <c r="S189" s="5">
        <v>3</v>
      </c>
      <c r="T189" s="5">
        <v>3</v>
      </c>
      <c r="U189" s="5" t="str" cm="1">
        <f t="array" ref="U189">_xlfn.IFS(T189=1,"Poor",T189=2,"Fair",T189=3,"Good",T189=4,"Excellent")</f>
        <v>Good</v>
      </c>
      <c r="V189" s="5" t="s">
        <v>43</v>
      </c>
      <c r="W189" s="5">
        <v>24</v>
      </c>
      <c r="X189" s="28">
        <f t="shared" ca="1" si="29"/>
        <v>37345</v>
      </c>
      <c r="Y189" s="28">
        <f t="shared" ca="1" si="30"/>
        <v>46842</v>
      </c>
      <c r="Z189" s="28" t="str">
        <f t="shared" ca="1" si="31"/>
        <v>Upcoming</v>
      </c>
      <c r="AA189" s="5" t="str" cm="1">
        <f t="array" ref="AA189">_xlfn.IFS(W189&gt;10,"Veteran",W189&gt;=6,"Experienced",W189&gt;=2,"Developing",W189&gt;=0,"New")</f>
        <v>Veteran</v>
      </c>
      <c r="AB189" s="5" t="str" cm="1">
        <f t="array" ref="AB189">_xlfn.IFS(G189=1,"Junior",G189=2,"Mid-Level",G189=3,"Senior",G189=4,"Lead",G189=5,"Principal")&amp;" "&amp;TRIM(PROPER(H189))</f>
        <v>Principal Research Director</v>
      </c>
      <c r="AC189" s="19" t="str">
        <f t="shared" ca="1" si="32"/>
        <v>Re-Res-2002-188 is a Principal Research Director in the Research &amp; Development department, aged 55, single and has been with the Company for 24years</v>
      </c>
    </row>
    <row r="190" spans="1:29">
      <c r="A190" s="18" t="str">
        <f t="shared" ca="1" si="22"/>
        <v>Ma-Res-2016-189</v>
      </c>
      <c r="B190" s="5">
        <v>34</v>
      </c>
      <c r="C190" s="5" t="str">
        <f t="shared" si="23"/>
        <v>30-39</v>
      </c>
      <c r="D190" s="5" t="s">
        <v>43</v>
      </c>
      <c r="E190" s="5" t="s">
        <v>45</v>
      </c>
      <c r="F190" s="5" t="s">
        <v>46</v>
      </c>
      <c r="G190" s="5">
        <v>2</v>
      </c>
      <c r="H190" s="5" t="s">
        <v>53</v>
      </c>
      <c r="I190" s="5" t="s">
        <v>48</v>
      </c>
      <c r="J190" s="7">
        <v>9547</v>
      </c>
      <c r="K190" s="7">
        <f t="shared" si="24"/>
        <v>2100.34</v>
      </c>
      <c r="L190" s="7">
        <f t="shared" si="25"/>
        <v>7446.66</v>
      </c>
      <c r="M190" s="7">
        <v>14074</v>
      </c>
      <c r="N190" s="5" t="s">
        <v>43</v>
      </c>
      <c r="O190" s="5">
        <v>17</v>
      </c>
      <c r="P190" s="7">
        <f t="shared" si="26"/>
        <v>11169.99</v>
      </c>
      <c r="Q190" s="7">
        <f t="shared" si="27"/>
        <v>19475.879999999997</v>
      </c>
      <c r="R190" s="7" t="str">
        <f t="shared" si="28"/>
        <v>Normal</v>
      </c>
      <c r="S190" s="5">
        <v>3</v>
      </c>
      <c r="T190" s="5">
        <v>2</v>
      </c>
      <c r="U190" s="5" t="str" cm="1">
        <f t="array" ref="U190">_xlfn.IFS(T190=1,"Poor",T190=2,"Fair",T190=3,"Good",T190=4,"Excellent")</f>
        <v>Fair</v>
      </c>
      <c r="V190" s="5" t="s">
        <v>43</v>
      </c>
      <c r="W190" s="5">
        <v>10</v>
      </c>
      <c r="X190" s="28">
        <f t="shared" ca="1" si="29"/>
        <v>42459</v>
      </c>
      <c r="Y190" s="28">
        <f t="shared" ca="1" si="30"/>
        <v>46842</v>
      </c>
      <c r="Z190" s="28" t="str">
        <f t="shared" ca="1" si="31"/>
        <v>Upcoming</v>
      </c>
      <c r="AA190" s="5" t="str" cm="1">
        <f t="array" ref="AA190">_xlfn.IFS(W190&gt;10,"Veteran",W190&gt;=6,"Experienced",W190&gt;=2,"Developing",W190&gt;=0,"New")</f>
        <v>Experienced</v>
      </c>
      <c r="AB190" s="5" t="str" cm="1">
        <f t="array" ref="AB190">_xlfn.IFS(G190=1,"Junior",G190=2,"Mid-Level",G190=3,"Senior",G190=4,"Lead",G190=5,"Principal")&amp;" "&amp;TRIM(PROPER(H190))</f>
        <v>Mid-Level Manufacturing Director</v>
      </c>
      <c r="AC190" s="19" t="str">
        <f t="shared" ca="1" si="32"/>
        <v>Ma-Res-2016-189 is a Mid-Level Manufacturing Director in the Research &amp; Development department, aged 34, married and has been with the Company for 10years</v>
      </c>
    </row>
    <row r="191" spans="1:29">
      <c r="A191" s="18" t="str">
        <f t="shared" ca="1" si="22"/>
        <v>He-Res-2019-190</v>
      </c>
      <c r="B191" s="5">
        <v>51</v>
      </c>
      <c r="C191" s="5" t="str">
        <f t="shared" si="23"/>
        <v>50+</v>
      </c>
      <c r="D191" s="5" t="s">
        <v>43</v>
      </c>
      <c r="E191" s="5" t="s">
        <v>45</v>
      </c>
      <c r="F191" s="5" t="s">
        <v>39</v>
      </c>
      <c r="G191" s="5">
        <v>4</v>
      </c>
      <c r="H191" s="5" t="s">
        <v>54</v>
      </c>
      <c r="I191" s="5" t="s">
        <v>41</v>
      </c>
      <c r="J191" s="7">
        <v>13734</v>
      </c>
      <c r="K191" s="7">
        <f t="shared" si="24"/>
        <v>4120.2</v>
      </c>
      <c r="L191" s="7">
        <f t="shared" si="25"/>
        <v>9613.7999999999993</v>
      </c>
      <c r="M191" s="7">
        <v>7192</v>
      </c>
      <c r="N191" s="5" t="s">
        <v>43</v>
      </c>
      <c r="O191" s="5">
        <v>18</v>
      </c>
      <c r="P191" s="7">
        <f t="shared" si="26"/>
        <v>16206.119999999999</v>
      </c>
      <c r="Q191" s="7">
        <f t="shared" si="27"/>
        <v>29665.439999999988</v>
      </c>
      <c r="R191" s="7" t="str">
        <f t="shared" si="28"/>
        <v>Normal</v>
      </c>
      <c r="S191" s="5">
        <v>3</v>
      </c>
      <c r="T191" s="5">
        <v>3</v>
      </c>
      <c r="U191" s="5" t="str" cm="1">
        <f t="array" ref="U191">_xlfn.IFS(T191=1,"Poor",T191=2,"Fair",T191=3,"Good",T191=4,"Excellent")</f>
        <v>Good</v>
      </c>
      <c r="V191" s="5" t="s">
        <v>43</v>
      </c>
      <c r="W191" s="5">
        <v>7</v>
      </c>
      <c r="X191" s="28">
        <f t="shared" ca="1" si="29"/>
        <v>43554</v>
      </c>
      <c r="Y191" s="28">
        <f t="shared" ca="1" si="30"/>
        <v>46476</v>
      </c>
      <c r="Z191" s="28" t="str">
        <f t="shared" ca="1" si="31"/>
        <v>Due Soon</v>
      </c>
      <c r="AA191" s="5" t="str" cm="1">
        <f t="array" ref="AA191">_xlfn.IFS(W191&gt;10,"Veteran",W191&gt;=6,"Experienced",W191&gt;=2,"Developing",W191&gt;=0,"New")</f>
        <v>Experienced</v>
      </c>
      <c r="AB191" s="5" t="str" cm="1">
        <f t="array" ref="AB191">_xlfn.IFS(G191=1,"Junior",G191=2,"Mid-Level",G191=3,"Senior",G191=4,"Lead",G191=5,"Principal")&amp;" "&amp;TRIM(PROPER(H191))</f>
        <v>Lead Healthcare Representative</v>
      </c>
      <c r="AC191" s="19" t="str">
        <f t="shared" ca="1" si="32"/>
        <v>He-Res-2019-190 is a Lead Healthcare Representative in the Research &amp; Development department, aged 51, single and has been with the Company for 7years</v>
      </c>
    </row>
    <row r="192" spans="1:29">
      <c r="A192" s="18" t="str">
        <f t="shared" ca="1" si="22"/>
        <v>Ma-Res-1993-191</v>
      </c>
      <c r="B192" s="5">
        <v>52</v>
      </c>
      <c r="C192" s="5" t="str">
        <f t="shared" si="23"/>
        <v>50+</v>
      </c>
      <c r="D192" s="5" t="s">
        <v>43</v>
      </c>
      <c r="E192" s="5" t="s">
        <v>45</v>
      </c>
      <c r="F192" s="5" t="s">
        <v>46</v>
      </c>
      <c r="G192" s="5">
        <v>5</v>
      </c>
      <c r="H192" s="5" t="s">
        <v>56</v>
      </c>
      <c r="I192" s="5" t="s">
        <v>48</v>
      </c>
      <c r="J192" s="7">
        <v>19999</v>
      </c>
      <c r="K192" s="7">
        <f t="shared" si="24"/>
        <v>5999.7</v>
      </c>
      <c r="L192" s="7">
        <f t="shared" si="25"/>
        <v>13999.3</v>
      </c>
      <c r="M192" s="7">
        <v>5678</v>
      </c>
      <c r="N192" s="5" t="s">
        <v>43</v>
      </c>
      <c r="O192" s="5">
        <v>14</v>
      </c>
      <c r="P192" s="7">
        <f t="shared" si="26"/>
        <v>22798.860000000004</v>
      </c>
      <c r="Q192" s="7">
        <f t="shared" si="27"/>
        <v>33598.320000000051</v>
      </c>
      <c r="R192" s="7" t="str">
        <f t="shared" si="28"/>
        <v>Normal</v>
      </c>
      <c r="S192" s="5">
        <v>3</v>
      </c>
      <c r="T192" s="5">
        <v>3</v>
      </c>
      <c r="U192" s="5" t="str" cm="1">
        <f t="array" ref="U192">_xlfn.IFS(T192=1,"Poor",T192=2,"Fair",T192=3,"Good",T192=4,"Excellent")</f>
        <v>Good</v>
      </c>
      <c r="V192" s="5" t="s">
        <v>43</v>
      </c>
      <c r="W192" s="5">
        <v>33</v>
      </c>
      <c r="X192" s="28">
        <f t="shared" ca="1" si="29"/>
        <v>34058</v>
      </c>
      <c r="Y192" s="28">
        <f t="shared" ca="1" si="30"/>
        <v>46476</v>
      </c>
      <c r="Z192" s="28" t="str">
        <f t="shared" ca="1" si="31"/>
        <v>Due Soon</v>
      </c>
      <c r="AA192" s="5" t="str" cm="1">
        <f t="array" ref="AA192">_xlfn.IFS(W192&gt;10,"Veteran",W192&gt;=6,"Experienced",W192&gt;=2,"Developing",W192&gt;=0,"New")</f>
        <v>Veteran</v>
      </c>
      <c r="AB192" s="5" t="str" cm="1">
        <f t="array" ref="AB192">_xlfn.IFS(G192=1,"Junior",G192=2,"Mid-Level",G192=3,"Senior",G192=4,"Lead",G192=5,"Principal")&amp;" "&amp;TRIM(PROPER(H192))</f>
        <v>Principal Manager</v>
      </c>
      <c r="AC192" s="19" t="str">
        <f t="shared" ca="1" si="32"/>
        <v>Ma-Res-1993-191 is a Principal Manager in the Research &amp; Development department, aged 52, married and has been with the Company for 33years</v>
      </c>
    </row>
    <row r="193" spans="1:29">
      <c r="A193" s="18" t="str">
        <f t="shared" ca="1" si="22"/>
        <v>Re-Res-2019-192</v>
      </c>
      <c r="B193" s="5">
        <v>27</v>
      </c>
      <c r="C193" s="5" t="str">
        <f t="shared" si="23"/>
        <v>20-29</v>
      </c>
      <c r="D193" s="5" t="s">
        <v>43</v>
      </c>
      <c r="E193" s="5" t="s">
        <v>45</v>
      </c>
      <c r="F193" s="5" t="s">
        <v>39</v>
      </c>
      <c r="G193" s="5">
        <v>1</v>
      </c>
      <c r="H193" s="5" t="s">
        <v>47</v>
      </c>
      <c r="I193" s="5" t="s">
        <v>41</v>
      </c>
      <c r="J193" s="7">
        <v>2279</v>
      </c>
      <c r="K193" s="7">
        <f t="shared" si="24"/>
        <v>159.53</v>
      </c>
      <c r="L193" s="7">
        <f t="shared" si="25"/>
        <v>2119.4699999999998</v>
      </c>
      <c r="M193" s="7">
        <v>11781</v>
      </c>
      <c r="N193" s="5" t="s">
        <v>43</v>
      </c>
      <c r="O193" s="5">
        <v>16</v>
      </c>
      <c r="P193" s="7">
        <f t="shared" si="26"/>
        <v>2643.64</v>
      </c>
      <c r="Q193" s="7">
        <f t="shared" si="27"/>
        <v>4375.6799999999985</v>
      </c>
      <c r="R193" s="7" t="str">
        <f t="shared" si="28"/>
        <v>Normal</v>
      </c>
      <c r="S193" s="5">
        <v>3</v>
      </c>
      <c r="T193" s="5">
        <v>2</v>
      </c>
      <c r="U193" s="5" t="str" cm="1">
        <f t="array" ref="U193">_xlfn.IFS(T193=1,"Poor",T193=2,"Fair",T193=3,"Good",T193=4,"Excellent")</f>
        <v>Fair</v>
      </c>
      <c r="V193" s="5" t="s">
        <v>43</v>
      </c>
      <c r="W193" s="5">
        <v>7</v>
      </c>
      <c r="X193" s="28">
        <f t="shared" ca="1" si="29"/>
        <v>43554</v>
      </c>
      <c r="Y193" s="28">
        <f t="shared" ca="1" si="30"/>
        <v>46476</v>
      </c>
      <c r="Z193" s="28" t="str">
        <f t="shared" ca="1" si="31"/>
        <v>Due Soon</v>
      </c>
      <c r="AA193" s="5" t="str" cm="1">
        <f t="array" ref="AA193">_xlfn.IFS(W193&gt;10,"Veteran",W193&gt;=6,"Experienced",W193&gt;=2,"Developing",W193&gt;=0,"New")</f>
        <v>Experienced</v>
      </c>
      <c r="AB193" s="5" t="str" cm="1">
        <f t="array" ref="AB193">_xlfn.IFS(G193=1,"Junior",G193=2,"Mid-Level",G193=3,"Senior",G193=4,"Lead",G193=5,"Principal")&amp;" "&amp;TRIM(PROPER(H193))</f>
        <v>Junior Research Scientist</v>
      </c>
      <c r="AC193" s="19" t="str">
        <f t="shared" ca="1" si="32"/>
        <v>Re-Res-2019-192 is a Junior Research Scientist in the Research &amp; Development department, aged 27, single and has been with the Company for 7years</v>
      </c>
    </row>
    <row r="194" spans="1:29">
      <c r="A194" s="18" t="str">
        <f t="shared" ca="1" si="22"/>
        <v>Ma-Res-2025-193</v>
      </c>
      <c r="B194" s="5">
        <v>35</v>
      </c>
      <c r="C194" s="5" t="str">
        <f t="shared" si="23"/>
        <v>30-39</v>
      </c>
      <c r="D194" s="5" t="s">
        <v>35</v>
      </c>
      <c r="E194" s="5" t="s">
        <v>45</v>
      </c>
      <c r="F194" s="5" t="s">
        <v>46</v>
      </c>
      <c r="G194" s="5">
        <v>2</v>
      </c>
      <c r="H194" s="5" t="s">
        <v>53</v>
      </c>
      <c r="I194" s="5" t="s">
        <v>48</v>
      </c>
      <c r="J194" s="7">
        <v>5916</v>
      </c>
      <c r="K194" s="7">
        <f t="shared" si="24"/>
        <v>887.4</v>
      </c>
      <c r="L194" s="7">
        <f t="shared" si="25"/>
        <v>5028.6000000000004</v>
      </c>
      <c r="M194" s="7">
        <v>15497</v>
      </c>
      <c r="N194" s="5" t="s">
        <v>35</v>
      </c>
      <c r="O194" s="5">
        <v>13</v>
      </c>
      <c r="P194" s="7">
        <f t="shared" si="26"/>
        <v>6685.079999999999</v>
      </c>
      <c r="Q194" s="7">
        <f t="shared" si="27"/>
        <v>9228.9599999999882</v>
      </c>
      <c r="R194" s="7" t="str">
        <f t="shared" si="28"/>
        <v>Normal</v>
      </c>
      <c r="S194" s="5">
        <v>3</v>
      </c>
      <c r="T194" s="5">
        <v>3</v>
      </c>
      <c r="U194" s="5" t="str" cm="1">
        <f t="array" ref="U194">_xlfn.IFS(T194=1,"Poor",T194=2,"Fair",T194=3,"Good",T194=4,"Excellent")</f>
        <v>Good</v>
      </c>
      <c r="V194" s="5" t="s">
        <v>35</v>
      </c>
      <c r="W194" s="5">
        <v>1</v>
      </c>
      <c r="X194" s="28">
        <f t="shared" ca="1" si="29"/>
        <v>45746</v>
      </c>
      <c r="Y194" s="28">
        <f t="shared" ca="1" si="30"/>
        <v>46476</v>
      </c>
      <c r="Z194" s="28" t="str">
        <f t="shared" ca="1" si="31"/>
        <v>Due Soon</v>
      </c>
      <c r="AA194" s="5" t="str" cm="1">
        <f t="array" ref="AA194">_xlfn.IFS(W194&gt;10,"Veteran",W194&gt;=6,"Experienced",W194&gt;=2,"Developing",W194&gt;=0,"New")</f>
        <v>New</v>
      </c>
      <c r="AB194" s="5" t="str" cm="1">
        <f t="array" ref="AB194">_xlfn.IFS(G194=1,"Junior",G194=2,"Mid-Level",G194=3,"Senior",G194=4,"Lead",G194=5,"Principal")&amp;" "&amp;TRIM(PROPER(H194))</f>
        <v>Mid-Level Manufacturing Director</v>
      </c>
      <c r="AC194" s="19" t="str">
        <f t="shared" ca="1" si="32"/>
        <v>Ma-Res-2025-193 is a Mid-Level Manufacturing Director in the Research &amp; Development department, aged 35, married and has been with the Company for 1years</v>
      </c>
    </row>
    <row r="195" spans="1:29">
      <c r="A195" s="18" t="str">
        <f t="shared" ref="A195:A258" ca="1" si="33">LEFT(H195,2)&amp;"-"&amp;LEFT(E195,3)&amp;"-"&amp;YEAR(TODAY())-W195&amp;"-"&amp;TEXT(ROW()-1,"000")</f>
        <v>Re-Res-2021-194</v>
      </c>
      <c r="B195" s="5">
        <v>43</v>
      </c>
      <c r="C195" s="5" t="str">
        <f t="shared" ref="C195:C258" si="34">IF(B195&lt;=29,"20-29",IF(B195&lt;=39,"30-39",IF(B195&lt;=49,"40-49","50+")))</f>
        <v>40-49</v>
      </c>
      <c r="D195" s="5" t="s">
        <v>43</v>
      </c>
      <c r="E195" s="5" t="s">
        <v>45</v>
      </c>
      <c r="F195" s="5" t="s">
        <v>46</v>
      </c>
      <c r="G195" s="5">
        <v>1</v>
      </c>
      <c r="H195" s="5" t="s">
        <v>47</v>
      </c>
      <c r="I195" s="5" t="s">
        <v>52</v>
      </c>
      <c r="J195" s="7">
        <v>2089</v>
      </c>
      <c r="K195" s="7">
        <f t="shared" ref="K195:K258" si="35">IF(J195&gt;13000,J195*30%,IF(J195&gt;7000,J195*22%,IF(J195&gt;3000,J195*15%,J195*7%)))</f>
        <v>146.23000000000002</v>
      </c>
      <c r="L195" s="7">
        <f t="shared" ref="L195:L258" si="36">J195-K195</f>
        <v>1942.77</v>
      </c>
      <c r="M195" s="7">
        <v>5228</v>
      </c>
      <c r="N195" s="5" t="s">
        <v>43</v>
      </c>
      <c r="O195" s="5">
        <v>14</v>
      </c>
      <c r="P195" s="7">
        <f t="shared" ref="P195:P258" si="37">J195*(1+(O195/100))</f>
        <v>2381.46</v>
      </c>
      <c r="Q195" s="7">
        <f t="shared" ref="Q195:Q258" si="38">(P195-J195)*12</f>
        <v>3509.5200000000004</v>
      </c>
      <c r="R195" s="7" t="str">
        <f t="shared" ref="R195:R258" si="39">IF(AND(O195&lt;12,S195=4),"UnderPaid","Normal")</f>
        <v>Normal</v>
      </c>
      <c r="S195" s="5">
        <v>3</v>
      </c>
      <c r="T195" s="5">
        <v>4</v>
      </c>
      <c r="U195" s="5" t="str" cm="1">
        <f t="array" ref="U195">_xlfn.IFS(T195=1,"Poor",T195=2,"Fair",T195=3,"Good",T195=4,"Excellent")</f>
        <v>Excellent</v>
      </c>
      <c r="V195" s="5" t="s">
        <v>43</v>
      </c>
      <c r="W195" s="5">
        <v>5</v>
      </c>
      <c r="X195" s="28">
        <f t="shared" ref="X195:X258" ca="1" si="40">EDATE(TODAY(),-W195*12)</f>
        <v>44285</v>
      </c>
      <c r="Y195" s="28">
        <f t="shared" ref="Y195:Y258" ca="1" si="41">EDATE(X195,(INT(W195/2)+1)*24)</f>
        <v>46476</v>
      </c>
      <c r="Z195" s="28" t="str">
        <f t="shared" ref="Z195:Z258" ca="1" si="42">IF(Y195&lt;=EDATE(TODAY(),12),"Due Soon","Upcoming")</f>
        <v>Due Soon</v>
      </c>
      <c r="AA195" s="5" t="str" cm="1">
        <f t="array" ref="AA195">_xlfn.IFS(W195&gt;10,"Veteran",W195&gt;=6,"Experienced",W195&gt;=2,"Developing",W195&gt;=0,"New")</f>
        <v>Developing</v>
      </c>
      <c r="AB195" s="5" t="str" cm="1">
        <f t="array" ref="AB195">_xlfn.IFS(G195=1,"Junior",G195=2,"Mid-Level",G195=3,"Senior",G195=4,"Lead",G195=5,"Principal")&amp;" "&amp;TRIM(PROPER(H195))</f>
        <v>Junior Research Scientist</v>
      </c>
      <c r="AC195" s="19" t="str">
        <f t="shared" ref="AC195:AC258" ca="1" si="43">A195&amp;" is a "&amp;AB195&amp;" in the "&amp;E195&amp;" department, aged "&amp;B195&amp;", "&amp;LOWER(I195)&amp;" and has been with the Company for "&amp;W195&amp;"years"</f>
        <v>Re-Res-2021-194 is a Junior Research Scientist in the Research &amp; Development department, aged 43, divorced and has been with the Company for 5years</v>
      </c>
    </row>
    <row r="196" spans="1:29">
      <c r="A196" s="18" t="str">
        <f t="shared" ca="1" si="33"/>
        <v>Ma-Res-2006-195</v>
      </c>
      <c r="B196" s="5">
        <v>45</v>
      </c>
      <c r="C196" s="5" t="str">
        <f t="shared" si="34"/>
        <v>40-49</v>
      </c>
      <c r="D196" s="5" t="s">
        <v>43</v>
      </c>
      <c r="E196" s="5" t="s">
        <v>45</v>
      </c>
      <c r="F196" s="5" t="s">
        <v>46</v>
      </c>
      <c r="G196" s="5">
        <v>4</v>
      </c>
      <c r="H196" s="5" t="s">
        <v>56</v>
      </c>
      <c r="I196" s="5" t="s">
        <v>48</v>
      </c>
      <c r="J196" s="7">
        <v>16792</v>
      </c>
      <c r="K196" s="7">
        <f t="shared" si="35"/>
        <v>5037.5999999999995</v>
      </c>
      <c r="L196" s="7">
        <f t="shared" si="36"/>
        <v>11754.400000000001</v>
      </c>
      <c r="M196" s="7">
        <v>20462</v>
      </c>
      <c r="N196" s="5" t="s">
        <v>43</v>
      </c>
      <c r="O196" s="5">
        <v>23</v>
      </c>
      <c r="P196" s="7">
        <f t="shared" si="37"/>
        <v>20654.16</v>
      </c>
      <c r="Q196" s="7">
        <f t="shared" si="38"/>
        <v>46345.919999999998</v>
      </c>
      <c r="R196" s="7" t="str">
        <f t="shared" si="39"/>
        <v>Normal</v>
      </c>
      <c r="S196" s="5">
        <v>4</v>
      </c>
      <c r="T196" s="5">
        <v>3</v>
      </c>
      <c r="U196" s="5" t="str" cm="1">
        <f t="array" ref="U196">_xlfn.IFS(T196=1,"Poor",T196=2,"Fair",T196=3,"Good",T196=4,"Excellent")</f>
        <v>Good</v>
      </c>
      <c r="V196" s="5" t="s">
        <v>43</v>
      </c>
      <c r="W196" s="5">
        <v>20</v>
      </c>
      <c r="X196" s="28">
        <f t="shared" ca="1" si="40"/>
        <v>38806</v>
      </c>
      <c r="Y196" s="28">
        <f t="shared" ca="1" si="41"/>
        <v>46842</v>
      </c>
      <c r="Z196" s="28" t="str">
        <f t="shared" ca="1" si="42"/>
        <v>Upcoming</v>
      </c>
      <c r="AA196" s="5" t="str" cm="1">
        <f t="array" ref="AA196">_xlfn.IFS(W196&gt;10,"Veteran",W196&gt;=6,"Experienced",W196&gt;=2,"Developing",W196&gt;=0,"New")</f>
        <v>Veteran</v>
      </c>
      <c r="AB196" s="5" t="str" cm="1">
        <f t="array" ref="AB196">_xlfn.IFS(G196=1,"Junior",G196=2,"Mid-Level",G196=3,"Senior",G196=4,"Lead",G196=5,"Principal")&amp;" "&amp;TRIM(PROPER(H196))</f>
        <v>Lead Manager</v>
      </c>
      <c r="AC196" s="19" t="str">
        <f t="shared" ca="1" si="43"/>
        <v>Ma-Res-2006-195 is a Lead Manager in the Research &amp; Development department, aged 45, married and has been with the Company for 20years</v>
      </c>
    </row>
    <row r="197" spans="1:29">
      <c r="A197" s="18" t="str">
        <f t="shared" ca="1" si="33"/>
        <v>Re-Res-2018-196</v>
      </c>
      <c r="B197" s="5">
        <v>37</v>
      </c>
      <c r="C197" s="5" t="str">
        <f t="shared" si="34"/>
        <v>30-39</v>
      </c>
      <c r="D197" s="5" t="s">
        <v>43</v>
      </c>
      <c r="E197" s="5" t="s">
        <v>45</v>
      </c>
      <c r="F197" s="5" t="s">
        <v>46</v>
      </c>
      <c r="G197" s="5">
        <v>1</v>
      </c>
      <c r="H197" s="5" t="s">
        <v>47</v>
      </c>
      <c r="I197" s="5" t="s">
        <v>48</v>
      </c>
      <c r="J197" s="7">
        <v>3564</v>
      </c>
      <c r="K197" s="7">
        <f t="shared" si="35"/>
        <v>534.6</v>
      </c>
      <c r="L197" s="7">
        <f t="shared" si="36"/>
        <v>3029.4</v>
      </c>
      <c r="M197" s="7">
        <v>22977</v>
      </c>
      <c r="N197" s="5" t="s">
        <v>35</v>
      </c>
      <c r="O197" s="5">
        <v>12</v>
      </c>
      <c r="P197" s="7">
        <f t="shared" si="37"/>
        <v>3991.6800000000003</v>
      </c>
      <c r="Q197" s="7">
        <f t="shared" si="38"/>
        <v>5132.1600000000035</v>
      </c>
      <c r="R197" s="7" t="str">
        <f t="shared" si="39"/>
        <v>Normal</v>
      </c>
      <c r="S197" s="5">
        <v>3</v>
      </c>
      <c r="T197" s="5">
        <v>2</v>
      </c>
      <c r="U197" s="5" t="str" cm="1">
        <f t="array" ref="U197">_xlfn.IFS(T197=1,"Poor",T197=2,"Fair",T197=3,"Good",T197=4,"Excellent")</f>
        <v>Fair</v>
      </c>
      <c r="V197" s="5" t="s">
        <v>35</v>
      </c>
      <c r="W197" s="5">
        <v>8</v>
      </c>
      <c r="X197" s="28">
        <f t="shared" ca="1" si="40"/>
        <v>43189</v>
      </c>
      <c r="Y197" s="28">
        <f t="shared" ca="1" si="41"/>
        <v>46842</v>
      </c>
      <c r="Z197" s="28" t="str">
        <f t="shared" ca="1" si="42"/>
        <v>Upcoming</v>
      </c>
      <c r="AA197" s="5" t="str" cm="1">
        <f t="array" ref="AA197">_xlfn.IFS(W197&gt;10,"Veteran",W197&gt;=6,"Experienced",W197&gt;=2,"Developing",W197&gt;=0,"New")</f>
        <v>Experienced</v>
      </c>
      <c r="AB197" s="5" t="str" cm="1">
        <f t="array" ref="AB197">_xlfn.IFS(G197=1,"Junior",G197=2,"Mid-Level",G197=3,"Senior",G197=4,"Lead",G197=5,"Principal")&amp;" "&amp;TRIM(PROPER(H197))</f>
        <v>Junior Research Scientist</v>
      </c>
      <c r="AC197" s="19" t="str">
        <f t="shared" ca="1" si="43"/>
        <v>Re-Res-2018-196 is a Junior Research Scientist in the Research &amp; Development department, aged 37, married and has been with the Company for 8years</v>
      </c>
    </row>
    <row r="198" spans="1:29">
      <c r="A198" s="18" t="str">
        <f t="shared" ca="1" si="33"/>
        <v>La-Res-2020-197</v>
      </c>
      <c r="B198" s="5">
        <v>35</v>
      </c>
      <c r="C198" s="5" t="str">
        <f t="shared" si="34"/>
        <v>30-39</v>
      </c>
      <c r="D198" s="5" t="s">
        <v>43</v>
      </c>
      <c r="E198" s="5" t="s">
        <v>45</v>
      </c>
      <c r="F198" s="5" t="s">
        <v>39</v>
      </c>
      <c r="G198" s="5">
        <v>2</v>
      </c>
      <c r="H198" s="5" t="s">
        <v>50</v>
      </c>
      <c r="I198" s="5" t="s">
        <v>41</v>
      </c>
      <c r="J198" s="7">
        <v>4425</v>
      </c>
      <c r="K198" s="7">
        <f t="shared" si="35"/>
        <v>663.75</v>
      </c>
      <c r="L198" s="7">
        <f t="shared" si="36"/>
        <v>3761.25</v>
      </c>
      <c r="M198" s="7">
        <v>15986</v>
      </c>
      <c r="N198" s="5" t="s">
        <v>43</v>
      </c>
      <c r="O198" s="5">
        <v>11</v>
      </c>
      <c r="P198" s="7">
        <f t="shared" si="37"/>
        <v>4911.75</v>
      </c>
      <c r="Q198" s="7">
        <f t="shared" si="38"/>
        <v>5841</v>
      </c>
      <c r="R198" s="7" t="str">
        <f t="shared" si="39"/>
        <v>Normal</v>
      </c>
      <c r="S198" s="5">
        <v>3</v>
      </c>
      <c r="T198" s="5">
        <v>3</v>
      </c>
      <c r="U198" s="5" t="str" cm="1">
        <f t="array" ref="U198">_xlfn.IFS(T198=1,"Poor",T198=2,"Fair",T198=3,"Good",T198=4,"Excellent")</f>
        <v>Good</v>
      </c>
      <c r="V198" s="5" t="s">
        <v>43</v>
      </c>
      <c r="W198" s="5">
        <v>6</v>
      </c>
      <c r="X198" s="28">
        <f t="shared" ca="1" si="40"/>
        <v>43920</v>
      </c>
      <c r="Y198" s="28">
        <f t="shared" ca="1" si="41"/>
        <v>46842</v>
      </c>
      <c r="Z198" s="28" t="str">
        <f t="shared" ca="1" si="42"/>
        <v>Upcoming</v>
      </c>
      <c r="AA198" s="5" t="str" cm="1">
        <f t="array" ref="AA198">_xlfn.IFS(W198&gt;10,"Veteran",W198&gt;=6,"Experienced",W198&gt;=2,"Developing",W198&gt;=0,"New")</f>
        <v>Experienced</v>
      </c>
      <c r="AB198" s="5" t="str" cm="1">
        <f t="array" ref="AB198">_xlfn.IFS(G198=1,"Junior",G198=2,"Mid-Level",G198=3,"Senior",G198=4,"Lead",G198=5,"Principal")&amp;" "&amp;TRIM(PROPER(H198))</f>
        <v>Mid-Level Laboratory Technician</v>
      </c>
      <c r="AC198" s="19" t="str">
        <f t="shared" ca="1" si="43"/>
        <v>La-Res-2020-197 is a Mid-Level Laboratory Technician in the Research &amp; Development department, aged 35, single and has been with the Company for 6years</v>
      </c>
    </row>
    <row r="199" spans="1:29">
      <c r="A199" s="18" t="str">
        <f t="shared" ca="1" si="33"/>
        <v>Ma-Res-2021-198</v>
      </c>
      <c r="B199" s="5">
        <v>42</v>
      </c>
      <c r="C199" s="5" t="str">
        <f t="shared" si="34"/>
        <v>40-49</v>
      </c>
      <c r="D199" s="5" t="s">
        <v>43</v>
      </c>
      <c r="E199" s="5" t="s">
        <v>45</v>
      </c>
      <c r="F199" s="5" t="s">
        <v>39</v>
      </c>
      <c r="G199" s="5">
        <v>2</v>
      </c>
      <c r="H199" s="5" t="s">
        <v>53</v>
      </c>
      <c r="I199" s="5" t="s">
        <v>52</v>
      </c>
      <c r="J199" s="7">
        <v>5265</v>
      </c>
      <c r="K199" s="7">
        <f t="shared" si="35"/>
        <v>789.75</v>
      </c>
      <c r="L199" s="7">
        <f t="shared" si="36"/>
        <v>4475.25</v>
      </c>
      <c r="M199" s="7">
        <v>16439</v>
      </c>
      <c r="N199" s="5" t="s">
        <v>43</v>
      </c>
      <c r="O199" s="5">
        <v>16</v>
      </c>
      <c r="P199" s="7">
        <f t="shared" si="37"/>
        <v>6107.4</v>
      </c>
      <c r="Q199" s="7">
        <f t="shared" si="38"/>
        <v>10108.799999999996</v>
      </c>
      <c r="R199" s="7" t="str">
        <f t="shared" si="39"/>
        <v>Normal</v>
      </c>
      <c r="S199" s="5">
        <v>3</v>
      </c>
      <c r="T199" s="5">
        <v>3</v>
      </c>
      <c r="U199" s="5" t="str" cm="1">
        <f t="array" ref="U199">_xlfn.IFS(T199=1,"Poor",T199=2,"Fair",T199=3,"Good",T199=4,"Excellent")</f>
        <v>Good</v>
      </c>
      <c r="V199" s="5" t="s">
        <v>43</v>
      </c>
      <c r="W199" s="5">
        <v>5</v>
      </c>
      <c r="X199" s="28">
        <f t="shared" ca="1" si="40"/>
        <v>44285</v>
      </c>
      <c r="Y199" s="28">
        <f t="shared" ca="1" si="41"/>
        <v>46476</v>
      </c>
      <c r="Z199" s="28" t="str">
        <f t="shared" ca="1" si="42"/>
        <v>Due Soon</v>
      </c>
      <c r="AA199" s="5" t="str" cm="1">
        <f t="array" ref="AA199">_xlfn.IFS(W199&gt;10,"Veteran",W199&gt;=6,"Experienced",W199&gt;=2,"Developing",W199&gt;=0,"New")</f>
        <v>Developing</v>
      </c>
      <c r="AB199" s="5" t="str" cm="1">
        <f t="array" ref="AB199">_xlfn.IFS(G199=1,"Junior",G199=2,"Mid-Level",G199=3,"Senior",G199=4,"Lead",G199=5,"Principal")&amp;" "&amp;TRIM(PROPER(H199))</f>
        <v>Mid-Level Manufacturing Director</v>
      </c>
      <c r="AC199" s="19" t="str">
        <f t="shared" ca="1" si="43"/>
        <v>Ma-Res-2021-198 is a Mid-Level Manufacturing Director in the Research &amp; Development department, aged 42, divorced and has been with the Company for 5years</v>
      </c>
    </row>
    <row r="200" spans="1:29">
      <c r="A200" s="18" t="str">
        <f t="shared" ca="1" si="33"/>
        <v>Ma-Res-2025-199</v>
      </c>
      <c r="B200" s="5">
        <v>38</v>
      </c>
      <c r="C200" s="5" t="str">
        <f t="shared" si="34"/>
        <v>30-39</v>
      </c>
      <c r="D200" s="5" t="s">
        <v>43</v>
      </c>
      <c r="E200" s="5" t="s">
        <v>45</v>
      </c>
      <c r="F200" s="5" t="s">
        <v>46</v>
      </c>
      <c r="G200" s="5">
        <v>2</v>
      </c>
      <c r="H200" s="5" t="s">
        <v>53</v>
      </c>
      <c r="I200" s="5" t="s">
        <v>48</v>
      </c>
      <c r="J200" s="7">
        <v>6553</v>
      </c>
      <c r="K200" s="7">
        <f t="shared" si="35"/>
        <v>982.94999999999993</v>
      </c>
      <c r="L200" s="7">
        <f t="shared" si="36"/>
        <v>5570.05</v>
      </c>
      <c r="M200" s="7">
        <v>7259</v>
      </c>
      <c r="N200" s="5" t="s">
        <v>43</v>
      </c>
      <c r="O200" s="5">
        <v>14</v>
      </c>
      <c r="P200" s="7">
        <f t="shared" si="37"/>
        <v>7470.420000000001</v>
      </c>
      <c r="Q200" s="7">
        <f t="shared" si="38"/>
        <v>11009.040000000012</v>
      </c>
      <c r="R200" s="7" t="str">
        <f t="shared" si="39"/>
        <v>Normal</v>
      </c>
      <c r="S200" s="5">
        <v>3</v>
      </c>
      <c r="T200" s="5">
        <v>3</v>
      </c>
      <c r="U200" s="5" t="str" cm="1">
        <f t="array" ref="U200">_xlfn.IFS(T200=1,"Poor",T200=2,"Fair",T200=3,"Good",T200=4,"Excellent")</f>
        <v>Good</v>
      </c>
      <c r="V200" s="5" t="s">
        <v>43</v>
      </c>
      <c r="W200" s="5">
        <v>1</v>
      </c>
      <c r="X200" s="28">
        <f t="shared" ca="1" si="40"/>
        <v>45746</v>
      </c>
      <c r="Y200" s="28">
        <f t="shared" ca="1" si="41"/>
        <v>46476</v>
      </c>
      <c r="Z200" s="28" t="str">
        <f t="shared" ca="1" si="42"/>
        <v>Due Soon</v>
      </c>
      <c r="AA200" s="5" t="str" cm="1">
        <f t="array" ref="AA200">_xlfn.IFS(W200&gt;10,"Veteran",W200&gt;=6,"Experienced",W200&gt;=2,"Developing",W200&gt;=0,"New")</f>
        <v>New</v>
      </c>
      <c r="AB200" s="5" t="str" cm="1">
        <f t="array" ref="AB200">_xlfn.IFS(G200=1,"Junior",G200=2,"Mid-Level",G200=3,"Senior",G200=4,"Lead",G200=5,"Principal")&amp;" "&amp;TRIM(PROPER(H200))</f>
        <v>Mid-Level Manufacturing Director</v>
      </c>
      <c r="AC200" s="19" t="str">
        <f t="shared" ca="1" si="43"/>
        <v>Ma-Res-2025-199 is a Mid-Level Manufacturing Director in the Research &amp; Development department, aged 38, married and has been with the Company for 1years</v>
      </c>
    </row>
    <row r="201" spans="1:29">
      <c r="A201" s="18" t="str">
        <f t="shared" ca="1" si="33"/>
        <v>Ma-Res-2019-200</v>
      </c>
      <c r="B201" s="5">
        <v>38</v>
      </c>
      <c r="C201" s="5" t="str">
        <f t="shared" si="34"/>
        <v>30-39</v>
      </c>
      <c r="D201" s="5" t="s">
        <v>43</v>
      </c>
      <c r="E201" s="5" t="s">
        <v>45</v>
      </c>
      <c r="F201" s="5" t="s">
        <v>46</v>
      </c>
      <c r="G201" s="5">
        <v>2</v>
      </c>
      <c r="H201" s="5" t="s">
        <v>53</v>
      </c>
      <c r="I201" s="5" t="s">
        <v>48</v>
      </c>
      <c r="J201" s="7">
        <v>6261</v>
      </c>
      <c r="K201" s="7">
        <f t="shared" si="35"/>
        <v>939.15</v>
      </c>
      <c r="L201" s="7">
        <f t="shared" si="36"/>
        <v>5321.85</v>
      </c>
      <c r="M201" s="7">
        <v>4185</v>
      </c>
      <c r="N201" s="5" t="s">
        <v>43</v>
      </c>
      <c r="O201" s="5">
        <v>18</v>
      </c>
      <c r="P201" s="7">
        <f t="shared" si="37"/>
        <v>7387.98</v>
      </c>
      <c r="Q201" s="7">
        <f t="shared" si="38"/>
        <v>13523.759999999995</v>
      </c>
      <c r="R201" s="7" t="str">
        <f t="shared" si="39"/>
        <v>Normal</v>
      </c>
      <c r="S201" s="5">
        <v>3</v>
      </c>
      <c r="T201" s="5">
        <v>1</v>
      </c>
      <c r="U201" s="5" t="str" cm="1">
        <f t="array" ref="U201">_xlfn.IFS(T201=1,"Poor",T201=2,"Fair",T201=3,"Good",T201=4,"Excellent")</f>
        <v>Poor</v>
      </c>
      <c r="V201" s="5" t="s">
        <v>43</v>
      </c>
      <c r="W201" s="5">
        <v>7</v>
      </c>
      <c r="X201" s="28">
        <f t="shared" ca="1" si="40"/>
        <v>43554</v>
      </c>
      <c r="Y201" s="28">
        <f t="shared" ca="1" si="41"/>
        <v>46476</v>
      </c>
      <c r="Z201" s="28" t="str">
        <f t="shared" ca="1" si="42"/>
        <v>Due Soon</v>
      </c>
      <c r="AA201" s="5" t="str" cm="1">
        <f t="array" ref="AA201">_xlfn.IFS(W201&gt;10,"Veteran",W201&gt;=6,"Experienced",W201&gt;=2,"Developing",W201&gt;=0,"New")</f>
        <v>Experienced</v>
      </c>
      <c r="AB201" s="5" t="str" cm="1">
        <f t="array" ref="AB201">_xlfn.IFS(G201=1,"Junior",G201=2,"Mid-Level",G201=3,"Senior",G201=4,"Lead",G201=5,"Principal")&amp;" "&amp;TRIM(PROPER(H201))</f>
        <v>Mid-Level Manufacturing Director</v>
      </c>
      <c r="AC201" s="19" t="str">
        <f t="shared" ca="1" si="43"/>
        <v>Ma-Res-2019-200 is a Mid-Level Manufacturing Director in the Research &amp; Development department, aged 38, married and has been with the Company for 7years</v>
      </c>
    </row>
    <row r="202" spans="1:29">
      <c r="A202" s="18" t="str">
        <f t="shared" ca="1" si="33"/>
        <v>Ma-Res-2024-201</v>
      </c>
      <c r="B202" s="5">
        <v>27</v>
      </c>
      <c r="C202" s="5" t="str">
        <f t="shared" si="34"/>
        <v>20-29</v>
      </c>
      <c r="D202" s="5" t="s">
        <v>43</v>
      </c>
      <c r="E202" s="5" t="s">
        <v>45</v>
      </c>
      <c r="F202" s="5" t="s">
        <v>46</v>
      </c>
      <c r="G202" s="5">
        <v>2</v>
      </c>
      <c r="H202" s="5" t="s">
        <v>53</v>
      </c>
      <c r="I202" s="5" t="s">
        <v>48</v>
      </c>
      <c r="J202" s="7">
        <v>4298</v>
      </c>
      <c r="K202" s="7">
        <f t="shared" si="35"/>
        <v>644.69999999999993</v>
      </c>
      <c r="L202" s="7">
        <f t="shared" si="36"/>
        <v>3653.3</v>
      </c>
      <c r="M202" s="7">
        <v>9679</v>
      </c>
      <c r="N202" s="5" t="s">
        <v>43</v>
      </c>
      <c r="O202" s="5">
        <v>19</v>
      </c>
      <c r="P202" s="7">
        <f t="shared" si="37"/>
        <v>5114.62</v>
      </c>
      <c r="Q202" s="7">
        <f t="shared" si="38"/>
        <v>9799.4399999999987</v>
      </c>
      <c r="R202" s="7" t="str">
        <f t="shared" si="39"/>
        <v>Normal</v>
      </c>
      <c r="S202" s="5">
        <v>3</v>
      </c>
      <c r="T202" s="5">
        <v>3</v>
      </c>
      <c r="U202" s="5" t="str" cm="1">
        <f t="array" ref="U202">_xlfn.IFS(T202=1,"Poor",T202=2,"Fair",T202=3,"Good",T202=4,"Excellent")</f>
        <v>Good</v>
      </c>
      <c r="V202" s="5" t="s">
        <v>43</v>
      </c>
      <c r="W202" s="5">
        <v>2</v>
      </c>
      <c r="X202" s="28">
        <f t="shared" ca="1" si="40"/>
        <v>45381</v>
      </c>
      <c r="Y202" s="28">
        <f t="shared" ca="1" si="41"/>
        <v>46842</v>
      </c>
      <c r="Z202" s="28" t="str">
        <f t="shared" ca="1" si="42"/>
        <v>Upcoming</v>
      </c>
      <c r="AA202" s="5" t="str" cm="1">
        <f t="array" ref="AA202">_xlfn.IFS(W202&gt;10,"Veteran",W202&gt;=6,"Experienced",W202&gt;=2,"Developing",W202&gt;=0,"New")</f>
        <v>Developing</v>
      </c>
      <c r="AB202" s="5" t="str" cm="1">
        <f t="array" ref="AB202">_xlfn.IFS(G202=1,"Junior",G202=2,"Mid-Level",G202=3,"Senior",G202=4,"Lead",G202=5,"Principal")&amp;" "&amp;TRIM(PROPER(H202))</f>
        <v>Mid-Level Manufacturing Director</v>
      </c>
      <c r="AC202" s="19" t="str">
        <f t="shared" ca="1" si="43"/>
        <v>Ma-Res-2024-201 is a Mid-Level Manufacturing Director in the Research &amp; Development department, aged 27, married and has been with the Company for 2years</v>
      </c>
    </row>
    <row r="203" spans="1:29">
      <c r="A203" s="18" t="str">
        <f t="shared" ca="1" si="33"/>
        <v>Ma-Res-2019-202</v>
      </c>
      <c r="B203" s="5">
        <v>49</v>
      </c>
      <c r="C203" s="5" t="str">
        <f t="shared" si="34"/>
        <v>40-49</v>
      </c>
      <c r="D203" s="5" t="s">
        <v>43</v>
      </c>
      <c r="E203" s="5" t="s">
        <v>45</v>
      </c>
      <c r="F203" s="5" t="s">
        <v>46</v>
      </c>
      <c r="G203" s="5">
        <v>2</v>
      </c>
      <c r="H203" s="5" t="s">
        <v>53</v>
      </c>
      <c r="I203" s="5" t="s">
        <v>52</v>
      </c>
      <c r="J203" s="7">
        <v>6804</v>
      </c>
      <c r="K203" s="7">
        <f t="shared" si="35"/>
        <v>1020.5999999999999</v>
      </c>
      <c r="L203" s="7">
        <f t="shared" si="36"/>
        <v>5783.4</v>
      </c>
      <c r="M203" s="7">
        <v>23793</v>
      </c>
      <c r="N203" s="5" t="s">
        <v>35</v>
      </c>
      <c r="O203" s="5">
        <v>15</v>
      </c>
      <c r="P203" s="7">
        <f t="shared" si="37"/>
        <v>7824.5999999999995</v>
      </c>
      <c r="Q203" s="7">
        <f t="shared" si="38"/>
        <v>12247.199999999993</v>
      </c>
      <c r="R203" s="7" t="str">
        <f t="shared" si="39"/>
        <v>Normal</v>
      </c>
      <c r="S203" s="5">
        <v>3</v>
      </c>
      <c r="T203" s="5">
        <v>3</v>
      </c>
      <c r="U203" s="5" t="str" cm="1">
        <f t="array" ref="U203">_xlfn.IFS(T203=1,"Poor",T203=2,"Fair",T203=3,"Good",T203=4,"Excellent")</f>
        <v>Good</v>
      </c>
      <c r="V203" s="5" t="s">
        <v>35</v>
      </c>
      <c r="W203" s="5">
        <v>7</v>
      </c>
      <c r="X203" s="28">
        <f t="shared" ca="1" si="40"/>
        <v>43554</v>
      </c>
      <c r="Y203" s="28">
        <f t="shared" ca="1" si="41"/>
        <v>46476</v>
      </c>
      <c r="Z203" s="28" t="str">
        <f t="shared" ca="1" si="42"/>
        <v>Due Soon</v>
      </c>
      <c r="AA203" s="5" t="str" cm="1">
        <f t="array" ref="AA203">_xlfn.IFS(W203&gt;10,"Veteran",W203&gt;=6,"Experienced",W203&gt;=2,"Developing",W203&gt;=0,"New")</f>
        <v>Experienced</v>
      </c>
      <c r="AB203" s="5" t="str" cm="1">
        <f t="array" ref="AB203">_xlfn.IFS(G203=1,"Junior",G203=2,"Mid-Level",G203=3,"Senior",G203=4,"Lead",G203=5,"Principal")&amp;" "&amp;TRIM(PROPER(H203))</f>
        <v>Mid-Level Manufacturing Director</v>
      </c>
      <c r="AC203" s="19" t="str">
        <f t="shared" ca="1" si="43"/>
        <v>Ma-Res-2019-202 is a Mid-Level Manufacturing Director in the Research &amp; Development department, aged 49, divorced and has been with the Company for 7years</v>
      </c>
    </row>
    <row r="204" spans="1:29">
      <c r="A204" s="18" t="str">
        <f t="shared" ca="1" si="33"/>
        <v>Re-Res-2021-203</v>
      </c>
      <c r="B204" s="5">
        <v>34</v>
      </c>
      <c r="C204" s="5" t="str">
        <f t="shared" si="34"/>
        <v>30-39</v>
      </c>
      <c r="D204" s="5" t="s">
        <v>43</v>
      </c>
      <c r="E204" s="5" t="s">
        <v>45</v>
      </c>
      <c r="F204" s="5" t="s">
        <v>46</v>
      </c>
      <c r="G204" s="5">
        <v>1</v>
      </c>
      <c r="H204" s="5" t="s">
        <v>47</v>
      </c>
      <c r="I204" s="5" t="s">
        <v>52</v>
      </c>
      <c r="J204" s="7">
        <v>3815</v>
      </c>
      <c r="K204" s="7">
        <f t="shared" si="35"/>
        <v>572.25</v>
      </c>
      <c r="L204" s="7">
        <f t="shared" si="36"/>
        <v>3242.75</v>
      </c>
      <c r="M204" s="7">
        <v>5972</v>
      </c>
      <c r="N204" s="5" t="s">
        <v>35</v>
      </c>
      <c r="O204" s="5">
        <v>17</v>
      </c>
      <c r="P204" s="7">
        <f t="shared" si="37"/>
        <v>4463.55</v>
      </c>
      <c r="Q204" s="7">
        <f t="shared" si="38"/>
        <v>7782.6000000000022</v>
      </c>
      <c r="R204" s="7" t="str">
        <f t="shared" si="39"/>
        <v>Normal</v>
      </c>
      <c r="S204" s="5">
        <v>3</v>
      </c>
      <c r="T204" s="5">
        <v>4</v>
      </c>
      <c r="U204" s="5" t="str" cm="1">
        <f t="array" ref="U204">_xlfn.IFS(T204=1,"Poor",T204=2,"Fair",T204=3,"Good",T204=4,"Excellent")</f>
        <v>Excellent</v>
      </c>
      <c r="V204" s="5" t="s">
        <v>35</v>
      </c>
      <c r="W204" s="5">
        <v>5</v>
      </c>
      <c r="X204" s="28">
        <f t="shared" ca="1" si="40"/>
        <v>44285</v>
      </c>
      <c r="Y204" s="28">
        <f t="shared" ca="1" si="41"/>
        <v>46476</v>
      </c>
      <c r="Z204" s="28" t="str">
        <f t="shared" ca="1" si="42"/>
        <v>Due Soon</v>
      </c>
      <c r="AA204" s="5" t="str" cm="1">
        <f t="array" ref="AA204">_xlfn.IFS(W204&gt;10,"Veteran",W204&gt;=6,"Experienced",W204&gt;=2,"Developing",W204&gt;=0,"New")</f>
        <v>Developing</v>
      </c>
      <c r="AB204" s="5" t="str" cm="1">
        <f t="array" ref="AB204">_xlfn.IFS(G204=1,"Junior",G204=2,"Mid-Level",G204=3,"Senior",G204=4,"Lead",G204=5,"Principal")&amp;" "&amp;TRIM(PROPER(H204))</f>
        <v>Junior Research Scientist</v>
      </c>
      <c r="AC204" s="19" t="str">
        <f t="shared" ca="1" si="43"/>
        <v>Re-Res-2021-203 is a Junior Research Scientist in the Research &amp; Development department, aged 34, divorced and has been with the Company for 5years</v>
      </c>
    </row>
    <row r="205" spans="1:29">
      <c r="A205" s="18" t="str">
        <f t="shared" ca="1" si="33"/>
        <v>La-Res-2019-204</v>
      </c>
      <c r="B205" s="5">
        <v>40</v>
      </c>
      <c r="C205" s="5" t="str">
        <f t="shared" si="34"/>
        <v>40-49</v>
      </c>
      <c r="D205" s="5" t="s">
        <v>43</v>
      </c>
      <c r="E205" s="5" t="s">
        <v>45</v>
      </c>
      <c r="F205" s="5" t="s">
        <v>46</v>
      </c>
      <c r="G205" s="5">
        <v>2</v>
      </c>
      <c r="H205" s="5" t="s">
        <v>50</v>
      </c>
      <c r="I205" s="5" t="s">
        <v>48</v>
      </c>
      <c r="J205" s="7">
        <v>2741</v>
      </c>
      <c r="K205" s="7">
        <f t="shared" si="35"/>
        <v>191.87</v>
      </c>
      <c r="L205" s="7">
        <f t="shared" si="36"/>
        <v>2549.13</v>
      </c>
      <c r="M205" s="7">
        <v>16523</v>
      </c>
      <c r="N205" s="5" t="s">
        <v>35</v>
      </c>
      <c r="O205" s="5">
        <v>15</v>
      </c>
      <c r="P205" s="7">
        <f t="shared" si="37"/>
        <v>3152.1499999999996</v>
      </c>
      <c r="Q205" s="7">
        <f t="shared" si="38"/>
        <v>4933.7999999999956</v>
      </c>
      <c r="R205" s="7" t="str">
        <f t="shared" si="39"/>
        <v>Normal</v>
      </c>
      <c r="S205" s="5">
        <v>3</v>
      </c>
      <c r="T205" s="5">
        <v>4</v>
      </c>
      <c r="U205" s="5" t="str" cm="1">
        <f t="array" ref="U205">_xlfn.IFS(T205=1,"Poor",T205=2,"Fair",T205=3,"Good",T205=4,"Excellent")</f>
        <v>Excellent</v>
      </c>
      <c r="V205" s="5" t="s">
        <v>35</v>
      </c>
      <c r="W205" s="5">
        <v>7</v>
      </c>
      <c r="X205" s="28">
        <f t="shared" ca="1" si="40"/>
        <v>43554</v>
      </c>
      <c r="Y205" s="28">
        <f t="shared" ca="1" si="41"/>
        <v>46476</v>
      </c>
      <c r="Z205" s="28" t="str">
        <f t="shared" ca="1" si="42"/>
        <v>Due Soon</v>
      </c>
      <c r="AA205" s="5" t="str" cm="1">
        <f t="array" ref="AA205">_xlfn.IFS(W205&gt;10,"Veteran",W205&gt;=6,"Experienced",W205&gt;=2,"Developing",W205&gt;=0,"New")</f>
        <v>Experienced</v>
      </c>
      <c r="AB205" s="5" t="str" cm="1">
        <f t="array" ref="AB205">_xlfn.IFS(G205=1,"Junior",G205=2,"Mid-Level",G205=3,"Senior",G205=4,"Lead",G205=5,"Principal")&amp;" "&amp;TRIM(PROPER(H205))</f>
        <v>Mid-Level Laboratory Technician</v>
      </c>
      <c r="AC205" s="19" t="str">
        <f t="shared" ca="1" si="43"/>
        <v>La-Res-2019-204 is a Mid-Level Laboratory Technician in the Research &amp; Development department, aged 40, married and has been with the Company for 7years</v>
      </c>
    </row>
    <row r="206" spans="1:29">
      <c r="A206" s="18" t="str">
        <f t="shared" ca="1" si="33"/>
        <v>He-Res-2025-205</v>
      </c>
      <c r="B206" s="5">
        <v>38</v>
      </c>
      <c r="C206" s="5" t="str">
        <f t="shared" si="34"/>
        <v>30-39</v>
      </c>
      <c r="D206" s="5" t="s">
        <v>35</v>
      </c>
      <c r="E206" s="5" t="s">
        <v>45</v>
      </c>
      <c r="F206" s="5" t="s">
        <v>46</v>
      </c>
      <c r="G206" s="5">
        <v>2</v>
      </c>
      <c r="H206" s="5" t="s">
        <v>54</v>
      </c>
      <c r="I206" s="5" t="s">
        <v>48</v>
      </c>
      <c r="J206" s="7">
        <v>6673</v>
      </c>
      <c r="K206" s="7">
        <f t="shared" si="35"/>
        <v>1000.9499999999999</v>
      </c>
      <c r="L206" s="7">
        <f t="shared" si="36"/>
        <v>5672.05</v>
      </c>
      <c r="M206" s="7">
        <v>11354</v>
      </c>
      <c r="N206" s="5" t="s">
        <v>35</v>
      </c>
      <c r="O206" s="5">
        <v>19</v>
      </c>
      <c r="P206" s="7">
        <f t="shared" si="37"/>
        <v>7940.87</v>
      </c>
      <c r="Q206" s="7">
        <f t="shared" si="38"/>
        <v>15214.439999999999</v>
      </c>
      <c r="R206" s="7" t="str">
        <f t="shared" si="39"/>
        <v>Normal</v>
      </c>
      <c r="S206" s="5">
        <v>3</v>
      </c>
      <c r="T206" s="5">
        <v>3</v>
      </c>
      <c r="U206" s="5" t="str" cm="1">
        <f t="array" ref="U206">_xlfn.IFS(T206=1,"Poor",T206=2,"Fair",T206=3,"Good",T206=4,"Excellent")</f>
        <v>Good</v>
      </c>
      <c r="V206" s="5" t="s">
        <v>35</v>
      </c>
      <c r="W206" s="5">
        <v>1</v>
      </c>
      <c r="X206" s="28">
        <f t="shared" ca="1" si="40"/>
        <v>45746</v>
      </c>
      <c r="Y206" s="28">
        <f t="shared" ca="1" si="41"/>
        <v>46476</v>
      </c>
      <c r="Z206" s="28" t="str">
        <f t="shared" ca="1" si="42"/>
        <v>Due Soon</v>
      </c>
      <c r="AA206" s="5" t="str" cm="1">
        <f t="array" ref="AA206">_xlfn.IFS(W206&gt;10,"Veteran",W206&gt;=6,"Experienced",W206&gt;=2,"Developing",W206&gt;=0,"New")</f>
        <v>New</v>
      </c>
      <c r="AB206" s="5" t="str" cm="1">
        <f t="array" ref="AB206">_xlfn.IFS(G206=1,"Junior",G206=2,"Mid-Level",G206=3,"Senior",G206=4,"Lead",G206=5,"Principal")&amp;" "&amp;TRIM(PROPER(H206))</f>
        <v>Mid-Level Healthcare Representative</v>
      </c>
      <c r="AC206" s="19" t="str">
        <f t="shared" ca="1" si="43"/>
        <v>He-Res-2025-205 is a Mid-Level Healthcare Representative in the Research &amp; Development department, aged 38, married and has been with the Company for 1years</v>
      </c>
    </row>
    <row r="207" spans="1:29">
      <c r="A207" s="18" t="str">
        <f t="shared" ca="1" si="33"/>
        <v>Sa-Sal-2016-206</v>
      </c>
      <c r="B207" s="5">
        <v>29</v>
      </c>
      <c r="C207" s="5" t="str">
        <f t="shared" si="34"/>
        <v>20-29</v>
      </c>
      <c r="D207" s="5" t="s">
        <v>35</v>
      </c>
      <c r="E207" s="5" t="s">
        <v>37</v>
      </c>
      <c r="F207" s="5" t="s">
        <v>39</v>
      </c>
      <c r="G207" s="5">
        <v>3</v>
      </c>
      <c r="H207" s="5" t="s">
        <v>40</v>
      </c>
      <c r="I207" s="5" t="s">
        <v>48</v>
      </c>
      <c r="J207" s="7">
        <v>7639</v>
      </c>
      <c r="K207" s="7">
        <f t="shared" si="35"/>
        <v>1680.58</v>
      </c>
      <c r="L207" s="7">
        <f t="shared" si="36"/>
        <v>5958.42</v>
      </c>
      <c r="M207" s="7">
        <v>24525</v>
      </c>
      <c r="N207" s="5" t="s">
        <v>43</v>
      </c>
      <c r="O207" s="5">
        <v>22</v>
      </c>
      <c r="P207" s="7">
        <f t="shared" si="37"/>
        <v>9319.58</v>
      </c>
      <c r="Q207" s="7">
        <f t="shared" si="38"/>
        <v>20166.96</v>
      </c>
      <c r="R207" s="7" t="str">
        <f t="shared" si="39"/>
        <v>Normal</v>
      </c>
      <c r="S207" s="5">
        <v>4</v>
      </c>
      <c r="T207" s="5">
        <v>2</v>
      </c>
      <c r="U207" s="5" t="str" cm="1">
        <f t="array" ref="U207">_xlfn.IFS(T207=1,"Poor",T207=2,"Fair",T207=3,"Good",T207=4,"Excellent")</f>
        <v>Fair</v>
      </c>
      <c r="V207" s="5" t="s">
        <v>43</v>
      </c>
      <c r="W207" s="5">
        <v>10</v>
      </c>
      <c r="X207" s="28">
        <f t="shared" ca="1" si="40"/>
        <v>42459</v>
      </c>
      <c r="Y207" s="28">
        <f t="shared" ca="1" si="41"/>
        <v>46842</v>
      </c>
      <c r="Z207" s="28" t="str">
        <f t="shared" ca="1" si="42"/>
        <v>Upcoming</v>
      </c>
      <c r="AA207" s="5" t="str" cm="1">
        <f t="array" ref="AA207">_xlfn.IFS(W207&gt;10,"Veteran",W207&gt;=6,"Experienced",W207&gt;=2,"Developing",W207&gt;=0,"New")</f>
        <v>Experienced</v>
      </c>
      <c r="AB207" s="5" t="str" cm="1">
        <f t="array" ref="AB207">_xlfn.IFS(G207=1,"Junior",G207=2,"Mid-Level",G207=3,"Senior",G207=4,"Lead",G207=5,"Principal")&amp;" "&amp;TRIM(PROPER(H207))</f>
        <v>Senior Sales Executive</v>
      </c>
      <c r="AC207" s="19" t="str">
        <f t="shared" ca="1" si="43"/>
        <v>Sa-Sal-2016-206 is a Senior Sales Executive in the Sales department, aged 29, married and has been with the Company for 10years</v>
      </c>
    </row>
    <row r="208" spans="1:29">
      <c r="A208" s="18" t="str">
        <f t="shared" ca="1" si="33"/>
        <v>Re-Res-2022-207</v>
      </c>
      <c r="B208" s="5">
        <v>22</v>
      </c>
      <c r="C208" s="5" t="str">
        <f t="shared" si="34"/>
        <v>20-29</v>
      </c>
      <c r="D208" s="5" t="s">
        <v>43</v>
      </c>
      <c r="E208" s="5" t="s">
        <v>45</v>
      </c>
      <c r="F208" s="5" t="s">
        <v>46</v>
      </c>
      <c r="G208" s="5">
        <v>1</v>
      </c>
      <c r="H208" s="5" t="s">
        <v>47</v>
      </c>
      <c r="I208" s="5" t="s">
        <v>52</v>
      </c>
      <c r="J208" s="7">
        <v>2328</v>
      </c>
      <c r="K208" s="7">
        <f t="shared" si="35"/>
        <v>162.96</v>
      </c>
      <c r="L208" s="7">
        <f t="shared" si="36"/>
        <v>2165.04</v>
      </c>
      <c r="M208" s="7">
        <v>12392</v>
      </c>
      <c r="N208" s="5" t="s">
        <v>35</v>
      </c>
      <c r="O208" s="5">
        <v>16</v>
      </c>
      <c r="P208" s="7">
        <f t="shared" si="37"/>
        <v>2700.48</v>
      </c>
      <c r="Q208" s="7">
        <f t="shared" si="38"/>
        <v>4469.76</v>
      </c>
      <c r="R208" s="7" t="str">
        <f t="shared" si="39"/>
        <v>Normal</v>
      </c>
      <c r="S208" s="5">
        <v>3</v>
      </c>
      <c r="T208" s="5">
        <v>2</v>
      </c>
      <c r="U208" s="5" t="str" cm="1">
        <f t="array" ref="U208">_xlfn.IFS(T208=1,"Poor",T208=2,"Fair",T208=3,"Good",T208=4,"Excellent")</f>
        <v>Fair</v>
      </c>
      <c r="V208" s="5" t="s">
        <v>35</v>
      </c>
      <c r="W208" s="5">
        <v>4</v>
      </c>
      <c r="X208" s="28">
        <f t="shared" ca="1" si="40"/>
        <v>44650</v>
      </c>
      <c r="Y208" s="28">
        <f t="shared" ca="1" si="41"/>
        <v>46842</v>
      </c>
      <c r="Z208" s="28" t="str">
        <f t="shared" ca="1" si="42"/>
        <v>Upcoming</v>
      </c>
      <c r="AA208" s="5" t="str" cm="1">
        <f t="array" ref="AA208">_xlfn.IFS(W208&gt;10,"Veteran",W208&gt;=6,"Experienced",W208&gt;=2,"Developing",W208&gt;=0,"New")</f>
        <v>Developing</v>
      </c>
      <c r="AB208" s="5" t="str" cm="1">
        <f t="array" ref="AB208">_xlfn.IFS(G208=1,"Junior",G208=2,"Mid-Level",G208=3,"Senior",G208=4,"Lead",G208=5,"Principal")&amp;" "&amp;TRIM(PROPER(H208))</f>
        <v>Junior Research Scientist</v>
      </c>
      <c r="AC208" s="19" t="str">
        <f t="shared" ca="1" si="43"/>
        <v>Re-Res-2022-207 is a Junior Research Scientist in the Research &amp; Development department, aged 22, divorced and has been with the Company for 4years</v>
      </c>
    </row>
    <row r="209" spans="1:29">
      <c r="A209" s="18" t="str">
        <f t="shared" ca="1" si="33"/>
        <v>La-Res-2018-208</v>
      </c>
      <c r="B209" s="5">
        <v>36</v>
      </c>
      <c r="C209" s="5" t="str">
        <f t="shared" si="34"/>
        <v>30-39</v>
      </c>
      <c r="D209" s="5" t="s">
        <v>43</v>
      </c>
      <c r="E209" s="5" t="s">
        <v>45</v>
      </c>
      <c r="F209" s="5" t="s">
        <v>39</v>
      </c>
      <c r="G209" s="5">
        <v>1</v>
      </c>
      <c r="H209" s="5" t="s">
        <v>50</v>
      </c>
      <c r="I209" s="5" t="s">
        <v>41</v>
      </c>
      <c r="J209" s="7">
        <v>2153</v>
      </c>
      <c r="K209" s="7">
        <f t="shared" si="35"/>
        <v>150.71</v>
      </c>
      <c r="L209" s="7">
        <f t="shared" si="36"/>
        <v>2002.29</v>
      </c>
      <c r="M209" s="7">
        <v>7703</v>
      </c>
      <c r="N209" s="5" t="s">
        <v>43</v>
      </c>
      <c r="O209" s="5">
        <v>13</v>
      </c>
      <c r="P209" s="7">
        <f t="shared" si="37"/>
        <v>2432.89</v>
      </c>
      <c r="Q209" s="7">
        <f t="shared" si="38"/>
        <v>3358.6799999999985</v>
      </c>
      <c r="R209" s="7" t="str">
        <f t="shared" si="39"/>
        <v>Normal</v>
      </c>
      <c r="S209" s="5">
        <v>3</v>
      </c>
      <c r="T209" s="5">
        <v>3</v>
      </c>
      <c r="U209" s="5" t="str" cm="1">
        <f t="array" ref="U209">_xlfn.IFS(T209=1,"Poor",T209=2,"Fair",T209=3,"Good",T209=4,"Excellent")</f>
        <v>Good</v>
      </c>
      <c r="V209" s="5" t="s">
        <v>43</v>
      </c>
      <c r="W209" s="5">
        <v>8</v>
      </c>
      <c r="X209" s="28">
        <f t="shared" ca="1" si="40"/>
        <v>43189</v>
      </c>
      <c r="Y209" s="28">
        <f t="shared" ca="1" si="41"/>
        <v>46842</v>
      </c>
      <c r="Z209" s="28" t="str">
        <f t="shared" ca="1" si="42"/>
        <v>Upcoming</v>
      </c>
      <c r="AA209" s="5" t="str" cm="1">
        <f t="array" ref="AA209">_xlfn.IFS(W209&gt;10,"Veteran",W209&gt;=6,"Experienced",W209&gt;=2,"Developing",W209&gt;=0,"New")</f>
        <v>Experienced</v>
      </c>
      <c r="AB209" s="5" t="str" cm="1">
        <f t="array" ref="AB209">_xlfn.IFS(G209=1,"Junior",G209=2,"Mid-Level",G209=3,"Senior",G209=4,"Lead",G209=5,"Principal")&amp;" "&amp;TRIM(PROPER(H209))</f>
        <v>Junior Laboratory Technician</v>
      </c>
      <c r="AC209" s="19" t="str">
        <f t="shared" ca="1" si="43"/>
        <v>La-Res-2018-208 is a Junior Laboratory Technician in the Research &amp; Development department, aged 36, single and has been with the Company for 8years</v>
      </c>
    </row>
    <row r="210" spans="1:29">
      <c r="A210" s="18" t="str">
        <f t="shared" ca="1" si="33"/>
        <v>He-Res-2023-209</v>
      </c>
      <c r="B210" s="5">
        <v>40</v>
      </c>
      <c r="C210" s="5" t="str">
        <f t="shared" si="34"/>
        <v>40-49</v>
      </c>
      <c r="D210" s="5" t="s">
        <v>43</v>
      </c>
      <c r="E210" s="5" t="s">
        <v>45</v>
      </c>
      <c r="F210" s="5" t="s">
        <v>46</v>
      </c>
      <c r="G210" s="5">
        <v>2</v>
      </c>
      <c r="H210" s="5" t="s">
        <v>54</v>
      </c>
      <c r="I210" s="5" t="s">
        <v>48</v>
      </c>
      <c r="J210" s="7">
        <v>4876</v>
      </c>
      <c r="K210" s="7">
        <f t="shared" si="35"/>
        <v>731.4</v>
      </c>
      <c r="L210" s="7">
        <f t="shared" si="36"/>
        <v>4144.6000000000004</v>
      </c>
      <c r="M210" s="7">
        <v>14242</v>
      </c>
      <c r="N210" s="5" t="s">
        <v>43</v>
      </c>
      <c r="O210" s="5">
        <v>14</v>
      </c>
      <c r="P210" s="7">
        <f t="shared" si="37"/>
        <v>5558.64</v>
      </c>
      <c r="Q210" s="7">
        <f t="shared" si="38"/>
        <v>8191.6800000000039</v>
      </c>
      <c r="R210" s="7" t="str">
        <f t="shared" si="39"/>
        <v>Normal</v>
      </c>
      <c r="S210" s="5">
        <v>3</v>
      </c>
      <c r="T210" s="5">
        <v>1</v>
      </c>
      <c r="U210" s="5" t="str" cm="1">
        <f t="array" ref="U210">_xlfn.IFS(T210=1,"Poor",T210=2,"Fair",T210=3,"Good",T210=4,"Excellent")</f>
        <v>Poor</v>
      </c>
      <c r="V210" s="5" t="s">
        <v>43</v>
      </c>
      <c r="W210" s="5">
        <v>3</v>
      </c>
      <c r="X210" s="28">
        <f t="shared" ca="1" si="40"/>
        <v>45015</v>
      </c>
      <c r="Y210" s="28">
        <f t="shared" ca="1" si="41"/>
        <v>46476</v>
      </c>
      <c r="Z210" s="28" t="str">
        <f t="shared" ca="1" si="42"/>
        <v>Due Soon</v>
      </c>
      <c r="AA210" s="5" t="str" cm="1">
        <f t="array" ref="AA210">_xlfn.IFS(W210&gt;10,"Veteran",W210&gt;=6,"Experienced",W210&gt;=2,"Developing",W210&gt;=0,"New")</f>
        <v>Developing</v>
      </c>
      <c r="AB210" s="5" t="str" cm="1">
        <f t="array" ref="AB210">_xlfn.IFS(G210=1,"Junior",G210=2,"Mid-Level",G210=3,"Senior",G210=4,"Lead",G210=5,"Principal")&amp;" "&amp;TRIM(PROPER(H210))</f>
        <v>Mid-Level Healthcare Representative</v>
      </c>
      <c r="AC210" s="19" t="str">
        <f t="shared" ca="1" si="43"/>
        <v>He-Res-2023-209 is a Mid-Level Healthcare Representative in the Research &amp; Development department, aged 40, married and has been with the Company for 3years</v>
      </c>
    </row>
    <row r="211" spans="1:29">
      <c r="A211" s="18" t="str">
        <f t="shared" ca="1" si="33"/>
        <v>He-Res-2022-210</v>
      </c>
      <c r="B211" s="5">
        <v>46</v>
      </c>
      <c r="C211" s="5" t="str">
        <f t="shared" si="34"/>
        <v>40-49</v>
      </c>
      <c r="D211" s="5" t="s">
        <v>43</v>
      </c>
      <c r="E211" s="5" t="s">
        <v>45</v>
      </c>
      <c r="F211" s="5" t="s">
        <v>46</v>
      </c>
      <c r="G211" s="5">
        <v>3</v>
      </c>
      <c r="H211" s="5" t="s">
        <v>54</v>
      </c>
      <c r="I211" s="5" t="s">
        <v>52</v>
      </c>
      <c r="J211" s="7">
        <v>9396</v>
      </c>
      <c r="K211" s="7">
        <f t="shared" si="35"/>
        <v>2067.12</v>
      </c>
      <c r="L211" s="7">
        <f t="shared" si="36"/>
        <v>7328.88</v>
      </c>
      <c r="M211" s="7">
        <v>12368</v>
      </c>
      <c r="N211" s="5" t="s">
        <v>43</v>
      </c>
      <c r="O211" s="5">
        <v>16</v>
      </c>
      <c r="P211" s="7">
        <f t="shared" si="37"/>
        <v>10899.359999999999</v>
      </c>
      <c r="Q211" s="7">
        <f t="shared" si="38"/>
        <v>18040.319999999985</v>
      </c>
      <c r="R211" s="7" t="str">
        <f t="shared" si="39"/>
        <v>Normal</v>
      </c>
      <c r="S211" s="5">
        <v>3</v>
      </c>
      <c r="T211" s="5">
        <v>3</v>
      </c>
      <c r="U211" s="5" t="str" cm="1">
        <f t="array" ref="U211">_xlfn.IFS(T211=1,"Poor",T211=2,"Fair",T211=3,"Good",T211=4,"Excellent")</f>
        <v>Good</v>
      </c>
      <c r="V211" s="5" t="s">
        <v>43</v>
      </c>
      <c r="W211" s="5">
        <v>4</v>
      </c>
      <c r="X211" s="28">
        <f t="shared" ca="1" si="40"/>
        <v>44650</v>
      </c>
      <c r="Y211" s="28">
        <f t="shared" ca="1" si="41"/>
        <v>46842</v>
      </c>
      <c r="Z211" s="28" t="str">
        <f t="shared" ca="1" si="42"/>
        <v>Upcoming</v>
      </c>
      <c r="AA211" s="5" t="str" cm="1">
        <f t="array" ref="AA211">_xlfn.IFS(W211&gt;10,"Veteran",W211&gt;=6,"Experienced",W211&gt;=2,"Developing",W211&gt;=0,"New")</f>
        <v>Developing</v>
      </c>
      <c r="AB211" s="5" t="str" cm="1">
        <f t="array" ref="AB211">_xlfn.IFS(G211=1,"Junior",G211=2,"Mid-Level",G211=3,"Senior",G211=4,"Lead",G211=5,"Principal")&amp;" "&amp;TRIM(PROPER(H211))</f>
        <v>Senior Healthcare Representative</v>
      </c>
      <c r="AC211" s="19" t="str">
        <f t="shared" ca="1" si="43"/>
        <v>He-Res-2022-210 is a Senior Healthcare Representative in the Research &amp; Development department, aged 46, divorced and has been with the Company for 4years</v>
      </c>
    </row>
    <row r="212" spans="1:29">
      <c r="A212" s="18" t="str">
        <f t="shared" ca="1" si="33"/>
        <v>Sa-Sal-2012-211</v>
      </c>
      <c r="B212" s="5">
        <v>32</v>
      </c>
      <c r="C212" s="5" t="str">
        <f t="shared" si="34"/>
        <v>30-39</v>
      </c>
      <c r="D212" s="5" t="s">
        <v>35</v>
      </c>
      <c r="E212" s="5" t="s">
        <v>37</v>
      </c>
      <c r="F212" s="5" t="s">
        <v>46</v>
      </c>
      <c r="G212" s="5">
        <v>3</v>
      </c>
      <c r="H212" s="5" t="s">
        <v>40</v>
      </c>
      <c r="I212" s="5" t="s">
        <v>48</v>
      </c>
      <c r="J212" s="7">
        <v>10400</v>
      </c>
      <c r="K212" s="7">
        <f t="shared" si="35"/>
        <v>2288</v>
      </c>
      <c r="L212" s="7">
        <f t="shared" si="36"/>
        <v>8112</v>
      </c>
      <c r="M212" s="7">
        <v>25812</v>
      </c>
      <c r="N212" s="5" t="s">
        <v>43</v>
      </c>
      <c r="O212" s="5">
        <v>11</v>
      </c>
      <c r="P212" s="7">
        <f t="shared" si="37"/>
        <v>11544.000000000002</v>
      </c>
      <c r="Q212" s="7">
        <f t="shared" si="38"/>
        <v>13728.000000000022</v>
      </c>
      <c r="R212" s="7" t="str">
        <f t="shared" si="39"/>
        <v>Normal</v>
      </c>
      <c r="S212" s="5">
        <v>3</v>
      </c>
      <c r="T212" s="5">
        <v>2</v>
      </c>
      <c r="U212" s="5" t="str" cm="1">
        <f t="array" ref="U212">_xlfn.IFS(T212=1,"Poor",T212=2,"Fair",T212=3,"Good",T212=4,"Excellent")</f>
        <v>Fair</v>
      </c>
      <c r="V212" s="5" t="s">
        <v>43</v>
      </c>
      <c r="W212" s="5">
        <v>14</v>
      </c>
      <c r="X212" s="28">
        <f t="shared" ca="1" si="40"/>
        <v>40998</v>
      </c>
      <c r="Y212" s="28">
        <f t="shared" ca="1" si="41"/>
        <v>46842</v>
      </c>
      <c r="Z212" s="28" t="str">
        <f t="shared" ca="1" si="42"/>
        <v>Upcoming</v>
      </c>
      <c r="AA212" s="5" t="str" cm="1">
        <f t="array" ref="AA212">_xlfn.IFS(W212&gt;10,"Veteran",W212&gt;=6,"Experienced",W212&gt;=2,"Developing",W212&gt;=0,"New")</f>
        <v>Veteran</v>
      </c>
      <c r="AB212" s="5" t="str" cm="1">
        <f t="array" ref="AB212">_xlfn.IFS(G212=1,"Junior",G212=2,"Mid-Level",G212=3,"Senior",G212=4,"Lead",G212=5,"Principal")&amp;" "&amp;TRIM(PROPER(H212))</f>
        <v>Senior Sales Executive</v>
      </c>
      <c r="AC212" s="19" t="str">
        <f t="shared" ca="1" si="43"/>
        <v>Sa-Sal-2012-211 is a Senior Sales Executive in the Sales department, aged 32, married and has been with the Company for 14years</v>
      </c>
    </row>
    <row r="213" spans="1:29">
      <c r="A213" s="18" t="str">
        <f t="shared" ca="1" si="33"/>
        <v>Ma-Res-2015-212</v>
      </c>
      <c r="B213" s="5">
        <v>30</v>
      </c>
      <c r="C213" s="5" t="str">
        <f t="shared" si="34"/>
        <v>30-39</v>
      </c>
      <c r="D213" s="5" t="s">
        <v>43</v>
      </c>
      <c r="E213" s="5" t="s">
        <v>45</v>
      </c>
      <c r="F213" s="5" t="s">
        <v>46</v>
      </c>
      <c r="G213" s="5">
        <v>3</v>
      </c>
      <c r="H213" s="5" t="s">
        <v>53</v>
      </c>
      <c r="I213" s="5" t="s">
        <v>41</v>
      </c>
      <c r="J213" s="7">
        <v>8474</v>
      </c>
      <c r="K213" s="7">
        <f t="shared" si="35"/>
        <v>1864.28</v>
      </c>
      <c r="L213" s="7">
        <f t="shared" si="36"/>
        <v>6609.72</v>
      </c>
      <c r="M213" s="7">
        <v>20925</v>
      </c>
      <c r="N213" s="5" t="s">
        <v>43</v>
      </c>
      <c r="O213" s="5">
        <v>22</v>
      </c>
      <c r="P213" s="7">
        <f t="shared" si="37"/>
        <v>10338.280000000001</v>
      </c>
      <c r="Q213" s="7">
        <f t="shared" si="38"/>
        <v>22371.360000000008</v>
      </c>
      <c r="R213" s="7" t="str">
        <f t="shared" si="39"/>
        <v>Normal</v>
      </c>
      <c r="S213" s="5">
        <v>4</v>
      </c>
      <c r="T213" s="5">
        <v>3</v>
      </c>
      <c r="U213" s="5" t="str" cm="1">
        <f t="array" ref="U213">_xlfn.IFS(T213=1,"Poor",T213=2,"Fair",T213=3,"Good",T213=4,"Excellent")</f>
        <v>Good</v>
      </c>
      <c r="V213" s="5" t="s">
        <v>43</v>
      </c>
      <c r="W213" s="5">
        <v>11</v>
      </c>
      <c r="X213" s="28">
        <f t="shared" ca="1" si="40"/>
        <v>42093</v>
      </c>
      <c r="Y213" s="28">
        <f t="shared" ca="1" si="41"/>
        <v>46476</v>
      </c>
      <c r="Z213" s="28" t="str">
        <f t="shared" ca="1" si="42"/>
        <v>Due Soon</v>
      </c>
      <c r="AA213" s="5" t="str" cm="1">
        <f t="array" ref="AA213">_xlfn.IFS(W213&gt;10,"Veteran",W213&gt;=6,"Experienced",W213&gt;=2,"Developing",W213&gt;=0,"New")</f>
        <v>Veteran</v>
      </c>
      <c r="AB213" s="5" t="str" cm="1">
        <f t="array" ref="AB213">_xlfn.IFS(G213=1,"Junior",G213=2,"Mid-Level",G213=3,"Senior",G213=4,"Lead",G213=5,"Principal")&amp;" "&amp;TRIM(PROPER(H213))</f>
        <v>Senior Manufacturing Director</v>
      </c>
      <c r="AC213" s="19" t="str">
        <f t="shared" ca="1" si="43"/>
        <v>Ma-Res-2015-212 is a Senior Manufacturing Director in the Research &amp; Development department, aged 30, single and has been with the Company for 11years</v>
      </c>
    </row>
    <row r="214" spans="1:29">
      <c r="A214" s="18" t="str">
        <f t="shared" ca="1" si="33"/>
        <v>Sa-Sal-2019-213</v>
      </c>
      <c r="B214" s="5">
        <v>27</v>
      </c>
      <c r="C214" s="5" t="str">
        <f t="shared" si="34"/>
        <v>20-29</v>
      </c>
      <c r="D214" s="5" t="s">
        <v>43</v>
      </c>
      <c r="E214" s="5" t="s">
        <v>37</v>
      </c>
      <c r="F214" s="5" t="s">
        <v>39</v>
      </c>
      <c r="G214" s="5">
        <v>2</v>
      </c>
      <c r="H214" s="5" t="s">
        <v>40</v>
      </c>
      <c r="I214" s="5" t="s">
        <v>41</v>
      </c>
      <c r="J214" s="7">
        <v>9981</v>
      </c>
      <c r="K214" s="7">
        <f t="shared" si="35"/>
        <v>2195.8200000000002</v>
      </c>
      <c r="L214" s="7">
        <f t="shared" si="36"/>
        <v>7785.18</v>
      </c>
      <c r="M214" s="7">
        <v>12916</v>
      </c>
      <c r="N214" s="5" t="s">
        <v>43</v>
      </c>
      <c r="O214" s="5">
        <v>14</v>
      </c>
      <c r="P214" s="7">
        <f t="shared" si="37"/>
        <v>11378.340000000002</v>
      </c>
      <c r="Q214" s="7">
        <f t="shared" si="38"/>
        <v>16768.080000000024</v>
      </c>
      <c r="R214" s="7" t="str">
        <f t="shared" si="39"/>
        <v>Normal</v>
      </c>
      <c r="S214" s="5">
        <v>3</v>
      </c>
      <c r="T214" s="5">
        <v>3</v>
      </c>
      <c r="U214" s="5" t="str" cm="1">
        <f t="array" ref="U214">_xlfn.IFS(T214=1,"Poor",T214=2,"Fair",T214=3,"Good",T214=4,"Excellent")</f>
        <v>Good</v>
      </c>
      <c r="V214" s="5" t="s">
        <v>43</v>
      </c>
      <c r="W214" s="5">
        <v>7</v>
      </c>
      <c r="X214" s="28">
        <f t="shared" ca="1" si="40"/>
        <v>43554</v>
      </c>
      <c r="Y214" s="28">
        <f t="shared" ca="1" si="41"/>
        <v>46476</v>
      </c>
      <c r="Z214" s="28" t="str">
        <f t="shared" ca="1" si="42"/>
        <v>Due Soon</v>
      </c>
      <c r="AA214" s="5" t="str" cm="1">
        <f t="array" ref="AA214">_xlfn.IFS(W214&gt;10,"Veteran",W214&gt;=6,"Experienced",W214&gt;=2,"Developing",W214&gt;=0,"New")</f>
        <v>Experienced</v>
      </c>
      <c r="AB214" s="5" t="str" cm="1">
        <f t="array" ref="AB214">_xlfn.IFS(G214=1,"Junior",G214=2,"Mid-Level",G214=3,"Senior",G214=4,"Lead",G214=5,"Principal")&amp;" "&amp;TRIM(PROPER(H214))</f>
        <v>Mid-Level Sales Executive</v>
      </c>
      <c r="AC214" s="19" t="str">
        <f t="shared" ca="1" si="43"/>
        <v>Sa-Sal-2019-213 is a Mid-Level Sales Executive in the Sales department, aged 27, single and has been with the Company for 7years</v>
      </c>
    </row>
    <row r="215" spans="1:29">
      <c r="A215" s="18" t="str">
        <f t="shared" ca="1" si="33"/>
        <v>Re-Res-2016-214</v>
      </c>
      <c r="B215" s="5">
        <v>51</v>
      </c>
      <c r="C215" s="5" t="str">
        <f t="shared" si="34"/>
        <v>50+</v>
      </c>
      <c r="D215" s="5" t="s">
        <v>43</v>
      </c>
      <c r="E215" s="5" t="s">
        <v>45</v>
      </c>
      <c r="F215" s="5" t="s">
        <v>46</v>
      </c>
      <c r="G215" s="5">
        <v>3</v>
      </c>
      <c r="H215" s="5" t="s">
        <v>58</v>
      </c>
      <c r="I215" s="5" t="s">
        <v>48</v>
      </c>
      <c r="J215" s="7">
        <v>12490</v>
      </c>
      <c r="K215" s="7">
        <f t="shared" si="35"/>
        <v>2747.8</v>
      </c>
      <c r="L215" s="7">
        <f t="shared" si="36"/>
        <v>9742.2000000000007</v>
      </c>
      <c r="M215" s="7">
        <v>15736</v>
      </c>
      <c r="N215" s="5" t="s">
        <v>43</v>
      </c>
      <c r="O215" s="5">
        <v>16</v>
      </c>
      <c r="P215" s="7">
        <f t="shared" si="37"/>
        <v>14488.4</v>
      </c>
      <c r="Q215" s="7">
        <f t="shared" si="38"/>
        <v>23980.799999999996</v>
      </c>
      <c r="R215" s="7" t="str">
        <f t="shared" si="39"/>
        <v>Normal</v>
      </c>
      <c r="S215" s="5">
        <v>3</v>
      </c>
      <c r="T215" s="5">
        <v>1</v>
      </c>
      <c r="U215" s="5" t="str" cm="1">
        <f t="array" ref="U215">_xlfn.IFS(T215=1,"Poor",T215=2,"Fair",T215=3,"Good",T215=4,"Excellent")</f>
        <v>Poor</v>
      </c>
      <c r="V215" s="5" t="s">
        <v>43</v>
      </c>
      <c r="W215" s="5">
        <v>10</v>
      </c>
      <c r="X215" s="28">
        <f t="shared" ca="1" si="40"/>
        <v>42459</v>
      </c>
      <c r="Y215" s="28">
        <f t="shared" ca="1" si="41"/>
        <v>46842</v>
      </c>
      <c r="Z215" s="28" t="str">
        <f t="shared" ca="1" si="42"/>
        <v>Upcoming</v>
      </c>
      <c r="AA215" s="5" t="str" cm="1">
        <f t="array" ref="AA215">_xlfn.IFS(W215&gt;10,"Veteran",W215&gt;=6,"Experienced",W215&gt;=2,"Developing",W215&gt;=0,"New")</f>
        <v>Experienced</v>
      </c>
      <c r="AB215" s="5" t="str" cm="1">
        <f t="array" ref="AB215">_xlfn.IFS(G215=1,"Junior",G215=2,"Mid-Level",G215=3,"Senior",G215=4,"Lead",G215=5,"Principal")&amp;" "&amp;TRIM(PROPER(H215))</f>
        <v>Senior Research Director</v>
      </c>
      <c r="AC215" s="19" t="str">
        <f t="shared" ca="1" si="43"/>
        <v>Re-Res-2016-214 is a Senior Research Director in the Research &amp; Development department, aged 51, married and has been with the Company for 10years</v>
      </c>
    </row>
    <row r="216" spans="1:29">
      <c r="A216" s="18" t="str">
        <f t="shared" ca="1" si="33"/>
        <v>Re-Res-2021-215</v>
      </c>
      <c r="B216" s="5">
        <v>30</v>
      </c>
      <c r="C216" s="5" t="str">
        <f t="shared" si="34"/>
        <v>30-39</v>
      </c>
      <c r="D216" s="5" t="s">
        <v>35</v>
      </c>
      <c r="E216" s="5" t="s">
        <v>45</v>
      </c>
      <c r="F216" s="5" t="s">
        <v>39</v>
      </c>
      <c r="G216" s="5">
        <v>1</v>
      </c>
      <c r="H216" s="5" t="s">
        <v>47</v>
      </c>
      <c r="I216" s="5" t="s">
        <v>41</v>
      </c>
      <c r="J216" s="7">
        <v>2657</v>
      </c>
      <c r="K216" s="7">
        <f t="shared" si="35"/>
        <v>185.99</v>
      </c>
      <c r="L216" s="7">
        <f t="shared" si="36"/>
        <v>2471.0100000000002</v>
      </c>
      <c r="M216" s="7">
        <v>8556</v>
      </c>
      <c r="N216" s="5" t="s">
        <v>35</v>
      </c>
      <c r="O216" s="5">
        <v>11</v>
      </c>
      <c r="P216" s="7">
        <f t="shared" si="37"/>
        <v>2949.2700000000004</v>
      </c>
      <c r="Q216" s="7">
        <f t="shared" si="38"/>
        <v>3507.2400000000052</v>
      </c>
      <c r="R216" s="7" t="str">
        <f t="shared" si="39"/>
        <v>Normal</v>
      </c>
      <c r="S216" s="5">
        <v>3</v>
      </c>
      <c r="T216" s="5">
        <v>3</v>
      </c>
      <c r="U216" s="5" t="str" cm="1">
        <f t="array" ref="U216">_xlfn.IFS(T216=1,"Poor",T216=2,"Fair",T216=3,"Good",T216=4,"Excellent")</f>
        <v>Good</v>
      </c>
      <c r="V216" s="5" t="s">
        <v>35</v>
      </c>
      <c r="W216" s="5">
        <v>5</v>
      </c>
      <c r="X216" s="28">
        <f t="shared" ca="1" si="40"/>
        <v>44285</v>
      </c>
      <c r="Y216" s="28">
        <f t="shared" ca="1" si="41"/>
        <v>46476</v>
      </c>
      <c r="Z216" s="28" t="str">
        <f t="shared" ca="1" si="42"/>
        <v>Due Soon</v>
      </c>
      <c r="AA216" s="5" t="str" cm="1">
        <f t="array" ref="AA216">_xlfn.IFS(W216&gt;10,"Veteran",W216&gt;=6,"Experienced",W216&gt;=2,"Developing",W216&gt;=0,"New")</f>
        <v>Developing</v>
      </c>
      <c r="AB216" s="5" t="str" cm="1">
        <f t="array" ref="AB216">_xlfn.IFS(G216=1,"Junior",G216=2,"Mid-Level",G216=3,"Senior",G216=4,"Lead",G216=5,"Principal")&amp;" "&amp;TRIM(PROPER(H216))</f>
        <v>Junior Research Scientist</v>
      </c>
      <c r="AC216" s="19" t="str">
        <f t="shared" ca="1" si="43"/>
        <v>Re-Res-2021-215 is a Junior Research Scientist in the Research &amp; Development department, aged 30, single and has been with the Company for 5years</v>
      </c>
    </row>
    <row r="217" spans="1:29">
      <c r="A217" s="18" t="str">
        <f t="shared" ca="1" si="33"/>
        <v>Ma-Sal-2025-216</v>
      </c>
      <c r="B217" s="5">
        <v>41</v>
      </c>
      <c r="C217" s="5" t="str">
        <f t="shared" si="34"/>
        <v>40-49</v>
      </c>
      <c r="D217" s="5" t="s">
        <v>43</v>
      </c>
      <c r="E217" s="5" t="s">
        <v>37</v>
      </c>
      <c r="F217" s="5" t="s">
        <v>39</v>
      </c>
      <c r="G217" s="5">
        <v>3</v>
      </c>
      <c r="H217" s="5" t="s">
        <v>56</v>
      </c>
      <c r="I217" s="5" t="s">
        <v>41</v>
      </c>
      <c r="J217" s="7">
        <v>13591</v>
      </c>
      <c r="K217" s="7">
        <f t="shared" si="35"/>
        <v>4077.2999999999997</v>
      </c>
      <c r="L217" s="7">
        <f t="shared" si="36"/>
        <v>9513.7000000000007</v>
      </c>
      <c r="M217" s="7">
        <v>14674</v>
      </c>
      <c r="N217" s="5" t="s">
        <v>35</v>
      </c>
      <c r="O217" s="5">
        <v>18</v>
      </c>
      <c r="P217" s="7">
        <f t="shared" si="37"/>
        <v>16037.38</v>
      </c>
      <c r="Q217" s="7">
        <f t="shared" si="38"/>
        <v>29356.55999999999</v>
      </c>
      <c r="R217" s="7" t="str">
        <f t="shared" si="39"/>
        <v>Normal</v>
      </c>
      <c r="S217" s="5">
        <v>3</v>
      </c>
      <c r="T217" s="5">
        <v>3</v>
      </c>
      <c r="U217" s="5" t="str" cm="1">
        <f t="array" ref="U217">_xlfn.IFS(T217=1,"Poor",T217=2,"Fair",T217=3,"Good",T217=4,"Excellent")</f>
        <v>Good</v>
      </c>
      <c r="V217" s="5" t="s">
        <v>35</v>
      </c>
      <c r="W217" s="5">
        <v>1</v>
      </c>
      <c r="X217" s="28">
        <f t="shared" ca="1" si="40"/>
        <v>45746</v>
      </c>
      <c r="Y217" s="28">
        <f t="shared" ca="1" si="41"/>
        <v>46476</v>
      </c>
      <c r="Z217" s="28" t="str">
        <f t="shared" ca="1" si="42"/>
        <v>Due Soon</v>
      </c>
      <c r="AA217" s="5" t="str" cm="1">
        <f t="array" ref="AA217">_xlfn.IFS(W217&gt;10,"Veteran",W217&gt;=6,"Experienced",W217&gt;=2,"Developing",W217&gt;=0,"New")</f>
        <v>New</v>
      </c>
      <c r="AB217" s="5" t="str" cm="1">
        <f t="array" ref="AB217">_xlfn.IFS(G217=1,"Junior",G217=2,"Mid-Level",G217=3,"Senior",G217=4,"Lead",G217=5,"Principal")&amp;" "&amp;TRIM(PROPER(H217))</f>
        <v>Senior Manager</v>
      </c>
      <c r="AC217" s="19" t="str">
        <f t="shared" ca="1" si="43"/>
        <v>Ma-Sal-2025-216 is a Senior Manager in the Sales department, aged 41, single and has been with the Company for 1years</v>
      </c>
    </row>
    <row r="218" spans="1:29">
      <c r="A218" s="18" t="str">
        <f t="shared" ca="1" si="33"/>
        <v>Sa-Sal-2020-217</v>
      </c>
      <c r="B218" s="5">
        <v>30</v>
      </c>
      <c r="C218" s="5" t="str">
        <f t="shared" si="34"/>
        <v>30-39</v>
      </c>
      <c r="D218" s="5" t="s">
        <v>35</v>
      </c>
      <c r="E218" s="5" t="s">
        <v>37</v>
      </c>
      <c r="F218" s="5" t="s">
        <v>39</v>
      </c>
      <c r="G218" s="5">
        <v>2</v>
      </c>
      <c r="H218" s="5" t="s">
        <v>40</v>
      </c>
      <c r="I218" s="5" t="s">
        <v>41</v>
      </c>
      <c r="J218" s="7">
        <v>6696</v>
      </c>
      <c r="K218" s="7">
        <f t="shared" si="35"/>
        <v>1004.4</v>
      </c>
      <c r="L218" s="7">
        <f t="shared" si="36"/>
        <v>5691.6</v>
      </c>
      <c r="M218" s="7">
        <v>22967</v>
      </c>
      <c r="N218" s="5" t="s">
        <v>43</v>
      </c>
      <c r="O218" s="5">
        <v>15</v>
      </c>
      <c r="P218" s="7">
        <f t="shared" si="37"/>
        <v>7700.4</v>
      </c>
      <c r="Q218" s="7">
        <f t="shared" si="38"/>
        <v>12052.799999999996</v>
      </c>
      <c r="R218" s="7" t="str">
        <f t="shared" si="39"/>
        <v>Normal</v>
      </c>
      <c r="S218" s="5">
        <v>3</v>
      </c>
      <c r="T218" s="5">
        <v>2</v>
      </c>
      <c r="U218" s="5" t="str" cm="1">
        <f t="array" ref="U218">_xlfn.IFS(T218=1,"Poor",T218=2,"Fair",T218=3,"Good",T218=4,"Excellent")</f>
        <v>Fair</v>
      </c>
      <c r="V218" s="5" t="s">
        <v>43</v>
      </c>
      <c r="W218" s="5">
        <v>6</v>
      </c>
      <c r="X218" s="28">
        <f t="shared" ca="1" si="40"/>
        <v>43920</v>
      </c>
      <c r="Y218" s="28">
        <f t="shared" ca="1" si="41"/>
        <v>46842</v>
      </c>
      <c r="Z218" s="28" t="str">
        <f t="shared" ca="1" si="42"/>
        <v>Upcoming</v>
      </c>
      <c r="AA218" s="5" t="str" cm="1">
        <f t="array" ref="AA218">_xlfn.IFS(W218&gt;10,"Veteran",W218&gt;=6,"Experienced",W218&gt;=2,"Developing",W218&gt;=0,"New")</f>
        <v>Experienced</v>
      </c>
      <c r="AB218" s="5" t="str" cm="1">
        <f t="array" ref="AB218">_xlfn.IFS(G218=1,"Junior",G218=2,"Mid-Level",G218=3,"Senior",G218=4,"Lead",G218=5,"Principal")&amp;" "&amp;TRIM(PROPER(H218))</f>
        <v>Mid-Level Sales Executive</v>
      </c>
      <c r="AC218" s="19" t="str">
        <f t="shared" ca="1" si="43"/>
        <v>Sa-Sal-2020-217 is a Mid-Level Sales Executive in the Sales department, aged 30, single and has been with the Company for 6years</v>
      </c>
    </row>
    <row r="219" spans="1:29">
      <c r="A219" s="18" t="str">
        <f t="shared" ca="1" si="33"/>
        <v>Re-Res-2020-218</v>
      </c>
      <c r="B219" s="5">
        <v>29</v>
      </c>
      <c r="C219" s="5" t="str">
        <f t="shared" si="34"/>
        <v>20-29</v>
      </c>
      <c r="D219" s="5" t="s">
        <v>35</v>
      </c>
      <c r="E219" s="5" t="s">
        <v>45</v>
      </c>
      <c r="F219" s="5" t="s">
        <v>46</v>
      </c>
      <c r="G219" s="5">
        <v>1</v>
      </c>
      <c r="H219" s="5" t="s">
        <v>47</v>
      </c>
      <c r="I219" s="5" t="s">
        <v>41</v>
      </c>
      <c r="J219" s="7">
        <v>2058</v>
      </c>
      <c r="K219" s="7">
        <f t="shared" si="35"/>
        <v>144.06</v>
      </c>
      <c r="L219" s="7">
        <f t="shared" si="36"/>
        <v>1913.94</v>
      </c>
      <c r="M219" s="7">
        <v>19757</v>
      </c>
      <c r="N219" s="5" t="s">
        <v>43</v>
      </c>
      <c r="O219" s="5">
        <v>14</v>
      </c>
      <c r="P219" s="7">
        <f t="shared" si="37"/>
        <v>2346.1200000000003</v>
      </c>
      <c r="Q219" s="7">
        <f t="shared" si="38"/>
        <v>3457.4400000000041</v>
      </c>
      <c r="R219" s="7" t="str">
        <f t="shared" si="39"/>
        <v>Normal</v>
      </c>
      <c r="S219" s="5">
        <v>3</v>
      </c>
      <c r="T219" s="5">
        <v>2</v>
      </c>
      <c r="U219" s="5" t="str" cm="1">
        <f t="array" ref="U219">_xlfn.IFS(T219=1,"Poor",T219=2,"Fair",T219=3,"Good",T219=4,"Excellent")</f>
        <v>Fair</v>
      </c>
      <c r="V219" s="5" t="s">
        <v>43</v>
      </c>
      <c r="W219" s="5">
        <v>6</v>
      </c>
      <c r="X219" s="28">
        <f t="shared" ca="1" si="40"/>
        <v>43920</v>
      </c>
      <c r="Y219" s="28">
        <f t="shared" ca="1" si="41"/>
        <v>46842</v>
      </c>
      <c r="Z219" s="28" t="str">
        <f t="shared" ca="1" si="42"/>
        <v>Upcoming</v>
      </c>
      <c r="AA219" s="5" t="str" cm="1">
        <f t="array" ref="AA219">_xlfn.IFS(W219&gt;10,"Veteran",W219&gt;=6,"Experienced",W219&gt;=2,"Developing",W219&gt;=0,"New")</f>
        <v>Experienced</v>
      </c>
      <c r="AB219" s="5" t="str" cm="1">
        <f t="array" ref="AB219">_xlfn.IFS(G219=1,"Junior",G219=2,"Mid-Level",G219=3,"Senior",G219=4,"Lead",G219=5,"Principal")&amp;" "&amp;TRIM(PROPER(H219))</f>
        <v>Junior Research Scientist</v>
      </c>
      <c r="AC219" s="19" t="str">
        <f t="shared" ca="1" si="43"/>
        <v>Re-Res-2020-218 is a Junior Research Scientist in the Research &amp; Development department, aged 29, single and has been with the Company for 6years</v>
      </c>
    </row>
    <row r="220" spans="1:29">
      <c r="A220" s="18" t="str">
        <f t="shared" ca="1" si="33"/>
        <v>Sa-Sal-2007-219</v>
      </c>
      <c r="B220" s="5">
        <v>45</v>
      </c>
      <c r="C220" s="5" t="str">
        <f t="shared" si="34"/>
        <v>40-49</v>
      </c>
      <c r="D220" s="5" t="s">
        <v>43</v>
      </c>
      <c r="E220" s="5" t="s">
        <v>37</v>
      </c>
      <c r="F220" s="5" t="s">
        <v>39</v>
      </c>
      <c r="G220" s="5">
        <v>3</v>
      </c>
      <c r="H220" s="5" t="s">
        <v>40</v>
      </c>
      <c r="I220" s="5" t="s">
        <v>41</v>
      </c>
      <c r="J220" s="7">
        <v>8865</v>
      </c>
      <c r="K220" s="7">
        <f t="shared" si="35"/>
        <v>1950.3</v>
      </c>
      <c r="L220" s="7">
        <f t="shared" si="36"/>
        <v>6914.7</v>
      </c>
      <c r="M220" s="7">
        <v>16840</v>
      </c>
      <c r="N220" s="5" t="s">
        <v>43</v>
      </c>
      <c r="O220" s="5">
        <v>12</v>
      </c>
      <c r="P220" s="7">
        <f t="shared" si="37"/>
        <v>9928.8000000000011</v>
      </c>
      <c r="Q220" s="7">
        <f t="shared" si="38"/>
        <v>12765.600000000013</v>
      </c>
      <c r="R220" s="7" t="str">
        <f t="shared" si="39"/>
        <v>Normal</v>
      </c>
      <c r="S220" s="5">
        <v>3</v>
      </c>
      <c r="T220" s="5">
        <v>3</v>
      </c>
      <c r="U220" s="5" t="str" cm="1">
        <f t="array" ref="U220">_xlfn.IFS(T220=1,"Poor",T220=2,"Fair",T220=3,"Good",T220=4,"Excellent")</f>
        <v>Good</v>
      </c>
      <c r="V220" s="5" t="s">
        <v>43</v>
      </c>
      <c r="W220" s="5">
        <v>19</v>
      </c>
      <c r="X220" s="28">
        <f t="shared" ca="1" si="40"/>
        <v>39171</v>
      </c>
      <c r="Y220" s="28">
        <f t="shared" ca="1" si="41"/>
        <v>46476</v>
      </c>
      <c r="Z220" s="28" t="str">
        <f t="shared" ca="1" si="42"/>
        <v>Due Soon</v>
      </c>
      <c r="AA220" s="5" t="str" cm="1">
        <f t="array" ref="AA220">_xlfn.IFS(W220&gt;10,"Veteran",W220&gt;=6,"Experienced",W220&gt;=2,"Developing",W220&gt;=0,"New")</f>
        <v>Veteran</v>
      </c>
      <c r="AB220" s="5" t="str" cm="1">
        <f t="array" ref="AB220">_xlfn.IFS(G220=1,"Junior",G220=2,"Mid-Level",G220=3,"Senior",G220=4,"Lead",G220=5,"Principal")&amp;" "&amp;TRIM(PROPER(H220))</f>
        <v>Senior Sales Executive</v>
      </c>
      <c r="AC220" s="19" t="str">
        <f t="shared" ca="1" si="43"/>
        <v>Sa-Sal-2007-219 is a Senior Sales Executive in the Sales department, aged 45, single and has been with the Company for 19years</v>
      </c>
    </row>
    <row r="221" spans="1:29">
      <c r="A221" s="18" t="str">
        <f t="shared" ca="1" si="33"/>
        <v>Sa-Sal-2020-220</v>
      </c>
      <c r="B221" s="5">
        <v>54</v>
      </c>
      <c r="C221" s="5" t="str">
        <f t="shared" si="34"/>
        <v>50+</v>
      </c>
      <c r="D221" s="5" t="s">
        <v>43</v>
      </c>
      <c r="E221" s="5" t="s">
        <v>37</v>
      </c>
      <c r="F221" s="5" t="s">
        <v>39</v>
      </c>
      <c r="G221" s="5">
        <v>2</v>
      </c>
      <c r="H221" s="5" t="s">
        <v>40</v>
      </c>
      <c r="I221" s="5" t="s">
        <v>48</v>
      </c>
      <c r="J221" s="7">
        <v>5940</v>
      </c>
      <c r="K221" s="7">
        <f t="shared" si="35"/>
        <v>891</v>
      </c>
      <c r="L221" s="7">
        <f t="shared" si="36"/>
        <v>5049</v>
      </c>
      <c r="M221" s="7">
        <v>17011</v>
      </c>
      <c r="N221" s="5" t="s">
        <v>43</v>
      </c>
      <c r="O221" s="5">
        <v>14</v>
      </c>
      <c r="P221" s="7">
        <f t="shared" si="37"/>
        <v>6771.6</v>
      </c>
      <c r="Q221" s="7">
        <f t="shared" si="38"/>
        <v>9979.2000000000044</v>
      </c>
      <c r="R221" s="7" t="str">
        <f t="shared" si="39"/>
        <v>Normal</v>
      </c>
      <c r="S221" s="5">
        <v>3</v>
      </c>
      <c r="T221" s="5">
        <v>3</v>
      </c>
      <c r="U221" s="5" t="str" cm="1">
        <f t="array" ref="U221">_xlfn.IFS(T221=1,"Poor",T221=2,"Fair",T221=3,"Good",T221=4,"Excellent")</f>
        <v>Good</v>
      </c>
      <c r="V221" s="5" t="s">
        <v>43</v>
      </c>
      <c r="W221" s="5">
        <v>6</v>
      </c>
      <c r="X221" s="28">
        <f t="shared" ca="1" si="40"/>
        <v>43920</v>
      </c>
      <c r="Y221" s="28">
        <f t="shared" ca="1" si="41"/>
        <v>46842</v>
      </c>
      <c r="Z221" s="28" t="str">
        <f t="shared" ca="1" si="42"/>
        <v>Upcoming</v>
      </c>
      <c r="AA221" s="5" t="str" cm="1">
        <f t="array" ref="AA221">_xlfn.IFS(W221&gt;10,"Veteran",W221&gt;=6,"Experienced",W221&gt;=2,"Developing",W221&gt;=0,"New")</f>
        <v>Experienced</v>
      </c>
      <c r="AB221" s="5" t="str" cm="1">
        <f t="array" ref="AB221">_xlfn.IFS(G221=1,"Junior",G221=2,"Mid-Level",G221=3,"Senior",G221=4,"Lead",G221=5,"Principal")&amp;" "&amp;TRIM(PROPER(H221))</f>
        <v>Mid-Level Sales Executive</v>
      </c>
      <c r="AC221" s="19" t="str">
        <f t="shared" ca="1" si="43"/>
        <v>Sa-Sal-2020-220 is a Mid-Level Sales Executive in the Sales department, aged 54, married and has been with the Company for 6years</v>
      </c>
    </row>
    <row r="222" spans="1:29">
      <c r="A222" s="18" t="str">
        <f t="shared" ca="1" si="33"/>
        <v>La-Res-2013-221</v>
      </c>
      <c r="B222" s="5">
        <v>36</v>
      </c>
      <c r="C222" s="5" t="str">
        <f t="shared" si="34"/>
        <v>30-39</v>
      </c>
      <c r="D222" s="5" t="s">
        <v>43</v>
      </c>
      <c r="E222" s="5" t="s">
        <v>45</v>
      </c>
      <c r="F222" s="5" t="s">
        <v>46</v>
      </c>
      <c r="G222" s="5">
        <v>2</v>
      </c>
      <c r="H222" s="5" t="s">
        <v>50</v>
      </c>
      <c r="I222" s="5" t="s">
        <v>41</v>
      </c>
      <c r="J222" s="7">
        <v>5914</v>
      </c>
      <c r="K222" s="7">
        <f t="shared" si="35"/>
        <v>887.1</v>
      </c>
      <c r="L222" s="7">
        <f t="shared" si="36"/>
        <v>5026.8999999999996</v>
      </c>
      <c r="M222" s="7">
        <v>9945</v>
      </c>
      <c r="N222" s="5" t="s">
        <v>43</v>
      </c>
      <c r="O222" s="5">
        <v>16</v>
      </c>
      <c r="P222" s="7">
        <f t="shared" si="37"/>
        <v>6860.24</v>
      </c>
      <c r="Q222" s="7">
        <f t="shared" si="38"/>
        <v>11354.879999999997</v>
      </c>
      <c r="R222" s="7" t="str">
        <f t="shared" si="39"/>
        <v>Normal</v>
      </c>
      <c r="S222" s="5">
        <v>3</v>
      </c>
      <c r="T222" s="5">
        <v>4</v>
      </c>
      <c r="U222" s="5" t="str" cm="1">
        <f t="array" ref="U222">_xlfn.IFS(T222=1,"Poor",T222=2,"Fair",T222=3,"Good",T222=4,"Excellent")</f>
        <v>Excellent</v>
      </c>
      <c r="V222" s="5" t="s">
        <v>43</v>
      </c>
      <c r="W222" s="5">
        <v>13</v>
      </c>
      <c r="X222" s="28">
        <f t="shared" ca="1" si="40"/>
        <v>41363</v>
      </c>
      <c r="Y222" s="28">
        <f t="shared" ca="1" si="41"/>
        <v>46476</v>
      </c>
      <c r="Z222" s="28" t="str">
        <f t="shared" ca="1" si="42"/>
        <v>Due Soon</v>
      </c>
      <c r="AA222" s="5" t="str" cm="1">
        <f t="array" ref="AA222">_xlfn.IFS(W222&gt;10,"Veteran",W222&gt;=6,"Experienced",W222&gt;=2,"Developing",W222&gt;=0,"New")</f>
        <v>Veteran</v>
      </c>
      <c r="AB222" s="5" t="str" cm="1">
        <f t="array" ref="AB222">_xlfn.IFS(G222=1,"Junior",G222=2,"Mid-Level",G222=3,"Senior",G222=4,"Lead",G222=5,"Principal")&amp;" "&amp;TRIM(PROPER(H222))</f>
        <v>Mid-Level Laboratory Technician</v>
      </c>
      <c r="AC222" s="19" t="str">
        <f t="shared" ca="1" si="43"/>
        <v>La-Res-2013-221 is a Mid-Level Laboratory Technician in the Research &amp; Development department, aged 36, single and has been with the Company for 13years</v>
      </c>
    </row>
    <row r="223" spans="1:29">
      <c r="A223" s="18" t="str">
        <f t="shared" ca="1" si="33"/>
        <v>Re-Res-2023-222</v>
      </c>
      <c r="B223" s="5">
        <v>33</v>
      </c>
      <c r="C223" s="5" t="str">
        <f t="shared" si="34"/>
        <v>30-39</v>
      </c>
      <c r="D223" s="5" t="s">
        <v>43</v>
      </c>
      <c r="E223" s="5" t="s">
        <v>45</v>
      </c>
      <c r="F223" s="5" t="s">
        <v>39</v>
      </c>
      <c r="G223" s="5">
        <v>1</v>
      </c>
      <c r="H223" s="5" t="s">
        <v>47</v>
      </c>
      <c r="I223" s="5" t="s">
        <v>48</v>
      </c>
      <c r="J223" s="7">
        <v>2622</v>
      </c>
      <c r="K223" s="7">
        <f t="shared" si="35"/>
        <v>183.54000000000002</v>
      </c>
      <c r="L223" s="7">
        <f t="shared" si="36"/>
        <v>2438.46</v>
      </c>
      <c r="M223" s="7">
        <v>13248</v>
      </c>
      <c r="N223" s="5" t="s">
        <v>43</v>
      </c>
      <c r="O223" s="5">
        <v>21</v>
      </c>
      <c r="P223" s="7">
        <f t="shared" si="37"/>
        <v>3172.62</v>
      </c>
      <c r="Q223" s="7">
        <f t="shared" si="38"/>
        <v>6607.4399999999987</v>
      </c>
      <c r="R223" s="7" t="str">
        <f t="shared" si="39"/>
        <v>Normal</v>
      </c>
      <c r="S223" s="5">
        <v>4</v>
      </c>
      <c r="T223" s="5">
        <v>3</v>
      </c>
      <c r="U223" s="5" t="str" cm="1">
        <f t="array" ref="U223">_xlfn.IFS(T223=1,"Poor",T223=2,"Fair",T223=3,"Good",T223=4,"Excellent")</f>
        <v>Good</v>
      </c>
      <c r="V223" s="5" t="s">
        <v>43</v>
      </c>
      <c r="W223" s="5">
        <v>3</v>
      </c>
      <c r="X223" s="28">
        <f t="shared" ca="1" si="40"/>
        <v>45015</v>
      </c>
      <c r="Y223" s="28">
        <f t="shared" ca="1" si="41"/>
        <v>46476</v>
      </c>
      <c r="Z223" s="28" t="str">
        <f t="shared" ca="1" si="42"/>
        <v>Due Soon</v>
      </c>
      <c r="AA223" s="5" t="str" cm="1">
        <f t="array" ref="AA223">_xlfn.IFS(W223&gt;10,"Veteran",W223&gt;=6,"Experienced",W223&gt;=2,"Developing",W223&gt;=0,"New")</f>
        <v>Developing</v>
      </c>
      <c r="AB223" s="5" t="str" cm="1">
        <f t="array" ref="AB223">_xlfn.IFS(G223=1,"Junior",G223=2,"Mid-Level",G223=3,"Senior",G223=4,"Lead",G223=5,"Principal")&amp;" "&amp;TRIM(PROPER(H223))</f>
        <v>Junior Research Scientist</v>
      </c>
      <c r="AC223" s="19" t="str">
        <f t="shared" ca="1" si="43"/>
        <v>Re-Res-2023-222 is a Junior Research Scientist in the Research &amp; Development department, aged 33, married and has been with the Company for 3years</v>
      </c>
    </row>
    <row r="224" spans="1:29">
      <c r="A224" s="18" t="str">
        <f t="shared" ca="1" si="33"/>
        <v>Re-Res-2016-223</v>
      </c>
      <c r="B224" s="5">
        <v>37</v>
      </c>
      <c r="C224" s="5" t="str">
        <f t="shared" si="34"/>
        <v>30-39</v>
      </c>
      <c r="D224" s="5" t="s">
        <v>43</v>
      </c>
      <c r="E224" s="5" t="s">
        <v>45</v>
      </c>
      <c r="F224" s="5" t="s">
        <v>46</v>
      </c>
      <c r="G224" s="5">
        <v>3</v>
      </c>
      <c r="H224" s="5" t="s">
        <v>58</v>
      </c>
      <c r="I224" s="5" t="s">
        <v>52</v>
      </c>
      <c r="J224" s="7">
        <v>12185</v>
      </c>
      <c r="K224" s="7">
        <f t="shared" si="35"/>
        <v>2680.7</v>
      </c>
      <c r="L224" s="7">
        <f t="shared" si="36"/>
        <v>9504.2999999999993</v>
      </c>
      <c r="M224" s="7">
        <v>10056</v>
      </c>
      <c r="N224" s="5" t="s">
        <v>35</v>
      </c>
      <c r="O224" s="5">
        <v>14</v>
      </c>
      <c r="P224" s="7">
        <f t="shared" si="37"/>
        <v>13890.900000000001</v>
      </c>
      <c r="Q224" s="7">
        <f t="shared" si="38"/>
        <v>20470.800000000017</v>
      </c>
      <c r="R224" s="7" t="str">
        <f t="shared" si="39"/>
        <v>Normal</v>
      </c>
      <c r="S224" s="5">
        <v>3</v>
      </c>
      <c r="T224" s="5">
        <v>3</v>
      </c>
      <c r="U224" s="5" t="str" cm="1">
        <f t="array" ref="U224">_xlfn.IFS(T224=1,"Poor",T224=2,"Fair",T224=3,"Good",T224=4,"Excellent")</f>
        <v>Good</v>
      </c>
      <c r="V224" s="5" t="s">
        <v>35</v>
      </c>
      <c r="W224" s="5">
        <v>10</v>
      </c>
      <c r="X224" s="28">
        <f t="shared" ca="1" si="40"/>
        <v>42459</v>
      </c>
      <c r="Y224" s="28">
        <f t="shared" ca="1" si="41"/>
        <v>46842</v>
      </c>
      <c r="Z224" s="28" t="str">
        <f t="shared" ca="1" si="42"/>
        <v>Upcoming</v>
      </c>
      <c r="AA224" s="5" t="str" cm="1">
        <f t="array" ref="AA224">_xlfn.IFS(W224&gt;10,"Veteran",W224&gt;=6,"Experienced",W224&gt;=2,"Developing",W224&gt;=0,"New")</f>
        <v>Experienced</v>
      </c>
      <c r="AB224" s="5" t="str" cm="1">
        <f t="array" ref="AB224">_xlfn.IFS(G224=1,"Junior",G224=2,"Mid-Level",G224=3,"Senior",G224=4,"Lead",G224=5,"Principal")&amp;" "&amp;TRIM(PROPER(H224))</f>
        <v>Senior Research Director</v>
      </c>
      <c r="AC224" s="19" t="str">
        <f t="shared" ca="1" si="43"/>
        <v>Re-Res-2016-223 is a Senior Research Director in the Research &amp; Development department, aged 37, divorced and has been with the Company for 10years</v>
      </c>
    </row>
    <row r="225" spans="1:29">
      <c r="A225" s="18" t="str">
        <f t="shared" ca="1" si="33"/>
        <v>Sa-Sal-2010-224</v>
      </c>
      <c r="B225" s="5">
        <v>38</v>
      </c>
      <c r="C225" s="5" t="str">
        <f t="shared" si="34"/>
        <v>30-39</v>
      </c>
      <c r="D225" s="5" t="s">
        <v>43</v>
      </c>
      <c r="E225" s="5" t="s">
        <v>37</v>
      </c>
      <c r="F225" s="5" t="s">
        <v>46</v>
      </c>
      <c r="G225" s="5">
        <v>3</v>
      </c>
      <c r="H225" s="5" t="s">
        <v>40</v>
      </c>
      <c r="I225" s="5" t="s">
        <v>52</v>
      </c>
      <c r="J225" s="7">
        <v>10609</v>
      </c>
      <c r="K225" s="7">
        <f t="shared" si="35"/>
        <v>2333.98</v>
      </c>
      <c r="L225" s="7">
        <f t="shared" si="36"/>
        <v>8275.02</v>
      </c>
      <c r="M225" s="7">
        <v>9647</v>
      </c>
      <c r="N225" s="5" t="s">
        <v>43</v>
      </c>
      <c r="O225" s="5">
        <v>12</v>
      </c>
      <c r="P225" s="7">
        <f t="shared" si="37"/>
        <v>11882.080000000002</v>
      </c>
      <c r="Q225" s="7">
        <f t="shared" si="38"/>
        <v>15276.960000000021</v>
      </c>
      <c r="R225" s="7" t="str">
        <f t="shared" si="39"/>
        <v>Normal</v>
      </c>
      <c r="S225" s="5">
        <v>3</v>
      </c>
      <c r="T225" s="5">
        <v>2</v>
      </c>
      <c r="U225" s="5" t="str" cm="1">
        <f t="array" ref="U225">_xlfn.IFS(T225=1,"Poor",T225=2,"Fair",T225=3,"Good",T225=4,"Excellent")</f>
        <v>Fair</v>
      </c>
      <c r="V225" s="5" t="s">
        <v>43</v>
      </c>
      <c r="W225" s="5">
        <v>16</v>
      </c>
      <c r="X225" s="28">
        <f t="shared" ca="1" si="40"/>
        <v>40267</v>
      </c>
      <c r="Y225" s="28">
        <f t="shared" ca="1" si="41"/>
        <v>46842</v>
      </c>
      <c r="Z225" s="28" t="str">
        <f t="shared" ca="1" si="42"/>
        <v>Upcoming</v>
      </c>
      <c r="AA225" s="5" t="str" cm="1">
        <f t="array" ref="AA225">_xlfn.IFS(W225&gt;10,"Veteran",W225&gt;=6,"Experienced",W225&gt;=2,"Developing",W225&gt;=0,"New")</f>
        <v>Veteran</v>
      </c>
      <c r="AB225" s="5" t="str" cm="1">
        <f t="array" ref="AB225">_xlfn.IFS(G225=1,"Junior",G225=2,"Mid-Level",G225=3,"Senior",G225=4,"Lead",G225=5,"Principal")&amp;" "&amp;TRIM(PROPER(H225))</f>
        <v>Senior Sales Executive</v>
      </c>
      <c r="AC225" s="19" t="str">
        <f t="shared" ca="1" si="43"/>
        <v>Sa-Sal-2010-224 is a Senior Sales Executive in the Sales department, aged 38, divorced and has been with the Company for 16years</v>
      </c>
    </row>
    <row r="226" spans="1:29">
      <c r="A226" s="18" t="str">
        <f t="shared" ca="1" si="33"/>
        <v>Ma-Res-2021-225</v>
      </c>
      <c r="B226" s="5">
        <v>31</v>
      </c>
      <c r="C226" s="5" t="str">
        <f t="shared" si="34"/>
        <v>30-39</v>
      </c>
      <c r="D226" s="5" t="s">
        <v>43</v>
      </c>
      <c r="E226" s="5" t="s">
        <v>45</v>
      </c>
      <c r="F226" s="5" t="s">
        <v>46</v>
      </c>
      <c r="G226" s="5">
        <v>2</v>
      </c>
      <c r="H226" s="5" t="s">
        <v>53</v>
      </c>
      <c r="I226" s="5" t="s">
        <v>48</v>
      </c>
      <c r="J226" s="7">
        <v>4345</v>
      </c>
      <c r="K226" s="7">
        <f t="shared" si="35"/>
        <v>651.75</v>
      </c>
      <c r="L226" s="7">
        <f t="shared" si="36"/>
        <v>3693.25</v>
      </c>
      <c r="M226" s="7">
        <v>4381</v>
      </c>
      <c r="N226" s="5" t="s">
        <v>43</v>
      </c>
      <c r="O226" s="5">
        <v>12</v>
      </c>
      <c r="P226" s="7">
        <f t="shared" si="37"/>
        <v>4866.4000000000005</v>
      </c>
      <c r="Q226" s="7">
        <f t="shared" si="38"/>
        <v>6256.8000000000065</v>
      </c>
      <c r="R226" s="7" t="str">
        <f t="shared" si="39"/>
        <v>Normal</v>
      </c>
      <c r="S226" s="5">
        <v>3</v>
      </c>
      <c r="T226" s="5">
        <v>3</v>
      </c>
      <c r="U226" s="5" t="str" cm="1">
        <f t="array" ref="U226">_xlfn.IFS(T226=1,"Poor",T226=2,"Fair",T226=3,"Good",T226=4,"Excellent")</f>
        <v>Good</v>
      </c>
      <c r="V226" s="5" t="s">
        <v>43</v>
      </c>
      <c r="W226" s="5">
        <v>5</v>
      </c>
      <c r="X226" s="28">
        <f t="shared" ca="1" si="40"/>
        <v>44285</v>
      </c>
      <c r="Y226" s="28">
        <f t="shared" ca="1" si="41"/>
        <v>46476</v>
      </c>
      <c r="Z226" s="28" t="str">
        <f t="shared" ca="1" si="42"/>
        <v>Due Soon</v>
      </c>
      <c r="AA226" s="5" t="str" cm="1">
        <f t="array" ref="AA226">_xlfn.IFS(W226&gt;10,"Veteran",W226&gt;=6,"Experienced",W226&gt;=2,"Developing",W226&gt;=0,"New")</f>
        <v>Developing</v>
      </c>
      <c r="AB226" s="5" t="str" cm="1">
        <f t="array" ref="AB226">_xlfn.IFS(G226=1,"Junior",G226=2,"Mid-Level",G226=3,"Senior",G226=4,"Lead",G226=5,"Principal")&amp;" "&amp;TRIM(PROPER(H226))</f>
        <v>Mid-Level Manufacturing Director</v>
      </c>
      <c r="AC226" s="19" t="str">
        <f t="shared" ca="1" si="43"/>
        <v>Ma-Res-2021-225 is a Mid-Level Manufacturing Director in the Research &amp; Development department, aged 31, married and has been with the Company for 5years</v>
      </c>
    </row>
    <row r="227" spans="1:29">
      <c r="A227" s="18" t="str">
        <f t="shared" ca="1" si="33"/>
        <v>Re-Res-2025-226</v>
      </c>
      <c r="B227" s="5">
        <v>59</v>
      </c>
      <c r="C227" s="5" t="str">
        <f t="shared" si="34"/>
        <v>50+</v>
      </c>
      <c r="D227" s="5" t="s">
        <v>43</v>
      </c>
      <c r="E227" s="5" t="s">
        <v>45</v>
      </c>
      <c r="F227" s="5" t="s">
        <v>46</v>
      </c>
      <c r="G227" s="5">
        <v>1</v>
      </c>
      <c r="H227" s="5" t="s">
        <v>47</v>
      </c>
      <c r="I227" s="5" t="s">
        <v>48</v>
      </c>
      <c r="J227" s="7">
        <v>2177</v>
      </c>
      <c r="K227" s="7">
        <f t="shared" si="35"/>
        <v>152.39000000000001</v>
      </c>
      <c r="L227" s="7">
        <f t="shared" si="36"/>
        <v>2024.61</v>
      </c>
      <c r="M227" s="7">
        <v>8456</v>
      </c>
      <c r="N227" s="5" t="s">
        <v>43</v>
      </c>
      <c r="O227" s="5">
        <v>17</v>
      </c>
      <c r="P227" s="7">
        <f t="shared" si="37"/>
        <v>2547.0899999999997</v>
      </c>
      <c r="Q227" s="7">
        <f t="shared" si="38"/>
        <v>4441.0799999999963</v>
      </c>
      <c r="R227" s="7" t="str">
        <f t="shared" si="39"/>
        <v>Normal</v>
      </c>
      <c r="S227" s="5">
        <v>3</v>
      </c>
      <c r="T227" s="5">
        <v>3</v>
      </c>
      <c r="U227" s="5" t="str" cm="1">
        <f t="array" ref="U227">_xlfn.IFS(T227=1,"Poor",T227=2,"Fair",T227=3,"Good",T227=4,"Excellent")</f>
        <v>Good</v>
      </c>
      <c r="V227" s="5" t="s">
        <v>43</v>
      </c>
      <c r="W227" s="5">
        <v>1</v>
      </c>
      <c r="X227" s="28">
        <f t="shared" ca="1" si="40"/>
        <v>45746</v>
      </c>
      <c r="Y227" s="28">
        <f t="shared" ca="1" si="41"/>
        <v>46476</v>
      </c>
      <c r="Z227" s="28" t="str">
        <f t="shared" ca="1" si="42"/>
        <v>Due Soon</v>
      </c>
      <c r="AA227" s="5" t="str" cm="1">
        <f t="array" ref="AA227">_xlfn.IFS(W227&gt;10,"Veteran",W227&gt;=6,"Experienced",W227&gt;=2,"Developing",W227&gt;=0,"New")</f>
        <v>New</v>
      </c>
      <c r="AB227" s="5" t="str" cm="1">
        <f t="array" ref="AB227">_xlfn.IFS(G227=1,"Junior",G227=2,"Mid-Level",G227=3,"Senior",G227=4,"Lead",G227=5,"Principal")&amp;" "&amp;TRIM(PROPER(H227))</f>
        <v>Junior Research Scientist</v>
      </c>
      <c r="AC227" s="19" t="str">
        <f t="shared" ca="1" si="43"/>
        <v>Re-Res-2025-226 is a Junior Research Scientist in the Research &amp; Development department, aged 59, married and has been with the Company for 1years</v>
      </c>
    </row>
    <row r="228" spans="1:29">
      <c r="A228" s="18" t="str">
        <f t="shared" ca="1" si="33"/>
        <v>Sa-Sal-2017-227</v>
      </c>
      <c r="B228" s="5">
        <v>37</v>
      </c>
      <c r="C228" s="5" t="str">
        <f t="shared" si="34"/>
        <v>30-39</v>
      </c>
      <c r="D228" s="5" t="s">
        <v>43</v>
      </c>
      <c r="E228" s="5" t="s">
        <v>37</v>
      </c>
      <c r="F228" s="5" t="s">
        <v>46</v>
      </c>
      <c r="G228" s="5">
        <v>1</v>
      </c>
      <c r="H228" s="5" t="s">
        <v>57</v>
      </c>
      <c r="I228" s="5" t="s">
        <v>52</v>
      </c>
      <c r="J228" s="7">
        <v>2793</v>
      </c>
      <c r="K228" s="7">
        <f t="shared" si="35"/>
        <v>195.51000000000002</v>
      </c>
      <c r="L228" s="7">
        <f t="shared" si="36"/>
        <v>2597.4899999999998</v>
      </c>
      <c r="M228" s="7">
        <v>2539</v>
      </c>
      <c r="N228" s="5" t="s">
        <v>43</v>
      </c>
      <c r="O228" s="5">
        <v>17</v>
      </c>
      <c r="P228" s="7">
        <f t="shared" si="37"/>
        <v>3267.81</v>
      </c>
      <c r="Q228" s="7">
        <f t="shared" si="38"/>
        <v>5697.7199999999993</v>
      </c>
      <c r="R228" s="7" t="str">
        <f t="shared" si="39"/>
        <v>Normal</v>
      </c>
      <c r="S228" s="5">
        <v>3</v>
      </c>
      <c r="T228" s="5">
        <v>3</v>
      </c>
      <c r="U228" s="5" t="str" cm="1">
        <f t="array" ref="U228">_xlfn.IFS(T228=1,"Poor",T228=2,"Fair",T228=3,"Good",T228=4,"Excellent")</f>
        <v>Good</v>
      </c>
      <c r="V228" s="5" t="s">
        <v>43</v>
      </c>
      <c r="W228" s="5">
        <v>9</v>
      </c>
      <c r="X228" s="28">
        <f t="shared" ca="1" si="40"/>
        <v>42824</v>
      </c>
      <c r="Y228" s="28">
        <f t="shared" ca="1" si="41"/>
        <v>46476</v>
      </c>
      <c r="Z228" s="28" t="str">
        <f t="shared" ca="1" si="42"/>
        <v>Due Soon</v>
      </c>
      <c r="AA228" s="5" t="str" cm="1">
        <f t="array" ref="AA228">_xlfn.IFS(W228&gt;10,"Veteran",W228&gt;=6,"Experienced",W228&gt;=2,"Developing",W228&gt;=0,"New")</f>
        <v>Experienced</v>
      </c>
      <c r="AB228" s="5" t="str" cm="1">
        <f t="array" ref="AB228">_xlfn.IFS(G228=1,"Junior",G228=2,"Mid-Level",G228=3,"Senior",G228=4,"Lead",G228=5,"Principal")&amp;" "&amp;TRIM(PROPER(H228))</f>
        <v>Junior Sales Representative</v>
      </c>
      <c r="AC228" s="19" t="str">
        <f t="shared" ca="1" si="43"/>
        <v>Sa-Sal-2017-227 is a Junior Sales Representative in the Sales department, aged 37, divorced and has been with the Company for 9years</v>
      </c>
    </row>
    <row r="229" spans="1:29">
      <c r="A229" s="18" t="str">
        <f t="shared" ca="1" si="33"/>
        <v>Sa-Sal-2015-228</v>
      </c>
      <c r="B229" s="5">
        <v>29</v>
      </c>
      <c r="C229" s="5" t="str">
        <f t="shared" si="34"/>
        <v>20-29</v>
      </c>
      <c r="D229" s="5" t="s">
        <v>43</v>
      </c>
      <c r="E229" s="5" t="s">
        <v>37</v>
      </c>
      <c r="F229" s="5" t="s">
        <v>39</v>
      </c>
      <c r="G229" s="5">
        <v>3</v>
      </c>
      <c r="H229" s="5" t="s">
        <v>40</v>
      </c>
      <c r="I229" s="5" t="s">
        <v>48</v>
      </c>
      <c r="J229" s="7">
        <v>7918</v>
      </c>
      <c r="K229" s="7">
        <f t="shared" si="35"/>
        <v>1741.96</v>
      </c>
      <c r="L229" s="7">
        <f t="shared" si="36"/>
        <v>6176.04</v>
      </c>
      <c r="M229" s="7">
        <v>6599</v>
      </c>
      <c r="N229" s="5" t="s">
        <v>43</v>
      </c>
      <c r="O229" s="5">
        <v>14</v>
      </c>
      <c r="P229" s="7">
        <f t="shared" si="37"/>
        <v>9026.52</v>
      </c>
      <c r="Q229" s="7">
        <f t="shared" si="38"/>
        <v>13302.240000000005</v>
      </c>
      <c r="R229" s="7" t="str">
        <f t="shared" si="39"/>
        <v>Normal</v>
      </c>
      <c r="S229" s="5">
        <v>3</v>
      </c>
      <c r="T229" s="5">
        <v>3</v>
      </c>
      <c r="U229" s="5" t="str" cm="1">
        <f t="array" ref="U229">_xlfn.IFS(T229=1,"Poor",T229=2,"Fair",T229=3,"Good",T229=4,"Excellent")</f>
        <v>Good</v>
      </c>
      <c r="V229" s="5" t="s">
        <v>43</v>
      </c>
      <c r="W229" s="5">
        <v>11</v>
      </c>
      <c r="X229" s="28">
        <f t="shared" ca="1" si="40"/>
        <v>42093</v>
      </c>
      <c r="Y229" s="28">
        <f t="shared" ca="1" si="41"/>
        <v>46476</v>
      </c>
      <c r="Z229" s="28" t="str">
        <f t="shared" ca="1" si="42"/>
        <v>Due Soon</v>
      </c>
      <c r="AA229" s="5" t="str" cm="1">
        <f t="array" ref="AA229">_xlfn.IFS(W229&gt;10,"Veteran",W229&gt;=6,"Experienced",W229&gt;=2,"Developing",W229&gt;=0,"New")</f>
        <v>Veteran</v>
      </c>
      <c r="AB229" s="5" t="str" cm="1">
        <f t="array" ref="AB229">_xlfn.IFS(G229=1,"Junior",G229=2,"Mid-Level",G229=3,"Senior",G229=4,"Lead",G229=5,"Principal")&amp;" "&amp;TRIM(PROPER(H229))</f>
        <v>Senior Sales Executive</v>
      </c>
      <c r="AC229" s="19" t="str">
        <f t="shared" ca="1" si="43"/>
        <v>Sa-Sal-2015-228 is a Senior Sales Executive in the Sales department, aged 29, married and has been with the Company for 11years</v>
      </c>
    </row>
    <row r="230" spans="1:29">
      <c r="A230" s="18" t="str">
        <f t="shared" ca="1" si="33"/>
        <v>Sa-Sal-2016-229</v>
      </c>
      <c r="B230" s="5">
        <v>35</v>
      </c>
      <c r="C230" s="5" t="str">
        <f t="shared" si="34"/>
        <v>30-39</v>
      </c>
      <c r="D230" s="5" t="s">
        <v>43</v>
      </c>
      <c r="E230" s="5" t="s">
        <v>37</v>
      </c>
      <c r="F230" s="5" t="s">
        <v>39</v>
      </c>
      <c r="G230" s="5">
        <v>3</v>
      </c>
      <c r="H230" s="5" t="s">
        <v>40</v>
      </c>
      <c r="I230" s="5" t="s">
        <v>41</v>
      </c>
      <c r="J230" s="7">
        <v>8789</v>
      </c>
      <c r="K230" s="7">
        <f t="shared" si="35"/>
        <v>1933.58</v>
      </c>
      <c r="L230" s="7">
        <f t="shared" si="36"/>
        <v>6855.42</v>
      </c>
      <c r="M230" s="7">
        <v>9096</v>
      </c>
      <c r="N230" s="5" t="s">
        <v>43</v>
      </c>
      <c r="O230" s="5">
        <v>14</v>
      </c>
      <c r="P230" s="7">
        <f t="shared" si="37"/>
        <v>10019.460000000001</v>
      </c>
      <c r="Q230" s="7">
        <f t="shared" si="38"/>
        <v>14765.520000000011</v>
      </c>
      <c r="R230" s="7" t="str">
        <f t="shared" si="39"/>
        <v>Normal</v>
      </c>
      <c r="S230" s="5">
        <v>3</v>
      </c>
      <c r="T230" s="5">
        <v>4</v>
      </c>
      <c r="U230" s="5" t="str" cm="1">
        <f t="array" ref="U230">_xlfn.IFS(T230=1,"Poor",T230=2,"Fair",T230=3,"Good",T230=4,"Excellent")</f>
        <v>Excellent</v>
      </c>
      <c r="V230" s="5" t="s">
        <v>43</v>
      </c>
      <c r="W230" s="5">
        <v>10</v>
      </c>
      <c r="X230" s="28">
        <f t="shared" ca="1" si="40"/>
        <v>42459</v>
      </c>
      <c r="Y230" s="28">
        <f t="shared" ca="1" si="41"/>
        <v>46842</v>
      </c>
      <c r="Z230" s="28" t="str">
        <f t="shared" ca="1" si="42"/>
        <v>Upcoming</v>
      </c>
      <c r="AA230" s="5" t="str" cm="1">
        <f t="array" ref="AA230">_xlfn.IFS(W230&gt;10,"Veteran",W230&gt;=6,"Experienced",W230&gt;=2,"Developing",W230&gt;=0,"New")</f>
        <v>Experienced</v>
      </c>
      <c r="AB230" s="5" t="str" cm="1">
        <f t="array" ref="AB230">_xlfn.IFS(G230=1,"Junior",G230=2,"Mid-Level",G230=3,"Senior",G230=4,"Lead",G230=5,"Principal")&amp;" "&amp;TRIM(PROPER(H230))</f>
        <v>Senior Sales Executive</v>
      </c>
      <c r="AC230" s="19" t="str">
        <f t="shared" ca="1" si="43"/>
        <v>Sa-Sal-2016-229 is a Senior Sales Executive in the Sales department, aged 35, single and has been with the Company for 10years</v>
      </c>
    </row>
    <row r="231" spans="1:29">
      <c r="A231" s="18" t="str">
        <f t="shared" ca="1" si="33"/>
        <v>Re-Res-2022-230</v>
      </c>
      <c r="B231" s="5">
        <v>29</v>
      </c>
      <c r="C231" s="5" t="str">
        <f t="shared" si="34"/>
        <v>20-29</v>
      </c>
      <c r="D231" s="5" t="s">
        <v>35</v>
      </c>
      <c r="E231" s="5" t="s">
        <v>45</v>
      </c>
      <c r="F231" s="5" t="s">
        <v>46</v>
      </c>
      <c r="G231" s="5">
        <v>1</v>
      </c>
      <c r="H231" s="5" t="s">
        <v>47</v>
      </c>
      <c r="I231" s="5" t="s">
        <v>41</v>
      </c>
      <c r="J231" s="7">
        <v>2389</v>
      </c>
      <c r="K231" s="7">
        <f t="shared" si="35"/>
        <v>167.23000000000002</v>
      </c>
      <c r="L231" s="7">
        <f t="shared" si="36"/>
        <v>2221.77</v>
      </c>
      <c r="M231" s="7">
        <v>14961</v>
      </c>
      <c r="N231" s="5" t="s">
        <v>35</v>
      </c>
      <c r="O231" s="5">
        <v>13</v>
      </c>
      <c r="P231" s="7">
        <f t="shared" si="37"/>
        <v>2699.5699999999997</v>
      </c>
      <c r="Q231" s="7">
        <f t="shared" si="38"/>
        <v>3726.8399999999965</v>
      </c>
      <c r="R231" s="7" t="str">
        <f t="shared" si="39"/>
        <v>Normal</v>
      </c>
      <c r="S231" s="5">
        <v>3</v>
      </c>
      <c r="T231" s="5">
        <v>2</v>
      </c>
      <c r="U231" s="5" t="str" cm="1">
        <f t="array" ref="U231">_xlfn.IFS(T231=1,"Poor",T231=2,"Fair",T231=3,"Good",T231=4,"Excellent")</f>
        <v>Fair</v>
      </c>
      <c r="V231" s="5" t="s">
        <v>35</v>
      </c>
      <c r="W231" s="5">
        <v>4</v>
      </c>
      <c r="X231" s="28">
        <f t="shared" ca="1" si="40"/>
        <v>44650</v>
      </c>
      <c r="Y231" s="28">
        <f t="shared" ca="1" si="41"/>
        <v>46842</v>
      </c>
      <c r="Z231" s="28" t="str">
        <f t="shared" ca="1" si="42"/>
        <v>Upcoming</v>
      </c>
      <c r="AA231" s="5" t="str" cm="1">
        <f t="array" ref="AA231">_xlfn.IFS(W231&gt;10,"Veteran",W231&gt;=6,"Experienced",W231&gt;=2,"Developing",W231&gt;=0,"New")</f>
        <v>Developing</v>
      </c>
      <c r="AB231" s="5" t="str" cm="1">
        <f t="array" ref="AB231">_xlfn.IFS(G231=1,"Junior",G231=2,"Mid-Level",G231=3,"Senior",G231=4,"Lead",G231=5,"Principal")&amp;" "&amp;TRIM(PROPER(H231))</f>
        <v>Junior Research Scientist</v>
      </c>
      <c r="AC231" s="19" t="str">
        <f t="shared" ca="1" si="43"/>
        <v>Re-Res-2022-230 is a Junior Research Scientist in the Research &amp; Development department, aged 29, single and has been with the Company for 4years</v>
      </c>
    </row>
    <row r="232" spans="1:29">
      <c r="A232" s="18" t="str">
        <f t="shared" ca="1" si="33"/>
        <v>La-Res-2024-231</v>
      </c>
      <c r="B232" s="5">
        <v>52</v>
      </c>
      <c r="C232" s="5" t="str">
        <f t="shared" si="34"/>
        <v>50+</v>
      </c>
      <c r="D232" s="5" t="s">
        <v>43</v>
      </c>
      <c r="E232" s="5" t="s">
        <v>45</v>
      </c>
      <c r="F232" s="5" t="s">
        <v>39</v>
      </c>
      <c r="G232" s="5">
        <v>1</v>
      </c>
      <c r="H232" s="5" t="s">
        <v>50</v>
      </c>
      <c r="I232" s="5" t="s">
        <v>41</v>
      </c>
      <c r="J232" s="7">
        <v>3212</v>
      </c>
      <c r="K232" s="7">
        <f t="shared" si="35"/>
        <v>481.79999999999995</v>
      </c>
      <c r="L232" s="7">
        <f t="shared" si="36"/>
        <v>2730.2</v>
      </c>
      <c r="M232" s="7">
        <v>3300</v>
      </c>
      <c r="N232" s="5" t="s">
        <v>43</v>
      </c>
      <c r="O232" s="5">
        <v>15</v>
      </c>
      <c r="P232" s="7">
        <f t="shared" si="37"/>
        <v>3693.7999999999997</v>
      </c>
      <c r="Q232" s="7">
        <f t="shared" si="38"/>
        <v>5781.5999999999967</v>
      </c>
      <c r="R232" s="7" t="str">
        <f t="shared" si="39"/>
        <v>Normal</v>
      </c>
      <c r="S232" s="5">
        <v>3</v>
      </c>
      <c r="T232" s="5">
        <v>2</v>
      </c>
      <c r="U232" s="5" t="str" cm="1">
        <f t="array" ref="U232">_xlfn.IFS(T232=1,"Poor",T232=2,"Fair",T232=3,"Good",T232=4,"Excellent")</f>
        <v>Fair</v>
      </c>
      <c r="V232" s="5" t="s">
        <v>43</v>
      </c>
      <c r="W232" s="5">
        <v>2</v>
      </c>
      <c r="X232" s="28">
        <f t="shared" ca="1" si="40"/>
        <v>45381</v>
      </c>
      <c r="Y232" s="28">
        <f t="shared" ca="1" si="41"/>
        <v>46842</v>
      </c>
      <c r="Z232" s="28" t="str">
        <f t="shared" ca="1" si="42"/>
        <v>Upcoming</v>
      </c>
      <c r="AA232" s="5" t="str" cm="1">
        <f t="array" ref="AA232">_xlfn.IFS(W232&gt;10,"Veteran",W232&gt;=6,"Experienced",W232&gt;=2,"Developing",W232&gt;=0,"New")</f>
        <v>Developing</v>
      </c>
      <c r="AB232" s="5" t="str" cm="1">
        <f t="array" ref="AB232">_xlfn.IFS(G232=1,"Junior",G232=2,"Mid-Level",G232=3,"Senior",G232=4,"Lead",G232=5,"Principal")&amp;" "&amp;TRIM(PROPER(H232))</f>
        <v>Junior Laboratory Technician</v>
      </c>
      <c r="AC232" s="19" t="str">
        <f t="shared" ca="1" si="43"/>
        <v>La-Res-2024-231 is a Junior Laboratory Technician in the Research &amp; Development department, aged 52, single and has been with the Company for 2years</v>
      </c>
    </row>
    <row r="233" spans="1:29">
      <c r="A233" s="18" t="str">
        <f t="shared" ca="1" si="33"/>
        <v>Ma-Res-2004-232</v>
      </c>
      <c r="B233" s="5">
        <v>42</v>
      </c>
      <c r="C233" s="5" t="str">
        <f t="shared" si="34"/>
        <v>40-49</v>
      </c>
      <c r="D233" s="5" t="s">
        <v>43</v>
      </c>
      <c r="E233" s="5" t="s">
        <v>45</v>
      </c>
      <c r="F233" s="5" t="s">
        <v>46</v>
      </c>
      <c r="G233" s="5">
        <v>5</v>
      </c>
      <c r="H233" s="5" t="s">
        <v>56</v>
      </c>
      <c r="I233" s="5" t="s">
        <v>48</v>
      </c>
      <c r="J233" s="7">
        <v>19232</v>
      </c>
      <c r="K233" s="7">
        <f t="shared" si="35"/>
        <v>5769.5999999999995</v>
      </c>
      <c r="L233" s="7">
        <f t="shared" si="36"/>
        <v>13462.400000000001</v>
      </c>
      <c r="M233" s="7">
        <v>4933</v>
      </c>
      <c r="N233" s="5" t="s">
        <v>43</v>
      </c>
      <c r="O233" s="5">
        <v>11</v>
      </c>
      <c r="P233" s="7">
        <f t="shared" si="37"/>
        <v>21347.52</v>
      </c>
      <c r="Q233" s="7">
        <f t="shared" si="38"/>
        <v>25386.240000000005</v>
      </c>
      <c r="R233" s="7" t="str">
        <f t="shared" si="39"/>
        <v>Normal</v>
      </c>
      <c r="S233" s="5">
        <v>3</v>
      </c>
      <c r="T233" s="5">
        <v>3</v>
      </c>
      <c r="U233" s="5" t="str" cm="1">
        <f t="array" ref="U233">_xlfn.IFS(T233=1,"Poor",T233=2,"Fair",T233=3,"Good",T233=4,"Excellent")</f>
        <v>Good</v>
      </c>
      <c r="V233" s="5" t="s">
        <v>43</v>
      </c>
      <c r="W233" s="5">
        <v>22</v>
      </c>
      <c r="X233" s="28">
        <f t="shared" ca="1" si="40"/>
        <v>38076</v>
      </c>
      <c r="Y233" s="28">
        <f t="shared" ca="1" si="41"/>
        <v>46842</v>
      </c>
      <c r="Z233" s="28" t="str">
        <f t="shared" ca="1" si="42"/>
        <v>Upcoming</v>
      </c>
      <c r="AA233" s="5" t="str" cm="1">
        <f t="array" ref="AA233">_xlfn.IFS(W233&gt;10,"Veteran",W233&gt;=6,"Experienced",W233&gt;=2,"Developing",W233&gt;=0,"New")</f>
        <v>Veteran</v>
      </c>
      <c r="AB233" s="5" t="str" cm="1">
        <f t="array" ref="AB233">_xlfn.IFS(G233=1,"Junior",G233=2,"Mid-Level",G233=3,"Senior",G233=4,"Lead",G233=5,"Principal")&amp;" "&amp;TRIM(PROPER(H233))</f>
        <v>Principal Manager</v>
      </c>
      <c r="AC233" s="19" t="str">
        <f t="shared" ca="1" si="43"/>
        <v>Ma-Res-2004-232 is a Principal Manager in the Research &amp; Development department, aged 42, married and has been with the Company for 22years</v>
      </c>
    </row>
    <row r="234" spans="1:29">
      <c r="A234" s="18" t="str">
        <f t="shared" ca="1" si="33"/>
        <v>Hu-Hum-2024-233</v>
      </c>
      <c r="B234" s="5">
        <v>59</v>
      </c>
      <c r="C234" s="5" t="str">
        <f t="shared" si="34"/>
        <v>50+</v>
      </c>
      <c r="D234" s="5" t="s">
        <v>43</v>
      </c>
      <c r="E234" s="5" t="s">
        <v>61</v>
      </c>
      <c r="F234" s="5" t="s">
        <v>46</v>
      </c>
      <c r="G234" s="5">
        <v>1</v>
      </c>
      <c r="H234" s="5" t="s">
        <v>61</v>
      </c>
      <c r="I234" s="5" t="s">
        <v>48</v>
      </c>
      <c r="J234" s="7">
        <v>2267</v>
      </c>
      <c r="K234" s="7">
        <f t="shared" si="35"/>
        <v>158.69000000000003</v>
      </c>
      <c r="L234" s="7">
        <f t="shared" si="36"/>
        <v>2108.31</v>
      </c>
      <c r="M234" s="7">
        <v>25657</v>
      </c>
      <c r="N234" s="5" t="s">
        <v>43</v>
      </c>
      <c r="O234" s="5">
        <v>17</v>
      </c>
      <c r="P234" s="7">
        <f t="shared" si="37"/>
        <v>2652.39</v>
      </c>
      <c r="Q234" s="7">
        <f t="shared" si="38"/>
        <v>4624.6799999999985</v>
      </c>
      <c r="R234" s="7" t="str">
        <f t="shared" si="39"/>
        <v>Normal</v>
      </c>
      <c r="S234" s="5">
        <v>3</v>
      </c>
      <c r="T234" s="5">
        <v>2</v>
      </c>
      <c r="U234" s="5" t="str" cm="1">
        <f t="array" ref="U234">_xlfn.IFS(T234=1,"Poor",T234=2,"Fair",T234=3,"Good",T234=4,"Excellent")</f>
        <v>Fair</v>
      </c>
      <c r="V234" s="5" t="s">
        <v>43</v>
      </c>
      <c r="W234" s="5">
        <v>2</v>
      </c>
      <c r="X234" s="28">
        <f t="shared" ca="1" si="40"/>
        <v>45381</v>
      </c>
      <c r="Y234" s="28">
        <f t="shared" ca="1" si="41"/>
        <v>46842</v>
      </c>
      <c r="Z234" s="28" t="str">
        <f t="shared" ca="1" si="42"/>
        <v>Upcoming</v>
      </c>
      <c r="AA234" s="5" t="str" cm="1">
        <f t="array" ref="AA234">_xlfn.IFS(W234&gt;10,"Veteran",W234&gt;=6,"Experienced",W234&gt;=2,"Developing",W234&gt;=0,"New")</f>
        <v>Developing</v>
      </c>
      <c r="AB234" s="5" t="str" cm="1">
        <f t="array" ref="AB234">_xlfn.IFS(G234=1,"Junior",G234=2,"Mid-Level",G234=3,"Senior",G234=4,"Lead",G234=5,"Principal")&amp;" "&amp;TRIM(PROPER(H234))</f>
        <v>Junior Human Resources</v>
      </c>
      <c r="AC234" s="19" t="str">
        <f t="shared" ca="1" si="43"/>
        <v>Hu-Hum-2024-233 is a Junior Human Resources in the Human Resources department, aged 59, married and has been with the Company for 2years</v>
      </c>
    </row>
    <row r="235" spans="1:29">
      <c r="A235" s="18" t="str">
        <f t="shared" ca="1" si="33"/>
        <v>Ma-Sal-2019-234</v>
      </c>
      <c r="B235" s="5">
        <v>50</v>
      </c>
      <c r="C235" s="5" t="str">
        <f t="shared" si="34"/>
        <v>50+</v>
      </c>
      <c r="D235" s="5" t="s">
        <v>43</v>
      </c>
      <c r="E235" s="5" t="s">
        <v>37</v>
      </c>
      <c r="F235" s="5" t="s">
        <v>39</v>
      </c>
      <c r="G235" s="5">
        <v>5</v>
      </c>
      <c r="H235" s="5" t="s">
        <v>56</v>
      </c>
      <c r="I235" s="5" t="s">
        <v>52</v>
      </c>
      <c r="J235" s="7">
        <v>19517</v>
      </c>
      <c r="K235" s="7">
        <f t="shared" si="35"/>
        <v>5855.0999999999995</v>
      </c>
      <c r="L235" s="7">
        <f t="shared" si="36"/>
        <v>13661.900000000001</v>
      </c>
      <c r="M235" s="7">
        <v>24118</v>
      </c>
      <c r="N235" s="5" t="s">
        <v>43</v>
      </c>
      <c r="O235" s="5">
        <v>11</v>
      </c>
      <c r="P235" s="7">
        <f t="shared" si="37"/>
        <v>21663.870000000003</v>
      </c>
      <c r="Q235" s="7">
        <f t="shared" si="38"/>
        <v>25762.440000000031</v>
      </c>
      <c r="R235" s="7" t="str">
        <f t="shared" si="39"/>
        <v>Normal</v>
      </c>
      <c r="S235" s="5">
        <v>3</v>
      </c>
      <c r="T235" s="5">
        <v>2</v>
      </c>
      <c r="U235" s="5" t="str" cm="1">
        <f t="array" ref="U235">_xlfn.IFS(T235=1,"Poor",T235=2,"Fair",T235=3,"Good",T235=4,"Excellent")</f>
        <v>Fair</v>
      </c>
      <c r="V235" s="5" t="s">
        <v>43</v>
      </c>
      <c r="W235" s="5">
        <v>7</v>
      </c>
      <c r="X235" s="28">
        <f t="shared" ca="1" si="40"/>
        <v>43554</v>
      </c>
      <c r="Y235" s="28">
        <f t="shared" ca="1" si="41"/>
        <v>46476</v>
      </c>
      <c r="Z235" s="28" t="str">
        <f t="shared" ca="1" si="42"/>
        <v>Due Soon</v>
      </c>
      <c r="AA235" s="5" t="str" cm="1">
        <f t="array" ref="AA235">_xlfn.IFS(W235&gt;10,"Veteran",W235&gt;=6,"Experienced",W235&gt;=2,"Developing",W235&gt;=0,"New")</f>
        <v>Experienced</v>
      </c>
      <c r="AB235" s="5" t="str" cm="1">
        <f t="array" ref="AB235">_xlfn.IFS(G235=1,"Junior",G235=2,"Mid-Level",G235=3,"Senior",G235=4,"Lead",G235=5,"Principal")&amp;" "&amp;TRIM(PROPER(H235))</f>
        <v>Principal Manager</v>
      </c>
      <c r="AC235" s="19" t="str">
        <f t="shared" ca="1" si="43"/>
        <v>Ma-Sal-2019-234 is a Principal Manager in the Sales department, aged 50, divorced and has been with the Company for 7years</v>
      </c>
    </row>
    <row r="236" spans="1:29">
      <c r="A236" s="18" t="str">
        <f t="shared" ca="1" si="33"/>
        <v>La-Res-2021-235</v>
      </c>
      <c r="B236" s="5">
        <v>33</v>
      </c>
      <c r="C236" s="5" t="str">
        <f t="shared" si="34"/>
        <v>30-39</v>
      </c>
      <c r="D236" s="5" t="s">
        <v>35</v>
      </c>
      <c r="E236" s="5" t="s">
        <v>45</v>
      </c>
      <c r="F236" s="5" t="s">
        <v>46</v>
      </c>
      <c r="G236" s="5">
        <v>1</v>
      </c>
      <c r="H236" s="5" t="s">
        <v>50</v>
      </c>
      <c r="I236" s="5" t="s">
        <v>48</v>
      </c>
      <c r="J236" s="7">
        <v>2436</v>
      </c>
      <c r="K236" s="7">
        <f t="shared" si="35"/>
        <v>170.52</v>
      </c>
      <c r="L236" s="7">
        <f t="shared" si="36"/>
        <v>2265.48</v>
      </c>
      <c r="M236" s="7">
        <v>22149</v>
      </c>
      <c r="N236" s="5" t="s">
        <v>35</v>
      </c>
      <c r="O236" s="5">
        <v>13</v>
      </c>
      <c r="P236" s="7">
        <f t="shared" si="37"/>
        <v>2752.68</v>
      </c>
      <c r="Q236" s="7">
        <f t="shared" si="38"/>
        <v>3800.159999999998</v>
      </c>
      <c r="R236" s="7" t="str">
        <f t="shared" si="39"/>
        <v>Normal</v>
      </c>
      <c r="S236" s="5">
        <v>3</v>
      </c>
      <c r="T236" s="5">
        <v>1</v>
      </c>
      <c r="U236" s="5" t="str" cm="1">
        <f t="array" ref="U236">_xlfn.IFS(T236=1,"Poor",T236=2,"Fair",T236=3,"Good",T236=4,"Excellent")</f>
        <v>Poor</v>
      </c>
      <c r="V236" s="5" t="s">
        <v>35</v>
      </c>
      <c r="W236" s="5">
        <v>5</v>
      </c>
      <c r="X236" s="28">
        <f t="shared" ca="1" si="40"/>
        <v>44285</v>
      </c>
      <c r="Y236" s="28">
        <f t="shared" ca="1" si="41"/>
        <v>46476</v>
      </c>
      <c r="Z236" s="28" t="str">
        <f t="shared" ca="1" si="42"/>
        <v>Due Soon</v>
      </c>
      <c r="AA236" s="5" t="str" cm="1">
        <f t="array" ref="AA236">_xlfn.IFS(W236&gt;10,"Veteran",W236&gt;=6,"Experienced",W236&gt;=2,"Developing",W236&gt;=0,"New")</f>
        <v>Developing</v>
      </c>
      <c r="AB236" s="5" t="str" cm="1">
        <f t="array" ref="AB236">_xlfn.IFS(G236=1,"Junior",G236=2,"Mid-Level",G236=3,"Senior",G236=4,"Lead",G236=5,"Principal")&amp;" "&amp;TRIM(PROPER(H236))</f>
        <v>Junior Laboratory Technician</v>
      </c>
      <c r="AC236" s="19" t="str">
        <f t="shared" ca="1" si="43"/>
        <v>La-Res-2021-235 is a Junior Laboratory Technician in the Research &amp; Development department, aged 33, married and has been with the Company for 5years</v>
      </c>
    </row>
    <row r="237" spans="1:29">
      <c r="A237" s="18" t="str">
        <f t="shared" ca="1" si="33"/>
        <v>Ma-Sal-2009-236</v>
      </c>
      <c r="B237" s="5">
        <v>43</v>
      </c>
      <c r="C237" s="5" t="str">
        <f t="shared" si="34"/>
        <v>40-49</v>
      </c>
      <c r="D237" s="5" t="s">
        <v>43</v>
      </c>
      <c r="E237" s="5" t="s">
        <v>37</v>
      </c>
      <c r="F237" s="5" t="s">
        <v>39</v>
      </c>
      <c r="G237" s="5">
        <v>4</v>
      </c>
      <c r="H237" s="5" t="s">
        <v>56</v>
      </c>
      <c r="I237" s="5" t="s">
        <v>48</v>
      </c>
      <c r="J237" s="7">
        <v>16064</v>
      </c>
      <c r="K237" s="7">
        <f t="shared" si="35"/>
        <v>4819.2</v>
      </c>
      <c r="L237" s="7">
        <f t="shared" si="36"/>
        <v>11244.8</v>
      </c>
      <c r="M237" s="7">
        <v>7744</v>
      </c>
      <c r="N237" s="5" t="s">
        <v>35</v>
      </c>
      <c r="O237" s="5">
        <v>22</v>
      </c>
      <c r="P237" s="7">
        <f t="shared" si="37"/>
        <v>19598.079999999998</v>
      </c>
      <c r="Q237" s="7">
        <f t="shared" si="38"/>
        <v>42408.959999999977</v>
      </c>
      <c r="R237" s="7" t="str">
        <f t="shared" si="39"/>
        <v>Normal</v>
      </c>
      <c r="S237" s="5">
        <v>4</v>
      </c>
      <c r="T237" s="5">
        <v>3</v>
      </c>
      <c r="U237" s="5" t="str" cm="1">
        <f t="array" ref="U237">_xlfn.IFS(T237=1,"Poor",T237=2,"Fair",T237=3,"Good",T237=4,"Excellent")</f>
        <v>Good</v>
      </c>
      <c r="V237" s="5" t="s">
        <v>35</v>
      </c>
      <c r="W237" s="5">
        <v>17</v>
      </c>
      <c r="X237" s="28">
        <f t="shared" ca="1" si="40"/>
        <v>39902</v>
      </c>
      <c r="Y237" s="28">
        <f t="shared" ca="1" si="41"/>
        <v>46476</v>
      </c>
      <c r="Z237" s="28" t="str">
        <f t="shared" ca="1" si="42"/>
        <v>Due Soon</v>
      </c>
      <c r="AA237" s="5" t="str" cm="1">
        <f t="array" ref="AA237">_xlfn.IFS(W237&gt;10,"Veteran",W237&gt;=6,"Experienced",W237&gt;=2,"Developing",W237&gt;=0,"New")</f>
        <v>Veteran</v>
      </c>
      <c r="AB237" s="5" t="str" cm="1">
        <f t="array" ref="AB237">_xlfn.IFS(G237=1,"Junior",G237=2,"Mid-Level",G237=3,"Senior",G237=4,"Lead",G237=5,"Principal")&amp;" "&amp;TRIM(PROPER(H237))</f>
        <v>Lead Manager</v>
      </c>
      <c r="AC237" s="19" t="str">
        <f t="shared" ca="1" si="43"/>
        <v>Ma-Sal-2009-236 is a Lead Manager in the Sales department, aged 43, married and has been with the Company for 17years</v>
      </c>
    </row>
    <row r="238" spans="1:29">
      <c r="A238" s="18" t="str">
        <f t="shared" ca="1" si="33"/>
        <v>La-Res-2017-237</v>
      </c>
      <c r="B238" s="5">
        <v>33</v>
      </c>
      <c r="C238" s="5" t="str">
        <f t="shared" si="34"/>
        <v>30-39</v>
      </c>
      <c r="D238" s="5" t="s">
        <v>35</v>
      </c>
      <c r="E238" s="5" t="s">
        <v>45</v>
      </c>
      <c r="F238" s="5" t="s">
        <v>39</v>
      </c>
      <c r="G238" s="5">
        <v>1</v>
      </c>
      <c r="H238" s="5" t="s">
        <v>50</v>
      </c>
      <c r="I238" s="5" t="s">
        <v>48</v>
      </c>
      <c r="J238" s="7">
        <v>2707</v>
      </c>
      <c r="K238" s="7">
        <f t="shared" si="35"/>
        <v>189.49</v>
      </c>
      <c r="L238" s="7">
        <f t="shared" si="36"/>
        <v>2517.5100000000002</v>
      </c>
      <c r="M238" s="7">
        <v>21509</v>
      </c>
      <c r="N238" s="5" t="s">
        <v>43</v>
      </c>
      <c r="O238" s="5">
        <v>20</v>
      </c>
      <c r="P238" s="7">
        <f t="shared" si="37"/>
        <v>3248.4</v>
      </c>
      <c r="Q238" s="7">
        <f t="shared" si="38"/>
        <v>6496.8000000000011</v>
      </c>
      <c r="R238" s="7" t="str">
        <f t="shared" si="39"/>
        <v>Normal</v>
      </c>
      <c r="S238" s="5">
        <v>4</v>
      </c>
      <c r="T238" s="5">
        <v>4</v>
      </c>
      <c r="U238" s="5" t="str" cm="1">
        <f t="array" ref="U238">_xlfn.IFS(T238=1,"Poor",T238=2,"Fair",T238=3,"Good",T238=4,"Excellent")</f>
        <v>Excellent</v>
      </c>
      <c r="V238" s="5" t="s">
        <v>43</v>
      </c>
      <c r="W238" s="5">
        <v>9</v>
      </c>
      <c r="X238" s="28">
        <f t="shared" ca="1" si="40"/>
        <v>42824</v>
      </c>
      <c r="Y238" s="28">
        <f t="shared" ca="1" si="41"/>
        <v>46476</v>
      </c>
      <c r="Z238" s="28" t="str">
        <f t="shared" ca="1" si="42"/>
        <v>Due Soon</v>
      </c>
      <c r="AA238" s="5" t="str" cm="1">
        <f t="array" ref="AA238">_xlfn.IFS(W238&gt;10,"Veteran",W238&gt;=6,"Experienced",W238&gt;=2,"Developing",W238&gt;=0,"New")</f>
        <v>Experienced</v>
      </c>
      <c r="AB238" s="5" t="str" cm="1">
        <f t="array" ref="AB238">_xlfn.IFS(G238=1,"Junior",G238=2,"Mid-Level",G238=3,"Senior",G238=4,"Lead",G238=5,"Principal")&amp;" "&amp;TRIM(PROPER(H238))</f>
        <v>Junior Laboratory Technician</v>
      </c>
      <c r="AC238" s="19" t="str">
        <f t="shared" ca="1" si="43"/>
        <v>La-Res-2017-237 is a Junior Laboratory Technician in the Research &amp; Development department, aged 33, married and has been with the Company for 9years</v>
      </c>
    </row>
    <row r="239" spans="1:29">
      <c r="A239" s="18" t="str">
        <f t="shared" ca="1" si="33"/>
        <v>Ma-Sal-1993-238</v>
      </c>
      <c r="B239" s="5">
        <v>52</v>
      </c>
      <c r="C239" s="5" t="str">
        <f t="shared" si="34"/>
        <v>50+</v>
      </c>
      <c r="D239" s="5" t="s">
        <v>43</v>
      </c>
      <c r="E239" s="5" t="s">
        <v>37</v>
      </c>
      <c r="F239" s="5" t="s">
        <v>46</v>
      </c>
      <c r="G239" s="5">
        <v>5</v>
      </c>
      <c r="H239" s="5" t="s">
        <v>56</v>
      </c>
      <c r="I239" s="5" t="s">
        <v>41</v>
      </c>
      <c r="J239" s="7">
        <v>19068</v>
      </c>
      <c r="K239" s="7">
        <f t="shared" si="35"/>
        <v>5720.4</v>
      </c>
      <c r="L239" s="7">
        <f t="shared" si="36"/>
        <v>13347.6</v>
      </c>
      <c r="M239" s="7">
        <v>21030</v>
      </c>
      <c r="N239" s="5" t="s">
        <v>35</v>
      </c>
      <c r="O239" s="5">
        <v>18</v>
      </c>
      <c r="P239" s="7">
        <f t="shared" si="37"/>
        <v>22500.239999999998</v>
      </c>
      <c r="Q239" s="7">
        <f t="shared" si="38"/>
        <v>41186.879999999976</v>
      </c>
      <c r="R239" s="7" t="str">
        <f t="shared" si="39"/>
        <v>Normal</v>
      </c>
      <c r="S239" s="5">
        <v>3</v>
      </c>
      <c r="T239" s="5">
        <v>4</v>
      </c>
      <c r="U239" s="5" t="str" cm="1">
        <f t="array" ref="U239">_xlfn.IFS(T239=1,"Poor",T239=2,"Fair",T239=3,"Good",T239=4,"Excellent")</f>
        <v>Excellent</v>
      </c>
      <c r="V239" s="5" t="s">
        <v>35</v>
      </c>
      <c r="W239" s="5">
        <v>33</v>
      </c>
      <c r="X239" s="28">
        <f t="shared" ca="1" si="40"/>
        <v>34058</v>
      </c>
      <c r="Y239" s="28">
        <f t="shared" ca="1" si="41"/>
        <v>46476</v>
      </c>
      <c r="Z239" s="28" t="str">
        <f t="shared" ca="1" si="42"/>
        <v>Due Soon</v>
      </c>
      <c r="AA239" s="5" t="str" cm="1">
        <f t="array" ref="AA239">_xlfn.IFS(W239&gt;10,"Veteran",W239&gt;=6,"Experienced",W239&gt;=2,"Developing",W239&gt;=0,"New")</f>
        <v>Veteran</v>
      </c>
      <c r="AB239" s="5" t="str" cm="1">
        <f t="array" ref="AB239">_xlfn.IFS(G239=1,"Junior",G239=2,"Mid-Level",G239=3,"Senior",G239=4,"Lead",G239=5,"Principal")&amp;" "&amp;TRIM(PROPER(H239))</f>
        <v>Principal Manager</v>
      </c>
      <c r="AC239" s="19" t="str">
        <f t="shared" ca="1" si="43"/>
        <v>Ma-Sal-1993-238 is a Principal Manager in the Sales department, aged 52, single and has been with the Company for 33years</v>
      </c>
    </row>
    <row r="240" spans="1:29">
      <c r="A240" s="18" t="str">
        <f t="shared" ca="1" si="33"/>
        <v>Sa-Sal-2022-239</v>
      </c>
      <c r="B240" s="5">
        <v>32</v>
      </c>
      <c r="C240" s="5" t="str">
        <f t="shared" si="34"/>
        <v>30-39</v>
      </c>
      <c r="D240" s="5" t="s">
        <v>43</v>
      </c>
      <c r="E240" s="5" t="s">
        <v>37</v>
      </c>
      <c r="F240" s="5" t="s">
        <v>39</v>
      </c>
      <c r="G240" s="5">
        <v>1</v>
      </c>
      <c r="H240" s="5" t="s">
        <v>57</v>
      </c>
      <c r="I240" s="5" t="s">
        <v>48</v>
      </c>
      <c r="J240" s="7">
        <v>3931</v>
      </c>
      <c r="K240" s="7">
        <f t="shared" si="35"/>
        <v>589.65</v>
      </c>
      <c r="L240" s="7">
        <f t="shared" si="36"/>
        <v>3341.35</v>
      </c>
      <c r="M240" s="7">
        <v>20990</v>
      </c>
      <c r="N240" s="5" t="s">
        <v>43</v>
      </c>
      <c r="O240" s="5">
        <v>11</v>
      </c>
      <c r="P240" s="7">
        <f t="shared" si="37"/>
        <v>4363.4100000000008</v>
      </c>
      <c r="Q240" s="7">
        <f t="shared" si="38"/>
        <v>5188.9200000000092</v>
      </c>
      <c r="R240" s="7" t="str">
        <f t="shared" si="39"/>
        <v>Normal</v>
      </c>
      <c r="S240" s="5">
        <v>3</v>
      </c>
      <c r="T240" s="5">
        <v>3</v>
      </c>
      <c r="U240" s="5" t="str" cm="1">
        <f t="array" ref="U240">_xlfn.IFS(T240=1,"Poor",T240=2,"Fair",T240=3,"Good",T240=4,"Excellent")</f>
        <v>Good</v>
      </c>
      <c r="V240" s="5" t="s">
        <v>43</v>
      </c>
      <c r="W240" s="5">
        <v>4</v>
      </c>
      <c r="X240" s="28">
        <f t="shared" ca="1" si="40"/>
        <v>44650</v>
      </c>
      <c r="Y240" s="28">
        <f t="shared" ca="1" si="41"/>
        <v>46842</v>
      </c>
      <c r="Z240" s="28" t="str">
        <f t="shared" ca="1" si="42"/>
        <v>Upcoming</v>
      </c>
      <c r="AA240" s="5" t="str" cm="1">
        <f t="array" ref="AA240">_xlfn.IFS(W240&gt;10,"Veteran",W240&gt;=6,"Experienced",W240&gt;=2,"Developing",W240&gt;=0,"New")</f>
        <v>Developing</v>
      </c>
      <c r="AB240" s="5" t="str" cm="1">
        <f t="array" ref="AB240">_xlfn.IFS(G240=1,"Junior",G240=2,"Mid-Level",G240=3,"Senior",G240=4,"Lead",G240=5,"Principal")&amp;" "&amp;TRIM(PROPER(H240))</f>
        <v>Junior Sales Representative</v>
      </c>
      <c r="AC240" s="19" t="str">
        <f t="shared" ca="1" si="43"/>
        <v>Sa-Sal-2022-239 is a Junior Sales Representative in the Sales department, aged 32, married and has been with the Company for 4years</v>
      </c>
    </row>
    <row r="241" spans="1:29">
      <c r="A241" s="18" t="str">
        <f t="shared" ca="1" si="33"/>
        <v>La-Res-2023-240</v>
      </c>
      <c r="B241" s="5">
        <v>32</v>
      </c>
      <c r="C241" s="5" t="str">
        <f t="shared" si="34"/>
        <v>30-39</v>
      </c>
      <c r="D241" s="5" t="s">
        <v>35</v>
      </c>
      <c r="E241" s="5" t="s">
        <v>45</v>
      </c>
      <c r="F241" s="5" t="s">
        <v>46</v>
      </c>
      <c r="G241" s="5">
        <v>1</v>
      </c>
      <c r="H241" s="5" t="s">
        <v>50</v>
      </c>
      <c r="I241" s="5" t="s">
        <v>41</v>
      </c>
      <c r="J241" s="7">
        <v>3730</v>
      </c>
      <c r="K241" s="7">
        <f t="shared" si="35"/>
        <v>559.5</v>
      </c>
      <c r="L241" s="7">
        <f t="shared" si="36"/>
        <v>3170.5</v>
      </c>
      <c r="M241" s="7">
        <v>9571</v>
      </c>
      <c r="N241" s="5" t="s">
        <v>35</v>
      </c>
      <c r="O241" s="5">
        <v>14</v>
      </c>
      <c r="P241" s="7">
        <f t="shared" si="37"/>
        <v>4252.2000000000007</v>
      </c>
      <c r="Q241" s="7">
        <f t="shared" si="38"/>
        <v>6266.4000000000087</v>
      </c>
      <c r="R241" s="7" t="str">
        <f t="shared" si="39"/>
        <v>Normal</v>
      </c>
      <c r="S241" s="5">
        <v>3</v>
      </c>
      <c r="T241" s="5">
        <v>1</v>
      </c>
      <c r="U241" s="5" t="str" cm="1">
        <f t="array" ref="U241">_xlfn.IFS(T241=1,"Poor",T241=2,"Fair",T241=3,"Good",T241=4,"Excellent")</f>
        <v>Poor</v>
      </c>
      <c r="V241" s="5" t="s">
        <v>35</v>
      </c>
      <c r="W241" s="5">
        <v>3</v>
      </c>
      <c r="X241" s="28">
        <f t="shared" ca="1" si="40"/>
        <v>45015</v>
      </c>
      <c r="Y241" s="28">
        <f t="shared" ca="1" si="41"/>
        <v>46476</v>
      </c>
      <c r="Z241" s="28" t="str">
        <f t="shared" ca="1" si="42"/>
        <v>Due Soon</v>
      </c>
      <c r="AA241" s="5" t="str" cm="1">
        <f t="array" ref="AA241">_xlfn.IFS(W241&gt;10,"Veteran",W241&gt;=6,"Experienced",W241&gt;=2,"Developing",W241&gt;=0,"New")</f>
        <v>Developing</v>
      </c>
      <c r="AB241" s="5" t="str" cm="1">
        <f t="array" ref="AB241">_xlfn.IFS(G241=1,"Junior",G241=2,"Mid-Level",G241=3,"Senior",G241=4,"Lead",G241=5,"Principal")&amp;" "&amp;TRIM(PROPER(H241))</f>
        <v>Junior Laboratory Technician</v>
      </c>
      <c r="AC241" s="19" t="str">
        <f t="shared" ca="1" si="43"/>
        <v>La-Res-2023-240 is a Junior Laboratory Technician in the Research &amp; Development department, aged 32, single and has been with the Company for 3years</v>
      </c>
    </row>
    <row r="242" spans="1:29">
      <c r="A242" s="18" t="str">
        <f t="shared" ca="1" si="33"/>
        <v>La-Res-2023-241</v>
      </c>
      <c r="B242" s="5">
        <v>39</v>
      </c>
      <c r="C242" s="5" t="str">
        <f t="shared" si="34"/>
        <v>30-39</v>
      </c>
      <c r="D242" s="5" t="s">
        <v>43</v>
      </c>
      <c r="E242" s="5" t="s">
        <v>45</v>
      </c>
      <c r="F242" s="5" t="s">
        <v>39</v>
      </c>
      <c r="G242" s="5">
        <v>1</v>
      </c>
      <c r="H242" s="5" t="s">
        <v>50</v>
      </c>
      <c r="I242" s="5" t="s">
        <v>52</v>
      </c>
      <c r="J242" s="7">
        <v>2232</v>
      </c>
      <c r="K242" s="7">
        <f t="shared" si="35"/>
        <v>156.24</v>
      </c>
      <c r="L242" s="7">
        <f t="shared" si="36"/>
        <v>2075.7600000000002</v>
      </c>
      <c r="M242" s="7">
        <v>15417</v>
      </c>
      <c r="N242" s="5" t="s">
        <v>43</v>
      </c>
      <c r="O242" s="5">
        <v>14</v>
      </c>
      <c r="P242" s="7">
        <f t="shared" si="37"/>
        <v>2544.4800000000005</v>
      </c>
      <c r="Q242" s="7">
        <f t="shared" si="38"/>
        <v>3749.7600000000057</v>
      </c>
      <c r="R242" s="7" t="str">
        <f t="shared" si="39"/>
        <v>Normal</v>
      </c>
      <c r="S242" s="5">
        <v>3</v>
      </c>
      <c r="T242" s="5">
        <v>3</v>
      </c>
      <c r="U242" s="5" t="str" cm="1">
        <f t="array" ref="U242">_xlfn.IFS(T242=1,"Poor",T242=2,"Fair",T242=3,"Good",T242=4,"Excellent")</f>
        <v>Good</v>
      </c>
      <c r="V242" s="5" t="s">
        <v>43</v>
      </c>
      <c r="W242" s="5">
        <v>3</v>
      </c>
      <c r="X242" s="28">
        <f t="shared" ca="1" si="40"/>
        <v>45015</v>
      </c>
      <c r="Y242" s="28">
        <f t="shared" ca="1" si="41"/>
        <v>46476</v>
      </c>
      <c r="Z242" s="28" t="str">
        <f t="shared" ca="1" si="42"/>
        <v>Due Soon</v>
      </c>
      <c r="AA242" s="5" t="str" cm="1">
        <f t="array" ref="AA242">_xlfn.IFS(W242&gt;10,"Veteran",W242&gt;=6,"Experienced",W242&gt;=2,"Developing",W242&gt;=0,"New")</f>
        <v>Developing</v>
      </c>
      <c r="AB242" s="5" t="str" cm="1">
        <f t="array" ref="AB242">_xlfn.IFS(G242=1,"Junior",G242=2,"Mid-Level",G242=3,"Senior",G242=4,"Lead",G242=5,"Principal")&amp;" "&amp;TRIM(PROPER(H242))</f>
        <v>Junior Laboratory Technician</v>
      </c>
      <c r="AC242" s="19" t="str">
        <f t="shared" ca="1" si="43"/>
        <v>La-Res-2023-241 is a Junior Laboratory Technician in the Research &amp; Development department, aged 39, divorced and has been with the Company for 3years</v>
      </c>
    </row>
    <row r="243" spans="1:29">
      <c r="A243" s="18" t="str">
        <f t="shared" ca="1" si="33"/>
        <v>Sa-Sal-2023-242</v>
      </c>
      <c r="B243" s="5">
        <v>32</v>
      </c>
      <c r="C243" s="5" t="str">
        <f t="shared" si="34"/>
        <v>30-39</v>
      </c>
      <c r="D243" s="5" t="s">
        <v>43</v>
      </c>
      <c r="E243" s="5" t="s">
        <v>37</v>
      </c>
      <c r="F243" s="5" t="s">
        <v>46</v>
      </c>
      <c r="G243" s="5">
        <v>2</v>
      </c>
      <c r="H243" s="5" t="s">
        <v>40</v>
      </c>
      <c r="I243" s="5" t="s">
        <v>48</v>
      </c>
      <c r="J243" s="7">
        <v>4465</v>
      </c>
      <c r="K243" s="7">
        <f t="shared" si="35"/>
        <v>669.75</v>
      </c>
      <c r="L243" s="7">
        <f t="shared" si="36"/>
        <v>3795.25</v>
      </c>
      <c r="M243" s="7">
        <v>12069</v>
      </c>
      <c r="N243" s="5" t="s">
        <v>43</v>
      </c>
      <c r="O243" s="5">
        <v>18</v>
      </c>
      <c r="P243" s="7">
        <f t="shared" si="37"/>
        <v>5268.7</v>
      </c>
      <c r="Q243" s="7">
        <f t="shared" si="38"/>
        <v>9644.3999999999978</v>
      </c>
      <c r="R243" s="7" t="str">
        <f t="shared" si="39"/>
        <v>Normal</v>
      </c>
      <c r="S243" s="5">
        <v>3</v>
      </c>
      <c r="T243" s="5">
        <v>3</v>
      </c>
      <c r="U243" s="5" t="str" cm="1">
        <f t="array" ref="U243">_xlfn.IFS(T243=1,"Poor",T243=2,"Fair",T243=3,"Good",T243=4,"Excellent")</f>
        <v>Good</v>
      </c>
      <c r="V243" s="5" t="s">
        <v>43</v>
      </c>
      <c r="W243" s="5">
        <v>3</v>
      </c>
      <c r="X243" s="28">
        <f t="shared" ca="1" si="40"/>
        <v>45015</v>
      </c>
      <c r="Y243" s="28">
        <f t="shared" ca="1" si="41"/>
        <v>46476</v>
      </c>
      <c r="Z243" s="28" t="str">
        <f t="shared" ca="1" si="42"/>
        <v>Due Soon</v>
      </c>
      <c r="AA243" s="5" t="str" cm="1">
        <f t="array" ref="AA243">_xlfn.IFS(W243&gt;10,"Veteran",W243&gt;=6,"Experienced",W243&gt;=2,"Developing",W243&gt;=0,"New")</f>
        <v>Developing</v>
      </c>
      <c r="AB243" s="5" t="str" cm="1">
        <f t="array" ref="AB243">_xlfn.IFS(G243=1,"Junior",G243=2,"Mid-Level",G243=3,"Senior",G243=4,"Lead",G243=5,"Principal")&amp;" "&amp;TRIM(PROPER(H243))</f>
        <v>Mid-Level Sales Executive</v>
      </c>
      <c r="AC243" s="19" t="str">
        <f t="shared" ca="1" si="43"/>
        <v>Sa-Sal-2023-242 is a Mid-Level Sales Executive in the Sales department, aged 32, married and has been with the Company for 3years</v>
      </c>
    </row>
    <row r="244" spans="1:29">
      <c r="A244" s="18" t="str">
        <f t="shared" ca="1" si="33"/>
        <v>Re-Res-2025-243</v>
      </c>
      <c r="B244" s="5">
        <v>41</v>
      </c>
      <c r="C244" s="5" t="str">
        <f t="shared" si="34"/>
        <v>40-49</v>
      </c>
      <c r="D244" s="5" t="s">
        <v>43</v>
      </c>
      <c r="E244" s="5" t="s">
        <v>45</v>
      </c>
      <c r="F244" s="5" t="s">
        <v>46</v>
      </c>
      <c r="G244" s="5">
        <v>2</v>
      </c>
      <c r="H244" s="5" t="s">
        <v>47</v>
      </c>
      <c r="I244" s="5" t="s">
        <v>52</v>
      </c>
      <c r="J244" s="7">
        <v>3072</v>
      </c>
      <c r="K244" s="7">
        <f t="shared" si="35"/>
        <v>460.79999999999995</v>
      </c>
      <c r="L244" s="7">
        <f t="shared" si="36"/>
        <v>2611.1999999999998</v>
      </c>
      <c r="M244" s="7">
        <v>19877</v>
      </c>
      <c r="N244" s="5" t="s">
        <v>43</v>
      </c>
      <c r="O244" s="5">
        <v>16</v>
      </c>
      <c r="P244" s="7">
        <f t="shared" si="37"/>
        <v>3563.5199999999995</v>
      </c>
      <c r="Q244" s="7">
        <f t="shared" si="38"/>
        <v>5898.2399999999943</v>
      </c>
      <c r="R244" s="7" t="str">
        <f t="shared" si="39"/>
        <v>Normal</v>
      </c>
      <c r="S244" s="5">
        <v>3</v>
      </c>
      <c r="T244" s="5">
        <v>2</v>
      </c>
      <c r="U244" s="5" t="str" cm="1">
        <f t="array" ref="U244">_xlfn.IFS(T244=1,"Poor",T244=2,"Fair",T244=3,"Good",T244=4,"Excellent")</f>
        <v>Fair</v>
      </c>
      <c r="V244" s="5" t="s">
        <v>43</v>
      </c>
      <c r="W244" s="5">
        <v>1</v>
      </c>
      <c r="X244" s="28">
        <f t="shared" ca="1" si="40"/>
        <v>45746</v>
      </c>
      <c r="Y244" s="28">
        <f t="shared" ca="1" si="41"/>
        <v>46476</v>
      </c>
      <c r="Z244" s="28" t="str">
        <f t="shared" ca="1" si="42"/>
        <v>Due Soon</v>
      </c>
      <c r="AA244" s="5" t="str" cm="1">
        <f t="array" ref="AA244">_xlfn.IFS(W244&gt;10,"Veteran",W244&gt;=6,"Experienced",W244&gt;=2,"Developing",W244&gt;=0,"New")</f>
        <v>New</v>
      </c>
      <c r="AB244" s="5" t="str" cm="1">
        <f t="array" ref="AB244">_xlfn.IFS(G244=1,"Junior",G244=2,"Mid-Level",G244=3,"Senior",G244=4,"Lead",G244=5,"Principal")&amp;" "&amp;TRIM(PROPER(H244))</f>
        <v>Mid-Level Research Scientist</v>
      </c>
      <c r="AC244" s="19" t="str">
        <f t="shared" ca="1" si="43"/>
        <v>Re-Res-2025-243 is a Mid-Level Research Scientist in the Research &amp; Development department, aged 41, divorced and has been with the Company for 1years</v>
      </c>
    </row>
    <row r="245" spans="1:29">
      <c r="A245" s="18" t="str">
        <f t="shared" ca="1" si="33"/>
        <v>Re-Res-2017-244</v>
      </c>
      <c r="B245" s="5">
        <v>40</v>
      </c>
      <c r="C245" s="5" t="str">
        <f t="shared" si="34"/>
        <v>40-49</v>
      </c>
      <c r="D245" s="5" t="s">
        <v>43</v>
      </c>
      <c r="E245" s="5" t="s">
        <v>45</v>
      </c>
      <c r="F245" s="5" t="s">
        <v>46</v>
      </c>
      <c r="G245" s="5">
        <v>2</v>
      </c>
      <c r="H245" s="5" t="s">
        <v>47</v>
      </c>
      <c r="I245" s="5" t="s">
        <v>52</v>
      </c>
      <c r="J245" s="7">
        <v>3319</v>
      </c>
      <c r="K245" s="7">
        <f t="shared" si="35"/>
        <v>497.84999999999997</v>
      </c>
      <c r="L245" s="7">
        <f t="shared" si="36"/>
        <v>2821.15</v>
      </c>
      <c r="M245" s="7">
        <v>24447</v>
      </c>
      <c r="N245" s="5" t="s">
        <v>43</v>
      </c>
      <c r="O245" s="5">
        <v>17</v>
      </c>
      <c r="P245" s="7">
        <f t="shared" si="37"/>
        <v>3883.2299999999996</v>
      </c>
      <c r="Q245" s="7">
        <f t="shared" si="38"/>
        <v>6770.7599999999948</v>
      </c>
      <c r="R245" s="7" t="str">
        <f t="shared" si="39"/>
        <v>Normal</v>
      </c>
      <c r="S245" s="5">
        <v>3</v>
      </c>
      <c r="T245" s="5">
        <v>3</v>
      </c>
      <c r="U245" s="5" t="str" cm="1">
        <f t="array" ref="U245">_xlfn.IFS(T245=1,"Poor",T245=2,"Fair",T245=3,"Good",T245=4,"Excellent")</f>
        <v>Good</v>
      </c>
      <c r="V245" s="5" t="s">
        <v>43</v>
      </c>
      <c r="W245" s="5">
        <v>9</v>
      </c>
      <c r="X245" s="28">
        <f t="shared" ca="1" si="40"/>
        <v>42824</v>
      </c>
      <c r="Y245" s="28">
        <f t="shared" ca="1" si="41"/>
        <v>46476</v>
      </c>
      <c r="Z245" s="28" t="str">
        <f t="shared" ca="1" si="42"/>
        <v>Due Soon</v>
      </c>
      <c r="AA245" s="5" t="str" cm="1">
        <f t="array" ref="AA245">_xlfn.IFS(W245&gt;10,"Veteran",W245&gt;=6,"Experienced",W245&gt;=2,"Developing",W245&gt;=0,"New")</f>
        <v>Experienced</v>
      </c>
      <c r="AB245" s="5" t="str" cm="1">
        <f t="array" ref="AB245">_xlfn.IFS(G245=1,"Junior",G245=2,"Mid-Level",G245=3,"Senior",G245=4,"Lead",G245=5,"Principal")&amp;" "&amp;TRIM(PROPER(H245))</f>
        <v>Mid-Level Research Scientist</v>
      </c>
      <c r="AC245" s="19" t="str">
        <f t="shared" ca="1" si="43"/>
        <v>Re-Res-2017-244 is a Mid-Level Research Scientist in the Research &amp; Development department, aged 40, divorced and has been with the Company for 9years</v>
      </c>
    </row>
    <row r="246" spans="1:29">
      <c r="A246" s="18" t="str">
        <f t="shared" ca="1" si="33"/>
        <v>Ma-Res-2002-245</v>
      </c>
      <c r="B246" s="5">
        <v>45</v>
      </c>
      <c r="C246" s="5" t="str">
        <f t="shared" si="34"/>
        <v>40-49</v>
      </c>
      <c r="D246" s="5" t="s">
        <v>43</v>
      </c>
      <c r="E246" s="5" t="s">
        <v>45</v>
      </c>
      <c r="F246" s="5" t="s">
        <v>46</v>
      </c>
      <c r="G246" s="5">
        <v>5</v>
      </c>
      <c r="H246" s="5" t="s">
        <v>56</v>
      </c>
      <c r="I246" s="5" t="s">
        <v>48</v>
      </c>
      <c r="J246" s="7">
        <v>19202</v>
      </c>
      <c r="K246" s="7">
        <f t="shared" si="35"/>
        <v>5760.5999999999995</v>
      </c>
      <c r="L246" s="7">
        <f t="shared" si="36"/>
        <v>13441.400000000001</v>
      </c>
      <c r="M246" s="7">
        <v>15970</v>
      </c>
      <c r="N246" s="5" t="s">
        <v>43</v>
      </c>
      <c r="O246" s="5">
        <v>11</v>
      </c>
      <c r="P246" s="7">
        <f t="shared" si="37"/>
        <v>21314.22</v>
      </c>
      <c r="Q246" s="7">
        <f t="shared" si="38"/>
        <v>25346.640000000014</v>
      </c>
      <c r="R246" s="7" t="str">
        <f t="shared" si="39"/>
        <v>Normal</v>
      </c>
      <c r="S246" s="5">
        <v>3</v>
      </c>
      <c r="T246" s="5">
        <v>3</v>
      </c>
      <c r="U246" s="5" t="str" cm="1">
        <f t="array" ref="U246">_xlfn.IFS(T246=1,"Poor",T246=2,"Fair",T246=3,"Good",T246=4,"Excellent")</f>
        <v>Good</v>
      </c>
      <c r="V246" s="5" t="s">
        <v>43</v>
      </c>
      <c r="W246" s="5">
        <v>24</v>
      </c>
      <c r="X246" s="28">
        <f t="shared" ca="1" si="40"/>
        <v>37345</v>
      </c>
      <c r="Y246" s="28">
        <f t="shared" ca="1" si="41"/>
        <v>46842</v>
      </c>
      <c r="Z246" s="28" t="str">
        <f t="shared" ca="1" si="42"/>
        <v>Upcoming</v>
      </c>
      <c r="AA246" s="5" t="str" cm="1">
        <f t="array" ref="AA246">_xlfn.IFS(W246&gt;10,"Veteran",W246&gt;=6,"Experienced",W246&gt;=2,"Developing",W246&gt;=0,"New")</f>
        <v>Veteran</v>
      </c>
      <c r="AB246" s="5" t="str" cm="1">
        <f t="array" ref="AB246">_xlfn.IFS(G246=1,"Junior",G246=2,"Mid-Level",G246=3,"Senior",G246=4,"Lead",G246=5,"Principal")&amp;" "&amp;TRIM(PROPER(H246))</f>
        <v>Principal Manager</v>
      </c>
      <c r="AC246" s="19" t="str">
        <f t="shared" ca="1" si="43"/>
        <v>Ma-Res-2002-245 is a Principal Manager in the Research &amp; Development department, aged 45, married and has been with the Company for 24years</v>
      </c>
    </row>
    <row r="247" spans="1:29">
      <c r="A247" s="18" t="str">
        <f t="shared" ca="1" si="33"/>
        <v>Re-Res-2024-246</v>
      </c>
      <c r="B247" s="5">
        <v>31</v>
      </c>
      <c r="C247" s="5" t="str">
        <f t="shared" si="34"/>
        <v>30-39</v>
      </c>
      <c r="D247" s="5" t="s">
        <v>43</v>
      </c>
      <c r="E247" s="5" t="s">
        <v>45</v>
      </c>
      <c r="F247" s="5" t="s">
        <v>46</v>
      </c>
      <c r="G247" s="5">
        <v>3</v>
      </c>
      <c r="H247" s="5" t="s">
        <v>58</v>
      </c>
      <c r="I247" s="5" t="s">
        <v>52</v>
      </c>
      <c r="J247" s="7">
        <v>13675</v>
      </c>
      <c r="K247" s="7">
        <f t="shared" si="35"/>
        <v>4102.5</v>
      </c>
      <c r="L247" s="7">
        <f t="shared" si="36"/>
        <v>9572.5</v>
      </c>
      <c r="M247" s="7">
        <v>13523</v>
      </c>
      <c r="N247" s="5" t="s">
        <v>43</v>
      </c>
      <c r="O247" s="5">
        <v>12</v>
      </c>
      <c r="P247" s="7">
        <f t="shared" si="37"/>
        <v>15316.000000000002</v>
      </c>
      <c r="Q247" s="7">
        <f t="shared" si="38"/>
        <v>19692.000000000022</v>
      </c>
      <c r="R247" s="7" t="str">
        <f t="shared" si="39"/>
        <v>Normal</v>
      </c>
      <c r="S247" s="5">
        <v>3</v>
      </c>
      <c r="T247" s="5">
        <v>3</v>
      </c>
      <c r="U247" s="5" t="str" cm="1">
        <f t="array" ref="U247">_xlfn.IFS(T247=1,"Poor",T247=2,"Fair",T247=3,"Good",T247=4,"Excellent")</f>
        <v>Good</v>
      </c>
      <c r="V247" s="5" t="s">
        <v>43</v>
      </c>
      <c r="W247" s="5">
        <v>2</v>
      </c>
      <c r="X247" s="28">
        <f t="shared" ca="1" si="40"/>
        <v>45381</v>
      </c>
      <c r="Y247" s="28">
        <f t="shared" ca="1" si="41"/>
        <v>46842</v>
      </c>
      <c r="Z247" s="28" t="str">
        <f t="shared" ca="1" si="42"/>
        <v>Upcoming</v>
      </c>
      <c r="AA247" s="5" t="str" cm="1">
        <f t="array" ref="AA247">_xlfn.IFS(W247&gt;10,"Veteran",W247&gt;=6,"Experienced",W247&gt;=2,"Developing",W247&gt;=0,"New")</f>
        <v>Developing</v>
      </c>
      <c r="AB247" s="5" t="str" cm="1">
        <f t="array" ref="AB247">_xlfn.IFS(G247=1,"Junior",G247=2,"Mid-Level",G247=3,"Senior",G247=4,"Lead",G247=5,"Principal")&amp;" "&amp;TRIM(PROPER(H247))</f>
        <v>Senior Research Director</v>
      </c>
      <c r="AC247" s="19" t="str">
        <f t="shared" ca="1" si="43"/>
        <v>Re-Res-2024-246 is a Senior Research Director in the Research &amp; Development department, aged 31, divorced and has been with the Company for 2years</v>
      </c>
    </row>
    <row r="248" spans="1:29">
      <c r="A248" s="18" t="str">
        <f t="shared" ca="1" si="33"/>
        <v>Re-Res-2024-247</v>
      </c>
      <c r="B248" s="5">
        <v>33</v>
      </c>
      <c r="C248" s="5" t="str">
        <f t="shared" si="34"/>
        <v>30-39</v>
      </c>
      <c r="D248" s="5" t="s">
        <v>43</v>
      </c>
      <c r="E248" s="5" t="s">
        <v>45</v>
      </c>
      <c r="F248" s="5" t="s">
        <v>39</v>
      </c>
      <c r="G248" s="5">
        <v>1</v>
      </c>
      <c r="H248" s="5" t="s">
        <v>47</v>
      </c>
      <c r="I248" s="5" t="s">
        <v>48</v>
      </c>
      <c r="J248" s="7">
        <v>2911</v>
      </c>
      <c r="K248" s="7">
        <f t="shared" si="35"/>
        <v>203.77</v>
      </c>
      <c r="L248" s="7">
        <f t="shared" si="36"/>
        <v>2707.23</v>
      </c>
      <c r="M248" s="7">
        <v>14776</v>
      </c>
      <c r="N248" s="5" t="s">
        <v>43</v>
      </c>
      <c r="O248" s="5">
        <v>13</v>
      </c>
      <c r="P248" s="7">
        <f t="shared" si="37"/>
        <v>3289.43</v>
      </c>
      <c r="Q248" s="7">
        <f t="shared" si="38"/>
        <v>4541.159999999998</v>
      </c>
      <c r="R248" s="7" t="str">
        <f t="shared" si="39"/>
        <v>Normal</v>
      </c>
      <c r="S248" s="5">
        <v>3</v>
      </c>
      <c r="T248" s="5">
        <v>2</v>
      </c>
      <c r="U248" s="5" t="str" cm="1">
        <f t="array" ref="U248">_xlfn.IFS(T248=1,"Poor",T248=2,"Fair",T248=3,"Good",T248=4,"Excellent")</f>
        <v>Fair</v>
      </c>
      <c r="V248" s="5" t="s">
        <v>43</v>
      </c>
      <c r="W248" s="5">
        <v>2</v>
      </c>
      <c r="X248" s="28">
        <f t="shared" ca="1" si="40"/>
        <v>45381</v>
      </c>
      <c r="Y248" s="28">
        <f t="shared" ca="1" si="41"/>
        <v>46842</v>
      </c>
      <c r="Z248" s="28" t="str">
        <f t="shared" ca="1" si="42"/>
        <v>Upcoming</v>
      </c>
      <c r="AA248" s="5" t="str" cm="1">
        <f t="array" ref="AA248">_xlfn.IFS(W248&gt;10,"Veteran",W248&gt;=6,"Experienced",W248&gt;=2,"Developing",W248&gt;=0,"New")</f>
        <v>Developing</v>
      </c>
      <c r="AB248" s="5" t="str" cm="1">
        <f t="array" ref="AB248">_xlfn.IFS(G248=1,"Junior",G248=2,"Mid-Level",G248=3,"Senior",G248=4,"Lead",G248=5,"Principal")&amp;" "&amp;TRIM(PROPER(H248))</f>
        <v>Junior Research Scientist</v>
      </c>
      <c r="AC248" s="19" t="str">
        <f t="shared" ca="1" si="43"/>
        <v>Re-Res-2024-247 is a Junior Research Scientist in the Research &amp; Development department, aged 33, married and has been with the Company for 2years</v>
      </c>
    </row>
    <row r="249" spans="1:29">
      <c r="A249" s="18" t="str">
        <f t="shared" ca="1" si="33"/>
        <v>Ma-Res-2015-248</v>
      </c>
      <c r="B249" s="5">
        <v>34</v>
      </c>
      <c r="C249" s="5" t="str">
        <f t="shared" si="34"/>
        <v>30-39</v>
      </c>
      <c r="D249" s="5" t="s">
        <v>43</v>
      </c>
      <c r="E249" s="5" t="s">
        <v>45</v>
      </c>
      <c r="F249" s="5" t="s">
        <v>46</v>
      </c>
      <c r="G249" s="5">
        <v>2</v>
      </c>
      <c r="H249" s="5" t="s">
        <v>53</v>
      </c>
      <c r="I249" s="5" t="s">
        <v>48</v>
      </c>
      <c r="J249" s="7">
        <v>5957</v>
      </c>
      <c r="K249" s="7">
        <f t="shared" si="35"/>
        <v>893.55</v>
      </c>
      <c r="L249" s="7">
        <f t="shared" si="36"/>
        <v>5063.45</v>
      </c>
      <c r="M249" s="7">
        <v>23687</v>
      </c>
      <c r="N249" s="5" t="s">
        <v>43</v>
      </c>
      <c r="O249" s="5">
        <v>13</v>
      </c>
      <c r="P249" s="7">
        <f t="shared" si="37"/>
        <v>6731.4099999999989</v>
      </c>
      <c r="Q249" s="7">
        <f t="shared" si="38"/>
        <v>9292.9199999999873</v>
      </c>
      <c r="R249" s="7" t="str">
        <f t="shared" si="39"/>
        <v>Normal</v>
      </c>
      <c r="S249" s="5">
        <v>3</v>
      </c>
      <c r="T249" s="5">
        <v>3</v>
      </c>
      <c r="U249" s="5" t="str" cm="1">
        <f t="array" ref="U249">_xlfn.IFS(T249=1,"Poor",T249=2,"Fair",T249=3,"Good",T249=4,"Excellent")</f>
        <v>Good</v>
      </c>
      <c r="V249" s="5" t="s">
        <v>43</v>
      </c>
      <c r="W249" s="5">
        <v>11</v>
      </c>
      <c r="X249" s="28">
        <f t="shared" ca="1" si="40"/>
        <v>42093</v>
      </c>
      <c r="Y249" s="28">
        <f t="shared" ca="1" si="41"/>
        <v>46476</v>
      </c>
      <c r="Z249" s="28" t="str">
        <f t="shared" ca="1" si="42"/>
        <v>Due Soon</v>
      </c>
      <c r="AA249" s="5" t="str" cm="1">
        <f t="array" ref="AA249">_xlfn.IFS(W249&gt;10,"Veteran",W249&gt;=6,"Experienced",W249&gt;=2,"Developing",W249&gt;=0,"New")</f>
        <v>Veteran</v>
      </c>
      <c r="AB249" s="5" t="str" cm="1">
        <f t="array" ref="AB249">_xlfn.IFS(G249=1,"Junior",G249=2,"Mid-Level",G249=3,"Senior",G249=4,"Lead",G249=5,"Principal")&amp;" "&amp;TRIM(PROPER(H249))</f>
        <v>Mid-Level Manufacturing Director</v>
      </c>
      <c r="AC249" s="19" t="str">
        <f t="shared" ca="1" si="43"/>
        <v>Ma-Res-2015-248 is a Mid-Level Manufacturing Director in the Research &amp; Development department, aged 34, married and has been with the Company for 11years</v>
      </c>
    </row>
    <row r="250" spans="1:29">
      <c r="A250" s="18" t="str">
        <f t="shared" ca="1" si="33"/>
        <v>Re-Res-2023-249</v>
      </c>
      <c r="B250" s="5">
        <v>37</v>
      </c>
      <c r="C250" s="5" t="str">
        <f t="shared" si="34"/>
        <v>30-39</v>
      </c>
      <c r="D250" s="5" t="s">
        <v>43</v>
      </c>
      <c r="E250" s="5" t="s">
        <v>45</v>
      </c>
      <c r="F250" s="5" t="s">
        <v>39</v>
      </c>
      <c r="G250" s="5">
        <v>1</v>
      </c>
      <c r="H250" s="5" t="s">
        <v>47</v>
      </c>
      <c r="I250" s="5" t="s">
        <v>48</v>
      </c>
      <c r="J250" s="7">
        <v>3920</v>
      </c>
      <c r="K250" s="7">
        <f t="shared" si="35"/>
        <v>588</v>
      </c>
      <c r="L250" s="7">
        <f t="shared" si="36"/>
        <v>3332</v>
      </c>
      <c r="M250" s="7">
        <v>18697</v>
      </c>
      <c r="N250" s="5" t="s">
        <v>43</v>
      </c>
      <c r="O250" s="5">
        <v>14</v>
      </c>
      <c r="P250" s="7">
        <f t="shared" si="37"/>
        <v>4468.8</v>
      </c>
      <c r="Q250" s="7">
        <f t="shared" si="38"/>
        <v>6585.6000000000022</v>
      </c>
      <c r="R250" s="7" t="str">
        <f t="shared" si="39"/>
        <v>Normal</v>
      </c>
      <c r="S250" s="5">
        <v>3</v>
      </c>
      <c r="T250" s="5">
        <v>2</v>
      </c>
      <c r="U250" s="5" t="str" cm="1">
        <f t="array" ref="U250">_xlfn.IFS(T250=1,"Poor",T250=2,"Fair",T250=3,"Good",T250=4,"Excellent")</f>
        <v>Fair</v>
      </c>
      <c r="V250" s="5" t="s">
        <v>43</v>
      </c>
      <c r="W250" s="5">
        <v>3</v>
      </c>
      <c r="X250" s="28">
        <f t="shared" ca="1" si="40"/>
        <v>45015</v>
      </c>
      <c r="Y250" s="28">
        <f t="shared" ca="1" si="41"/>
        <v>46476</v>
      </c>
      <c r="Z250" s="28" t="str">
        <f t="shared" ca="1" si="42"/>
        <v>Due Soon</v>
      </c>
      <c r="AA250" s="5" t="str" cm="1">
        <f t="array" ref="AA250">_xlfn.IFS(W250&gt;10,"Veteran",W250&gt;=6,"Experienced",W250&gt;=2,"Developing",W250&gt;=0,"New")</f>
        <v>Developing</v>
      </c>
      <c r="AB250" s="5" t="str" cm="1">
        <f t="array" ref="AB250">_xlfn.IFS(G250=1,"Junior",G250=2,"Mid-Level",G250=3,"Senior",G250=4,"Lead",G250=5,"Principal")&amp;" "&amp;TRIM(PROPER(H250))</f>
        <v>Junior Research Scientist</v>
      </c>
      <c r="AC250" s="19" t="str">
        <f t="shared" ca="1" si="43"/>
        <v>Re-Res-2023-249 is a Junior Research Scientist in the Research &amp; Development department, aged 37, married and has been with the Company for 3years</v>
      </c>
    </row>
    <row r="251" spans="1:29">
      <c r="A251" s="18" t="str">
        <f t="shared" ca="1" si="33"/>
        <v>Ma-Res-2023-250</v>
      </c>
      <c r="B251" s="5">
        <v>45</v>
      </c>
      <c r="C251" s="5" t="str">
        <f t="shared" si="34"/>
        <v>40-49</v>
      </c>
      <c r="D251" s="5" t="s">
        <v>43</v>
      </c>
      <c r="E251" s="5" t="s">
        <v>45</v>
      </c>
      <c r="F251" s="5" t="s">
        <v>46</v>
      </c>
      <c r="G251" s="5">
        <v>2</v>
      </c>
      <c r="H251" s="5" t="s">
        <v>53</v>
      </c>
      <c r="I251" s="5" t="s">
        <v>48</v>
      </c>
      <c r="J251" s="7">
        <v>6434</v>
      </c>
      <c r="K251" s="7">
        <f t="shared" si="35"/>
        <v>965.09999999999991</v>
      </c>
      <c r="L251" s="7">
        <f t="shared" si="36"/>
        <v>5468.9</v>
      </c>
      <c r="M251" s="7">
        <v>5118</v>
      </c>
      <c r="N251" s="5" t="s">
        <v>43</v>
      </c>
      <c r="O251" s="5">
        <v>17</v>
      </c>
      <c r="P251" s="7">
        <f t="shared" si="37"/>
        <v>7527.78</v>
      </c>
      <c r="Q251" s="7">
        <f t="shared" si="38"/>
        <v>13125.359999999997</v>
      </c>
      <c r="R251" s="7" t="str">
        <f t="shared" si="39"/>
        <v>Normal</v>
      </c>
      <c r="S251" s="5">
        <v>3</v>
      </c>
      <c r="T251" s="5">
        <v>3</v>
      </c>
      <c r="U251" s="5" t="str" cm="1">
        <f t="array" ref="U251">_xlfn.IFS(T251=1,"Poor",T251=2,"Fair",T251=3,"Good",T251=4,"Excellent")</f>
        <v>Good</v>
      </c>
      <c r="V251" s="5" t="s">
        <v>43</v>
      </c>
      <c r="W251" s="5">
        <v>3</v>
      </c>
      <c r="X251" s="28">
        <f t="shared" ca="1" si="40"/>
        <v>45015</v>
      </c>
      <c r="Y251" s="28">
        <f t="shared" ca="1" si="41"/>
        <v>46476</v>
      </c>
      <c r="Z251" s="28" t="str">
        <f t="shared" ca="1" si="42"/>
        <v>Due Soon</v>
      </c>
      <c r="AA251" s="5" t="str" cm="1">
        <f t="array" ref="AA251">_xlfn.IFS(W251&gt;10,"Veteran",W251&gt;=6,"Experienced",W251&gt;=2,"Developing",W251&gt;=0,"New")</f>
        <v>Developing</v>
      </c>
      <c r="AB251" s="5" t="str" cm="1">
        <f t="array" ref="AB251">_xlfn.IFS(G251=1,"Junior",G251=2,"Mid-Level",G251=3,"Senior",G251=4,"Lead",G251=5,"Principal")&amp;" "&amp;TRIM(PROPER(H251))</f>
        <v>Mid-Level Manufacturing Director</v>
      </c>
      <c r="AC251" s="19" t="str">
        <f t="shared" ca="1" si="43"/>
        <v>Ma-Res-2023-250 is a Mid-Level Manufacturing Director in the Research &amp; Development department, aged 45, married and has been with the Company for 3years</v>
      </c>
    </row>
    <row r="252" spans="1:29">
      <c r="A252" s="18" t="str">
        <f t="shared" ca="1" si="33"/>
        <v>Ma-Res-2025-251</v>
      </c>
      <c r="B252" s="5">
        <v>37</v>
      </c>
      <c r="C252" s="5" t="str">
        <f t="shared" si="34"/>
        <v>30-39</v>
      </c>
      <c r="D252" s="5" t="s">
        <v>35</v>
      </c>
      <c r="E252" s="5" t="s">
        <v>45</v>
      </c>
      <c r="F252" s="5" t="s">
        <v>46</v>
      </c>
      <c r="G252" s="5">
        <v>3</v>
      </c>
      <c r="H252" s="5" t="s">
        <v>53</v>
      </c>
      <c r="I252" s="5" t="s">
        <v>52</v>
      </c>
      <c r="J252" s="7">
        <v>10048</v>
      </c>
      <c r="K252" s="7">
        <f t="shared" si="35"/>
        <v>2210.56</v>
      </c>
      <c r="L252" s="7">
        <f t="shared" si="36"/>
        <v>7837.4400000000005</v>
      </c>
      <c r="M252" s="7">
        <v>22573</v>
      </c>
      <c r="N252" s="5" t="s">
        <v>43</v>
      </c>
      <c r="O252" s="5">
        <v>11</v>
      </c>
      <c r="P252" s="7">
        <f t="shared" si="37"/>
        <v>11153.28</v>
      </c>
      <c r="Q252" s="7">
        <f t="shared" si="38"/>
        <v>13263.360000000008</v>
      </c>
      <c r="R252" s="7" t="str">
        <f t="shared" si="39"/>
        <v>Normal</v>
      </c>
      <c r="S252" s="5">
        <v>3</v>
      </c>
      <c r="T252" s="5">
        <v>3</v>
      </c>
      <c r="U252" s="5" t="str" cm="1">
        <f t="array" ref="U252">_xlfn.IFS(T252=1,"Poor",T252=2,"Fair",T252=3,"Good",T252=4,"Excellent")</f>
        <v>Good</v>
      </c>
      <c r="V252" s="5" t="s">
        <v>43</v>
      </c>
      <c r="W252" s="5">
        <v>1</v>
      </c>
      <c r="X252" s="28">
        <f t="shared" ca="1" si="40"/>
        <v>45746</v>
      </c>
      <c r="Y252" s="28">
        <f t="shared" ca="1" si="41"/>
        <v>46476</v>
      </c>
      <c r="Z252" s="28" t="str">
        <f t="shared" ca="1" si="42"/>
        <v>Due Soon</v>
      </c>
      <c r="AA252" s="5" t="str" cm="1">
        <f t="array" ref="AA252">_xlfn.IFS(W252&gt;10,"Veteran",W252&gt;=6,"Experienced",W252&gt;=2,"Developing",W252&gt;=0,"New")</f>
        <v>New</v>
      </c>
      <c r="AB252" s="5" t="str" cm="1">
        <f t="array" ref="AB252">_xlfn.IFS(G252=1,"Junior",G252=2,"Mid-Level",G252=3,"Senior",G252=4,"Lead",G252=5,"Principal")&amp;" "&amp;TRIM(PROPER(H252))</f>
        <v>Senior Manufacturing Director</v>
      </c>
      <c r="AC252" s="19" t="str">
        <f t="shared" ca="1" si="43"/>
        <v>Ma-Res-2025-251 is a Senior Manufacturing Director in the Research &amp; Development department, aged 37, divorced and has been with the Company for 1years</v>
      </c>
    </row>
    <row r="253" spans="1:29">
      <c r="A253" s="18" t="str">
        <f t="shared" ca="1" si="33"/>
        <v>He-Res-2007-252</v>
      </c>
      <c r="B253" s="5">
        <v>39</v>
      </c>
      <c r="C253" s="5" t="str">
        <f t="shared" si="34"/>
        <v>30-39</v>
      </c>
      <c r="D253" s="5" t="s">
        <v>43</v>
      </c>
      <c r="E253" s="5" t="s">
        <v>45</v>
      </c>
      <c r="F253" s="5" t="s">
        <v>39</v>
      </c>
      <c r="G253" s="5">
        <v>3</v>
      </c>
      <c r="H253" s="5" t="s">
        <v>54</v>
      </c>
      <c r="I253" s="5" t="s">
        <v>41</v>
      </c>
      <c r="J253" s="7">
        <v>10938</v>
      </c>
      <c r="K253" s="7">
        <f t="shared" si="35"/>
        <v>2406.36</v>
      </c>
      <c r="L253" s="7">
        <f t="shared" si="36"/>
        <v>8531.64</v>
      </c>
      <c r="M253" s="7">
        <v>6420</v>
      </c>
      <c r="N253" s="5" t="s">
        <v>43</v>
      </c>
      <c r="O253" s="5">
        <v>25</v>
      </c>
      <c r="P253" s="7">
        <f t="shared" si="37"/>
        <v>13672.5</v>
      </c>
      <c r="Q253" s="7">
        <f t="shared" si="38"/>
        <v>32814</v>
      </c>
      <c r="R253" s="7" t="str">
        <f t="shared" si="39"/>
        <v>Normal</v>
      </c>
      <c r="S253" s="5">
        <v>4</v>
      </c>
      <c r="T253" s="5">
        <v>3</v>
      </c>
      <c r="U253" s="5" t="str" cm="1">
        <f t="array" ref="U253">_xlfn.IFS(T253=1,"Poor",T253=2,"Fair",T253=3,"Good",T253=4,"Excellent")</f>
        <v>Good</v>
      </c>
      <c r="V253" s="5" t="s">
        <v>43</v>
      </c>
      <c r="W253" s="5">
        <v>19</v>
      </c>
      <c r="X253" s="28">
        <f t="shared" ca="1" si="40"/>
        <v>39171</v>
      </c>
      <c r="Y253" s="28">
        <f t="shared" ca="1" si="41"/>
        <v>46476</v>
      </c>
      <c r="Z253" s="28" t="str">
        <f t="shared" ca="1" si="42"/>
        <v>Due Soon</v>
      </c>
      <c r="AA253" s="5" t="str" cm="1">
        <f t="array" ref="AA253">_xlfn.IFS(W253&gt;10,"Veteran",W253&gt;=6,"Experienced",W253&gt;=2,"Developing",W253&gt;=0,"New")</f>
        <v>Veteran</v>
      </c>
      <c r="AB253" s="5" t="str" cm="1">
        <f t="array" ref="AB253">_xlfn.IFS(G253=1,"Junior",G253=2,"Mid-Level",G253=3,"Senior",G253=4,"Lead",G253=5,"Principal")&amp;" "&amp;TRIM(PROPER(H253))</f>
        <v>Senior Healthcare Representative</v>
      </c>
      <c r="AC253" s="19" t="str">
        <f t="shared" ca="1" si="43"/>
        <v>He-Res-2007-252 is a Senior Healthcare Representative in the Research &amp; Development department, aged 39, single and has been with the Company for 19years</v>
      </c>
    </row>
    <row r="254" spans="1:29">
      <c r="A254" s="18" t="str">
        <f t="shared" ca="1" si="33"/>
        <v>Re-Res-2020-253</v>
      </c>
      <c r="B254" s="5">
        <v>29</v>
      </c>
      <c r="C254" s="5" t="str">
        <f t="shared" si="34"/>
        <v>20-29</v>
      </c>
      <c r="D254" s="5" t="s">
        <v>43</v>
      </c>
      <c r="E254" s="5" t="s">
        <v>45</v>
      </c>
      <c r="F254" s="5" t="s">
        <v>46</v>
      </c>
      <c r="G254" s="5">
        <v>1</v>
      </c>
      <c r="H254" s="5" t="s">
        <v>47</v>
      </c>
      <c r="I254" s="5" t="s">
        <v>41</v>
      </c>
      <c r="J254" s="7">
        <v>2340</v>
      </c>
      <c r="K254" s="7">
        <f t="shared" si="35"/>
        <v>163.80000000000001</v>
      </c>
      <c r="L254" s="7">
        <f t="shared" si="36"/>
        <v>2176.1999999999998</v>
      </c>
      <c r="M254" s="7">
        <v>22673</v>
      </c>
      <c r="N254" s="5" t="s">
        <v>43</v>
      </c>
      <c r="O254" s="5">
        <v>19</v>
      </c>
      <c r="P254" s="7">
        <f t="shared" si="37"/>
        <v>2784.6</v>
      </c>
      <c r="Q254" s="7">
        <f t="shared" si="38"/>
        <v>5335.1999999999989</v>
      </c>
      <c r="R254" s="7" t="str">
        <f t="shared" si="39"/>
        <v>Normal</v>
      </c>
      <c r="S254" s="5">
        <v>3</v>
      </c>
      <c r="T254" s="5">
        <v>3</v>
      </c>
      <c r="U254" s="5" t="str" cm="1">
        <f t="array" ref="U254">_xlfn.IFS(T254=1,"Poor",T254=2,"Fair",T254=3,"Good",T254=4,"Excellent")</f>
        <v>Good</v>
      </c>
      <c r="V254" s="5" t="s">
        <v>43</v>
      </c>
      <c r="W254" s="5">
        <v>6</v>
      </c>
      <c r="X254" s="28">
        <f t="shared" ca="1" si="40"/>
        <v>43920</v>
      </c>
      <c r="Y254" s="28">
        <f t="shared" ca="1" si="41"/>
        <v>46842</v>
      </c>
      <c r="Z254" s="28" t="str">
        <f t="shared" ca="1" si="42"/>
        <v>Upcoming</v>
      </c>
      <c r="AA254" s="5" t="str" cm="1">
        <f t="array" ref="AA254">_xlfn.IFS(W254&gt;10,"Veteran",W254&gt;=6,"Experienced",W254&gt;=2,"Developing",W254&gt;=0,"New")</f>
        <v>Experienced</v>
      </c>
      <c r="AB254" s="5" t="str" cm="1">
        <f t="array" ref="AB254">_xlfn.IFS(G254=1,"Junior",G254=2,"Mid-Level",G254=3,"Senior",G254=4,"Lead",G254=5,"Principal")&amp;" "&amp;TRIM(PROPER(H254))</f>
        <v>Junior Research Scientist</v>
      </c>
      <c r="AC254" s="19" t="str">
        <f t="shared" ca="1" si="43"/>
        <v>Re-Res-2020-253 is a Junior Research Scientist in the Research &amp; Development department, aged 29, single and has been with the Company for 6years</v>
      </c>
    </row>
    <row r="255" spans="1:29">
      <c r="A255" s="18" t="str">
        <f t="shared" ca="1" si="33"/>
        <v>Re-Res-2023-254</v>
      </c>
      <c r="B255" s="5">
        <v>42</v>
      </c>
      <c r="C255" s="5" t="str">
        <f t="shared" si="34"/>
        <v>40-49</v>
      </c>
      <c r="D255" s="5" t="s">
        <v>43</v>
      </c>
      <c r="E255" s="5" t="s">
        <v>45</v>
      </c>
      <c r="F255" s="5" t="s">
        <v>39</v>
      </c>
      <c r="G255" s="5">
        <v>2</v>
      </c>
      <c r="H255" s="5" t="s">
        <v>47</v>
      </c>
      <c r="I255" s="5" t="s">
        <v>41</v>
      </c>
      <c r="J255" s="7">
        <v>6545</v>
      </c>
      <c r="K255" s="7">
        <f t="shared" si="35"/>
        <v>981.75</v>
      </c>
      <c r="L255" s="7">
        <f t="shared" si="36"/>
        <v>5563.25</v>
      </c>
      <c r="M255" s="7">
        <v>23016</v>
      </c>
      <c r="N255" s="5" t="s">
        <v>35</v>
      </c>
      <c r="O255" s="5">
        <v>13</v>
      </c>
      <c r="P255" s="7">
        <f t="shared" si="37"/>
        <v>7395.8499999999995</v>
      </c>
      <c r="Q255" s="7">
        <f t="shared" si="38"/>
        <v>10210.199999999993</v>
      </c>
      <c r="R255" s="7" t="str">
        <f t="shared" si="39"/>
        <v>Normal</v>
      </c>
      <c r="S255" s="5">
        <v>3</v>
      </c>
      <c r="T255" s="5">
        <v>3</v>
      </c>
      <c r="U255" s="5" t="str" cm="1">
        <f t="array" ref="U255">_xlfn.IFS(T255=1,"Poor",T255=2,"Fair",T255=3,"Good",T255=4,"Excellent")</f>
        <v>Good</v>
      </c>
      <c r="V255" s="5" t="s">
        <v>35</v>
      </c>
      <c r="W255" s="5">
        <v>3</v>
      </c>
      <c r="X255" s="28">
        <f t="shared" ca="1" si="40"/>
        <v>45015</v>
      </c>
      <c r="Y255" s="28">
        <f t="shared" ca="1" si="41"/>
        <v>46476</v>
      </c>
      <c r="Z255" s="28" t="str">
        <f t="shared" ca="1" si="42"/>
        <v>Due Soon</v>
      </c>
      <c r="AA255" s="5" t="str" cm="1">
        <f t="array" ref="AA255">_xlfn.IFS(W255&gt;10,"Veteran",W255&gt;=6,"Experienced",W255&gt;=2,"Developing",W255&gt;=0,"New")</f>
        <v>Developing</v>
      </c>
      <c r="AB255" s="5" t="str" cm="1">
        <f t="array" ref="AB255">_xlfn.IFS(G255=1,"Junior",G255=2,"Mid-Level",G255=3,"Senior",G255=4,"Lead",G255=5,"Principal")&amp;" "&amp;TRIM(PROPER(H255))</f>
        <v>Mid-Level Research Scientist</v>
      </c>
      <c r="AC255" s="19" t="str">
        <f t="shared" ca="1" si="43"/>
        <v>Re-Res-2023-254 is a Mid-Level Research Scientist in the Research &amp; Development department, aged 42, single and has been with the Company for 3years</v>
      </c>
    </row>
    <row r="256" spans="1:29">
      <c r="A256" s="18" t="str">
        <f t="shared" ca="1" si="33"/>
        <v>Sa-Sal-2023-255</v>
      </c>
      <c r="B256" s="5">
        <v>29</v>
      </c>
      <c r="C256" s="5" t="str">
        <f t="shared" si="34"/>
        <v>20-29</v>
      </c>
      <c r="D256" s="5" t="s">
        <v>43</v>
      </c>
      <c r="E256" s="5" t="s">
        <v>37</v>
      </c>
      <c r="F256" s="5" t="s">
        <v>46</v>
      </c>
      <c r="G256" s="5">
        <v>2</v>
      </c>
      <c r="H256" s="5" t="s">
        <v>40</v>
      </c>
      <c r="I256" s="5" t="s">
        <v>52</v>
      </c>
      <c r="J256" s="7">
        <v>6931</v>
      </c>
      <c r="K256" s="7">
        <f t="shared" si="35"/>
        <v>1039.6499999999999</v>
      </c>
      <c r="L256" s="7">
        <f t="shared" si="36"/>
        <v>5891.35</v>
      </c>
      <c r="M256" s="7">
        <v>10732</v>
      </c>
      <c r="N256" s="5" t="s">
        <v>43</v>
      </c>
      <c r="O256" s="5">
        <v>14</v>
      </c>
      <c r="P256" s="7">
        <f t="shared" si="37"/>
        <v>7901.3400000000011</v>
      </c>
      <c r="Q256" s="7">
        <f t="shared" si="38"/>
        <v>11644.080000000013</v>
      </c>
      <c r="R256" s="7" t="str">
        <f t="shared" si="39"/>
        <v>Normal</v>
      </c>
      <c r="S256" s="5">
        <v>3</v>
      </c>
      <c r="T256" s="5">
        <v>3</v>
      </c>
      <c r="U256" s="5" t="str" cm="1">
        <f t="array" ref="U256">_xlfn.IFS(T256=1,"Poor",T256=2,"Fair",T256=3,"Good",T256=4,"Excellent")</f>
        <v>Good</v>
      </c>
      <c r="V256" s="5" t="s">
        <v>43</v>
      </c>
      <c r="W256" s="5">
        <v>3</v>
      </c>
      <c r="X256" s="28">
        <f t="shared" ca="1" si="40"/>
        <v>45015</v>
      </c>
      <c r="Y256" s="28">
        <f t="shared" ca="1" si="41"/>
        <v>46476</v>
      </c>
      <c r="Z256" s="28" t="str">
        <f t="shared" ca="1" si="42"/>
        <v>Due Soon</v>
      </c>
      <c r="AA256" s="5" t="str" cm="1">
        <f t="array" ref="AA256">_xlfn.IFS(W256&gt;10,"Veteran",W256&gt;=6,"Experienced",W256&gt;=2,"Developing",W256&gt;=0,"New")</f>
        <v>Developing</v>
      </c>
      <c r="AB256" s="5" t="str" cm="1">
        <f t="array" ref="AB256">_xlfn.IFS(G256=1,"Junior",G256=2,"Mid-Level",G256=3,"Senior",G256=4,"Lead",G256=5,"Principal")&amp;" "&amp;TRIM(PROPER(H256))</f>
        <v>Mid-Level Sales Executive</v>
      </c>
      <c r="AC256" s="19" t="str">
        <f t="shared" ca="1" si="43"/>
        <v>Sa-Sal-2023-255 is a Mid-Level Sales Executive in the Sales department, aged 29, divorced and has been with the Company for 3years</v>
      </c>
    </row>
    <row r="257" spans="1:29">
      <c r="A257" s="18" t="str">
        <f t="shared" ca="1" si="33"/>
        <v>Ma-Res-2022-256</v>
      </c>
      <c r="B257" s="5">
        <v>25</v>
      </c>
      <c r="C257" s="5" t="str">
        <f t="shared" si="34"/>
        <v>20-29</v>
      </c>
      <c r="D257" s="5" t="s">
        <v>43</v>
      </c>
      <c r="E257" s="5" t="s">
        <v>45</v>
      </c>
      <c r="F257" s="5" t="s">
        <v>39</v>
      </c>
      <c r="G257" s="5">
        <v>2</v>
      </c>
      <c r="H257" s="5" t="s">
        <v>53</v>
      </c>
      <c r="I257" s="5" t="s">
        <v>48</v>
      </c>
      <c r="J257" s="7">
        <v>4898</v>
      </c>
      <c r="K257" s="7">
        <f t="shared" si="35"/>
        <v>734.69999999999993</v>
      </c>
      <c r="L257" s="7">
        <f t="shared" si="36"/>
        <v>4163.3</v>
      </c>
      <c r="M257" s="7">
        <v>7505</v>
      </c>
      <c r="N257" s="5" t="s">
        <v>43</v>
      </c>
      <c r="O257" s="5">
        <v>12</v>
      </c>
      <c r="P257" s="7">
        <f t="shared" si="37"/>
        <v>5485.76</v>
      </c>
      <c r="Q257" s="7">
        <f t="shared" si="38"/>
        <v>7053.1200000000026</v>
      </c>
      <c r="R257" s="7" t="str">
        <f t="shared" si="39"/>
        <v>Normal</v>
      </c>
      <c r="S257" s="5">
        <v>3</v>
      </c>
      <c r="T257" s="5">
        <v>3</v>
      </c>
      <c r="U257" s="5" t="str" cm="1">
        <f t="array" ref="U257">_xlfn.IFS(T257=1,"Poor",T257=2,"Fair",T257=3,"Good",T257=4,"Excellent")</f>
        <v>Good</v>
      </c>
      <c r="V257" s="5" t="s">
        <v>43</v>
      </c>
      <c r="W257" s="5">
        <v>4</v>
      </c>
      <c r="X257" s="28">
        <f t="shared" ca="1" si="40"/>
        <v>44650</v>
      </c>
      <c r="Y257" s="28">
        <f t="shared" ca="1" si="41"/>
        <v>46842</v>
      </c>
      <c r="Z257" s="28" t="str">
        <f t="shared" ca="1" si="42"/>
        <v>Upcoming</v>
      </c>
      <c r="AA257" s="5" t="str" cm="1">
        <f t="array" ref="AA257">_xlfn.IFS(W257&gt;10,"Veteran",W257&gt;=6,"Experienced",W257&gt;=2,"Developing",W257&gt;=0,"New")</f>
        <v>Developing</v>
      </c>
      <c r="AB257" s="5" t="str" cm="1">
        <f t="array" ref="AB257">_xlfn.IFS(G257=1,"Junior",G257=2,"Mid-Level",G257=3,"Senior",G257=4,"Lead",G257=5,"Principal")&amp;" "&amp;TRIM(PROPER(H257))</f>
        <v>Mid-Level Manufacturing Director</v>
      </c>
      <c r="AC257" s="19" t="str">
        <f t="shared" ca="1" si="43"/>
        <v>Ma-Res-2022-256 is a Mid-Level Manufacturing Director in the Research &amp; Development department, aged 25, married and has been with the Company for 4years</v>
      </c>
    </row>
    <row r="258" spans="1:29">
      <c r="A258" s="18" t="str">
        <f t="shared" ca="1" si="33"/>
        <v>La-Res-2017-257</v>
      </c>
      <c r="B258" s="5">
        <v>42</v>
      </c>
      <c r="C258" s="5" t="str">
        <f t="shared" si="34"/>
        <v>40-49</v>
      </c>
      <c r="D258" s="5" t="s">
        <v>43</v>
      </c>
      <c r="E258" s="5" t="s">
        <v>45</v>
      </c>
      <c r="F258" s="5" t="s">
        <v>39</v>
      </c>
      <c r="G258" s="5">
        <v>1</v>
      </c>
      <c r="H258" s="5" t="s">
        <v>50</v>
      </c>
      <c r="I258" s="5" t="s">
        <v>52</v>
      </c>
      <c r="J258" s="7">
        <v>2593</v>
      </c>
      <c r="K258" s="7">
        <f t="shared" si="35"/>
        <v>181.51000000000002</v>
      </c>
      <c r="L258" s="7">
        <f t="shared" si="36"/>
        <v>2411.4899999999998</v>
      </c>
      <c r="M258" s="7">
        <v>8007</v>
      </c>
      <c r="N258" s="5" t="s">
        <v>35</v>
      </c>
      <c r="O258" s="5">
        <v>11</v>
      </c>
      <c r="P258" s="7">
        <f t="shared" si="37"/>
        <v>2878.2300000000005</v>
      </c>
      <c r="Q258" s="7">
        <f t="shared" si="38"/>
        <v>3422.7600000000057</v>
      </c>
      <c r="R258" s="7" t="str">
        <f t="shared" si="39"/>
        <v>Normal</v>
      </c>
      <c r="S258" s="5">
        <v>3</v>
      </c>
      <c r="T258" s="5">
        <v>3</v>
      </c>
      <c r="U258" s="5" t="str" cm="1">
        <f t="array" ref="U258">_xlfn.IFS(T258=1,"Poor",T258=2,"Fair",T258=3,"Good",T258=4,"Excellent")</f>
        <v>Good</v>
      </c>
      <c r="V258" s="5" t="s">
        <v>35</v>
      </c>
      <c r="W258" s="5">
        <v>9</v>
      </c>
      <c r="X258" s="28">
        <f t="shared" ca="1" si="40"/>
        <v>42824</v>
      </c>
      <c r="Y258" s="28">
        <f t="shared" ca="1" si="41"/>
        <v>46476</v>
      </c>
      <c r="Z258" s="28" t="str">
        <f t="shared" ca="1" si="42"/>
        <v>Due Soon</v>
      </c>
      <c r="AA258" s="5" t="str" cm="1">
        <f t="array" ref="AA258">_xlfn.IFS(W258&gt;10,"Veteran",W258&gt;=6,"Experienced",W258&gt;=2,"Developing",W258&gt;=0,"New")</f>
        <v>Experienced</v>
      </c>
      <c r="AB258" s="5" t="str" cm="1">
        <f t="array" ref="AB258">_xlfn.IFS(G258=1,"Junior",G258=2,"Mid-Level",G258=3,"Senior",G258=4,"Lead",G258=5,"Principal")&amp;" "&amp;TRIM(PROPER(H258))</f>
        <v>Junior Laboratory Technician</v>
      </c>
      <c r="AC258" s="19" t="str">
        <f t="shared" ca="1" si="43"/>
        <v>La-Res-2017-257 is a Junior Laboratory Technician in the Research &amp; Development department, aged 42, divorced and has been with the Company for 9years</v>
      </c>
    </row>
    <row r="259" spans="1:29">
      <c r="A259" s="18" t="str">
        <f t="shared" ref="A259:A322" ca="1" si="44">LEFT(H259,2)&amp;"-"&amp;LEFT(E259,3)&amp;"-"&amp;YEAR(TODAY())-W259&amp;"-"&amp;TEXT(ROW()-1,"000")</f>
        <v>Re-Res-2005-258</v>
      </c>
      <c r="B259" s="5">
        <v>40</v>
      </c>
      <c r="C259" s="5" t="str">
        <f t="shared" ref="C259:C322" si="45">IF(B259&lt;=29,"20-29",IF(B259&lt;=39,"30-39",IF(B259&lt;=49,"40-49","50+")))</f>
        <v>40-49</v>
      </c>
      <c r="D259" s="5" t="s">
        <v>43</v>
      </c>
      <c r="E259" s="5" t="s">
        <v>45</v>
      </c>
      <c r="F259" s="5" t="s">
        <v>46</v>
      </c>
      <c r="G259" s="5">
        <v>5</v>
      </c>
      <c r="H259" s="5" t="s">
        <v>58</v>
      </c>
      <c r="I259" s="5" t="s">
        <v>52</v>
      </c>
      <c r="J259" s="7">
        <v>19436</v>
      </c>
      <c r="K259" s="7">
        <f t="shared" ref="K259:K322" si="46">IF(J259&gt;13000,J259*30%,IF(J259&gt;7000,J259*22%,IF(J259&gt;3000,J259*15%,J259*7%)))</f>
        <v>5830.8</v>
      </c>
      <c r="L259" s="7">
        <f t="shared" ref="L259:L322" si="47">J259-K259</f>
        <v>13605.2</v>
      </c>
      <c r="M259" s="7">
        <v>5949</v>
      </c>
      <c r="N259" s="5" t="s">
        <v>43</v>
      </c>
      <c r="O259" s="5">
        <v>19</v>
      </c>
      <c r="P259" s="7">
        <f t="shared" ref="P259:P322" si="48">J259*(1+(O259/100))</f>
        <v>23128.84</v>
      </c>
      <c r="Q259" s="7">
        <f t="shared" ref="Q259:Q322" si="49">(P259-J259)*12</f>
        <v>44314.080000000002</v>
      </c>
      <c r="R259" s="7" t="str">
        <f t="shared" ref="R259:R322" si="50">IF(AND(O259&lt;12,S259=4),"UnderPaid","Normal")</f>
        <v>Normal</v>
      </c>
      <c r="S259" s="5">
        <v>3</v>
      </c>
      <c r="T259" s="5">
        <v>3</v>
      </c>
      <c r="U259" s="5" t="str" cm="1">
        <f t="array" ref="U259">_xlfn.IFS(T259=1,"Poor",T259=2,"Fair",T259=3,"Good",T259=4,"Excellent")</f>
        <v>Good</v>
      </c>
      <c r="V259" s="5" t="s">
        <v>43</v>
      </c>
      <c r="W259" s="5">
        <v>21</v>
      </c>
      <c r="X259" s="28">
        <f t="shared" ref="X259:X322" ca="1" si="51">EDATE(TODAY(),-W259*12)</f>
        <v>38441</v>
      </c>
      <c r="Y259" s="28">
        <f t="shared" ref="Y259:Y322" ca="1" si="52">EDATE(X259,(INT(W259/2)+1)*24)</f>
        <v>46476</v>
      </c>
      <c r="Z259" s="28" t="str">
        <f t="shared" ref="Z259:Z322" ca="1" si="53">IF(Y259&lt;=EDATE(TODAY(),12),"Due Soon","Upcoming")</f>
        <v>Due Soon</v>
      </c>
      <c r="AA259" s="5" t="str" cm="1">
        <f t="array" ref="AA259">_xlfn.IFS(W259&gt;10,"Veteran",W259&gt;=6,"Experienced",W259&gt;=2,"Developing",W259&gt;=0,"New")</f>
        <v>Veteran</v>
      </c>
      <c r="AB259" s="5" t="str" cm="1">
        <f t="array" ref="AB259">_xlfn.IFS(G259=1,"Junior",G259=2,"Mid-Level",G259=3,"Senior",G259=4,"Lead",G259=5,"Principal")&amp;" "&amp;TRIM(PROPER(H259))</f>
        <v>Principal Research Director</v>
      </c>
      <c r="AC259" s="19" t="str">
        <f t="shared" ref="AC259:AC322" ca="1" si="54">A259&amp;" is a "&amp;AB259&amp;" in the "&amp;E259&amp;" department, aged "&amp;B259&amp;", "&amp;LOWER(I259)&amp;" and has been with the Company for "&amp;W259&amp;"years"</f>
        <v>Re-Res-2005-258 is a Principal Research Director in the Research &amp; Development department, aged 40, divorced and has been with the Company for 21years</v>
      </c>
    </row>
    <row r="260" spans="1:29">
      <c r="A260" s="18" t="str">
        <f t="shared" ca="1" si="44"/>
        <v>Re-Res-2025-259</v>
      </c>
      <c r="B260" s="5">
        <v>51</v>
      </c>
      <c r="C260" s="5" t="str">
        <f t="shared" si="45"/>
        <v>50+</v>
      </c>
      <c r="D260" s="5" t="s">
        <v>43</v>
      </c>
      <c r="E260" s="5" t="s">
        <v>45</v>
      </c>
      <c r="F260" s="5" t="s">
        <v>46</v>
      </c>
      <c r="G260" s="5">
        <v>1</v>
      </c>
      <c r="H260" s="5" t="s">
        <v>47</v>
      </c>
      <c r="I260" s="5" t="s">
        <v>48</v>
      </c>
      <c r="J260" s="7">
        <v>2723</v>
      </c>
      <c r="K260" s="7">
        <f t="shared" si="46"/>
        <v>190.61</v>
      </c>
      <c r="L260" s="7">
        <f t="shared" si="47"/>
        <v>2532.39</v>
      </c>
      <c r="M260" s="7">
        <v>23231</v>
      </c>
      <c r="N260" s="5" t="s">
        <v>43</v>
      </c>
      <c r="O260" s="5">
        <v>11</v>
      </c>
      <c r="P260" s="7">
        <f t="shared" si="48"/>
        <v>3022.53</v>
      </c>
      <c r="Q260" s="7">
        <f t="shared" si="49"/>
        <v>3594.3600000000024</v>
      </c>
      <c r="R260" s="7" t="str">
        <f t="shared" si="50"/>
        <v>Normal</v>
      </c>
      <c r="S260" s="5">
        <v>3</v>
      </c>
      <c r="T260" s="5">
        <v>2</v>
      </c>
      <c r="U260" s="5" t="str" cm="1">
        <f t="array" ref="U260">_xlfn.IFS(T260=1,"Poor",T260=2,"Fair",T260=3,"Good",T260=4,"Excellent")</f>
        <v>Fair</v>
      </c>
      <c r="V260" s="5" t="s">
        <v>43</v>
      </c>
      <c r="W260" s="5">
        <v>1</v>
      </c>
      <c r="X260" s="28">
        <f t="shared" ca="1" si="51"/>
        <v>45746</v>
      </c>
      <c r="Y260" s="28">
        <f t="shared" ca="1" si="52"/>
        <v>46476</v>
      </c>
      <c r="Z260" s="28" t="str">
        <f t="shared" ca="1" si="53"/>
        <v>Due Soon</v>
      </c>
      <c r="AA260" s="5" t="str" cm="1">
        <f t="array" ref="AA260">_xlfn.IFS(W260&gt;10,"Veteran",W260&gt;=6,"Experienced",W260&gt;=2,"Developing",W260&gt;=0,"New")</f>
        <v>New</v>
      </c>
      <c r="AB260" s="5" t="str" cm="1">
        <f t="array" ref="AB260">_xlfn.IFS(G260=1,"Junior",G260=2,"Mid-Level",G260=3,"Senior",G260=4,"Lead",G260=5,"Principal")&amp;" "&amp;TRIM(PROPER(H260))</f>
        <v>Junior Research Scientist</v>
      </c>
      <c r="AC260" s="19" t="str">
        <f t="shared" ca="1" si="54"/>
        <v>Re-Res-2025-259 is a Junior Research Scientist in the Research &amp; Development department, aged 51, married and has been with the Company for 1years</v>
      </c>
    </row>
    <row r="261" spans="1:29">
      <c r="A261" s="18" t="str">
        <f t="shared" ca="1" si="44"/>
        <v>La-Res-2021-260</v>
      </c>
      <c r="B261" s="5">
        <v>31</v>
      </c>
      <c r="C261" s="5" t="str">
        <f t="shared" si="45"/>
        <v>30-39</v>
      </c>
      <c r="D261" s="5" t="s">
        <v>35</v>
      </c>
      <c r="E261" s="5" t="s">
        <v>45</v>
      </c>
      <c r="F261" s="5" t="s">
        <v>46</v>
      </c>
      <c r="G261" s="5">
        <v>1</v>
      </c>
      <c r="H261" s="5" t="s">
        <v>50</v>
      </c>
      <c r="I261" s="5" t="s">
        <v>41</v>
      </c>
      <c r="J261" s="7">
        <v>3479</v>
      </c>
      <c r="K261" s="7">
        <f t="shared" si="46"/>
        <v>521.85</v>
      </c>
      <c r="L261" s="7">
        <f t="shared" si="47"/>
        <v>2957.15</v>
      </c>
      <c r="M261" s="7">
        <v>11652</v>
      </c>
      <c r="N261" s="5" t="s">
        <v>43</v>
      </c>
      <c r="O261" s="5">
        <v>11</v>
      </c>
      <c r="P261" s="7">
        <f t="shared" si="48"/>
        <v>3861.6900000000005</v>
      </c>
      <c r="Q261" s="7">
        <f t="shared" si="49"/>
        <v>4592.2800000000061</v>
      </c>
      <c r="R261" s="7" t="str">
        <f t="shared" si="50"/>
        <v>Normal</v>
      </c>
      <c r="S261" s="5">
        <v>3</v>
      </c>
      <c r="T261" s="5">
        <v>4</v>
      </c>
      <c r="U261" s="5" t="str" cm="1">
        <f t="array" ref="U261">_xlfn.IFS(T261=1,"Poor",T261=2,"Fair",T261=3,"Good",T261=4,"Excellent")</f>
        <v>Excellent</v>
      </c>
      <c r="V261" s="5" t="s">
        <v>43</v>
      </c>
      <c r="W261" s="5">
        <v>5</v>
      </c>
      <c r="X261" s="28">
        <f t="shared" ca="1" si="51"/>
        <v>44285</v>
      </c>
      <c r="Y261" s="28">
        <f t="shared" ca="1" si="52"/>
        <v>46476</v>
      </c>
      <c r="Z261" s="28" t="str">
        <f t="shared" ca="1" si="53"/>
        <v>Due Soon</v>
      </c>
      <c r="AA261" s="5" t="str" cm="1">
        <f t="array" ref="AA261">_xlfn.IFS(W261&gt;10,"Veteran",W261&gt;=6,"Experienced",W261&gt;=2,"Developing",W261&gt;=0,"New")</f>
        <v>Developing</v>
      </c>
      <c r="AB261" s="5" t="str" cm="1">
        <f t="array" ref="AB261">_xlfn.IFS(G261=1,"Junior",G261=2,"Mid-Level",G261=3,"Senior",G261=4,"Lead",G261=5,"Principal")&amp;" "&amp;TRIM(PROPER(H261))</f>
        <v>Junior Laboratory Technician</v>
      </c>
      <c r="AC261" s="19" t="str">
        <f t="shared" ca="1" si="54"/>
        <v>La-Res-2021-260 is a Junior Laboratory Technician in the Research &amp; Development department, aged 31, single and has been with the Company for 5years</v>
      </c>
    </row>
    <row r="262" spans="1:29">
      <c r="A262" s="18" t="str">
        <f t="shared" ca="1" si="44"/>
        <v>La-Res-2021-261</v>
      </c>
      <c r="B262" s="5">
        <v>32</v>
      </c>
      <c r="C262" s="5" t="str">
        <f t="shared" si="45"/>
        <v>30-39</v>
      </c>
      <c r="D262" s="5" t="s">
        <v>43</v>
      </c>
      <c r="E262" s="5" t="s">
        <v>45</v>
      </c>
      <c r="F262" s="5" t="s">
        <v>46</v>
      </c>
      <c r="G262" s="5">
        <v>1</v>
      </c>
      <c r="H262" s="5" t="s">
        <v>50</v>
      </c>
      <c r="I262" s="5" t="s">
        <v>48</v>
      </c>
      <c r="J262" s="7">
        <v>2794</v>
      </c>
      <c r="K262" s="7">
        <f t="shared" si="46"/>
        <v>195.58</v>
      </c>
      <c r="L262" s="7">
        <f t="shared" si="47"/>
        <v>2598.42</v>
      </c>
      <c r="M262" s="7">
        <v>26062</v>
      </c>
      <c r="N262" s="5" t="s">
        <v>43</v>
      </c>
      <c r="O262" s="5">
        <v>20</v>
      </c>
      <c r="P262" s="7">
        <f t="shared" si="48"/>
        <v>3352.7999999999997</v>
      </c>
      <c r="Q262" s="7">
        <f t="shared" si="49"/>
        <v>6705.5999999999967</v>
      </c>
      <c r="R262" s="7" t="str">
        <f t="shared" si="50"/>
        <v>Normal</v>
      </c>
      <c r="S262" s="5">
        <v>4</v>
      </c>
      <c r="T262" s="5">
        <v>1</v>
      </c>
      <c r="U262" s="5" t="str" cm="1">
        <f t="array" ref="U262">_xlfn.IFS(T262=1,"Poor",T262=2,"Fair",T262=3,"Good",T262=4,"Excellent")</f>
        <v>Poor</v>
      </c>
      <c r="V262" s="5" t="s">
        <v>43</v>
      </c>
      <c r="W262" s="5">
        <v>5</v>
      </c>
      <c r="X262" s="28">
        <f t="shared" ca="1" si="51"/>
        <v>44285</v>
      </c>
      <c r="Y262" s="28">
        <f t="shared" ca="1" si="52"/>
        <v>46476</v>
      </c>
      <c r="Z262" s="28" t="str">
        <f t="shared" ca="1" si="53"/>
        <v>Due Soon</v>
      </c>
      <c r="AA262" s="5" t="str" cm="1">
        <f t="array" ref="AA262">_xlfn.IFS(W262&gt;10,"Veteran",W262&gt;=6,"Experienced",W262&gt;=2,"Developing",W262&gt;=0,"New")</f>
        <v>Developing</v>
      </c>
      <c r="AB262" s="5" t="str" cm="1">
        <f t="array" ref="AB262">_xlfn.IFS(G262=1,"Junior",G262=2,"Mid-Level",G262=3,"Senior",G262=4,"Lead",G262=5,"Principal")&amp;" "&amp;TRIM(PROPER(H262))</f>
        <v>Junior Laboratory Technician</v>
      </c>
      <c r="AC262" s="19" t="str">
        <f t="shared" ca="1" si="54"/>
        <v>La-Res-2021-261 is a Junior Laboratory Technician in the Research &amp; Development department, aged 32, married and has been with the Company for 5years</v>
      </c>
    </row>
    <row r="263" spans="1:29">
      <c r="A263" s="18" t="str">
        <f t="shared" ca="1" si="44"/>
        <v>Sa-Sal-2018-262</v>
      </c>
      <c r="B263" s="5">
        <v>38</v>
      </c>
      <c r="C263" s="5" t="str">
        <f t="shared" si="45"/>
        <v>30-39</v>
      </c>
      <c r="D263" s="5" t="s">
        <v>43</v>
      </c>
      <c r="E263" s="5" t="s">
        <v>37</v>
      </c>
      <c r="F263" s="5" t="s">
        <v>46</v>
      </c>
      <c r="G263" s="5">
        <v>2</v>
      </c>
      <c r="H263" s="5" t="s">
        <v>40</v>
      </c>
      <c r="I263" s="5" t="s">
        <v>48</v>
      </c>
      <c r="J263" s="7">
        <v>5249</v>
      </c>
      <c r="K263" s="7">
        <f t="shared" si="46"/>
        <v>787.35</v>
      </c>
      <c r="L263" s="7">
        <f t="shared" si="47"/>
        <v>4461.6499999999996</v>
      </c>
      <c r="M263" s="7">
        <v>19682</v>
      </c>
      <c r="N263" s="5" t="s">
        <v>43</v>
      </c>
      <c r="O263" s="5">
        <v>18</v>
      </c>
      <c r="P263" s="7">
        <f t="shared" si="48"/>
        <v>6193.82</v>
      </c>
      <c r="Q263" s="7">
        <f t="shared" si="49"/>
        <v>11337.839999999997</v>
      </c>
      <c r="R263" s="7" t="str">
        <f t="shared" si="50"/>
        <v>Normal</v>
      </c>
      <c r="S263" s="5">
        <v>3</v>
      </c>
      <c r="T263" s="5">
        <v>3</v>
      </c>
      <c r="U263" s="5" t="str" cm="1">
        <f t="array" ref="U263">_xlfn.IFS(T263=1,"Poor",T263=2,"Fair",T263=3,"Good",T263=4,"Excellent")</f>
        <v>Good</v>
      </c>
      <c r="V263" s="5" t="s">
        <v>43</v>
      </c>
      <c r="W263" s="5">
        <v>8</v>
      </c>
      <c r="X263" s="28">
        <f t="shared" ca="1" si="51"/>
        <v>43189</v>
      </c>
      <c r="Y263" s="28">
        <f t="shared" ca="1" si="52"/>
        <v>46842</v>
      </c>
      <c r="Z263" s="28" t="str">
        <f t="shared" ca="1" si="53"/>
        <v>Upcoming</v>
      </c>
      <c r="AA263" s="5" t="str" cm="1">
        <f t="array" ref="AA263">_xlfn.IFS(W263&gt;10,"Veteran",W263&gt;=6,"Experienced",W263&gt;=2,"Developing",W263&gt;=0,"New")</f>
        <v>Experienced</v>
      </c>
      <c r="AB263" s="5" t="str" cm="1">
        <f t="array" ref="AB263">_xlfn.IFS(G263=1,"Junior",G263=2,"Mid-Level",G263=3,"Senior",G263=4,"Lead",G263=5,"Principal")&amp;" "&amp;TRIM(PROPER(H263))</f>
        <v>Mid-Level Sales Executive</v>
      </c>
      <c r="AC263" s="19" t="str">
        <f t="shared" ca="1" si="54"/>
        <v>Sa-Sal-2018-262 is a Mid-Level Sales Executive in the Sales department, aged 38, married and has been with the Company for 8years</v>
      </c>
    </row>
    <row r="264" spans="1:29">
      <c r="A264" s="18" t="str">
        <f t="shared" ca="1" si="44"/>
        <v>La-Res-2020-263</v>
      </c>
      <c r="B264" s="5">
        <v>32</v>
      </c>
      <c r="C264" s="5" t="str">
        <f t="shared" si="45"/>
        <v>30-39</v>
      </c>
      <c r="D264" s="5" t="s">
        <v>43</v>
      </c>
      <c r="E264" s="5" t="s">
        <v>45</v>
      </c>
      <c r="F264" s="5" t="s">
        <v>46</v>
      </c>
      <c r="G264" s="5">
        <v>2</v>
      </c>
      <c r="H264" s="5" t="s">
        <v>50</v>
      </c>
      <c r="I264" s="5" t="s">
        <v>41</v>
      </c>
      <c r="J264" s="7">
        <v>2176</v>
      </c>
      <c r="K264" s="7">
        <f t="shared" si="46"/>
        <v>152.32000000000002</v>
      </c>
      <c r="L264" s="7">
        <f t="shared" si="47"/>
        <v>2023.68</v>
      </c>
      <c r="M264" s="7">
        <v>19737</v>
      </c>
      <c r="N264" s="5" t="s">
        <v>43</v>
      </c>
      <c r="O264" s="5">
        <v>13</v>
      </c>
      <c r="P264" s="7">
        <f t="shared" si="48"/>
        <v>2458.8799999999997</v>
      </c>
      <c r="Q264" s="7">
        <f t="shared" si="49"/>
        <v>3394.5599999999959</v>
      </c>
      <c r="R264" s="7" t="str">
        <f t="shared" si="50"/>
        <v>Normal</v>
      </c>
      <c r="S264" s="5">
        <v>3</v>
      </c>
      <c r="T264" s="5">
        <v>3</v>
      </c>
      <c r="U264" s="5" t="str" cm="1">
        <f t="array" ref="U264">_xlfn.IFS(T264=1,"Poor",T264=2,"Fair",T264=3,"Good",T264=4,"Excellent")</f>
        <v>Good</v>
      </c>
      <c r="V264" s="5" t="s">
        <v>43</v>
      </c>
      <c r="W264" s="5">
        <v>6</v>
      </c>
      <c r="X264" s="28">
        <f t="shared" ca="1" si="51"/>
        <v>43920</v>
      </c>
      <c r="Y264" s="28">
        <f t="shared" ca="1" si="52"/>
        <v>46842</v>
      </c>
      <c r="Z264" s="28" t="str">
        <f t="shared" ca="1" si="53"/>
        <v>Upcoming</v>
      </c>
      <c r="AA264" s="5" t="str" cm="1">
        <f t="array" ref="AA264">_xlfn.IFS(W264&gt;10,"Veteran",W264&gt;=6,"Experienced",W264&gt;=2,"Developing",W264&gt;=0,"New")</f>
        <v>Experienced</v>
      </c>
      <c r="AB264" s="5" t="str" cm="1">
        <f t="array" ref="AB264">_xlfn.IFS(G264=1,"Junior",G264=2,"Mid-Level",G264=3,"Senior",G264=4,"Lead",G264=5,"Principal")&amp;" "&amp;TRIM(PROPER(H264))</f>
        <v>Mid-Level Laboratory Technician</v>
      </c>
      <c r="AC264" s="19" t="str">
        <f t="shared" ca="1" si="54"/>
        <v>La-Res-2020-263 is a Mid-Level Laboratory Technician in the Research &amp; Development department, aged 32, single and has been with the Company for 6years</v>
      </c>
    </row>
    <row r="265" spans="1:29">
      <c r="A265" s="18" t="str">
        <f t="shared" ca="1" si="44"/>
        <v>Ma-Sal-2019-264</v>
      </c>
      <c r="B265" s="5">
        <v>46</v>
      </c>
      <c r="C265" s="5" t="str">
        <f t="shared" si="45"/>
        <v>40-49</v>
      </c>
      <c r="D265" s="5" t="s">
        <v>43</v>
      </c>
      <c r="E265" s="5" t="s">
        <v>37</v>
      </c>
      <c r="F265" s="5" t="s">
        <v>39</v>
      </c>
      <c r="G265" s="5">
        <v>4</v>
      </c>
      <c r="H265" s="5" t="s">
        <v>56</v>
      </c>
      <c r="I265" s="5" t="s">
        <v>48</v>
      </c>
      <c r="J265" s="7">
        <v>16872</v>
      </c>
      <c r="K265" s="7">
        <f t="shared" si="46"/>
        <v>5061.5999999999995</v>
      </c>
      <c r="L265" s="7">
        <f t="shared" si="47"/>
        <v>11810.400000000001</v>
      </c>
      <c r="M265" s="7">
        <v>14977</v>
      </c>
      <c r="N265" s="5" t="s">
        <v>35</v>
      </c>
      <c r="O265" s="5">
        <v>12</v>
      </c>
      <c r="P265" s="7">
        <f t="shared" si="48"/>
        <v>18896.640000000003</v>
      </c>
      <c r="Q265" s="7">
        <f t="shared" si="49"/>
        <v>24295.680000000037</v>
      </c>
      <c r="R265" s="7" t="str">
        <f t="shared" si="50"/>
        <v>Normal</v>
      </c>
      <c r="S265" s="5">
        <v>3</v>
      </c>
      <c r="T265" s="5">
        <v>2</v>
      </c>
      <c r="U265" s="5" t="str" cm="1">
        <f t="array" ref="U265">_xlfn.IFS(T265=1,"Poor",T265=2,"Fair",T265=3,"Good",T265=4,"Excellent")</f>
        <v>Fair</v>
      </c>
      <c r="V265" s="5" t="s">
        <v>35</v>
      </c>
      <c r="W265" s="5">
        <v>7</v>
      </c>
      <c r="X265" s="28">
        <f t="shared" ca="1" si="51"/>
        <v>43554</v>
      </c>
      <c r="Y265" s="28">
        <f t="shared" ca="1" si="52"/>
        <v>46476</v>
      </c>
      <c r="Z265" s="28" t="str">
        <f t="shared" ca="1" si="53"/>
        <v>Due Soon</v>
      </c>
      <c r="AA265" s="5" t="str" cm="1">
        <f t="array" ref="AA265">_xlfn.IFS(W265&gt;10,"Veteran",W265&gt;=6,"Experienced",W265&gt;=2,"Developing",W265&gt;=0,"New")</f>
        <v>Experienced</v>
      </c>
      <c r="AB265" s="5" t="str" cm="1">
        <f t="array" ref="AB265">_xlfn.IFS(G265=1,"Junior",G265=2,"Mid-Level",G265=3,"Senior",G265=4,"Lead",G265=5,"Principal")&amp;" "&amp;TRIM(PROPER(H265))</f>
        <v>Lead Manager</v>
      </c>
      <c r="AC265" s="19" t="str">
        <f t="shared" ca="1" si="54"/>
        <v>Ma-Sal-2019-264 is a Lead Manager in the Sales department, aged 46, married and has been with the Company for 7years</v>
      </c>
    </row>
    <row r="266" spans="1:29">
      <c r="A266" s="18" t="str">
        <f t="shared" ca="1" si="44"/>
        <v>La-Res-2026-265</v>
      </c>
      <c r="B266" s="5">
        <v>28</v>
      </c>
      <c r="C266" s="5" t="str">
        <f t="shared" si="45"/>
        <v>20-29</v>
      </c>
      <c r="D266" s="5" t="s">
        <v>35</v>
      </c>
      <c r="E266" s="5" t="s">
        <v>45</v>
      </c>
      <c r="F266" s="5" t="s">
        <v>46</v>
      </c>
      <c r="G266" s="5">
        <v>1</v>
      </c>
      <c r="H266" s="5" t="s">
        <v>50</v>
      </c>
      <c r="I266" s="5" t="s">
        <v>41</v>
      </c>
      <c r="J266" s="7">
        <v>3485</v>
      </c>
      <c r="K266" s="7">
        <f t="shared" si="46"/>
        <v>522.75</v>
      </c>
      <c r="L266" s="7">
        <f t="shared" si="47"/>
        <v>2962.25</v>
      </c>
      <c r="M266" s="7">
        <v>14935</v>
      </c>
      <c r="N266" s="5" t="s">
        <v>43</v>
      </c>
      <c r="O266" s="5">
        <v>11</v>
      </c>
      <c r="P266" s="7">
        <f t="shared" si="48"/>
        <v>3868.3500000000004</v>
      </c>
      <c r="Q266" s="7">
        <f t="shared" si="49"/>
        <v>4600.2000000000044</v>
      </c>
      <c r="R266" s="7" t="str">
        <f t="shared" si="50"/>
        <v>Normal</v>
      </c>
      <c r="S266" s="5">
        <v>3</v>
      </c>
      <c r="T266" s="5">
        <v>1</v>
      </c>
      <c r="U266" s="5" t="str" cm="1">
        <f t="array" ref="U266">_xlfn.IFS(T266=1,"Poor",T266=2,"Fair",T266=3,"Good",T266=4,"Excellent")</f>
        <v>Poor</v>
      </c>
      <c r="V266" s="5" t="s">
        <v>43</v>
      </c>
      <c r="W266" s="5">
        <v>0</v>
      </c>
      <c r="X266" s="28">
        <f t="shared" ca="1" si="51"/>
        <v>46111</v>
      </c>
      <c r="Y266" s="28">
        <f t="shared" ca="1" si="52"/>
        <v>46842</v>
      </c>
      <c r="Z266" s="28" t="str">
        <f t="shared" ca="1" si="53"/>
        <v>Upcoming</v>
      </c>
      <c r="AA266" s="5" t="str" cm="1">
        <f t="array" ref="AA266">_xlfn.IFS(W266&gt;10,"Veteran",W266&gt;=6,"Experienced",W266&gt;=2,"Developing",W266&gt;=0,"New")</f>
        <v>New</v>
      </c>
      <c r="AB266" s="5" t="str" cm="1">
        <f t="array" ref="AB266">_xlfn.IFS(G266=1,"Junior",G266=2,"Mid-Level",G266=3,"Senior",G266=4,"Lead",G266=5,"Principal")&amp;" "&amp;TRIM(PROPER(H266))</f>
        <v>Junior Laboratory Technician</v>
      </c>
      <c r="AC266" s="19" t="str">
        <f t="shared" ca="1" si="54"/>
        <v>La-Res-2026-265 is a Junior Laboratory Technician in the Research &amp; Development department, aged 28, single and has been with the Company for 0years</v>
      </c>
    </row>
    <row r="267" spans="1:29">
      <c r="A267" s="18" t="str">
        <f t="shared" ca="1" si="44"/>
        <v>Sa-Sal-2026-266</v>
      </c>
      <c r="B267" s="5">
        <v>29</v>
      </c>
      <c r="C267" s="5" t="str">
        <f t="shared" si="45"/>
        <v>20-29</v>
      </c>
      <c r="D267" s="5" t="s">
        <v>43</v>
      </c>
      <c r="E267" s="5" t="s">
        <v>37</v>
      </c>
      <c r="F267" s="5" t="s">
        <v>46</v>
      </c>
      <c r="G267" s="5">
        <v>2</v>
      </c>
      <c r="H267" s="5" t="s">
        <v>40</v>
      </c>
      <c r="I267" s="5" t="s">
        <v>48</v>
      </c>
      <c r="J267" s="7">
        <v>6644</v>
      </c>
      <c r="K267" s="7">
        <f t="shared" si="46"/>
        <v>996.59999999999991</v>
      </c>
      <c r="L267" s="7">
        <f t="shared" si="47"/>
        <v>5647.4</v>
      </c>
      <c r="M267" s="7">
        <v>3687</v>
      </c>
      <c r="N267" s="5" t="s">
        <v>43</v>
      </c>
      <c r="O267" s="5">
        <v>19</v>
      </c>
      <c r="P267" s="7">
        <f t="shared" si="48"/>
        <v>7906.36</v>
      </c>
      <c r="Q267" s="7">
        <f t="shared" si="49"/>
        <v>15148.319999999996</v>
      </c>
      <c r="R267" s="7" t="str">
        <f t="shared" si="50"/>
        <v>Normal</v>
      </c>
      <c r="S267" s="5">
        <v>3</v>
      </c>
      <c r="T267" s="5">
        <v>3</v>
      </c>
      <c r="U267" s="5" t="str" cm="1">
        <f t="array" ref="U267">_xlfn.IFS(T267=1,"Poor",T267=2,"Fair",T267=3,"Good",T267=4,"Excellent")</f>
        <v>Good</v>
      </c>
      <c r="V267" s="5" t="s">
        <v>43</v>
      </c>
      <c r="W267" s="5">
        <v>0</v>
      </c>
      <c r="X267" s="28">
        <f t="shared" ca="1" si="51"/>
        <v>46111</v>
      </c>
      <c r="Y267" s="28">
        <f t="shared" ca="1" si="52"/>
        <v>46842</v>
      </c>
      <c r="Z267" s="28" t="str">
        <f t="shared" ca="1" si="53"/>
        <v>Upcoming</v>
      </c>
      <c r="AA267" s="5" t="str" cm="1">
        <f t="array" ref="AA267">_xlfn.IFS(W267&gt;10,"Veteran",W267&gt;=6,"Experienced",W267&gt;=2,"Developing",W267&gt;=0,"New")</f>
        <v>New</v>
      </c>
      <c r="AB267" s="5" t="str" cm="1">
        <f t="array" ref="AB267">_xlfn.IFS(G267=1,"Junior",G267=2,"Mid-Level",G267=3,"Senior",G267=4,"Lead",G267=5,"Principal")&amp;" "&amp;TRIM(PROPER(H267))</f>
        <v>Mid-Level Sales Executive</v>
      </c>
      <c r="AC267" s="19" t="str">
        <f t="shared" ca="1" si="54"/>
        <v>Sa-Sal-2026-266 is a Mid-Level Sales Executive in the Sales department, aged 29, married and has been with the Company for 0years</v>
      </c>
    </row>
    <row r="268" spans="1:29">
      <c r="A268" s="18" t="str">
        <f t="shared" ca="1" si="44"/>
        <v>He-Res-2017-267</v>
      </c>
      <c r="B268" s="5">
        <v>31</v>
      </c>
      <c r="C268" s="5" t="str">
        <f t="shared" si="45"/>
        <v>30-39</v>
      </c>
      <c r="D268" s="5" t="s">
        <v>43</v>
      </c>
      <c r="E268" s="5" t="s">
        <v>45</v>
      </c>
      <c r="F268" s="5" t="s">
        <v>46</v>
      </c>
      <c r="G268" s="5">
        <v>2</v>
      </c>
      <c r="H268" s="5" t="s">
        <v>54</v>
      </c>
      <c r="I268" s="5" t="s">
        <v>48</v>
      </c>
      <c r="J268" s="7">
        <v>5582</v>
      </c>
      <c r="K268" s="7">
        <f t="shared" si="46"/>
        <v>837.3</v>
      </c>
      <c r="L268" s="7">
        <f t="shared" si="47"/>
        <v>4744.7</v>
      </c>
      <c r="M268" s="7">
        <v>14408</v>
      </c>
      <c r="N268" s="5" t="s">
        <v>43</v>
      </c>
      <c r="O268" s="5">
        <v>21</v>
      </c>
      <c r="P268" s="7">
        <f t="shared" si="48"/>
        <v>6754.22</v>
      </c>
      <c r="Q268" s="7">
        <f t="shared" si="49"/>
        <v>14066.640000000003</v>
      </c>
      <c r="R268" s="7" t="str">
        <f t="shared" si="50"/>
        <v>Normal</v>
      </c>
      <c r="S268" s="5">
        <v>4</v>
      </c>
      <c r="T268" s="5">
        <v>3</v>
      </c>
      <c r="U268" s="5" t="str" cm="1">
        <f t="array" ref="U268">_xlfn.IFS(T268=1,"Poor",T268=2,"Fair",T268=3,"Good",T268=4,"Excellent")</f>
        <v>Good</v>
      </c>
      <c r="V268" s="5" t="s">
        <v>43</v>
      </c>
      <c r="W268" s="5">
        <v>9</v>
      </c>
      <c r="X268" s="28">
        <f t="shared" ca="1" si="51"/>
        <v>42824</v>
      </c>
      <c r="Y268" s="28">
        <f t="shared" ca="1" si="52"/>
        <v>46476</v>
      </c>
      <c r="Z268" s="28" t="str">
        <f t="shared" ca="1" si="53"/>
        <v>Due Soon</v>
      </c>
      <c r="AA268" s="5" t="str" cm="1">
        <f t="array" ref="AA268">_xlfn.IFS(W268&gt;10,"Veteran",W268&gt;=6,"Experienced",W268&gt;=2,"Developing",W268&gt;=0,"New")</f>
        <v>Experienced</v>
      </c>
      <c r="AB268" s="5" t="str" cm="1">
        <f t="array" ref="AB268">_xlfn.IFS(G268=1,"Junior",G268=2,"Mid-Level",G268=3,"Senior",G268=4,"Lead",G268=5,"Principal")&amp;" "&amp;TRIM(PROPER(H268))</f>
        <v>Mid-Level Healthcare Representative</v>
      </c>
      <c r="AC268" s="19" t="str">
        <f t="shared" ca="1" si="54"/>
        <v>He-Res-2017-267 is a Mid-Level Healthcare Representative in the Research &amp; Development department, aged 31, married and has been with the Company for 9years</v>
      </c>
    </row>
    <row r="269" spans="1:29">
      <c r="A269" s="18" t="str">
        <f t="shared" ca="1" si="44"/>
        <v>He-Res-2020-268</v>
      </c>
      <c r="B269" s="5">
        <v>25</v>
      </c>
      <c r="C269" s="5" t="str">
        <f t="shared" si="45"/>
        <v>20-29</v>
      </c>
      <c r="D269" s="5" t="s">
        <v>43</v>
      </c>
      <c r="E269" s="5" t="s">
        <v>45</v>
      </c>
      <c r="F269" s="5" t="s">
        <v>46</v>
      </c>
      <c r="G269" s="5">
        <v>2</v>
      </c>
      <c r="H269" s="5" t="s">
        <v>54</v>
      </c>
      <c r="I269" s="5" t="s">
        <v>52</v>
      </c>
      <c r="J269" s="7">
        <v>4000</v>
      </c>
      <c r="K269" s="7">
        <f t="shared" si="46"/>
        <v>600</v>
      </c>
      <c r="L269" s="7">
        <f t="shared" si="47"/>
        <v>3400</v>
      </c>
      <c r="M269" s="7">
        <v>18384</v>
      </c>
      <c r="N269" s="5" t="s">
        <v>43</v>
      </c>
      <c r="O269" s="5">
        <v>12</v>
      </c>
      <c r="P269" s="7">
        <f t="shared" si="48"/>
        <v>4480</v>
      </c>
      <c r="Q269" s="7">
        <f t="shared" si="49"/>
        <v>5760</v>
      </c>
      <c r="R269" s="7" t="str">
        <f t="shared" si="50"/>
        <v>Normal</v>
      </c>
      <c r="S269" s="5">
        <v>3</v>
      </c>
      <c r="T269" s="5">
        <v>3</v>
      </c>
      <c r="U269" s="5" t="str" cm="1">
        <f t="array" ref="U269">_xlfn.IFS(T269=1,"Poor",T269=2,"Fair",T269=3,"Good",T269=4,"Excellent")</f>
        <v>Good</v>
      </c>
      <c r="V269" s="5" t="s">
        <v>43</v>
      </c>
      <c r="W269" s="5">
        <v>6</v>
      </c>
      <c r="X269" s="28">
        <f t="shared" ca="1" si="51"/>
        <v>43920</v>
      </c>
      <c r="Y269" s="28">
        <f t="shared" ca="1" si="52"/>
        <v>46842</v>
      </c>
      <c r="Z269" s="28" t="str">
        <f t="shared" ca="1" si="53"/>
        <v>Upcoming</v>
      </c>
      <c r="AA269" s="5" t="str" cm="1">
        <f t="array" ref="AA269">_xlfn.IFS(W269&gt;10,"Veteran",W269&gt;=6,"Experienced",W269&gt;=2,"Developing",W269&gt;=0,"New")</f>
        <v>Experienced</v>
      </c>
      <c r="AB269" s="5" t="str" cm="1">
        <f t="array" ref="AB269">_xlfn.IFS(G269=1,"Junior",G269=2,"Mid-Level",G269=3,"Senior",G269=4,"Lead",G269=5,"Principal")&amp;" "&amp;TRIM(PROPER(H269))</f>
        <v>Mid-Level Healthcare Representative</v>
      </c>
      <c r="AC269" s="19" t="str">
        <f t="shared" ca="1" si="54"/>
        <v>He-Res-2020-268 is a Mid-Level Healthcare Representative in the Research &amp; Development department, aged 25, divorced and has been with the Company for 6years</v>
      </c>
    </row>
    <row r="270" spans="1:29">
      <c r="A270" s="18" t="str">
        <f t="shared" ca="1" si="44"/>
        <v>He-Res-2006-269</v>
      </c>
      <c r="B270" s="5">
        <v>45</v>
      </c>
      <c r="C270" s="5" t="str">
        <f t="shared" si="45"/>
        <v>40-49</v>
      </c>
      <c r="D270" s="5" t="s">
        <v>43</v>
      </c>
      <c r="E270" s="5" t="s">
        <v>45</v>
      </c>
      <c r="F270" s="5" t="s">
        <v>46</v>
      </c>
      <c r="G270" s="5">
        <v>4</v>
      </c>
      <c r="H270" s="5" t="s">
        <v>54</v>
      </c>
      <c r="I270" s="5" t="s">
        <v>48</v>
      </c>
      <c r="J270" s="7">
        <v>13496</v>
      </c>
      <c r="K270" s="7">
        <f t="shared" si="46"/>
        <v>4048.7999999999997</v>
      </c>
      <c r="L270" s="7">
        <f t="shared" si="47"/>
        <v>9447.2000000000007</v>
      </c>
      <c r="M270" s="7">
        <v>7501</v>
      </c>
      <c r="N270" s="5" t="s">
        <v>35</v>
      </c>
      <c r="O270" s="5">
        <v>14</v>
      </c>
      <c r="P270" s="7">
        <f t="shared" si="48"/>
        <v>15385.440000000002</v>
      </c>
      <c r="Q270" s="7">
        <f t="shared" si="49"/>
        <v>22673.280000000028</v>
      </c>
      <c r="R270" s="7" t="str">
        <f t="shared" si="50"/>
        <v>Normal</v>
      </c>
      <c r="S270" s="5">
        <v>3</v>
      </c>
      <c r="T270" s="5">
        <v>3</v>
      </c>
      <c r="U270" s="5" t="str" cm="1">
        <f t="array" ref="U270">_xlfn.IFS(T270=1,"Poor",T270=2,"Fair",T270=3,"Good",T270=4,"Excellent")</f>
        <v>Good</v>
      </c>
      <c r="V270" s="5" t="s">
        <v>35</v>
      </c>
      <c r="W270" s="5">
        <v>20</v>
      </c>
      <c r="X270" s="28">
        <f t="shared" ca="1" si="51"/>
        <v>38806</v>
      </c>
      <c r="Y270" s="28">
        <f t="shared" ca="1" si="52"/>
        <v>46842</v>
      </c>
      <c r="Z270" s="28" t="str">
        <f t="shared" ca="1" si="53"/>
        <v>Upcoming</v>
      </c>
      <c r="AA270" s="5" t="str" cm="1">
        <f t="array" ref="AA270">_xlfn.IFS(W270&gt;10,"Veteran",W270&gt;=6,"Experienced",W270&gt;=2,"Developing",W270&gt;=0,"New")</f>
        <v>Veteran</v>
      </c>
      <c r="AB270" s="5" t="str" cm="1">
        <f t="array" ref="AB270">_xlfn.IFS(G270=1,"Junior",G270=2,"Mid-Level",G270=3,"Senior",G270=4,"Lead",G270=5,"Principal")&amp;" "&amp;TRIM(PROPER(H270))</f>
        <v>Lead Healthcare Representative</v>
      </c>
      <c r="AC270" s="19" t="str">
        <f t="shared" ca="1" si="54"/>
        <v>He-Res-2006-269 is a Lead Healthcare Representative in the Research &amp; Development department, aged 45, married and has been with the Company for 20years</v>
      </c>
    </row>
    <row r="271" spans="1:29">
      <c r="A271" s="18" t="str">
        <f t="shared" ca="1" si="44"/>
        <v>La-Res-2011-270</v>
      </c>
      <c r="B271" s="5">
        <v>36</v>
      </c>
      <c r="C271" s="5" t="str">
        <f t="shared" si="45"/>
        <v>30-39</v>
      </c>
      <c r="D271" s="5" t="s">
        <v>43</v>
      </c>
      <c r="E271" s="5" t="s">
        <v>45</v>
      </c>
      <c r="F271" s="5" t="s">
        <v>46</v>
      </c>
      <c r="G271" s="5">
        <v>1</v>
      </c>
      <c r="H271" s="5" t="s">
        <v>50</v>
      </c>
      <c r="I271" s="5" t="s">
        <v>48</v>
      </c>
      <c r="J271" s="7">
        <v>3210</v>
      </c>
      <c r="K271" s="7">
        <f t="shared" si="46"/>
        <v>481.5</v>
      </c>
      <c r="L271" s="7">
        <f t="shared" si="47"/>
        <v>2728.5</v>
      </c>
      <c r="M271" s="7">
        <v>20251</v>
      </c>
      <c r="N271" s="5" t="s">
        <v>43</v>
      </c>
      <c r="O271" s="5">
        <v>11</v>
      </c>
      <c r="P271" s="7">
        <f t="shared" si="48"/>
        <v>3563.1000000000004</v>
      </c>
      <c r="Q271" s="7">
        <f t="shared" si="49"/>
        <v>4237.2000000000044</v>
      </c>
      <c r="R271" s="7" t="str">
        <f t="shared" si="50"/>
        <v>Normal</v>
      </c>
      <c r="S271" s="5">
        <v>3</v>
      </c>
      <c r="T271" s="5">
        <v>3</v>
      </c>
      <c r="U271" s="5" t="str" cm="1">
        <f t="array" ref="U271">_xlfn.IFS(T271=1,"Poor",T271=2,"Fair",T271=3,"Good",T271=4,"Excellent")</f>
        <v>Good</v>
      </c>
      <c r="V271" s="5" t="s">
        <v>43</v>
      </c>
      <c r="W271" s="5">
        <v>15</v>
      </c>
      <c r="X271" s="28">
        <f t="shared" ca="1" si="51"/>
        <v>40632</v>
      </c>
      <c r="Y271" s="28">
        <f t="shared" ca="1" si="52"/>
        <v>46476</v>
      </c>
      <c r="Z271" s="28" t="str">
        <f t="shared" ca="1" si="53"/>
        <v>Due Soon</v>
      </c>
      <c r="AA271" s="5" t="str" cm="1">
        <f t="array" ref="AA271">_xlfn.IFS(W271&gt;10,"Veteran",W271&gt;=6,"Experienced",W271&gt;=2,"Developing",W271&gt;=0,"New")</f>
        <v>Veteran</v>
      </c>
      <c r="AB271" s="5" t="str" cm="1">
        <f t="array" ref="AB271">_xlfn.IFS(G271=1,"Junior",G271=2,"Mid-Level",G271=3,"Senior",G271=4,"Lead",G271=5,"Principal")&amp;" "&amp;TRIM(PROPER(H271))</f>
        <v>Junior Laboratory Technician</v>
      </c>
      <c r="AC271" s="19" t="str">
        <f t="shared" ca="1" si="54"/>
        <v>La-Res-2011-270 is a Junior Laboratory Technician in the Research &amp; Development department, aged 36, married and has been with the Company for 15years</v>
      </c>
    </row>
    <row r="272" spans="1:29">
      <c r="A272" s="18" t="str">
        <f t="shared" ca="1" si="44"/>
        <v>Ma-Res-1990-271</v>
      </c>
      <c r="B272" s="5">
        <v>55</v>
      </c>
      <c r="C272" s="5" t="str">
        <f t="shared" si="45"/>
        <v>50+</v>
      </c>
      <c r="D272" s="5" t="s">
        <v>43</v>
      </c>
      <c r="E272" s="5" t="s">
        <v>45</v>
      </c>
      <c r="F272" s="5" t="s">
        <v>46</v>
      </c>
      <c r="G272" s="5">
        <v>5</v>
      </c>
      <c r="H272" s="5" t="s">
        <v>56</v>
      </c>
      <c r="I272" s="5" t="s">
        <v>41</v>
      </c>
      <c r="J272" s="7">
        <v>19045</v>
      </c>
      <c r="K272" s="7">
        <f t="shared" si="46"/>
        <v>5713.5</v>
      </c>
      <c r="L272" s="7">
        <f t="shared" si="47"/>
        <v>13331.5</v>
      </c>
      <c r="M272" s="7">
        <v>18938</v>
      </c>
      <c r="N272" s="5" t="s">
        <v>35</v>
      </c>
      <c r="O272" s="5">
        <v>14</v>
      </c>
      <c r="P272" s="7">
        <f t="shared" si="48"/>
        <v>21711.300000000003</v>
      </c>
      <c r="Q272" s="7">
        <f t="shared" si="49"/>
        <v>31995.600000000035</v>
      </c>
      <c r="R272" s="7" t="str">
        <f t="shared" si="50"/>
        <v>Normal</v>
      </c>
      <c r="S272" s="5">
        <v>3</v>
      </c>
      <c r="T272" s="5">
        <v>3</v>
      </c>
      <c r="U272" s="5" t="str" cm="1">
        <f t="array" ref="U272">_xlfn.IFS(T272=1,"Poor",T272=2,"Fair",T272=3,"Good",T272=4,"Excellent")</f>
        <v>Good</v>
      </c>
      <c r="V272" s="5" t="s">
        <v>35</v>
      </c>
      <c r="W272" s="5">
        <v>36</v>
      </c>
      <c r="X272" s="28">
        <f t="shared" ca="1" si="51"/>
        <v>32962</v>
      </c>
      <c r="Y272" s="28">
        <f t="shared" ca="1" si="52"/>
        <v>46842</v>
      </c>
      <c r="Z272" s="28" t="str">
        <f t="shared" ca="1" si="53"/>
        <v>Upcoming</v>
      </c>
      <c r="AA272" s="5" t="str" cm="1">
        <f t="array" ref="AA272">_xlfn.IFS(W272&gt;10,"Veteran",W272&gt;=6,"Experienced",W272&gt;=2,"Developing",W272&gt;=0,"New")</f>
        <v>Veteran</v>
      </c>
      <c r="AB272" s="5" t="str" cm="1">
        <f t="array" ref="AB272">_xlfn.IFS(G272=1,"Junior",G272=2,"Mid-Level",G272=3,"Senior",G272=4,"Lead",G272=5,"Principal")&amp;" "&amp;TRIM(PROPER(H272))</f>
        <v>Principal Manager</v>
      </c>
      <c r="AC272" s="19" t="str">
        <f t="shared" ca="1" si="54"/>
        <v>Ma-Res-1990-271 is a Principal Manager in the Research &amp; Development department, aged 55, single and has been with the Company for 36years</v>
      </c>
    </row>
    <row r="273" spans="1:29">
      <c r="A273" s="18" t="str">
        <f t="shared" ca="1" si="44"/>
        <v>Ma-Res-2016-272</v>
      </c>
      <c r="B273" s="5">
        <v>47</v>
      </c>
      <c r="C273" s="5" t="str">
        <f t="shared" si="45"/>
        <v>40-49</v>
      </c>
      <c r="D273" s="5" t="s">
        <v>35</v>
      </c>
      <c r="E273" s="5" t="s">
        <v>45</v>
      </c>
      <c r="F273" s="5" t="s">
        <v>46</v>
      </c>
      <c r="G273" s="5">
        <v>3</v>
      </c>
      <c r="H273" s="5" t="s">
        <v>56</v>
      </c>
      <c r="I273" s="5" t="s">
        <v>48</v>
      </c>
      <c r="J273" s="7">
        <v>11849</v>
      </c>
      <c r="K273" s="7">
        <f t="shared" si="46"/>
        <v>2606.7800000000002</v>
      </c>
      <c r="L273" s="7">
        <f t="shared" si="47"/>
        <v>9242.2199999999993</v>
      </c>
      <c r="M273" s="7">
        <v>10268</v>
      </c>
      <c r="N273" s="5" t="s">
        <v>35</v>
      </c>
      <c r="O273" s="5">
        <v>12</v>
      </c>
      <c r="P273" s="7">
        <f t="shared" si="48"/>
        <v>13270.880000000001</v>
      </c>
      <c r="Q273" s="7">
        <f t="shared" si="49"/>
        <v>17062.560000000012</v>
      </c>
      <c r="R273" s="7" t="str">
        <f t="shared" si="50"/>
        <v>Normal</v>
      </c>
      <c r="S273" s="5">
        <v>3</v>
      </c>
      <c r="T273" s="5">
        <v>2</v>
      </c>
      <c r="U273" s="5" t="str" cm="1">
        <f t="array" ref="U273">_xlfn.IFS(T273=1,"Poor",T273=2,"Fair",T273=3,"Good",T273=4,"Excellent")</f>
        <v>Fair</v>
      </c>
      <c r="V273" s="5" t="s">
        <v>35</v>
      </c>
      <c r="W273" s="5">
        <v>10</v>
      </c>
      <c r="X273" s="28">
        <f t="shared" ca="1" si="51"/>
        <v>42459</v>
      </c>
      <c r="Y273" s="28">
        <f t="shared" ca="1" si="52"/>
        <v>46842</v>
      </c>
      <c r="Z273" s="28" t="str">
        <f t="shared" ca="1" si="53"/>
        <v>Upcoming</v>
      </c>
      <c r="AA273" s="5" t="str" cm="1">
        <f t="array" ref="AA273">_xlfn.IFS(W273&gt;10,"Veteran",W273&gt;=6,"Experienced",W273&gt;=2,"Developing",W273&gt;=0,"New")</f>
        <v>Experienced</v>
      </c>
      <c r="AB273" s="5" t="str" cm="1">
        <f t="array" ref="AB273">_xlfn.IFS(G273=1,"Junior",G273=2,"Mid-Level",G273=3,"Senior",G273=4,"Lead",G273=5,"Principal")&amp;" "&amp;TRIM(PROPER(H273))</f>
        <v>Senior Manager</v>
      </c>
      <c r="AC273" s="19" t="str">
        <f t="shared" ca="1" si="54"/>
        <v>Ma-Res-2016-272 is a Senior Manager in the Research &amp; Development department, aged 47, married and has been with the Company for 10years</v>
      </c>
    </row>
    <row r="274" spans="1:29">
      <c r="A274" s="18" t="str">
        <f t="shared" ca="1" si="44"/>
        <v>Re-Res-2021-273</v>
      </c>
      <c r="B274" s="5">
        <v>28</v>
      </c>
      <c r="C274" s="5" t="str">
        <f t="shared" si="45"/>
        <v>20-29</v>
      </c>
      <c r="D274" s="5" t="s">
        <v>43</v>
      </c>
      <c r="E274" s="5" t="s">
        <v>45</v>
      </c>
      <c r="F274" s="5" t="s">
        <v>46</v>
      </c>
      <c r="G274" s="5">
        <v>1</v>
      </c>
      <c r="H274" s="5" t="s">
        <v>47</v>
      </c>
      <c r="I274" s="5" t="s">
        <v>48</v>
      </c>
      <c r="J274" s="7">
        <v>2070</v>
      </c>
      <c r="K274" s="7">
        <f t="shared" si="46"/>
        <v>144.9</v>
      </c>
      <c r="L274" s="7">
        <f t="shared" si="47"/>
        <v>1925.1</v>
      </c>
      <c r="M274" s="7">
        <v>2613</v>
      </c>
      <c r="N274" s="5" t="s">
        <v>43</v>
      </c>
      <c r="O274" s="5">
        <v>23</v>
      </c>
      <c r="P274" s="7">
        <f t="shared" si="48"/>
        <v>2546.1</v>
      </c>
      <c r="Q274" s="7">
        <f t="shared" si="49"/>
        <v>5713.1999999999989</v>
      </c>
      <c r="R274" s="7" t="str">
        <f t="shared" si="50"/>
        <v>Normal</v>
      </c>
      <c r="S274" s="5">
        <v>4</v>
      </c>
      <c r="T274" s="5">
        <v>2</v>
      </c>
      <c r="U274" s="5" t="str" cm="1">
        <f t="array" ref="U274">_xlfn.IFS(T274=1,"Poor",T274=2,"Fair",T274=3,"Good",T274=4,"Excellent")</f>
        <v>Fair</v>
      </c>
      <c r="V274" s="5" t="s">
        <v>43</v>
      </c>
      <c r="W274" s="5">
        <v>5</v>
      </c>
      <c r="X274" s="28">
        <f t="shared" ca="1" si="51"/>
        <v>44285</v>
      </c>
      <c r="Y274" s="28">
        <f t="shared" ca="1" si="52"/>
        <v>46476</v>
      </c>
      <c r="Z274" s="28" t="str">
        <f t="shared" ca="1" si="53"/>
        <v>Due Soon</v>
      </c>
      <c r="AA274" s="5" t="str" cm="1">
        <f t="array" ref="AA274">_xlfn.IFS(W274&gt;10,"Veteran",W274&gt;=6,"Experienced",W274&gt;=2,"Developing",W274&gt;=0,"New")</f>
        <v>Developing</v>
      </c>
      <c r="AB274" s="5" t="str" cm="1">
        <f t="array" ref="AB274">_xlfn.IFS(G274=1,"Junior",G274=2,"Mid-Level",G274=3,"Senior",G274=4,"Lead",G274=5,"Principal")&amp;" "&amp;TRIM(PROPER(H274))</f>
        <v>Junior Research Scientist</v>
      </c>
      <c r="AC274" s="19" t="str">
        <f t="shared" ca="1" si="54"/>
        <v>Re-Res-2021-273 is a Junior Research Scientist in the Research &amp; Development department, aged 28, married and has been with the Company for 5years</v>
      </c>
    </row>
    <row r="275" spans="1:29">
      <c r="A275" s="18" t="str">
        <f t="shared" ca="1" si="44"/>
        <v>Sa-Sal-2021-274</v>
      </c>
      <c r="B275" s="5">
        <v>37</v>
      </c>
      <c r="C275" s="5" t="str">
        <f t="shared" si="45"/>
        <v>30-39</v>
      </c>
      <c r="D275" s="5" t="s">
        <v>43</v>
      </c>
      <c r="E275" s="5" t="s">
        <v>37</v>
      </c>
      <c r="F275" s="5" t="s">
        <v>46</v>
      </c>
      <c r="G275" s="5">
        <v>2</v>
      </c>
      <c r="H275" s="5" t="s">
        <v>40</v>
      </c>
      <c r="I275" s="5" t="s">
        <v>48</v>
      </c>
      <c r="J275" s="7">
        <v>6502</v>
      </c>
      <c r="K275" s="7">
        <f t="shared" si="46"/>
        <v>975.3</v>
      </c>
      <c r="L275" s="7">
        <f t="shared" si="47"/>
        <v>5526.7</v>
      </c>
      <c r="M275" s="7">
        <v>22825</v>
      </c>
      <c r="N275" s="5" t="s">
        <v>43</v>
      </c>
      <c r="O275" s="5">
        <v>14</v>
      </c>
      <c r="P275" s="7">
        <f t="shared" si="48"/>
        <v>7412.2800000000007</v>
      </c>
      <c r="Q275" s="7">
        <f t="shared" si="49"/>
        <v>10923.360000000008</v>
      </c>
      <c r="R275" s="7" t="str">
        <f t="shared" si="50"/>
        <v>Normal</v>
      </c>
      <c r="S275" s="5">
        <v>3</v>
      </c>
      <c r="T275" s="5">
        <v>4</v>
      </c>
      <c r="U275" s="5" t="str" cm="1">
        <f t="array" ref="U275">_xlfn.IFS(T275=1,"Poor",T275=2,"Fair",T275=3,"Good",T275=4,"Excellent")</f>
        <v>Excellent</v>
      </c>
      <c r="V275" s="5" t="s">
        <v>43</v>
      </c>
      <c r="W275" s="5">
        <v>5</v>
      </c>
      <c r="X275" s="28">
        <f t="shared" ca="1" si="51"/>
        <v>44285</v>
      </c>
      <c r="Y275" s="28">
        <f t="shared" ca="1" si="52"/>
        <v>46476</v>
      </c>
      <c r="Z275" s="28" t="str">
        <f t="shared" ca="1" si="53"/>
        <v>Due Soon</v>
      </c>
      <c r="AA275" s="5" t="str" cm="1">
        <f t="array" ref="AA275">_xlfn.IFS(W275&gt;10,"Veteran",W275&gt;=6,"Experienced",W275&gt;=2,"Developing",W275&gt;=0,"New")</f>
        <v>Developing</v>
      </c>
      <c r="AB275" s="5" t="str" cm="1">
        <f t="array" ref="AB275">_xlfn.IFS(G275=1,"Junior",G275=2,"Mid-Level",G275=3,"Senior",G275=4,"Lead",G275=5,"Principal")&amp;" "&amp;TRIM(PROPER(H275))</f>
        <v>Mid-Level Sales Executive</v>
      </c>
      <c r="AC275" s="19" t="str">
        <f t="shared" ca="1" si="54"/>
        <v>Sa-Sal-2021-274 is a Mid-Level Sales Executive in the Sales department, aged 37, married and has been with the Company for 5years</v>
      </c>
    </row>
    <row r="276" spans="1:29">
      <c r="A276" s="18" t="str">
        <f t="shared" ca="1" si="44"/>
        <v>Re-Res-2023-275</v>
      </c>
      <c r="B276" s="5">
        <v>21</v>
      </c>
      <c r="C276" s="5" t="str">
        <f t="shared" si="45"/>
        <v>20-29</v>
      </c>
      <c r="D276" s="5" t="s">
        <v>43</v>
      </c>
      <c r="E276" s="5" t="s">
        <v>45</v>
      </c>
      <c r="F276" s="5" t="s">
        <v>46</v>
      </c>
      <c r="G276" s="5">
        <v>1</v>
      </c>
      <c r="H276" s="5" t="s">
        <v>47</v>
      </c>
      <c r="I276" s="5" t="s">
        <v>41</v>
      </c>
      <c r="J276" s="7">
        <v>3230</v>
      </c>
      <c r="K276" s="7">
        <f t="shared" si="46"/>
        <v>484.5</v>
      </c>
      <c r="L276" s="7">
        <f t="shared" si="47"/>
        <v>2745.5</v>
      </c>
      <c r="M276" s="7">
        <v>10531</v>
      </c>
      <c r="N276" s="5" t="s">
        <v>43</v>
      </c>
      <c r="O276" s="5">
        <v>17</v>
      </c>
      <c r="P276" s="7">
        <f t="shared" si="48"/>
        <v>3779.1</v>
      </c>
      <c r="Q276" s="7">
        <f t="shared" si="49"/>
        <v>6589.1999999999989</v>
      </c>
      <c r="R276" s="7" t="str">
        <f t="shared" si="50"/>
        <v>Normal</v>
      </c>
      <c r="S276" s="5">
        <v>3</v>
      </c>
      <c r="T276" s="5">
        <v>4</v>
      </c>
      <c r="U276" s="5" t="str" cm="1">
        <f t="array" ref="U276">_xlfn.IFS(T276=1,"Poor",T276=2,"Fair",T276=3,"Good",T276=4,"Excellent")</f>
        <v>Excellent</v>
      </c>
      <c r="V276" s="5" t="s">
        <v>43</v>
      </c>
      <c r="W276" s="5">
        <v>3</v>
      </c>
      <c r="X276" s="28">
        <f t="shared" ca="1" si="51"/>
        <v>45015</v>
      </c>
      <c r="Y276" s="28">
        <f t="shared" ca="1" si="52"/>
        <v>46476</v>
      </c>
      <c r="Z276" s="28" t="str">
        <f t="shared" ca="1" si="53"/>
        <v>Due Soon</v>
      </c>
      <c r="AA276" s="5" t="str" cm="1">
        <f t="array" ref="AA276">_xlfn.IFS(W276&gt;10,"Veteran",W276&gt;=6,"Experienced",W276&gt;=2,"Developing",W276&gt;=0,"New")</f>
        <v>Developing</v>
      </c>
      <c r="AB276" s="5" t="str" cm="1">
        <f t="array" ref="AB276">_xlfn.IFS(G276=1,"Junior",G276=2,"Mid-Level",G276=3,"Senior",G276=4,"Lead",G276=5,"Principal")&amp;" "&amp;TRIM(PROPER(H276))</f>
        <v>Junior Research Scientist</v>
      </c>
      <c r="AC276" s="19" t="str">
        <f t="shared" ca="1" si="54"/>
        <v>Re-Res-2023-275 is a Junior Research Scientist in the Research &amp; Development department, aged 21, single and has been with the Company for 3years</v>
      </c>
    </row>
    <row r="277" spans="1:29">
      <c r="A277" s="18" t="str">
        <f t="shared" ca="1" si="44"/>
        <v>Re-Res-2021-276</v>
      </c>
      <c r="B277" s="5">
        <v>37</v>
      </c>
      <c r="C277" s="5" t="str">
        <f t="shared" si="45"/>
        <v>30-39</v>
      </c>
      <c r="D277" s="5" t="s">
        <v>43</v>
      </c>
      <c r="E277" s="5" t="s">
        <v>45</v>
      </c>
      <c r="F277" s="5" t="s">
        <v>39</v>
      </c>
      <c r="G277" s="5">
        <v>3</v>
      </c>
      <c r="H277" s="5" t="s">
        <v>58</v>
      </c>
      <c r="I277" s="5" t="s">
        <v>52</v>
      </c>
      <c r="J277" s="7">
        <v>13603</v>
      </c>
      <c r="K277" s="7">
        <f t="shared" si="46"/>
        <v>4080.8999999999996</v>
      </c>
      <c r="L277" s="7">
        <f t="shared" si="47"/>
        <v>9522.1</v>
      </c>
      <c r="M277" s="7">
        <v>11677</v>
      </c>
      <c r="N277" s="5" t="s">
        <v>35</v>
      </c>
      <c r="O277" s="5">
        <v>18</v>
      </c>
      <c r="P277" s="7">
        <f t="shared" si="48"/>
        <v>16051.539999999999</v>
      </c>
      <c r="Q277" s="7">
        <f t="shared" si="49"/>
        <v>29382.479999999989</v>
      </c>
      <c r="R277" s="7" t="str">
        <f t="shared" si="50"/>
        <v>Normal</v>
      </c>
      <c r="S277" s="5">
        <v>3</v>
      </c>
      <c r="T277" s="5">
        <v>3</v>
      </c>
      <c r="U277" s="5" t="str" cm="1">
        <f t="array" ref="U277">_xlfn.IFS(T277=1,"Poor",T277=2,"Fair",T277=3,"Good",T277=4,"Excellent")</f>
        <v>Good</v>
      </c>
      <c r="V277" s="5" t="s">
        <v>35</v>
      </c>
      <c r="W277" s="5">
        <v>5</v>
      </c>
      <c r="X277" s="28">
        <f t="shared" ca="1" si="51"/>
        <v>44285</v>
      </c>
      <c r="Y277" s="28">
        <f t="shared" ca="1" si="52"/>
        <v>46476</v>
      </c>
      <c r="Z277" s="28" t="str">
        <f t="shared" ca="1" si="53"/>
        <v>Due Soon</v>
      </c>
      <c r="AA277" s="5" t="str" cm="1">
        <f t="array" ref="AA277">_xlfn.IFS(W277&gt;10,"Veteran",W277&gt;=6,"Experienced",W277&gt;=2,"Developing",W277&gt;=0,"New")</f>
        <v>Developing</v>
      </c>
      <c r="AB277" s="5" t="str" cm="1">
        <f t="array" ref="AB277">_xlfn.IFS(G277=1,"Junior",G277=2,"Mid-Level",G277=3,"Senior",G277=4,"Lead",G277=5,"Principal")&amp;" "&amp;TRIM(PROPER(H277))</f>
        <v>Senior Research Director</v>
      </c>
      <c r="AC277" s="19" t="str">
        <f t="shared" ca="1" si="54"/>
        <v>Re-Res-2021-276 is a Senior Research Director in the Research &amp; Development department, aged 37, divorced and has been with the Company for 5years</v>
      </c>
    </row>
    <row r="278" spans="1:29">
      <c r="A278" s="18" t="str">
        <f t="shared" ca="1" si="44"/>
        <v>Ma-Res-2019-277</v>
      </c>
      <c r="B278" s="5">
        <v>35</v>
      </c>
      <c r="C278" s="5" t="str">
        <f t="shared" si="45"/>
        <v>30-39</v>
      </c>
      <c r="D278" s="5" t="s">
        <v>43</v>
      </c>
      <c r="E278" s="5" t="s">
        <v>45</v>
      </c>
      <c r="F278" s="5" t="s">
        <v>39</v>
      </c>
      <c r="G278" s="5">
        <v>3</v>
      </c>
      <c r="H278" s="5" t="s">
        <v>56</v>
      </c>
      <c r="I278" s="5" t="s">
        <v>52</v>
      </c>
      <c r="J278" s="7">
        <v>11996</v>
      </c>
      <c r="K278" s="7">
        <f t="shared" si="46"/>
        <v>2639.12</v>
      </c>
      <c r="L278" s="7">
        <f t="shared" si="47"/>
        <v>9356.880000000001</v>
      </c>
      <c r="M278" s="7">
        <v>19100</v>
      </c>
      <c r="N278" s="5" t="s">
        <v>43</v>
      </c>
      <c r="O278" s="5">
        <v>18</v>
      </c>
      <c r="P278" s="7">
        <f t="shared" si="48"/>
        <v>14155.279999999999</v>
      </c>
      <c r="Q278" s="7">
        <f t="shared" si="49"/>
        <v>25911.359999999986</v>
      </c>
      <c r="R278" s="7" t="str">
        <f t="shared" si="50"/>
        <v>Normal</v>
      </c>
      <c r="S278" s="5">
        <v>3</v>
      </c>
      <c r="T278" s="5">
        <v>2</v>
      </c>
      <c r="U278" s="5" t="str" cm="1">
        <f t="array" ref="U278">_xlfn.IFS(T278=1,"Poor",T278=2,"Fair",T278=3,"Good",T278=4,"Excellent")</f>
        <v>Fair</v>
      </c>
      <c r="V278" s="5" t="s">
        <v>43</v>
      </c>
      <c r="W278" s="5">
        <v>7</v>
      </c>
      <c r="X278" s="28">
        <f t="shared" ca="1" si="51"/>
        <v>43554</v>
      </c>
      <c r="Y278" s="28">
        <f t="shared" ca="1" si="52"/>
        <v>46476</v>
      </c>
      <c r="Z278" s="28" t="str">
        <f t="shared" ca="1" si="53"/>
        <v>Due Soon</v>
      </c>
      <c r="AA278" s="5" t="str" cm="1">
        <f t="array" ref="AA278">_xlfn.IFS(W278&gt;10,"Veteran",W278&gt;=6,"Experienced",W278&gt;=2,"Developing",W278&gt;=0,"New")</f>
        <v>Experienced</v>
      </c>
      <c r="AB278" s="5" t="str" cm="1">
        <f t="array" ref="AB278">_xlfn.IFS(G278=1,"Junior",G278=2,"Mid-Level",G278=3,"Senior",G278=4,"Lead",G278=5,"Principal")&amp;" "&amp;TRIM(PROPER(H278))</f>
        <v>Senior Manager</v>
      </c>
      <c r="AC278" s="19" t="str">
        <f t="shared" ca="1" si="54"/>
        <v>Ma-Res-2019-277 is a Senior Manager in the Research &amp; Development department, aged 35, divorced and has been with the Company for 7years</v>
      </c>
    </row>
    <row r="279" spans="1:29">
      <c r="A279" s="18" t="str">
        <f t="shared" ca="1" si="44"/>
        <v>Sa-Sal-2018-278</v>
      </c>
      <c r="B279" s="5">
        <v>38</v>
      </c>
      <c r="C279" s="5" t="str">
        <f t="shared" si="45"/>
        <v>30-39</v>
      </c>
      <c r="D279" s="5" t="s">
        <v>43</v>
      </c>
      <c r="E279" s="5" t="s">
        <v>37</v>
      </c>
      <c r="F279" s="5" t="s">
        <v>39</v>
      </c>
      <c r="G279" s="5">
        <v>2</v>
      </c>
      <c r="H279" s="5" t="s">
        <v>40</v>
      </c>
      <c r="I279" s="5" t="s">
        <v>52</v>
      </c>
      <c r="J279" s="7">
        <v>5605</v>
      </c>
      <c r="K279" s="7">
        <f t="shared" si="46"/>
        <v>840.75</v>
      </c>
      <c r="L279" s="7">
        <f t="shared" si="47"/>
        <v>4764.25</v>
      </c>
      <c r="M279" s="7">
        <v>19191</v>
      </c>
      <c r="N279" s="5" t="s">
        <v>35</v>
      </c>
      <c r="O279" s="5">
        <v>24</v>
      </c>
      <c r="P279" s="7">
        <f t="shared" si="48"/>
        <v>6950.2</v>
      </c>
      <c r="Q279" s="7">
        <f t="shared" si="49"/>
        <v>16142.399999999998</v>
      </c>
      <c r="R279" s="7" t="str">
        <f t="shared" si="50"/>
        <v>Normal</v>
      </c>
      <c r="S279" s="5">
        <v>4</v>
      </c>
      <c r="T279" s="5">
        <v>3</v>
      </c>
      <c r="U279" s="5" t="str" cm="1">
        <f t="array" ref="U279">_xlfn.IFS(T279=1,"Poor",T279=2,"Fair",T279=3,"Good",T279=4,"Excellent")</f>
        <v>Good</v>
      </c>
      <c r="V279" s="5" t="s">
        <v>35</v>
      </c>
      <c r="W279" s="5">
        <v>8</v>
      </c>
      <c r="X279" s="28">
        <f t="shared" ca="1" si="51"/>
        <v>43189</v>
      </c>
      <c r="Y279" s="28">
        <f t="shared" ca="1" si="52"/>
        <v>46842</v>
      </c>
      <c r="Z279" s="28" t="str">
        <f t="shared" ca="1" si="53"/>
        <v>Upcoming</v>
      </c>
      <c r="AA279" s="5" t="str" cm="1">
        <f t="array" ref="AA279">_xlfn.IFS(W279&gt;10,"Veteran",W279&gt;=6,"Experienced",W279&gt;=2,"Developing",W279&gt;=0,"New")</f>
        <v>Experienced</v>
      </c>
      <c r="AB279" s="5" t="str" cm="1">
        <f t="array" ref="AB279">_xlfn.IFS(G279=1,"Junior",G279=2,"Mid-Level",G279=3,"Senior",G279=4,"Lead",G279=5,"Principal")&amp;" "&amp;TRIM(PROPER(H279))</f>
        <v>Mid-Level Sales Executive</v>
      </c>
      <c r="AC279" s="19" t="str">
        <f t="shared" ca="1" si="54"/>
        <v>Sa-Sal-2018-278 is a Mid-Level Sales Executive in the Sales department, aged 38, divorced and has been with the Company for 8years</v>
      </c>
    </row>
    <row r="280" spans="1:29">
      <c r="A280" s="18" t="str">
        <f t="shared" ca="1" si="44"/>
        <v>Ma-Res-2020-279</v>
      </c>
      <c r="B280" s="5">
        <v>26</v>
      </c>
      <c r="C280" s="5" t="str">
        <f t="shared" si="45"/>
        <v>20-29</v>
      </c>
      <c r="D280" s="5" t="s">
        <v>43</v>
      </c>
      <c r="E280" s="5" t="s">
        <v>45</v>
      </c>
      <c r="F280" s="5" t="s">
        <v>39</v>
      </c>
      <c r="G280" s="5">
        <v>2</v>
      </c>
      <c r="H280" s="5" t="s">
        <v>53</v>
      </c>
      <c r="I280" s="5" t="s">
        <v>52</v>
      </c>
      <c r="J280" s="7">
        <v>6397</v>
      </c>
      <c r="K280" s="7">
        <f t="shared" si="46"/>
        <v>959.55</v>
      </c>
      <c r="L280" s="7">
        <f t="shared" si="47"/>
        <v>5437.45</v>
      </c>
      <c r="M280" s="7">
        <v>26767</v>
      </c>
      <c r="N280" s="5" t="s">
        <v>43</v>
      </c>
      <c r="O280" s="5">
        <v>20</v>
      </c>
      <c r="P280" s="7">
        <f t="shared" si="48"/>
        <v>7676.4</v>
      </c>
      <c r="Q280" s="7">
        <f t="shared" si="49"/>
        <v>15352.799999999996</v>
      </c>
      <c r="R280" s="7" t="str">
        <f t="shared" si="50"/>
        <v>Normal</v>
      </c>
      <c r="S280" s="5">
        <v>4</v>
      </c>
      <c r="T280" s="5">
        <v>1</v>
      </c>
      <c r="U280" s="5" t="str" cm="1">
        <f t="array" ref="U280">_xlfn.IFS(T280=1,"Poor",T280=2,"Fair",T280=3,"Good",T280=4,"Excellent")</f>
        <v>Poor</v>
      </c>
      <c r="V280" s="5" t="s">
        <v>43</v>
      </c>
      <c r="W280" s="5">
        <v>6</v>
      </c>
      <c r="X280" s="28">
        <f t="shared" ca="1" si="51"/>
        <v>43920</v>
      </c>
      <c r="Y280" s="28">
        <f t="shared" ca="1" si="52"/>
        <v>46842</v>
      </c>
      <c r="Z280" s="28" t="str">
        <f t="shared" ca="1" si="53"/>
        <v>Upcoming</v>
      </c>
      <c r="AA280" s="5" t="str" cm="1">
        <f t="array" ref="AA280">_xlfn.IFS(W280&gt;10,"Veteran",W280&gt;=6,"Experienced",W280&gt;=2,"Developing",W280&gt;=0,"New")</f>
        <v>Experienced</v>
      </c>
      <c r="AB280" s="5" t="str" cm="1">
        <f t="array" ref="AB280">_xlfn.IFS(G280=1,"Junior",G280=2,"Mid-Level",G280=3,"Senior",G280=4,"Lead",G280=5,"Principal")&amp;" "&amp;TRIM(PROPER(H280))</f>
        <v>Mid-Level Manufacturing Director</v>
      </c>
      <c r="AC280" s="19" t="str">
        <f t="shared" ca="1" si="54"/>
        <v>Ma-Res-2020-279 is a Mid-Level Manufacturing Director in the Research &amp; Development department, aged 26, divorced and has been with the Company for 6years</v>
      </c>
    </row>
    <row r="281" spans="1:29">
      <c r="A281" s="18" t="str">
        <f t="shared" ca="1" si="44"/>
        <v>Re-Res-2016-280</v>
      </c>
      <c r="B281" s="5">
        <v>50</v>
      </c>
      <c r="C281" s="5" t="str">
        <f t="shared" si="45"/>
        <v>50+</v>
      </c>
      <c r="D281" s="5" t="s">
        <v>43</v>
      </c>
      <c r="E281" s="5" t="s">
        <v>45</v>
      </c>
      <c r="F281" s="5" t="s">
        <v>46</v>
      </c>
      <c r="G281" s="5">
        <v>5</v>
      </c>
      <c r="H281" s="5" t="s">
        <v>58</v>
      </c>
      <c r="I281" s="5" t="s">
        <v>52</v>
      </c>
      <c r="J281" s="7">
        <v>19144</v>
      </c>
      <c r="K281" s="7">
        <f t="shared" si="46"/>
        <v>5743.2</v>
      </c>
      <c r="L281" s="7">
        <f t="shared" si="47"/>
        <v>13400.8</v>
      </c>
      <c r="M281" s="7">
        <v>15815</v>
      </c>
      <c r="N281" s="5" t="s">
        <v>43</v>
      </c>
      <c r="O281" s="5">
        <v>14</v>
      </c>
      <c r="P281" s="7">
        <f t="shared" si="48"/>
        <v>21824.160000000003</v>
      </c>
      <c r="Q281" s="7">
        <f t="shared" si="49"/>
        <v>32161.920000000042</v>
      </c>
      <c r="R281" s="7" t="str">
        <f t="shared" si="50"/>
        <v>Normal</v>
      </c>
      <c r="S281" s="5">
        <v>3</v>
      </c>
      <c r="T281" s="5">
        <v>2</v>
      </c>
      <c r="U281" s="5" t="str" cm="1">
        <f t="array" ref="U281">_xlfn.IFS(T281=1,"Poor",T281=2,"Fair",T281=3,"Good",T281=4,"Excellent")</f>
        <v>Fair</v>
      </c>
      <c r="V281" s="5" t="s">
        <v>43</v>
      </c>
      <c r="W281" s="5">
        <v>10</v>
      </c>
      <c r="X281" s="28">
        <f t="shared" ca="1" si="51"/>
        <v>42459</v>
      </c>
      <c r="Y281" s="28">
        <f t="shared" ca="1" si="52"/>
        <v>46842</v>
      </c>
      <c r="Z281" s="28" t="str">
        <f t="shared" ca="1" si="53"/>
        <v>Upcoming</v>
      </c>
      <c r="AA281" s="5" t="str" cm="1">
        <f t="array" ref="AA281">_xlfn.IFS(W281&gt;10,"Veteran",W281&gt;=6,"Experienced",W281&gt;=2,"Developing",W281&gt;=0,"New")</f>
        <v>Experienced</v>
      </c>
      <c r="AB281" s="5" t="str" cm="1">
        <f t="array" ref="AB281">_xlfn.IFS(G281=1,"Junior",G281=2,"Mid-Level",G281=3,"Senior",G281=4,"Lead",G281=5,"Principal")&amp;" "&amp;TRIM(PROPER(H281))</f>
        <v>Principal Research Director</v>
      </c>
      <c r="AC281" s="19" t="str">
        <f t="shared" ca="1" si="54"/>
        <v>Re-Res-2016-280 is a Principal Research Director in the Research &amp; Development department, aged 50, divorced and has been with the Company for 10years</v>
      </c>
    </row>
    <row r="282" spans="1:29">
      <c r="A282" s="18" t="str">
        <f t="shared" ca="1" si="44"/>
        <v>Re-Res-2021-281</v>
      </c>
      <c r="B282" s="5">
        <v>53</v>
      </c>
      <c r="C282" s="5" t="str">
        <f t="shared" si="45"/>
        <v>50+</v>
      </c>
      <c r="D282" s="5" t="s">
        <v>43</v>
      </c>
      <c r="E282" s="5" t="s">
        <v>45</v>
      </c>
      <c r="F282" s="5" t="s">
        <v>46</v>
      </c>
      <c r="G282" s="5">
        <v>4</v>
      </c>
      <c r="H282" s="5" t="s">
        <v>58</v>
      </c>
      <c r="I282" s="5" t="s">
        <v>48</v>
      </c>
      <c r="J282" s="7">
        <v>17584</v>
      </c>
      <c r="K282" s="7">
        <f t="shared" si="46"/>
        <v>5275.2</v>
      </c>
      <c r="L282" s="7">
        <f t="shared" si="47"/>
        <v>12308.8</v>
      </c>
      <c r="M282" s="7">
        <v>21016</v>
      </c>
      <c r="N282" s="5" t="s">
        <v>35</v>
      </c>
      <c r="O282" s="5">
        <v>16</v>
      </c>
      <c r="P282" s="7">
        <f t="shared" si="48"/>
        <v>20397.439999999999</v>
      </c>
      <c r="Q282" s="7">
        <f t="shared" si="49"/>
        <v>33761.279999999984</v>
      </c>
      <c r="R282" s="7" t="str">
        <f t="shared" si="50"/>
        <v>Normal</v>
      </c>
      <c r="S282" s="5">
        <v>3</v>
      </c>
      <c r="T282" s="5">
        <v>2</v>
      </c>
      <c r="U282" s="5" t="str" cm="1">
        <f t="array" ref="U282">_xlfn.IFS(T282=1,"Poor",T282=2,"Fair",T282=3,"Good",T282=4,"Excellent")</f>
        <v>Fair</v>
      </c>
      <c r="V282" s="5" t="s">
        <v>35</v>
      </c>
      <c r="W282" s="5">
        <v>5</v>
      </c>
      <c r="X282" s="28">
        <f t="shared" ca="1" si="51"/>
        <v>44285</v>
      </c>
      <c r="Y282" s="28">
        <f t="shared" ca="1" si="52"/>
        <v>46476</v>
      </c>
      <c r="Z282" s="28" t="str">
        <f t="shared" ca="1" si="53"/>
        <v>Due Soon</v>
      </c>
      <c r="AA282" s="5" t="str" cm="1">
        <f t="array" ref="AA282">_xlfn.IFS(W282&gt;10,"Veteran",W282&gt;=6,"Experienced",W282&gt;=2,"Developing",W282&gt;=0,"New")</f>
        <v>Developing</v>
      </c>
      <c r="AB282" s="5" t="str" cm="1">
        <f t="array" ref="AB282">_xlfn.IFS(G282=1,"Junior",G282=2,"Mid-Level",G282=3,"Senior",G282=4,"Lead",G282=5,"Principal")&amp;" "&amp;TRIM(PROPER(H282))</f>
        <v>Lead Research Director</v>
      </c>
      <c r="AC282" s="19" t="str">
        <f t="shared" ca="1" si="54"/>
        <v>Re-Res-2021-281 is a Lead Research Director in the Research &amp; Development department, aged 53, married and has been with the Company for 5years</v>
      </c>
    </row>
    <row r="283" spans="1:29">
      <c r="A283" s="18" t="str">
        <f t="shared" ca="1" si="44"/>
        <v>Sa-Sal-2006-282</v>
      </c>
      <c r="B283" s="5">
        <v>42</v>
      </c>
      <c r="C283" s="5" t="str">
        <f t="shared" si="45"/>
        <v>40-49</v>
      </c>
      <c r="D283" s="5" t="s">
        <v>43</v>
      </c>
      <c r="E283" s="5" t="s">
        <v>37</v>
      </c>
      <c r="F283" s="5" t="s">
        <v>46</v>
      </c>
      <c r="G283" s="5">
        <v>2</v>
      </c>
      <c r="H283" s="5" t="s">
        <v>40</v>
      </c>
      <c r="I283" s="5" t="s">
        <v>48</v>
      </c>
      <c r="J283" s="7">
        <v>4907</v>
      </c>
      <c r="K283" s="7">
        <f t="shared" si="46"/>
        <v>736.05</v>
      </c>
      <c r="L283" s="7">
        <f t="shared" si="47"/>
        <v>4170.95</v>
      </c>
      <c r="M283" s="7">
        <v>24532</v>
      </c>
      <c r="N283" s="5" t="s">
        <v>43</v>
      </c>
      <c r="O283" s="5">
        <v>25</v>
      </c>
      <c r="P283" s="7">
        <f t="shared" si="48"/>
        <v>6133.75</v>
      </c>
      <c r="Q283" s="7">
        <f t="shared" si="49"/>
        <v>14721</v>
      </c>
      <c r="R283" s="7" t="str">
        <f t="shared" si="50"/>
        <v>Normal</v>
      </c>
      <c r="S283" s="5">
        <v>4</v>
      </c>
      <c r="T283" s="5">
        <v>3</v>
      </c>
      <c r="U283" s="5" t="str" cm="1">
        <f t="array" ref="U283">_xlfn.IFS(T283=1,"Poor",T283=2,"Fair",T283=3,"Good",T283=4,"Excellent")</f>
        <v>Good</v>
      </c>
      <c r="V283" s="5" t="s">
        <v>43</v>
      </c>
      <c r="W283" s="5">
        <v>20</v>
      </c>
      <c r="X283" s="28">
        <f t="shared" ca="1" si="51"/>
        <v>38806</v>
      </c>
      <c r="Y283" s="28">
        <f t="shared" ca="1" si="52"/>
        <v>46842</v>
      </c>
      <c r="Z283" s="28" t="str">
        <f t="shared" ca="1" si="53"/>
        <v>Upcoming</v>
      </c>
      <c r="AA283" s="5" t="str" cm="1">
        <f t="array" ref="AA283">_xlfn.IFS(W283&gt;10,"Veteran",W283&gt;=6,"Experienced",W283&gt;=2,"Developing",W283&gt;=0,"New")</f>
        <v>Veteran</v>
      </c>
      <c r="AB283" s="5" t="str" cm="1">
        <f t="array" ref="AB283">_xlfn.IFS(G283=1,"Junior",G283=2,"Mid-Level",G283=3,"Senior",G283=4,"Lead",G283=5,"Principal")&amp;" "&amp;TRIM(PROPER(H283))</f>
        <v>Mid-Level Sales Executive</v>
      </c>
      <c r="AC283" s="19" t="str">
        <f t="shared" ca="1" si="54"/>
        <v>Sa-Sal-2006-282 is a Mid-Level Sales Executive in the Sales department, aged 42, married and has been with the Company for 20years</v>
      </c>
    </row>
    <row r="284" spans="1:29">
      <c r="A284" s="18" t="str">
        <f t="shared" ca="1" si="44"/>
        <v>Sa-Sal-2016-283</v>
      </c>
      <c r="B284" s="5">
        <v>29</v>
      </c>
      <c r="C284" s="5" t="str">
        <f t="shared" si="45"/>
        <v>20-29</v>
      </c>
      <c r="D284" s="5" t="s">
        <v>43</v>
      </c>
      <c r="E284" s="5" t="s">
        <v>37</v>
      </c>
      <c r="F284" s="5" t="s">
        <v>46</v>
      </c>
      <c r="G284" s="5">
        <v>2</v>
      </c>
      <c r="H284" s="5" t="s">
        <v>40</v>
      </c>
      <c r="I284" s="5" t="s">
        <v>41</v>
      </c>
      <c r="J284" s="7">
        <v>4554</v>
      </c>
      <c r="K284" s="7">
        <f t="shared" si="46"/>
        <v>683.1</v>
      </c>
      <c r="L284" s="7">
        <f t="shared" si="47"/>
        <v>3870.9</v>
      </c>
      <c r="M284" s="7">
        <v>20260</v>
      </c>
      <c r="N284" s="5" t="s">
        <v>43</v>
      </c>
      <c r="O284" s="5">
        <v>18</v>
      </c>
      <c r="P284" s="7">
        <f t="shared" si="48"/>
        <v>5373.7199999999993</v>
      </c>
      <c r="Q284" s="7">
        <f t="shared" si="49"/>
        <v>9836.6399999999921</v>
      </c>
      <c r="R284" s="7" t="str">
        <f t="shared" si="50"/>
        <v>Normal</v>
      </c>
      <c r="S284" s="5">
        <v>3</v>
      </c>
      <c r="T284" s="5">
        <v>2</v>
      </c>
      <c r="U284" s="5" t="str" cm="1">
        <f t="array" ref="U284">_xlfn.IFS(T284=1,"Poor",T284=2,"Fair",T284=3,"Good",T284=4,"Excellent")</f>
        <v>Fair</v>
      </c>
      <c r="V284" s="5" t="s">
        <v>43</v>
      </c>
      <c r="W284" s="5">
        <v>10</v>
      </c>
      <c r="X284" s="28">
        <f t="shared" ca="1" si="51"/>
        <v>42459</v>
      </c>
      <c r="Y284" s="28">
        <f t="shared" ca="1" si="52"/>
        <v>46842</v>
      </c>
      <c r="Z284" s="28" t="str">
        <f t="shared" ca="1" si="53"/>
        <v>Upcoming</v>
      </c>
      <c r="AA284" s="5" t="str" cm="1">
        <f t="array" ref="AA284">_xlfn.IFS(W284&gt;10,"Veteran",W284&gt;=6,"Experienced",W284&gt;=2,"Developing",W284&gt;=0,"New")</f>
        <v>Experienced</v>
      </c>
      <c r="AB284" s="5" t="str" cm="1">
        <f t="array" ref="AB284">_xlfn.IFS(G284=1,"Junior",G284=2,"Mid-Level",G284=3,"Senior",G284=4,"Lead",G284=5,"Principal")&amp;" "&amp;TRIM(PROPER(H284))</f>
        <v>Mid-Level Sales Executive</v>
      </c>
      <c r="AC284" s="19" t="str">
        <f t="shared" ca="1" si="54"/>
        <v>Sa-Sal-2016-283 is a Mid-Level Sales Executive in the Sales department, aged 29, single and has been with the Company for 10years</v>
      </c>
    </row>
    <row r="285" spans="1:29">
      <c r="A285" s="18" t="str">
        <f t="shared" ca="1" si="44"/>
        <v>La-Res-2016-284</v>
      </c>
      <c r="B285" s="5">
        <v>55</v>
      </c>
      <c r="C285" s="5" t="str">
        <f t="shared" si="45"/>
        <v>50+</v>
      </c>
      <c r="D285" s="5" t="s">
        <v>43</v>
      </c>
      <c r="E285" s="5" t="s">
        <v>45</v>
      </c>
      <c r="F285" s="5" t="s">
        <v>46</v>
      </c>
      <c r="G285" s="5">
        <v>2</v>
      </c>
      <c r="H285" s="5" t="s">
        <v>50</v>
      </c>
      <c r="I285" s="5" t="s">
        <v>48</v>
      </c>
      <c r="J285" s="7">
        <v>5415</v>
      </c>
      <c r="K285" s="7">
        <f t="shared" si="46"/>
        <v>812.25</v>
      </c>
      <c r="L285" s="7">
        <f t="shared" si="47"/>
        <v>4602.75</v>
      </c>
      <c r="M285" s="7">
        <v>15972</v>
      </c>
      <c r="N285" s="5" t="s">
        <v>35</v>
      </c>
      <c r="O285" s="5">
        <v>19</v>
      </c>
      <c r="P285" s="7">
        <f t="shared" si="48"/>
        <v>6443.8499999999995</v>
      </c>
      <c r="Q285" s="7">
        <f t="shared" si="49"/>
        <v>12346.199999999993</v>
      </c>
      <c r="R285" s="7" t="str">
        <f t="shared" si="50"/>
        <v>Normal</v>
      </c>
      <c r="S285" s="5">
        <v>3</v>
      </c>
      <c r="T285" s="5">
        <v>3</v>
      </c>
      <c r="U285" s="5" t="str" cm="1">
        <f t="array" ref="U285">_xlfn.IFS(T285=1,"Poor",T285=2,"Fair",T285=3,"Good",T285=4,"Excellent")</f>
        <v>Good</v>
      </c>
      <c r="V285" s="5" t="s">
        <v>35</v>
      </c>
      <c r="W285" s="5">
        <v>10</v>
      </c>
      <c r="X285" s="28">
        <f t="shared" ca="1" si="51"/>
        <v>42459</v>
      </c>
      <c r="Y285" s="28">
        <f t="shared" ca="1" si="52"/>
        <v>46842</v>
      </c>
      <c r="Z285" s="28" t="str">
        <f t="shared" ca="1" si="53"/>
        <v>Upcoming</v>
      </c>
      <c r="AA285" s="5" t="str" cm="1">
        <f t="array" ref="AA285">_xlfn.IFS(W285&gt;10,"Veteran",W285&gt;=6,"Experienced",W285&gt;=2,"Developing",W285&gt;=0,"New")</f>
        <v>Experienced</v>
      </c>
      <c r="AB285" s="5" t="str" cm="1">
        <f t="array" ref="AB285">_xlfn.IFS(G285=1,"Junior",G285=2,"Mid-Level",G285=3,"Senior",G285=4,"Lead",G285=5,"Principal")&amp;" "&amp;TRIM(PROPER(H285))</f>
        <v>Mid-Level Laboratory Technician</v>
      </c>
      <c r="AC285" s="19" t="str">
        <f t="shared" ca="1" si="54"/>
        <v>La-Res-2016-284 is a Mid-Level Laboratory Technician in the Research &amp; Development department, aged 55, married and has been with the Company for 10years</v>
      </c>
    </row>
    <row r="286" spans="1:29">
      <c r="A286" s="18" t="str">
        <f t="shared" ca="1" si="44"/>
        <v>He-Res-2021-285</v>
      </c>
      <c r="B286" s="5">
        <v>26</v>
      </c>
      <c r="C286" s="5" t="str">
        <f t="shared" si="45"/>
        <v>20-29</v>
      </c>
      <c r="D286" s="5" t="s">
        <v>43</v>
      </c>
      <c r="E286" s="5" t="s">
        <v>45</v>
      </c>
      <c r="F286" s="5" t="s">
        <v>46</v>
      </c>
      <c r="G286" s="5">
        <v>2</v>
      </c>
      <c r="H286" s="5" t="s">
        <v>54</v>
      </c>
      <c r="I286" s="5" t="s">
        <v>48</v>
      </c>
      <c r="J286" s="7">
        <v>4741</v>
      </c>
      <c r="K286" s="7">
        <f t="shared" si="46"/>
        <v>711.15</v>
      </c>
      <c r="L286" s="7">
        <f t="shared" si="47"/>
        <v>4029.85</v>
      </c>
      <c r="M286" s="7">
        <v>22722</v>
      </c>
      <c r="N286" s="5" t="s">
        <v>35</v>
      </c>
      <c r="O286" s="5">
        <v>13</v>
      </c>
      <c r="P286" s="7">
        <f t="shared" si="48"/>
        <v>5357.33</v>
      </c>
      <c r="Q286" s="7">
        <f t="shared" si="49"/>
        <v>7395.9599999999991</v>
      </c>
      <c r="R286" s="7" t="str">
        <f t="shared" si="50"/>
        <v>Normal</v>
      </c>
      <c r="S286" s="5">
        <v>3</v>
      </c>
      <c r="T286" s="5">
        <v>3</v>
      </c>
      <c r="U286" s="5" t="str" cm="1">
        <f t="array" ref="U286">_xlfn.IFS(T286=1,"Poor",T286=2,"Fair",T286=3,"Good",T286=4,"Excellent")</f>
        <v>Good</v>
      </c>
      <c r="V286" s="5" t="s">
        <v>35</v>
      </c>
      <c r="W286" s="5">
        <v>5</v>
      </c>
      <c r="X286" s="28">
        <f t="shared" ca="1" si="51"/>
        <v>44285</v>
      </c>
      <c r="Y286" s="28">
        <f t="shared" ca="1" si="52"/>
        <v>46476</v>
      </c>
      <c r="Z286" s="28" t="str">
        <f t="shared" ca="1" si="53"/>
        <v>Due Soon</v>
      </c>
      <c r="AA286" s="5" t="str" cm="1">
        <f t="array" ref="AA286">_xlfn.IFS(W286&gt;10,"Veteran",W286&gt;=6,"Experienced",W286&gt;=2,"Developing",W286&gt;=0,"New")</f>
        <v>Developing</v>
      </c>
      <c r="AB286" s="5" t="str" cm="1">
        <f t="array" ref="AB286">_xlfn.IFS(G286=1,"Junior",G286=2,"Mid-Level",G286=3,"Senior",G286=4,"Lead",G286=5,"Principal")&amp;" "&amp;TRIM(PROPER(H286))</f>
        <v>Mid-Level Healthcare Representative</v>
      </c>
      <c r="AC286" s="19" t="str">
        <f t="shared" ca="1" si="54"/>
        <v>He-Res-2021-285 is a Mid-Level Healthcare Representative in the Research &amp; Development department, aged 26, married and has been with the Company for 5years</v>
      </c>
    </row>
    <row r="287" spans="1:29">
      <c r="A287" s="18" t="str">
        <f t="shared" ca="1" si="44"/>
        <v>Re-Res-2009-286</v>
      </c>
      <c r="B287" s="5">
        <v>37</v>
      </c>
      <c r="C287" s="5" t="str">
        <f t="shared" si="45"/>
        <v>30-39</v>
      </c>
      <c r="D287" s="5" t="s">
        <v>43</v>
      </c>
      <c r="E287" s="5" t="s">
        <v>45</v>
      </c>
      <c r="F287" s="5" t="s">
        <v>39</v>
      </c>
      <c r="G287" s="5">
        <v>1</v>
      </c>
      <c r="H287" s="5" t="s">
        <v>47</v>
      </c>
      <c r="I287" s="5" t="s">
        <v>41</v>
      </c>
      <c r="J287" s="7">
        <v>2115</v>
      </c>
      <c r="K287" s="7">
        <f t="shared" si="46"/>
        <v>148.05000000000001</v>
      </c>
      <c r="L287" s="7">
        <f t="shared" si="47"/>
        <v>1966.95</v>
      </c>
      <c r="M287" s="7">
        <v>15881</v>
      </c>
      <c r="N287" s="5" t="s">
        <v>43</v>
      </c>
      <c r="O287" s="5">
        <v>12</v>
      </c>
      <c r="P287" s="7">
        <f t="shared" si="48"/>
        <v>2368.8000000000002</v>
      </c>
      <c r="Q287" s="7">
        <f t="shared" si="49"/>
        <v>3045.6000000000022</v>
      </c>
      <c r="R287" s="7" t="str">
        <f t="shared" si="50"/>
        <v>Normal</v>
      </c>
      <c r="S287" s="5">
        <v>3</v>
      </c>
      <c r="T287" s="5">
        <v>3</v>
      </c>
      <c r="U287" s="5" t="str" cm="1">
        <f t="array" ref="U287">_xlfn.IFS(T287=1,"Poor",T287=2,"Fair",T287=3,"Good",T287=4,"Excellent")</f>
        <v>Good</v>
      </c>
      <c r="V287" s="5" t="s">
        <v>43</v>
      </c>
      <c r="W287" s="5">
        <v>17</v>
      </c>
      <c r="X287" s="28">
        <f t="shared" ca="1" si="51"/>
        <v>39902</v>
      </c>
      <c r="Y287" s="28">
        <f t="shared" ca="1" si="52"/>
        <v>46476</v>
      </c>
      <c r="Z287" s="28" t="str">
        <f t="shared" ca="1" si="53"/>
        <v>Due Soon</v>
      </c>
      <c r="AA287" s="5" t="str" cm="1">
        <f t="array" ref="AA287">_xlfn.IFS(W287&gt;10,"Veteran",W287&gt;=6,"Experienced",W287&gt;=2,"Developing",W287&gt;=0,"New")</f>
        <v>Veteran</v>
      </c>
      <c r="AB287" s="5" t="str" cm="1">
        <f t="array" ref="AB287">_xlfn.IFS(G287=1,"Junior",G287=2,"Mid-Level",G287=3,"Senior",G287=4,"Lead",G287=5,"Principal")&amp;" "&amp;TRIM(PROPER(H287))</f>
        <v>Junior Research Scientist</v>
      </c>
      <c r="AC287" s="19" t="str">
        <f t="shared" ca="1" si="54"/>
        <v>Re-Res-2009-286 is a Junior Research Scientist in the Research &amp; Development department, aged 37, single and has been with the Company for 17years</v>
      </c>
    </row>
    <row r="288" spans="1:29">
      <c r="A288" s="18" t="str">
        <f t="shared" ca="1" si="44"/>
        <v>La-Res-2025-287</v>
      </c>
      <c r="B288" s="5">
        <v>44</v>
      </c>
      <c r="C288" s="5" t="str">
        <f t="shared" si="45"/>
        <v>40-49</v>
      </c>
      <c r="D288" s="5" t="s">
        <v>35</v>
      </c>
      <c r="E288" s="5" t="s">
        <v>45</v>
      </c>
      <c r="F288" s="5" t="s">
        <v>46</v>
      </c>
      <c r="G288" s="5">
        <v>1</v>
      </c>
      <c r="H288" s="5" t="s">
        <v>50</v>
      </c>
      <c r="I288" s="5" t="s">
        <v>52</v>
      </c>
      <c r="J288" s="7">
        <v>3161</v>
      </c>
      <c r="K288" s="7">
        <f t="shared" si="46"/>
        <v>474.15</v>
      </c>
      <c r="L288" s="7">
        <f t="shared" si="47"/>
        <v>2686.85</v>
      </c>
      <c r="M288" s="7">
        <v>19920</v>
      </c>
      <c r="N288" s="5" t="s">
        <v>35</v>
      </c>
      <c r="O288" s="5">
        <v>22</v>
      </c>
      <c r="P288" s="7">
        <f t="shared" si="48"/>
        <v>3856.42</v>
      </c>
      <c r="Q288" s="7">
        <f t="shared" si="49"/>
        <v>8345.0400000000009</v>
      </c>
      <c r="R288" s="7" t="str">
        <f t="shared" si="50"/>
        <v>Normal</v>
      </c>
      <c r="S288" s="5">
        <v>4</v>
      </c>
      <c r="T288" s="5">
        <v>1</v>
      </c>
      <c r="U288" s="5" t="str" cm="1">
        <f t="array" ref="U288">_xlfn.IFS(T288=1,"Poor",T288=2,"Fair",T288=3,"Good",T288=4,"Excellent")</f>
        <v>Poor</v>
      </c>
      <c r="V288" s="5" t="s">
        <v>35</v>
      </c>
      <c r="W288" s="5">
        <v>1</v>
      </c>
      <c r="X288" s="28">
        <f t="shared" ca="1" si="51"/>
        <v>45746</v>
      </c>
      <c r="Y288" s="28">
        <f t="shared" ca="1" si="52"/>
        <v>46476</v>
      </c>
      <c r="Z288" s="28" t="str">
        <f t="shared" ca="1" si="53"/>
        <v>Due Soon</v>
      </c>
      <c r="AA288" s="5" t="str" cm="1">
        <f t="array" ref="AA288">_xlfn.IFS(W288&gt;10,"Veteran",W288&gt;=6,"Experienced",W288&gt;=2,"Developing",W288&gt;=0,"New")</f>
        <v>New</v>
      </c>
      <c r="AB288" s="5" t="str" cm="1">
        <f t="array" ref="AB288">_xlfn.IFS(G288=1,"Junior",G288=2,"Mid-Level",G288=3,"Senior",G288=4,"Lead",G288=5,"Principal")&amp;" "&amp;TRIM(PROPER(H288))</f>
        <v>Junior Laboratory Technician</v>
      </c>
      <c r="AC288" s="19" t="str">
        <f t="shared" ca="1" si="54"/>
        <v>La-Res-2025-287 is a Junior Laboratory Technician in the Research &amp; Development department, aged 44, divorced and has been with the Company for 1years</v>
      </c>
    </row>
    <row r="289" spans="1:29">
      <c r="A289" s="18" t="str">
        <f t="shared" ca="1" si="44"/>
        <v>He-Res-2024-288</v>
      </c>
      <c r="B289" s="5">
        <v>38</v>
      </c>
      <c r="C289" s="5" t="str">
        <f t="shared" si="45"/>
        <v>30-39</v>
      </c>
      <c r="D289" s="5" t="s">
        <v>43</v>
      </c>
      <c r="E289" s="5" t="s">
        <v>45</v>
      </c>
      <c r="F289" s="5" t="s">
        <v>46</v>
      </c>
      <c r="G289" s="5">
        <v>2</v>
      </c>
      <c r="H289" s="5" t="s">
        <v>54</v>
      </c>
      <c r="I289" s="5" t="s">
        <v>52</v>
      </c>
      <c r="J289" s="7">
        <v>5745</v>
      </c>
      <c r="K289" s="7">
        <f t="shared" si="46"/>
        <v>861.75</v>
      </c>
      <c r="L289" s="7">
        <f t="shared" si="47"/>
        <v>4883.25</v>
      </c>
      <c r="M289" s="7">
        <v>18899</v>
      </c>
      <c r="N289" s="5" t="s">
        <v>43</v>
      </c>
      <c r="O289" s="5">
        <v>14</v>
      </c>
      <c r="P289" s="7">
        <f t="shared" si="48"/>
        <v>6549.3000000000011</v>
      </c>
      <c r="Q289" s="7">
        <f t="shared" si="49"/>
        <v>9651.6000000000131</v>
      </c>
      <c r="R289" s="7" t="str">
        <f t="shared" si="50"/>
        <v>Normal</v>
      </c>
      <c r="S289" s="5">
        <v>3</v>
      </c>
      <c r="T289" s="5">
        <v>3</v>
      </c>
      <c r="U289" s="5" t="str" cm="1">
        <f t="array" ref="U289">_xlfn.IFS(T289=1,"Poor",T289=2,"Fair",T289=3,"Good",T289=4,"Excellent")</f>
        <v>Good</v>
      </c>
      <c r="V289" s="5" t="s">
        <v>43</v>
      </c>
      <c r="W289" s="5">
        <v>2</v>
      </c>
      <c r="X289" s="28">
        <f t="shared" ca="1" si="51"/>
        <v>45381</v>
      </c>
      <c r="Y289" s="28">
        <f t="shared" ca="1" si="52"/>
        <v>46842</v>
      </c>
      <c r="Z289" s="28" t="str">
        <f t="shared" ca="1" si="53"/>
        <v>Upcoming</v>
      </c>
      <c r="AA289" s="5" t="str" cm="1">
        <f t="array" ref="AA289">_xlfn.IFS(W289&gt;10,"Veteran",W289&gt;=6,"Experienced",W289&gt;=2,"Developing",W289&gt;=0,"New")</f>
        <v>Developing</v>
      </c>
      <c r="AB289" s="5" t="str" cm="1">
        <f t="array" ref="AB289">_xlfn.IFS(G289=1,"Junior",G289=2,"Mid-Level",G289=3,"Senior",G289=4,"Lead",G289=5,"Principal")&amp;" "&amp;TRIM(PROPER(H289))</f>
        <v>Mid-Level Healthcare Representative</v>
      </c>
      <c r="AC289" s="19" t="str">
        <f t="shared" ca="1" si="54"/>
        <v>He-Res-2024-288 is a Mid-Level Healthcare Representative in the Research &amp; Development department, aged 38, divorced and has been with the Company for 2years</v>
      </c>
    </row>
    <row r="290" spans="1:29">
      <c r="A290" s="18" t="str">
        <f t="shared" ca="1" si="44"/>
        <v>La-Res-2023-289</v>
      </c>
      <c r="B290" s="5">
        <v>26</v>
      </c>
      <c r="C290" s="5" t="str">
        <f t="shared" si="45"/>
        <v>20-29</v>
      </c>
      <c r="D290" s="5" t="s">
        <v>35</v>
      </c>
      <c r="E290" s="5" t="s">
        <v>45</v>
      </c>
      <c r="F290" s="5" t="s">
        <v>46</v>
      </c>
      <c r="G290" s="5">
        <v>1</v>
      </c>
      <c r="H290" s="5" t="s">
        <v>50</v>
      </c>
      <c r="I290" s="5" t="s">
        <v>52</v>
      </c>
      <c r="J290" s="7">
        <v>2373</v>
      </c>
      <c r="K290" s="7">
        <f t="shared" si="46"/>
        <v>166.11</v>
      </c>
      <c r="L290" s="7">
        <f t="shared" si="47"/>
        <v>2206.89</v>
      </c>
      <c r="M290" s="7">
        <v>14180</v>
      </c>
      <c r="N290" s="5" t="s">
        <v>35</v>
      </c>
      <c r="O290" s="5">
        <v>13</v>
      </c>
      <c r="P290" s="7">
        <f t="shared" si="48"/>
        <v>2681.49</v>
      </c>
      <c r="Q290" s="7">
        <f t="shared" si="49"/>
        <v>3701.8799999999974</v>
      </c>
      <c r="R290" s="7" t="str">
        <f t="shared" si="50"/>
        <v>Normal</v>
      </c>
      <c r="S290" s="5">
        <v>3</v>
      </c>
      <c r="T290" s="5">
        <v>3</v>
      </c>
      <c r="U290" s="5" t="str" cm="1">
        <f t="array" ref="U290">_xlfn.IFS(T290=1,"Poor",T290=2,"Fair",T290=3,"Good",T290=4,"Excellent")</f>
        <v>Good</v>
      </c>
      <c r="V290" s="5" t="s">
        <v>35</v>
      </c>
      <c r="W290" s="5">
        <v>3</v>
      </c>
      <c r="X290" s="28">
        <f t="shared" ca="1" si="51"/>
        <v>45015</v>
      </c>
      <c r="Y290" s="28">
        <f t="shared" ca="1" si="52"/>
        <v>46476</v>
      </c>
      <c r="Z290" s="28" t="str">
        <f t="shared" ca="1" si="53"/>
        <v>Due Soon</v>
      </c>
      <c r="AA290" s="5" t="str" cm="1">
        <f t="array" ref="AA290">_xlfn.IFS(W290&gt;10,"Veteran",W290&gt;=6,"Experienced",W290&gt;=2,"Developing",W290&gt;=0,"New")</f>
        <v>Developing</v>
      </c>
      <c r="AB290" s="5" t="str" cm="1">
        <f t="array" ref="AB290">_xlfn.IFS(G290=1,"Junior",G290=2,"Mid-Level",G290=3,"Senior",G290=4,"Lead",G290=5,"Principal")&amp;" "&amp;TRIM(PROPER(H290))</f>
        <v>Junior Laboratory Technician</v>
      </c>
      <c r="AC290" s="19" t="str">
        <f t="shared" ca="1" si="54"/>
        <v>La-Res-2023-289 is a Junior Laboratory Technician in the Research &amp; Development department, aged 26, divorced and has been with the Company for 3years</v>
      </c>
    </row>
    <row r="291" spans="1:29">
      <c r="A291" s="18" t="str">
        <f t="shared" ca="1" si="44"/>
        <v>Re-Res-2021-290</v>
      </c>
      <c r="B291" s="5">
        <v>28</v>
      </c>
      <c r="C291" s="5" t="str">
        <f t="shared" si="45"/>
        <v>20-29</v>
      </c>
      <c r="D291" s="5" t="s">
        <v>43</v>
      </c>
      <c r="E291" s="5" t="s">
        <v>45</v>
      </c>
      <c r="F291" s="5" t="s">
        <v>39</v>
      </c>
      <c r="G291" s="5">
        <v>1</v>
      </c>
      <c r="H291" s="5" t="s">
        <v>47</v>
      </c>
      <c r="I291" s="5" t="s">
        <v>41</v>
      </c>
      <c r="J291" s="7">
        <v>3310</v>
      </c>
      <c r="K291" s="7">
        <f t="shared" si="46"/>
        <v>496.5</v>
      </c>
      <c r="L291" s="7">
        <f t="shared" si="47"/>
        <v>2813.5</v>
      </c>
      <c r="M291" s="7">
        <v>4488</v>
      </c>
      <c r="N291" s="5" t="s">
        <v>43</v>
      </c>
      <c r="O291" s="5">
        <v>21</v>
      </c>
      <c r="P291" s="7">
        <f t="shared" si="48"/>
        <v>4005.1</v>
      </c>
      <c r="Q291" s="7">
        <f t="shared" si="49"/>
        <v>8341.1999999999989</v>
      </c>
      <c r="R291" s="7" t="str">
        <f t="shared" si="50"/>
        <v>Normal</v>
      </c>
      <c r="S291" s="5">
        <v>4</v>
      </c>
      <c r="T291" s="5">
        <v>3</v>
      </c>
      <c r="U291" s="5" t="str" cm="1">
        <f t="array" ref="U291">_xlfn.IFS(T291=1,"Poor",T291=2,"Fair",T291=3,"Good",T291=4,"Excellent")</f>
        <v>Good</v>
      </c>
      <c r="V291" s="5" t="s">
        <v>43</v>
      </c>
      <c r="W291" s="5">
        <v>5</v>
      </c>
      <c r="X291" s="28">
        <f t="shared" ca="1" si="51"/>
        <v>44285</v>
      </c>
      <c r="Y291" s="28">
        <f t="shared" ca="1" si="52"/>
        <v>46476</v>
      </c>
      <c r="Z291" s="28" t="str">
        <f t="shared" ca="1" si="53"/>
        <v>Due Soon</v>
      </c>
      <c r="AA291" s="5" t="str" cm="1">
        <f t="array" ref="AA291">_xlfn.IFS(W291&gt;10,"Veteran",W291&gt;=6,"Experienced",W291&gt;=2,"Developing",W291&gt;=0,"New")</f>
        <v>Developing</v>
      </c>
      <c r="AB291" s="5" t="str" cm="1">
        <f t="array" ref="AB291">_xlfn.IFS(G291=1,"Junior",G291=2,"Mid-Level",G291=3,"Senior",G291=4,"Lead",G291=5,"Principal")&amp;" "&amp;TRIM(PROPER(H291))</f>
        <v>Junior Research Scientist</v>
      </c>
      <c r="AC291" s="19" t="str">
        <f t="shared" ca="1" si="54"/>
        <v>Re-Res-2021-290 is a Junior Research Scientist in the Research &amp; Development department, aged 28, single and has been with the Company for 5years</v>
      </c>
    </row>
    <row r="292" spans="1:29">
      <c r="A292" s="18" t="str">
        <f t="shared" ca="1" si="44"/>
        <v>Re-Res-2023-291</v>
      </c>
      <c r="B292" s="5">
        <v>49</v>
      </c>
      <c r="C292" s="5" t="str">
        <f t="shared" si="45"/>
        <v>40-49</v>
      </c>
      <c r="D292" s="5" t="s">
        <v>43</v>
      </c>
      <c r="E292" s="5" t="s">
        <v>45</v>
      </c>
      <c r="F292" s="5" t="s">
        <v>39</v>
      </c>
      <c r="G292" s="5">
        <v>5</v>
      </c>
      <c r="H292" s="5" t="s">
        <v>58</v>
      </c>
      <c r="I292" s="5" t="s">
        <v>41</v>
      </c>
      <c r="J292" s="7">
        <v>18665</v>
      </c>
      <c r="K292" s="7">
        <f t="shared" si="46"/>
        <v>5599.5</v>
      </c>
      <c r="L292" s="7">
        <f t="shared" si="47"/>
        <v>13065.5</v>
      </c>
      <c r="M292" s="7">
        <v>25594</v>
      </c>
      <c r="N292" s="5" t="s">
        <v>35</v>
      </c>
      <c r="O292" s="5">
        <v>11</v>
      </c>
      <c r="P292" s="7">
        <f t="shared" si="48"/>
        <v>20718.150000000001</v>
      </c>
      <c r="Q292" s="7">
        <f t="shared" si="49"/>
        <v>24637.800000000017</v>
      </c>
      <c r="R292" s="7" t="str">
        <f t="shared" si="50"/>
        <v>Normal</v>
      </c>
      <c r="S292" s="5">
        <v>3</v>
      </c>
      <c r="T292" s="5">
        <v>3</v>
      </c>
      <c r="U292" s="5" t="str" cm="1">
        <f t="array" ref="U292">_xlfn.IFS(T292=1,"Poor",T292=2,"Fair",T292=3,"Good",T292=4,"Excellent")</f>
        <v>Good</v>
      </c>
      <c r="V292" s="5" t="s">
        <v>35</v>
      </c>
      <c r="W292" s="5">
        <v>3</v>
      </c>
      <c r="X292" s="28">
        <f t="shared" ca="1" si="51"/>
        <v>45015</v>
      </c>
      <c r="Y292" s="28">
        <f t="shared" ca="1" si="52"/>
        <v>46476</v>
      </c>
      <c r="Z292" s="28" t="str">
        <f t="shared" ca="1" si="53"/>
        <v>Due Soon</v>
      </c>
      <c r="AA292" s="5" t="str" cm="1">
        <f t="array" ref="AA292">_xlfn.IFS(W292&gt;10,"Veteran",W292&gt;=6,"Experienced",W292&gt;=2,"Developing",W292&gt;=0,"New")</f>
        <v>Developing</v>
      </c>
      <c r="AB292" s="5" t="str" cm="1">
        <f t="array" ref="AB292">_xlfn.IFS(G292=1,"Junior",G292=2,"Mid-Level",G292=3,"Senior",G292=4,"Lead",G292=5,"Principal")&amp;" "&amp;TRIM(PROPER(H292))</f>
        <v>Principal Research Director</v>
      </c>
      <c r="AC292" s="19" t="str">
        <f t="shared" ca="1" si="54"/>
        <v>Re-Res-2023-291 is a Principal Research Director in the Research &amp; Development department, aged 49, single and has been with the Company for 3years</v>
      </c>
    </row>
    <row r="293" spans="1:29">
      <c r="A293" s="18" t="str">
        <f t="shared" ca="1" si="44"/>
        <v>Re-Res-2018-292</v>
      </c>
      <c r="B293" s="5">
        <v>36</v>
      </c>
      <c r="C293" s="5" t="str">
        <f t="shared" si="45"/>
        <v>30-39</v>
      </c>
      <c r="D293" s="5" t="s">
        <v>43</v>
      </c>
      <c r="E293" s="5" t="s">
        <v>45</v>
      </c>
      <c r="F293" s="5" t="s">
        <v>46</v>
      </c>
      <c r="G293" s="5">
        <v>2</v>
      </c>
      <c r="H293" s="5" t="s">
        <v>47</v>
      </c>
      <c r="I293" s="5" t="s">
        <v>41</v>
      </c>
      <c r="J293" s="7">
        <v>4485</v>
      </c>
      <c r="K293" s="7">
        <f t="shared" si="46"/>
        <v>672.75</v>
      </c>
      <c r="L293" s="7">
        <f t="shared" si="47"/>
        <v>3812.25</v>
      </c>
      <c r="M293" s="7">
        <v>26285</v>
      </c>
      <c r="N293" s="5" t="s">
        <v>43</v>
      </c>
      <c r="O293" s="5">
        <v>12</v>
      </c>
      <c r="P293" s="7">
        <f t="shared" si="48"/>
        <v>5023.2000000000007</v>
      </c>
      <c r="Q293" s="7">
        <f t="shared" si="49"/>
        <v>6458.4000000000087</v>
      </c>
      <c r="R293" s="7" t="str">
        <f t="shared" si="50"/>
        <v>Normal</v>
      </c>
      <c r="S293" s="5">
        <v>3</v>
      </c>
      <c r="T293" s="5">
        <v>3</v>
      </c>
      <c r="U293" s="5" t="str" cm="1">
        <f t="array" ref="U293">_xlfn.IFS(T293=1,"Poor",T293=2,"Fair",T293=3,"Good",T293=4,"Excellent")</f>
        <v>Good</v>
      </c>
      <c r="V293" s="5" t="s">
        <v>43</v>
      </c>
      <c r="W293" s="5">
        <v>8</v>
      </c>
      <c r="X293" s="28">
        <f t="shared" ca="1" si="51"/>
        <v>43189</v>
      </c>
      <c r="Y293" s="28">
        <f t="shared" ca="1" si="52"/>
        <v>46842</v>
      </c>
      <c r="Z293" s="28" t="str">
        <f t="shared" ca="1" si="53"/>
        <v>Upcoming</v>
      </c>
      <c r="AA293" s="5" t="str" cm="1">
        <f t="array" ref="AA293">_xlfn.IFS(W293&gt;10,"Veteran",W293&gt;=6,"Experienced",W293&gt;=2,"Developing",W293&gt;=0,"New")</f>
        <v>Experienced</v>
      </c>
      <c r="AB293" s="5" t="str" cm="1">
        <f t="array" ref="AB293">_xlfn.IFS(G293=1,"Junior",G293=2,"Mid-Level",G293=3,"Senior",G293=4,"Lead",G293=5,"Principal")&amp;" "&amp;TRIM(PROPER(H293))</f>
        <v>Mid-Level Research Scientist</v>
      </c>
      <c r="AC293" s="19" t="str">
        <f t="shared" ca="1" si="54"/>
        <v>Re-Res-2018-292 is a Mid-Level Research Scientist in the Research &amp; Development department, aged 36, single and has been with the Company for 8years</v>
      </c>
    </row>
    <row r="294" spans="1:29">
      <c r="A294" s="18" t="str">
        <f t="shared" ca="1" si="44"/>
        <v>Sa-Sal-2024-293</v>
      </c>
      <c r="B294" s="5">
        <v>31</v>
      </c>
      <c r="C294" s="5" t="str">
        <f t="shared" si="45"/>
        <v>30-39</v>
      </c>
      <c r="D294" s="5" t="s">
        <v>43</v>
      </c>
      <c r="E294" s="5" t="s">
        <v>37</v>
      </c>
      <c r="F294" s="5" t="s">
        <v>39</v>
      </c>
      <c r="G294" s="5">
        <v>1</v>
      </c>
      <c r="H294" s="5" t="s">
        <v>57</v>
      </c>
      <c r="I294" s="5" t="s">
        <v>52</v>
      </c>
      <c r="J294" s="7">
        <v>2789</v>
      </c>
      <c r="K294" s="7">
        <f t="shared" si="46"/>
        <v>195.23000000000002</v>
      </c>
      <c r="L294" s="7">
        <f t="shared" si="47"/>
        <v>2593.77</v>
      </c>
      <c r="M294" s="7">
        <v>3909</v>
      </c>
      <c r="N294" s="5" t="s">
        <v>43</v>
      </c>
      <c r="O294" s="5">
        <v>11</v>
      </c>
      <c r="P294" s="7">
        <f t="shared" si="48"/>
        <v>3095.7900000000004</v>
      </c>
      <c r="Q294" s="7">
        <f t="shared" si="49"/>
        <v>3681.480000000005</v>
      </c>
      <c r="R294" s="7" t="str">
        <f t="shared" si="50"/>
        <v>Normal</v>
      </c>
      <c r="S294" s="5">
        <v>3</v>
      </c>
      <c r="T294" s="5">
        <v>2</v>
      </c>
      <c r="U294" s="5" t="str" cm="1">
        <f t="array" ref="U294">_xlfn.IFS(T294=1,"Poor",T294=2,"Fair",T294=3,"Good",T294=4,"Excellent")</f>
        <v>Fair</v>
      </c>
      <c r="V294" s="5" t="s">
        <v>43</v>
      </c>
      <c r="W294" s="5">
        <v>2</v>
      </c>
      <c r="X294" s="28">
        <f t="shared" ca="1" si="51"/>
        <v>45381</v>
      </c>
      <c r="Y294" s="28">
        <f t="shared" ca="1" si="52"/>
        <v>46842</v>
      </c>
      <c r="Z294" s="28" t="str">
        <f t="shared" ca="1" si="53"/>
        <v>Upcoming</v>
      </c>
      <c r="AA294" s="5" t="str" cm="1">
        <f t="array" ref="AA294">_xlfn.IFS(W294&gt;10,"Veteran",W294&gt;=6,"Experienced",W294&gt;=2,"Developing",W294&gt;=0,"New")</f>
        <v>Developing</v>
      </c>
      <c r="AB294" s="5" t="str" cm="1">
        <f t="array" ref="AB294">_xlfn.IFS(G294=1,"Junior",G294=2,"Mid-Level",G294=3,"Senior",G294=4,"Lead",G294=5,"Principal")&amp;" "&amp;TRIM(PROPER(H294))</f>
        <v>Junior Sales Representative</v>
      </c>
      <c r="AC294" s="19" t="str">
        <f t="shared" ca="1" si="54"/>
        <v>Sa-Sal-2024-293 is a Junior Sales Representative in the Sales department, aged 31, divorced and has been with the Company for 2years</v>
      </c>
    </row>
    <row r="295" spans="1:29">
      <c r="A295" s="18" t="str">
        <f t="shared" ca="1" si="44"/>
        <v>Sa-Sal-2018-294</v>
      </c>
      <c r="B295" s="5">
        <v>26</v>
      </c>
      <c r="C295" s="5" t="str">
        <f t="shared" si="45"/>
        <v>20-29</v>
      </c>
      <c r="D295" s="5" t="s">
        <v>35</v>
      </c>
      <c r="E295" s="5" t="s">
        <v>37</v>
      </c>
      <c r="F295" s="5" t="s">
        <v>46</v>
      </c>
      <c r="G295" s="5">
        <v>2</v>
      </c>
      <c r="H295" s="5" t="s">
        <v>40</v>
      </c>
      <c r="I295" s="5" t="s">
        <v>41</v>
      </c>
      <c r="J295" s="7">
        <v>5828</v>
      </c>
      <c r="K295" s="7">
        <f t="shared" si="46"/>
        <v>874.19999999999993</v>
      </c>
      <c r="L295" s="7">
        <f t="shared" si="47"/>
        <v>4953.8</v>
      </c>
      <c r="M295" s="7">
        <v>8450</v>
      </c>
      <c r="N295" s="5" t="s">
        <v>35</v>
      </c>
      <c r="O295" s="5">
        <v>12</v>
      </c>
      <c r="P295" s="7">
        <f t="shared" si="48"/>
        <v>6527.3600000000006</v>
      </c>
      <c r="Q295" s="7">
        <f t="shared" si="49"/>
        <v>8392.320000000007</v>
      </c>
      <c r="R295" s="7" t="str">
        <f t="shared" si="50"/>
        <v>Normal</v>
      </c>
      <c r="S295" s="5">
        <v>3</v>
      </c>
      <c r="T295" s="5">
        <v>3</v>
      </c>
      <c r="U295" s="5" t="str" cm="1">
        <f t="array" ref="U295">_xlfn.IFS(T295=1,"Poor",T295=2,"Fair",T295=3,"Good",T295=4,"Excellent")</f>
        <v>Good</v>
      </c>
      <c r="V295" s="5" t="s">
        <v>35</v>
      </c>
      <c r="W295" s="5">
        <v>8</v>
      </c>
      <c r="X295" s="28">
        <f t="shared" ca="1" si="51"/>
        <v>43189</v>
      </c>
      <c r="Y295" s="28">
        <f t="shared" ca="1" si="52"/>
        <v>46842</v>
      </c>
      <c r="Z295" s="28" t="str">
        <f t="shared" ca="1" si="53"/>
        <v>Upcoming</v>
      </c>
      <c r="AA295" s="5" t="str" cm="1">
        <f t="array" ref="AA295">_xlfn.IFS(W295&gt;10,"Veteran",W295&gt;=6,"Experienced",W295&gt;=2,"Developing",W295&gt;=0,"New")</f>
        <v>Experienced</v>
      </c>
      <c r="AB295" s="5" t="str" cm="1">
        <f t="array" ref="AB295">_xlfn.IFS(G295=1,"Junior",G295=2,"Mid-Level",G295=3,"Senior",G295=4,"Lead",G295=5,"Principal")&amp;" "&amp;TRIM(PROPER(H295))</f>
        <v>Mid-Level Sales Executive</v>
      </c>
      <c r="AC295" s="19" t="str">
        <f t="shared" ca="1" si="54"/>
        <v>Sa-Sal-2018-294 is a Mid-Level Sales Executive in the Sales department, aged 26, single and has been with the Company for 8years</v>
      </c>
    </row>
    <row r="296" spans="1:29">
      <c r="A296" s="18" t="str">
        <f t="shared" ca="1" si="44"/>
        <v>Re-Res-2022-295</v>
      </c>
      <c r="B296" s="5">
        <v>37</v>
      </c>
      <c r="C296" s="5" t="str">
        <f t="shared" si="45"/>
        <v>30-39</v>
      </c>
      <c r="D296" s="5" t="s">
        <v>43</v>
      </c>
      <c r="E296" s="5" t="s">
        <v>45</v>
      </c>
      <c r="F296" s="5" t="s">
        <v>46</v>
      </c>
      <c r="G296" s="5">
        <v>1</v>
      </c>
      <c r="H296" s="5" t="s">
        <v>47</v>
      </c>
      <c r="I296" s="5" t="s">
        <v>48</v>
      </c>
      <c r="J296" s="7">
        <v>2326</v>
      </c>
      <c r="K296" s="7">
        <f t="shared" si="46"/>
        <v>162.82000000000002</v>
      </c>
      <c r="L296" s="7">
        <f t="shared" si="47"/>
        <v>2163.1799999999998</v>
      </c>
      <c r="M296" s="7">
        <v>11411</v>
      </c>
      <c r="N296" s="5" t="s">
        <v>35</v>
      </c>
      <c r="O296" s="5">
        <v>12</v>
      </c>
      <c r="P296" s="7">
        <f t="shared" si="48"/>
        <v>2605.1200000000003</v>
      </c>
      <c r="Q296" s="7">
        <f t="shared" si="49"/>
        <v>3349.4400000000041</v>
      </c>
      <c r="R296" s="7" t="str">
        <f t="shared" si="50"/>
        <v>Normal</v>
      </c>
      <c r="S296" s="5">
        <v>3</v>
      </c>
      <c r="T296" s="5">
        <v>2</v>
      </c>
      <c r="U296" s="5" t="str" cm="1">
        <f t="array" ref="U296">_xlfn.IFS(T296=1,"Poor",T296=2,"Fair",T296=3,"Good",T296=4,"Excellent")</f>
        <v>Fair</v>
      </c>
      <c r="V296" s="5" t="s">
        <v>35</v>
      </c>
      <c r="W296" s="5">
        <v>4</v>
      </c>
      <c r="X296" s="28">
        <f t="shared" ca="1" si="51"/>
        <v>44650</v>
      </c>
      <c r="Y296" s="28">
        <f t="shared" ca="1" si="52"/>
        <v>46842</v>
      </c>
      <c r="Z296" s="28" t="str">
        <f t="shared" ca="1" si="53"/>
        <v>Upcoming</v>
      </c>
      <c r="AA296" s="5" t="str" cm="1">
        <f t="array" ref="AA296">_xlfn.IFS(W296&gt;10,"Veteran",W296&gt;=6,"Experienced",W296&gt;=2,"Developing",W296&gt;=0,"New")</f>
        <v>Developing</v>
      </c>
      <c r="AB296" s="5" t="str" cm="1">
        <f t="array" ref="AB296">_xlfn.IFS(G296=1,"Junior",G296=2,"Mid-Level",G296=3,"Senior",G296=4,"Lead",G296=5,"Principal")&amp;" "&amp;TRIM(PROPER(H296))</f>
        <v>Junior Research Scientist</v>
      </c>
      <c r="AC296" s="19" t="str">
        <f t="shared" ca="1" si="54"/>
        <v>Re-Res-2022-295 is a Junior Research Scientist in the Research &amp; Development department, aged 37, married and has been with the Company for 4years</v>
      </c>
    </row>
    <row r="297" spans="1:29">
      <c r="A297" s="18" t="str">
        <f t="shared" ca="1" si="44"/>
        <v>Sa-Sal-2006-296</v>
      </c>
      <c r="B297" s="5">
        <v>42</v>
      </c>
      <c r="C297" s="5" t="str">
        <f t="shared" si="45"/>
        <v>40-49</v>
      </c>
      <c r="D297" s="5" t="s">
        <v>43</v>
      </c>
      <c r="E297" s="5" t="s">
        <v>37</v>
      </c>
      <c r="F297" s="5" t="s">
        <v>39</v>
      </c>
      <c r="G297" s="5">
        <v>4</v>
      </c>
      <c r="H297" s="5" t="s">
        <v>40</v>
      </c>
      <c r="I297" s="5" t="s">
        <v>48</v>
      </c>
      <c r="J297" s="7">
        <v>13525</v>
      </c>
      <c r="K297" s="7">
        <f t="shared" si="46"/>
        <v>4057.5</v>
      </c>
      <c r="L297" s="7">
        <f t="shared" si="47"/>
        <v>9467.5</v>
      </c>
      <c r="M297" s="7">
        <v>14864</v>
      </c>
      <c r="N297" s="5" t="s">
        <v>43</v>
      </c>
      <c r="O297" s="5">
        <v>14</v>
      </c>
      <c r="P297" s="7">
        <f t="shared" si="48"/>
        <v>15418.500000000002</v>
      </c>
      <c r="Q297" s="7">
        <f t="shared" si="49"/>
        <v>22722.000000000022</v>
      </c>
      <c r="R297" s="7" t="str">
        <f t="shared" si="50"/>
        <v>Normal</v>
      </c>
      <c r="S297" s="5">
        <v>3</v>
      </c>
      <c r="T297" s="5">
        <v>4</v>
      </c>
      <c r="U297" s="5" t="str" cm="1">
        <f t="array" ref="U297">_xlfn.IFS(T297=1,"Poor",T297=2,"Fair",T297=3,"Good",T297=4,"Excellent")</f>
        <v>Excellent</v>
      </c>
      <c r="V297" s="5" t="s">
        <v>43</v>
      </c>
      <c r="W297" s="5">
        <v>20</v>
      </c>
      <c r="X297" s="28">
        <f t="shared" ca="1" si="51"/>
        <v>38806</v>
      </c>
      <c r="Y297" s="28">
        <f t="shared" ca="1" si="52"/>
        <v>46842</v>
      </c>
      <c r="Z297" s="28" t="str">
        <f t="shared" ca="1" si="53"/>
        <v>Upcoming</v>
      </c>
      <c r="AA297" s="5" t="str" cm="1">
        <f t="array" ref="AA297">_xlfn.IFS(W297&gt;10,"Veteran",W297&gt;=6,"Experienced",W297&gt;=2,"Developing",W297&gt;=0,"New")</f>
        <v>Veteran</v>
      </c>
      <c r="AB297" s="5" t="str" cm="1">
        <f t="array" ref="AB297">_xlfn.IFS(G297=1,"Junior",G297=2,"Mid-Level",G297=3,"Senior",G297=4,"Lead",G297=5,"Principal")&amp;" "&amp;TRIM(PROPER(H297))</f>
        <v>Lead Sales Executive</v>
      </c>
      <c r="AC297" s="19" t="str">
        <f t="shared" ca="1" si="54"/>
        <v>Sa-Sal-2006-296 is a Lead Sales Executive in the Sales department, aged 42, married and has been with the Company for 20years</v>
      </c>
    </row>
    <row r="298" spans="1:29">
      <c r="A298" s="18" t="str">
        <f t="shared" ca="1" si="44"/>
        <v>La-Res-2026-297</v>
      </c>
      <c r="B298" s="5">
        <v>18</v>
      </c>
      <c r="C298" s="5" t="str">
        <f t="shared" si="45"/>
        <v>20-29</v>
      </c>
      <c r="D298" s="5" t="s">
        <v>35</v>
      </c>
      <c r="E298" s="5" t="s">
        <v>45</v>
      </c>
      <c r="F298" s="5" t="s">
        <v>46</v>
      </c>
      <c r="G298" s="5">
        <v>1</v>
      </c>
      <c r="H298" s="5" t="s">
        <v>50</v>
      </c>
      <c r="I298" s="5" t="s">
        <v>41</v>
      </c>
      <c r="J298" s="7">
        <v>1420</v>
      </c>
      <c r="K298" s="7">
        <f t="shared" si="46"/>
        <v>99.4</v>
      </c>
      <c r="L298" s="7">
        <f t="shared" si="47"/>
        <v>1320.6</v>
      </c>
      <c r="M298" s="7">
        <v>25233</v>
      </c>
      <c r="N298" s="5" t="s">
        <v>43</v>
      </c>
      <c r="O298" s="5">
        <v>13</v>
      </c>
      <c r="P298" s="7">
        <f t="shared" si="48"/>
        <v>1604.6</v>
      </c>
      <c r="Q298" s="7">
        <f t="shared" si="49"/>
        <v>2215.1999999999989</v>
      </c>
      <c r="R298" s="7" t="str">
        <f t="shared" si="50"/>
        <v>Normal</v>
      </c>
      <c r="S298" s="5">
        <v>3</v>
      </c>
      <c r="T298" s="5">
        <v>3</v>
      </c>
      <c r="U298" s="5" t="str" cm="1">
        <f t="array" ref="U298">_xlfn.IFS(T298=1,"Poor",T298=2,"Fair",T298=3,"Good",T298=4,"Excellent")</f>
        <v>Good</v>
      </c>
      <c r="V298" s="5" t="s">
        <v>43</v>
      </c>
      <c r="W298" s="5">
        <v>0</v>
      </c>
      <c r="X298" s="28">
        <f t="shared" ca="1" si="51"/>
        <v>46111</v>
      </c>
      <c r="Y298" s="28">
        <f t="shared" ca="1" si="52"/>
        <v>46842</v>
      </c>
      <c r="Z298" s="28" t="str">
        <f t="shared" ca="1" si="53"/>
        <v>Upcoming</v>
      </c>
      <c r="AA298" s="5" t="str" cm="1">
        <f t="array" ref="AA298">_xlfn.IFS(W298&gt;10,"Veteran",W298&gt;=6,"Experienced",W298&gt;=2,"Developing",W298&gt;=0,"New")</f>
        <v>New</v>
      </c>
      <c r="AB298" s="5" t="str" cm="1">
        <f t="array" ref="AB298">_xlfn.IFS(G298=1,"Junior",G298=2,"Mid-Level",G298=3,"Senior",G298=4,"Lead",G298=5,"Principal")&amp;" "&amp;TRIM(PROPER(H298))</f>
        <v>Junior Laboratory Technician</v>
      </c>
      <c r="AC298" s="19" t="str">
        <f t="shared" ca="1" si="54"/>
        <v>La-Res-2026-297 is a Junior Laboratory Technician in the Research &amp; Development department, aged 18, single and has been with the Company for 0years</v>
      </c>
    </row>
    <row r="299" spans="1:29">
      <c r="A299" s="18" t="str">
        <f t="shared" ca="1" si="44"/>
        <v>Sa-Sal-2015-298</v>
      </c>
      <c r="B299" s="5">
        <v>35</v>
      </c>
      <c r="C299" s="5" t="str">
        <f t="shared" si="45"/>
        <v>30-39</v>
      </c>
      <c r="D299" s="5" t="s">
        <v>43</v>
      </c>
      <c r="E299" s="5" t="s">
        <v>37</v>
      </c>
      <c r="F299" s="5" t="s">
        <v>46</v>
      </c>
      <c r="G299" s="5">
        <v>3</v>
      </c>
      <c r="H299" s="5" t="s">
        <v>40</v>
      </c>
      <c r="I299" s="5" t="s">
        <v>48</v>
      </c>
      <c r="J299" s="7">
        <v>8020</v>
      </c>
      <c r="K299" s="7">
        <f t="shared" si="46"/>
        <v>1764.4</v>
      </c>
      <c r="L299" s="7">
        <f t="shared" si="47"/>
        <v>6255.6</v>
      </c>
      <c r="M299" s="7">
        <v>5100</v>
      </c>
      <c r="N299" s="5" t="s">
        <v>43</v>
      </c>
      <c r="O299" s="5">
        <v>15</v>
      </c>
      <c r="P299" s="7">
        <f t="shared" si="48"/>
        <v>9223</v>
      </c>
      <c r="Q299" s="7">
        <f t="shared" si="49"/>
        <v>14436</v>
      </c>
      <c r="R299" s="7" t="str">
        <f t="shared" si="50"/>
        <v>Normal</v>
      </c>
      <c r="S299" s="5">
        <v>3</v>
      </c>
      <c r="T299" s="5">
        <v>2</v>
      </c>
      <c r="U299" s="5" t="str" cm="1">
        <f t="array" ref="U299">_xlfn.IFS(T299=1,"Poor",T299=2,"Fair",T299=3,"Good",T299=4,"Excellent")</f>
        <v>Fair</v>
      </c>
      <c r="V299" s="5" t="s">
        <v>43</v>
      </c>
      <c r="W299" s="5">
        <v>11</v>
      </c>
      <c r="X299" s="28">
        <f t="shared" ca="1" si="51"/>
        <v>42093</v>
      </c>
      <c r="Y299" s="28">
        <f t="shared" ca="1" si="52"/>
        <v>46476</v>
      </c>
      <c r="Z299" s="28" t="str">
        <f t="shared" ca="1" si="53"/>
        <v>Due Soon</v>
      </c>
      <c r="AA299" s="5" t="str" cm="1">
        <f t="array" ref="AA299">_xlfn.IFS(W299&gt;10,"Veteran",W299&gt;=6,"Experienced",W299&gt;=2,"Developing",W299&gt;=0,"New")</f>
        <v>Veteran</v>
      </c>
      <c r="AB299" s="5" t="str" cm="1">
        <f t="array" ref="AB299">_xlfn.IFS(G299=1,"Junior",G299=2,"Mid-Level",G299=3,"Senior",G299=4,"Lead",G299=5,"Principal")&amp;" "&amp;TRIM(PROPER(H299))</f>
        <v>Senior Sales Executive</v>
      </c>
      <c r="AC299" s="19" t="str">
        <f t="shared" ca="1" si="54"/>
        <v>Sa-Sal-2015-298 is a Senior Sales Executive in the Sales department, aged 35, married and has been with the Company for 11years</v>
      </c>
    </row>
    <row r="300" spans="1:29">
      <c r="A300" s="18" t="str">
        <f t="shared" ca="1" si="44"/>
        <v>La-Res-2025-299</v>
      </c>
      <c r="B300" s="5">
        <v>36</v>
      </c>
      <c r="C300" s="5" t="str">
        <f t="shared" si="45"/>
        <v>30-39</v>
      </c>
      <c r="D300" s="5" t="s">
        <v>43</v>
      </c>
      <c r="E300" s="5" t="s">
        <v>45</v>
      </c>
      <c r="F300" s="5" t="s">
        <v>46</v>
      </c>
      <c r="G300" s="5">
        <v>1</v>
      </c>
      <c r="H300" s="5" t="s">
        <v>50</v>
      </c>
      <c r="I300" s="5" t="s">
        <v>48</v>
      </c>
      <c r="J300" s="7">
        <v>3688</v>
      </c>
      <c r="K300" s="7">
        <f t="shared" si="46"/>
        <v>553.19999999999993</v>
      </c>
      <c r="L300" s="7">
        <f t="shared" si="47"/>
        <v>3134.8</v>
      </c>
      <c r="M300" s="7">
        <v>7122</v>
      </c>
      <c r="N300" s="5" t="s">
        <v>43</v>
      </c>
      <c r="O300" s="5">
        <v>18</v>
      </c>
      <c r="P300" s="7">
        <f t="shared" si="48"/>
        <v>4351.84</v>
      </c>
      <c r="Q300" s="7">
        <f t="shared" si="49"/>
        <v>7966.0800000000017</v>
      </c>
      <c r="R300" s="7" t="str">
        <f t="shared" si="50"/>
        <v>Normal</v>
      </c>
      <c r="S300" s="5">
        <v>3</v>
      </c>
      <c r="T300" s="5">
        <v>3</v>
      </c>
      <c r="U300" s="5" t="str" cm="1">
        <f t="array" ref="U300">_xlfn.IFS(T300=1,"Poor",T300=2,"Fair",T300=3,"Good",T300=4,"Excellent")</f>
        <v>Good</v>
      </c>
      <c r="V300" s="5" t="s">
        <v>43</v>
      </c>
      <c r="W300" s="5">
        <v>1</v>
      </c>
      <c r="X300" s="28">
        <f t="shared" ca="1" si="51"/>
        <v>45746</v>
      </c>
      <c r="Y300" s="28">
        <f t="shared" ca="1" si="52"/>
        <v>46476</v>
      </c>
      <c r="Z300" s="28" t="str">
        <f t="shared" ca="1" si="53"/>
        <v>Due Soon</v>
      </c>
      <c r="AA300" s="5" t="str" cm="1">
        <f t="array" ref="AA300">_xlfn.IFS(W300&gt;10,"Veteran",W300&gt;=6,"Experienced",W300&gt;=2,"Developing",W300&gt;=0,"New")</f>
        <v>New</v>
      </c>
      <c r="AB300" s="5" t="str" cm="1">
        <f t="array" ref="AB300">_xlfn.IFS(G300=1,"Junior",G300=2,"Mid-Level",G300=3,"Senior",G300=4,"Lead",G300=5,"Principal")&amp;" "&amp;TRIM(PROPER(H300))</f>
        <v>Junior Laboratory Technician</v>
      </c>
      <c r="AC300" s="19" t="str">
        <f t="shared" ca="1" si="54"/>
        <v>La-Res-2025-299 is a Junior Laboratory Technician in the Research &amp; Development department, aged 36, married and has been with the Company for 1years</v>
      </c>
    </row>
    <row r="301" spans="1:29">
      <c r="A301" s="18" t="str">
        <f t="shared" ca="1" si="44"/>
        <v>Ma-Res-2022-300</v>
      </c>
      <c r="B301" s="5">
        <v>51</v>
      </c>
      <c r="C301" s="5" t="str">
        <f t="shared" si="45"/>
        <v>50+</v>
      </c>
      <c r="D301" s="5" t="s">
        <v>43</v>
      </c>
      <c r="E301" s="5" t="s">
        <v>45</v>
      </c>
      <c r="F301" s="5" t="s">
        <v>46</v>
      </c>
      <c r="G301" s="5">
        <v>2</v>
      </c>
      <c r="H301" s="5" t="s">
        <v>53</v>
      </c>
      <c r="I301" s="5" t="s">
        <v>52</v>
      </c>
      <c r="J301" s="7">
        <v>5482</v>
      </c>
      <c r="K301" s="7">
        <f t="shared" si="46"/>
        <v>822.3</v>
      </c>
      <c r="L301" s="7">
        <f t="shared" si="47"/>
        <v>4659.7</v>
      </c>
      <c r="M301" s="7">
        <v>16321</v>
      </c>
      <c r="N301" s="5" t="s">
        <v>43</v>
      </c>
      <c r="O301" s="5">
        <v>18</v>
      </c>
      <c r="P301" s="7">
        <f t="shared" si="48"/>
        <v>6468.7599999999993</v>
      </c>
      <c r="Q301" s="7">
        <f t="shared" si="49"/>
        <v>11841.119999999992</v>
      </c>
      <c r="R301" s="7" t="str">
        <f t="shared" si="50"/>
        <v>Normal</v>
      </c>
      <c r="S301" s="5">
        <v>3</v>
      </c>
      <c r="T301" s="5">
        <v>3</v>
      </c>
      <c r="U301" s="5" t="str" cm="1">
        <f t="array" ref="U301">_xlfn.IFS(T301=1,"Poor",T301=2,"Fair",T301=3,"Good",T301=4,"Excellent")</f>
        <v>Good</v>
      </c>
      <c r="V301" s="5" t="s">
        <v>43</v>
      </c>
      <c r="W301" s="5">
        <v>4</v>
      </c>
      <c r="X301" s="28">
        <f t="shared" ca="1" si="51"/>
        <v>44650</v>
      </c>
      <c r="Y301" s="28">
        <f t="shared" ca="1" si="52"/>
        <v>46842</v>
      </c>
      <c r="Z301" s="28" t="str">
        <f t="shared" ca="1" si="53"/>
        <v>Upcoming</v>
      </c>
      <c r="AA301" s="5" t="str" cm="1">
        <f t="array" ref="AA301">_xlfn.IFS(W301&gt;10,"Veteran",W301&gt;=6,"Experienced",W301&gt;=2,"Developing",W301&gt;=0,"New")</f>
        <v>Developing</v>
      </c>
      <c r="AB301" s="5" t="str" cm="1">
        <f t="array" ref="AB301">_xlfn.IFS(G301=1,"Junior",G301=2,"Mid-Level",G301=3,"Senior",G301=4,"Lead",G301=5,"Principal")&amp;" "&amp;TRIM(PROPER(H301))</f>
        <v>Mid-Level Manufacturing Director</v>
      </c>
      <c r="AC301" s="19" t="str">
        <f t="shared" ca="1" si="54"/>
        <v>Ma-Res-2022-300 is a Mid-Level Manufacturing Director in the Research &amp; Development department, aged 51, divorced and has been with the Company for 4years</v>
      </c>
    </row>
    <row r="302" spans="1:29">
      <c r="A302" s="18" t="str">
        <f t="shared" ca="1" si="44"/>
        <v>Ma-Sal-2004-301</v>
      </c>
      <c r="B302" s="5">
        <v>41</v>
      </c>
      <c r="C302" s="5" t="str">
        <f t="shared" si="45"/>
        <v>40-49</v>
      </c>
      <c r="D302" s="5" t="s">
        <v>43</v>
      </c>
      <c r="E302" s="5" t="s">
        <v>37</v>
      </c>
      <c r="F302" s="5" t="s">
        <v>46</v>
      </c>
      <c r="G302" s="5">
        <v>4</v>
      </c>
      <c r="H302" s="5" t="s">
        <v>56</v>
      </c>
      <c r="I302" s="5" t="s">
        <v>41</v>
      </c>
      <c r="J302" s="7">
        <v>16015</v>
      </c>
      <c r="K302" s="7">
        <f t="shared" si="46"/>
        <v>4804.5</v>
      </c>
      <c r="L302" s="7">
        <f t="shared" si="47"/>
        <v>11210.5</v>
      </c>
      <c r="M302" s="7">
        <v>15896</v>
      </c>
      <c r="N302" s="5" t="s">
        <v>43</v>
      </c>
      <c r="O302" s="5">
        <v>19</v>
      </c>
      <c r="P302" s="7">
        <f t="shared" si="48"/>
        <v>19057.849999999999</v>
      </c>
      <c r="Q302" s="7">
        <f t="shared" si="49"/>
        <v>36514.199999999983</v>
      </c>
      <c r="R302" s="7" t="str">
        <f t="shared" si="50"/>
        <v>Normal</v>
      </c>
      <c r="S302" s="5">
        <v>3</v>
      </c>
      <c r="T302" s="5">
        <v>3</v>
      </c>
      <c r="U302" s="5" t="str" cm="1">
        <f t="array" ref="U302">_xlfn.IFS(T302=1,"Poor",T302=2,"Fair",T302=3,"Good",T302=4,"Excellent")</f>
        <v>Good</v>
      </c>
      <c r="V302" s="5" t="s">
        <v>43</v>
      </c>
      <c r="W302" s="5">
        <v>22</v>
      </c>
      <c r="X302" s="28">
        <f t="shared" ca="1" si="51"/>
        <v>38076</v>
      </c>
      <c r="Y302" s="28">
        <f t="shared" ca="1" si="52"/>
        <v>46842</v>
      </c>
      <c r="Z302" s="28" t="str">
        <f t="shared" ca="1" si="53"/>
        <v>Upcoming</v>
      </c>
      <c r="AA302" s="5" t="str" cm="1">
        <f t="array" ref="AA302">_xlfn.IFS(W302&gt;10,"Veteran",W302&gt;=6,"Experienced",W302&gt;=2,"Developing",W302&gt;=0,"New")</f>
        <v>Veteran</v>
      </c>
      <c r="AB302" s="5" t="str" cm="1">
        <f t="array" ref="AB302">_xlfn.IFS(G302=1,"Junior",G302=2,"Mid-Level",G302=3,"Senior",G302=4,"Lead",G302=5,"Principal")&amp;" "&amp;TRIM(PROPER(H302))</f>
        <v>Lead Manager</v>
      </c>
      <c r="AC302" s="19" t="str">
        <f t="shared" ca="1" si="54"/>
        <v>Ma-Sal-2004-301 is a Lead Manager in the Sales department, aged 41, single and has been with the Company for 22years</v>
      </c>
    </row>
    <row r="303" spans="1:29">
      <c r="A303" s="18" t="str">
        <f t="shared" ca="1" si="44"/>
        <v>Sa-Sal-2026-302</v>
      </c>
      <c r="B303" s="5">
        <v>18</v>
      </c>
      <c r="C303" s="5" t="str">
        <f t="shared" si="45"/>
        <v>20-29</v>
      </c>
      <c r="D303" s="5" t="s">
        <v>43</v>
      </c>
      <c r="E303" s="5" t="s">
        <v>37</v>
      </c>
      <c r="F303" s="5" t="s">
        <v>39</v>
      </c>
      <c r="G303" s="5">
        <v>1</v>
      </c>
      <c r="H303" s="5" t="s">
        <v>57</v>
      </c>
      <c r="I303" s="5" t="s">
        <v>41</v>
      </c>
      <c r="J303" s="7">
        <v>1200</v>
      </c>
      <c r="K303" s="7">
        <f t="shared" si="46"/>
        <v>84.000000000000014</v>
      </c>
      <c r="L303" s="7">
        <f t="shared" si="47"/>
        <v>1116</v>
      </c>
      <c r="M303" s="7">
        <v>9724</v>
      </c>
      <c r="N303" s="5" t="s">
        <v>43</v>
      </c>
      <c r="O303" s="5">
        <v>12</v>
      </c>
      <c r="P303" s="7">
        <f t="shared" si="48"/>
        <v>1344.0000000000002</v>
      </c>
      <c r="Q303" s="7">
        <f t="shared" si="49"/>
        <v>1728.0000000000027</v>
      </c>
      <c r="R303" s="7" t="str">
        <f t="shared" si="50"/>
        <v>Normal</v>
      </c>
      <c r="S303" s="5">
        <v>3</v>
      </c>
      <c r="T303" s="5">
        <v>3</v>
      </c>
      <c r="U303" s="5" t="str" cm="1">
        <f t="array" ref="U303">_xlfn.IFS(T303=1,"Poor",T303=2,"Fair",T303=3,"Good",T303=4,"Excellent")</f>
        <v>Good</v>
      </c>
      <c r="V303" s="5" t="s">
        <v>43</v>
      </c>
      <c r="W303" s="5">
        <v>0</v>
      </c>
      <c r="X303" s="28">
        <f t="shared" ca="1" si="51"/>
        <v>46111</v>
      </c>
      <c r="Y303" s="28">
        <f t="shared" ca="1" si="52"/>
        <v>46842</v>
      </c>
      <c r="Z303" s="28" t="str">
        <f t="shared" ca="1" si="53"/>
        <v>Upcoming</v>
      </c>
      <c r="AA303" s="5" t="str" cm="1">
        <f t="array" ref="AA303">_xlfn.IFS(W303&gt;10,"Veteran",W303&gt;=6,"Experienced",W303&gt;=2,"Developing",W303&gt;=0,"New")</f>
        <v>New</v>
      </c>
      <c r="AB303" s="5" t="str" cm="1">
        <f t="array" ref="AB303">_xlfn.IFS(G303=1,"Junior",G303=2,"Mid-Level",G303=3,"Senior",G303=4,"Lead",G303=5,"Principal")&amp;" "&amp;TRIM(PROPER(H303))</f>
        <v>Junior Sales Representative</v>
      </c>
      <c r="AC303" s="19" t="str">
        <f t="shared" ca="1" si="54"/>
        <v>Sa-Sal-2026-302 is a Junior Sales Representative in the Sales department, aged 18, single and has been with the Company for 0years</v>
      </c>
    </row>
    <row r="304" spans="1:29">
      <c r="A304" s="18" t="str">
        <f t="shared" ca="1" si="44"/>
        <v>He-Res-2018-303</v>
      </c>
      <c r="B304" s="5">
        <v>28</v>
      </c>
      <c r="C304" s="5" t="str">
        <f t="shared" si="45"/>
        <v>20-29</v>
      </c>
      <c r="D304" s="5" t="s">
        <v>43</v>
      </c>
      <c r="E304" s="5" t="s">
        <v>45</v>
      </c>
      <c r="F304" s="5" t="s">
        <v>46</v>
      </c>
      <c r="G304" s="5">
        <v>2</v>
      </c>
      <c r="H304" s="5" t="s">
        <v>54</v>
      </c>
      <c r="I304" s="5" t="s">
        <v>41</v>
      </c>
      <c r="J304" s="7">
        <v>5661</v>
      </c>
      <c r="K304" s="7">
        <f t="shared" si="46"/>
        <v>849.15</v>
      </c>
      <c r="L304" s="7">
        <f t="shared" si="47"/>
        <v>4811.8500000000004</v>
      </c>
      <c r="M304" s="7">
        <v>4824</v>
      </c>
      <c r="N304" s="5" t="s">
        <v>43</v>
      </c>
      <c r="O304" s="5">
        <v>19</v>
      </c>
      <c r="P304" s="7">
        <f t="shared" si="48"/>
        <v>6736.59</v>
      </c>
      <c r="Q304" s="7">
        <f t="shared" si="49"/>
        <v>12907.080000000002</v>
      </c>
      <c r="R304" s="7" t="str">
        <f t="shared" si="50"/>
        <v>Normal</v>
      </c>
      <c r="S304" s="5">
        <v>3</v>
      </c>
      <c r="T304" s="5">
        <v>3</v>
      </c>
      <c r="U304" s="5" t="str" cm="1">
        <f t="array" ref="U304">_xlfn.IFS(T304=1,"Poor",T304=2,"Fair",T304=3,"Good",T304=4,"Excellent")</f>
        <v>Good</v>
      </c>
      <c r="V304" s="5" t="s">
        <v>43</v>
      </c>
      <c r="W304" s="5">
        <v>8</v>
      </c>
      <c r="X304" s="28">
        <f t="shared" ca="1" si="51"/>
        <v>43189</v>
      </c>
      <c r="Y304" s="28">
        <f t="shared" ca="1" si="52"/>
        <v>46842</v>
      </c>
      <c r="Z304" s="28" t="str">
        <f t="shared" ca="1" si="53"/>
        <v>Upcoming</v>
      </c>
      <c r="AA304" s="5" t="str" cm="1">
        <f t="array" ref="AA304">_xlfn.IFS(W304&gt;10,"Veteran",W304&gt;=6,"Experienced",W304&gt;=2,"Developing",W304&gt;=0,"New")</f>
        <v>Experienced</v>
      </c>
      <c r="AB304" s="5" t="str" cm="1">
        <f t="array" ref="AB304">_xlfn.IFS(G304=1,"Junior",G304=2,"Mid-Level",G304=3,"Senior",G304=4,"Lead",G304=5,"Principal")&amp;" "&amp;TRIM(PROPER(H304))</f>
        <v>Mid-Level Healthcare Representative</v>
      </c>
      <c r="AC304" s="19" t="str">
        <f t="shared" ca="1" si="54"/>
        <v>He-Res-2018-303 is a Mid-Level Healthcare Representative in the Research &amp; Development department, aged 28, single and has been with the Company for 8years</v>
      </c>
    </row>
    <row r="305" spans="1:29">
      <c r="A305" s="18" t="str">
        <f t="shared" ca="1" si="44"/>
        <v>Sa-Sal-2018-304</v>
      </c>
      <c r="B305" s="5">
        <v>31</v>
      </c>
      <c r="C305" s="5" t="str">
        <f t="shared" si="45"/>
        <v>30-39</v>
      </c>
      <c r="D305" s="5" t="s">
        <v>43</v>
      </c>
      <c r="E305" s="5" t="s">
        <v>37</v>
      </c>
      <c r="F305" s="5" t="s">
        <v>46</v>
      </c>
      <c r="G305" s="5">
        <v>2</v>
      </c>
      <c r="H305" s="5" t="s">
        <v>40</v>
      </c>
      <c r="I305" s="5" t="s">
        <v>48</v>
      </c>
      <c r="J305" s="7">
        <v>6929</v>
      </c>
      <c r="K305" s="7">
        <f t="shared" si="46"/>
        <v>1039.3499999999999</v>
      </c>
      <c r="L305" s="7">
        <f t="shared" si="47"/>
        <v>5889.65</v>
      </c>
      <c r="M305" s="7">
        <v>12241</v>
      </c>
      <c r="N305" s="5" t="s">
        <v>43</v>
      </c>
      <c r="O305" s="5">
        <v>11</v>
      </c>
      <c r="P305" s="7">
        <f t="shared" si="48"/>
        <v>7691.1900000000005</v>
      </c>
      <c r="Q305" s="7">
        <f t="shared" si="49"/>
        <v>9146.2800000000061</v>
      </c>
      <c r="R305" s="7" t="str">
        <f t="shared" si="50"/>
        <v>Normal</v>
      </c>
      <c r="S305" s="5">
        <v>3</v>
      </c>
      <c r="T305" s="5">
        <v>2</v>
      </c>
      <c r="U305" s="5" t="str" cm="1">
        <f t="array" ref="U305">_xlfn.IFS(T305=1,"Poor",T305=2,"Fair",T305=3,"Good",T305=4,"Excellent")</f>
        <v>Fair</v>
      </c>
      <c r="V305" s="5" t="s">
        <v>43</v>
      </c>
      <c r="W305" s="5">
        <v>8</v>
      </c>
      <c r="X305" s="28">
        <f t="shared" ca="1" si="51"/>
        <v>43189</v>
      </c>
      <c r="Y305" s="28">
        <f t="shared" ca="1" si="52"/>
        <v>46842</v>
      </c>
      <c r="Z305" s="28" t="str">
        <f t="shared" ca="1" si="53"/>
        <v>Upcoming</v>
      </c>
      <c r="AA305" s="5" t="str" cm="1">
        <f t="array" ref="AA305">_xlfn.IFS(W305&gt;10,"Veteran",W305&gt;=6,"Experienced",W305&gt;=2,"Developing",W305&gt;=0,"New")</f>
        <v>Experienced</v>
      </c>
      <c r="AB305" s="5" t="str" cm="1">
        <f t="array" ref="AB305">_xlfn.IFS(G305=1,"Junior",G305=2,"Mid-Level",G305=3,"Senior",G305=4,"Lead",G305=5,"Principal")&amp;" "&amp;TRIM(PROPER(H305))</f>
        <v>Mid-Level Sales Executive</v>
      </c>
      <c r="AC305" s="19" t="str">
        <f t="shared" ca="1" si="54"/>
        <v>Sa-Sal-2018-304 is a Mid-Level Sales Executive in the Sales department, aged 31, married and has been with the Company for 8years</v>
      </c>
    </row>
    <row r="306" spans="1:29">
      <c r="A306" s="18" t="str">
        <f t="shared" ca="1" si="44"/>
        <v>He-Res-2008-305</v>
      </c>
      <c r="B306" s="5">
        <v>39</v>
      </c>
      <c r="C306" s="5" t="str">
        <f t="shared" si="45"/>
        <v>30-39</v>
      </c>
      <c r="D306" s="5" t="s">
        <v>43</v>
      </c>
      <c r="E306" s="5" t="s">
        <v>45</v>
      </c>
      <c r="F306" s="5" t="s">
        <v>46</v>
      </c>
      <c r="G306" s="5">
        <v>3</v>
      </c>
      <c r="H306" s="5" t="s">
        <v>54</v>
      </c>
      <c r="I306" s="5" t="s">
        <v>52</v>
      </c>
      <c r="J306" s="7">
        <v>9613</v>
      </c>
      <c r="K306" s="7">
        <f t="shared" si="46"/>
        <v>2114.86</v>
      </c>
      <c r="L306" s="7">
        <f t="shared" si="47"/>
        <v>7498.1399999999994</v>
      </c>
      <c r="M306" s="7">
        <v>10942</v>
      </c>
      <c r="N306" s="5" t="s">
        <v>43</v>
      </c>
      <c r="O306" s="5">
        <v>17</v>
      </c>
      <c r="P306" s="7">
        <f t="shared" si="48"/>
        <v>11247.21</v>
      </c>
      <c r="Q306" s="7">
        <f t="shared" si="49"/>
        <v>19610.51999999999</v>
      </c>
      <c r="R306" s="7" t="str">
        <f t="shared" si="50"/>
        <v>Normal</v>
      </c>
      <c r="S306" s="5">
        <v>3</v>
      </c>
      <c r="T306" s="5">
        <v>2</v>
      </c>
      <c r="U306" s="5" t="str" cm="1">
        <f t="array" ref="U306">_xlfn.IFS(T306=1,"Poor",T306=2,"Fair",T306=3,"Good",T306=4,"Excellent")</f>
        <v>Fair</v>
      </c>
      <c r="V306" s="5" t="s">
        <v>43</v>
      </c>
      <c r="W306" s="5">
        <v>18</v>
      </c>
      <c r="X306" s="28">
        <f t="shared" ca="1" si="51"/>
        <v>39537</v>
      </c>
      <c r="Y306" s="28">
        <f t="shared" ca="1" si="52"/>
        <v>46842</v>
      </c>
      <c r="Z306" s="28" t="str">
        <f t="shared" ca="1" si="53"/>
        <v>Upcoming</v>
      </c>
      <c r="AA306" s="5" t="str" cm="1">
        <f t="array" ref="AA306">_xlfn.IFS(W306&gt;10,"Veteran",W306&gt;=6,"Experienced",W306&gt;=2,"Developing",W306&gt;=0,"New")</f>
        <v>Veteran</v>
      </c>
      <c r="AB306" s="5" t="str" cm="1">
        <f t="array" ref="AB306">_xlfn.IFS(G306=1,"Junior",G306=2,"Mid-Level",G306=3,"Senior",G306=4,"Lead",G306=5,"Principal")&amp;" "&amp;TRIM(PROPER(H306))</f>
        <v>Senior Healthcare Representative</v>
      </c>
      <c r="AC306" s="19" t="str">
        <f t="shared" ca="1" si="54"/>
        <v>He-Res-2008-305 is a Senior Healthcare Representative in the Research &amp; Development department, aged 39, divorced and has been with the Company for 18years</v>
      </c>
    </row>
    <row r="307" spans="1:29">
      <c r="A307" s="18" t="str">
        <f t="shared" ca="1" si="44"/>
        <v>La-Res-2017-306</v>
      </c>
      <c r="B307" s="5">
        <v>36</v>
      </c>
      <c r="C307" s="5" t="str">
        <f t="shared" si="45"/>
        <v>30-39</v>
      </c>
      <c r="D307" s="5" t="s">
        <v>43</v>
      </c>
      <c r="E307" s="5" t="s">
        <v>45</v>
      </c>
      <c r="F307" s="5" t="s">
        <v>39</v>
      </c>
      <c r="G307" s="5">
        <v>2</v>
      </c>
      <c r="H307" s="5" t="s">
        <v>50</v>
      </c>
      <c r="I307" s="5" t="s">
        <v>48</v>
      </c>
      <c r="J307" s="7">
        <v>5674</v>
      </c>
      <c r="K307" s="7">
        <f t="shared" si="46"/>
        <v>851.1</v>
      </c>
      <c r="L307" s="7">
        <f t="shared" si="47"/>
        <v>4822.8999999999996</v>
      </c>
      <c r="M307" s="7">
        <v>6927</v>
      </c>
      <c r="N307" s="5" t="s">
        <v>43</v>
      </c>
      <c r="O307" s="5">
        <v>15</v>
      </c>
      <c r="P307" s="7">
        <f t="shared" si="48"/>
        <v>6525.0999999999995</v>
      </c>
      <c r="Q307" s="7">
        <f t="shared" si="49"/>
        <v>10213.199999999993</v>
      </c>
      <c r="R307" s="7" t="str">
        <f t="shared" si="50"/>
        <v>Normal</v>
      </c>
      <c r="S307" s="5">
        <v>3</v>
      </c>
      <c r="T307" s="5">
        <v>3</v>
      </c>
      <c r="U307" s="5" t="str" cm="1">
        <f t="array" ref="U307">_xlfn.IFS(T307=1,"Poor",T307=2,"Fair",T307=3,"Good",T307=4,"Excellent")</f>
        <v>Good</v>
      </c>
      <c r="V307" s="5" t="s">
        <v>43</v>
      </c>
      <c r="W307" s="5">
        <v>9</v>
      </c>
      <c r="X307" s="28">
        <f t="shared" ca="1" si="51"/>
        <v>42824</v>
      </c>
      <c r="Y307" s="28">
        <f t="shared" ca="1" si="52"/>
        <v>46476</v>
      </c>
      <c r="Z307" s="28" t="str">
        <f t="shared" ca="1" si="53"/>
        <v>Due Soon</v>
      </c>
      <c r="AA307" s="5" t="str" cm="1">
        <f t="array" ref="AA307">_xlfn.IFS(W307&gt;10,"Veteran",W307&gt;=6,"Experienced",W307&gt;=2,"Developing",W307&gt;=0,"New")</f>
        <v>Experienced</v>
      </c>
      <c r="AB307" s="5" t="str" cm="1">
        <f t="array" ref="AB307">_xlfn.IFS(G307=1,"Junior",G307=2,"Mid-Level",G307=3,"Senior",G307=4,"Lead",G307=5,"Principal")&amp;" "&amp;TRIM(PROPER(H307))</f>
        <v>Mid-Level Laboratory Technician</v>
      </c>
      <c r="AC307" s="19" t="str">
        <f t="shared" ca="1" si="54"/>
        <v>La-Res-2017-306 is a Mid-Level Laboratory Technician in the Research &amp; Development department, aged 36, married and has been with the Company for 9years</v>
      </c>
    </row>
    <row r="308" spans="1:29">
      <c r="A308" s="18" t="str">
        <f t="shared" ca="1" si="44"/>
        <v>Sa-Sal-2013-307</v>
      </c>
      <c r="B308" s="5">
        <v>32</v>
      </c>
      <c r="C308" s="5" t="str">
        <f t="shared" si="45"/>
        <v>30-39</v>
      </c>
      <c r="D308" s="5" t="s">
        <v>43</v>
      </c>
      <c r="E308" s="5" t="s">
        <v>37</v>
      </c>
      <c r="F308" s="5" t="s">
        <v>46</v>
      </c>
      <c r="G308" s="5">
        <v>2</v>
      </c>
      <c r="H308" s="5" t="s">
        <v>40</v>
      </c>
      <c r="I308" s="5" t="s">
        <v>48</v>
      </c>
      <c r="J308" s="7">
        <v>5484</v>
      </c>
      <c r="K308" s="7">
        <f t="shared" si="46"/>
        <v>822.6</v>
      </c>
      <c r="L308" s="7">
        <f t="shared" si="47"/>
        <v>4661.3999999999996</v>
      </c>
      <c r="M308" s="7">
        <v>16985</v>
      </c>
      <c r="N308" s="5" t="s">
        <v>43</v>
      </c>
      <c r="O308" s="5">
        <v>14</v>
      </c>
      <c r="P308" s="7">
        <f t="shared" si="48"/>
        <v>6251.7600000000011</v>
      </c>
      <c r="Q308" s="7">
        <f t="shared" si="49"/>
        <v>9213.1200000000135</v>
      </c>
      <c r="R308" s="7" t="str">
        <f t="shared" si="50"/>
        <v>Normal</v>
      </c>
      <c r="S308" s="5">
        <v>3</v>
      </c>
      <c r="T308" s="5">
        <v>2</v>
      </c>
      <c r="U308" s="5" t="str" cm="1">
        <f t="array" ref="U308">_xlfn.IFS(T308=1,"Poor",T308=2,"Fair",T308=3,"Good",T308=4,"Excellent")</f>
        <v>Fair</v>
      </c>
      <c r="V308" s="5" t="s">
        <v>43</v>
      </c>
      <c r="W308" s="5">
        <v>13</v>
      </c>
      <c r="X308" s="28">
        <f t="shared" ca="1" si="51"/>
        <v>41363</v>
      </c>
      <c r="Y308" s="28">
        <f t="shared" ca="1" si="52"/>
        <v>46476</v>
      </c>
      <c r="Z308" s="28" t="str">
        <f t="shared" ca="1" si="53"/>
        <v>Due Soon</v>
      </c>
      <c r="AA308" s="5" t="str" cm="1">
        <f t="array" ref="AA308">_xlfn.IFS(W308&gt;10,"Veteran",W308&gt;=6,"Experienced",W308&gt;=2,"Developing",W308&gt;=0,"New")</f>
        <v>Veteran</v>
      </c>
      <c r="AB308" s="5" t="str" cm="1">
        <f t="array" ref="AB308">_xlfn.IFS(G308=1,"Junior",G308=2,"Mid-Level",G308=3,"Senior",G308=4,"Lead",G308=5,"Principal")&amp;" "&amp;TRIM(PROPER(H308))</f>
        <v>Mid-Level Sales Executive</v>
      </c>
      <c r="AC308" s="19" t="str">
        <f t="shared" ca="1" si="54"/>
        <v>Sa-Sal-2013-307 is a Mid-Level Sales Executive in the Sales department, aged 32, married and has been with the Company for 13years</v>
      </c>
    </row>
    <row r="309" spans="1:29">
      <c r="A309" s="18" t="str">
        <f t="shared" ca="1" si="44"/>
        <v>Re-Res-2016-308</v>
      </c>
      <c r="B309" s="5">
        <v>38</v>
      </c>
      <c r="C309" s="5" t="str">
        <f t="shared" si="45"/>
        <v>30-39</v>
      </c>
      <c r="D309" s="5" t="s">
        <v>43</v>
      </c>
      <c r="E309" s="5" t="s">
        <v>45</v>
      </c>
      <c r="F309" s="5" t="s">
        <v>39</v>
      </c>
      <c r="G309" s="5">
        <v>3</v>
      </c>
      <c r="H309" s="5" t="s">
        <v>58</v>
      </c>
      <c r="I309" s="5" t="s">
        <v>48</v>
      </c>
      <c r="J309" s="7">
        <v>12061</v>
      </c>
      <c r="K309" s="7">
        <f t="shared" si="46"/>
        <v>2653.42</v>
      </c>
      <c r="L309" s="7">
        <f t="shared" si="47"/>
        <v>9407.58</v>
      </c>
      <c r="M309" s="7">
        <v>26707</v>
      </c>
      <c r="N309" s="5" t="s">
        <v>43</v>
      </c>
      <c r="O309" s="5">
        <v>17</v>
      </c>
      <c r="P309" s="7">
        <f t="shared" si="48"/>
        <v>14111.369999999999</v>
      </c>
      <c r="Q309" s="7">
        <f t="shared" si="49"/>
        <v>24604.439999999988</v>
      </c>
      <c r="R309" s="7" t="str">
        <f t="shared" si="50"/>
        <v>Normal</v>
      </c>
      <c r="S309" s="5">
        <v>3</v>
      </c>
      <c r="T309" s="5">
        <v>3</v>
      </c>
      <c r="U309" s="5" t="str" cm="1">
        <f t="array" ref="U309">_xlfn.IFS(T309=1,"Poor",T309=2,"Fair",T309=3,"Good",T309=4,"Excellent")</f>
        <v>Good</v>
      </c>
      <c r="V309" s="5" t="s">
        <v>43</v>
      </c>
      <c r="W309" s="5">
        <v>10</v>
      </c>
      <c r="X309" s="28">
        <f t="shared" ca="1" si="51"/>
        <v>42459</v>
      </c>
      <c r="Y309" s="28">
        <f t="shared" ca="1" si="52"/>
        <v>46842</v>
      </c>
      <c r="Z309" s="28" t="str">
        <f t="shared" ca="1" si="53"/>
        <v>Upcoming</v>
      </c>
      <c r="AA309" s="5" t="str" cm="1">
        <f t="array" ref="AA309">_xlfn.IFS(W309&gt;10,"Veteran",W309&gt;=6,"Experienced",W309&gt;=2,"Developing",W309&gt;=0,"New")</f>
        <v>Experienced</v>
      </c>
      <c r="AB309" s="5" t="str" cm="1">
        <f t="array" ref="AB309">_xlfn.IFS(G309=1,"Junior",G309=2,"Mid-Level",G309=3,"Senior",G309=4,"Lead",G309=5,"Principal")&amp;" "&amp;TRIM(PROPER(H309))</f>
        <v>Senior Research Director</v>
      </c>
      <c r="AC309" s="19" t="str">
        <f t="shared" ca="1" si="54"/>
        <v>Re-Res-2016-308 is a Senior Research Director in the Research &amp; Development department, aged 38, married and has been with the Company for 10years</v>
      </c>
    </row>
    <row r="310" spans="1:29">
      <c r="A310" s="18" t="str">
        <f t="shared" ca="1" si="44"/>
        <v>He-Res-2021-309</v>
      </c>
      <c r="B310" s="5">
        <v>58</v>
      </c>
      <c r="C310" s="5" t="str">
        <f t="shared" si="45"/>
        <v>50+</v>
      </c>
      <c r="D310" s="5" t="s">
        <v>43</v>
      </c>
      <c r="E310" s="5" t="s">
        <v>45</v>
      </c>
      <c r="F310" s="5" t="s">
        <v>46</v>
      </c>
      <c r="G310" s="5">
        <v>2</v>
      </c>
      <c r="H310" s="5" t="s">
        <v>54</v>
      </c>
      <c r="I310" s="5" t="s">
        <v>52</v>
      </c>
      <c r="J310" s="7">
        <v>5660</v>
      </c>
      <c r="K310" s="7">
        <f t="shared" si="46"/>
        <v>849</v>
      </c>
      <c r="L310" s="7">
        <f t="shared" si="47"/>
        <v>4811</v>
      </c>
      <c r="M310" s="7">
        <v>17056</v>
      </c>
      <c r="N310" s="5" t="s">
        <v>35</v>
      </c>
      <c r="O310" s="5">
        <v>13</v>
      </c>
      <c r="P310" s="7">
        <f t="shared" si="48"/>
        <v>6395.7999999999993</v>
      </c>
      <c r="Q310" s="7">
        <f t="shared" si="49"/>
        <v>8829.5999999999913</v>
      </c>
      <c r="R310" s="7" t="str">
        <f t="shared" si="50"/>
        <v>Normal</v>
      </c>
      <c r="S310" s="5">
        <v>3</v>
      </c>
      <c r="T310" s="5">
        <v>3</v>
      </c>
      <c r="U310" s="5" t="str" cm="1">
        <f t="array" ref="U310">_xlfn.IFS(T310=1,"Poor",T310=2,"Fair",T310=3,"Good",T310=4,"Excellent")</f>
        <v>Good</v>
      </c>
      <c r="V310" s="5" t="s">
        <v>35</v>
      </c>
      <c r="W310" s="5">
        <v>5</v>
      </c>
      <c r="X310" s="28">
        <f t="shared" ca="1" si="51"/>
        <v>44285</v>
      </c>
      <c r="Y310" s="28">
        <f t="shared" ca="1" si="52"/>
        <v>46476</v>
      </c>
      <c r="Z310" s="28" t="str">
        <f t="shared" ca="1" si="53"/>
        <v>Due Soon</v>
      </c>
      <c r="AA310" s="5" t="str" cm="1">
        <f t="array" ref="AA310">_xlfn.IFS(W310&gt;10,"Veteran",W310&gt;=6,"Experienced",W310&gt;=2,"Developing",W310&gt;=0,"New")</f>
        <v>Developing</v>
      </c>
      <c r="AB310" s="5" t="str" cm="1">
        <f t="array" ref="AB310">_xlfn.IFS(G310=1,"Junior",G310=2,"Mid-Level",G310=3,"Senior",G310=4,"Lead",G310=5,"Principal")&amp;" "&amp;TRIM(PROPER(H310))</f>
        <v>Mid-Level Healthcare Representative</v>
      </c>
      <c r="AC310" s="19" t="str">
        <f t="shared" ca="1" si="54"/>
        <v>He-Res-2021-309 is a Mid-Level Healthcare Representative in the Research &amp; Development department, aged 58, divorced and has been with the Company for 5years</v>
      </c>
    </row>
    <row r="311" spans="1:29">
      <c r="A311" s="18" t="str">
        <f t="shared" ca="1" si="44"/>
        <v>Re-Res-2021-310</v>
      </c>
      <c r="B311" s="5">
        <v>31</v>
      </c>
      <c r="C311" s="5" t="str">
        <f t="shared" si="45"/>
        <v>30-39</v>
      </c>
      <c r="D311" s="5" t="s">
        <v>43</v>
      </c>
      <c r="E311" s="5" t="s">
        <v>45</v>
      </c>
      <c r="F311" s="5" t="s">
        <v>46</v>
      </c>
      <c r="G311" s="5">
        <v>1</v>
      </c>
      <c r="H311" s="5" t="s">
        <v>47</v>
      </c>
      <c r="I311" s="5" t="s">
        <v>48</v>
      </c>
      <c r="J311" s="7">
        <v>4821</v>
      </c>
      <c r="K311" s="7">
        <f t="shared" si="46"/>
        <v>723.15</v>
      </c>
      <c r="L311" s="7">
        <f t="shared" si="47"/>
        <v>4097.8500000000004</v>
      </c>
      <c r="M311" s="7">
        <v>10077</v>
      </c>
      <c r="N311" s="5" t="s">
        <v>35</v>
      </c>
      <c r="O311" s="5">
        <v>12</v>
      </c>
      <c r="P311" s="7">
        <f t="shared" si="48"/>
        <v>5399.52</v>
      </c>
      <c r="Q311" s="7">
        <f t="shared" si="49"/>
        <v>6942.2400000000052</v>
      </c>
      <c r="R311" s="7" t="str">
        <f t="shared" si="50"/>
        <v>Normal</v>
      </c>
      <c r="S311" s="5">
        <v>3</v>
      </c>
      <c r="T311" s="5">
        <v>3</v>
      </c>
      <c r="U311" s="5" t="str" cm="1">
        <f t="array" ref="U311">_xlfn.IFS(T311=1,"Poor",T311=2,"Fair",T311=3,"Good",T311=4,"Excellent")</f>
        <v>Good</v>
      </c>
      <c r="V311" s="5" t="s">
        <v>35</v>
      </c>
      <c r="W311" s="5">
        <v>5</v>
      </c>
      <c r="X311" s="28">
        <f t="shared" ca="1" si="51"/>
        <v>44285</v>
      </c>
      <c r="Y311" s="28">
        <f t="shared" ca="1" si="52"/>
        <v>46476</v>
      </c>
      <c r="Z311" s="28" t="str">
        <f t="shared" ca="1" si="53"/>
        <v>Due Soon</v>
      </c>
      <c r="AA311" s="5" t="str" cm="1">
        <f t="array" ref="AA311">_xlfn.IFS(W311&gt;10,"Veteran",W311&gt;=6,"Experienced",W311&gt;=2,"Developing",W311&gt;=0,"New")</f>
        <v>Developing</v>
      </c>
      <c r="AB311" s="5" t="str" cm="1">
        <f t="array" ref="AB311">_xlfn.IFS(G311=1,"Junior",G311=2,"Mid-Level",G311=3,"Senior",G311=4,"Lead",G311=5,"Principal")&amp;" "&amp;TRIM(PROPER(H311))</f>
        <v>Junior Research Scientist</v>
      </c>
      <c r="AC311" s="19" t="str">
        <f t="shared" ca="1" si="54"/>
        <v>Re-Res-2021-310 is a Junior Research Scientist in the Research &amp; Development department, aged 31, married and has been with the Company for 5years</v>
      </c>
    </row>
    <row r="312" spans="1:29">
      <c r="A312" s="18" t="str">
        <f t="shared" ca="1" si="44"/>
        <v>Hu-Hum-2024-311</v>
      </c>
      <c r="B312" s="5">
        <v>31</v>
      </c>
      <c r="C312" s="5" t="str">
        <f t="shared" si="45"/>
        <v>30-39</v>
      </c>
      <c r="D312" s="5" t="s">
        <v>43</v>
      </c>
      <c r="E312" s="5" t="s">
        <v>61</v>
      </c>
      <c r="F312" s="5" t="s">
        <v>46</v>
      </c>
      <c r="G312" s="5">
        <v>2</v>
      </c>
      <c r="H312" s="5" t="s">
        <v>61</v>
      </c>
      <c r="I312" s="5" t="s">
        <v>48</v>
      </c>
      <c r="J312" s="7">
        <v>6410</v>
      </c>
      <c r="K312" s="7">
        <f t="shared" si="46"/>
        <v>961.5</v>
      </c>
      <c r="L312" s="7">
        <f t="shared" si="47"/>
        <v>5448.5</v>
      </c>
      <c r="M312" s="7">
        <v>17822</v>
      </c>
      <c r="N312" s="5" t="s">
        <v>43</v>
      </c>
      <c r="O312" s="5">
        <v>12</v>
      </c>
      <c r="P312" s="7">
        <f t="shared" si="48"/>
        <v>7179.2000000000007</v>
      </c>
      <c r="Q312" s="7">
        <f t="shared" si="49"/>
        <v>9230.4000000000087</v>
      </c>
      <c r="R312" s="7" t="str">
        <f t="shared" si="50"/>
        <v>Normal</v>
      </c>
      <c r="S312" s="5">
        <v>3</v>
      </c>
      <c r="T312" s="5">
        <v>3</v>
      </c>
      <c r="U312" s="5" t="str" cm="1">
        <f t="array" ref="U312">_xlfn.IFS(T312=1,"Poor",T312=2,"Fair",T312=3,"Good",T312=4,"Excellent")</f>
        <v>Good</v>
      </c>
      <c r="V312" s="5" t="s">
        <v>43</v>
      </c>
      <c r="W312" s="5">
        <v>2</v>
      </c>
      <c r="X312" s="28">
        <f t="shared" ca="1" si="51"/>
        <v>45381</v>
      </c>
      <c r="Y312" s="28">
        <f t="shared" ca="1" si="52"/>
        <v>46842</v>
      </c>
      <c r="Z312" s="28" t="str">
        <f t="shared" ca="1" si="53"/>
        <v>Upcoming</v>
      </c>
      <c r="AA312" s="5" t="str" cm="1">
        <f t="array" ref="AA312">_xlfn.IFS(W312&gt;10,"Veteran",W312&gt;=6,"Experienced",W312&gt;=2,"Developing",W312&gt;=0,"New")</f>
        <v>Developing</v>
      </c>
      <c r="AB312" s="5" t="str" cm="1">
        <f t="array" ref="AB312">_xlfn.IFS(G312=1,"Junior",G312=2,"Mid-Level",G312=3,"Senior",G312=4,"Lead",G312=5,"Principal")&amp;" "&amp;TRIM(PROPER(H312))</f>
        <v>Mid-Level Human Resources</v>
      </c>
      <c r="AC312" s="19" t="str">
        <f t="shared" ca="1" si="54"/>
        <v>Hu-Hum-2024-311 is a Mid-Level Human Resources in the Human Resources department, aged 31, married and has been with the Company for 2years</v>
      </c>
    </row>
    <row r="313" spans="1:29">
      <c r="A313" s="18" t="str">
        <f t="shared" ca="1" si="44"/>
        <v>La-Res-2002-312</v>
      </c>
      <c r="B313" s="5">
        <v>45</v>
      </c>
      <c r="C313" s="5" t="str">
        <f t="shared" si="45"/>
        <v>40-49</v>
      </c>
      <c r="D313" s="5" t="s">
        <v>43</v>
      </c>
      <c r="E313" s="5" t="s">
        <v>45</v>
      </c>
      <c r="F313" s="5" t="s">
        <v>46</v>
      </c>
      <c r="G313" s="5">
        <v>3</v>
      </c>
      <c r="H313" s="5" t="s">
        <v>50</v>
      </c>
      <c r="I313" s="5" t="s">
        <v>52</v>
      </c>
      <c r="J313" s="7">
        <v>5210</v>
      </c>
      <c r="K313" s="7">
        <f t="shared" si="46"/>
        <v>781.5</v>
      </c>
      <c r="L313" s="7">
        <f t="shared" si="47"/>
        <v>4428.5</v>
      </c>
      <c r="M313" s="7">
        <v>20308</v>
      </c>
      <c r="N313" s="5" t="s">
        <v>43</v>
      </c>
      <c r="O313" s="5">
        <v>18</v>
      </c>
      <c r="P313" s="7">
        <f t="shared" si="48"/>
        <v>6147.7999999999993</v>
      </c>
      <c r="Q313" s="7">
        <f t="shared" si="49"/>
        <v>11253.599999999991</v>
      </c>
      <c r="R313" s="7" t="str">
        <f t="shared" si="50"/>
        <v>Normal</v>
      </c>
      <c r="S313" s="5">
        <v>3</v>
      </c>
      <c r="T313" s="5">
        <v>3</v>
      </c>
      <c r="U313" s="5" t="str" cm="1">
        <f t="array" ref="U313">_xlfn.IFS(T313=1,"Poor",T313=2,"Fair",T313=3,"Good",T313=4,"Excellent")</f>
        <v>Good</v>
      </c>
      <c r="V313" s="5" t="s">
        <v>43</v>
      </c>
      <c r="W313" s="5">
        <v>24</v>
      </c>
      <c r="X313" s="28">
        <f t="shared" ca="1" si="51"/>
        <v>37345</v>
      </c>
      <c r="Y313" s="28">
        <f t="shared" ca="1" si="52"/>
        <v>46842</v>
      </c>
      <c r="Z313" s="28" t="str">
        <f t="shared" ca="1" si="53"/>
        <v>Upcoming</v>
      </c>
      <c r="AA313" s="5" t="str" cm="1">
        <f t="array" ref="AA313">_xlfn.IFS(W313&gt;10,"Veteran",W313&gt;=6,"Experienced",W313&gt;=2,"Developing",W313&gt;=0,"New")</f>
        <v>Veteran</v>
      </c>
      <c r="AB313" s="5" t="str" cm="1">
        <f t="array" ref="AB313">_xlfn.IFS(G313=1,"Junior",G313=2,"Mid-Level",G313=3,"Senior",G313=4,"Lead",G313=5,"Principal")&amp;" "&amp;TRIM(PROPER(H313))</f>
        <v>Senior Laboratory Technician</v>
      </c>
      <c r="AC313" s="19" t="str">
        <f t="shared" ca="1" si="54"/>
        <v>La-Res-2002-312 is a Senior Laboratory Technician in the Research &amp; Development department, aged 45, divorced and has been with the Company for 24years</v>
      </c>
    </row>
    <row r="314" spans="1:29">
      <c r="A314" s="18" t="str">
        <f t="shared" ca="1" si="44"/>
        <v>Re-Res-2024-313</v>
      </c>
      <c r="B314" s="5">
        <v>31</v>
      </c>
      <c r="C314" s="5" t="str">
        <f t="shared" si="45"/>
        <v>30-39</v>
      </c>
      <c r="D314" s="5" t="s">
        <v>43</v>
      </c>
      <c r="E314" s="5" t="s">
        <v>45</v>
      </c>
      <c r="F314" s="5" t="s">
        <v>46</v>
      </c>
      <c r="G314" s="5">
        <v>1</v>
      </c>
      <c r="H314" s="5" t="s">
        <v>47</v>
      </c>
      <c r="I314" s="5" t="s">
        <v>52</v>
      </c>
      <c r="J314" s="7">
        <v>2695</v>
      </c>
      <c r="K314" s="7">
        <f t="shared" si="46"/>
        <v>188.65</v>
      </c>
      <c r="L314" s="7">
        <f t="shared" si="47"/>
        <v>2506.35</v>
      </c>
      <c r="M314" s="7">
        <v>7747</v>
      </c>
      <c r="N314" s="5" t="s">
        <v>35</v>
      </c>
      <c r="O314" s="5">
        <v>18</v>
      </c>
      <c r="P314" s="7">
        <f t="shared" si="48"/>
        <v>3180.1</v>
      </c>
      <c r="Q314" s="7">
        <f t="shared" si="49"/>
        <v>5821.1999999999989</v>
      </c>
      <c r="R314" s="7" t="str">
        <f t="shared" si="50"/>
        <v>Normal</v>
      </c>
      <c r="S314" s="5">
        <v>3</v>
      </c>
      <c r="T314" s="5">
        <v>1</v>
      </c>
      <c r="U314" s="5" t="str" cm="1">
        <f t="array" ref="U314">_xlfn.IFS(T314=1,"Poor",T314=2,"Fair",T314=3,"Good",T314=4,"Excellent")</f>
        <v>Poor</v>
      </c>
      <c r="V314" s="5" t="s">
        <v>35</v>
      </c>
      <c r="W314" s="5">
        <v>2</v>
      </c>
      <c r="X314" s="28">
        <f t="shared" ca="1" si="51"/>
        <v>45381</v>
      </c>
      <c r="Y314" s="28">
        <f t="shared" ca="1" si="52"/>
        <v>46842</v>
      </c>
      <c r="Z314" s="28" t="str">
        <f t="shared" ca="1" si="53"/>
        <v>Upcoming</v>
      </c>
      <c r="AA314" s="5" t="str" cm="1">
        <f t="array" ref="AA314">_xlfn.IFS(W314&gt;10,"Veteran",W314&gt;=6,"Experienced",W314&gt;=2,"Developing",W314&gt;=0,"New")</f>
        <v>Developing</v>
      </c>
      <c r="AB314" s="5" t="str" cm="1">
        <f t="array" ref="AB314">_xlfn.IFS(G314=1,"Junior",G314=2,"Mid-Level",G314=3,"Senior",G314=4,"Lead",G314=5,"Principal")&amp;" "&amp;TRIM(PROPER(H314))</f>
        <v>Junior Research Scientist</v>
      </c>
      <c r="AC314" s="19" t="str">
        <f t="shared" ca="1" si="54"/>
        <v>Re-Res-2024-313 is a Junior Research Scientist in the Research &amp; Development department, aged 31, divorced and has been with the Company for 2years</v>
      </c>
    </row>
    <row r="315" spans="1:29">
      <c r="A315" s="18" t="str">
        <f t="shared" ca="1" si="44"/>
        <v>Ma-Res-2016-314</v>
      </c>
      <c r="B315" s="5">
        <v>33</v>
      </c>
      <c r="C315" s="5" t="str">
        <f t="shared" si="45"/>
        <v>30-39</v>
      </c>
      <c r="D315" s="5" t="s">
        <v>43</v>
      </c>
      <c r="E315" s="5" t="s">
        <v>45</v>
      </c>
      <c r="F315" s="5" t="s">
        <v>39</v>
      </c>
      <c r="G315" s="5">
        <v>3</v>
      </c>
      <c r="H315" s="5" t="s">
        <v>56</v>
      </c>
      <c r="I315" s="5" t="s">
        <v>48</v>
      </c>
      <c r="J315" s="7">
        <v>11878</v>
      </c>
      <c r="K315" s="7">
        <f t="shared" si="46"/>
        <v>2613.16</v>
      </c>
      <c r="L315" s="7">
        <f t="shared" si="47"/>
        <v>9264.84</v>
      </c>
      <c r="M315" s="7">
        <v>23364</v>
      </c>
      <c r="N315" s="5" t="s">
        <v>43</v>
      </c>
      <c r="O315" s="5">
        <v>11</v>
      </c>
      <c r="P315" s="7">
        <f t="shared" si="48"/>
        <v>13184.580000000002</v>
      </c>
      <c r="Q315" s="7">
        <f t="shared" si="49"/>
        <v>15678.960000000021</v>
      </c>
      <c r="R315" s="7" t="str">
        <f t="shared" si="50"/>
        <v>Normal</v>
      </c>
      <c r="S315" s="5">
        <v>3</v>
      </c>
      <c r="T315" s="5">
        <v>3</v>
      </c>
      <c r="U315" s="5" t="str" cm="1">
        <f t="array" ref="U315">_xlfn.IFS(T315=1,"Poor",T315=2,"Fair",T315=3,"Good",T315=4,"Excellent")</f>
        <v>Good</v>
      </c>
      <c r="V315" s="5" t="s">
        <v>43</v>
      </c>
      <c r="W315" s="5">
        <v>10</v>
      </c>
      <c r="X315" s="28">
        <f t="shared" ca="1" si="51"/>
        <v>42459</v>
      </c>
      <c r="Y315" s="28">
        <f t="shared" ca="1" si="52"/>
        <v>46842</v>
      </c>
      <c r="Z315" s="28" t="str">
        <f t="shared" ca="1" si="53"/>
        <v>Upcoming</v>
      </c>
      <c r="AA315" s="5" t="str" cm="1">
        <f t="array" ref="AA315">_xlfn.IFS(W315&gt;10,"Veteran",W315&gt;=6,"Experienced",W315&gt;=2,"Developing",W315&gt;=0,"New")</f>
        <v>Experienced</v>
      </c>
      <c r="AB315" s="5" t="str" cm="1">
        <f t="array" ref="AB315">_xlfn.IFS(G315=1,"Junior",G315=2,"Mid-Level",G315=3,"Senior",G315=4,"Lead",G315=5,"Principal")&amp;" "&amp;TRIM(PROPER(H315))</f>
        <v>Senior Manager</v>
      </c>
      <c r="AC315" s="19" t="str">
        <f t="shared" ca="1" si="54"/>
        <v>Ma-Res-2016-314 is a Senior Manager in the Research &amp; Development department, aged 33, married and has been with the Company for 10years</v>
      </c>
    </row>
    <row r="316" spans="1:29">
      <c r="A316" s="18" t="str">
        <f t="shared" ca="1" si="44"/>
        <v>Ma-Res-2005-315</v>
      </c>
      <c r="B316" s="5">
        <v>39</v>
      </c>
      <c r="C316" s="5" t="str">
        <f t="shared" si="45"/>
        <v>30-39</v>
      </c>
      <c r="D316" s="5" t="s">
        <v>43</v>
      </c>
      <c r="E316" s="5" t="s">
        <v>45</v>
      </c>
      <c r="F316" s="5" t="s">
        <v>46</v>
      </c>
      <c r="G316" s="5">
        <v>4</v>
      </c>
      <c r="H316" s="5" t="s">
        <v>56</v>
      </c>
      <c r="I316" s="5" t="s">
        <v>48</v>
      </c>
      <c r="J316" s="7">
        <v>17068</v>
      </c>
      <c r="K316" s="7">
        <f t="shared" si="46"/>
        <v>5120.3999999999996</v>
      </c>
      <c r="L316" s="7">
        <f t="shared" si="47"/>
        <v>11947.6</v>
      </c>
      <c r="M316" s="7">
        <v>5355</v>
      </c>
      <c r="N316" s="5" t="s">
        <v>35</v>
      </c>
      <c r="O316" s="5">
        <v>14</v>
      </c>
      <c r="P316" s="7">
        <f t="shared" si="48"/>
        <v>19457.52</v>
      </c>
      <c r="Q316" s="7">
        <f t="shared" si="49"/>
        <v>28674.240000000005</v>
      </c>
      <c r="R316" s="7" t="str">
        <f t="shared" si="50"/>
        <v>Normal</v>
      </c>
      <c r="S316" s="5">
        <v>3</v>
      </c>
      <c r="T316" s="5">
        <v>3</v>
      </c>
      <c r="U316" s="5" t="str" cm="1">
        <f t="array" ref="U316">_xlfn.IFS(T316=1,"Poor",T316=2,"Fair",T316=3,"Good",T316=4,"Excellent")</f>
        <v>Good</v>
      </c>
      <c r="V316" s="5" t="s">
        <v>35</v>
      </c>
      <c r="W316" s="5">
        <v>21</v>
      </c>
      <c r="X316" s="28">
        <f t="shared" ca="1" si="51"/>
        <v>38441</v>
      </c>
      <c r="Y316" s="28">
        <f t="shared" ca="1" si="52"/>
        <v>46476</v>
      </c>
      <c r="Z316" s="28" t="str">
        <f t="shared" ca="1" si="53"/>
        <v>Due Soon</v>
      </c>
      <c r="AA316" s="5" t="str" cm="1">
        <f t="array" ref="AA316">_xlfn.IFS(W316&gt;10,"Veteran",W316&gt;=6,"Experienced",W316&gt;=2,"Developing",W316&gt;=0,"New")</f>
        <v>Veteran</v>
      </c>
      <c r="AB316" s="5" t="str" cm="1">
        <f t="array" ref="AB316">_xlfn.IFS(G316=1,"Junior",G316=2,"Mid-Level",G316=3,"Senior",G316=4,"Lead",G316=5,"Principal")&amp;" "&amp;TRIM(PROPER(H316))</f>
        <v>Lead Manager</v>
      </c>
      <c r="AC316" s="19" t="str">
        <f t="shared" ca="1" si="54"/>
        <v>Ma-Res-2005-315 is a Lead Manager in the Research &amp; Development department, aged 39, married and has been with the Company for 21years</v>
      </c>
    </row>
    <row r="317" spans="1:29">
      <c r="A317" s="18" t="str">
        <f t="shared" ca="1" si="44"/>
        <v>La-Res-2018-316</v>
      </c>
      <c r="B317" s="5">
        <v>43</v>
      </c>
      <c r="C317" s="5" t="str">
        <f t="shared" si="45"/>
        <v>40-49</v>
      </c>
      <c r="D317" s="5" t="s">
        <v>43</v>
      </c>
      <c r="E317" s="5" t="s">
        <v>45</v>
      </c>
      <c r="F317" s="5" t="s">
        <v>39</v>
      </c>
      <c r="G317" s="5">
        <v>1</v>
      </c>
      <c r="H317" s="5" t="s">
        <v>50</v>
      </c>
      <c r="I317" s="5" t="s">
        <v>41</v>
      </c>
      <c r="J317" s="7">
        <v>2455</v>
      </c>
      <c r="K317" s="7">
        <f t="shared" si="46"/>
        <v>171.85000000000002</v>
      </c>
      <c r="L317" s="7">
        <f t="shared" si="47"/>
        <v>2283.15</v>
      </c>
      <c r="M317" s="7">
        <v>10675</v>
      </c>
      <c r="N317" s="5" t="s">
        <v>43</v>
      </c>
      <c r="O317" s="5">
        <v>19</v>
      </c>
      <c r="P317" s="7">
        <f t="shared" si="48"/>
        <v>2921.45</v>
      </c>
      <c r="Q317" s="7">
        <f t="shared" si="49"/>
        <v>5597.3999999999978</v>
      </c>
      <c r="R317" s="7" t="str">
        <f t="shared" si="50"/>
        <v>Normal</v>
      </c>
      <c r="S317" s="5">
        <v>3</v>
      </c>
      <c r="T317" s="5">
        <v>3</v>
      </c>
      <c r="U317" s="5" t="str" cm="1">
        <f t="array" ref="U317">_xlfn.IFS(T317=1,"Poor",T317=2,"Fair",T317=3,"Good",T317=4,"Excellent")</f>
        <v>Good</v>
      </c>
      <c r="V317" s="5" t="s">
        <v>43</v>
      </c>
      <c r="W317" s="5">
        <v>8</v>
      </c>
      <c r="X317" s="28">
        <f t="shared" ca="1" si="51"/>
        <v>43189</v>
      </c>
      <c r="Y317" s="28">
        <f t="shared" ca="1" si="52"/>
        <v>46842</v>
      </c>
      <c r="Z317" s="28" t="str">
        <f t="shared" ca="1" si="53"/>
        <v>Upcoming</v>
      </c>
      <c r="AA317" s="5" t="str" cm="1">
        <f t="array" ref="AA317">_xlfn.IFS(W317&gt;10,"Veteran",W317&gt;=6,"Experienced",W317&gt;=2,"Developing",W317&gt;=0,"New")</f>
        <v>Experienced</v>
      </c>
      <c r="AB317" s="5" t="str" cm="1">
        <f t="array" ref="AB317">_xlfn.IFS(G317=1,"Junior",G317=2,"Mid-Level",G317=3,"Senior",G317=4,"Lead",G317=5,"Principal")&amp;" "&amp;TRIM(PROPER(H317))</f>
        <v>Junior Laboratory Technician</v>
      </c>
      <c r="AC317" s="19" t="str">
        <f t="shared" ca="1" si="54"/>
        <v>La-Res-2018-316 is a Junior Laboratory Technician in the Research &amp; Development department, aged 43, single and has been with the Company for 8years</v>
      </c>
    </row>
    <row r="318" spans="1:29">
      <c r="A318" s="18" t="str">
        <f t="shared" ca="1" si="44"/>
        <v>He-Res-2019-317</v>
      </c>
      <c r="B318" s="5">
        <v>49</v>
      </c>
      <c r="C318" s="5" t="str">
        <f t="shared" si="45"/>
        <v>40-49</v>
      </c>
      <c r="D318" s="5" t="s">
        <v>43</v>
      </c>
      <c r="E318" s="5" t="s">
        <v>45</v>
      </c>
      <c r="F318" s="5" t="s">
        <v>39</v>
      </c>
      <c r="G318" s="5">
        <v>4</v>
      </c>
      <c r="H318" s="5" t="s">
        <v>54</v>
      </c>
      <c r="I318" s="5" t="s">
        <v>41</v>
      </c>
      <c r="J318" s="7">
        <v>13964</v>
      </c>
      <c r="K318" s="7">
        <f t="shared" si="46"/>
        <v>4189.2</v>
      </c>
      <c r="L318" s="7">
        <f t="shared" si="47"/>
        <v>9774.7999999999993</v>
      </c>
      <c r="M318" s="7">
        <v>17810</v>
      </c>
      <c r="N318" s="5" t="s">
        <v>35</v>
      </c>
      <c r="O318" s="5">
        <v>12</v>
      </c>
      <c r="P318" s="7">
        <f t="shared" si="48"/>
        <v>15639.680000000002</v>
      </c>
      <c r="Q318" s="7">
        <f t="shared" si="49"/>
        <v>20108.160000000025</v>
      </c>
      <c r="R318" s="7" t="str">
        <f t="shared" si="50"/>
        <v>Normal</v>
      </c>
      <c r="S318" s="5">
        <v>3</v>
      </c>
      <c r="T318" s="5">
        <v>3</v>
      </c>
      <c r="U318" s="5" t="str" cm="1">
        <f t="array" ref="U318">_xlfn.IFS(T318=1,"Poor",T318=2,"Fair",T318=3,"Good",T318=4,"Excellent")</f>
        <v>Good</v>
      </c>
      <c r="V318" s="5" t="s">
        <v>35</v>
      </c>
      <c r="W318" s="5">
        <v>7</v>
      </c>
      <c r="X318" s="28">
        <f t="shared" ca="1" si="51"/>
        <v>43554</v>
      </c>
      <c r="Y318" s="28">
        <f t="shared" ca="1" si="52"/>
        <v>46476</v>
      </c>
      <c r="Z318" s="28" t="str">
        <f t="shared" ca="1" si="53"/>
        <v>Due Soon</v>
      </c>
      <c r="AA318" s="5" t="str" cm="1">
        <f t="array" ref="AA318">_xlfn.IFS(W318&gt;10,"Veteran",W318&gt;=6,"Experienced",W318&gt;=2,"Developing",W318&gt;=0,"New")</f>
        <v>Experienced</v>
      </c>
      <c r="AB318" s="5" t="str" cm="1">
        <f t="array" ref="AB318">_xlfn.IFS(G318=1,"Junior",G318=2,"Mid-Level",G318=3,"Senior",G318=4,"Lead",G318=5,"Principal")&amp;" "&amp;TRIM(PROPER(H318))</f>
        <v>Lead Healthcare Representative</v>
      </c>
      <c r="AC318" s="19" t="str">
        <f t="shared" ca="1" si="54"/>
        <v>He-Res-2019-317 is a Lead Healthcare Representative in the Research &amp; Development department, aged 49, single and has been with the Company for 7years</v>
      </c>
    </row>
    <row r="319" spans="1:29">
      <c r="A319" s="18" t="str">
        <f t="shared" ca="1" si="44"/>
        <v>Re-Res-2018-318</v>
      </c>
      <c r="B319" s="5">
        <v>52</v>
      </c>
      <c r="C319" s="5" t="str">
        <f t="shared" si="45"/>
        <v>50+</v>
      </c>
      <c r="D319" s="5" t="s">
        <v>35</v>
      </c>
      <c r="E319" s="5" t="s">
        <v>45</v>
      </c>
      <c r="F319" s="5" t="s">
        <v>46</v>
      </c>
      <c r="G319" s="5">
        <v>2</v>
      </c>
      <c r="H319" s="5" t="s">
        <v>47</v>
      </c>
      <c r="I319" s="5" t="s">
        <v>48</v>
      </c>
      <c r="J319" s="7">
        <v>4941</v>
      </c>
      <c r="K319" s="7">
        <f t="shared" si="46"/>
        <v>741.15</v>
      </c>
      <c r="L319" s="7">
        <f t="shared" si="47"/>
        <v>4199.8500000000004</v>
      </c>
      <c r="M319" s="7">
        <v>17747</v>
      </c>
      <c r="N319" s="5" t="s">
        <v>43</v>
      </c>
      <c r="O319" s="5">
        <v>15</v>
      </c>
      <c r="P319" s="7">
        <f t="shared" si="48"/>
        <v>5682.15</v>
      </c>
      <c r="Q319" s="7">
        <f t="shared" si="49"/>
        <v>8893.7999999999956</v>
      </c>
      <c r="R319" s="7" t="str">
        <f t="shared" si="50"/>
        <v>Normal</v>
      </c>
      <c r="S319" s="5">
        <v>3</v>
      </c>
      <c r="T319" s="5">
        <v>2</v>
      </c>
      <c r="U319" s="5" t="str" cm="1">
        <f t="array" ref="U319">_xlfn.IFS(T319=1,"Poor",T319=2,"Fair",T319=3,"Good",T319=4,"Excellent")</f>
        <v>Fair</v>
      </c>
      <c r="V319" s="5" t="s">
        <v>43</v>
      </c>
      <c r="W319" s="5">
        <v>8</v>
      </c>
      <c r="X319" s="28">
        <f t="shared" ca="1" si="51"/>
        <v>43189</v>
      </c>
      <c r="Y319" s="28">
        <f t="shared" ca="1" si="52"/>
        <v>46842</v>
      </c>
      <c r="Z319" s="28" t="str">
        <f t="shared" ca="1" si="53"/>
        <v>Upcoming</v>
      </c>
      <c r="AA319" s="5" t="str" cm="1">
        <f t="array" ref="AA319">_xlfn.IFS(W319&gt;10,"Veteran",W319&gt;=6,"Experienced",W319&gt;=2,"Developing",W319&gt;=0,"New")</f>
        <v>Experienced</v>
      </c>
      <c r="AB319" s="5" t="str" cm="1">
        <f t="array" ref="AB319">_xlfn.IFS(G319=1,"Junior",G319=2,"Mid-Level",G319=3,"Senior",G319=4,"Lead",G319=5,"Principal")&amp;" "&amp;TRIM(PROPER(H319))</f>
        <v>Mid-Level Research Scientist</v>
      </c>
      <c r="AC319" s="19" t="str">
        <f t="shared" ca="1" si="54"/>
        <v>Re-Res-2018-318 is a Mid-Level Research Scientist in the Research &amp; Development department, aged 52, married and has been with the Company for 8years</v>
      </c>
    </row>
    <row r="320" spans="1:29">
      <c r="A320" s="18" t="str">
        <f t="shared" ca="1" si="44"/>
        <v>Re-Res-2022-319</v>
      </c>
      <c r="B320" s="5">
        <v>27</v>
      </c>
      <c r="C320" s="5" t="str">
        <f t="shared" si="45"/>
        <v>20-29</v>
      </c>
      <c r="D320" s="5" t="s">
        <v>43</v>
      </c>
      <c r="E320" s="5" t="s">
        <v>45</v>
      </c>
      <c r="F320" s="5" t="s">
        <v>39</v>
      </c>
      <c r="G320" s="5">
        <v>1</v>
      </c>
      <c r="H320" s="5" t="s">
        <v>47</v>
      </c>
      <c r="I320" s="5" t="s">
        <v>41</v>
      </c>
      <c r="J320" s="7">
        <v>2478</v>
      </c>
      <c r="K320" s="7">
        <f t="shared" si="46"/>
        <v>173.46</v>
      </c>
      <c r="L320" s="7">
        <f t="shared" si="47"/>
        <v>2304.54</v>
      </c>
      <c r="M320" s="7">
        <v>20938</v>
      </c>
      <c r="N320" s="5" t="s">
        <v>35</v>
      </c>
      <c r="O320" s="5">
        <v>12</v>
      </c>
      <c r="P320" s="7">
        <f t="shared" si="48"/>
        <v>2775.36</v>
      </c>
      <c r="Q320" s="7">
        <f t="shared" si="49"/>
        <v>3568.3200000000015</v>
      </c>
      <c r="R320" s="7" t="str">
        <f t="shared" si="50"/>
        <v>Normal</v>
      </c>
      <c r="S320" s="5">
        <v>3</v>
      </c>
      <c r="T320" s="5">
        <v>2</v>
      </c>
      <c r="U320" s="5" t="str" cm="1">
        <f t="array" ref="U320">_xlfn.IFS(T320=1,"Poor",T320=2,"Fair",T320=3,"Good",T320=4,"Excellent")</f>
        <v>Fair</v>
      </c>
      <c r="V320" s="5" t="s">
        <v>35</v>
      </c>
      <c r="W320" s="5">
        <v>4</v>
      </c>
      <c r="X320" s="28">
        <f t="shared" ca="1" si="51"/>
        <v>44650</v>
      </c>
      <c r="Y320" s="28">
        <f t="shared" ca="1" si="52"/>
        <v>46842</v>
      </c>
      <c r="Z320" s="28" t="str">
        <f t="shared" ca="1" si="53"/>
        <v>Upcoming</v>
      </c>
      <c r="AA320" s="5" t="str" cm="1">
        <f t="array" ref="AA320">_xlfn.IFS(W320&gt;10,"Veteran",W320&gt;=6,"Experienced",W320&gt;=2,"Developing",W320&gt;=0,"New")</f>
        <v>Developing</v>
      </c>
      <c r="AB320" s="5" t="str" cm="1">
        <f t="array" ref="AB320">_xlfn.IFS(G320=1,"Junior",G320=2,"Mid-Level",G320=3,"Senior",G320=4,"Lead",G320=5,"Principal")&amp;" "&amp;TRIM(PROPER(H320))</f>
        <v>Junior Research Scientist</v>
      </c>
      <c r="AC320" s="19" t="str">
        <f t="shared" ca="1" si="54"/>
        <v>Re-Res-2022-319 is a Junior Research Scientist in the Research &amp; Development department, aged 27, single and has been with the Company for 4years</v>
      </c>
    </row>
    <row r="321" spans="1:29">
      <c r="A321" s="18" t="str">
        <f t="shared" ca="1" si="44"/>
        <v>Sa-Sal-2013-320</v>
      </c>
      <c r="B321" s="5">
        <v>32</v>
      </c>
      <c r="C321" s="5" t="str">
        <f t="shared" si="45"/>
        <v>30-39</v>
      </c>
      <c r="D321" s="5" t="s">
        <v>43</v>
      </c>
      <c r="E321" s="5" t="s">
        <v>37</v>
      </c>
      <c r="F321" s="5" t="s">
        <v>39</v>
      </c>
      <c r="G321" s="5">
        <v>2</v>
      </c>
      <c r="H321" s="5" t="s">
        <v>40</v>
      </c>
      <c r="I321" s="5" t="s">
        <v>48</v>
      </c>
      <c r="J321" s="7">
        <v>5228</v>
      </c>
      <c r="K321" s="7">
        <f t="shared" si="46"/>
        <v>784.19999999999993</v>
      </c>
      <c r="L321" s="7">
        <f t="shared" si="47"/>
        <v>4443.8</v>
      </c>
      <c r="M321" s="7">
        <v>24624</v>
      </c>
      <c r="N321" s="5" t="s">
        <v>35</v>
      </c>
      <c r="O321" s="5">
        <v>11</v>
      </c>
      <c r="P321" s="7">
        <f t="shared" si="48"/>
        <v>5803.0800000000008</v>
      </c>
      <c r="Q321" s="7">
        <f t="shared" si="49"/>
        <v>6900.96000000001</v>
      </c>
      <c r="R321" s="7" t="str">
        <f t="shared" si="50"/>
        <v>Normal</v>
      </c>
      <c r="S321" s="5">
        <v>3</v>
      </c>
      <c r="T321" s="5">
        <v>3</v>
      </c>
      <c r="U321" s="5" t="str" cm="1">
        <f t="array" ref="U321">_xlfn.IFS(T321=1,"Poor",T321=2,"Fair",T321=3,"Good",T321=4,"Excellent")</f>
        <v>Good</v>
      </c>
      <c r="V321" s="5" t="s">
        <v>35</v>
      </c>
      <c r="W321" s="5">
        <v>13</v>
      </c>
      <c r="X321" s="28">
        <f t="shared" ca="1" si="51"/>
        <v>41363</v>
      </c>
      <c r="Y321" s="28">
        <f t="shared" ca="1" si="52"/>
        <v>46476</v>
      </c>
      <c r="Z321" s="28" t="str">
        <f t="shared" ca="1" si="53"/>
        <v>Due Soon</v>
      </c>
      <c r="AA321" s="5" t="str" cm="1">
        <f t="array" ref="AA321">_xlfn.IFS(W321&gt;10,"Veteran",W321&gt;=6,"Experienced",W321&gt;=2,"Developing",W321&gt;=0,"New")</f>
        <v>Veteran</v>
      </c>
      <c r="AB321" s="5" t="str" cm="1">
        <f t="array" ref="AB321">_xlfn.IFS(G321=1,"Junior",G321=2,"Mid-Level",G321=3,"Senior",G321=4,"Lead",G321=5,"Principal")&amp;" "&amp;TRIM(PROPER(H321))</f>
        <v>Mid-Level Sales Executive</v>
      </c>
      <c r="AC321" s="19" t="str">
        <f t="shared" ca="1" si="54"/>
        <v>Sa-Sal-2013-320 is a Mid-Level Sales Executive in the Sales department, aged 32, married and has been with the Company for 13years</v>
      </c>
    </row>
    <row r="322" spans="1:29">
      <c r="A322" s="18" t="str">
        <f t="shared" ca="1" si="44"/>
        <v>Sa-Sal-2021-321</v>
      </c>
      <c r="B322" s="5">
        <v>27</v>
      </c>
      <c r="C322" s="5" t="str">
        <f t="shared" si="45"/>
        <v>20-29</v>
      </c>
      <c r="D322" s="5" t="s">
        <v>43</v>
      </c>
      <c r="E322" s="5" t="s">
        <v>37</v>
      </c>
      <c r="F322" s="5" t="s">
        <v>46</v>
      </c>
      <c r="G322" s="5">
        <v>2</v>
      </c>
      <c r="H322" s="5" t="s">
        <v>40</v>
      </c>
      <c r="I322" s="5" t="s">
        <v>41</v>
      </c>
      <c r="J322" s="7">
        <v>4478</v>
      </c>
      <c r="K322" s="7">
        <f t="shared" si="46"/>
        <v>671.69999999999993</v>
      </c>
      <c r="L322" s="7">
        <f t="shared" si="47"/>
        <v>3806.3</v>
      </c>
      <c r="M322" s="7">
        <v>5242</v>
      </c>
      <c r="N322" s="5" t="s">
        <v>35</v>
      </c>
      <c r="O322" s="5">
        <v>11</v>
      </c>
      <c r="P322" s="7">
        <f t="shared" si="48"/>
        <v>4970.5800000000008</v>
      </c>
      <c r="Q322" s="7">
        <f t="shared" si="49"/>
        <v>5910.96000000001</v>
      </c>
      <c r="R322" s="7" t="str">
        <f t="shared" si="50"/>
        <v>Normal</v>
      </c>
      <c r="S322" s="5">
        <v>3</v>
      </c>
      <c r="T322" s="5">
        <v>3</v>
      </c>
      <c r="U322" s="5" t="str" cm="1">
        <f t="array" ref="U322">_xlfn.IFS(T322=1,"Poor",T322=2,"Fair",T322=3,"Good",T322=4,"Excellent")</f>
        <v>Good</v>
      </c>
      <c r="V322" s="5" t="s">
        <v>35</v>
      </c>
      <c r="W322" s="5">
        <v>5</v>
      </c>
      <c r="X322" s="28">
        <f t="shared" ca="1" si="51"/>
        <v>44285</v>
      </c>
      <c r="Y322" s="28">
        <f t="shared" ca="1" si="52"/>
        <v>46476</v>
      </c>
      <c r="Z322" s="28" t="str">
        <f t="shared" ca="1" si="53"/>
        <v>Due Soon</v>
      </c>
      <c r="AA322" s="5" t="str" cm="1">
        <f t="array" ref="AA322">_xlfn.IFS(W322&gt;10,"Veteran",W322&gt;=6,"Experienced",W322&gt;=2,"Developing",W322&gt;=0,"New")</f>
        <v>Developing</v>
      </c>
      <c r="AB322" s="5" t="str" cm="1">
        <f t="array" ref="AB322">_xlfn.IFS(G322=1,"Junior",G322=2,"Mid-Level",G322=3,"Senior",G322=4,"Lead",G322=5,"Principal")&amp;" "&amp;TRIM(PROPER(H322))</f>
        <v>Mid-Level Sales Executive</v>
      </c>
      <c r="AC322" s="19" t="str">
        <f t="shared" ca="1" si="54"/>
        <v>Sa-Sal-2021-321 is a Mid-Level Sales Executive in the Sales department, aged 27, single and has been with the Company for 5years</v>
      </c>
    </row>
    <row r="323" spans="1:29">
      <c r="A323" s="18" t="str">
        <f t="shared" ref="A323:A386" ca="1" si="55">LEFT(H323,2)&amp;"-"&amp;LEFT(E323,3)&amp;"-"&amp;YEAR(TODAY())-W323&amp;"-"&amp;TEXT(ROW()-1,"000")</f>
        <v>Sa-Sal-2019-322</v>
      </c>
      <c r="B323" s="5">
        <v>31</v>
      </c>
      <c r="C323" s="5" t="str">
        <f t="shared" ref="C323:C386" si="56">IF(B323&lt;=29,"20-29",IF(B323&lt;=39,"30-39",IF(B323&lt;=49,"40-49","50+")))</f>
        <v>30-39</v>
      </c>
      <c r="D323" s="5" t="s">
        <v>43</v>
      </c>
      <c r="E323" s="5" t="s">
        <v>37</v>
      </c>
      <c r="F323" s="5" t="s">
        <v>46</v>
      </c>
      <c r="G323" s="5">
        <v>2</v>
      </c>
      <c r="H323" s="5" t="s">
        <v>40</v>
      </c>
      <c r="I323" s="5" t="s">
        <v>52</v>
      </c>
      <c r="J323" s="7">
        <v>7547</v>
      </c>
      <c r="K323" s="7">
        <f t="shared" ref="K323:K386" si="57">IF(J323&gt;13000,J323*30%,IF(J323&gt;7000,J323*22%,IF(J323&gt;3000,J323*15%,J323*7%)))</f>
        <v>1660.34</v>
      </c>
      <c r="L323" s="7">
        <f t="shared" ref="L323:L386" si="58">J323-K323</f>
        <v>5886.66</v>
      </c>
      <c r="M323" s="7">
        <v>7143</v>
      </c>
      <c r="N323" s="5" t="s">
        <v>43</v>
      </c>
      <c r="O323" s="5">
        <v>12</v>
      </c>
      <c r="P323" s="7">
        <f t="shared" ref="P323:P386" si="59">J323*(1+(O323/100))</f>
        <v>8452.6400000000012</v>
      </c>
      <c r="Q323" s="7">
        <f t="shared" ref="Q323:Q386" si="60">(P323-J323)*12</f>
        <v>10867.680000000015</v>
      </c>
      <c r="R323" s="7" t="str">
        <f t="shared" ref="R323:R386" si="61">IF(AND(O323&lt;12,S323=4),"UnderPaid","Normal")</f>
        <v>Normal</v>
      </c>
      <c r="S323" s="5">
        <v>3</v>
      </c>
      <c r="T323" s="5">
        <v>3</v>
      </c>
      <c r="U323" s="5" t="str" cm="1">
        <f t="array" ref="U323">_xlfn.IFS(T323=1,"Poor",T323=2,"Fair",T323=3,"Good",T323=4,"Excellent")</f>
        <v>Good</v>
      </c>
      <c r="V323" s="5" t="s">
        <v>43</v>
      </c>
      <c r="W323" s="5">
        <v>7</v>
      </c>
      <c r="X323" s="28">
        <f t="shared" ref="X323:X386" ca="1" si="62">EDATE(TODAY(),-W323*12)</f>
        <v>43554</v>
      </c>
      <c r="Y323" s="28">
        <f t="shared" ref="Y323:Y386" ca="1" si="63">EDATE(X323,(INT(W323/2)+1)*24)</f>
        <v>46476</v>
      </c>
      <c r="Z323" s="28" t="str">
        <f t="shared" ref="Z323:Z386" ca="1" si="64">IF(Y323&lt;=EDATE(TODAY(),12),"Due Soon","Upcoming")</f>
        <v>Due Soon</v>
      </c>
      <c r="AA323" s="5" t="str" cm="1">
        <f t="array" ref="AA323">_xlfn.IFS(W323&gt;10,"Veteran",W323&gt;=6,"Experienced",W323&gt;=2,"Developing",W323&gt;=0,"New")</f>
        <v>Experienced</v>
      </c>
      <c r="AB323" s="5" t="str" cm="1">
        <f t="array" ref="AB323">_xlfn.IFS(G323=1,"Junior",G323=2,"Mid-Level",G323=3,"Senior",G323=4,"Lead",G323=5,"Principal")&amp;" "&amp;TRIM(PROPER(H323))</f>
        <v>Mid-Level Sales Executive</v>
      </c>
      <c r="AC323" s="19" t="str">
        <f t="shared" ref="AC323:AC386" ca="1" si="65">A323&amp;" is a "&amp;AB323&amp;" in the "&amp;E323&amp;" department, aged "&amp;B323&amp;", "&amp;LOWER(I323)&amp;" and has been with the Company for "&amp;W323&amp;"years"</f>
        <v>Sa-Sal-2019-322 is a Mid-Level Sales Executive in the Sales department, aged 31, divorced and has been with the Company for 7years</v>
      </c>
    </row>
    <row r="324" spans="1:29">
      <c r="A324" s="18" t="str">
        <f t="shared" ca="1" si="55"/>
        <v>Re-Res-2019-323</v>
      </c>
      <c r="B324" s="5">
        <v>32</v>
      </c>
      <c r="C324" s="5" t="str">
        <f t="shared" si="56"/>
        <v>30-39</v>
      </c>
      <c r="D324" s="5" t="s">
        <v>43</v>
      </c>
      <c r="E324" s="5" t="s">
        <v>45</v>
      </c>
      <c r="F324" s="5" t="s">
        <v>39</v>
      </c>
      <c r="G324" s="5">
        <v>2</v>
      </c>
      <c r="H324" s="5" t="s">
        <v>47</v>
      </c>
      <c r="I324" s="5" t="s">
        <v>41</v>
      </c>
      <c r="J324" s="7">
        <v>5055</v>
      </c>
      <c r="K324" s="7">
        <f t="shared" si="57"/>
        <v>758.25</v>
      </c>
      <c r="L324" s="7">
        <f t="shared" si="58"/>
        <v>4296.75</v>
      </c>
      <c r="M324" s="7">
        <v>10557</v>
      </c>
      <c r="N324" s="5" t="s">
        <v>43</v>
      </c>
      <c r="O324" s="5">
        <v>16</v>
      </c>
      <c r="P324" s="7">
        <f t="shared" si="59"/>
        <v>5863.7999999999993</v>
      </c>
      <c r="Q324" s="7">
        <f t="shared" si="60"/>
        <v>9705.5999999999913</v>
      </c>
      <c r="R324" s="7" t="str">
        <f t="shared" si="61"/>
        <v>Normal</v>
      </c>
      <c r="S324" s="5">
        <v>3</v>
      </c>
      <c r="T324" s="5">
        <v>2</v>
      </c>
      <c r="U324" s="5" t="str" cm="1">
        <f t="array" ref="U324">_xlfn.IFS(T324=1,"Poor",T324=2,"Fair",T324=3,"Good",T324=4,"Excellent")</f>
        <v>Fair</v>
      </c>
      <c r="V324" s="5" t="s">
        <v>43</v>
      </c>
      <c r="W324" s="5">
        <v>7</v>
      </c>
      <c r="X324" s="28">
        <f t="shared" ca="1" si="62"/>
        <v>43554</v>
      </c>
      <c r="Y324" s="28">
        <f t="shared" ca="1" si="63"/>
        <v>46476</v>
      </c>
      <c r="Z324" s="28" t="str">
        <f t="shared" ca="1" si="64"/>
        <v>Due Soon</v>
      </c>
      <c r="AA324" s="5" t="str" cm="1">
        <f t="array" ref="AA324">_xlfn.IFS(W324&gt;10,"Veteran",W324&gt;=6,"Experienced",W324&gt;=2,"Developing",W324&gt;=0,"New")</f>
        <v>Experienced</v>
      </c>
      <c r="AB324" s="5" t="str" cm="1">
        <f t="array" ref="AB324">_xlfn.IFS(G324=1,"Junior",G324=2,"Mid-Level",G324=3,"Senior",G324=4,"Lead",G324=5,"Principal")&amp;" "&amp;TRIM(PROPER(H324))</f>
        <v>Mid-Level Research Scientist</v>
      </c>
      <c r="AC324" s="19" t="str">
        <f t="shared" ca="1" si="65"/>
        <v>Re-Res-2019-323 is a Mid-Level Research Scientist in the Research &amp; Development department, aged 32, single and has been with the Company for 7years</v>
      </c>
    </row>
    <row r="325" spans="1:29">
      <c r="A325" s="18" t="str">
        <f t="shared" ca="1" si="55"/>
        <v>Re-Res-2023-324</v>
      </c>
      <c r="B325" s="5">
        <v>28</v>
      </c>
      <c r="C325" s="5" t="str">
        <f t="shared" si="56"/>
        <v>20-29</v>
      </c>
      <c r="D325" s="5" t="s">
        <v>35</v>
      </c>
      <c r="E325" s="5" t="s">
        <v>45</v>
      </c>
      <c r="F325" s="5" t="s">
        <v>46</v>
      </c>
      <c r="G325" s="5">
        <v>1</v>
      </c>
      <c r="H325" s="5" t="s">
        <v>47</v>
      </c>
      <c r="I325" s="5" t="s">
        <v>48</v>
      </c>
      <c r="J325" s="7">
        <v>3464</v>
      </c>
      <c r="K325" s="7">
        <f t="shared" si="57"/>
        <v>519.6</v>
      </c>
      <c r="L325" s="7">
        <f t="shared" si="58"/>
        <v>2944.4</v>
      </c>
      <c r="M325" s="7">
        <v>24737</v>
      </c>
      <c r="N325" s="5" t="s">
        <v>35</v>
      </c>
      <c r="O325" s="5">
        <v>13</v>
      </c>
      <c r="P325" s="7">
        <f t="shared" si="59"/>
        <v>3914.3199999999997</v>
      </c>
      <c r="Q325" s="7">
        <f t="shared" si="60"/>
        <v>5403.8399999999965</v>
      </c>
      <c r="R325" s="7" t="str">
        <f t="shared" si="61"/>
        <v>Normal</v>
      </c>
      <c r="S325" s="5">
        <v>3</v>
      </c>
      <c r="T325" s="5">
        <v>2</v>
      </c>
      <c r="U325" s="5" t="str" cm="1">
        <f t="array" ref="U325">_xlfn.IFS(T325=1,"Poor",T325=2,"Fair",T325=3,"Good",T325=4,"Excellent")</f>
        <v>Fair</v>
      </c>
      <c r="V325" s="5" t="s">
        <v>35</v>
      </c>
      <c r="W325" s="5">
        <v>3</v>
      </c>
      <c r="X325" s="28">
        <f t="shared" ca="1" si="62"/>
        <v>45015</v>
      </c>
      <c r="Y325" s="28">
        <f t="shared" ca="1" si="63"/>
        <v>46476</v>
      </c>
      <c r="Z325" s="28" t="str">
        <f t="shared" ca="1" si="64"/>
        <v>Due Soon</v>
      </c>
      <c r="AA325" s="5" t="str" cm="1">
        <f t="array" ref="AA325">_xlfn.IFS(W325&gt;10,"Veteran",W325&gt;=6,"Experienced",W325&gt;=2,"Developing",W325&gt;=0,"New")</f>
        <v>Developing</v>
      </c>
      <c r="AB325" s="5" t="str" cm="1">
        <f t="array" ref="AB325">_xlfn.IFS(G325=1,"Junior",G325=2,"Mid-Level",G325=3,"Senior",G325=4,"Lead",G325=5,"Principal")&amp;" "&amp;TRIM(PROPER(H325))</f>
        <v>Junior Research Scientist</v>
      </c>
      <c r="AC325" s="19" t="str">
        <f t="shared" ca="1" si="65"/>
        <v>Re-Res-2023-324 is a Junior Research Scientist in the Research &amp; Development department, aged 28, married and has been with the Company for 3years</v>
      </c>
    </row>
    <row r="326" spans="1:29">
      <c r="A326" s="18" t="str">
        <f t="shared" ca="1" si="55"/>
        <v>Re-Res-2016-325</v>
      </c>
      <c r="B326" s="5">
        <v>30</v>
      </c>
      <c r="C326" s="5" t="str">
        <f t="shared" si="56"/>
        <v>30-39</v>
      </c>
      <c r="D326" s="5" t="s">
        <v>43</v>
      </c>
      <c r="E326" s="5" t="s">
        <v>45</v>
      </c>
      <c r="F326" s="5" t="s">
        <v>39</v>
      </c>
      <c r="G326" s="5">
        <v>2</v>
      </c>
      <c r="H326" s="5" t="s">
        <v>47</v>
      </c>
      <c r="I326" s="5" t="s">
        <v>48</v>
      </c>
      <c r="J326" s="7">
        <v>5775</v>
      </c>
      <c r="K326" s="7">
        <f t="shared" si="57"/>
        <v>866.25</v>
      </c>
      <c r="L326" s="7">
        <f t="shared" si="58"/>
        <v>4908.75</v>
      </c>
      <c r="M326" s="7">
        <v>11934</v>
      </c>
      <c r="N326" s="5" t="s">
        <v>43</v>
      </c>
      <c r="O326" s="5">
        <v>13</v>
      </c>
      <c r="P326" s="7">
        <f t="shared" si="59"/>
        <v>6525.7499999999991</v>
      </c>
      <c r="Q326" s="7">
        <f t="shared" si="60"/>
        <v>9008.9999999999891</v>
      </c>
      <c r="R326" s="7" t="str">
        <f t="shared" si="61"/>
        <v>Normal</v>
      </c>
      <c r="S326" s="5">
        <v>3</v>
      </c>
      <c r="T326" s="5">
        <v>3</v>
      </c>
      <c r="U326" s="5" t="str" cm="1">
        <f t="array" ref="U326">_xlfn.IFS(T326=1,"Poor",T326=2,"Fair",T326=3,"Good",T326=4,"Excellent")</f>
        <v>Good</v>
      </c>
      <c r="V326" s="5" t="s">
        <v>43</v>
      </c>
      <c r="W326" s="5">
        <v>10</v>
      </c>
      <c r="X326" s="28">
        <f t="shared" ca="1" si="62"/>
        <v>42459</v>
      </c>
      <c r="Y326" s="28">
        <f t="shared" ca="1" si="63"/>
        <v>46842</v>
      </c>
      <c r="Z326" s="28" t="str">
        <f t="shared" ca="1" si="64"/>
        <v>Upcoming</v>
      </c>
      <c r="AA326" s="5" t="str" cm="1">
        <f t="array" ref="AA326">_xlfn.IFS(W326&gt;10,"Veteran",W326&gt;=6,"Experienced",W326&gt;=2,"Developing",W326&gt;=0,"New")</f>
        <v>Experienced</v>
      </c>
      <c r="AB326" s="5" t="str" cm="1">
        <f t="array" ref="AB326">_xlfn.IFS(G326=1,"Junior",G326=2,"Mid-Level",G326=3,"Senior",G326=4,"Lead",G326=5,"Principal")&amp;" "&amp;TRIM(PROPER(H326))</f>
        <v>Mid-Level Research Scientist</v>
      </c>
      <c r="AC326" s="19" t="str">
        <f t="shared" ca="1" si="65"/>
        <v>Re-Res-2016-325 is a Mid-Level Research Scientist in the Research &amp; Development department, aged 30, married and has been with the Company for 10years</v>
      </c>
    </row>
    <row r="327" spans="1:29">
      <c r="A327" s="18" t="str">
        <f t="shared" ca="1" si="55"/>
        <v>Ma-Res-2016-326</v>
      </c>
      <c r="B327" s="5">
        <v>31</v>
      </c>
      <c r="C327" s="5" t="str">
        <f t="shared" si="56"/>
        <v>30-39</v>
      </c>
      <c r="D327" s="5" t="s">
        <v>43</v>
      </c>
      <c r="E327" s="5" t="s">
        <v>45</v>
      </c>
      <c r="F327" s="5" t="s">
        <v>39</v>
      </c>
      <c r="G327" s="5">
        <v>3</v>
      </c>
      <c r="H327" s="5" t="s">
        <v>53</v>
      </c>
      <c r="I327" s="5" t="s">
        <v>48</v>
      </c>
      <c r="J327" s="7">
        <v>8943</v>
      </c>
      <c r="K327" s="7">
        <f t="shared" si="57"/>
        <v>1967.46</v>
      </c>
      <c r="L327" s="7">
        <f t="shared" si="58"/>
        <v>6975.54</v>
      </c>
      <c r="M327" s="7">
        <v>14034</v>
      </c>
      <c r="N327" s="5" t="s">
        <v>43</v>
      </c>
      <c r="O327" s="5">
        <v>24</v>
      </c>
      <c r="P327" s="7">
        <f t="shared" si="59"/>
        <v>11089.32</v>
      </c>
      <c r="Q327" s="7">
        <f t="shared" si="60"/>
        <v>25755.839999999997</v>
      </c>
      <c r="R327" s="7" t="str">
        <f t="shared" si="61"/>
        <v>Normal</v>
      </c>
      <c r="S327" s="5">
        <v>4</v>
      </c>
      <c r="T327" s="5">
        <v>3</v>
      </c>
      <c r="U327" s="5" t="str" cm="1">
        <f t="array" ref="U327">_xlfn.IFS(T327=1,"Poor",T327=2,"Fair",T327=3,"Good",T327=4,"Excellent")</f>
        <v>Good</v>
      </c>
      <c r="V327" s="5" t="s">
        <v>43</v>
      </c>
      <c r="W327" s="5">
        <v>10</v>
      </c>
      <c r="X327" s="28">
        <f t="shared" ca="1" si="62"/>
        <v>42459</v>
      </c>
      <c r="Y327" s="28">
        <f t="shared" ca="1" si="63"/>
        <v>46842</v>
      </c>
      <c r="Z327" s="28" t="str">
        <f t="shared" ca="1" si="64"/>
        <v>Upcoming</v>
      </c>
      <c r="AA327" s="5" t="str" cm="1">
        <f t="array" ref="AA327">_xlfn.IFS(W327&gt;10,"Veteran",W327&gt;=6,"Experienced",W327&gt;=2,"Developing",W327&gt;=0,"New")</f>
        <v>Experienced</v>
      </c>
      <c r="AB327" s="5" t="str" cm="1">
        <f t="array" ref="AB327">_xlfn.IFS(G327=1,"Junior",G327=2,"Mid-Level",G327=3,"Senior",G327=4,"Lead",G327=5,"Principal")&amp;" "&amp;TRIM(PROPER(H327))</f>
        <v>Senior Manufacturing Director</v>
      </c>
      <c r="AC327" s="19" t="str">
        <f t="shared" ca="1" si="65"/>
        <v>Ma-Res-2016-326 is a Senior Manufacturing Director in the Research &amp; Development department, aged 31, married and has been with the Company for 10years</v>
      </c>
    </row>
    <row r="328" spans="1:29">
      <c r="A328" s="18" t="str">
        <f t="shared" ca="1" si="55"/>
        <v>Ma-Res-2005-327</v>
      </c>
      <c r="B328" s="5">
        <v>39</v>
      </c>
      <c r="C328" s="5" t="str">
        <f t="shared" si="56"/>
        <v>30-39</v>
      </c>
      <c r="D328" s="5" t="s">
        <v>43</v>
      </c>
      <c r="E328" s="5" t="s">
        <v>45</v>
      </c>
      <c r="F328" s="5" t="s">
        <v>46</v>
      </c>
      <c r="G328" s="5">
        <v>5</v>
      </c>
      <c r="H328" s="5" t="s">
        <v>56</v>
      </c>
      <c r="I328" s="5" t="s">
        <v>48</v>
      </c>
      <c r="J328" s="7">
        <v>19272</v>
      </c>
      <c r="K328" s="7">
        <f t="shared" si="57"/>
        <v>5781.5999999999995</v>
      </c>
      <c r="L328" s="7">
        <f t="shared" si="58"/>
        <v>13490.400000000001</v>
      </c>
      <c r="M328" s="7">
        <v>21141</v>
      </c>
      <c r="N328" s="5" t="s">
        <v>43</v>
      </c>
      <c r="O328" s="5">
        <v>15</v>
      </c>
      <c r="P328" s="7">
        <f t="shared" si="59"/>
        <v>22162.799999999999</v>
      </c>
      <c r="Q328" s="7">
        <f t="shared" si="60"/>
        <v>34689.599999999991</v>
      </c>
      <c r="R328" s="7" t="str">
        <f t="shared" si="61"/>
        <v>Normal</v>
      </c>
      <c r="S328" s="5">
        <v>3</v>
      </c>
      <c r="T328" s="5">
        <v>3</v>
      </c>
      <c r="U328" s="5" t="str" cm="1">
        <f t="array" ref="U328">_xlfn.IFS(T328=1,"Poor",T328=2,"Fair",T328=3,"Good",T328=4,"Excellent")</f>
        <v>Good</v>
      </c>
      <c r="V328" s="5" t="s">
        <v>43</v>
      </c>
      <c r="W328" s="5">
        <v>21</v>
      </c>
      <c r="X328" s="28">
        <f t="shared" ca="1" si="62"/>
        <v>38441</v>
      </c>
      <c r="Y328" s="28">
        <f t="shared" ca="1" si="63"/>
        <v>46476</v>
      </c>
      <c r="Z328" s="28" t="str">
        <f t="shared" ca="1" si="64"/>
        <v>Due Soon</v>
      </c>
      <c r="AA328" s="5" t="str" cm="1">
        <f t="array" ref="AA328">_xlfn.IFS(W328&gt;10,"Veteran",W328&gt;=6,"Experienced",W328&gt;=2,"Developing",W328&gt;=0,"New")</f>
        <v>Veteran</v>
      </c>
      <c r="AB328" s="5" t="str" cm="1">
        <f t="array" ref="AB328">_xlfn.IFS(G328=1,"Junior",G328=2,"Mid-Level",G328=3,"Senior",G328=4,"Lead",G328=5,"Principal")&amp;" "&amp;TRIM(PROPER(H328))</f>
        <v>Principal Manager</v>
      </c>
      <c r="AC328" s="19" t="str">
        <f t="shared" ca="1" si="65"/>
        <v>Ma-Res-2005-327 is a Principal Manager in the Research &amp; Development department, aged 39, married and has been with the Company for 21years</v>
      </c>
    </row>
    <row r="329" spans="1:29">
      <c r="A329" s="18" t="str">
        <f t="shared" ca="1" si="55"/>
        <v>Sa-Sal-2025-328</v>
      </c>
      <c r="B329" s="5">
        <v>39</v>
      </c>
      <c r="C329" s="5" t="str">
        <f t="shared" si="56"/>
        <v>30-39</v>
      </c>
      <c r="D329" s="5" t="s">
        <v>35</v>
      </c>
      <c r="E329" s="5" t="s">
        <v>37</v>
      </c>
      <c r="F329" s="5" t="s">
        <v>39</v>
      </c>
      <c r="G329" s="5">
        <v>2</v>
      </c>
      <c r="H329" s="5" t="s">
        <v>40</v>
      </c>
      <c r="I329" s="5" t="s">
        <v>48</v>
      </c>
      <c r="J329" s="7">
        <v>5238</v>
      </c>
      <c r="K329" s="7">
        <f t="shared" si="57"/>
        <v>785.69999999999993</v>
      </c>
      <c r="L329" s="7">
        <f t="shared" si="58"/>
        <v>4452.3</v>
      </c>
      <c r="M329" s="7">
        <v>17778</v>
      </c>
      <c r="N329" s="5" t="s">
        <v>35</v>
      </c>
      <c r="O329" s="5">
        <v>18</v>
      </c>
      <c r="P329" s="7">
        <f t="shared" si="59"/>
        <v>6180.8399999999992</v>
      </c>
      <c r="Q329" s="7">
        <f t="shared" si="60"/>
        <v>11314.079999999991</v>
      </c>
      <c r="R329" s="7" t="str">
        <f t="shared" si="61"/>
        <v>Normal</v>
      </c>
      <c r="S329" s="5">
        <v>3</v>
      </c>
      <c r="T329" s="5">
        <v>2</v>
      </c>
      <c r="U329" s="5" t="str" cm="1">
        <f t="array" ref="U329">_xlfn.IFS(T329=1,"Poor",T329=2,"Fair",T329=3,"Good",T329=4,"Excellent")</f>
        <v>Fair</v>
      </c>
      <c r="V329" s="5" t="s">
        <v>35</v>
      </c>
      <c r="W329" s="5">
        <v>1</v>
      </c>
      <c r="X329" s="28">
        <f t="shared" ca="1" si="62"/>
        <v>45746</v>
      </c>
      <c r="Y329" s="28">
        <f t="shared" ca="1" si="63"/>
        <v>46476</v>
      </c>
      <c r="Z329" s="28" t="str">
        <f t="shared" ca="1" si="64"/>
        <v>Due Soon</v>
      </c>
      <c r="AA329" s="5" t="str" cm="1">
        <f t="array" ref="AA329">_xlfn.IFS(W329&gt;10,"Veteran",W329&gt;=6,"Experienced",W329&gt;=2,"Developing",W329&gt;=0,"New")</f>
        <v>New</v>
      </c>
      <c r="AB329" s="5" t="str" cm="1">
        <f t="array" ref="AB329">_xlfn.IFS(G329=1,"Junior",G329=2,"Mid-Level",G329=3,"Senior",G329=4,"Lead",G329=5,"Principal")&amp;" "&amp;TRIM(PROPER(H329))</f>
        <v>Mid-Level Sales Executive</v>
      </c>
      <c r="AC329" s="19" t="str">
        <f t="shared" ca="1" si="65"/>
        <v>Sa-Sal-2025-328 is a Mid-Level Sales Executive in the Sales department, aged 39, married and has been with the Company for 1years</v>
      </c>
    </row>
    <row r="330" spans="1:29">
      <c r="A330" s="18" t="str">
        <f t="shared" ca="1" si="55"/>
        <v>Sa-Sal-2019-329</v>
      </c>
      <c r="B330" s="5">
        <v>33</v>
      </c>
      <c r="C330" s="5" t="str">
        <f t="shared" si="56"/>
        <v>30-39</v>
      </c>
      <c r="D330" s="5" t="s">
        <v>43</v>
      </c>
      <c r="E330" s="5" t="s">
        <v>37</v>
      </c>
      <c r="F330" s="5" t="s">
        <v>46</v>
      </c>
      <c r="G330" s="5">
        <v>2</v>
      </c>
      <c r="H330" s="5" t="s">
        <v>40</v>
      </c>
      <c r="I330" s="5" t="s">
        <v>41</v>
      </c>
      <c r="J330" s="7">
        <v>4682</v>
      </c>
      <c r="K330" s="7">
        <f t="shared" si="57"/>
        <v>702.3</v>
      </c>
      <c r="L330" s="7">
        <f t="shared" si="58"/>
        <v>3979.7</v>
      </c>
      <c r="M330" s="7">
        <v>4317</v>
      </c>
      <c r="N330" s="5" t="s">
        <v>43</v>
      </c>
      <c r="O330" s="5">
        <v>14</v>
      </c>
      <c r="P330" s="7">
        <f t="shared" si="59"/>
        <v>5337.4800000000005</v>
      </c>
      <c r="Q330" s="7">
        <f t="shared" si="60"/>
        <v>7865.7600000000057</v>
      </c>
      <c r="R330" s="7" t="str">
        <f t="shared" si="61"/>
        <v>Normal</v>
      </c>
      <c r="S330" s="5">
        <v>3</v>
      </c>
      <c r="T330" s="5">
        <v>2</v>
      </c>
      <c r="U330" s="5" t="str" cm="1">
        <f t="array" ref="U330">_xlfn.IFS(T330=1,"Poor",T330=2,"Fair",T330=3,"Good",T330=4,"Excellent")</f>
        <v>Fair</v>
      </c>
      <c r="V330" s="5" t="s">
        <v>43</v>
      </c>
      <c r="W330" s="5">
        <v>7</v>
      </c>
      <c r="X330" s="28">
        <f t="shared" ca="1" si="62"/>
        <v>43554</v>
      </c>
      <c r="Y330" s="28">
        <f t="shared" ca="1" si="63"/>
        <v>46476</v>
      </c>
      <c r="Z330" s="28" t="str">
        <f t="shared" ca="1" si="64"/>
        <v>Due Soon</v>
      </c>
      <c r="AA330" s="5" t="str" cm="1">
        <f t="array" ref="AA330">_xlfn.IFS(W330&gt;10,"Veteran",W330&gt;=6,"Experienced",W330&gt;=2,"Developing",W330&gt;=0,"New")</f>
        <v>Experienced</v>
      </c>
      <c r="AB330" s="5" t="str" cm="1">
        <f t="array" ref="AB330">_xlfn.IFS(G330=1,"Junior",G330=2,"Mid-Level",G330=3,"Senior",G330=4,"Lead",G330=5,"Principal")&amp;" "&amp;TRIM(PROPER(H330))</f>
        <v>Mid-Level Sales Executive</v>
      </c>
      <c r="AC330" s="19" t="str">
        <f t="shared" ca="1" si="65"/>
        <v>Sa-Sal-2019-329 is a Mid-Level Sales Executive in the Sales department, aged 33, single and has been with the Company for 7years</v>
      </c>
    </row>
    <row r="331" spans="1:29">
      <c r="A331" s="18" t="str">
        <f t="shared" ca="1" si="55"/>
        <v>Re-Res-2023-330</v>
      </c>
      <c r="B331" s="5">
        <v>47</v>
      </c>
      <c r="C331" s="5" t="str">
        <f t="shared" si="56"/>
        <v>40-49</v>
      </c>
      <c r="D331" s="5" t="s">
        <v>43</v>
      </c>
      <c r="E331" s="5" t="s">
        <v>45</v>
      </c>
      <c r="F331" s="5" t="s">
        <v>46</v>
      </c>
      <c r="G331" s="5">
        <v>5</v>
      </c>
      <c r="H331" s="5" t="s">
        <v>58</v>
      </c>
      <c r="I331" s="5" t="s">
        <v>48</v>
      </c>
      <c r="J331" s="7">
        <v>18300</v>
      </c>
      <c r="K331" s="7">
        <f t="shared" si="57"/>
        <v>5490</v>
      </c>
      <c r="L331" s="7">
        <f t="shared" si="58"/>
        <v>12810</v>
      </c>
      <c r="M331" s="7">
        <v>16375</v>
      </c>
      <c r="N331" s="5" t="s">
        <v>43</v>
      </c>
      <c r="O331" s="5">
        <v>11</v>
      </c>
      <c r="P331" s="7">
        <f t="shared" si="59"/>
        <v>20313</v>
      </c>
      <c r="Q331" s="7">
        <f t="shared" si="60"/>
        <v>24156</v>
      </c>
      <c r="R331" s="7" t="str">
        <f t="shared" si="61"/>
        <v>Normal</v>
      </c>
      <c r="S331" s="5">
        <v>3</v>
      </c>
      <c r="T331" s="5">
        <v>3</v>
      </c>
      <c r="U331" s="5" t="str" cm="1">
        <f t="array" ref="U331">_xlfn.IFS(T331=1,"Poor",T331=2,"Fair",T331=3,"Good",T331=4,"Excellent")</f>
        <v>Good</v>
      </c>
      <c r="V331" s="5" t="s">
        <v>43</v>
      </c>
      <c r="W331" s="5">
        <v>3</v>
      </c>
      <c r="X331" s="28">
        <f t="shared" ca="1" si="62"/>
        <v>45015</v>
      </c>
      <c r="Y331" s="28">
        <f t="shared" ca="1" si="63"/>
        <v>46476</v>
      </c>
      <c r="Z331" s="28" t="str">
        <f t="shared" ca="1" si="64"/>
        <v>Due Soon</v>
      </c>
      <c r="AA331" s="5" t="str" cm="1">
        <f t="array" ref="AA331">_xlfn.IFS(W331&gt;10,"Veteran",W331&gt;=6,"Experienced",W331&gt;=2,"Developing",W331&gt;=0,"New")</f>
        <v>Developing</v>
      </c>
      <c r="AB331" s="5" t="str" cm="1">
        <f t="array" ref="AB331">_xlfn.IFS(G331=1,"Junior",G331=2,"Mid-Level",G331=3,"Senior",G331=4,"Lead",G331=5,"Principal")&amp;" "&amp;TRIM(PROPER(H331))</f>
        <v>Principal Research Director</v>
      </c>
      <c r="AC331" s="19" t="str">
        <f t="shared" ca="1" si="65"/>
        <v>Re-Res-2023-330 is a Principal Research Director in the Research &amp; Development department, aged 47, married and has been with the Company for 3years</v>
      </c>
    </row>
    <row r="332" spans="1:29">
      <c r="A332" s="18" t="str">
        <f t="shared" ca="1" si="55"/>
        <v>La-Res-2017-331</v>
      </c>
      <c r="B332" s="5">
        <v>43</v>
      </c>
      <c r="C332" s="5" t="str">
        <f t="shared" si="56"/>
        <v>40-49</v>
      </c>
      <c r="D332" s="5" t="s">
        <v>43</v>
      </c>
      <c r="E332" s="5" t="s">
        <v>45</v>
      </c>
      <c r="F332" s="5" t="s">
        <v>39</v>
      </c>
      <c r="G332" s="5">
        <v>2</v>
      </c>
      <c r="H332" s="5" t="s">
        <v>50</v>
      </c>
      <c r="I332" s="5" t="s">
        <v>52</v>
      </c>
      <c r="J332" s="7">
        <v>5257</v>
      </c>
      <c r="K332" s="7">
        <f t="shared" si="57"/>
        <v>788.55</v>
      </c>
      <c r="L332" s="7">
        <f t="shared" si="58"/>
        <v>4468.45</v>
      </c>
      <c r="M332" s="7">
        <v>6227</v>
      </c>
      <c r="N332" s="5" t="s">
        <v>43</v>
      </c>
      <c r="O332" s="5">
        <v>11</v>
      </c>
      <c r="P332" s="7">
        <f t="shared" si="59"/>
        <v>5835.27</v>
      </c>
      <c r="Q332" s="7">
        <f t="shared" si="60"/>
        <v>6939.2400000000052</v>
      </c>
      <c r="R332" s="7" t="str">
        <f t="shared" si="61"/>
        <v>Normal</v>
      </c>
      <c r="S332" s="5">
        <v>3</v>
      </c>
      <c r="T332" s="5">
        <v>4</v>
      </c>
      <c r="U332" s="5" t="str" cm="1">
        <f t="array" ref="U332">_xlfn.IFS(T332=1,"Poor",T332=2,"Fair",T332=3,"Good",T332=4,"Excellent")</f>
        <v>Excellent</v>
      </c>
      <c r="V332" s="5" t="s">
        <v>43</v>
      </c>
      <c r="W332" s="5">
        <v>9</v>
      </c>
      <c r="X332" s="28">
        <f t="shared" ca="1" si="62"/>
        <v>42824</v>
      </c>
      <c r="Y332" s="28">
        <f t="shared" ca="1" si="63"/>
        <v>46476</v>
      </c>
      <c r="Z332" s="28" t="str">
        <f t="shared" ca="1" si="64"/>
        <v>Due Soon</v>
      </c>
      <c r="AA332" s="5" t="str" cm="1">
        <f t="array" ref="AA332">_xlfn.IFS(W332&gt;10,"Veteran",W332&gt;=6,"Experienced",W332&gt;=2,"Developing",W332&gt;=0,"New")</f>
        <v>Experienced</v>
      </c>
      <c r="AB332" s="5" t="str" cm="1">
        <f t="array" ref="AB332">_xlfn.IFS(G332=1,"Junior",G332=2,"Mid-Level",G332=3,"Senior",G332=4,"Lead",G332=5,"Principal")&amp;" "&amp;TRIM(PROPER(H332))</f>
        <v>Mid-Level Laboratory Technician</v>
      </c>
      <c r="AC332" s="19" t="str">
        <f t="shared" ca="1" si="65"/>
        <v>La-Res-2017-331 is a Mid-Level Laboratory Technician in the Research &amp; Development department, aged 43, divorced and has been with the Company for 9years</v>
      </c>
    </row>
    <row r="333" spans="1:29">
      <c r="A333" s="18" t="str">
        <f t="shared" ca="1" si="55"/>
        <v>Sa-Sal-2021-332</v>
      </c>
      <c r="B333" s="5">
        <v>27</v>
      </c>
      <c r="C333" s="5" t="str">
        <f t="shared" si="56"/>
        <v>20-29</v>
      </c>
      <c r="D333" s="5" t="s">
        <v>43</v>
      </c>
      <c r="E333" s="5" t="s">
        <v>37</v>
      </c>
      <c r="F333" s="5" t="s">
        <v>46</v>
      </c>
      <c r="G333" s="5">
        <v>2</v>
      </c>
      <c r="H333" s="5" t="s">
        <v>40</v>
      </c>
      <c r="I333" s="5" t="s">
        <v>48</v>
      </c>
      <c r="J333" s="7">
        <v>6349</v>
      </c>
      <c r="K333" s="7">
        <f t="shared" si="57"/>
        <v>952.34999999999991</v>
      </c>
      <c r="L333" s="7">
        <f t="shared" si="58"/>
        <v>5396.65</v>
      </c>
      <c r="M333" s="7">
        <v>22107</v>
      </c>
      <c r="N333" s="5" t="s">
        <v>35</v>
      </c>
      <c r="O333" s="5">
        <v>13</v>
      </c>
      <c r="P333" s="7">
        <f t="shared" si="59"/>
        <v>7174.369999999999</v>
      </c>
      <c r="Q333" s="7">
        <f t="shared" si="60"/>
        <v>9904.4399999999878</v>
      </c>
      <c r="R333" s="7" t="str">
        <f t="shared" si="61"/>
        <v>Normal</v>
      </c>
      <c r="S333" s="5">
        <v>3</v>
      </c>
      <c r="T333" s="5">
        <v>3</v>
      </c>
      <c r="U333" s="5" t="str" cm="1">
        <f t="array" ref="U333">_xlfn.IFS(T333=1,"Poor",T333=2,"Fair",T333=3,"Good",T333=4,"Excellent")</f>
        <v>Good</v>
      </c>
      <c r="V333" s="5" t="s">
        <v>35</v>
      </c>
      <c r="W333" s="5">
        <v>5</v>
      </c>
      <c r="X333" s="28">
        <f t="shared" ca="1" si="62"/>
        <v>44285</v>
      </c>
      <c r="Y333" s="28">
        <f t="shared" ca="1" si="63"/>
        <v>46476</v>
      </c>
      <c r="Z333" s="28" t="str">
        <f t="shared" ca="1" si="64"/>
        <v>Due Soon</v>
      </c>
      <c r="AA333" s="5" t="str" cm="1">
        <f t="array" ref="AA333">_xlfn.IFS(W333&gt;10,"Veteran",W333&gt;=6,"Experienced",W333&gt;=2,"Developing",W333&gt;=0,"New")</f>
        <v>Developing</v>
      </c>
      <c r="AB333" s="5" t="str" cm="1">
        <f t="array" ref="AB333">_xlfn.IFS(G333=1,"Junior",G333=2,"Mid-Level",G333=3,"Senior",G333=4,"Lead",G333=5,"Principal")&amp;" "&amp;TRIM(PROPER(H333))</f>
        <v>Mid-Level Sales Executive</v>
      </c>
      <c r="AC333" s="19" t="str">
        <f t="shared" ca="1" si="65"/>
        <v>Sa-Sal-2021-332 is a Mid-Level Sales Executive in the Sales department, aged 27, married and has been with the Company for 5years</v>
      </c>
    </row>
    <row r="334" spans="1:29">
      <c r="A334" s="18" t="str">
        <f t="shared" ca="1" si="55"/>
        <v>Re-Res-2022-333</v>
      </c>
      <c r="B334" s="5">
        <v>54</v>
      </c>
      <c r="C334" s="5" t="str">
        <f t="shared" si="56"/>
        <v>50+</v>
      </c>
      <c r="D334" s="5" t="s">
        <v>43</v>
      </c>
      <c r="E334" s="5" t="s">
        <v>45</v>
      </c>
      <c r="F334" s="5" t="s">
        <v>39</v>
      </c>
      <c r="G334" s="5">
        <v>2</v>
      </c>
      <c r="H334" s="5" t="s">
        <v>47</v>
      </c>
      <c r="I334" s="5" t="s">
        <v>41</v>
      </c>
      <c r="J334" s="7">
        <v>4869</v>
      </c>
      <c r="K334" s="7">
        <f t="shared" si="57"/>
        <v>730.35</v>
      </c>
      <c r="L334" s="7">
        <f t="shared" si="58"/>
        <v>4138.6499999999996</v>
      </c>
      <c r="M334" s="7">
        <v>16885</v>
      </c>
      <c r="N334" s="5" t="s">
        <v>43</v>
      </c>
      <c r="O334" s="5">
        <v>12</v>
      </c>
      <c r="P334" s="7">
        <f t="shared" si="59"/>
        <v>5453.2800000000007</v>
      </c>
      <c r="Q334" s="7">
        <f t="shared" si="60"/>
        <v>7011.3600000000079</v>
      </c>
      <c r="R334" s="7" t="str">
        <f t="shared" si="61"/>
        <v>Normal</v>
      </c>
      <c r="S334" s="5">
        <v>3</v>
      </c>
      <c r="T334" s="5">
        <v>2</v>
      </c>
      <c r="U334" s="5" t="str" cm="1">
        <f t="array" ref="U334">_xlfn.IFS(T334=1,"Poor",T334=2,"Fair",T334=3,"Good",T334=4,"Excellent")</f>
        <v>Fair</v>
      </c>
      <c r="V334" s="5" t="s">
        <v>43</v>
      </c>
      <c r="W334" s="5">
        <v>4</v>
      </c>
      <c r="X334" s="28">
        <f t="shared" ca="1" si="62"/>
        <v>44650</v>
      </c>
      <c r="Y334" s="28">
        <f t="shared" ca="1" si="63"/>
        <v>46842</v>
      </c>
      <c r="Z334" s="28" t="str">
        <f t="shared" ca="1" si="64"/>
        <v>Upcoming</v>
      </c>
      <c r="AA334" s="5" t="str" cm="1">
        <f t="array" ref="AA334">_xlfn.IFS(W334&gt;10,"Veteran",W334&gt;=6,"Experienced",W334&gt;=2,"Developing",W334&gt;=0,"New")</f>
        <v>Developing</v>
      </c>
      <c r="AB334" s="5" t="str" cm="1">
        <f t="array" ref="AB334">_xlfn.IFS(G334=1,"Junior",G334=2,"Mid-Level",G334=3,"Senior",G334=4,"Lead",G334=5,"Principal")&amp;" "&amp;TRIM(PROPER(H334))</f>
        <v>Mid-Level Research Scientist</v>
      </c>
      <c r="AC334" s="19" t="str">
        <f t="shared" ca="1" si="65"/>
        <v>Re-Res-2022-333 is a Mid-Level Research Scientist in the Research &amp; Development department, aged 54, single and has been with the Company for 4years</v>
      </c>
    </row>
    <row r="335" spans="1:29">
      <c r="A335" s="18" t="str">
        <f t="shared" ca="1" si="55"/>
        <v>He-Res-2025-334</v>
      </c>
      <c r="B335" s="5">
        <v>43</v>
      </c>
      <c r="C335" s="5" t="str">
        <f t="shared" si="56"/>
        <v>40-49</v>
      </c>
      <c r="D335" s="5" t="s">
        <v>43</v>
      </c>
      <c r="E335" s="5" t="s">
        <v>45</v>
      </c>
      <c r="F335" s="5" t="s">
        <v>39</v>
      </c>
      <c r="G335" s="5">
        <v>3</v>
      </c>
      <c r="H335" s="5" t="s">
        <v>54</v>
      </c>
      <c r="I335" s="5" t="s">
        <v>48</v>
      </c>
      <c r="J335" s="7">
        <v>9985</v>
      </c>
      <c r="K335" s="7">
        <f t="shared" si="57"/>
        <v>2196.6999999999998</v>
      </c>
      <c r="L335" s="7">
        <f t="shared" si="58"/>
        <v>7788.3</v>
      </c>
      <c r="M335" s="7">
        <v>9262</v>
      </c>
      <c r="N335" s="5" t="s">
        <v>43</v>
      </c>
      <c r="O335" s="5">
        <v>16</v>
      </c>
      <c r="P335" s="7">
        <f t="shared" si="59"/>
        <v>11582.599999999999</v>
      </c>
      <c r="Q335" s="7">
        <f t="shared" si="60"/>
        <v>19171.199999999983</v>
      </c>
      <c r="R335" s="7" t="str">
        <f t="shared" si="61"/>
        <v>Normal</v>
      </c>
      <c r="S335" s="5">
        <v>3</v>
      </c>
      <c r="T335" s="5">
        <v>2</v>
      </c>
      <c r="U335" s="5" t="str" cm="1">
        <f t="array" ref="U335">_xlfn.IFS(T335=1,"Poor",T335=2,"Fair",T335=3,"Good",T335=4,"Excellent")</f>
        <v>Fair</v>
      </c>
      <c r="V335" s="5" t="s">
        <v>43</v>
      </c>
      <c r="W335" s="5">
        <v>1</v>
      </c>
      <c r="X335" s="28">
        <f t="shared" ca="1" si="62"/>
        <v>45746</v>
      </c>
      <c r="Y335" s="28">
        <f t="shared" ca="1" si="63"/>
        <v>46476</v>
      </c>
      <c r="Z335" s="28" t="str">
        <f t="shared" ca="1" si="64"/>
        <v>Due Soon</v>
      </c>
      <c r="AA335" s="5" t="str" cm="1">
        <f t="array" ref="AA335">_xlfn.IFS(W335&gt;10,"Veteran",W335&gt;=6,"Experienced",W335&gt;=2,"Developing",W335&gt;=0,"New")</f>
        <v>New</v>
      </c>
      <c r="AB335" s="5" t="str" cm="1">
        <f t="array" ref="AB335">_xlfn.IFS(G335=1,"Junior",G335=2,"Mid-Level",G335=3,"Senior",G335=4,"Lead",G335=5,"Principal")&amp;" "&amp;TRIM(PROPER(H335))</f>
        <v>Senior Healthcare Representative</v>
      </c>
      <c r="AC335" s="19" t="str">
        <f t="shared" ca="1" si="65"/>
        <v>He-Res-2025-334 is a Senior Healthcare Representative in the Research &amp; Development department, aged 43, married and has been with the Company for 1years</v>
      </c>
    </row>
    <row r="336" spans="1:29">
      <c r="A336" s="18" t="str">
        <f t="shared" ca="1" si="55"/>
        <v>Re-Res-2016-335</v>
      </c>
      <c r="B336" s="5">
        <v>45</v>
      </c>
      <c r="C336" s="5" t="str">
        <f t="shared" si="56"/>
        <v>40-49</v>
      </c>
      <c r="D336" s="5" t="s">
        <v>43</v>
      </c>
      <c r="E336" s="5" t="s">
        <v>45</v>
      </c>
      <c r="F336" s="5" t="s">
        <v>46</v>
      </c>
      <c r="G336" s="5">
        <v>2</v>
      </c>
      <c r="H336" s="5" t="s">
        <v>47</v>
      </c>
      <c r="I336" s="5" t="s">
        <v>48</v>
      </c>
      <c r="J336" s="7">
        <v>3697</v>
      </c>
      <c r="K336" s="7">
        <f t="shared" si="57"/>
        <v>554.54999999999995</v>
      </c>
      <c r="L336" s="7">
        <f t="shared" si="58"/>
        <v>3142.45</v>
      </c>
      <c r="M336" s="7">
        <v>9278</v>
      </c>
      <c r="N336" s="5" t="s">
        <v>43</v>
      </c>
      <c r="O336" s="5">
        <v>14</v>
      </c>
      <c r="P336" s="7">
        <f t="shared" si="59"/>
        <v>4214.5800000000008</v>
      </c>
      <c r="Q336" s="7">
        <f t="shared" si="60"/>
        <v>6210.96000000001</v>
      </c>
      <c r="R336" s="7" t="str">
        <f t="shared" si="61"/>
        <v>Normal</v>
      </c>
      <c r="S336" s="5">
        <v>3</v>
      </c>
      <c r="T336" s="5">
        <v>3</v>
      </c>
      <c r="U336" s="5" t="str" cm="1">
        <f t="array" ref="U336">_xlfn.IFS(T336=1,"Poor",T336=2,"Fair",T336=3,"Good",T336=4,"Excellent")</f>
        <v>Good</v>
      </c>
      <c r="V336" s="5" t="s">
        <v>43</v>
      </c>
      <c r="W336" s="5">
        <v>10</v>
      </c>
      <c r="X336" s="28">
        <f t="shared" ca="1" si="62"/>
        <v>42459</v>
      </c>
      <c r="Y336" s="28">
        <f t="shared" ca="1" si="63"/>
        <v>46842</v>
      </c>
      <c r="Z336" s="28" t="str">
        <f t="shared" ca="1" si="64"/>
        <v>Upcoming</v>
      </c>
      <c r="AA336" s="5" t="str" cm="1">
        <f t="array" ref="AA336">_xlfn.IFS(W336&gt;10,"Veteran",W336&gt;=6,"Experienced",W336&gt;=2,"Developing",W336&gt;=0,"New")</f>
        <v>Experienced</v>
      </c>
      <c r="AB336" s="5" t="str" cm="1">
        <f t="array" ref="AB336">_xlfn.IFS(G336=1,"Junior",G336=2,"Mid-Level",G336=3,"Senior",G336=4,"Lead",G336=5,"Principal")&amp;" "&amp;TRIM(PROPER(H336))</f>
        <v>Mid-Level Research Scientist</v>
      </c>
      <c r="AC336" s="19" t="str">
        <f t="shared" ca="1" si="65"/>
        <v>Re-Res-2016-335 is a Mid-Level Research Scientist in the Research &amp; Development department, aged 45, married and has been with the Company for 10years</v>
      </c>
    </row>
    <row r="337" spans="1:29">
      <c r="A337" s="18" t="str">
        <f t="shared" ca="1" si="55"/>
        <v>Sa-Sal-2022-336</v>
      </c>
      <c r="B337" s="5">
        <v>40</v>
      </c>
      <c r="C337" s="5" t="str">
        <f t="shared" si="56"/>
        <v>40-49</v>
      </c>
      <c r="D337" s="5" t="s">
        <v>43</v>
      </c>
      <c r="E337" s="5" t="s">
        <v>37</v>
      </c>
      <c r="F337" s="5" t="s">
        <v>46</v>
      </c>
      <c r="G337" s="5">
        <v>2</v>
      </c>
      <c r="H337" s="5" t="s">
        <v>40</v>
      </c>
      <c r="I337" s="5" t="s">
        <v>48</v>
      </c>
      <c r="J337" s="7">
        <v>7457</v>
      </c>
      <c r="K337" s="7">
        <f t="shared" si="57"/>
        <v>1640.54</v>
      </c>
      <c r="L337" s="7">
        <f t="shared" si="58"/>
        <v>5816.46</v>
      </c>
      <c r="M337" s="7">
        <v>13273</v>
      </c>
      <c r="N337" s="5" t="s">
        <v>35</v>
      </c>
      <c r="O337" s="5">
        <v>22</v>
      </c>
      <c r="P337" s="7">
        <f t="shared" si="59"/>
        <v>9097.5399999999991</v>
      </c>
      <c r="Q337" s="7">
        <f t="shared" si="60"/>
        <v>19686.479999999989</v>
      </c>
      <c r="R337" s="7" t="str">
        <f t="shared" si="61"/>
        <v>Normal</v>
      </c>
      <c r="S337" s="5">
        <v>4</v>
      </c>
      <c r="T337" s="5">
        <v>2</v>
      </c>
      <c r="U337" s="5" t="str" cm="1">
        <f t="array" ref="U337">_xlfn.IFS(T337=1,"Poor",T337=2,"Fair",T337=3,"Good",T337=4,"Excellent")</f>
        <v>Fair</v>
      </c>
      <c r="V337" s="5" t="s">
        <v>35</v>
      </c>
      <c r="W337" s="5">
        <v>4</v>
      </c>
      <c r="X337" s="28">
        <f t="shared" ca="1" si="62"/>
        <v>44650</v>
      </c>
      <c r="Y337" s="28">
        <f t="shared" ca="1" si="63"/>
        <v>46842</v>
      </c>
      <c r="Z337" s="28" t="str">
        <f t="shared" ca="1" si="64"/>
        <v>Upcoming</v>
      </c>
      <c r="AA337" s="5" t="str" cm="1">
        <f t="array" ref="AA337">_xlfn.IFS(W337&gt;10,"Veteran",W337&gt;=6,"Experienced",W337&gt;=2,"Developing",W337&gt;=0,"New")</f>
        <v>Developing</v>
      </c>
      <c r="AB337" s="5" t="str" cm="1">
        <f t="array" ref="AB337">_xlfn.IFS(G337=1,"Junior",G337=2,"Mid-Level",G337=3,"Senior",G337=4,"Lead",G337=5,"Principal")&amp;" "&amp;TRIM(PROPER(H337))</f>
        <v>Mid-Level Sales Executive</v>
      </c>
      <c r="AC337" s="19" t="str">
        <f t="shared" ca="1" si="65"/>
        <v>Sa-Sal-2022-336 is a Mid-Level Sales Executive in the Sales department, aged 40, married and has been with the Company for 4years</v>
      </c>
    </row>
    <row r="338" spans="1:29">
      <c r="A338" s="18" t="str">
        <f t="shared" ca="1" si="55"/>
        <v>La-Res-2019-337</v>
      </c>
      <c r="B338" s="5">
        <v>29</v>
      </c>
      <c r="C338" s="5" t="str">
        <f t="shared" si="56"/>
        <v>20-29</v>
      </c>
      <c r="D338" s="5" t="s">
        <v>35</v>
      </c>
      <c r="E338" s="5" t="s">
        <v>45</v>
      </c>
      <c r="F338" s="5" t="s">
        <v>46</v>
      </c>
      <c r="G338" s="5">
        <v>1</v>
      </c>
      <c r="H338" s="5" t="s">
        <v>50</v>
      </c>
      <c r="I338" s="5" t="s">
        <v>48</v>
      </c>
      <c r="J338" s="7">
        <v>2119</v>
      </c>
      <c r="K338" s="7">
        <f t="shared" si="57"/>
        <v>148.33000000000001</v>
      </c>
      <c r="L338" s="7">
        <f t="shared" si="58"/>
        <v>1970.67</v>
      </c>
      <c r="M338" s="7">
        <v>4759</v>
      </c>
      <c r="N338" s="5" t="s">
        <v>35</v>
      </c>
      <c r="O338" s="5">
        <v>11</v>
      </c>
      <c r="P338" s="7">
        <f t="shared" si="59"/>
        <v>2352.09</v>
      </c>
      <c r="Q338" s="7">
        <f t="shared" si="60"/>
        <v>2797.0800000000017</v>
      </c>
      <c r="R338" s="7" t="str">
        <f t="shared" si="61"/>
        <v>Normal</v>
      </c>
      <c r="S338" s="5">
        <v>3</v>
      </c>
      <c r="T338" s="5">
        <v>2</v>
      </c>
      <c r="U338" s="5" t="str" cm="1">
        <f t="array" ref="U338">_xlfn.IFS(T338=1,"Poor",T338=2,"Fair",T338=3,"Good",T338=4,"Excellent")</f>
        <v>Fair</v>
      </c>
      <c r="V338" s="5" t="s">
        <v>35</v>
      </c>
      <c r="W338" s="5">
        <v>7</v>
      </c>
      <c r="X338" s="28">
        <f t="shared" ca="1" si="62"/>
        <v>43554</v>
      </c>
      <c r="Y338" s="28">
        <f t="shared" ca="1" si="63"/>
        <v>46476</v>
      </c>
      <c r="Z338" s="28" t="str">
        <f t="shared" ca="1" si="64"/>
        <v>Due Soon</v>
      </c>
      <c r="AA338" s="5" t="str" cm="1">
        <f t="array" ref="AA338">_xlfn.IFS(W338&gt;10,"Veteran",W338&gt;=6,"Experienced",W338&gt;=2,"Developing",W338&gt;=0,"New")</f>
        <v>Experienced</v>
      </c>
      <c r="AB338" s="5" t="str" cm="1">
        <f t="array" ref="AB338">_xlfn.IFS(G338=1,"Junior",G338=2,"Mid-Level",G338=3,"Senior",G338=4,"Lead",G338=5,"Principal")&amp;" "&amp;TRIM(PROPER(H338))</f>
        <v>Junior Laboratory Technician</v>
      </c>
      <c r="AC338" s="19" t="str">
        <f t="shared" ca="1" si="65"/>
        <v>La-Res-2019-337 is a Junior Laboratory Technician in the Research &amp; Development department, aged 29, married and has been with the Company for 7years</v>
      </c>
    </row>
    <row r="339" spans="1:29">
      <c r="A339" s="18" t="str">
        <f t="shared" ca="1" si="55"/>
        <v>La-Res-2023-338</v>
      </c>
      <c r="B339" s="5">
        <v>29</v>
      </c>
      <c r="C339" s="5" t="str">
        <f t="shared" si="56"/>
        <v>20-29</v>
      </c>
      <c r="D339" s="5" t="s">
        <v>43</v>
      </c>
      <c r="E339" s="5" t="s">
        <v>45</v>
      </c>
      <c r="F339" s="5" t="s">
        <v>46</v>
      </c>
      <c r="G339" s="5">
        <v>1</v>
      </c>
      <c r="H339" s="5" t="s">
        <v>50</v>
      </c>
      <c r="I339" s="5" t="s">
        <v>41</v>
      </c>
      <c r="J339" s="7">
        <v>3983</v>
      </c>
      <c r="K339" s="7">
        <f t="shared" si="57"/>
        <v>597.44999999999993</v>
      </c>
      <c r="L339" s="7">
        <f t="shared" si="58"/>
        <v>3385.55</v>
      </c>
      <c r="M339" s="7">
        <v>7621</v>
      </c>
      <c r="N339" s="5" t="s">
        <v>43</v>
      </c>
      <c r="O339" s="5">
        <v>17</v>
      </c>
      <c r="P339" s="7">
        <f t="shared" si="59"/>
        <v>4660.1099999999997</v>
      </c>
      <c r="Q339" s="7">
        <f t="shared" si="60"/>
        <v>8125.3199999999961</v>
      </c>
      <c r="R339" s="7" t="str">
        <f t="shared" si="61"/>
        <v>Normal</v>
      </c>
      <c r="S339" s="5">
        <v>3</v>
      </c>
      <c r="T339" s="5">
        <v>3</v>
      </c>
      <c r="U339" s="5" t="str" cm="1">
        <f t="array" ref="U339">_xlfn.IFS(T339=1,"Poor",T339=2,"Fair",T339=3,"Good",T339=4,"Excellent")</f>
        <v>Good</v>
      </c>
      <c r="V339" s="5" t="s">
        <v>43</v>
      </c>
      <c r="W339" s="5">
        <v>3</v>
      </c>
      <c r="X339" s="28">
        <f t="shared" ca="1" si="62"/>
        <v>45015</v>
      </c>
      <c r="Y339" s="28">
        <f t="shared" ca="1" si="63"/>
        <v>46476</v>
      </c>
      <c r="Z339" s="28" t="str">
        <f t="shared" ca="1" si="64"/>
        <v>Due Soon</v>
      </c>
      <c r="AA339" s="5" t="str" cm="1">
        <f t="array" ref="AA339">_xlfn.IFS(W339&gt;10,"Veteran",W339&gt;=6,"Experienced",W339&gt;=2,"Developing",W339&gt;=0,"New")</f>
        <v>Developing</v>
      </c>
      <c r="AB339" s="5" t="str" cm="1">
        <f t="array" ref="AB339">_xlfn.IFS(G339=1,"Junior",G339=2,"Mid-Level",G339=3,"Senior",G339=4,"Lead",G339=5,"Principal")&amp;" "&amp;TRIM(PROPER(H339))</f>
        <v>Junior Laboratory Technician</v>
      </c>
      <c r="AC339" s="19" t="str">
        <f t="shared" ca="1" si="65"/>
        <v>La-Res-2023-338 is a Junior Laboratory Technician in the Research &amp; Development department, aged 29, single and has been with the Company for 3years</v>
      </c>
    </row>
    <row r="340" spans="1:29">
      <c r="A340" s="18" t="str">
        <f t="shared" ca="1" si="55"/>
        <v>Sa-Sal-2016-339</v>
      </c>
      <c r="B340" s="5">
        <v>30</v>
      </c>
      <c r="C340" s="5" t="str">
        <f t="shared" si="56"/>
        <v>30-39</v>
      </c>
      <c r="D340" s="5" t="s">
        <v>43</v>
      </c>
      <c r="E340" s="5" t="s">
        <v>37</v>
      </c>
      <c r="F340" s="5" t="s">
        <v>39</v>
      </c>
      <c r="G340" s="5">
        <v>2</v>
      </c>
      <c r="H340" s="5" t="s">
        <v>40</v>
      </c>
      <c r="I340" s="5" t="s">
        <v>52</v>
      </c>
      <c r="J340" s="7">
        <v>6118</v>
      </c>
      <c r="K340" s="7">
        <f t="shared" si="57"/>
        <v>917.69999999999993</v>
      </c>
      <c r="L340" s="7">
        <f t="shared" si="58"/>
        <v>5200.3</v>
      </c>
      <c r="M340" s="7">
        <v>5431</v>
      </c>
      <c r="N340" s="5" t="s">
        <v>43</v>
      </c>
      <c r="O340" s="5">
        <v>13</v>
      </c>
      <c r="P340" s="7">
        <f t="shared" si="59"/>
        <v>6913.3399999999992</v>
      </c>
      <c r="Q340" s="7">
        <f t="shared" si="60"/>
        <v>9544.0799999999908</v>
      </c>
      <c r="R340" s="7" t="str">
        <f t="shared" si="61"/>
        <v>Normal</v>
      </c>
      <c r="S340" s="5">
        <v>3</v>
      </c>
      <c r="T340" s="5">
        <v>3</v>
      </c>
      <c r="U340" s="5" t="str" cm="1">
        <f t="array" ref="U340">_xlfn.IFS(T340=1,"Poor",T340=2,"Fair",T340=3,"Good",T340=4,"Excellent")</f>
        <v>Good</v>
      </c>
      <c r="V340" s="5" t="s">
        <v>43</v>
      </c>
      <c r="W340" s="5">
        <v>10</v>
      </c>
      <c r="X340" s="28">
        <f t="shared" ca="1" si="62"/>
        <v>42459</v>
      </c>
      <c r="Y340" s="28">
        <f t="shared" ca="1" si="63"/>
        <v>46842</v>
      </c>
      <c r="Z340" s="28" t="str">
        <f t="shared" ca="1" si="64"/>
        <v>Upcoming</v>
      </c>
      <c r="AA340" s="5" t="str" cm="1">
        <f t="array" ref="AA340">_xlfn.IFS(W340&gt;10,"Veteran",W340&gt;=6,"Experienced",W340&gt;=2,"Developing",W340&gt;=0,"New")</f>
        <v>Experienced</v>
      </c>
      <c r="AB340" s="5" t="str" cm="1">
        <f t="array" ref="AB340">_xlfn.IFS(G340=1,"Junior",G340=2,"Mid-Level",G340=3,"Senior",G340=4,"Lead",G340=5,"Principal")&amp;" "&amp;TRIM(PROPER(H340))</f>
        <v>Mid-Level Sales Executive</v>
      </c>
      <c r="AC340" s="19" t="str">
        <f t="shared" ca="1" si="65"/>
        <v>Sa-Sal-2016-339 is a Mid-Level Sales Executive in the Sales department, aged 30, divorced and has been with the Company for 10years</v>
      </c>
    </row>
    <row r="341" spans="1:29">
      <c r="A341" s="18" t="str">
        <f t="shared" ca="1" si="55"/>
        <v>Sa-Sal-2018-340</v>
      </c>
      <c r="B341" s="5">
        <v>27</v>
      </c>
      <c r="C341" s="5" t="str">
        <f t="shared" si="56"/>
        <v>20-29</v>
      </c>
      <c r="D341" s="5" t="s">
        <v>43</v>
      </c>
      <c r="E341" s="5" t="s">
        <v>37</v>
      </c>
      <c r="F341" s="5" t="s">
        <v>39</v>
      </c>
      <c r="G341" s="5">
        <v>2</v>
      </c>
      <c r="H341" s="5" t="s">
        <v>40</v>
      </c>
      <c r="I341" s="5" t="s">
        <v>48</v>
      </c>
      <c r="J341" s="7">
        <v>6214</v>
      </c>
      <c r="K341" s="7">
        <f t="shared" si="57"/>
        <v>932.09999999999991</v>
      </c>
      <c r="L341" s="7">
        <f t="shared" si="58"/>
        <v>5281.9</v>
      </c>
      <c r="M341" s="7">
        <v>3415</v>
      </c>
      <c r="N341" s="5" t="s">
        <v>43</v>
      </c>
      <c r="O341" s="5">
        <v>18</v>
      </c>
      <c r="P341" s="7">
        <f t="shared" si="59"/>
        <v>7332.5199999999995</v>
      </c>
      <c r="Q341" s="7">
        <f t="shared" si="60"/>
        <v>13422.239999999994</v>
      </c>
      <c r="R341" s="7" t="str">
        <f t="shared" si="61"/>
        <v>Normal</v>
      </c>
      <c r="S341" s="5">
        <v>3</v>
      </c>
      <c r="T341" s="5">
        <v>3</v>
      </c>
      <c r="U341" s="5" t="str" cm="1">
        <f t="array" ref="U341">_xlfn.IFS(T341=1,"Poor",T341=2,"Fair",T341=3,"Good",T341=4,"Excellent")</f>
        <v>Good</v>
      </c>
      <c r="V341" s="5" t="s">
        <v>43</v>
      </c>
      <c r="W341" s="5">
        <v>8</v>
      </c>
      <c r="X341" s="28">
        <f t="shared" ca="1" si="62"/>
        <v>43189</v>
      </c>
      <c r="Y341" s="28">
        <f t="shared" ca="1" si="63"/>
        <v>46842</v>
      </c>
      <c r="Z341" s="28" t="str">
        <f t="shared" ca="1" si="64"/>
        <v>Upcoming</v>
      </c>
      <c r="AA341" s="5" t="str" cm="1">
        <f t="array" ref="AA341">_xlfn.IFS(W341&gt;10,"Veteran",W341&gt;=6,"Experienced",W341&gt;=2,"Developing",W341&gt;=0,"New")</f>
        <v>Experienced</v>
      </c>
      <c r="AB341" s="5" t="str" cm="1">
        <f t="array" ref="AB341">_xlfn.IFS(G341=1,"Junior",G341=2,"Mid-Level",G341=3,"Senior",G341=4,"Lead",G341=5,"Principal")&amp;" "&amp;TRIM(PROPER(H341))</f>
        <v>Mid-Level Sales Executive</v>
      </c>
      <c r="AC341" s="19" t="str">
        <f t="shared" ca="1" si="65"/>
        <v>Sa-Sal-2018-340 is a Mid-Level Sales Executive in the Sales department, aged 27, married and has been with the Company for 8years</v>
      </c>
    </row>
    <row r="342" spans="1:29">
      <c r="A342" s="18" t="str">
        <f t="shared" ca="1" si="55"/>
        <v>Ma-Res-2020-341</v>
      </c>
      <c r="B342" s="5">
        <v>37</v>
      </c>
      <c r="C342" s="5" t="str">
        <f t="shared" si="56"/>
        <v>30-39</v>
      </c>
      <c r="D342" s="5" t="s">
        <v>43</v>
      </c>
      <c r="E342" s="5" t="s">
        <v>45</v>
      </c>
      <c r="F342" s="5" t="s">
        <v>46</v>
      </c>
      <c r="G342" s="5">
        <v>2</v>
      </c>
      <c r="H342" s="5" t="s">
        <v>53</v>
      </c>
      <c r="I342" s="5" t="s">
        <v>52</v>
      </c>
      <c r="J342" s="7">
        <v>6347</v>
      </c>
      <c r="K342" s="7">
        <f t="shared" si="57"/>
        <v>952.05</v>
      </c>
      <c r="L342" s="7">
        <f t="shared" si="58"/>
        <v>5394.95</v>
      </c>
      <c r="M342" s="7">
        <v>23177</v>
      </c>
      <c r="N342" s="5" t="s">
        <v>43</v>
      </c>
      <c r="O342" s="5">
        <v>16</v>
      </c>
      <c r="P342" s="7">
        <f t="shared" si="59"/>
        <v>7362.5199999999995</v>
      </c>
      <c r="Q342" s="7">
        <f t="shared" si="60"/>
        <v>12186.239999999994</v>
      </c>
      <c r="R342" s="7" t="str">
        <f t="shared" si="61"/>
        <v>Normal</v>
      </c>
      <c r="S342" s="5">
        <v>3</v>
      </c>
      <c r="T342" s="5">
        <v>2</v>
      </c>
      <c r="U342" s="5" t="str" cm="1">
        <f t="array" ref="U342">_xlfn.IFS(T342=1,"Poor",T342=2,"Fair",T342=3,"Good",T342=4,"Excellent")</f>
        <v>Fair</v>
      </c>
      <c r="V342" s="5" t="s">
        <v>43</v>
      </c>
      <c r="W342" s="5">
        <v>6</v>
      </c>
      <c r="X342" s="28">
        <f t="shared" ca="1" si="62"/>
        <v>43920</v>
      </c>
      <c r="Y342" s="28">
        <f t="shared" ca="1" si="63"/>
        <v>46842</v>
      </c>
      <c r="Z342" s="28" t="str">
        <f t="shared" ca="1" si="64"/>
        <v>Upcoming</v>
      </c>
      <c r="AA342" s="5" t="str" cm="1">
        <f t="array" ref="AA342">_xlfn.IFS(W342&gt;10,"Veteran",W342&gt;=6,"Experienced",W342&gt;=2,"Developing",W342&gt;=0,"New")</f>
        <v>Experienced</v>
      </c>
      <c r="AB342" s="5" t="str" cm="1">
        <f t="array" ref="AB342">_xlfn.IFS(G342=1,"Junior",G342=2,"Mid-Level",G342=3,"Senior",G342=4,"Lead",G342=5,"Principal")&amp;" "&amp;TRIM(PROPER(H342))</f>
        <v>Mid-Level Manufacturing Director</v>
      </c>
      <c r="AC342" s="19" t="str">
        <f t="shared" ca="1" si="65"/>
        <v>Ma-Res-2020-341 is a Mid-Level Manufacturing Director in the Research &amp; Development department, aged 37, divorced and has been with the Company for 6years</v>
      </c>
    </row>
    <row r="343" spans="1:29">
      <c r="A343" s="18" t="str">
        <f t="shared" ca="1" si="55"/>
        <v>Re-Res-2015-342</v>
      </c>
      <c r="B343" s="5">
        <v>38</v>
      </c>
      <c r="C343" s="5" t="str">
        <f t="shared" si="56"/>
        <v>30-39</v>
      </c>
      <c r="D343" s="5" t="s">
        <v>43</v>
      </c>
      <c r="E343" s="5" t="s">
        <v>45</v>
      </c>
      <c r="F343" s="5" t="s">
        <v>46</v>
      </c>
      <c r="G343" s="5">
        <v>3</v>
      </c>
      <c r="H343" s="5" t="s">
        <v>58</v>
      </c>
      <c r="I343" s="5" t="s">
        <v>52</v>
      </c>
      <c r="J343" s="7">
        <v>11510</v>
      </c>
      <c r="K343" s="7">
        <f t="shared" si="57"/>
        <v>2532.1999999999998</v>
      </c>
      <c r="L343" s="7">
        <f t="shared" si="58"/>
        <v>8977.7999999999993</v>
      </c>
      <c r="M343" s="7">
        <v>15682</v>
      </c>
      <c r="N343" s="5" t="s">
        <v>35</v>
      </c>
      <c r="O343" s="5">
        <v>14</v>
      </c>
      <c r="P343" s="7">
        <f t="shared" si="59"/>
        <v>13121.400000000001</v>
      </c>
      <c r="Q343" s="7">
        <f t="shared" si="60"/>
        <v>19336.800000000017</v>
      </c>
      <c r="R343" s="7" t="str">
        <f t="shared" si="61"/>
        <v>Normal</v>
      </c>
      <c r="S343" s="5">
        <v>3</v>
      </c>
      <c r="T343" s="5">
        <v>3</v>
      </c>
      <c r="U343" s="5" t="str" cm="1">
        <f t="array" ref="U343">_xlfn.IFS(T343=1,"Poor",T343=2,"Fair",T343=3,"Good",T343=4,"Excellent")</f>
        <v>Good</v>
      </c>
      <c r="V343" s="5" t="s">
        <v>35</v>
      </c>
      <c r="W343" s="5">
        <v>11</v>
      </c>
      <c r="X343" s="28">
        <f t="shared" ca="1" si="62"/>
        <v>42093</v>
      </c>
      <c r="Y343" s="28">
        <f t="shared" ca="1" si="63"/>
        <v>46476</v>
      </c>
      <c r="Z343" s="28" t="str">
        <f t="shared" ca="1" si="64"/>
        <v>Due Soon</v>
      </c>
      <c r="AA343" s="5" t="str" cm="1">
        <f t="array" ref="AA343">_xlfn.IFS(W343&gt;10,"Veteran",W343&gt;=6,"Experienced",W343&gt;=2,"Developing",W343&gt;=0,"New")</f>
        <v>Veteran</v>
      </c>
      <c r="AB343" s="5" t="str" cm="1">
        <f t="array" ref="AB343">_xlfn.IFS(G343=1,"Junior",G343=2,"Mid-Level",G343=3,"Senior",G343=4,"Lead",G343=5,"Principal")&amp;" "&amp;TRIM(PROPER(H343))</f>
        <v>Senior Research Director</v>
      </c>
      <c r="AC343" s="19" t="str">
        <f t="shared" ca="1" si="65"/>
        <v>Re-Res-2015-342 is a Senior Research Director in the Research &amp; Development department, aged 38, divorced and has been with the Company for 11years</v>
      </c>
    </row>
    <row r="344" spans="1:29">
      <c r="A344" s="18" t="str">
        <f t="shared" ca="1" si="55"/>
        <v>Ma-Res-2015-343</v>
      </c>
      <c r="B344" s="5">
        <v>31</v>
      </c>
      <c r="C344" s="5" t="str">
        <f t="shared" si="56"/>
        <v>30-39</v>
      </c>
      <c r="D344" s="5" t="s">
        <v>43</v>
      </c>
      <c r="E344" s="5" t="s">
        <v>45</v>
      </c>
      <c r="F344" s="5" t="s">
        <v>39</v>
      </c>
      <c r="G344" s="5">
        <v>3</v>
      </c>
      <c r="H344" s="5" t="s">
        <v>53</v>
      </c>
      <c r="I344" s="5" t="s">
        <v>41</v>
      </c>
      <c r="J344" s="7">
        <v>7143</v>
      </c>
      <c r="K344" s="7">
        <f t="shared" si="57"/>
        <v>1571.46</v>
      </c>
      <c r="L344" s="7">
        <f t="shared" si="58"/>
        <v>5571.54</v>
      </c>
      <c r="M344" s="7">
        <v>25713</v>
      </c>
      <c r="N344" s="5" t="s">
        <v>35</v>
      </c>
      <c r="O344" s="5">
        <v>14</v>
      </c>
      <c r="P344" s="7">
        <f t="shared" si="59"/>
        <v>8143.02</v>
      </c>
      <c r="Q344" s="7">
        <f t="shared" si="60"/>
        <v>12000.240000000005</v>
      </c>
      <c r="R344" s="7" t="str">
        <f t="shared" si="61"/>
        <v>Normal</v>
      </c>
      <c r="S344" s="5">
        <v>3</v>
      </c>
      <c r="T344" s="5">
        <v>2</v>
      </c>
      <c r="U344" s="5" t="str" cm="1">
        <f t="array" ref="U344">_xlfn.IFS(T344=1,"Poor",T344=2,"Fair",T344=3,"Good",T344=4,"Excellent")</f>
        <v>Fair</v>
      </c>
      <c r="V344" s="5" t="s">
        <v>35</v>
      </c>
      <c r="W344" s="5">
        <v>11</v>
      </c>
      <c r="X344" s="28">
        <f t="shared" ca="1" si="62"/>
        <v>42093</v>
      </c>
      <c r="Y344" s="28">
        <f t="shared" ca="1" si="63"/>
        <v>46476</v>
      </c>
      <c r="Z344" s="28" t="str">
        <f t="shared" ca="1" si="64"/>
        <v>Due Soon</v>
      </c>
      <c r="AA344" s="5" t="str" cm="1">
        <f t="array" ref="AA344">_xlfn.IFS(W344&gt;10,"Veteran",W344&gt;=6,"Experienced",W344&gt;=2,"Developing",W344&gt;=0,"New")</f>
        <v>Veteran</v>
      </c>
      <c r="AB344" s="5" t="str" cm="1">
        <f t="array" ref="AB344">_xlfn.IFS(G344=1,"Junior",G344=2,"Mid-Level",G344=3,"Senior",G344=4,"Lead",G344=5,"Principal")&amp;" "&amp;TRIM(PROPER(H344))</f>
        <v>Senior Manufacturing Director</v>
      </c>
      <c r="AC344" s="19" t="str">
        <f t="shared" ca="1" si="65"/>
        <v>Ma-Res-2015-343 is a Senior Manufacturing Director in the Research &amp; Development department, aged 31, single and has been with the Company for 11years</v>
      </c>
    </row>
    <row r="345" spans="1:29">
      <c r="A345" s="18" t="str">
        <f t="shared" ca="1" si="55"/>
        <v>Sa-Sal-2019-344</v>
      </c>
      <c r="B345" s="5">
        <v>29</v>
      </c>
      <c r="C345" s="5" t="str">
        <f t="shared" si="56"/>
        <v>20-29</v>
      </c>
      <c r="D345" s="5" t="s">
        <v>43</v>
      </c>
      <c r="E345" s="5" t="s">
        <v>37</v>
      </c>
      <c r="F345" s="5" t="s">
        <v>39</v>
      </c>
      <c r="G345" s="5">
        <v>2</v>
      </c>
      <c r="H345" s="5" t="s">
        <v>40</v>
      </c>
      <c r="I345" s="5" t="s">
        <v>52</v>
      </c>
      <c r="J345" s="7">
        <v>8268</v>
      </c>
      <c r="K345" s="7">
        <f t="shared" si="57"/>
        <v>1818.96</v>
      </c>
      <c r="L345" s="7">
        <f t="shared" si="58"/>
        <v>6449.04</v>
      </c>
      <c r="M345" s="7">
        <v>11866</v>
      </c>
      <c r="N345" s="5" t="s">
        <v>35</v>
      </c>
      <c r="O345" s="5">
        <v>14</v>
      </c>
      <c r="P345" s="7">
        <f t="shared" si="59"/>
        <v>9425.52</v>
      </c>
      <c r="Q345" s="7">
        <f t="shared" si="60"/>
        <v>13890.240000000005</v>
      </c>
      <c r="R345" s="7" t="str">
        <f t="shared" si="61"/>
        <v>Normal</v>
      </c>
      <c r="S345" s="5">
        <v>3</v>
      </c>
      <c r="T345" s="5">
        <v>3</v>
      </c>
      <c r="U345" s="5" t="str" cm="1">
        <f t="array" ref="U345">_xlfn.IFS(T345=1,"Poor",T345=2,"Fair",T345=3,"Good",T345=4,"Excellent")</f>
        <v>Good</v>
      </c>
      <c r="V345" s="5" t="s">
        <v>35</v>
      </c>
      <c r="W345" s="5">
        <v>7</v>
      </c>
      <c r="X345" s="28">
        <f t="shared" ca="1" si="62"/>
        <v>43554</v>
      </c>
      <c r="Y345" s="28">
        <f t="shared" ca="1" si="63"/>
        <v>46476</v>
      </c>
      <c r="Z345" s="28" t="str">
        <f t="shared" ca="1" si="64"/>
        <v>Due Soon</v>
      </c>
      <c r="AA345" s="5" t="str" cm="1">
        <f t="array" ref="AA345">_xlfn.IFS(W345&gt;10,"Veteran",W345&gt;=6,"Experienced",W345&gt;=2,"Developing",W345&gt;=0,"New")</f>
        <v>Experienced</v>
      </c>
      <c r="AB345" s="5" t="str" cm="1">
        <f t="array" ref="AB345">_xlfn.IFS(G345=1,"Junior",G345=2,"Mid-Level",G345=3,"Senior",G345=4,"Lead",G345=5,"Principal")&amp;" "&amp;TRIM(PROPER(H345))</f>
        <v>Mid-Level Sales Executive</v>
      </c>
      <c r="AC345" s="19" t="str">
        <f t="shared" ca="1" si="65"/>
        <v>Sa-Sal-2019-344 is a Mid-Level Sales Executive in the Sales department, aged 29, divorced and has been with the Company for 7years</v>
      </c>
    </row>
    <row r="346" spans="1:29">
      <c r="A346" s="18" t="str">
        <f t="shared" ca="1" si="55"/>
        <v>Ma-Res-2010-345</v>
      </c>
      <c r="B346" s="5">
        <v>35</v>
      </c>
      <c r="C346" s="5" t="str">
        <f t="shared" si="56"/>
        <v>30-39</v>
      </c>
      <c r="D346" s="5" t="s">
        <v>43</v>
      </c>
      <c r="E346" s="5" t="s">
        <v>45</v>
      </c>
      <c r="F346" s="5" t="s">
        <v>46</v>
      </c>
      <c r="G346" s="5">
        <v>3</v>
      </c>
      <c r="H346" s="5" t="s">
        <v>53</v>
      </c>
      <c r="I346" s="5" t="s">
        <v>41</v>
      </c>
      <c r="J346" s="7">
        <v>8095</v>
      </c>
      <c r="K346" s="7">
        <f t="shared" si="57"/>
        <v>1780.9</v>
      </c>
      <c r="L346" s="7">
        <f t="shared" si="58"/>
        <v>6314.1</v>
      </c>
      <c r="M346" s="7">
        <v>18264</v>
      </c>
      <c r="N346" s="5" t="s">
        <v>43</v>
      </c>
      <c r="O346" s="5">
        <v>13</v>
      </c>
      <c r="P346" s="7">
        <f t="shared" si="59"/>
        <v>9147.3499999999985</v>
      </c>
      <c r="Q346" s="7">
        <f t="shared" si="60"/>
        <v>12628.199999999983</v>
      </c>
      <c r="R346" s="7" t="str">
        <f t="shared" si="61"/>
        <v>Normal</v>
      </c>
      <c r="S346" s="5">
        <v>3</v>
      </c>
      <c r="T346" s="5">
        <v>3</v>
      </c>
      <c r="U346" s="5" t="str" cm="1">
        <f t="array" ref="U346">_xlfn.IFS(T346=1,"Poor",T346=2,"Fair",T346=3,"Good",T346=4,"Excellent")</f>
        <v>Good</v>
      </c>
      <c r="V346" s="5" t="s">
        <v>43</v>
      </c>
      <c r="W346" s="5">
        <v>16</v>
      </c>
      <c r="X346" s="28">
        <f t="shared" ca="1" si="62"/>
        <v>40267</v>
      </c>
      <c r="Y346" s="28">
        <f t="shared" ca="1" si="63"/>
        <v>46842</v>
      </c>
      <c r="Z346" s="28" t="str">
        <f t="shared" ca="1" si="64"/>
        <v>Upcoming</v>
      </c>
      <c r="AA346" s="5" t="str" cm="1">
        <f t="array" ref="AA346">_xlfn.IFS(W346&gt;10,"Veteran",W346&gt;=6,"Experienced",W346&gt;=2,"Developing",W346&gt;=0,"New")</f>
        <v>Veteran</v>
      </c>
      <c r="AB346" s="5" t="str" cm="1">
        <f t="array" ref="AB346">_xlfn.IFS(G346=1,"Junior",G346=2,"Mid-Level",G346=3,"Senior",G346=4,"Lead",G346=5,"Principal")&amp;" "&amp;TRIM(PROPER(H346))</f>
        <v>Senior Manufacturing Director</v>
      </c>
      <c r="AC346" s="19" t="str">
        <f t="shared" ca="1" si="65"/>
        <v>Ma-Res-2010-345 is a Senior Manufacturing Director in the Research &amp; Development department, aged 35, single and has been with the Company for 16years</v>
      </c>
    </row>
    <row r="347" spans="1:29">
      <c r="A347" s="18" t="str">
        <f t="shared" ca="1" si="55"/>
        <v>Re-Res-2022-346</v>
      </c>
      <c r="B347" s="5">
        <v>23</v>
      </c>
      <c r="C347" s="5" t="str">
        <f t="shared" si="56"/>
        <v>20-29</v>
      </c>
      <c r="D347" s="5" t="s">
        <v>43</v>
      </c>
      <c r="E347" s="5" t="s">
        <v>45</v>
      </c>
      <c r="F347" s="5" t="s">
        <v>46</v>
      </c>
      <c r="G347" s="5">
        <v>1</v>
      </c>
      <c r="H347" s="5" t="s">
        <v>47</v>
      </c>
      <c r="I347" s="5" t="s">
        <v>52</v>
      </c>
      <c r="J347" s="7">
        <v>2904</v>
      </c>
      <c r="K347" s="7">
        <f t="shared" si="57"/>
        <v>203.28000000000003</v>
      </c>
      <c r="L347" s="7">
        <f t="shared" si="58"/>
        <v>2700.72</v>
      </c>
      <c r="M347" s="7">
        <v>16092</v>
      </c>
      <c r="N347" s="5" t="s">
        <v>43</v>
      </c>
      <c r="O347" s="5">
        <v>12</v>
      </c>
      <c r="P347" s="7">
        <f t="shared" si="59"/>
        <v>3252.4800000000005</v>
      </c>
      <c r="Q347" s="7">
        <f t="shared" si="60"/>
        <v>4181.7600000000057</v>
      </c>
      <c r="R347" s="7" t="str">
        <f t="shared" si="61"/>
        <v>Normal</v>
      </c>
      <c r="S347" s="5">
        <v>3</v>
      </c>
      <c r="T347" s="5">
        <v>2</v>
      </c>
      <c r="U347" s="5" t="str" cm="1">
        <f t="array" ref="U347">_xlfn.IFS(T347=1,"Poor",T347=2,"Fair",T347=3,"Good",T347=4,"Excellent")</f>
        <v>Fair</v>
      </c>
      <c r="V347" s="5" t="s">
        <v>43</v>
      </c>
      <c r="W347" s="5">
        <v>4</v>
      </c>
      <c r="X347" s="28">
        <f t="shared" ca="1" si="62"/>
        <v>44650</v>
      </c>
      <c r="Y347" s="28">
        <f t="shared" ca="1" si="63"/>
        <v>46842</v>
      </c>
      <c r="Z347" s="28" t="str">
        <f t="shared" ca="1" si="64"/>
        <v>Upcoming</v>
      </c>
      <c r="AA347" s="5" t="str" cm="1">
        <f t="array" ref="AA347">_xlfn.IFS(W347&gt;10,"Veteran",W347&gt;=6,"Experienced",W347&gt;=2,"Developing",W347&gt;=0,"New")</f>
        <v>Developing</v>
      </c>
      <c r="AB347" s="5" t="str" cm="1">
        <f t="array" ref="AB347">_xlfn.IFS(G347=1,"Junior",G347=2,"Mid-Level",G347=3,"Senior",G347=4,"Lead",G347=5,"Principal")&amp;" "&amp;TRIM(PROPER(H347))</f>
        <v>Junior Research Scientist</v>
      </c>
      <c r="AC347" s="19" t="str">
        <f t="shared" ca="1" si="65"/>
        <v>Re-Res-2022-346 is a Junior Research Scientist in the Research &amp; Development department, aged 23, divorced and has been with the Company for 4years</v>
      </c>
    </row>
    <row r="348" spans="1:29">
      <c r="A348" s="18" t="str">
        <f t="shared" ca="1" si="55"/>
        <v>Ma-Res-2021-347</v>
      </c>
      <c r="B348" s="5">
        <v>41</v>
      </c>
      <c r="C348" s="5" t="str">
        <f t="shared" si="56"/>
        <v>40-49</v>
      </c>
      <c r="D348" s="5" t="s">
        <v>43</v>
      </c>
      <c r="E348" s="5" t="s">
        <v>45</v>
      </c>
      <c r="F348" s="5" t="s">
        <v>46</v>
      </c>
      <c r="G348" s="5">
        <v>2</v>
      </c>
      <c r="H348" s="5" t="s">
        <v>53</v>
      </c>
      <c r="I348" s="5" t="s">
        <v>41</v>
      </c>
      <c r="J348" s="7">
        <v>6032</v>
      </c>
      <c r="K348" s="7">
        <f t="shared" si="57"/>
        <v>904.8</v>
      </c>
      <c r="L348" s="7">
        <f t="shared" si="58"/>
        <v>5127.2</v>
      </c>
      <c r="M348" s="7">
        <v>10110</v>
      </c>
      <c r="N348" s="5" t="s">
        <v>35</v>
      </c>
      <c r="O348" s="5">
        <v>15</v>
      </c>
      <c r="P348" s="7">
        <f t="shared" si="59"/>
        <v>6936.7999999999993</v>
      </c>
      <c r="Q348" s="7">
        <f t="shared" si="60"/>
        <v>10857.599999999991</v>
      </c>
      <c r="R348" s="7" t="str">
        <f t="shared" si="61"/>
        <v>Normal</v>
      </c>
      <c r="S348" s="5">
        <v>3</v>
      </c>
      <c r="T348" s="5">
        <v>3</v>
      </c>
      <c r="U348" s="5" t="str" cm="1">
        <f t="array" ref="U348">_xlfn.IFS(T348=1,"Poor",T348=2,"Fair",T348=3,"Good",T348=4,"Excellent")</f>
        <v>Good</v>
      </c>
      <c r="V348" s="5" t="s">
        <v>35</v>
      </c>
      <c r="W348" s="5">
        <v>5</v>
      </c>
      <c r="X348" s="28">
        <f t="shared" ca="1" si="62"/>
        <v>44285</v>
      </c>
      <c r="Y348" s="28">
        <f t="shared" ca="1" si="63"/>
        <v>46476</v>
      </c>
      <c r="Z348" s="28" t="str">
        <f t="shared" ca="1" si="64"/>
        <v>Due Soon</v>
      </c>
      <c r="AA348" s="5" t="str" cm="1">
        <f t="array" ref="AA348">_xlfn.IFS(W348&gt;10,"Veteran",W348&gt;=6,"Experienced",W348&gt;=2,"Developing",W348&gt;=0,"New")</f>
        <v>Developing</v>
      </c>
      <c r="AB348" s="5" t="str" cm="1">
        <f t="array" ref="AB348">_xlfn.IFS(G348=1,"Junior",G348=2,"Mid-Level",G348=3,"Senior",G348=4,"Lead",G348=5,"Principal")&amp;" "&amp;TRIM(PROPER(H348))</f>
        <v>Mid-Level Manufacturing Director</v>
      </c>
      <c r="AC348" s="19" t="str">
        <f t="shared" ca="1" si="65"/>
        <v>Ma-Res-2021-347 is a Mid-Level Manufacturing Director in the Research &amp; Development department, aged 41, single and has been with the Company for 5years</v>
      </c>
    </row>
    <row r="349" spans="1:29">
      <c r="A349" s="18" t="str">
        <f t="shared" ca="1" si="55"/>
        <v>Sa-Sal-2026-348</v>
      </c>
      <c r="B349" s="5">
        <v>47</v>
      </c>
      <c r="C349" s="5" t="str">
        <f t="shared" si="56"/>
        <v>40-49</v>
      </c>
      <c r="D349" s="5" t="s">
        <v>43</v>
      </c>
      <c r="E349" s="5" t="s">
        <v>37</v>
      </c>
      <c r="F349" s="5" t="s">
        <v>46</v>
      </c>
      <c r="G349" s="5">
        <v>2</v>
      </c>
      <c r="H349" s="5" t="s">
        <v>57</v>
      </c>
      <c r="I349" s="5" t="s">
        <v>41</v>
      </c>
      <c r="J349" s="7">
        <v>2976</v>
      </c>
      <c r="K349" s="7">
        <f t="shared" si="57"/>
        <v>208.32000000000002</v>
      </c>
      <c r="L349" s="7">
        <f t="shared" si="58"/>
        <v>2767.68</v>
      </c>
      <c r="M349" s="7">
        <v>25751</v>
      </c>
      <c r="N349" s="5" t="s">
        <v>43</v>
      </c>
      <c r="O349" s="5">
        <v>19</v>
      </c>
      <c r="P349" s="7">
        <f t="shared" si="59"/>
        <v>3541.44</v>
      </c>
      <c r="Q349" s="7">
        <f t="shared" si="60"/>
        <v>6785.2800000000007</v>
      </c>
      <c r="R349" s="7" t="str">
        <f t="shared" si="61"/>
        <v>Normal</v>
      </c>
      <c r="S349" s="5">
        <v>3</v>
      </c>
      <c r="T349" s="5">
        <v>3</v>
      </c>
      <c r="U349" s="5" t="str" cm="1">
        <f t="array" ref="U349">_xlfn.IFS(T349=1,"Poor",T349=2,"Fair",T349=3,"Good",T349=4,"Excellent")</f>
        <v>Good</v>
      </c>
      <c r="V349" s="5" t="s">
        <v>43</v>
      </c>
      <c r="W349" s="5">
        <v>0</v>
      </c>
      <c r="X349" s="28">
        <f t="shared" ca="1" si="62"/>
        <v>46111</v>
      </c>
      <c r="Y349" s="28">
        <f t="shared" ca="1" si="63"/>
        <v>46842</v>
      </c>
      <c r="Z349" s="28" t="str">
        <f t="shared" ca="1" si="64"/>
        <v>Upcoming</v>
      </c>
      <c r="AA349" s="5" t="str" cm="1">
        <f t="array" ref="AA349">_xlfn.IFS(W349&gt;10,"Veteran",W349&gt;=6,"Experienced",W349&gt;=2,"Developing",W349&gt;=0,"New")</f>
        <v>New</v>
      </c>
      <c r="AB349" s="5" t="str" cm="1">
        <f t="array" ref="AB349">_xlfn.IFS(G349=1,"Junior",G349=2,"Mid-Level",G349=3,"Senior",G349=4,"Lead",G349=5,"Principal")&amp;" "&amp;TRIM(PROPER(H349))</f>
        <v>Mid-Level Sales Representative</v>
      </c>
      <c r="AC349" s="19" t="str">
        <f t="shared" ca="1" si="65"/>
        <v>Sa-Sal-2026-348 is a Mid-Level Sales Representative in the Sales department, aged 47, single and has been with the Company for 0years</v>
      </c>
    </row>
    <row r="350" spans="1:29">
      <c r="A350" s="18" t="str">
        <f t="shared" ca="1" si="55"/>
        <v>Re-Res-2025-349</v>
      </c>
      <c r="B350" s="5">
        <v>42</v>
      </c>
      <c r="C350" s="5" t="str">
        <f t="shared" si="56"/>
        <v>40-49</v>
      </c>
      <c r="D350" s="5" t="s">
        <v>43</v>
      </c>
      <c r="E350" s="5" t="s">
        <v>45</v>
      </c>
      <c r="F350" s="5" t="s">
        <v>39</v>
      </c>
      <c r="G350" s="5">
        <v>4</v>
      </c>
      <c r="H350" s="5" t="s">
        <v>58</v>
      </c>
      <c r="I350" s="5" t="s">
        <v>41</v>
      </c>
      <c r="J350" s="7">
        <v>15992</v>
      </c>
      <c r="K350" s="7">
        <f t="shared" si="57"/>
        <v>4797.5999999999995</v>
      </c>
      <c r="L350" s="7">
        <f t="shared" si="58"/>
        <v>11194.400000000001</v>
      </c>
      <c r="M350" s="7">
        <v>15901</v>
      </c>
      <c r="N350" s="5" t="s">
        <v>43</v>
      </c>
      <c r="O350" s="5">
        <v>14</v>
      </c>
      <c r="P350" s="7">
        <f t="shared" si="59"/>
        <v>18230.88</v>
      </c>
      <c r="Q350" s="7">
        <f t="shared" si="60"/>
        <v>26866.560000000012</v>
      </c>
      <c r="R350" s="7" t="str">
        <f t="shared" si="61"/>
        <v>Normal</v>
      </c>
      <c r="S350" s="5">
        <v>3</v>
      </c>
      <c r="T350" s="5">
        <v>3</v>
      </c>
      <c r="U350" s="5" t="str" cm="1">
        <f t="array" ref="U350">_xlfn.IFS(T350=1,"Poor",T350=2,"Fair",T350=3,"Good",T350=4,"Excellent")</f>
        <v>Good</v>
      </c>
      <c r="V350" s="5" t="s">
        <v>43</v>
      </c>
      <c r="W350" s="5">
        <v>1</v>
      </c>
      <c r="X350" s="28">
        <f t="shared" ca="1" si="62"/>
        <v>45746</v>
      </c>
      <c r="Y350" s="28">
        <f t="shared" ca="1" si="63"/>
        <v>46476</v>
      </c>
      <c r="Z350" s="28" t="str">
        <f t="shared" ca="1" si="64"/>
        <v>Due Soon</v>
      </c>
      <c r="AA350" s="5" t="str" cm="1">
        <f t="array" ref="AA350">_xlfn.IFS(W350&gt;10,"Veteran",W350&gt;=6,"Experienced",W350&gt;=2,"Developing",W350&gt;=0,"New")</f>
        <v>New</v>
      </c>
      <c r="AB350" s="5" t="str" cm="1">
        <f t="array" ref="AB350">_xlfn.IFS(G350=1,"Junior",G350=2,"Mid-Level",G350=3,"Senior",G350=4,"Lead",G350=5,"Principal")&amp;" "&amp;TRIM(PROPER(H350))</f>
        <v>Lead Research Director</v>
      </c>
      <c r="AC350" s="19" t="str">
        <f t="shared" ca="1" si="65"/>
        <v>Re-Res-2025-349 is a Lead Research Director in the Research &amp; Development department, aged 42, single and has been with the Company for 1years</v>
      </c>
    </row>
    <row r="351" spans="1:29">
      <c r="A351" s="18" t="str">
        <f t="shared" ca="1" si="55"/>
        <v>Sa-Sal-2022-350</v>
      </c>
      <c r="B351" s="5">
        <v>29</v>
      </c>
      <c r="C351" s="5" t="str">
        <f t="shared" si="56"/>
        <v>20-29</v>
      </c>
      <c r="D351" s="5" t="s">
        <v>43</v>
      </c>
      <c r="E351" s="5" t="s">
        <v>37</v>
      </c>
      <c r="F351" s="5" t="s">
        <v>46</v>
      </c>
      <c r="G351" s="5">
        <v>2</v>
      </c>
      <c r="H351" s="5" t="s">
        <v>40</v>
      </c>
      <c r="I351" s="5" t="s">
        <v>48</v>
      </c>
      <c r="J351" s="7">
        <v>4649</v>
      </c>
      <c r="K351" s="7">
        <f t="shared" si="57"/>
        <v>697.35</v>
      </c>
      <c r="L351" s="7">
        <f t="shared" si="58"/>
        <v>3951.65</v>
      </c>
      <c r="M351" s="7">
        <v>16928</v>
      </c>
      <c r="N351" s="5" t="s">
        <v>43</v>
      </c>
      <c r="O351" s="5">
        <v>14</v>
      </c>
      <c r="P351" s="7">
        <f t="shared" si="59"/>
        <v>5299.8600000000006</v>
      </c>
      <c r="Q351" s="7">
        <f t="shared" si="60"/>
        <v>7810.320000000007</v>
      </c>
      <c r="R351" s="7" t="str">
        <f t="shared" si="61"/>
        <v>Normal</v>
      </c>
      <c r="S351" s="5">
        <v>3</v>
      </c>
      <c r="T351" s="5">
        <v>2</v>
      </c>
      <c r="U351" s="5" t="str" cm="1">
        <f t="array" ref="U351">_xlfn.IFS(T351=1,"Poor",T351=2,"Fair",T351=3,"Good",T351=4,"Excellent")</f>
        <v>Fair</v>
      </c>
      <c r="V351" s="5" t="s">
        <v>43</v>
      </c>
      <c r="W351" s="5">
        <v>4</v>
      </c>
      <c r="X351" s="28">
        <f t="shared" ca="1" si="62"/>
        <v>44650</v>
      </c>
      <c r="Y351" s="28">
        <f t="shared" ca="1" si="63"/>
        <v>46842</v>
      </c>
      <c r="Z351" s="28" t="str">
        <f t="shared" ca="1" si="64"/>
        <v>Upcoming</v>
      </c>
      <c r="AA351" s="5" t="str" cm="1">
        <f t="array" ref="AA351">_xlfn.IFS(W351&gt;10,"Veteran",W351&gt;=6,"Experienced",W351&gt;=2,"Developing",W351&gt;=0,"New")</f>
        <v>Developing</v>
      </c>
      <c r="AB351" s="5" t="str" cm="1">
        <f t="array" ref="AB351">_xlfn.IFS(G351=1,"Junior",G351=2,"Mid-Level",G351=3,"Senior",G351=4,"Lead",G351=5,"Principal")&amp;" "&amp;TRIM(PROPER(H351))</f>
        <v>Mid-Level Sales Executive</v>
      </c>
      <c r="AC351" s="19" t="str">
        <f t="shared" ca="1" si="65"/>
        <v>Sa-Sal-2022-350 is a Mid-Level Sales Executive in the Sales department, aged 29, married and has been with the Company for 4years</v>
      </c>
    </row>
    <row r="352" spans="1:29">
      <c r="A352" s="18" t="str">
        <f t="shared" ca="1" si="55"/>
        <v>Hu-Hum-2023-351</v>
      </c>
      <c r="B352" s="5">
        <v>42</v>
      </c>
      <c r="C352" s="5" t="str">
        <f t="shared" si="56"/>
        <v>40-49</v>
      </c>
      <c r="D352" s="5" t="s">
        <v>43</v>
      </c>
      <c r="E352" s="5" t="s">
        <v>61</v>
      </c>
      <c r="F352" s="5" t="s">
        <v>46</v>
      </c>
      <c r="G352" s="5">
        <v>1</v>
      </c>
      <c r="H352" s="5" t="s">
        <v>61</v>
      </c>
      <c r="I352" s="5" t="s">
        <v>52</v>
      </c>
      <c r="J352" s="7">
        <v>2696</v>
      </c>
      <c r="K352" s="7">
        <f t="shared" si="57"/>
        <v>188.72000000000003</v>
      </c>
      <c r="L352" s="7">
        <f t="shared" si="58"/>
        <v>2507.2799999999997</v>
      </c>
      <c r="M352" s="7">
        <v>24017</v>
      </c>
      <c r="N352" s="5" t="s">
        <v>35</v>
      </c>
      <c r="O352" s="5">
        <v>11</v>
      </c>
      <c r="P352" s="7">
        <f t="shared" si="59"/>
        <v>2992.5600000000004</v>
      </c>
      <c r="Q352" s="7">
        <f t="shared" si="60"/>
        <v>3558.7200000000048</v>
      </c>
      <c r="R352" s="7" t="str">
        <f t="shared" si="61"/>
        <v>Normal</v>
      </c>
      <c r="S352" s="5">
        <v>3</v>
      </c>
      <c r="T352" s="5">
        <v>3</v>
      </c>
      <c r="U352" s="5" t="str" cm="1">
        <f t="array" ref="U352">_xlfn.IFS(T352=1,"Poor",T352=2,"Fair",T352=3,"Good",T352=4,"Excellent")</f>
        <v>Good</v>
      </c>
      <c r="V352" s="5" t="s">
        <v>35</v>
      </c>
      <c r="W352" s="5">
        <v>3</v>
      </c>
      <c r="X352" s="28">
        <f t="shared" ca="1" si="62"/>
        <v>45015</v>
      </c>
      <c r="Y352" s="28">
        <f t="shared" ca="1" si="63"/>
        <v>46476</v>
      </c>
      <c r="Z352" s="28" t="str">
        <f t="shared" ca="1" si="64"/>
        <v>Due Soon</v>
      </c>
      <c r="AA352" s="5" t="str" cm="1">
        <f t="array" ref="AA352">_xlfn.IFS(W352&gt;10,"Veteran",W352&gt;=6,"Experienced",W352&gt;=2,"Developing",W352&gt;=0,"New")</f>
        <v>Developing</v>
      </c>
      <c r="AB352" s="5" t="str" cm="1">
        <f t="array" ref="AB352">_xlfn.IFS(G352=1,"Junior",G352=2,"Mid-Level",G352=3,"Senior",G352=4,"Lead",G352=5,"Principal")&amp;" "&amp;TRIM(PROPER(H352))</f>
        <v>Junior Human Resources</v>
      </c>
      <c r="AC352" s="19" t="str">
        <f t="shared" ca="1" si="65"/>
        <v>Hu-Hum-2023-351 is a Junior Human Resources in the Human Resources department, aged 42, divorced and has been with the Company for 3years</v>
      </c>
    </row>
    <row r="353" spans="1:29">
      <c r="A353" s="18" t="str">
        <f t="shared" ca="1" si="55"/>
        <v>La-Res-2018-352</v>
      </c>
      <c r="B353" s="5">
        <v>32</v>
      </c>
      <c r="C353" s="5" t="str">
        <f t="shared" si="56"/>
        <v>30-39</v>
      </c>
      <c r="D353" s="5" t="s">
        <v>43</v>
      </c>
      <c r="E353" s="5" t="s">
        <v>45</v>
      </c>
      <c r="F353" s="5" t="s">
        <v>39</v>
      </c>
      <c r="G353" s="5">
        <v>1</v>
      </c>
      <c r="H353" s="5" t="s">
        <v>50</v>
      </c>
      <c r="I353" s="5" t="s">
        <v>48</v>
      </c>
      <c r="J353" s="7">
        <v>2370</v>
      </c>
      <c r="K353" s="7">
        <f t="shared" si="57"/>
        <v>165.9</v>
      </c>
      <c r="L353" s="7">
        <f t="shared" si="58"/>
        <v>2204.1</v>
      </c>
      <c r="M353" s="7">
        <v>3956</v>
      </c>
      <c r="N353" s="5" t="s">
        <v>43</v>
      </c>
      <c r="O353" s="5">
        <v>13</v>
      </c>
      <c r="P353" s="7">
        <f t="shared" si="59"/>
        <v>2678.1</v>
      </c>
      <c r="Q353" s="7">
        <f t="shared" si="60"/>
        <v>3697.1999999999989</v>
      </c>
      <c r="R353" s="7" t="str">
        <f t="shared" si="61"/>
        <v>Normal</v>
      </c>
      <c r="S353" s="5">
        <v>3</v>
      </c>
      <c r="T353" s="5">
        <v>3</v>
      </c>
      <c r="U353" s="5" t="str" cm="1">
        <f t="array" ref="U353">_xlfn.IFS(T353=1,"Poor",T353=2,"Fair",T353=3,"Good",T353=4,"Excellent")</f>
        <v>Good</v>
      </c>
      <c r="V353" s="5" t="s">
        <v>43</v>
      </c>
      <c r="W353" s="5">
        <v>8</v>
      </c>
      <c r="X353" s="28">
        <f t="shared" ca="1" si="62"/>
        <v>43189</v>
      </c>
      <c r="Y353" s="28">
        <f t="shared" ca="1" si="63"/>
        <v>46842</v>
      </c>
      <c r="Z353" s="28" t="str">
        <f t="shared" ca="1" si="64"/>
        <v>Upcoming</v>
      </c>
      <c r="AA353" s="5" t="str" cm="1">
        <f t="array" ref="AA353">_xlfn.IFS(W353&gt;10,"Veteran",W353&gt;=6,"Experienced",W353&gt;=2,"Developing",W353&gt;=0,"New")</f>
        <v>Experienced</v>
      </c>
      <c r="AB353" s="5" t="str" cm="1">
        <f t="array" ref="AB353">_xlfn.IFS(G353=1,"Junior",G353=2,"Mid-Level",G353=3,"Senior",G353=4,"Lead",G353=5,"Principal")&amp;" "&amp;TRIM(PROPER(H353))</f>
        <v>Junior Laboratory Technician</v>
      </c>
      <c r="AC353" s="19" t="str">
        <f t="shared" ca="1" si="65"/>
        <v>La-Res-2018-352 is a Junior Laboratory Technician in the Research &amp; Development department, aged 32, married and has been with the Company for 8years</v>
      </c>
    </row>
    <row r="354" spans="1:29">
      <c r="A354" s="18" t="str">
        <f t="shared" ca="1" si="55"/>
        <v>Ma-Sal-2026-353</v>
      </c>
      <c r="B354" s="5">
        <v>48</v>
      </c>
      <c r="C354" s="5" t="str">
        <f t="shared" si="56"/>
        <v>40-49</v>
      </c>
      <c r="D354" s="5" t="s">
        <v>43</v>
      </c>
      <c r="E354" s="5" t="s">
        <v>37</v>
      </c>
      <c r="F354" s="5" t="s">
        <v>39</v>
      </c>
      <c r="G354" s="5">
        <v>3</v>
      </c>
      <c r="H354" s="5" t="s">
        <v>56</v>
      </c>
      <c r="I354" s="5" t="s">
        <v>48</v>
      </c>
      <c r="J354" s="7">
        <v>12504</v>
      </c>
      <c r="K354" s="7">
        <f t="shared" si="57"/>
        <v>2750.88</v>
      </c>
      <c r="L354" s="7">
        <f t="shared" si="58"/>
        <v>9753.119999999999</v>
      </c>
      <c r="M354" s="7">
        <v>23978</v>
      </c>
      <c r="N354" s="5" t="s">
        <v>43</v>
      </c>
      <c r="O354" s="5">
        <v>21</v>
      </c>
      <c r="P354" s="7">
        <f t="shared" si="59"/>
        <v>15129.84</v>
      </c>
      <c r="Q354" s="7">
        <f t="shared" si="60"/>
        <v>31510.080000000002</v>
      </c>
      <c r="R354" s="7" t="str">
        <f t="shared" si="61"/>
        <v>Normal</v>
      </c>
      <c r="S354" s="5">
        <v>4</v>
      </c>
      <c r="T354" s="5">
        <v>1</v>
      </c>
      <c r="U354" s="5" t="str" cm="1">
        <f t="array" ref="U354">_xlfn.IFS(T354=1,"Poor",T354=2,"Fair",T354=3,"Good",T354=4,"Excellent")</f>
        <v>Poor</v>
      </c>
      <c r="V354" s="5" t="s">
        <v>43</v>
      </c>
      <c r="W354" s="5">
        <v>0</v>
      </c>
      <c r="X354" s="28">
        <f t="shared" ca="1" si="62"/>
        <v>46111</v>
      </c>
      <c r="Y354" s="28">
        <f t="shared" ca="1" si="63"/>
        <v>46842</v>
      </c>
      <c r="Z354" s="28" t="str">
        <f t="shared" ca="1" si="64"/>
        <v>Upcoming</v>
      </c>
      <c r="AA354" s="5" t="str" cm="1">
        <f t="array" ref="AA354">_xlfn.IFS(W354&gt;10,"Veteran",W354&gt;=6,"Experienced",W354&gt;=2,"Developing",W354&gt;=0,"New")</f>
        <v>New</v>
      </c>
      <c r="AB354" s="5" t="str" cm="1">
        <f t="array" ref="AB354">_xlfn.IFS(G354=1,"Junior",G354=2,"Mid-Level",G354=3,"Senior",G354=4,"Lead",G354=5,"Principal")&amp;" "&amp;TRIM(PROPER(H354))</f>
        <v>Senior Manager</v>
      </c>
      <c r="AC354" s="19" t="str">
        <f t="shared" ca="1" si="65"/>
        <v>Ma-Sal-2026-353 is a Senior Manager in the Sales department, aged 48, married and has been with the Company for 0years</v>
      </c>
    </row>
    <row r="355" spans="1:29">
      <c r="A355" s="18" t="str">
        <f t="shared" ca="1" si="55"/>
        <v>Re-Res-2019-354</v>
      </c>
      <c r="B355" s="5">
        <v>37</v>
      </c>
      <c r="C355" s="5" t="str">
        <f t="shared" si="56"/>
        <v>30-39</v>
      </c>
      <c r="D355" s="5" t="s">
        <v>43</v>
      </c>
      <c r="E355" s="5" t="s">
        <v>45</v>
      </c>
      <c r="F355" s="5" t="s">
        <v>46</v>
      </c>
      <c r="G355" s="5">
        <v>2</v>
      </c>
      <c r="H355" s="5" t="s">
        <v>47</v>
      </c>
      <c r="I355" s="5" t="s">
        <v>52</v>
      </c>
      <c r="J355" s="7">
        <v>5974</v>
      </c>
      <c r="K355" s="7">
        <f t="shared" si="57"/>
        <v>896.1</v>
      </c>
      <c r="L355" s="7">
        <f t="shared" si="58"/>
        <v>5077.8999999999996</v>
      </c>
      <c r="M355" s="7">
        <v>17001</v>
      </c>
      <c r="N355" s="5" t="s">
        <v>35</v>
      </c>
      <c r="O355" s="5">
        <v>13</v>
      </c>
      <c r="P355" s="7">
        <f t="shared" si="59"/>
        <v>6750.619999999999</v>
      </c>
      <c r="Q355" s="7">
        <f t="shared" si="60"/>
        <v>9319.4399999999878</v>
      </c>
      <c r="R355" s="7" t="str">
        <f t="shared" si="61"/>
        <v>Normal</v>
      </c>
      <c r="S355" s="5">
        <v>3</v>
      </c>
      <c r="T355" s="5">
        <v>3</v>
      </c>
      <c r="U355" s="5" t="str" cm="1">
        <f t="array" ref="U355">_xlfn.IFS(T355=1,"Poor",T355=2,"Fair",T355=3,"Good",T355=4,"Excellent")</f>
        <v>Good</v>
      </c>
      <c r="V355" s="5" t="s">
        <v>35</v>
      </c>
      <c r="W355" s="5">
        <v>7</v>
      </c>
      <c r="X355" s="28">
        <f t="shared" ca="1" si="62"/>
        <v>43554</v>
      </c>
      <c r="Y355" s="28">
        <f t="shared" ca="1" si="63"/>
        <v>46476</v>
      </c>
      <c r="Z355" s="28" t="str">
        <f t="shared" ca="1" si="64"/>
        <v>Due Soon</v>
      </c>
      <c r="AA355" s="5" t="str" cm="1">
        <f t="array" ref="AA355">_xlfn.IFS(W355&gt;10,"Veteran",W355&gt;=6,"Experienced",W355&gt;=2,"Developing",W355&gt;=0,"New")</f>
        <v>Experienced</v>
      </c>
      <c r="AB355" s="5" t="str" cm="1">
        <f t="array" ref="AB355">_xlfn.IFS(G355=1,"Junior",G355=2,"Mid-Level",G355=3,"Senior",G355=4,"Lead",G355=5,"Principal")&amp;" "&amp;TRIM(PROPER(H355))</f>
        <v>Mid-Level Research Scientist</v>
      </c>
      <c r="AC355" s="19" t="str">
        <f t="shared" ca="1" si="65"/>
        <v>Re-Res-2019-354 is a Mid-Level Research Scientist in the Research &amp; Development department, aged 37, divorced and has been with the Company for 7years</v>
      </c>
    </row>
    <row r="356" spans="1:29">
      <c r="A356" s="18" t="str">
        <f t="shared" ca="1" si="55"/>
        <v>Sa-Sal-2024-355</v>
      </c>
      <c r="B356" s="5">
        <v>30</v>
      </c>
      <c r="C356" s="5" t="str">
        <f t="shared" si="56"/>
        <v>30-39</v>
      </c>
      <c r="D356" s="5" t="s">
        <v>43</v>
      </c>
      <c r="E356" s="5" t="s">
        <v>37</v>
      </c>
      <c r="F356" s="5" t="s">
        <v>39</v>
      </c>
      <c r="G356" s="5">
        <v>2</v>
      </c>
      <c r="H356" s="5" t="s">
        <v>40</v>
      </c>
      <c r="I356" s="5" t="s">
        <v>48</v>
      </c>
      <c r="J356" s="7">
        <v>4736</v>
      </c>
      <c r="K356" s="7">
        <f t="shared" si="57"/>
        <v>710.4</v>
      </c>
      <c r="L356" s="7">
        <f t="shared" si="58"/>
        <v>4025.6</v>
      </c>
      <c r="M356" s="7">
        <v>6069</v>
      </c>
      <c r="N356" s="5" t="s">
        <v>35</v>
      </c>
      <c r="O356" s="5">
        <v>12</v>
      </c>
      <c r="P356" s="7">
        <f t="shared" si="59"/>
        <v>5304.3200000000006</v>
      </c>
      <c r="Q356" s="7">
        <f t="shared" si="60"/>
        <v>6819.8400000000074</v>
      </c>
      <c r="R356" s="7" t="str">
        <f t="shared" si="61"/>
        <v>Normal</v>
      </c>
      <c r="S356" s="5">
        <v>3</v>
      </c>
      <c r="T356" s="5">
        <v>4</v>
      </c>
      <c r="U356" s="5" t="str" cm="1">
        <f t="array" ref="U356">_xlfn.IFS(T356=1,"Poor",T356=2,"Fair",T356=3,"Good",T356=4,"Excellent")</f>
        <v>Excellent</v>
      </c>
      <c r="V356" s="5" t="s">
        <v>35</v>
      </c>
      <c r="W356" s="5">
        <v>2</v>
      </c>
      <c r="X356" s="28">
        <f t="shared" ca="1" si="62"/>
        <v>45381</v>
      </c>
      <c r="Y356" s="28">
        <f t="shared" ca="1" si="63"/>
        <v>46842</v>
      </c>
      <c r="Z356" s="28" t="str">
        <f t="shared" ca="1" si="64"/>
        <v>Upcoming</v>
      </c>
      <c r="AA356" s="5" t="str" cm="1">
        <f t="array" ref="AA356">_xlfn.IFS(W356&gt;10,"Veteran",W356&gt;=6,"Experienced",W356&gt;=2,"Developing",W356&gt;=0,"New")</f>
        <v>Developing</v>
      </c>
      <c r="AB356" s="5" t="str" cm="1">
        <f t="array" ref="AB356">_xlfn.IFS(G356=1,"Junior",G356=2,"Mid-Level",G356=3,"Senior",G356=4,"Lead",G356=5,"Principal")&amp;" "&amp;TRIM(PROPER(H356))</f>
        <v>Mid-Level Sales Executive</v>
      </c>
      <c r="AC356" s="19" t="str">
        <f t="shared" ca="1" si="65"/>
        <v>Sa-Sal-2024-355 is a Mid-Level Sales Executive in the Sales department, aged 30, married and has been with the Company for 2years</v>
      </c>
    </row>
    <row r="357" spans="1:29">
      <c r="A357" s="18" t="str">
        <f t="shared" ca="1" si="55"/>
        <v>Sa-Sal-2018-356</v>
      </c>
      <c r="B357" s="5">
        <v>26</v>
      </c>
      <c r="C357" s="5" t="str">
        <f t="shared" si="56"/>
        <v>20-29</v>
      </c>
      <c r="D357" s="5" t="s">
        <v>43</v>
      </c>
      <c r="E357" s="5" t="s">
        <v>37</v>
      </c>
      <c r="F357" s="5" t="s">
        <v>46</v>
      </c>
      <c r="G357" s="5">
        <v>2</v>
      </c>
      <c r="H357" s="5" t="s">
        <v>40</v>
      </c>
      <c r="I357" s="5" t="s">
        <v>48</v>
      </c>
      <c r="J357" s="7">
        <v>5296</v>
      </c>
      <c r="K357" s="7">
        <f t="shared" si="57"/>
        <v>794.4</v>
      </c>
      <c r="L357" s="7">
        <f t="shared" si="58"/>
        <v>4501.6000000000004</v>
      </c>
      <c r="M357" s="7">
        <v>20156</v>
      </c>
      <c r="N357" s="5" t="s">
        <v>43</v>
      </c>
      <c r="O357" s="5">
        <v>17</v>
      </c>
      <c r="P357" s="7">
        <f t="shared" si="59"/>
        <v>6196.32</v>
      </c>
      <c r="Q357" s="7">
        <f t="shared" si="60"/>
        <v>10803.839999999997</v>
      </c>
      <c r="R357" s="7" t="str">
        <f t="shared" si="61"/>
        <v>Normal</v>
      </c>
      <c r="S357" s="5">
        <v>3</v>
      </c>
      <c r="T357" s="5">
        <v>3</v>
      </c>
      <c r="U357" s="5" t="str" cm="1">
        <f t="array" ref="U357">_xlfn.IFS(T357=1,"Poor",T357=2,"Fair",T357=3,"Good",T357=4,"Excellent")</f>
        <v>Good</v>
      </c>
      <c r="V357" s="5" t="s">
        <v>43</v>
      </c>
      <c r="W357" s="5">
        <v>8</v>
      </c>
      <c r="X357" s="28">
        <f t="shared" ca="1" si="62"/>
        <v>43189</v>
      </c>
      <c r="Y357" s="28">
        <f t="shared" ca="1" si="63"/>
        <v>46842</v>
      </c>
      <c r="Z357" s="28" t="str">
        <f t="shared" ca="1" si="64"/>
        <v>Upcoming</v>
      </c>
      <c r="AA357" s="5" t="str" cm="1">
        <f t="array" ref="AA357">_xlfn.IFS(W357&gt;10,"Veteran",W357&gt;=6,"Experienced",W357&gt;=2,"Developing",W357&gt;=0,"New")</f>
        <v>Experienced</v>
      </c>
      <c r="AB357" s="5" t="str" cm="1">
        <f t="array" ref="AB357">_xlfn.IFS(G357=1,"Junior",G357=2,"Mid-Level",G357=3,"Senior",G357=4,"Lead",G357=5,"Principal")&amp;" "&amp;TRIM(PROPER(H357))</f>
        <v>Mid-Level Sales Executive</v>
      </c>
      <c r="AC357" s="19" t="str">
        <f t="shared" ca="1" si="65"/>
        <v>Sa-Sal-2018-356 is a Mid-Level Sales Executive in the Sales department, aged 26, married and has been with the Company for 8years</v>
      </c>
    </row>
    <row r="358" spans="1:29">
      <c r="A358" s="18" t="str">
        <f t="shared" ca="1" si="55"/>
        <v>He-Res-2025-357</v>
      </c>
      <c r="B358" s="5">
        <v>42</v>
      </c>
      <c r="C358" s="5" t="str">
        <f t="shared" si="56"/>
        <v>40-49</v>
      </c>
      <c r="D358" s="5" t="s">
        <v>43</v>
      </c>
      <c r="E358" s="5" t="s">
        <v>45</v>
      </c>
      <c r="F358" s="5" t="s">
        <v>46</v>
      </c>
      <c r="G358" s="5">
        <v>2</v>
      </c>
      <c r="H358" s="5" t="s">
        <v>54</v>
      </c>
      <c r="I358" s="5" t="s">
        <v>41</v>
      </c>
      <c r="J358" s="7">
        <v>6781</v>
      </c>
      <c r="K358" s="7">
        <f t="shared" si="57"/>
        <v>1017.15</v>
      </c>
      <c r="L358" s="7">
        <f t="shared" si="58"/>
        <v>5763.85</v>
      </c>
      <c r="M358" s="7">
        <v>17078</v>
      </c>
      <c r="N358" s="5" t="s">
        <v>43</v>
      </c>
      <c r="O358" s="5">
        <v>23</v>
      </c>
      <c r="P358" s="7">
        <f t="shared" si="59"/>
        <v>8340.6299999999992</v>
      </c>
      <c r="Q358" s="7">
        <f t="shared" si="60"/>
        <v>18715.55999999999</v>
      </c>
      <c r="R358" s="7" t="str">
        <f t="shared" si="61"/>
        <v>Normal</v>
      </c>
      <c r="S358" s="5">
        <v>4</v>
      </c>
      <c r="T358" s="5">
        <v>3</v>
      </c>
      <c r="U358" s="5" t="str" cm="1">
        <f t="array" ref="U358">_xlfn.IFS(T358=1,"Poor",T358=2,"Fair",T358=3,"Good",T358=4,"Excellent")</f>
        <v>Good</v>
      </c>
      <c r="V358" s="5" t="s">
        <v>43</v>
      </c>
      <c r="W358" s="5">
        <v>1</v>
      </c>
      <c r="X358" s="28">
        <f t="shared" ca="1" si="62"/>
        <v>45746</v>
      </c>
      <c r="Y358" s="28">
        <f t="shared" ca="1" si="63"/>
        <v>46476</v>
      </c>
      <c r="Z358" s="28" t="str">
        <f t="shared" ca="1" si="64"/>
        <v>Due Soon</v>
      </c>
      <c r="AA358" s="5" t="str" cm="1">
        <f t="array" ref="AA358">_xlfn.IFS(W358&gt;10,"Veteran",W358&gt;=6,"Experienced",W358&gt;=2,"Developing",W358&gt;=0,"New")</f>
        <v>New</v>
      </c>
      <c r="AB358" s="5" t="str" cm="1">
        <f t="array" ref="AB358">_xlfn.IFS(G358=1,"Junior",G358=2,"Mid-Level",G358=3,"Senior",G358=4,"Lead",G358=5,"Principal")&amp;" "&amp;TRIM(PROPER(H358))</f>
        <v>Mid-Level Healthcare Representative</v>
      </c>
      <c r="AC358" s="19" t="str">
        <f t="shared" ca="1" si="65"/>
        <v>He-Res-2025-357 is a Mid-Level Healthcare Representative in the Research &amp; Development department, aged 42, single and has been with the Company for 1years</v>
      </c>
    </row>
    <row r="359" spans="1:29">
      <c r="A359" s="18" t="str">
        <f t="shared" ca="1" si="55"/>
        <v>Sa-Sal-2023-358</v>
      </c>
      <c r="B359" s="5">
        <v>21</v>
      </c>
      <c r="C359" s="5" t="str">
        <f t="shared" si="56"/>
        <v>20-29</v>
      </c>
      <c r="D359" s="5" t="s">
        <v>35</v>
      </c>
      <c r="E359" s="5" t="s">
        <v>37</v>
      </c>
      <c r="F359" s="5" t="s">
        <v>39</v>
      </c>
      <c r="G359" s="5">
        <v>1</v>
      </c>
      <c r="H359" s="5" t="s">
        <v>57</v>
      </c>
      <c r="I359" s="5" t="s">
        <v>41</v>
      </c>
      <c r="J359" s="7">
        <v>2174</v>
      </c>
      <c r="K359" s="7">
        <f t="shared" si="57"/>
        <v>152.18</v>
      </c>
      <c r="L359" s="7">
        <f t="shared" si="58"/>
        <v>2021.82</v>
      </c>
      <c r="M359" s="7">
        <v>9150</v>
      </c>
      <c r="N359" s="5" t="s">
        <v>35</v>
      </c>
      <c r="O359" s="5">
        <v>11</v>
      </c>
      <c r="P359" s="7">
        <f t="shared" si="59"/>
        <v>2413.1400000000003</v>
      </c>
      <c r="Q359" s="7">
        <f t="shared" si="60"/>
        <v>2869.6800000000039</v>
      </c>
      <c r="R359" s="7" t="str">
        <f t="shared" si="61"/>
        <v>Normal</v>
      </c>
      <c r="S359" s="5">
        <v>3</v>
      </c>
      <c r="T359" s="5">
        <v>3</v>
      </c>
      <c r="U359" s="5" t="str" cm="1">
        <f t="array" ref="U359">_xlfn.IFS(T359=1,"Poor",T359=2,"Fair",T359=3,"Good",T359=4,"Excellent")</f>
        <v>Good</v>
      </c>
      <c r="V359" s="5" t="s">
        <v>35</v>
      </c>
      <c r="W359" s="5">
        <v>3</v>
      </c>
      <c r="X359" s="28">
        <f t="shared" ca="1" si="62"/>
        <v>45015</v>
      </c>
      <c r="Y359" s="28">
        <f t="shared" ca="1" si="63"/>
        <v>46476</v>
      </c>
      <c r="Z359" s="28" t="str">
        <f t="shared" ca="1" si="64"/>
        <v>Due Soon</v>
      </c>
      <c r="AA359" s="5" t="str" cm="1">
        <f t="array" ref="AA359">_xlfn.IFS(W359&gt;10,"Veteran",W359&gt;=6,"Experienced",W359&gt;=2,"Developing",W359&gt;=0,"New")</f>
        <v>Developing</v>
      </c>
      <c r="AB359" s="5" t="str" cm="1">
        <f t="array" ref="AB359">_xlfn.IFS(G359=1,"Junior",G359=2,"Mid-Level",G359=3,"Senior",G359=4,"Lead",G359=5,"Principal")&amp;" "&amp;TRIM(PROPER(H359))</f>
        <v>Junior Sales Representative</v>
      </c>
      <c r="AC359" s="19" t="str">
        <f t="shared" ca="1" si="65"/>
        <v>Sa-Sal-2023-358 is a Junior Sales Representative in the Sales department, aged 21, single and has been with the Company for 3years</v>
      </c>
    </row>
    <row r="360" spans="1:29">
      <c r="A360" s="18" t="str">
        <f t="shared" ca="1" si="55"/>
        <v>Sa-Sal-2025-359</v>
      </c>
      <c r="B360" s="5">
        <v>36</v>
      </c>
      <c r="C360" s="5" t="str">
        <f t="shared" si="56"/>
        <v>30-39</v>
      </c>
      <c r="D360" s="5" t="s">
        <v>43</v>
      </c>
      <c r="E360" s="5" t="s">
        <v>37</v>
      </c>
      <c r="F360" s="5" t="s">
        <v>39</v>
      </c>
      <c r="G360" s="5">
        <v>2</v>
      </c>
      <c r="H360" s="5" t="s">
        <v>40</v>
      </c>
      <c r="I360" s="5" t="s">
        <v>41</v>
      </c>
      <c r="J360" s="7">
        <v>6653</v>
      </c>
      <c r="K360" s="7">
        <f t="shared" si="57"/>
        <v>997.94999999999993</v>
      </c>
      <c r="L360" s="7">
        <f t="shared" si="58"/>
        <v>5655.05</v>
      </c>
      <c r="M360" s="7">
        <v>15276</v>
      </c>
      <c r="N360" s="5" t="s">
        <v>43</v>
      </c>
      <c r="O360" s="5">
        <v>15</v>
      </c>
      <c r="P360" s="7">
        <f t="shared" si="59"/>
        <v>7650.95</v>
      </c>
      <c r="Q360" s="7">
        <f t="shared" si="60"/>
        <v>11975.399999999998</v>
      </c>
      <c r="R360" s="7" t="str">
        <f t="shared" si="61"/>
        <v>Normal</v>
      </c>
      <c r="S360" s="5">
        <v>3</v>
      </c>
      <c r="T360" s="5">
        <v>3</v>
      </c>
      <c r="U360" s="5" t="str" cm="1">
        <f t="array" ref="U360">_xlfn.IFS(T360=1,"Poor",T360=2,"Fair",T360=3,"Good",T360=4,"Excellent")</f>
        <v>Good</v>
      </c>
      <c r="V360" s="5" t="s">
        <v>43</v>
      </c>
      <c r="W360" s="5">
        <v>1</v>
      </c>
      <c r="X360" s="28">
        <f t="shared" ca="1" si="62"/>
        <v>45746</v>
      </c>
      <c r="Y360" s="28">
        <f t="shared" ca="1" si="63"/>
        <v>46476</v>
      </c>
      <c r="Z360" s="28" t="str">
        <f t="shared" ca="1" si="64"/>
        <v>Due Soon</v>
      </c>
      <c r="AA360" s="5" t="str" cm="1">
        <f t="array" ref="AA360">_xlfn.IFS(W360&gt;10,"Veteran",W360&gt;=6,"Experienced",W360&gt;=2,"Developing",W360&gt;=0,"New")</f>
        <v>New</v>
      </c>
      <c r="AB360" s="5" t="str" cm="1">
        <f t="array" ref="AB360">_xlfn.IFS(G360=1,"Junior",G360=2,"Mid-Level",G360=3,"Senior",G360=4,"Lead",G360=5,"Principal")&amp;" "&amp;TRIM(PROPER(H360))</f>
        <v>Mid-Level Sales Executive</v>
      </c>
      <c r="AC360" s="19" t="str">
        <f t="shared" ca="1" si="65"/>
        <v>Sa-Sal-2025-359 is a Mid-Level Sales Executive in the Sales department, aged 36, single and has been with the Company for 1years</v>
      </c>
    </row>
    <row r="361" spans="1:29">
      <c r="A361" s="18" t="str">
        <f t="shared" ca="1" si="55"/>
        <v>Sa-Sal-2013-360</v>
      </c>
      <c r="B361" s="5">
        <v>36</v>
      </c>
      <c r="C361" s="5" t="str">
        <f t="shared" si="56"/>
        <v>30-39</v>
      </c>
      <c r="D361" s="5" t="s">
        <v>43</v>
      </c>
      <c r="E361" s="5" t="s">
        <v>37</v>
      </c>
      <c r="F361" s="5" t="s">
        <v>46</v>
      </c>
      <c r="G361" s="5">
        <v>3</v>
      </c>
      <c r="H361" s="5" t="s">
        <v>40</v>
      </c>
      <c r="I361" s="5" t="s">
        <v>48</v>
      </c>
      <c r="J361" s="7">
        <v>9699</v>
      </c>
      <c r="K361" s="7">
        <f t="shared" si="57"/>
        <v>2133.7800000000002</v>
      </c>
      <c r="L361" s="7">
        <f t="shared" si="58"/>
        <v>7565.2199999999993</v>
      </c>
      <c r="M361" s="7">
        <v>7246</v>
      </c>
      <c r="N361" s="5" t="s">
        <v>43</v>
      </c>
      <c r="O361" s="5">
        <v>11</v>
      </c>
      <c r="P361" s="7">
        <f t="shared" si="59"/>
        <v>10765.890000000001</v>
      </c>
      <c r="Q361" s="7">
        <f t="shared" si="60"/>
        <v>12802.680000000015</v>
      </c>
      <c r="R361" s="7" t="str">
        <f t="shared" si="61"/>
        <v>Normal</v>
      </c>
      <c r="S361" s="5">
        <v>3</v>
      </c>
      <c r="T361" s="5">
        <v>3</v>
      </c>
      <c r="U361" s="5" t="str" cm="1">
        <f t="array" ref="U361">_xlfn.IFS(T361=1,"Poor",T361=2,"Fair",T361=3,"Good",T361=4,"Excellent")</f>
        <v>Good</v>
      </c>
      <c r="V361" s="5" t="s">
        <v>43</v>
      </c>
      <c r="W361" s="5">
        <v>13</v>
      </c>
      <c r="X361" s="28">
        <f t="shared" ca="1" si="62"/>
        <v>41363</v>
      </c>
      <c r="Y361" s="28">
        <f t="shared" ca="1" si="63"/>
        <v>46476</v>
      </c>
      <c r="Z361" s="28" t="str">
        <f t="shared" ca="1" si="64"/>
        <v>Due Soon</v>
      </c>
      <c r="AA361" s="5" t="str" cm="1">
        <f t="array" ref="AA361">_xlfn.IFS(W361&gt;10,"Veteran",W361&gt;=6,"Experienced",W361&gt;=2,"Developing",W361&gt;=0,"New")</f>
        <v>Veteran</v>
      </c>
      <c r="AB361" s="5" t="str" cm="1">
        <f t="array" ref="AB361">_xlfn.IFS(G361=1,"Junior",G361=2,"Mid-Level",G361=3,"Senior",G361=4,"Lead",G361=5,"Principal")&amp;" "&amp;TRIM(PROPER(H361))</f>
        <v>Senior Sales Executive</v>
      </c>
      <c r="AC361" s="19" t="str">
        <f t="shared" ca="1" si="65"/>
        <v>Sa-Sal-2013-360 is a Senior Sales Executive in the Sales department, aged 36, married and has been with the Company for 13years</v>
      </c>
    </row>
    <row r="362" spans="1:29">
      <c r="A362" s="18" t="str">
        <f t="shared" ca="1" si="55"/>
        <v>He-Res-2023-361</v>
      </c>
      <c r="B362" s="5">
        <v>57</v>
      </c>
      <c r="C362" s="5" t="str">
        <f t="shared" si="56"/>
        <v>50+</v>
      </c>
      <c r="D362" s="5" t="s">
        <v>43</v>
      </c>
      <c r="E362" s="5" t="s">
        <v>45</v>
      </c>
      <c r="F362" s="5" t="s">
        <v>46</v>
      </c>
      <c r="G362" s="5">
        <v>2</v>
      </c>
      <c r="H362" s="5" t="s">
        <v>54</v>
      </c>
      <c r="I362" s="5" t="s">
        <v>48</v>
      </c>
      <c r="J362" s="7">
        <v>6755</v>
      </c>
      <c r="K362" s="7">
        <f t="shared" si="57"/>
        <v>1013.25</v>
      </c>
      <c r="L362" s="7">
        <f t="shared" si="58"/>
        <v>5741.75</v>
      </c>
      <c r="M362" s="7">
        <v>2967</v>
      </c>
      <c r="N362" s="5" t="s">
        <v>43</v>
      </c>
      <c r="O362" s="5">
        <v>11</v>
      </c>
      <c r="P362" s="7">
        <f t="shared" si="59"/>
        <v>7498.0500000000011</v>
      </c>
      <c r="Q362" s="7">
        <f t="shared" si="60"/>
        <v>8916.6000000000131</v>
      </c>
      <c r="R362" s="7" t="str">
        <f t="shared" si="61"/>
        <v>Normal</v>
      </c>
      <c r="S362" s="5">
        <v>3</v>
      </c>
      <c r="T362" s="5">
        <v>3</v>
      </c>
      <c r="U362" s="5" t="str" cm="1">
        <f t="array" ref="U362">_xlfn.IFS(T362=1,"Poor",T362=2,"Fair",T362=3,"Good",T362=4,"Excellent")</f>
        <v>Good</v>
      </c>
      <c r="V362" s="5" t="s">
        <v>43</v>
      </c>
      <c r="W362" s="5">
        <v>3</v>
      </c>
      <c r="X362" s="28">
        <f t="shared" ca="1" si="62"/>
        <v>45015</v>
      </c>
      <c r="Y362" s="28">
        <f t="shared" ca="1" si="63"/>
        <v>46476</v>
      </c>
      <c r="Z362" s="28" t="str">
        <f t="shared" ca="1" si="64"/>
        <v>Due Soon</v>
      </c>
      <c r="AA362" s="5" t="str" cm="1">
        <f t="array" ref="AA362">_xlfn.IFS(W362&gt;10,"Veteran",W362&gt;=6,"Experienced",W362&gt;=2,"Developing",W362&gt;=0,"New")</f>
        <v>Developing</v>
      </c>
      <c r="AB362" s="5" t="str" cm="1">
        <f t="array" ref="AB362">_xlfn.IFS(G362=1,"Junior",G362=2,"Mid-Level",G362=3,"Senior",G362=4,"Lead",G362=5,"Principal")&amp;" "&amp;TRIM(PROPER(H362))</f>
        <v>Mid-Level Healthcare Representative</v>
      </c>
      <c r="AC362" s="19" t="str">
        <f t="shared" ca="1" si="65"/>
        <v>He-Res-2023-361 is a Mid-Level Healthcare Representative in the Research &amp; Development department, aged 57, married and has been with the Company for 3years</v>
      </c>
    </row>
    <row r="363" spans="1:29">
      <c r="A363" s="18" t="str">
        <f t="shared" ca="1" si="55"/>
        <v>La-Res-2019-362</v>
      </c>
      <c r="B363" s="5">
        <v>40</v>
      </c>
      <c r="C363" s="5" t="str">
        <f t="shared" si="56"/>
        <v>40-49</v>
      </c>
      <c r="D363" s="5" t="s">
        <v>43</v>
      </c>
      <c r="E363" s="5" t="s">
        <v>45</v>
      </c>
      <c r="F363" s="5" t="s">
        <v>39</v>
      </c>
      <c r="G363" s="5">
        <v>1</v>
      </c>
      <c r="H363" s="5" t="s">
        <v>50</v>
      </c>
      <c r="I363" s="5" t="s">
        <v>48</v>
      </c>
      <c r="J363" s="7">
        <v>2213</v>
      </c>
      <c r="K363" s="7">
        <f t="shared" si="57"/>
        <v>154.91000000000003</v>
      </c>
      <c r="L363" s="7">
        <f t="shared" si="58"/>
        <v>2058.09</v>
      </c>
      <c r="M363" s="7">
        <v>22495</v>
      </c>
      <c r="N363" s="5" t="s">
        <v>35</v>
      </c>
      <c r="O363" s="5">
        <v>13</v>
      </c>
      <c r="P363" s="7">
        <f t="shared" si="59"/>
        <v>2500.6899999999996</v>
      </c>
      <c r="Q363" s="7">
        <f t="shared" si="60"/>
        <v>3452.2799999999952</v>
      </c>
      <c r="R363" s="7" t="str">
        <f t="shared" si="61"/>
        <v>Normal</v>
      </c>
      <c r="S363" s="5">
        <v>3</v>
      </c>
      <c r="T363" s="5">
        <v>3</v>
      </c>
      <c r="U363" s="5" t="str" cm="1">
        <f t="array" ref="U363">_xlfn.IFS(T363=1,"Poor",T363=2,"Fair",T363=3,"Good",T363=4,"Excellent")</f>
        <v>Good</v>
      </c>
      <c r="V363" s="5" t="s">
        <v>35</v>
      </c>
      <c r="W363" s="5">
        <v>7</v>
      </c>
      <c r="X363" s="28">
        <f t="shared" ca="1" si="62"/>
        <v>43554</v>
      </c>
      <c r="Y363" s="28">
        <f t="shared" ca="1" si="63"/>
        <v>46476</v>
      </c>
      <c r="Z363" s="28" t="str">
        <f t="shared" ca="1" si="64"/>
        <v>Due Soon</v>
      </c>
      <c r="AA363" s="5" t="str" cm="1">
        <f t="array" ref="AA363">_xlfn.IFS(W363&gt;10,"Veteran",W363&gt;=6,"Experienced",W363&gt;=2,"Developing",W363&gt;=0,"New")</f>
        <v>Experienced</v>
      </c>
      <c r="AB363" s="5" t="str" cm="1">
        <f t="array" ref="AB363">_xlfn.IFS(G363=1,"Junior",G363=2,"Mid-Level",G363=3,"Senior",G363=4,"Lead",G363=5,"Principal")&amp;" "&amp;TRIM(PROPER(H363))</f>
        <v>Junior Laboratory Technician</v>
      </c>
      <c r="AC363" s="19" t="str">
        <f t="shared" ca="1" si="65"/>
        <v>La-Res-2019-362 is a Junior Laboratory Technician in the Research &amp; Development department, aged 40, married and has been with the Company for 7years</v>
      </c>
    </row>
    <row r="364" spans="1:29">
      <c r="A364" s="18" t="str">
        <f t="shared" ca="1" si="55"/>
        <v>Sa-Sal-2023-363</v>
      </c>
      <c r="B364" s="5">
        <v>21</v>
      </c>
      <c r="C364" s="5" t="str">
        <f t="shared" si="56"/>
        <v>20-29</v>
      </c>
      <c r="D364" s="5" t="s">
        <v>43</v>
      </c>
      <c r="E364" s="5" t="s">
        <v>37</v>
      </c>
      <c r="F364" s="5" t="s">
        <v>46</v>
      </c>
      <c r="G364" s="5">
        <v>1</v>
      </c>
      <c r="H364" s="5" t="s">
        <v>57</v>
      </c>
      <c r="I364" s="5" t="s">
        <v>41</v>
      </c>
      <c r="J364" s="7">
        <v>2610</v>
      </c>
      <c r="K364" s="7">
        <f t="shared" si="57"/>
        <v>182.70000000000002</v>
      </c>
      <c r="L364" s="7">
        <f t="shared" si="58"/>
        <v>2427.3000000000002</v>
      </c>
      <c r="M364" s="7">
        <v>2851</v>
      </c>
      <c r="N364" s="5" t="s">
        <v>43</v>
      </c>
      <c r="O364" s="5">
        <v>24</v>
      </c>
      <c r="P364" s="7">
        <f t="shared" si="59"/>
        <v>3236.4</v>
      </c>
      <c r="Q364" s="7">
        <f t="shared" si="60"/>
        <v>7516.8000000000011</v>
      </c>
      <c r="R364" s="7" t="str">
        <f t="shared" si="61"/>
        <v>Normal</v>
      </c>
      <c r="S364" s="5">
        <v>4</v>
      </c>
      <c r="T364" s="5">
        <v>2</v>
      </c>
      <c r="U364" s="5" t="str" cm="1">
        <f t="array" ref="U364">_xlfn.IFS(T364=1,"Poor",T364=2,"Fair",T364=3,"Good",T364=4,"Excellent")</f>
        <v>Fair</v>
      </c>
      <c r="V364" s="5" t="s">
        <v>43</v>
      </c>
      <c r="W364" s="5">
        <v>3</v>
      </c>
      <c r="X364" s="28">
        <f t="shared" ca="1" si="62"/>
        <v>45015</v>
      </c>
      <c r="Y364" s="28">
        <f t="shared" ca="1" si="63"/>
        <v>46476</v>
      </c>
      <c r="Z364" s="28" t="str">
        <f t="shared" ca="1" si="64"/>
        <v>Due Soon</v>
      </c>
      <c r="AA364" s="5" t="str" cm="1">
        <f t="array" ref="AA364">_xlfn.IFS(W364&gt;10,"Veteran",W364&gt;=6,"Experienced",W364&gt;=2,"Developing",W364&gt;=0,"New")</f>
        <v>Developing</v>
      </c>
      <c r="AB364" s="5" t="str" cm="1">
        <f t="array" ref="AB364">_xlfn.IFS(G364=1,"Junior",G364=2,"Mid-Level",G364=3,"Senior",G364=4,"Lead",G364=5,"Principal")&amp;" "&amp;TRIM(PROPER(H364))</f>
        <v>Junior Sales Representative</v>
      </c>
      <c r="AC364" s="19" t="str">
        <f t="shared" ca="1" si="65"/>
        <v>Sa-Sal-2023-363 is a Junior Sales Representative in the Sales department, aged 21, single and has been with the Company for 3years</v>
      </c>
    </row>
    <row r="365" spans="1:29">
      <c r="A365" s="18" t="str">
        <f t="shared" ca="1" si="55"/>
        <v>Sa-Sal-2025-364</v>
      </c>
      <c r="B365" s="5">
        <v>33</v>
      </c>
      <c r="C365" s="5" t="str">
        <f t="shared" si="56"/>
        <v>30-39</v>
      </c>
      <c r="D365" s="5" t="s">
        <v>35</v>
      </c>
      <c r="E365" s="5" t="s">
        <v>37</v>
      </c>
      <c r="F365" s="5" t="s">
        <v>39</v>
      </c>
      <c r="G365" s="5">
        <v>1</v>
      </c>
      <c r="H365" s="5" t="s">
        <v>57</v>
      </c>
      <c r="I365" s="5" t="s">
        <v>41</v>
      </c>
      <c r="J365" s="7">
        <v>2851</v>
      </c>
      <c r="K365" s="7">
        <f t="shared" si="57"/>
        <v>199.57000000000002</v>
      </c>
      <c r="L365" s="7">
        <f t="shared" si="58"/>
        <v>2651.43</v>
      </c>
      <c r="M365" s="7">
        <v>9150</v>
      </c>
      <c r="N365" s="5" t="s">
        <v>35</v>
      </c>
      <c r="O365" s="5">
        <v>13</v>
      </c>
      <c r="P365" s="7">
        <f t="shared" si="59"/>
        <v>3221.6299999999997</v>
      </c>
      <c r="Q365" s="7">
        <f t="shared" si="60"/>
        <v>4447.5599999999959</v>
      </c>
      <c r="R365" s="7" t="str">
        <f t="shared" si="61"/>
        <v>Normal</v>
      </c>
      <c r="S365" s="5">
        <v>3</v>
      </c>
      <c r="T365" s="5">
        <v>3</v>
      </c>
      <c r="U365" s="5" t="str" cm="1">
        <f t="array" ref="U365">_xlfn.IFS(T365=1,"Poor",T365=2,"Fair",T365=3,"Good",T365=4,"Excellent")</f>
        <v>Good</v>
      </c>
      <c r="V365" s="5" t="s">
        <v>35</v>
      </c>
      <c r="W365" s="5">
        <v>1</v>
      </c>
      <c r="X365" s="28">
        <f t="shared" ca="1" si="62"/>
        <v>45746</v>
      </c>
      <c r="Y365" s="28">
        <f t="shared" ca="1" si="63"/>
        <v>46476</v>
      </c>
      <c r="Z365" s="28" t="str">
        <f t="shared" ca="1" si="64"/>
        <v>Due Soon</v>
      </c>
      <c r="AA365" s="5" t="str" cm="1">
        <f t="array" ref="AA365">_xlfn.IFS(W365&gt;10,"Veteran",W365&gt;=6,"Experienced",W365&gt;=2,"Developing",W365&gt;=0,"New")</f>
        <v>New</v>
      </c>
      <c r="AB365" s="5" t="str" cm="1">
        <f t="array" ref="AB365">_xlfn.IFS(G365=1,"Junior",G365=2,"Mid-Level",G365=3,"Senior",G365=4,"Lead",G365=5,"Principal")&amp;" "&amp;TRIM(PROPER(H365))</f>
        <v>Junior Sales Representative</v>
      </c>
      <c r="AC365" s="19" t="str">
        <f t="shared" ca="1" si="65"/>
        <v>Sa-Sal-2025-364 is a Junior Sales Representative in the Sales department, aged 33, single and has been with the Company for 1years</v>
      </c>
    </row>
    <row r="366" spans="1:29">
      <c r="A366" s="18" t="str">
        <f t="shared" ca="1" si="55"/>
        <v>La-Res-2021-365</v>
      </c>
      <c r="B366" s="5">
        <v>37</v>
      </c>
      <c r="C366" s="5" t="str">
        <f t="shared" si="56"/>
        <v>30-39</v>
      </c>
      <c r="D366" s="5" t="s">
        <v>43</v>
      </c>
      <c r="E366" s="5" t="s">
        <v>45</v>
      </c>
      <c r="F366" s="5" t="s">
        <v>39</v>
      </c>
      <c r="G366" s="5">
        <v>1</v>
      </c>
      <c r="H366" s="5" t="s">
        <v>50</v>
      </c>
      <c r="I366" s="5" t="s">
        <v>48</v>
      </c>
      <c r="J366" s="7">
        <v>3452</v>
      </c>
      <c r="K366" s="7">
        <f t="shared" si="57"/>
        <v>517.79999999999995</v>
      </c>
      <c r="L366" s="7">
        <f t="shared" si="58"/>
        <v>2934.2</v>
      </c>
      <c r="M366" s="7">
        <v>17663</v>
      </c>
      <c r="N366" s="5" t="s">
        <v>43</v>
      </c>
      <c r="O366" s="5">
        <v>20</v>
      </c>
      <c r="P366" s="7">
        <f t="shared" si="59"/>
        <v>4142.3999999999996</v>
      </c>
      <c r="Q366" s="7">
        <f t="shared" si="60"/>
        <v>8284.7999999999956</v>
      </c>
      <c r="R366" s="7" t="str">
        <f t="shared" si="61"/>
        <v>Normal</v>
      </c>
      <c r="S366" s="5">
        <v>4</v>
      </c>
      <c r="T366" s="5">
        <v>3</v>
      </c>
      <c r="U366" s="5" t="str" cm="1">
        <f t="array" ref="U366">_xlfn.IFS(T366=1,"Poor",T366=2,"Fair",T366=3,"Good",T366=4,"Excellent")</f>
        <v>Good</v>
      </c>
      <c r="V366" s="5" t="s">
        <v>43</v>
      </c>
      <c r="W366" s="5">
        <v>5</v>
      </c>
      <c r="X366" s="28">
        <f t="shared" ca="1" si="62"/>
        <v>44285</v>
      </c>
      <c r="Y366" s="28">
        <f t="shared" ca="1" si="63"/>
        <v>46476</v>
      </c>
      <c r="Z366" s="28" t="str">
        <f t="shared" ca="1" si="64"/>
        <v>Due Soon</v>
      </c>
      <c r="AA366" s="5" t="str" cm="1">
        <f t="array" ref="AA366">_xlfn.IFS(W366&gt;10,"Veteran",W366&gt;=6,"Experienced",W366&gt;=2,"Developing",W366&gt;=0,"New")</f>
        <v>Developing</v>
      </c>
      <c r="AB366" s="5" t="str" cm="1">
        <f t="array" ref="AB366">_xlfn.IFS(G366=1,"Junior",G366=2,"Mid-Level",G366=3,"Senior",G366=4,"Lead",G366=5,"Principal")&amp;" "&amp;TRIM(PROPER(H366))</f>
        <v>Junior Laboratory Technician</v>
      </c>
      <c r="AC366" s="19" t="str">
        <f t="shared" ca="1" si="65"/>
        <v>La-Res-2021-365 is a Junior Laboratory Technician in the Research &amp; Development department, aged 37, married and has been with the Company for 5years</v>
      </c>
    </row>
    <row r="367" spans="1:29">
      <c r="A367" s="18" t="str">
        <f t="shared" ca="1" si="55"/>
        <v>Ma-Res-2025-366</v>
      </c>
      <c r="B367" s="5">
        <v>46</v>
      </c>
      <c r="C367" s="5" t="str">
        <f t="shared" si="56"/>
        <v>40-49</v>
      </c>
      <c r="D367" s="5" t="s">
        <v>43</v>
      </c>
      <c r="E367" s="5" t="s">
        <v>45</v>
      </c>
      <c r="F367" s="5" t="s">
        <v>39</v>
      </c>
      <c r="G367" s="5">
        <v>2</v>
      </c>
      <c r="H367" s="5" t="s">
        <v>53</v>
      </c>
      <c r="I367" s="5" t="s">
        <v>48</v>
      </c>
      <c r="J367" s="7">
        <v>5258</v>
      </c>
      <c r="K367" s="7">
        <f t="shared" si="57"/>
        <v>788.69999999999993</v>
      </c>
      <c r="L367" s="7">
        <f t="shared" si="58"/>
        <v>4469.3</v>
      </c>
      <c r="M367" s="7">
        <v>16044</v>
      </c>
      <c r="N367" s="5" t="s">
        <v>43</v>
      </c>
      <c r="O367" s="5">
        <v>14</v>
      </c>
      <c r="P367" s="7">
        <f t="shared" si="59"/>
        <v>5994.1200000000008</v>
      </c>
      <c r="Q367" s="7">
        <f t="shared" si="60"/>
        <v>8833.4400000000096</v>
      </c>
      <c r="R367" s="7" t="str">
        <f t="shared" si="61"/>
        <v>Normal</v>
      </c>
      <c r="S367" s="5">
        <v>3</v>
      </c>
      <c r="T367" s="5">
        <v>4</v>
      </c>
      <c r="U367" s="5" t="str" cm="1">
        <f t="array" ref="U367">_xlfn.IFS(T367=1,"Poor",T367=2,"Fair",T367=3,"Good",T367=4,"Excellent")</f>
        <v>Excellent</v>
      </c>
      <c r="V367" s="5" t="s">
        <v>43</v>
      </c>
      <c r="W367" s="5">
        <v>1</v>
      </c>
      <c r="X367" s="28">
        <f t="shared" ca="1" si="62"/>
        <v>45746</v>
      </c>
      <c r="Y367" s="28">
        <f t="shared" ca="1" si="63"/>
        <v>46476</v>
      </c>
      <c r="Z367" s="28" t="str">
        <f t="shared" ca="1" si="64"/>
        <v>Due Soon</v>
      </c>
      <c r="AA367" s="5" t="str" cm="1">
        <f t="array" ref="AA367">_xlfn.IFS(W367&gt;10,"Veteran",W367&gt;=6,"Experienced",W367&gt;=2,"Developing",W367&gt;=0,"New")</f>
        <v>New</v>
      </c>
      <c r="AB367" s="5" t="str" cm="1">
        <f t="array" ref="AB367">_xlfn.IFS(G367=1,"Junior",G367=2,"Mid-Level",G367=3,"Senior",G367=4,"Lead",G367=5,"Principal")&amp;" "&amp;TRIM(PROPER(H367))</f>
        <v>Mid-Level Manufacturing Director</v>
      </c>
      <c r="AC367" s="19" t="str">
        <f t="shared" ca="1" si="65"/>
        <v>Ma-Res-2025-366 is a Mid-Level Manufacturing Director in the Research &amp; Development department, aged 46, married and has been with the Company for 1years</v>
      </c>
    </row>
    <row r="368" spans="1:29">
      <c r="A368" s="18" t="str">
        <f t="shared" ca="1" si="55"/>
        <v>Sa-Sal-2018-367</v>
      </c>
      <c r="B368" s="5">
        <v>41</v>
      </c>
      <c r="C368" s="5" t="str">
        <f t="shared" si="56"/>
        <v>40-49</v>
      </c>
      <c r="D368" s="5" t="s">
        <v>35</v>
      </c>
      <c r="E368" s="5" t="s">
        <v>37</v>
      </c>
      <c r="F368" s="5" t="s">
        <v>46</v>
      </c>
      <c r="G368" s="5">
        <v>2</v>
      </c>
      <c r="H368" s="5" t="s">
        <v>40</v>
      </c>
      <c r="I368" s="5" t="s">
        <v>41</v>
      </c>
      <c r="J368" s="7">
        <v>9355</v>
      </c>
      <c r="K368" s="7">
        <f t="shared" si="57"/>
        <v>2058.1</v>
      </c>
      <c r="L368" s="7">
        <f t="shared" si="58"/>
        <v>7296.9</v>
      </c>
      <c r="M368" s="7">
        <v>9558</v>
      </c>
      <c r="N368" s="5" t="s">
        <v>43</v>
      </c>
      <c r="O368" s="5">
        <v>18</v>
      </c>
      <c r="P368" s="7">
        <f t="shared" si="59"/>
        <v>11038.9</v>
      </c>
      <c r="Q368" s="7">
        <f t="shared" si="60"/>
        <v>20206.799999999996</v>
      </c>
      <c r="R368" s="7" t="str">
        <f t="shared" si="61"/>
        <v>Normal</v>
      </c>
      <c r="S368" s="5">
        <v>3</v>
      </c>
      <c r="T368" s="5">
        <v>3</v>
      </c>
      <c r="U368" s="5" t="str" cm="1">
        <f t="array" ref="U368">_xlfn.IFS(T368=1,"Poor",T368=2,"Fair",T368=3,"Good",T368=4,"Excellent")</f>
        <v>Good</v>
      </c>
      <c r="V368" s="5" t="s">
        <v>43</v>
      </c>
      <c r="W368" s="5">
        <v>8</v>
      </c>
      <c r="X368" s="28">
        <f t="shared" ca="1" si="62"/>
        <v>43189</v>
      </c>
      <c r="Y368" s="28">
        <f t="shared" ca="1" si="63"/>
        <v>46842</v>
      </c>
      <c r="Z368" s="28" t="str">
        <f t="shared" ca="1" si="64"/>
        <v>Upcoming</v>
      </c>
      <c r="AA368" s="5" t="str" cm="1">
        <f t="array" ref="AA368">_xlfn.IFS(W368&gt;10,"Veteran",W368&gt;=6,"Experienced",W368&gt;=2,"Developing",W368&gt;=0,"New")</f>
        <v>Experienced</v>
      </c>
      <c r="AB368" s="5" t="str" cm="1">
        <f t="array" ref="AB368">_xlfn.IFS(G368=1,"Junior",G368=2,"Mid-Level",G368=3,"Senior",G368=4,"Lead",G368=5,"Principal")&amp;" "&amp;TRIM(PROPER(H368))</f>
        <v>Mid-Level Sales Executive</v>
      </c>
      <c r="AC368" s="19" t="str">
        <f t="shared" ca="1" si="65"/>
        <v>Sa-Sal-2018-367 is a Mid-Level Sales Executive in the Sales department, aged 41, single and has been with the Company for 8years</v>
      </c>
    </row>
    <row r="369" spans="1:29">
      <c r="A369" s="18" t="str">
        <f t="shared" ca="1" si="55"/>
        <v>He-Res-2022-368</v>
      </c>
      <c r="B369" s="5">
        <v>50</v>
      </c>
      <c r="C369" s="5" t="str">
        <f t="shared" si="56"/>
        <v>50+</v>
      </c>
      <c r="D369" s="5" t="s">
        <v>43</v>
      </c>
      <c r="E369" s="5" t="s">
        <v>45</v>
      </c>
      <c r="F369" s="5" t="s">
        <v>46</v>
      </c>
      <c r="G369" s="5">
        <v>3</v>
      </c>
      <c r="H369" s="5" t="s">
        <v>54</v>
      </c>
      <c r="I369" s="5" t="s">
        <v>41</v>
      </c>
      <c r="J369" s="7">
        <v>10496</v>
      </c>
      <c r="K369" s="7">
        <f t="shared" si="57"/>
        <v>2309.12</v>
      </c>
      <c r="L369" s="7">
        <f t="shared" si="58"/>
        <v>8186.88</v>
      </c>
      <c r="M369" s="7">
        <v>2755</v>
      </c>
      <c r="N369" s="5" t="s">
        <v>43</v>
      </c>
      <c r="O369" s="5">
        <v>15</v>
      </c>
      <c r="P369" s="7">
        <f t="shared" si="59"/>
        <v>12070.4</v>
      </c>
      <c r="Q369" s="7">
        <f t="shared" si="60"/>
        <v>18892.799999999996</v>
      </c>
      <c r="R369" s="7" t="str">
        <f t="shared" si="61"/>
        <v>Normal</v>
      </c>
      <c r="S369" s="5">
        <v>3</v>
      </c>
      <c r="T369" s="5">
        <v>3</v>
      </c>
      <c r="U369" s="5" t="str" cm="1">
        <f t="array" ref="U369">_xlfn.IFS(T369=1,"Poor",T369=2,"Fair",T369=3,"Good",T369=4,"Excellent")</f>
        <v>Good</v>
      </c>
      <c r="V369" s="5" t="s">
        <v>43</v>
      </c>
      <c r="W369" s="5">
        <v>4</v>
      </c>
      <c r="X369" s="28">
        <f t="shared" ca="1" si="62"/>
        <v>44650</v>
      </c>
      <c r="Y369" s="28">
        <f t="shared" ca="1" si="63"/>
        <v>46842</v>
      </c>
      <c r="Z369" s="28" t="str">
        <f t="shared" ca="1" si="64"/>
        <v>Upcoming</v>
      </c>
      <c r="AA369" s="5" t="str" cm="1">
        <f t="array" ref="AA369">_xlfn.IFS(W369&gt;10,"Veteran",W369&gt;=6,"Experienced",W369&gt;=2,"Developing",W369&gt;=0,"New")</f>
        <v>Developing</v>
      </c>
      <c r="AB369" s="5" t="str" cm="1">
        <f t="array" ref="AB369">_xlfn.IFS(G369=1,"Junior",G369=2,"Mid-Level",G369=3,"Senior",G369=4,"Lead",G369=5,"Principal")&amp;" "&amp;TRIM(PROPER(H369))</f>
        <v>Senior Healthcare Representative</v>
      </c>
      <c r="AC369" s="19" t="str">
        <f t="shared" ca="1" si="65"/>
        <v>He-Res-2022-368 is a Senior Healthcare Representative in the Research &amp; Development department, aged 50, single and has been with the Company for 4years</v>
      </c>
    </row>
    <row r="370" spans="1:29">
      <c r="A370" s="18" t="str">
        <f t="shared" ca="1" si="55"/>
        <v>Sa-Sal-2020-369</v>
      </c>
      <c r="B370" s="5">
        <v>40</v>
      </c>
      <c r="C370" s="5" t="str">
        <f t="shared" si="56"/>
        <v>40-49</v>
      </c>
      <c r="D370" s="5" t="s">
        <v>35</v>
      </c>
      <c r="E370" s="5" t="s">
        <v>37</v>
      </c>
      <c r="F370" s="5" t="s">
        <v>46</v>
      </c>
      <c r="G370" s="5">
        <v>2</v>
      </c>
      <c r="H370" s="5" t="s">
        <v>40</v>
      </c>
      <c r="I370" s="5" t="s">
        <v>48</v>
      </c>
      <c r="J370" s="7">
        <v>6380</v>
      </c>
      <c r="K370" s="7">
        <f t="shared" si="57"/>
        <v>957</v>
      </c>
      <c r="L370" s="7">
        <f t="shared" si="58"/>
        <v>5423</v>
      </c>
      <c r="M370" s="7">
        <v>6110</v>
      </c>
      <c r="N370" s="5" t="s">
        <v>35</v>
      </c>
      <c r="O370" s="5">
        <v>12</v>
      </c>
      <c r="P370" s="7">
        <f t="shared" si="59"/>
        <v>7145.6</v>
      </c>
      <c r="Q370" s="7">
        <f t="shared" si="60"/>
        <v>9187.2000000000044</v>
      </c>
      <c r="R370" s="7" t="str">
        <f t="shared" si="61"/>
        <v>Normal</v>
      </c>
      <c r="S370" s="5">
        <v>3</v>
      </c>
      <c r="T370" s="5">
        <v>3</v>
      </c>
      <c r="U370" s="5" t="str" cm="1">
        <f t="array" ref="U370">_xlfn.IFS(T370=1,"Poor",T370=2,"Fair",T370=3,"Good",T370=4,"Excellent")</f>
        <v>Good</v>
      </c>
      <c r="V370" s="5" t="s">
        <v>35</v>
      </c>
      <c r="W370" s="5">
        <v>6</v>
      </c>
      <c r="X370" s="28">
        <f t="shared" ca="1" si="62"/>
        <v>43920</v>
      </c>
      <c r="Y370" s="28">
        <f t="shared" ca="1" si="63"/>
        <v>46842</v>
      </c>
      <c r="Z370" s="28" t="str">
        <f t="shared" ca="1" si="64"/>
        <v>Upcoming</v>
      </c>
      <c r="AA370" s="5" t="str" cm="1">
        <f t="array" ref="AA370">_xlfn.IFS(W370&gt;10,"Veteran",W370&gt;=6,"Experienced",W370&gt;=2,"Developing",W370&gt;=0,"New")</f>
        <v>Experienced</v>
      </c>
      <c r="AB370" s="5" t="str" cm="1">
        <f t="array" ref="AB370">_xlfn.IFS(G370=1,"Junior",G370=2,"Mid-Level",G370=3,"Senior",G370=4,"Lead",G370=5,"Principal")&amp;" "&amp;TRIM(PROPER(H370))</f>
        <v>Mid-Level Sales Executive</v>
      </c>
      <c r="AC370" s="19" t="str">
        <f t="shared" ca="1" si="65"/>
        <v>Sa-Sal-2020-369 is a Mid-Level Sales Executive in the Sales department, aged 40, married and has been with the Company for 6years</v>
      </c>
    </row>
    <row r="371" spans="1:29">
      <c r="A371" s="18" t="str">
        <f t="shared" ca="1" si="55"/>
        <v>Re-Res-2024-370</v>
      </c>
      <c r="B371" s="5">
        <v>31</v>
      </c>
      <c r="C371" s="5" t="str">
        <f t="shared" si="56"/>
        <v>30-39</v>
      </c>
      <c r="D371" s="5" t="s">
        <v>43</v>
      </c>
      <c r="E371" s="5" t="s">
        <v>45</v>
      </c>
      <c r="F371" s="5" t="s">
        <v>46</v>
      </c>
      <c r="G371" s="5">
        <v>1</v>
      </c>
      <c r="H371" s="5" t="s">
        <v>47</v>
      </c>
      <c r="I371" s="5" t="s">
        <v>41</v>
      </c>
      <c r="J371" s="7">
        <v>2657</v>
      </c>
      <c r="K371" s="7">
        <f t="shared" si="57"/>
        <v>185.99</v>
      </c>
      <c r="L371" s="7">
        <f t="shared" si="58"/>
        <v>2471.0100000000002</v>
      </c>
      <c r="M371" s="7">
        <v>7551</v>
      </c>
      <c r="N371" s="5" t="s">
        <v>35</v>
      </c>
      <c r="O371" s="5">
        <v>16</v>
      </c>
      <c r="P371" s="7">
        <f t="shared" si="59"/>
        <v>3082.12</v>
      </c>
      <c r="Q371" s="7">
        <f t="shared" si="60"/>
        <v>5101.4399999999987</v>
      </c>
      <c r="R371" s="7" t="str">
        <f t="shared" si="61"/>
        <v>Normal</v>
      </c>
      <c r="S371" s="5">
        <v>3</v>
      </c>
      <c r="T371" s="5">
        <v>3</v>
      </c>
      <c r="U371" s="5" t="str" cm="1">
        <f t="array" ref="U371">_xlfn.IFS(T371=1,"Poor",T371=2,"Fair",T371=3,"Good",T371=4,"Excellent")</f>
        <v>Good</v>
      </c>
      <c r="V371" s="5" t="s">
        <v>35</v>
      </c>
      <c r="W371" s="5">
        <v>2</v>
      </c>
      <c r="X371" s="28">
        <f t="shared" ca="1" si="62"/>
        <v>45381</v>
      </c>
      <c r="Y371" s="28">
        <f t="shared" ca="1" si="63"/>
        <v>46842</v>
      </c>
      <c r="Z371" s="28" t="str">
        <f t="shared" ca="1" si="64"/>
        <v>Upcoming</v>
      </c>
      <c r="AA371" s="5" t="str" cm="1">
        <f t="array" ref="AA371">_xlfn.IFS(W371&gt;10,"Veteran",W371&gt;=6,"Experienced",W371&gt;=2,"Developing",W371&gt;=0,"New")</f>
        <v>Developing</v>
      </c>
      <c r="AB371" s="5" t="str" cm="1">
        <f t="array" ref="AB371">_xlfn.IFS(G371=1,"Junior",G371=2,"Mid-Level",G371=3,"Senior",G371=4,"Lead",G371=5,"Principal")&amp;" "&amp;TRIM(PROPER(H371))</f>
        <v>Junior Research Scientist</v>
      </c>
      <c r="AC371" s="19" t="str">
        <f t="shared" ca="1" si="65"/>
        <v>Re-Res-2024-370 is a Junior Research Scientist in the Research &amp; Development department, aged 31, single and has been with the Company for 2years</v>
      </c>
    </row>
    <row r="372" spans="1:29">
      <c r="A372" s="18" t="str">
        <f t="shared" ca="1" si="55"/>
        <v>Sa-Sal-2025-371</v>
      </c>
      <c r="B372" s="5">
        <v>21</v>
      </c>
      <c r="C372" s="5" t="str">
        <f t="shared" si="56"/>
        <v>20-29</v>
      </c>
      <c r="D372" s="5" t="s">
        <v>35</v>
      </c>
      <c r="E372" s="5" t="s">
        <v>37</v>
      </c>
      <c r="F372" s="5" t="s">
        <v>39</v>
      </c>
      <c r="G372" s="5">
        <v>1</v>
      </c>
      <c r="H372" s="5" t="s">
        <v>57</v>
      </c>
      <c r="I372" s="5" t="s">
        <v>41</v>
      </c>
      <c r="J372" s="7">
        <v>2716</v>
      </c>
      <c r="K372" s="7">
        <f t="shared" si="57"/>
        <v>190.12</v>
      </c>
      <c r="L372" s="7">
        <f t="shared" si="58"/>
        <v>2525.88</v>
      </c>
      <c r="M372" s="7">
        <v>25422</v>
      </c>
      <c r="N372" s="5" t="s">
        <v>43</v>
      </c>
      <c r="O372" s="5">
        <v>15</v>
      </c>
      <c r="P372" s="7">
        <f t="shared" si="59"/>
        <v>3123.3999999999996</v>
      </c>
      <c r="Q372" s="7">
        <f t="shared" si="60"/>
        <v>4888.7999999999956</v>
      </c>
      <c r="R372" s="7" t="str">
        <f t="shared" si="61"/>
        <v>Normal</v>
      </c>
      <c r="S372" s="5">
        <v>3</v>
      </c>
      <c r="T372" s="5">
        <v>3</v>
      </c>
      <c r="U372" s="5" t="str" cm="1">
        <f t="array" ref="U372">_xlfn.IFS(T372=1,"Poor",T372=2,"Fair",T372=3,"Good",T372=4,"Excellent")</f>
        <v>Good</v>
      </c>
      <c r="V372" s="5" t="s">
        <v>43</v>
      </c>
      <c r="W372" s="5">
        <v>1</v>
      </c>
      <c r="X372" s="28">
        <f t="shared" ca="1" si="62"/>
        <v>45746</v>
      </c>
      <c r="Y372" s="28">
        <f t="shared" ca="1" si="63"/>
        <v>46476</v>
      </c>
      <c r="Z372" s="28" t="str">
        <f t="shared" ca="1" si="64"/>
        <v>Due Soon</v>
      </c>
      <c r="AA372" s="5" t="str" cm="1">
        <f t="array" ref="AA372">_xlfn.IFS(W372&gt;10,"Veteran",W372&gt;=6,"Experienced",W372&gt;=2,"Developing",W372&gt;=0,"New")</f>
        <v>New</v>
      </c>
      <c r="AB372" s="5" t="str" cm="1">
        <f t="array" ref="AB372">_xlfn.IFS(G372=1,"Junior",G372=2,"Mid-Level",G372=3,"Senior",G372=4,"Lead",G372=5,"Principal")&amp;" "&amp;TRIM(PROPER(H372))</f>
        <v>Junior Sales Representative</v>
      </c>
      <c r="AC372" s="19" t="str">
        <f t="shared" ca="1" si="65"/>
        <v>Sa-Sal-2025-371 is a Junior Sales Representative in the Sales department, aged 21, single and has been with the Company for 1years</v>
      </c>
    </row>
    <row r="373" spans="1:29">
      <c r="A373" s="18" t="str">
        <f t="shared" ca="1" si="55"/>
        <v>Re-Res-2023-372</v>
      </c>
      <c r="B373" s="5">
        <v>29</v>
      </c>
      <c r="C373" s="5" t="str">
        <f t="shared" si="56"/>
        <v>20-29</v>
      </c>
      <c r="D373" s="5" t="s">
        <v>43</v>
      </c>
      <c r="E373" s="5" t="s">
        <v>45</v>
      </c>
      <c r="F373" s="5" t="s">
        <v>46</v>
      </c>
      <c r="G373" s="5">
        <v>1</v>
      </c>
      <c r="H373" s="5" t="s">
        <v>47</v>
      </c>
      <c r="I373" s="5" t="s">
        <v>41</v>
      </c>
      <c r="J373" s="7">
        <v>2201</v>
      </c>
      <c r="K373" s="7">
        <f t="shared" si="57"/>
        <v>154.07000000000002</v>
      </c>
      <c r="L373" s="7">
        <f t="shared" si="58"/>
        <v>2046.93</v>
      </c>
      <c r="M373" s="7">
        <v>18168</v>
      </c>
      <c r="N373" s="5" t="s">
        <v>43</v>
      </c>
      <c r="O373" s="5">
        <v>16</v>
      </c>
      <c r="P373" s="7">
        <f t="shared" si="59"/>
        <v>2553.16</v>
      </c>
      <c r="Q373" s="7">
        <f t="shared" si="60"/>
        <v>4225.9199999999983</v>
      </c>
      <c r="R373" s="7" t="str">
        <f t="shared" si="61"/>
        <v>Normal</v>
      </c>
      <c r="S373" s="5">
        <v>3</v>
      </c>
      <c r="T373" s="5">
        <v>3</v>
      </c>
      <c r="U373" s="5" t="str" cm="1">
        <f t="array" ref="U373">_xlfn.IFS(T373=1,"Poor",T373=2,"Fair",T373=3,"Good",T373=4,"Excellent")</f>
        <v>Good</v>
      </c>
      <c r="V373" s="5" t="s">
        <v>43</v>
      </c>
      <c r="W373" s="5">
        <v>3</v>
      </c>
      <c r="X373" s="28">
        <f t="shared" ca="1" si="62"/>
        <v>45015</v>
      </c>
      <c r="Y373" s="28">
        <f t="shared" ca="1" si="63"/>
        <v>46476</v>
      </c>
      <c r="Z373" s="28" t="str">
        <f t="shared" ca="1" si="64"/>
        <v>Due Soon</v>
      </c>
      <c r="AA373" s="5" t="str" cm="1">
        <f t="array" ref="AA373">_xlfn.IFS(W373&gt;10,"Veteran",W373&gt;=6,"Experienced",W373&gt;=2,"Developing",W373&gt;=0,"New")</f>
        <v>Developing</v>
      </c>
      <c r="AB373" s="5" t="str" cm="1">
        <f t="array" ref="AB373">_xlfn.IFS(G373=1,"Junior",G373=2,"Mid-Level",G373=3,"Senior",G373=4,"Lead",G373=5,"Principal")&amp;" "&amp;TRIM(PROPER(H373))</f>
        <v>Junior Research Scientist</v>
      </c>
      <c r="AC373" s="19" t="str">
        <f t="shared" ca="1" si="65"/>
        <v>Re-Res-2023-372 is a Junior Research Scientist in the Research &amp; Development department, aged 29, single and has been with the Company for 3years</v>
      </c>
    </row>
    <row r="374" spans="1:29">
      <c r="A374" s="18" t="str">
        <f t="shared" ca="1" si="55"/>
        <v>He-Res-2025-373</v>
      </c>
      <c r="B374" s="5">
        <v>35</v>
      </c>
      <c r="C374" s="5" t="str">
        <f t="shared" si="56"/>
        <v>30-39</v>
      </c>
      <c r="D374" s="5" t="s">
        <v>43</v>
      </c>
      <c r="E374" s="5" t="s">
        <v>45</v>
      </c>
      <c r="F374" s="5" t="s">
        <v>46</v>
      </c>
      <c r="G374" s="5">
        <v>2</v>
      </c>
      <c r="H374" s="5" t="s">
        <v>54</v>
      </c>
      <c r="I374" s="5" t="s">
        <v>41</v>
      </c>
      <c r="J374" s="7">
        <v>6540</v>
      </c>
      <c r="K374" s="7">
        <f t="shared" si="57"/>
        <v>981</v>
      </c>
      <c r="L374" s="7">
        <f t="shared" si="58"/>
        <v>5559</v>
      </c>
      <c r="M374" s="7">
        <v>19394</v>
      </c>
      <c r="N374" s="5" t="s">
        <v>43</v>
      </c>
      <c r="O374" s="5">
        <v>19</v>
      </c>
      <c r="P374" s="7">
        <f t="shared" si="59"/>
        <v>7782.5999999999995</v>
      </c>
      <c r="Q374" s="7">
        <f t="shared" si="60"/>
        <v>14911.199999999993</v>
      </c>
      <c r="R374" s="7" t="str">
        <f t="shared" si="61"/>
        <v>Normal</v>
      </c>
      <c r="S374" s="5">
        <v>3</v>
      </c>
      <c r="T374" s="5">
        <v>3</v>
      </c>
      <c r="U374" s="5" t="str" cm="1">
        <f t="array" ref="U374">_xlfn.IFS(T374=1,"Poor",T374=2,"Fair",T374=3,"Good",T374=4,"Excellent")</f>
        <v>Good</v>
      </c>
      <c r="V374" s="5" t="s">
        <v>43</v>
      </c>
      <c r="W374" s="5">
        <v>1</v>
      </c>
      <c r="X374" s="28">
        <f t="shared" ca="1" si="62"/>
        <v>45746</v>
      </c>
      <c r="Y374" s="28">
        <f t="shared" ca="1" si="63"/>
        <v>46476</v>
      </c>
      <c r="Z374" s="28" t="str">
        <f t="shared" ca="1" si="64"/>
        <v>Due Soon</v>
      </c>
      <c r="AA374" s="5" t="str" cm="1">
        <f t="array" ref="AA374">_xlfn.IFS(W374&gt;10,"Veteran",W374&gt;=6,"Experienced",W374&gt;=2,"Developing",W374&gt;=0,"New")</f>
        <v>New</v>
      </c>
      <c r="AB374" s="5" t="str" cm="1">
        <f t="array" ref="AB374">_xlfn.IFS(G374=1,"Junior",G374=2,"Mid-Level",G374=3,"Senior",G374=4,"Lead",G374=5,"Principal")&amp;" "&amp;TRIM(PROPER(H374))</f>
        <v>Mid-Level Healthcare Representative</v>
      </c>
      <c r="AC374" s="19" t="str">
        <f t="shared" ca="1" si="65"/>
        <v>He-Res-2025-373 is a Mid-Level Healthcare Representative in the Research &amp; Development department, aged 35, single and has been with the Company for 1years</v>
      </c>
    </row>
    <row r="375" spans="1:29">
      <c r="A375" s="18" t="str">
        <f t="shared" ca="1" si="55"/>
        <v>La-Res-2021-374</v>
      </c>
      <c r="B375" s="5">
        <v>27</v>
      </c>
      <c r="C375" s="5" t="str">
        <f t="shared" si="56"/>
        <v>20-29</v>
      </c>
      <c r="D375" s="5" t="s">
        <v>43</v>
      </c>
      <c r="E375" s="5" t="s">
        <v>45</v>
      </c>
      <c r="F375" s="5" t="s">
        <v>46</v>
      </c>
      <c r="G375" s="5">
        <v>1</v>
      </c>
      <c r="H375" s="5" t="s">
        <v>50</v>
      </c>
      <c r="I375" s="5" t="s">
        <v>52</v>
      </c>
      <c r="J375" s="7">
        <v>3816</v>
      </c>
      <c r="K375" s="7">
        <f t="shared" si="57"/>
        <v>572.4</v>
      </c>
      <c r="L375" s="7">
        <f t="shared" si="58"/>
        <v>3243.6</v>
      </c>
      <c r="M375" s="7">
        <v>17881</v>
      </c>
      <c r="N375" s="5" t="s">
        <v>43</v>
      </c>
      <c r="O375" s="5">
        <v>11</v>
      </c>
      <c r="P375" s="7">
        <f t="shared" si="59"/>
        <v>4235.76</v>
      </c>
      <c r="Q375" s="7">
        <f t="shared" si="60"/>
        <v>5037.1200000000026</v>
      </c>
      <c r="R375" s="7" t="str">
        <f t="shared" si="61"/>
        <v>Normal</v>
      </c>
      <c r="S375" s="5">
        <v>3</v>
      </c>
      <c r="T375" s="5">
        <v>3</v>
      </c>
      <c r="U375" s="5" t="str" cm="1">
        <f t="array" ref="U375">_xlfn.IFS(T375=1,"Poor",T375=2,"Fair",T375=3,"Good",T375=4,"Excellent")</f>
        <v>Good</v>
      </c>
      <c r="V375" s="5" t="s">
        <v>43</v>
      </c>
      <c r="W375" s="5">
        <v>5</v>
      </c>
      <c r="X375" s="28">
        <f t="shared" ca="1" si="62"/>
        <v>44285</v>
      </c>
      <c r="Y375" s="28">
        <f t="shared" ca="1" si="63"/>
        <v>46476</v>
      </c>
      <c r="Z375" s="28" t="str">
        <f t="shared" ca="1" si="64"/>
        <v>Due Soon</v>
      </c>
      <c r="AA375" s="5" t="str" cm="1">
        <f t="array" ref="AA375">_xlfn.IFS(W375&gt;10,"Veteran",W375&gt;=6,"Experienced",W375&gt;=2,"Developing",W375&gt;=0,"New")</f>
        <v>Developing</v>
      </c>
      <c r="AB375" s="5" t="str" cm="1">
        <f t="array" ref="AB375">_xlfn.IFS(G375=1,"Junior",G375=2,"Mid-Level",G375=3,"Senior",G375=4,"Lead",G375=5,"Principal")&amp;" "&amp;TRIM(PROPER(H375))</f>
        <v>Junior Laboratory Technician</v>
      </c>
      <c r="AC375" s="19" t="str">
        <f t="shared" ca="1" si="65"/>
        <v>La-Res-2021-374 is a Junior Laboratory Technician in the Research &amp; Development department, aged 27, divorced and has been with the Company for 5years</v>
      </c>
    </row>
    <row r="376" spans="1:29">
      <c r="A376" s="18" t="str">
        <f t="shared" ca="1" si="55"/>
        <v>Sa-Sal-2019-375</v>
      </c>
      <c r="B376" s="5">
        <v>28</v>
      </c>
      <c r="C376" s="5" t="str">
        <f t="shared" si="56"/>
        <v>20-29</v>
      </c>
      <c r="D376" s="5" t="s">
        <v>43</v>
      </c>
      <c r="E376" s="5" t="s">
        <v>37</v>
      </c>
      <c r="F376" s="5" t="s">
        <v>46</v>
      </c>
      <c r="G376" s="5">
        <v>2</v>
      </c>
      <c r="H376" s="5" t="s">
        <v>40</v>
      </c>
      <c r="I376" s="5" t="s">
        <v>41</v>
      </c>
      <c r="J376" s="7">
        <v>5253</v>
      </c>
      <c r="K376" s="7">
        <f t="shared" si="57"/>
        <v>787.94999999999993</v>
      </c>
      <c r="L376" s="7">
        <f t="shared" si="58"/>
        <v>4465.05</v>
      </c>
      <c r="M376" s="7">
        <v>20750</v>
      </c>
      <c r="N376" s="5" t="s">
        <v>43</v>
      </c>
      <c r="O376" s="5">
        <v>16</v>
      </c>
      <c r="P376" s="7">
        <f t="shared" si="59"/>
        <v>6093.48</v>
      </c>
      <c r="Q376" s="7">
        <f t="shared" si="60"/>
        <v>10085.759999999995</v>
      </c>
      <c r="R376" s="7" t="str">
        <f t="shared" si="61"/>
        <v>Normal</v>
      </c>
      <c r="S376" s="5">
        <v>3</v>
      </c>
      <c r="T376" s="5">
        <v>3</v>
      </c>
      <c r="U376" s="5" t="str" cm="1">
        <f t="array" ref="U376">_xlfn.IFS(T376=1,"Poor",T376=2,"Fair",T376=3,"Good",T376=4,"Excellent")</f>
        <v>Good</v>
      </c>
      <c r="V376" s="5" t="s">
        <v>43</v>
      </c>
      <c r="W376" s="5">
        <v>7</v>
      </c>
      <c r="X376" s="28">
        <f t="shared" ca="1" si="62"/>
        <v>43554</v>
      </c>
      <c r="Y376" s="28">
        <f t="shared" ca="1" si="63"/>
        <v>46476</v>
      </c>
      <c r="Z376" s="28" t="str">
        <f t="shared" ca="1" si="64"/>
        <v>Due Soon</v>
      </c>
      <c r="AA376" s="5" t="str" cm="1">
        <f t="array" ref="AA376">_xlfn.IFS(W376&gt;10,"Veteran",W376&gt;=6,"Experienced",W376&gt;=2,"Developing",W376&gt;=0,"New")</f>
        <v>Experienced</v>
      </c>
      <c r="AB376" s="5" t="str" cm="1">
        <f t="array" ref="AB376">_xlfn.IFS(G376=1,"Junior",G376=2,"Mid-Level",G376=3,"Senior",G376=4,"Lead",G376=5,"Principal")&amp;" "&amp;TRIM(PROPER(H376))</f>
        <v>Mid-Level Sales Executive</v>
      </c>
      <c r="AC376" s="19" t="str">
        <f t="shared" ca="1" si="65"/>
        <v>Sa-Sal-2019-375 is a Mid-Level Sales Executive in the Sales department, aged 28, single and has been with the Company for 7years</v>
      </c>
    </row>
    <row r="377" spans="1:29">
      <c r="A377" s="18" t="str">
        <f t="shared" ca="1" si="55"/>
        <v>He-Res-2021-376</v>
      </c>
      <c r="B377" s="5">
        <v>49</v>
      </c>
      <c r="C377" s="5" t="str">
        <f t="shared" si="56"/>
        <v>40-49</v>
      </c>
      <c r="D377" s="5" t="s">
        <v>43</v>
      </c>
      <c r="E377" s="5" t="s">
        <v>45</v>
      </c>
      <c r="F377" s="5" t="s">
        <v>46</v>
      </c>
      <c r="G377" s="5">
        <v>3</v>
      </c>
      <c r="H377" s="5" t="s">
        <v>54</v>
      </c>
      <c r="I377" s="5" t="s">
        <v>41</v>
      </c>
      <c r="J377" s="7">
        <v>10965</v>
      </c>
      <c r="K377" s="7">
        <f t="shared" si="57"/>
        <v>2412.3000000000002</v>
      </c>
      <c r="L377" s="7">
        <f t="shared" si="58"/>
        <v>8552.7000000000007</v>
      </c>
      <c r="M377" s="7">
        <v>12066</v>
      </c>
      <c r="N377" s="5" t="s">
        <v>43</v>
      </c>
      <c r="O377" s="5">
        <v>24</v>
      </c>
      <c r="P377" s="7">
        <f t="shared" si="59"/>
        <v>13596.6</v>
      </c>
      <c r="Q377" s="7">
        <f t="shared" si="60"/>
        <v>31579.200000000004</v>
      </c>
      <c r="R377" s="7" t="str">
        <f t="shared" si="61"/>
        <v>Normal</v>
      </c>
      <c r="S377" s="5">
        <v>4</v>
      </c>
      <c r="T377" s="5">
        <v>3</v>
      </c>
      <c r="U377" s="5" t="str" cm="1">
        <f t="array" ref="U377">_xlfn.IFS(T377=1,"Poor",T377=2,"Fair",T377=3,"Good",T377=4,"Excellent")</f>
        <v>Good</v>
      </c>
      <c r="V377" s="5" t="s">
        <v>43</v>
      </c>
      <c r="W377" s="5">
        <v>5</v>
      </c>
      <c r="X377" s="28">
        <f t="shared" ca="1" si="62"/>
        <v>44285</v>
      </c>
      <c r="Y377" s="28">
        <f t="shared" ca="1" si="63"/>
        <v>46476</v>
      </c>
      <c r="Z377" s="28" t="str">
        <f t="shared" ca="1" si="64"/>
        <v>Due Soon</v>
      </c>
      <c r="AA377" s="5" t="str" cm="1">
        <f t="array" ref="AA377">_xlfn.IFS(W377&gt;10,"Veteran",W377&gt;=6,"Experienced",W377&gt;=2,"Developing",W377&gt;=0,"New")</f>
        <v>Developing</v>
      </c>
      <c r="AB377" s="5" t="str" cm="1">
        <f t="array" ref="AB377">_xlfn.IFS(G377=1,"Junior",G377=2,"Mid-Level",G377=3,"Senior",G377=4,"Lead",G377=5,"Principal")&amp;" "&amp;TRIM(PROPER(H377))</f>
        <v>Senior Healthcare Representative</v>
      </c>
      <c r="AC377" s="19" t="str">
        <f t="shared" ca="1" si="65"/>
        <v>He-Res-2021-376 is a Senior Healthcare Representative in the Research &amp; Development department, aged 49, single and has been with the Company for 5years</v>
      </c>
    </row>
    <row r="378" spans="1:29">
      <c r="A378" s="18" t="str">
        <f t="shared" ca="1" si="55"/>
        <v>Sa-Sal-2019-377</v>
      </c>
      <c r="B378" s="5">
        <v>51</v>
      </c>
      <c r="C378" s="5" t="str">
        <f t="shared" si="56"/>
        <v>50+</v>
      </c>
      <c r="D378" s="5" t="s">
        <v>43</v>
      </c>
      <c r="E378" s="5" t="s">
        <v>37</v>
      </c>
      <c r="F378" s="5" t="s">
        <v>39</v>
      </c>
      <c r="G378" s="5">
        <v>2</v>
      </c>
      <c r="H378" s="5" t="s">
        <v>40</v>
      </c>
      <c r="I378" s="5" t="s">
        <v>48</v>
      </c>
      <c r="J378" s="7">
        <v>4936</v>
      </c>
      <c r="K378" s="7">
        <f t="shared" si="57"/>
        <v>740.4</v>
      </c>
      <c r="L378" s="7">
        <f t="shared" si="58"/>
        <v>4195.6000000000004</v>
      </c>
      <c r="M378" s="7">
        <v>14862</v>
      </c>
      <c r="N378" s="5" t="s">
        <v>43</v>
      </c>
      <c r="O378" s="5">
        <v>11</v>
      </c>
      <c r="P378" s="7">
        <f t="shared" si="59"/>
        <v>5478.96</v>
      </c>
      <c r="Q378" s="7">
        <f t="shared" si="60"/>
        <v>6515.52</v>
      </c>
      <c r="R378" s="7" t="str">
        <f t="shared" si="61"/>
        <v>Normal</v>
      </c>
      <c r="S378" s="5">
        <v>3</v>
      </c>
      <c r="T378" s="5">
        <v>2</v>
      </c>
      <c r="U378" s="5" t="str" cm="1">
        <f t="array" ref="U378">_xlfn.IFS(T378=1,"Poor",T378=2,"Fair",T378=3,"Good",T378=4,"Excellent")</f>
        <v>Fair</v>
      </c>
      <c r="V378" s="5" t="s">
        <v>43</v>
      </c>
      <c r="W378" s="5">
        <v>7</v>
      </c>
      <c r="X378" s="28">
        <f t="shared" ca="1" si="62"/>
        <v>43554</v>
      </c>
      <c r="Y378" s="28">
        <f t="shared" ca="1" si="63"/>
        <v>46476</v>
      </c>
      <c r="Z378" s="28" t="str">
        <f t="shared" ca="1" si="64"/>
        <v>Due Soon</v>
      </c>
      <c r="AA378" s="5" t="str" cm="1">
        <f t="array" ref="AA378">_xlfn.IFS(W378&gt;10,"Veteran",W378&gt;=6,"Experienced",W378&gt;=2,"Developing",W378&gt;=0,"New")</f>
        <v>Experienced</v>
      </c>
      <c r="AB378" s="5" t="str" cm="1">
        <f t="array" ref="AB378">_xlfn.IFS(G378=1,"Junior",G378=2,"Mid-Level",G378=3,"Senior",G378=4,"Lead",G378=5,"Principal")&amp;" "&amp;TRIM(PROPER(H378))</f>
        <v>Mid-Level Sales Executive</v>
      </c>
      <c r="AC378" s="19" t="str">
        <f t="shared" ca="1" si="65"/>
        <v>Sa-Sal-2019-377 is a Mid-Level Sales Executive in the Sales department, aged 51, married and has been with the Company for 7years</v>
      </c>
    </row>
    <row r="379" spans="1:29">
      <c r="A379" s="18" t="str">
        <f t="shared" ca="1" si="55"/>
        <v>Re-Res-2024-378</v>
      </c>
      <c r="B379" s="5">
        <v>36</v>
      </c>
      <c r="C379" s="5" t="str">
        <f t="shared" si="56"/>
        <v>30-39</v>
      </c>
      <c r="D379" s="5" t="s">
        <v>43</v>
      </c>
      <c r="E379" s="5" t="s">
        <v>45</v>
      </c>
      <c r="F379" s="5" t="s">
        <v>39</v>
      </c>
      <c r="G379" s="5">
        <v>1</v>
      </c>
      <c r="H379" s="5" t="s">
        <v>47</v>
      </c>
      <c r="I379" s="5" t="s">
        <v>48</v>
      </c>
      <c r="J379" s="7">
        <v>2543</v>
      </c>
      <c r="K379" s="7">
        <f t="shared" si="57"/>
        <v>178.01000000000002</v>
      </c>
      <c r="L379" s="7">
        <f t="shared" si="58"/>
        <v>2364.9899999999998</v>
      </c>
      <c r="M379" s="7">
        <v>11868</v>
      </c>
      <c r="N379" s="5" t="s">
        <v>43</v>
      </c>
      <c r="O379" s="5">
        <v>13</v>
      </c>
      <c r="P379" s="7">
        <f t="shared" si="59"/>
        <v>2873.5899999999997</v>
      </c>
      <c r="Q379" s="7">
        <f t="shared" si="60"/>
        <v>3967.0799999999963</v>
      </c>
      <c r="R379" s="7" t="str">
        <f t="shared" si="61"/>
        <v>Normal</v>
      </c>
      <c r="S379" s="5">
        <v>3</v>
      </c>
      <c r="T379" s="5">
        <v>3</v>
      </c>
      <c r="U379" s="5" t="str" cm="1">
        <f t="array" ref="U379">_xlfn.IFS(T379=1,"Poor",T379=2,"Fair",T379=3,"Good",T379=4,"Excellent")</f>
        <v>Good</v>
      </c>
      <c r="V379" s="5" t="s">
        <v>43</v>
      </c>
      <c r="W379" s="5">
        <v>2</v>
      </c>
      <c r="X379" s="28">
        <f t="shared" ca="1" si="62"/>
        <v>45381</v>
      </c>
      <c r="Y379" s="28">
        <f t="shared" ca="1" si="63"/>
        <v>46842</v>
      </c>
      <c r="Z379" s="28" t="str">
        <f t="shared" ca="1" si="64"/>
        <v>Upcoming</v>
      </c>
      <c r="AA379" s="5" t="str" cm="1">
        <f t="array" ref="AA379">_xlfn.IFS(W379&gt;10,"Veteran",W379&gt;=6,"Experienced",W379&gt;=2,"Developing",W379&gt;=0,"New")</f>
        <v>Developing</v>
      </c>
      <c r="AB379" s="5" t="str" cm="1">
        <f t="array" ref="AB379">_xlfn.IFS(G379=1,"Junior",G379=2,"Mid-Level",G379=3,"Senior",G379=4,"Lead",G379=5,"Principal")&amp;" "&amp;TRIM(PROPER(H379))</f>
        <v>Junior Research Scientist</v>
      </c>
      <c r="AC379" s="19" t="str">
        <f t="shared" ca="1" si="65"/>
        <v>Re-Res-2024-378 is a Junior Research Scientist in the Research &amp; Development department, aged 36, married and has been with the Company for 2years</v>
      </c>
    </row>
    <row r="380" spans="1:29">
      <c r="A380" s="18" t="str">
        <f t="shared" ca="1" si="55"/>
        <v>Sa-Sal-2021-379</v>
      </c>
      <c r="B380" s="5">
        <v>34</v>
      </c>
      <c r="C380" s="5" t="str">
        <f t="shared" si="56"/>
        <v>30-39</v>
      </c>
      <c r="D380" s="5" t="s">
        <v>35</v>
      </c>
      <c r="E380" s="5" t="s">
        <v>37</v>
      </c>
      <c r="F380" s="5" t="s">
        <v>46</v>
      </c>
      <c r="G380" s="5">
        <v>2</v>
      </c>
      <c r="H380" s="5" t="s">
        <v>40</v>
      </c>
      <c r="I380" s="5" t="s">
        <v>41</v>
      </c>
      <c r="J380" s="7">
        <v>5304</v>
      </c>
      <c r="K380" s="7">
        <f t="shared" si="57"/>
        <v>795.6</v>
      </c>
      <c r="L380" s="7">
        <f t="shared" si="58"/>
        <v>4508.3999999999996</v>
      </c>
      <c r="M380" s="7">
        <v>4652</v>
      </c>
      <c r="N380" s="5" t="s">
        <v>35</v>
      </c>
      <c r="O380" s="5">
        <v>13</v>
      </c>
      <c r="P380" s="7">
        <f t="shared" si="59"/>
        <v>5993.5199999999995</v>
      </c>
      <c r="Q380" s="7">
        <f t="shared" si="60"/>
        <v>8274.2399999999943</v>
      </c>
      <c r="R380" s="7" t="str">
        <f t="shared" si="61"/>
        <v>Normal</v>
      </c>
      <c r="S380" s="5">
        <v>3</v>
      </c>
      <c r="T380" s="5">
        <v>2</v>
      </c>
      <c r="U380" s="5" t="str" cm="1">
        <f t="array" ref="U380">_xlfn.IFS(T380=1,"Poor",T380=2,"Fair",T380=3,"Good",T380=4,"Excellent")</f>
        <v>Fair</v>
      </c>
      <c r="V380" s="5" t="s">
        <v>35</v>
      </c>
      <c r="W380" s="5">
        <v>5</v>
      </c>
      <c r="X380" s="28">
        <f t="shared" ca="1" si="62"/>
        <v>44285</v>
      </c>
      <c r="Y380" s="28">
        <f t="shared" ca="1" si="63"/>
        <v>46476</v>
      </c>
      <c r="Z380" s="28" t="str">
        <f t="shared" ca="1" si="64"/>
        <v>Due Soon</v>
      </c>
      <c r="AA380" s="5" t="str" cm="1">
        <f t="array" ref="AA380">_xlfn.IFS(W380&gt;10,"Veteran",W380&gt;=6,"Experienced",W380&gt;=2,"Developing",W380&gt;=0,"New")</f>
        <v>Developing</v>
      </c>
      <c r="AB380" s="5" t="str" cm="1">
        <f t="array" ref="AB380">_xlfn.IFS(G380=1,"Junior",G380=2,"Mid-Level",G380=3,"Senior",G380=4,"Lead",G380=5,"Principal")&amp;" "&amp;TRIM(PROPER(H380))</f>
        <v>Mid-Level Sales Executive</v>
      </c>
      <c r="AC380" s="19" t="str">
        <f t="shared" ca="1" si="65"/>
        <v>Sa-Sal-2021-379 is a Mid-Level Sales Executive in the Sales department, aged 34, single and has been with the Company for 5years</v>
      </c>
    </row>
    <row r="381" spans="1:29">
      <c r="A381" s="18" t="str">
        <f t="shared" ca="1" si="55"/>
        <v>Ma-Res-2021-380</v>
      </c>
      <c r="B381" s="5">
        <v>55</v>
      </c>
      <c r="C381" s="5" t="str">
        <f t="shared" si="56"/>
        <v>50+</v>
      </c>
      <c r="D381" s="5" t="s">
        <v>43</v>
      </c>
      <c r="E381" s="5" t="s">
        <v>45</v>
      </c>
      <c r="F381" s="5" t="s">
        <v>39</v>
      </c>
      <c r="G381" s="5">
        <v>4</v>
      </c>
      <c r="H381" s="5" t="s">
        <v>56</v>
      </c>
      <c r="I381" s="5" t="s">
        <v>41</v>
      </c>
      <c r="J381" s="7">
        <v>16659</v>
      </c>
      <c r="K381" s="7">
        <f t="shared" si="57"/>
        <v>4997.7</v>
      </c>
      <c r="L381" s="7">
        <f t="shared" si="58"/>
        <v>11661.3</v>
      </c>
      <c r="M381" s="7">
        <v>23258</v>
      </c>
      <c r="N381" s="5" t="s">
        <v>35</v>
      </c>
      <c r="O381" s="5">
        <v>13</v>
      </c>
      <c r="P381" s="7">
        <f t="shared" si="59"/>
        <v>18824.669999999998</v>
      </c>
      <c r="Q381" s="7">
        <f t="shared" si="60"/>
        <v>25988.039999999979</v>
      </c>
      <c r="R381" s="7" t="str">
        <f t="shared" si="61"/>
        <v>Normal</v>
      </c>
      <c r="S381" s="5">
        <v>3</v>
      </c>
      <c r="T381" s="5">
        <v>3</v>
      </c>
      <c r="U381" s="5" t="str" cm="1">
        <f t="array" ref="U381">_xlfn.IFS(T381=1,"Poor",T381=2,"Fair",T381=3,"Good",T381=4,"Excellent")</f>
        <v>Good</v>
      </c>
      <c r="V381" s="5" t="s">
        <v>35</v>
      </c>
      <c r="W381" s="5">
        <v>5</v>
      </c>
      <c r="X381" s="28">
        <f t="shared" ca="1" si="62"/>
        <v>44285</v>
      </c>
      <c r="Y381" s="28">
        <f t="shared" ca="1" si="63"/>
        <v>46476</v>
      </c>
      <c r="Z381" s="28" t="str">
        <f t="shared" ca="1" si="64"/>
        <v>Due Soon</v>
      </c>
      <c r="AA381" s="5" t="str" cm="1">
        <f t="array" ref="AA381">_xlfn.IFS(W381&gt;10,"Veteran",W381&gt;=6,"Experienced",W381&gt;=2,"Developing",W381&gt;=0,"New")</f>
        <v>Developing</v>
      </c>
      <c r="AB381" s="5" t="str" cm="1">
        <f t="array" ref="AB381">_xlfn.IFS(G381=1,"Junior",G381=2,"Mid-Level",G381=3,"Senior",G381=4,"Lead",G381=5,"Principal")&amp;" "&amp;TRIM(PROPER(H381))</f>
        <v>Lead Manager</v>
      </c>
      <c r="AC381" s="19" t="str">
        <f t="shared" ca="1" si="65"/>
        <v>Ma-Res-2021-380 is a Lead Manager in the Research &amp; Development department, aged 55, single and has been with the Company for 5years</v>
      </c>
    </row>
    <row r="382" spans="1:29">
      <c r="A382" s="18" t="str">
        <f t="shared" ca="1" si="55"/>
        <v>Sa-Sal-2021-381</v>
      </c>
      <c r="B382" s="5">
        <v>24</v>
      </c>
      <c r="C382" s="5" t="str">
        <f t="shared" si="56"/>
        <v>20-29</v>
      </c>
      <c r="D382" s="5" t="s">
        <v>43</v>
      </c>
      <c r="E382" s="5" t="s">
        <v>37</v>
      </c>
      <c r="F382" s="5" t="s">
        <v>39</v>
      </c>
      <c r="G382" s="5">
        <v>2</v>
      </c>
      <c r="H382" s="5" t="s">
        <v>40</v>
      </c>
      <c r="I382" s="5" t="s">
        <v>52</v>
      </c>
      <c r="J382" s="7">
        <v>4260</v>
      </c>
      <c r="K382" s="7">
        <f t="shared" si="57"/>
        <v>639</v>
      </c>
      <c r="L382" s="7">
        <f t="shared" si="58"/>
        <v>3621</v>
      </c>
      <c r="M382" s="7">
        <v>5915</v>
      </c>
      <c r="N382" s="5" t="s">
        <v>35</v>
      </c>
      <c r="O382" s="5">
        <v>12</v>
      </c>
      <c r="P382" s="7">
        <f t="shared" si="59"/>
        <v>4771.2000000000007</v>
      </c>
      <c r="Q382" s="7">
        <f t="shared" si="60"/>
        <v>6134.4000000000087</v>
      </c>
      <c r="R382" s="7" t="str">
        <f t="shared" si="61"/>
        <v>Normal</v>
      </c>
      <c r="S382" s="5">
        <v>3</v>
      </c>
      <c r="T382" s="5">
        <v>4</v>
      </c>
      <c r="U382" s="5" t="str" cm="1">
        <f t="array" ref="U382">_xlfn.IFS(T382=1,"Poor",T382=2,"Fair",T382=3,"Good",T382=4,"Excellent")</f>
        <v>Excellent</v>
      </c>
      <c r="V382" s="5" t="s">
        <v>35</v>
      </c>
      <c r="W382" s="5">
        <v>5</v>
      </c>
      <c r="X382" s="28">
        <f t="shared" ca="1" si="62"/>
        <v>44285</v>
      </c>
      <c r="Y382" s="28">
        <f t="shared" ca="1" si="63"/>
        <v>46476</v>
      </c>
      <c r="Z382" s="28" t="str">
        <f t="shared" ca="1" si="64"/>
        <v>Due Soon</v>
      </c>
      <c r="AA382" s="5" t="str" cm="1">
        <f t="array" ref="AA382">_xlfn.IFS(W382&gt;10,"Veteran",W382&gt;=6,"Experienced",W382&gt;=2,"Developing",W382&gt;=0,"New")</f>
        <v>Developing</v>
      </c>
      <c r="AB382" s="5" t="str" cm="1">
        <f t="array" ref="AB382">_xlfn.IFS(G382=1,"Junior",G382=2,"Mid-Level",G382=3,"Senior",G382=4,"Lead",G382=5,"Principal")&amp;" "&amp;TRIM(PROPER(H382))</f>
        <v>Mid-Level Sales Executive</v>
      </c>
      <c r="AC382" s="19" t="str">
        <f t="shared" ca="1" si="65"/>
        <v>Sa-Sal-2021-381 is a Mid-Level Sales Executive in the Sales department, aged 24, divorced and has been with the Company for 5years</v>
      </c>
    </row>
    <row r="383" spans="1:29">
      <c r="A383" s="18" t="str">
        <f t="shared" ca="1" si="55"/>
        <v>Sa-Sal-2025-382</v>
      </c>
      <c r="B383" s="5">
        <v>30</v>
      </c>
      <c r="C383" s="5" t="str">
        <f t="shared" si="56"/>
        <v>30-39</v>
      </c>
      <c r="D383" s="5" t="s">
        <v>43</v>
      </c>
      <c r="E383" s="5" t="s">
        <v>37</v>
      </c>
      <c r="F383" s="5" t="s">
        <v>46</v>
      </c>
      <c r="G383" s="5">
        <v>1</v>
      </c>
      <c r="H383" s="5" t="s">
        <v>57</v>
      </c>
      <c r="I383" s="5" t="s">
        <v>48</v>
      </c>
      <c r="J383" s="7">
        <v>2476</v>
      </c>
      <c r="K383" s="7">
        <f t="shared" si="57"/>
        <v>173.32000000000002</v>
      </c>
      <c r="L383" s="7">
        <f t="shared" si="58"/>
        <v>2302.6799999999998</v>
      </c>
      <c r="M383" s="7">
        <v>17434</v>
      </c>
      <c r="N383" s="5" t="s">
        <v>43</v>
      </c>
      <c r="O383" s="5">
        <v>18</v>
      </c>
      <c r="P383" s="7">
        <f t="shared" si="59"/>
        <v>2921.68</v>
      </c>
      <c r="Q383" s="7">
        <f t="shared" si="60"/>
        <v>5348.159999999998</v>
      </c>
      <c r="R383" s="7" t="str">
        <f t="shared" si="61"/>
        <v>Normal</v>
      </c>
      <c r="S383" s="5">
        <v>3</v>
      </c>
      <c r="T383" s="5">
        <v>3</v>
      </c>
      <c r="U383" s="5" t="str" cm="1">
        <f t="array" ref="U383">_xlfn.IFS(T383=1,"Poor",T383=2,"Fair",T383=3,"Good",T383=4,"Excellent")</f>
        <v>Good</v>
      </c>
      <c r="V383" s="5" t="s">
        <v>43</v>
      </c>
      <c r="W383" s="5">
        <v>1</v>
      </c>
      <c r="X383" s="28">
        <f t="shared" ca="1" si="62"/>
        <v>45746</v>
      </c>
      <c r="Y383" s="28">
        <f t="shared" ca="1" si="63"/>
        <v>46476</v>
      </c>
      <c r="Z383" s="28" t="str">
        <f t="shared" ca="1" si="64"/>
        <v>Due Soon</v>
      </c>
      <c r="AA383" s="5" t="str" cm="1">
        <f t="array" ref="AA383">_xlfn.IFS(W383&gt;10,"Veteran",W383&gt;=6,"Experienced",W383&gt;=2,"Developing",W383&gt;=0,"New")</f>
        <v>New</v>
      </c>
      <c r="AB383" s="5" t="str" cm="1">
        <f t="array" ref="AB383">_xlfn.IFS(G383=1,"Junior",G383=2,"Mid-Level",G383=3,"Senior",G383=4,"Lead",G383=5,"Principal")&amp;" "&amp;TRIM(PROPER(H383))</f>
        <v>Junior Sales Representative</v>
      </c>
      <c r="AC383" s="19" t="str">
        <f t="shared" ca="1" si="65"/>
        <v>Sa-Sal-2025-382 is a Junior Sales Representative in the Sales department, aged 30, married and has been with the Company for 1years</v>
      </c>
    </row>
    <row r="384" spans="1:29">
      <c r="A384" s="18" t="str">
        <f t="shared" ca="1" si="55"/>
        <v>Re-Res-2020-383</v>
      </c>
      <c r="B384" s="5">
        <v>26</v>
      </c>
      <c r="C384" s="5" t="str">
        <f t="shared" si="56"/>
        <v>20-29</v>
      </c>
      <c r="D384" s="5" t="s">
        <v>35</v>
      </c>
      <c r="E384" s="5" t="s">
        <v>45</v>
      </c>
      <c r="F384" s="5" t="s">
        <v>46</v>
      </c>
      <c r="G384" s="5">
        <v>1</v>
      </c>
      <c r="H384" s="5" t="s">
        <v>47</v>
      </c>
      <c r="I384" s="5" t="s">
        <v>41</v>
      </c>
      <c r="J384" s="7">
        <v>3102</v>
      </c>
      <c r="K384" s="7">
        <f t="shared" si="57"/>
        <v>465.29999999999995</v>
      </c>
      <c r="L384" s="7">
        <f t="shared" si="58"/>
        <v>2636.7</v>
      </c>
      <c r="M384" s="7">
        <v>6582</v>
      </c>
      <c r="N384" s="5" t="s">
        <v>43</v>
      </c>
      <c r="O384" s="5">
        <v>22</v>
      </c>
      <c r="P384" s="7">
        <f t="shared" si="59"/>
        <v>3784.44</v>
      </c>
      <c r="Q384" s="7">
        <f t="shared" si="60"/>
        <v>8189.2800000000007</v>
      </c>
      <c r="R384" s="7" t="str">
        <f t="shared" si="61"/>
        <v>Normal</v>
      </c>
      <c r="S384" s="5">
        <v>4</v>
      </c>
      <c r="T384" s="5">
        <v>3</v>
      </c>
      <c r="U384" s="5" t="str" cm="1">
        <f t="array" ref="U384">_xlfn.IFS(T384=1,"Poor",T384=2,"Fair",T384=3,"Good",T384=4,"Excellent")</f>
        <v>Good</v>
      </c>
      <c r="V384" s="5" t="s">
        <v>43</v>
      </c>
      <c r="W384" s="5">
        <v>6</v>
      </c>
      <c r="X384" s="28">
        <f t="shared" ca="1" si="62"/>
        <v>43920</v>
      </c>
      <c r="Y384" s="28">
        <f t="shared" ca="1" si="63"/>
        <v>46842</v>
      </c>
      <c r="Z384" s="28" t="str">
        <f t="shared" ca="1" si="64"/>
        <v>Upcoming</v>
      </c>
      <c r="AA384" s="5" t="str" cm="1">
        <f t="array" ref="AA384">_xlfn.IFS(W384&gt;10,"Veteran",W384&gt;=6,"Experienced",W384&gt;=2,"Developing",W384&gt;=0,"New")</f>
        <v>Experienced</v>
      </c>
      <c r="AB384" s="5" t="str" cm="1">
        <f t="array" ref="AB384">_xlfn.IFS(G384=1,"Junior",G384=2,"Mid-Level",G384=3,"Senior",G384=4,"Lead",G384=5,"Principal")&amp;" "&amp;TRIM(PROPER(H384))</f>
        <v>Junior Research Scientist</v>
      </c>
      <c r="AC384" s="19" t="str">
        <f t="shared" ca="1" si="65"/>
        <v>Re-Res-2020-383 is a Junior Research Scientist in the Research &amp; Development department, aged 26, single and has been with the Company for 6years</v>
      </c>
    </row>
    <row r="385" spans="1:29">
      <c r="A385" s="18" t="str">
        <f t="shared" ca="1" si="55"/>
        <v>Re-Res-2024-384</v>
      </c>
      <c r="B385" s="5">
        <v>22</v>
      </c>
      <c r="C385" s="5" t="str">
        <f t="shared" si="56"/>
        <v>20-29</v>
      </c>
      <c r="D385" s="5" t="s">
        <v>43</v>
      </c>
      <c r="E385" s="5" t="s">
        <v>45</v>
      </c>
      <c r="F385" s="5" t="s">
        <v>39</v>
      </c>
      <c r="G385" s="5">
        <v>1</v>
      </c>
      <c r="H385" s="5" t="s">
        <v>47</v>
      </c>
      <c r="I385" s="5" t="s">
        <v>48</v>
      </c>
      <c r="J385" s="7">
        <v>2244</v>
      </c>
      <c r="K385" s="7">
        <f t="shared" si="57"/>
        <v>157.08000000000001</v>
      </c>
      <c r="L385" s="7">
        <f t="shared" si="58"/>
        <v>2086.92</v>
      </c>
      <c r="M385" s="7">
        <v>24440</v>
      </c>
      <c r="N385" s="5" t="s">
        <v>43</v>
      </c>
      <c r="O385" s="5">
        <v>13</v>
      </c>
      <c r="P385" s="7">
        <f t="shared" si="59"/>
        <v>2535.7199999999998</v>
      </c>
      <c r="Q385" s="7">
        <f t="shared" si="60"/>
        <v>3500.6399999999976</v>
      </c>
      <c r="R385" s="7" t="str">
        <f t="shared" si="61"/>
        <v>Normal</v>
      </c>
      <c r="S385" s="5">
        <v>3</v>
      </c>
      <c r="T385" s="5">
        <v>3</v>
      </c>
      <c r="U385" s="5" t="str" cm="1">
        <f t="array" ref="U385">_xlfn.IFS(T385=1,"Poor",T385=2,"Fair",T385=3,"Good",T385=4,"Excellent")</f>
        <v>Good</v>
      </c>
      <c r="V385" s="5" t="s">
        <v>43</v>
      </c>
      <c r="W385" s="5">
        <v>2</v>
      </c>
      <c r="X385" s="28">
        <f t="shared" ca="1" si="62"/>
        <v>45381</v>
      </c>
      <c r="Y385" s="28">
        <f t="shared" ca="1" si="63"/>
        <v>46842</v>
      </c>
      <c r="Z385" s="28" t="str">
        <f t="shared" ca="1" si="64"/>
        <v>Upcoming</v>
      </c>
      <c r="AA385" s="5" t="str" cm="1">
        <f t="array" ref="AA385">_xlfn.IFS(W385&gt;10,"Veteran",W385&gt;=6,"Experienced",W385&gt;=2,"Developing",W385&gt;=0,"New")</f>
        <v>Developing</v>
      </c>
      <c r="AB385" s="5" t="str" cm="1">
        <f t="array" ref="AB385">_xlfn.IFS(G385=1,"Junior",G385=2,"Mid-Level",G385=3,"Senior",G385=4,"Lead",G385=5,"Principal")&amp;" "&amp;TRIM(PROPER(H385))</f>
        <v>Junior Research Scientist</v>
      </c>
      <c r="AC385" s="19" t="str">
        <f t="shared" ca="1" si="65"/>
        <v>Re-Res-2024-384 is a Junior Research Scientist in the Research &amp; Development department, aged 22, married and has been with the Company for 2years</v>
      </c>
    </row>
    <row r="386" spans="1:29">
      <c r="A386" s="18" t="str">
        <f t="shared" ca="1" si="55"/>
        <v>Sa-Sal-2016-385</v>
      </c>
      <c r="B386" s="5">
        <v>36</v>
      </c>
      <c r="C386" s="5" t="str">
        <f t="shared" si="56"/>
        <v>30-39</v>
      </c>
      <c r="D386" s="5" t="s">
        <v>43</v>
      </c>
      <c r="E386" s="5" t="s">
        <v>37</v>
      </c>
      <c r="F386" s="5" t="s">
        <v>46</v>
      </c>
      <c r="G386" s="5">
        <v>3</v>
      </c>
      <c r="H386" s="5" t="s">
        <v>40</v>
      </c>
      <c r="I386" s="5" t="s">
        <v>48</v>
      </c>
      <c r="J386" s="7">
        <v>7596</v>
      </c>
      <c r="K386" s="7">
        <f t="shared" si="57"/>
        <v>1671.1200000000001</v>
      </c>
      <c r="L386" s="7">
        <f t="shared" si="58"/>
        <v>5924.88</v>
      </c>
      <c r="M386" s="7">
        <v>3809</v>
      </c>
      <c r="N386" s="5" t="s">
        <v>43</v>
      </c>
      <c r="O386" s="5">
        <v>13</v>
      </c>
      <c r="P386" s="7">
        <f t="shared" si="59"/>
        <v>8583.48</v>
      </c>
      <c r="Q386" s="7">
        <f t="shared" si="60"/>
        <v>11849.759999999995</v>
      </c>
      <c r="R386" s="7" t="str">
        <f t="shared" si="61"/>
        <v>Normal</v>
      </c>
      <c r="S386" s="5">
        <v>3</v>
      </c>
      <c r="T386" s="5">
        <v>3</v>
      </c>
      <c r="U386" s="5" t="str" cm="1">
        <f t="array" ref="U386">_xlfn.IFS(T386=1,"Poor",T386=2,"Fair",T386=3,"Good",T386=4,"Excellent")</f>
        <v>Good</v>
      </c>
      <c r="V386" s="5" t="s">
        <v>43</v>
      </c>
      <c r="W386" s="5">
        <v>10</v>
      </c>
      <c r="X386" s="28">
        <f t="shared" ca="1" si="62"/>
        <v>42459</v>
      </c>
      <c r="Y386" s="28">
        <f t="shared" ca="1" si="63"/>
        <v>46842</v>
      </c>
      <c r="Z386" s="28" t="str">
        <f t="shared" ca="1" si="64"/>
        <v>Upcoming</v>
      </c>
      <c r="AA386" s="5" t="str" cm="1">
        <f t="array" ref="AA386">_xlfn.IFS(W386&gt;10,"Veteran",W386&gt;=6,"Experienced",W386&gt;=2,"Developing",W386&gt;=0,"New")</f>
        <v>Experienced</v>
      </c>
      <c r="AB386" s="5" t="str" cm="1">
        <f t="array" ref="AB386">_xlfn.IFS(G386=1,"Junior",G386=2,"Mid-Level",G386=3,"Senior",G386=4,"Lead",G386=5,"Principal")&amp;" "&amp;TRIM(PROPER(H386))</f>
        <v>Senior Sales Executive</v>
      </c>
      <c r="AC386" s="19" t="str">
        <f t="shared" ca="1" si="65"/>
        <v>Sa-Sal-2016-385 is a Senior Sales Executive in the Sales department, aged 36, married and has been with the Company for 10years</v>
      </c>
    </row>
    <row r="387" spans="1:29">
      <c r="A387" s="18" t="str">
        <f t="shared" ref="A387:A450" ca="1" si="66">LEFT(H387,2)&amp;"-"&amp;LEFT(E387,3)&amp;"-"&amp;YEAR(TODAY())-W387&amp;"-"&amp;TEXT(ROW()-1,"000")</f>
        <v>Re-Res-2025-386</v>
      </c>
      <c r="B387" s="5">
        <v>30</v>
      </c>
      <c r="C387" s="5" t="str">
        <f t="shared" ref="C387:C450" si="67">IF(B387&lt;=29,"20-29",IF(B387&lt;=39,"30-39",IF(B387&lt;=49,"40-49","50+")))</f>
        <v>30-39</v>
      </c>
      <c r="D387" s="5" t="s">
        <v>35</v>
      </c>
      <c r="E387" s="5" t="s">
        <v>45</v>
      </c>
      <c r="F387" s="5" t="s">
        <v>46</v>
      </c>
      <c r="G387" s="5">
        <v>1</v>
      </c>
      <c r="H387" s="5" t="s">
        <v>47</v>
      </c>
      <c r="I387" s="5" t="s">
        <v>41</v>
      </c>
      <c r="J387" s="7">
        <v>2285</v>
      </c>
      <c r="K387" s="7">
        <f t="shared" ref="K387:K450" si="68">IF(J387&gt;13000,J387*30%,IF(J387&gt;7000,J387*22%,IF(J387&gt;3000,J387*15%,J387*7%)))</f>
        <v>159.95000000000002</v>
      </c>
      <c r="L387" s="7">
        <f t="shared" ref="L387:L450" si="69">J387-K387</f>
        <v>2125.0500000000002</v>
      </c>
      <c r="M387" s="7">
        <v>3427</v>
      </c>
      <c r="N387" s="5" t="s">
        <v>35</v>
      </c>
      <c r="O387" s="5">
        <v>23</v>
      </c>
      <c r="P387" s="7">
        <f t="shared" ref="P387:P450" si="70">J387*(1+(O387/100))</f>
        <v>2810.55</v>
      </c>
      <c r="Q387" s="7">
        <f t="shared" ref="Q387:Q450" si="71">(P387-J387)*12</f>
        <v>6306.6000000000022</v>
      </c>
      <c r="R387" s="7" t="str">
        <f t="shared" ref="R387:R450" si="72">IF(AND(O387&lt;12,S387=4),"UnderPaid","Normal")</f>
        <v>Normal</v>
      </c>
      <c r="S387" s="5">
        <v>4</v>
      </c>
      <c r="T387" s="5">
        <v>3</v>
      </c>
      <c r="U387" s="5" t="str" cm="1">
        <f t="array" ref="U387">_xlfn.IFS(T387=1,"Poor",T387=2,"Fair",T387=3,"Good",T387=4,"Excellent")</f>
        <v>Good</v>
      </c>
      <c r="V387" s="5" t="s">
        <v>35</v>
      </c>
      <c r="W387" s="5">
        <v>1</v>
      </c>
      <c r="X387" s="28">
        <f t="shared" ref="X387:X450" ca="1" si="73">EDATE(TODAY(),-W387*12)</f>
        <v>45746</v>
      </c>
      <c r="Y387" s="28">
        <f t="shared" ref="Y387:Y450" ca="1" si="74">EDATE(X387,(INT(W387/2)+1)*24)</f>
        <v>46476</v>
      </c>
      <c r="Z387" s="28" t="str">
        <f t="shared" ref="Z387:Z450" ca="1" si="75">IF(Y387&lt;=EDATE(TODAY(),12),"Due Soon","Upcoming")</f>
        <v>Due Soon</v>
      </c>
      <c r="AA387" s="5" t="str" cm="1">
        <f t="array" ref="AA387">_xlfn.IFS(W387&gt;10,"Veteran",W387&gt;=6,"Experienced",W387&gt;=2,"Developing",W387&gt;=0,"New")</f>
        <v>New</v>
      </c>
      <c r="AB387" s="5" t="str" cm="1">
        <f t="array" ref="AB387">_xlfn.IFS(G387=1,"Junior",G387=2,"Mid-Level",G387=3,"Senior",G387=4,"Lead",G387=5,"Principal")&amp;" "&amp;TRIM(PROPER(H387))</f>
        <v>Junior Research Scientist</v>
      </c>
      <c r="AC387" s="19" t="str">
        <f t="shared" ref="AC387:AC450" ca="1" si="76">A387&amp;" is a "&amp;AB387&amp;" in the "&amp;E387&amp;" department, aged "&amp;B387&amp;", "&amp;LOWER(I387)&amp;" and has been with the Company for "&amp;W387&amp;"years"</f>
        <v>Re-Res-2025-386 is a Junior Research Scientist in the Research &amp; Development department, aged 30, single and has been with the Company for 1years</v>
      </c>
    </row>
    <row r="388" spans="1:29">
      <c r="A388" s="18" t="str">
        <f t="shared" ca="1" si="66"/>
        <v>La-Res-2008-387</v>
      </c>
      <c r="B388" s="5">
        <v>37</v>
      </c>
      <c r="C388" s="5" t="str">
        <f t="shared" si="67"/>
        <v>30-39</v>
      </c>
      <c r="D388" s="5" t="s">
        <v>43</v>
      </c>
      <c r="E388" s="5" t="s">
        <v>45</v>
      </c>
      <c r="F388" s="5" t="s">
        <v>39</v>
      </c>
      <c r="G388" s="5">
        <v>1</v>
      </c>
      <c r="H388" s="5" t="s">
        <v>50</v>
      </c>
      <c r="I388" s="5" t="s">
        <v>52</v>
      </c>
      <c r="J388" s="7">
        <v>3034</v>
      </c>
      <c r="K388" s="7">
        <f t="shared" si="68"/>
        <v>455.09999999999997</v>
      </c>
      <c r="L388" s="7">
        <f t="shared" si="69"/>
        <v>2578.9</v>
      </c>
      <c r="M388" s="7">
        <v>26914</v>
      </c>
      <c r="N388" s="5" t="s">
        <v>43</v>
      </c>
      <c r="O388" s="5">
        <v>12</v>
      </c>
      <c r="P388" s="7">
        <f t="shared" si="70"/>
        <v>3398.0800000000004</v>
      </c>
      <c r="Q388" s="7">
        <f t="shared" si="71"/>
        <v>4368.9600000000046</v>
      </c>
      <c r="R388" s="7" t="str">
        <f t="shared" si="72"/>
        <v>Normal</v>
      </c>
      <c r="S388" s="5">
        <v>3</v>
      </c>
      <c r="T388" s="5">
        <v>2</v>
      </c>
      <c r="U388" s="5" t="str" cm="1">
        <f t="array" ref="U388">_xlfn.IFS(T388=1,"Poor",T388=2,"Fair",T388=3,"Good",T388=4,"Excellent")</f>
        <v>Fair</v>
      </c>
      <c r="V388" s="5" t="s">
        <v>43</v>
      </c>
      <c r="W388" s="5">
        <v>18</v>
      </c>
      <c r="X388" s="28">
        <f t="shared" ca="1" si="73"/>
        <v>39537</v>
      </c>
      <c r="Y388" s="28">
        <f t="shared" ca="1" si="74"/>
        <v>46842</v>
      </c>
      <c r="Z388" s="28" t="str">
        <f t="shared" ca="1" si="75"/>
        <v>Upcoming</v>
      </c>
      <c r="AA388" s="5" t="str" cm="1">
        <f t="array" ref="AA388">_xlfn.IFS(W388&gt;10,"Veteran",W388&gt;=6,"Experienced",W388&gt;=2,"Developing",W388&gt;=0,"New")</f>
        <v>Veteran</v>
      </c>
      <c r="AB388" s="5" t="str" cm="1">
        <f t="array" ref="AB388">_xlfn.IFS(G388=1,"Junior",G388=2,"Mid-Level",G388=3,"Senior",G388=4,"Lead",G388=5,"Principal")&amp;" "&amp;TRIM(PROPER(H388))</f>
        <v>Junior Laboratory Technician</v>
      </c>
      <c r="AC388" s="19" t="str">
        <f t="shared" ca="1" si="76"/>
        <v>La-Res-2008-387 is a Junior Laboratory Technician in the Research &amp; Development department, aged 37, divorced and has been with the Company for 18years</v>
      </c>
    </row>
    <row r="389" spans="1:29">
      <c r="A389" s="18" t="str">
        <f t="shared" ca="1" si="66"/>
        <v>Sa-Sal-2021-388</v>
      </c>
      <c r="B389" s="5">
        <v>40</v>
      </c>
      <c r="C389" s="5" t="str">
        <f t="shared" si="67"/>
        <v>40-49</v>
      </c>
      <c r="D389" s="5" t="s">
        <v>43</v>
      </c>
      <c r="E389" s="5" t="s">
        <v>37</v>
      </c>
      <c r="F389" s="5" t="s">
        <v>39</v>
      </c>
      <c r="G389" s="5">
        <v>2</v>
      </c>
      <c r="H389" s="5" t="s">
        <v>40</v>
      </c>
      <c r="I389" s="5" t="s">
        <v>52</v>
      </c>
      <c r="J389" s="7">
        <v>5715</v>
      </c>
      <c r="K389" s="7">
        <f t="shared" si="68"/>
        <v>857.25</v>
      </c>
      <c r="L389" s="7">
        <f t="shared" si="69"/>
        <v>4857.75</v>
      </c>
      <c r="M389" s="7">
        <v>22553</v>
      </c>
      <c r="N389" s="5" t="s">
        <v>43</v>
      </c>
      <c r="O389" s="5">
        <v>12</v>
      </c>
      <c r="P389" s="7">
        <f t="shared" si="70"/>
        <v>6400.8</v>
      </c>
      <c r="Q389" s="7">
        <f t="shared" si="71"/>
        <v>8229.6000000000022</v>
      </c>
      <c r="R389" s="7" t="str">
        <f t="shared" si="72"/>
        <v>Normal</v>
      </c>
      <c r="S389" s="5">
        <v>3</v>
      </c>
      <c r="T389" s="5">
        <v>3</v>
      </c>
      <c r="U389" s="5" t="str" cm="1">
        <f t="array" ref="U389">_xlfn.IFS(T389=1,"Poor",T389=2,"Fair",T389=3,"Good",T389=4,"Excellent")</f>
        <v>Good</v>
      </c>
      <c r="V389" s="5" t="s">
        <v>43</v>
      </c>
      <c r="W389" s="5">
        <v>5</v>
      </c>
      <c r="X389" s="28">
        <f t="shared" ca="1" si="73"/>
        <v>44285</v>
      </c>
      <c r="Y389" s="28">
        <f t="shared" ca="1" si="74"/>
        <v>46476</v>
      </c>
      <c r="Z389" s="28" t="str">
        <f t="shared" ca="1" si="75"/>
        <v>Due Soon</v>
      </c>
      <c r="AA389" s="5" t="str" cm="1">
        <f t="array" ref="AA389">_xlfn.IFS(W389&gt;10,"Veteran",W389&gt;=6,"Experienced",W389&gt;=2,"Developing",W389&gt;=0,"New")</f>
        <v>Developing</v>
      </c>
      <c r="AB389" s="5" t="str" cm="1">
        <f t="array" ref="AB389">_xlfn.IFS(G389=1,"Junior",G389=2,"Mid-Level",G389=3,"Senior",G389=4,"Lead",G389=5,"Principal")&amp;" "&amp;TRIM(PROPER(H389))</f>
        <v>Mid-Level Sales Executive</v>
      </c>
      <c r="AC389" s="19" t="str">
        <f t="shared" ca="1" si="76"/>
        <v>Sa-Sal-2021-388 is a Mid-Level Sales Executive in the Sales department, aged 40, divorced and has been with the Company for 5years</v>
      </c>
    </row>
    <row r="390" spans="1:29">
      <c r="A390" s="18" t="str">
        <f t="shared" ca="1" si="66"/>
        <v>La-Res-2021-389</v>
      </c>
      <c r="B390" s="5">
        <v>42</v>
      </c>
      <c r="C390" s="5" t="str">
        <f t="shared" si="67"/>
        <v>40-49</v>
      </c>
      <c r="D390" s="5" t="s">
        <v>43</v>
      </c>
      <c r="E390" s="5" t="s">
        <v>45</v>
      </c>
      <c r="F390" s="5" t="s">
        <v>39</v>
      </c>
      <c r="G390" s="5">
        <v>1</v>
      </c>
      <c r="H390" s="5" t="s">
        <v>50</v>
      </c>
      <c r="I390" s="5" t="s">
        <v>52</v>
      </c>
      <c r="J390" s="7">
        <v>2576</v>
      </c>
      <c r="K390" s="7">
        <f t="shared" si="68"/>
        <v>180.32000000000002</v>
      </c>
      <c r="L390" s="7">
        <f t="shared" si="69"/>
        <v>2395.6799999999998</v>
      </c>
      <c r="M390" s="7">
        <v>20490</v>
      </c>
      <c r="N390" s="5" t="s">
        <v>43</v>
      </c>
      <c r="O390" s="5">
        <v>16</v>
      </c>
      <c r="P390" s="7">
        <f t="shared" si="70"/>
        <v>2988.16</v>
      </c>
      <c r="Q390" s="7">
        <f t="shared" si="71"/>
        <v>4945.9199999999983</v>
      </c>
      <c r="R390" s="7" t="str">
        <f t="shared" si="72"/>
        <v>Normal</v>
      </c>
      <c r="S390" s="5">
        <v>3</v>
      </c>
      <c r="T390" s="5">
        <v>3</v>
      </c>
      <c r="U390" s="5" t="str" cm="1">
        <f t="array" ref="U390">_xlfn.IFS(T390=1,"Poor",T390=2,"Fair",T390=3,"Good",T390=4,"Excellent")</f>
        <v>Good</v>
      </c>
      <c r="V390" s="5" t="s">
        <v>43</v>
      </c>
      <c r="W390" s="5">
        <v>5</v>
      </c>
      <c r="X390" s="28">
        <f t="shared" ca="1" si="73"/>
        <v>44285</v>
      </c>
      <c r="Y390" s="28">
        <f t="shared" ca="1" si="74"/>
        <v>46476</v>
      </c>
      <c r="Z390" s="28" t="str">
        <f t="shared" ca="1" si="75"/>
        <v>Due Soon</v>
      </c>
      <c r="AA390" s="5" t="str" cm="1">
        <f t="array" ref="AA390">_xlfn.IFS(W390&gt;10,"Veteran",W390&gt;=6,"Experienced",W390&gt;=2,"Developing",W390&gt;=0,"New")</f>
        <v>Developing</v>
      </c>
      <c r="AB390" s="5" t="str" cm="1">
        <f t="array" ref="AB390">_xlfn.IFS(G390=1,"Junior",G390=2,"Mid-Level",G390=3,"Senior",G390=4,"Lead",G390=5,"Principal")&amp;" "&amp;TRIM(PROPER(H390))</f>
        <v>Junior Laboratory Technician</v>
      </c>
      <c r="AC390" s="19" t="str">
        <f t="shared" ca="1" si="76"/>
        <v>La-Res-2021-389 is a Junior Laboratory Technician in the Research &amp; Development department, aged 42, divorced and has been with the Company for 5years</v>
      </c>
    </row>
    <row r="391" spans="1:29">
      <c r="A391" s="18" t="str">
        <f t="shared" ca="1" si="66"/>
        <v>Ma-Res-2025-390</v>
      </c>
      <c r="B391" s="5">
        <v>37</v>
      </c>
      <c r="C391" s="5" t="str">
        <f t="shared" si="67"/>
        <v>30-39</v>
      </c>
      <c r="D391" s="5" t="s">
        <v>43</v>
      </c>
      <c r="E391" s="5" t="s">
        <v>45</v>
      </c>
      <c r="F391" s="5" t="s">
        <v>46</v>
      </c>
      <c r="G391" s="5">
        <v>2</v>
      </c>
      <c r="H391" s="5" t="s">
        <v>53</v>
      </c>
      <c r="I391" s="5" t="s">
        <v>41</v>
      </c>
      <c r="J391" s="7">
        <v>4197</v>
      </c>
      <c r="K391" s="7">
        <f t="shared" si="68"/>
        <v>629.54999999999995</v>
      </c>
      <c r="L391" s="7">
        <f t="shared" si="69"/>
        <v>3567.45</v>
      </c>
      <c r="M391" s="7">
        <v>21123</v>
      </c>
      <c r="N391" s="5" t="s">
        <v>35</v>
      </c>
      <c r="O391" s="5">
        <v>12</v>
      </c>
      <c r="P391" s="7">
        <f t="shared" si="70"/>
        <v>4700.6400000000003</v>
      </c>
      <c r="Q391" s="7">
        <f t="shared" si="71"/>
        <v>6043.6800000000039</v>
      </c>
      <c r="R391" s="7" t="str">
        <f t="shared" si="72"/>
        <v>Normal</v>
      </c>
      <c r="S391" s="5">
        <v>3</v>
      </c>
      <c r="T391" s="5">
        <v>2</v>
      </c>
      <c r="U391" s="5" t="str" cm="1">
        <f t="array" ref="U391">_xlfn.IFS(T391=1,"Poor",T391=2,"Fair",T391=3,"Good",T391=4,"Excellent")</f>
        <v>Fair</v>
      </c>
      <c r="V391" s="5" t="s">
        <v>35</v>
      </c>
      <c r="W391" s="5">
        <v>1</v>
      </c>
      <c r="X391" s="28">
        <f t="shared" ca="1" si="73"/>
        <v>45746</v>
      </c>
      <c r="Y391" s="28">
        <f t="shared" ca="1" si="74"/>
        <v>46476</v>
      </c>
      <c r="Z391" s="28" t="str">
        <f t="shared" ca="1" si="75"/>
        <v>Due Soon</v>
      </c>
      <c r="AA391" s="5" t="str" cm="1">
        <f t="array" ref="AA391">_xlfn.IFS(W391&gt;10,"Veteran",W391&gt;=6,"Experienced",W391&gt;=2,"Developing",W391&gt;=0,"New")</f>
        <v>New</v>
      </c>
      <c r="AB391" s="5" t="str" cm="1">
        <f t="array" ref="AB391">_xlfn.IFS(G391=1,"Junior",G391=2,"Mid-Level",G391=3,"Senior",G391=4,"Lead",G391=5,"Principal")&amp;" "&amp;TRIM(PROPER(H391))</f>
        <v>Mid-Level Manufacturing Director</v>
      </c>
      <c r="AC391" s="19" t="str">
        <f t="shared" ca="1" si="76"/>
        <v>Ma-Res-2025-390 is a Mid-Level Manufacturing Director in the Research &amp; Development department, aged 37, single and has been with the Company for 1years</v>
      </c>
    </row>
    <row r="392" spans="1:29">
      <c r="A392" s="18" t="str">
        <f t="shared" ca="1" si="66"/>
        <v>Re-Res-2001-391</v>
      </c>
      <c r="B392" s="5">
        <v>43</v>
      </c>
      <c r="C392" s="5" t="str">
        <f t="shared" si="67"/>
        <v>40-49</v>
      </c>
      <c r="D392" s="5" t="s">
        <v>43</v>
      </c>
      <c r="E392" s="5" t="s">
        <v>45</v>
      </c>
      <c r="F392" s="5" t="s">
        <v>46</v>
      </c>
      <c r="G392" s="5">
        <v>4</v>
      </c>
      <c r="H392" s="5" t="s">
        <v>58</v>
      </c>
      <c r="I392" s="5" t="s">
        <v>52</v>
      </c>
      <c r="J392" s="7">
        <v>14336</v>
      </c>
      <c r="K392" s="7">
        <f t="shared" si="68"/>
        <v>4300.8</v>
      </c>
      <c r="L392" s="7">
        <f t="shared" si="69"/>
        <v>10035.200000000001</v>
      </c>
      <c r="M392" s="7">
        <v>4345</v>
      </c>
      <c r="N392" s="5" t="s">
        <v>43</v>
      </c>
      <c r="O392" s="5">
        <v>11</v>
      </c>
      <c r="P392" s="7">
        <f t="shared" si="70"/>
        <v>15912.960000000001</v>
      </c>
      <c r="Q392" s="7">
        <f t="shared" si="71"/>
        <v>18923.520000000011</v>
      </c>
      <c r="R392" s="7" t="str">
        <f t="shared" si="72"/>
        <v>Normal</v>
      </c>
      <c r="S392" s="5">
        <v>3</v>
      </c>
      <c r="T392" s="5">
        <v>3</v>
      </c>
      <c r="U392" s="5" t="str" cm="1">
        <f t="array" ref="U392">_xlfn.IFS(T392=1,"Poor",T392=2,"Fair",T392=3,"Good",T392=4,"Excellent")</f>
        <v>Good</v>
      </c>
      <c r="V392" s="5" t="s">
        <v>43</v>
      </c>
      <c r="W392" s="5">
        <v>25</v>
      </c>
      <c r="X392" s="28">
        <f t="shared" ca="1" si="73"/>
        <v>36980</v>
      </c>
      <c r="Y392" s="28">
        <f t="shared" ca="1" si="74"/>
        <v>46476</v>
      </c>
      <c r="Z392" s="28" t="str">
        <f t="shared" ca="1" si="75"/>
        <v>Due Soon</v>
      </c>
      <c r="AA392" s="5" t="str" cm="1">
        <f t="array" ref="AA392">_xlfn.IFS(W392&gt;10,"Veteran",W392&gt;=6,"Experienced",W392&gt;=2,"Developing",W392&gt;=0,"New")</f>
        <v>Veteran</v>
      </c>
      <c r="AB392" s="5" t="str" cm="1">
        <f t="array" ref="AB392">_xlfn.IFS(G392=1,"Junior",G392=2,"Mid-Level",G392=3,"Senior",G392=4,"Lead",G392=5,"Principal")&amp;" "&amp;TRIM(PROPER(H392))</f>
        <v>Lead Research Director</v>
      </c>
      <c r="AC392" s="19" t="str">
        <f t="shared" ca="1" si="76"/>
        <v>Re-Res-2001-391 is a Lead Research Director in the Research &amp; Development department, aged 43, divorced and has been with the Company for 25years</v>
      </c>
    </row>
    <row r="393" spans="1:29">
      <c r="A393" s="18" t="str">
        <f t="shared" ca="1" si="66"/>
        <v>La-Res-2025-392</v>
      </c>
      <c r="B393" s="5">
        <v>40</v>
      </c>
      <c r="C393" s="5" t="str">
        <f t="shared" si="67"/>
        <v>40-49</v>
      </c>
      <c r="D393" s="5" t="s">
        <v>43</v>
      </c>
      <c r="E393" s="5" t="s">
        <v>45</v>
      </c>
      <c r="F393" s="5" t="s">
        <v>39</v>
      </c>
      <c r="G393" s="5">
        <v>2</v>
      </c>
      <c r="H393" s="5" t="s">
        <v>50</v>
      </c>
      <c r="I393" s="5" t="s">
        <v>48</v>
      </c>
      <c r="J393" s="7">
        <v>3448</v>
      </c>
      <c r="K393" s="7">
        <f t="shared" si="68"/>
        <v>517.19999999999993</v>
      </c>
      <c r="L393" s="7">
        <f t="shared" si="69"/>
        <v>2930.8</v>
      </c>
      <c r="M393" s="7">
        <v>13436</v>
      </c>
      <c r="N393" s="5" t="s">
        <v>43</v>
      </c>
      <c r="O393" s="5">
        <v>22</v>
      </c>
      <c r="P393" s="7">
        <f t="shared" si="70"/>
        <v>4206.5599999999995</v>
      </c>
      <c r="Q393" s="7">
        <f t="shared" si="71"/>
        <v>9102.7199999999939</v>
      </c>
      <c r="R393" s="7" t="str">
        <f t="shared" si="72"/>
        <v>Normal</v>
      </c>
      <c r="S393" s="5">
        <v>4</v>
      </c>
      <c r="T393" s="5">
        <v>3</v>
      </c>
      <c r="U393" s="5" t="str" cm="1">
        <f t="array" ref="U393">_xlfn.IFS(T393=1,"Poor",T393=2,"Fair",T393=3,"Good",T393=4,"Excellent")</f>
        <v>Good</v>
      </c>
      <c r="V393" s="5" t="s">
        <v>43</v>
      </c>
      <c r="W393" s="5">
        <v>1</v>
      </c>
      <c r="X393" s="28">
        <f t="shared" ca="1" si="73"/>
        <v>45746</v>
      </c>
      <c r="Y393" s="28">
        <f t="shared" ca="1" si="74"/>
        <v>46476</v>
      </c>
      <c r="Z393" s="28" t="str">
        <f t="shared" ca="1" si="75"/>
        <v>Due Soon</v>
      </c>
      <c r="AA393" s="5" t="str" cm="1">
        <f t="array" ref="AA393">_xlfn.IFS(W393&gt;10,"Veteran",W393&gt;=6,"Experienced",W393&gt;=2,"Developing",W393&gt;=0,"New")</f>
        <v>New</v>
      </c>
      <c r="AB393" s="5" t="str" cm="1">
        <f t="array" ref="AB393">_xlfn.IFS(G393=1,"Junior",G393=2,"Mid-Level",G393=3,"Senior",G393=4,"Lead",G393=5,"Principal")&amp;" "&amp;TRIM(PROPER(H393))</f>
        <v>Mid-Level Laboratory Technician</v>
      </c>
      <c r="AC393" s="19" t="str">
        <f t="shared" ca="1" si="76"/>
        <v>La-Res-2025-392 is a Mid-Level Laboratory Technician in the Research &amp; Development department, aged 40, married and has been with the Company for 1years</v>
      </c>
    </row>
    <row r="394" spans="1:29">
      <c r="A394" s="18" t="str">
        <f t="shared" ca="1" si="66"/>
        <v>Re-Res-2022-393</v>
      </c>
      <c r="B394" s="5">
        <v>54</v>
      </c>
      <c r="C394" s="5" t="str">
        <f t="shared" si="67"/>
        <v>50+</v>
      </c>
      <c r="D394" s="5" t="s">
        <v>43</v>
      </c>
      <c r="E394" s="5" t="s">
        <v>45</v>
      </c>
      <c r="F394" s="5" t="s">
        <v>46</v>
      </c>
      <c r="G394" s="5">
        <v>5</v>
      </c>
      <c r="H394" s="5" t="s">
        <v>58</v>
      </c>
      <c r="I394" s="5" t="s">
        <v>48</v>
      </c>
      <c r="J394" s="7">
        <v>19406</v>
      </c>
      <c r="K394" s="7">
        <f t="shared" si="68"/>
        <v>5821.8</v>
      </c>
      <c r="L394" s="7">
        <f t="shared" si="69"/>
        <v>13584.2</v>
      </c>
      <c r="M394" s="7">
        <v>8509</v>
      </c>
      <c r="N394" s="5" t="s">
        <v>43</v>
      </c>
      <c r="O394" s="5">
        <v>11</v>
      </c>
      <c r="P394" s="7">
        <f t="shared" si="70"/>
        <v>21540.660000000003</v>
      </c>
      <c r="Q394" s="7">
        <f t="shared" si="71"/>
        <v>25615.920000000042</v>
      </c>
      <c r="R394" s="7" t="str">
        <f t="shared" si="72"/>
        <v>Normal</v>
      </c>
      <c r="S394" s="5">
        <v>3</v>
      </c>
      <c r="T394" s="5">
        <v>2</v>
      </c>
      <c r="U394" s="5" t="str" cm="1">
        <f t="array" ref="U394">_xlfn.IFS(T394=1,"Poor",T394=2,"Fair",T394=3,"Good",T394=4,"Excellent")</f>
        <v>Fair</v>
      </c>
      <c r="V394" s="5" t="s">
        <v>43</v>
      </c>
      <c r="W394" s="5">
        <v>4</v>
      </c>
      <c r="X394" s="28">
        <f t="shared" ca="1" si="73"/>
        <v>44650</v>
      </c>
      <c r="Y394" s="28">
        <f t="shared" ca="1" si="74"/>
        <v>46842</v>
      </c>
      <c r="Z394" s="28" t="str">
        <f t="shared" ca="1" si="75"/>
        <v>Upcoming</v>
      </c>
      <c r="AA394" s="5" t="str" cm="1">
        <f t="array" ref="AA394">_xlfn.IFS(W394&gt;10,"Veteran",W394&gt;=6,"Experienced",W394&gt;=2,"Developing",W394&gt;=0,"New")</f>
        <v>Developing</v>
      </c>
      <c r="AB394" s="5" t="str" cm="1">
        <f t="array" ref="AB394">_xlfn.IFS(G394=1,"Junior",G394=2,"Mid-Level",G394=3,"Senior",G394=4,"Lead",G394=5,"Principal")&amp;" "&amp;TRIM(PROPER(H394))</f>
        <v>Principal Research Director</v>
      </c>
      <c r="AC394" s="19" t="str">
        <f t="shared" ca="1" si="76"/>
        <v>Re-Res-2022-393 is a Principal Research Director in the Research &amp; Development department, aged 54, married and has been with the Company for 4years</v>
      </c>
    </row>
    <row r="395" spans="1:29">
      <c r="A395" s="18" t="str">
        <f t="shared" ca="1" si="66"/>
        <v>Sa-Sal-2023-394</v>
      </c>
      <c r="B395" s="5">
        <v>34</v>
      </c>
      <c r="C395" s="5" t="str">
        <f t="shared" si="67"/>
        <v>30-39</v>
      </c>
      <c r="D395" s="5" t="s">
        <v>43</v>
      </c>
      <c r="E395" s="5" t="s">
        <v>37</v>
      </c>
      <c r="F395" s="5" t="s">
        <v>39</v>
      </c>
      <c r="G395" s="5">
        <v>2</v>
      </c>
      <c r="H395" s="5" t="s">
        <v>40</v>
      </c>
      <c r="I395" s="5" t="s">
        <v>48</v>
      </c>
      <c r="J395" s="7">
        <v>6538</v>
      </c>
      <c r="K395" s="7">
        <f t="shared" si="68"/>
        <v>980.69999999999993</v>
      </c>
      <c r="L395" s="7">
        <f t="shared" si="69"/>
        <v>5557.3</v>
      </c>
      <c r="M395" s="7">
        <v>12740</v>
      </c>
      <c r="N395" s="5" t="s">
        <v>43</v>
      </c>
      <c r="O395" s="5">
        <v>15</v>
      </c>
      <c r="P395" s="7">
        <f t="shared" si="70"/>
        <v>7518.7</v>
      </c>
      <c r="Q395" s="7">
        <f t="shared" si="71"/>
        <v>11768.399999999998</v>
      </c>
      <c r="R395" s="7" t="str">
        <f t="shared" si="72"/>
        <v>Normal</v>
      </c>
      <c r="S395" s="5">
        <v>3</v>
      </c>
      <c r="T395" s="5">
        <v>3</v>
      </c>
      <c r="U395" s="5" t="str" cm="1">
        <f t="array" ref="U395">_xlfn.IFS(T395=1,"Poor",T395=2,"Fair",T395=3,"Good",T395=4,"Excellent")</f>
        <v>Good</v>
      </c>
      <c r="V395" s="5" t="s">
        <v>43</v>
      </c>
      <c r="W395" s="5">
        <v>3</v>
      </c>
      <c r="X395" s="28">
        <f t="shared" ca="1" si="73"/>
        <v>45015</v>
      </c>
      <c r="Y395" s="28">
        <f t="shared" ca="1" si="74"/>
        <v>46476</v>
      </c>
      <c r="Z395" s="28" t="str">
        <f t="shared" ca="1" si="75"/>
        <v>Due Soon</v>
      </c>
      <c r="AA395" s="5" t="str" cm="1">
        <f t="array" ref="AA395">_xlfn.IFS(W395&gt;10,"Veteran",W395&gt;=6,"Experienced",W395&gt;=2,"Developing",W395&gt;=0,"New")</f>
        <v>Developing</v>
      </c>
      <c r="AB395" s="5" t="str" cm="1">
        <f t="array" ref="AB395">_xlfn.IFS(G395=1,"Junior",G395=2,"Mid-Level",G395=3,"Senior",G395=4,"Lead",G395=5,"Principal")&amp;" "&amp;TRIM(PROPER(H395))</f>
        <v>Mid-Level Sales Executive</v>
      </c>
      <c r="AC395" s="19" t="str">
        <f t="shared" ca="1" si="76"/>
        <v>Sa-Sal-2023-394 is a Mid-Level Sales Executive in the Sales department, aged 34, married and has been with the Company for 3years</v>
      </c>
    </row>
    <row r="396" spans="1:29">
      <c r="A396" s="18" t="str">
        <f t="shared" ca="1" si="66"/>
        <v>Ma-Res-2013-395</v>
      </c>
      <c r="B396" s="5">
        <v>31</v>
      </c>
      <c r="C396" s="5" t="str">
        <f t="shared" si="67"/>
        <v>30-39</v>
      </c>
      <c r="D396" s="5" t="s">
        <v>43</v>
      </c>
      <c r="E396" s="5" t="s">
        <v>45</v>
      </c>
      <c r="F396" s="5" t="s">
        <v>39</v>
      </c>
      <c r="G396" s="5">
        <v>2</v>
      </c>
      <c r="H396" s="5" t="s">
        <v>53</v>
      </c>
      <c r="I396" s="5" t="s">
        <v>48</v>
      </c>
      <c r="J396" s="7">
        <v>4306</v>
      </c>
      <c r="K396" s="7">
        <f t="shared" si="68"/>
        <v>645.9</v>
      </c>
      <c r="L396" s="7">
        <f t="shared" si="69"/>
        <v>3660.1</v>
      </c>
      <c r="M396" s="7">
        <v>4156</v>
      </c>
      <c r="N396" s="5" t="s">
        <v>43</v>
      </c>
      <c r="O396" s="5">
        <v>12</v>
      </c>
      <c r="P396" s="7">
        <f t="shared" si="70"/>
        <v>4822.72</v>
      </c>
      <c r="Q396" s="7">
        <f t="shared" si="71"/>
        <v>6200.6400000000031</v>
      </c>
      <c r="R396" s="7" t="str">
        <f t="shared" si="72"/>
        <v>Normal</v>
      </c>
      <c r="S396" s="5">
        <v>3</v>
      </c>
      <c r="T396" s="5">
        <v>1</v>
      </c>
      <c r="U396" s="5" t="str" cm="1">
        <f t="array" ref="U396">_xlfn.IFS(T396=1,"Poor",T396=2,"Fair",T396=3,"Good",T396=4,"Excellent")</f>
        <v>Poor</v>
      </c>
      <c r="V396" s="5" t="s">
        <v>43</v>
      </c>
      <c r="W396" s="5">
        <v>13</v>
      </c>
      <c r="X396" s="28">
        <f t="shared" ca="1" si="73"/>
        <v>41363</v>
      </c>
      <c r="Y396" s="28">
        <f t="shared" ca="1" si="74"/>
        <v>46476</v>
      </c>
      <c r="Z396" s="28" t="str">
        <f t="shared" ca="1" si="75"/>
        <v>Due Soon</v>
      </c>
      <c r="AA396" s="5" t="str" cm="1">
        <f t="array" ref="AA396">_xlfn.IFS(W396&gt;10,"Veteran",W396&gt;=6,"Experienced",W396&gt;=2,"Developing",W396&gt;=0,"New")</f>
        <v>Veteran</v>
      </c>
      <c r="AB396" s="5" t="str" cm="1">
        <f t="array" ref="AB396">_xlfn.IFS(G396=1,"Junior",G396=2,"Mid-Level",G396=3,"Senior",G396=4,"Lead",G396=5,"Principal")&amp;" "&amp;TRIM(PROPER(H396))</f>
        <v>Mid-Level Manufacturing Director</v>
      </c>
      <c r="AC396" s="19" t="str">
        <f t="shared" ca="1" si="76"/>
        <v>Ma-Res-2013-395 is a Mid-Level Manufacturing Director in the Research &amp; Development department, aged 31, married and has been with the Company for 13years</v>
      </c>
    </row>
    <row r="397" spans="1:29">
      <c r="A397" s="18" t="str">
        <f t="shared" ca="1" si="66"/>
        <v>La-Res-2023-396</v>
      </c>
      <c r="B397" s="5">
        <v>43</v>
      </c>
      <c r="C397" s="5" t="str">
        <f t="shared" si="67"/>
        <v>40-49</v>
      </c>
      <c r="D397" s="5" t="s">
        <v>43</v>
      </c>
      <c r="E397" s="5" t="s">
        <v>45</v>
      </c>
      <c r="F397" s="5" t="s">
        <v>46</v>
      </c>
      <c r="G397" s="5">
        <v>1</v>
      </c>
      <c r="H397" s="5" t="s">
        <v>50</v>
      </c>
      <c r="I397" s="5" t="s">
        <v>48</v>
      </c>
      <c r="J397" s="7">
        <v>2258</v>
      </c>
      <c r="K397" s="7">
        <f t="shared" si="68"/>
        <v>158.06</v>
      </c>
      <c r="L397" s="7">
        <f t="shared" si="69"/>
        <v>2099.94</v>
      </c>
      <c r="M397" s="7">
        <v>15238</v>
      </c>
      <c r="N397" s="5" t="s">
        <v>43</v>
      </c>
      <c r="O397" s="5">
        <v>20</v>
      </c>
      <c r="P397" s="7">
        <f t="shared" si="70"/>
        <v>2709.6</v>
      </c>
      <c r="Q397" s="7">
        <f t="shared" si="71"/>
        <v>5419.1999999999989</v>
      </c>
      <c r="R397" s="7" t="str">
        <f t="shared" si="72"/>
        <v>Normal</v>
      </c>
      <c r="S397" s="5">
        <v>4</v>
      </c>
      <c r="T397" s="5">
        <v>3</v>
      </c>
      <c r="U397" s="5" t="str" cm="1">
        <f t="array" ref="U397">_xlfn.IFS(T397=1,"Poor",T397=2,"Fair",T397=3,"Good",T397=4,"Excellent")</f>
        <v>Good</v>
      </c>
      <c r="V397" s="5" t="s">
        <v>43</v>
      </c>
      <c r="W397" s="5">
        <v>3</v>
      </c>
      <c r="X397" s="28">
        <f t="shared" ca="1" si="73"/>
        <v>45015</v>
      </c>
      <c r="Y397" s="28">
        <f t="shared" ca="1" si="74"/>
        <v>46476</v>
      </c>
      <c r="Z397" s="28" t="str">
        <f t="shared" ca="1" si="75"/>
        <v>Due Soon</v>
      </c>
      <c r="AA397" s="5" t="str" cm="1">
        <f t="array" ref="AA397">_xlfn.IFS(W397&gt;10,"Veteran",W397&gt;=6,"Experienced",W397&gt;=2,"Developing",W397&gt;=0,"New")</f>
        <v>Developing</v>
      </c>
      <c r="AB397" s="5" t="str" cm="1">
        <f t="array" ref="AB397">_xlfn.IFS(G397=1,"Junior",G397=2,"Mid-Level",G397=3,"Senior",G397=4,"Lead",G397=5,"Principal")&amp;" "&amp;TRIM(PROPER(H397))</f>
        <v>Junior Laboratory Technician</v>
      </c>
      <c r="AC397" s="19" t="str">
        <f t="shared" ca="1" si="76"/>
        <v>La-Res-2023-396 is a Junior Laboratory Technician in the Research &amp; Development department, aged 43, married and has been with the Company for 3years</v>
      </c>
    </row>
    <row r="398" spans="1:29">
      <c r="A398" s="18" t="str">
        <f t="shared" ca="1" si="66"/>
        <v>He-Res-2021-397</v>
      </c>
      <c r="B398" s="5">
        <v>43</v>
      </c>
      <c r="C398" s="5" t="str">
        <f t="shared" si="67"/>
        <v>40-49</v>
      </c>
      <c r="D398" s="5" t="s">
        <v>43</v>
      </c>
      <c r="E398" s="5" t="s">
        <v>45</v>
      </c>
      <c r="F398" s="5" t="s">
        <v>39</v>
      </c>
      <c r="G398" s="5">
        <v>2</v>
      </c>
      <c r="H398" s="5" t="s">
        <v>54</v>
      </c>
      <c r="I398" s="5" t="s">
        <v>52</v>
      </c>
      <c r="J398" s="7">
        <v>4522</v>
      </c>
      <c r="K398" s="7">
        <f t="shared" si="68"/>
        <v>678.3</v>
      </c>
      <c r="L398" s="7">
        <f t="shared" si="69"/>
        <v>3843.7</v>
      </c>
      <c r="M398" s="7">
        <v>2227</v>
      </c>
      <c r="N398" s="5" t="s">
        <v>35</v>
      </c>
      <c r="O398" s="5">
        <v>14</v>
      </c>
      <c r="P398" s="7">
        <f t="shared" si="70"/>
        <v>5155.0800000000008</v>
      </c>
      <c r="Q398" s="7">
        <f t="shared" si="71"/>
        <v>7596.96000000001</v>
      </c>
      <c r="R398" s="7" t="str">
        <f t="shared" si="72"/>
        <v>Normal</v>
      </c>
      <c r="S398" s="5">
        <v>3</v>
      </c>
      <c r="T398" s="5">
        <v>3</v>
      </c>
      <c r="U398" s="5" t="str" cm="1">
        <f t="array" ref="U398">_xlfn.IFS(T398=1,"Poor",T398=2,"Fair",T398=3,"Good",T398=4,"Excellent")</f>
        <v>Good</v>
      </c>
      <c r="V398" s="5" t="s">
        <v>35</v>
      </c>
      <c r="W398" s="5">
        <v>5</v>
      </c>
      <c r="X398" s="28">
        <f t="shared" ca="1" si="73"/>
        <v>44285</v>
      </c>
      <c r="Y398" s="28">
        <f t="shared" ca="1" si="74"/>
        <v>46476</v>
      </c>
      <c r="Z398" s="28" t="str">
        <f t="shared" ca="1" si="75"/>
        <v>Due Soon</v>
      </c>
      <c r="AA398" s="5" t="str" cm="1">
        <f t="array" ref="AA398">_xlfn.IFS(W398&gt;10,"Veteran",W398&gt;=6,"Experienced",W398&gt;=2,"Developing",W398&gt;=0,"New")</f>
        <v>Developing</v>
      </c>
      <c r="AB398" s="5" t="str" cm="1">
        <f t="array" ref="AB398">_xlfn.IFS(G398=1,"Junior",G398=2,"Mid-Level",G398=3,"Senior",G398=4,"Lead",G398=5,"Principal")&amp;" "&amp;TRIM(PROPER(H398))</f>
        <v>Mid-Level Healthcare Representative</v>
      </c>
      <c r="AC398" s="19" t="str">
        <f t="shared" ca="1" si="76"/>
        <v>He-Res-2021-397 is a Mid-Level Healthcare Representative in the Research &amp; Development department, aged 43, divorced and has been with the Company for 5years</v>
      </c>
    </row>
    <row r="399" spans="1:29">
      <c r="A399" s="18" t="str">
        <f t="shared" ca="1" si="66"/>
        <v>Sa-Sal-2021-398</v>
      </c>
      <c r="B399" s="5">
        <v>25</v>
      </c>
      <c r="C399" s="5" t="str">
        <f t="shared" si="67"/>
        <v>20-29</v>
      </c>
      <c r="D399" s="5" t="s">
        <v>43</v>
      </c>
      <c r="E399" s="5" t="s">
        <v>37</v>
      </c>
      <c r="F399" s="5" t="s">
        <v>39</v>
      </c>
      <c r="G399" s="5">
        <v>2</v>
      </c>
      <c r="H399" s="5" t="s">
        <v>40</v>
      </c>
      <c r="I399" s="5" t="s">
        <v>41</v>
      </c>
      <c r="J399" s="7">
        <v>4487</v>
      </c>
      <c r="K399" s="7">
        <f t="shared" si="68"/>
        <v>673.05</v>
      </c>
      <c r="L399" s="7">
        <f t="shared" si="69"/>
        <v>3813.95</v>
      </c>
      <c r="M399" s="7">
        <v>12090</v>
      </c>
      <c r="N399" s="5" t="s">
        <v>35</v>
      </c>
      <c r="O399" s="5">
        <v>11</v>
      </c>
      <c r="P399" s="7">
        <f t="shared" si="70"/>
        <v>4980.5700000000006</v>
      </c>
      <c r="Q399" s="7">
        <f t="shared" si="71"/>
        <v>5922.8400000000074</v>
      </c>
      <c r="R399" s="7" t="str">
        <f t="shared" si="72"/>
        <v>Normal</v>
      </c>
      <c r="S399" s="5">
        <v>3</v>
      </c>
      <c r="T399" s="5">
        <v>3</v>
      </c>
      <c r="U399" s="5" t="str" cm="1">
        <f t="array" ref="U399">_xlfn.IFS(T399=1,"Poor",T399=2,"Fair",T399=3,"Good",T399=4,"Excellent")</f>
        <v>Good</v>
      </c>
      <c r="V399" s="5" t="s">
        <v>35</v>
      </c>
      <c r="W399" s="5">
        <v>5</v>
      </c>
      <c r="X399" s="28">
        <f t="shared" ca="1" si="73"/>
        <v>44285</v>
      </c>
      <c r="Y399" s="28">
        <f t="shared" ca="1" si="74"/>
        <v>46476</v>
      </c>
      <c r="Z399" s="28" t="str">
        <f t="shared" ca="1" si="75"/>
        <v>Due Soon</v>
      </c>
      <c r="AA399" s="5" t="str" cm="1">
        <f t="array" ref="AA399">_xlfn.IFS(W399&gt;10,"Veteran",W399&gt;=6,"Experienced",W399&gt;=2,"Developing",W399&gt;=0,"New")</f>
        <v>Developing</v>
      </c>
      <c r="AB399" s="5" t="str" cm="1">
        <f t="array" ref="AB399">_xlfn.IFS(G399=1,"Junior",G399=2,"Mid-Level",G399=3,"Senior",G399=4,"Lead",G399=5,"Principal")&amp;" "&amp;TRIM(PROPER(H399))</f>
        <v>Mid-Level Sales Executive</v>
      </c>
      <c r="AC399" s="19" t="str">
        <f t="shared" ca="1" si="76"/>
        <v>Sa-Sal-2021-398 is a Mid-Level Sales Executive in the Sales department, aged 25, single and has been with the Company for 5years</v>
      </c>
    </row>
    <row r="400" spans="1:29">
      <c r="A400" s="18" t="str">
        <f t="shared" ca="1" si="66"/>
        <v>Re-Res-2013-399</v>
      </c>
      <c r="B400" s="5">
        <v>37</v>
      </c>
      <c r="C400" s="5" t="str">
        <f t="shared" si="67"/>
        <v>30-39</v>
      </c>
      <c r="D400" s="5" t="s">
        <v>43</v>
      </c>
      <c r="E400" s="5" t="s">
        <v>45</v>
      </c>
      <c r="F400" s="5" t="s">
        <v>39</v>
      </c>
      <c r="G400" s="5">
        <v>2</v>
      </c>
      <c r="H400" s="5" t="s">
        <v>47</v>
      </c>
      <c r="I400" s="5" t="s">
        <v>48</v>
      </c>
      <c r="J400" s="7">
        <v>4449</v>
      </c>
      <c r="K400" s="7">
        <f t="shared" si="68"/>
        <v>667.35</v>
      </c>
      <c r="L400" s="7">
        <f t="shared" si="69"/>
        <v>3781.65</v>
      </c>
      <c r="M400" s="7">
        <v>23866</v>
      </c>
      <c r="N400" s="5" t="s">
        <v>35</v>
      </c>
      <c r="O400" s="5">
        <v>15</v>
      </c>
      <c r="P400" s="7">
        <f t="shared" si="70"/>
        <v>5116.3499999999995</v>
      </c>
      <c r="Q400" s="7">
        <f t="shared" si="71"/>
        <v>8008.1999999999935</v>
      </c>
      <c r="R400" s="7" t="str">
        <f t="shared" si="72"/>
        <v>Normal</v>
      </c>
      <c r="S400" s="5">
        <v>3</v>
      </c>
      <c r="T400" s="5">
        <v>3</v>
      </c>
      <c r="U400" s="5" t="str" cm="1">
        <f t="array" ref="U400">_xlfn.IFS(T400=1,"Poor",T400=2,"Fair",T400=3,"Good",T400=4,"Excellent")</f>
        <v>Good</v>
      </c>
      <c r="V400" s="5" t="s">
        <v>35</v>
      </c>
      <c r="W400" s="5">
        <v>13</v>
      </c>
      <c r="X400" s="28">
        <f t="shared" ca="1" si="73"/>
        <v>41363</v>
      </c>
      <c r="Y400" s="28">
        <f t="shared" ca="1" si="74"/>
        <v>46476</v>
      </c>
      <c r="Z400" s="28" t="str">
        <f t="shared" ca="1" si="75"/>
        <v>Due Soon</v>
      </c>
      <c r="AA400" s="5" t="str" cm="1">
        <f t="array" ref="AA400">_xlfn.IFS(W400&gt;10,"Veteran",W400&gt;=6,"Experienced",W400&gt;=2,"Developing",W400&gt;=0,"New")</f>
        <v>Veteran</v>
      </c>
      <c r="AB400" s="5" t="str" cm="1">
        <f t="array" ref="AB400">_xlfn.IFS(G400=1,"Junior",G400=2,"Mid-Level",G400=3,"Senior",G400=4,"Lead",G400=5,"Principal")&amp;" "&amp;TRIM(PROPER(H400))</f>
        <v>Mid-Level Research Scientist</v>
      </c>
      <c r="AC400" s="19" t="str">
        <f t="shared" ca="1" si="76"/>
        <v>Re-Res-2013-399 is a Mid-Level Research Scientist in the Research &amp; Development department, aged 37, married and has been with the Company for 13years</v>
      </c>
    </row>
    <row r="401" spans="1:29">
      <c r="A401" s="18" t="str">
        <f t="shared" ca="1" si="66"/>
        <v>La-Res-2022-400</v>
      </c>
      <c r="B401" s="5">
        <v>31</v>
      </c>
      <c r="C401" s="5" t="str">
        <f t="shared" si="67"/>
        <v>30-39</v>
      </c>
      <c r="D401" s="5" t="s">
        <v>43</v>
      </c>
      <c r="E401" s="5" t="s">
        <v>45</v>
      </c>
      <c r="F401" s="5" t="s">
        <v>46</v>
      </c>
      <c r="G401" s="5">
        <v>1</v>
      </c>
      <c r="H401" s="5" t="s">
        <v>50</v>
      </c>
      <c r="I401" s="5" t="s">
        <v>48</v>
      </c>
      <c r="J401" s="7">
        <v>2218</v>
      </c>
      <c r="K401" s="7">
        <f t="shared" si="68"/>
        <v>155.26000000000002</v>
      </c>
      <c r="L401" s="7">
        <f t="shared" si="69"/>
        <v>2062.7399999999998</v>
      </c>
      <c r="M401" s="7">
        <v>16193</v>
      </c>
      <c r="N401" s="5" t="s">
        <v>43</v>
      </c>
      <c r="O401" s="5">
        <v>12</v>
      </c>
      <c r="P401" s="7">
        <f t="shared" si="70"/>
        <v>2484.1600000000003</v>
      </c>
      <c r="Q401" s="7">
        <f t="shared" si="71"/>
        <v>3193.9200000000037</v>
      </c>
      <c r="R401" s="7" t="str">
        <f t="shared" si="72"/>
        <v>Normal</v>
      </c>
      <c r="S401" s="5">
        <v>3</v>
      </c>
      <c r="T401" s="5">
        <v>3</v>
      </c>
      <c r="U401" s="5" t="str" cm="1">
        <f t="array" ref="U401">_xlfn.IFS(T401=1,"Poor",T401=2,"Fair",T401=3,"Good",T401=4,"Excellent")</f>
        <v>Good</v>
      </c>
      <c r="V401" s="5" t="s">
        <v>43</v>
      </c>
      <c r="W401" s="5">
        <v>4</v>
      </c>
      <c r="X401" s="28">
        <f t="shared" ca="1" si="73"/>
        <v>44650</v>
      </c>
      <c r="Y401" s="28">
        <f t="shared" ca="1" si="74"/>
        <v>46842</v>
      </c>
      <c r="Z401" s="28" t="str">
        <f t="shared" ca="1" si="75"/>
        <v>Upcoming</v>
      </c>
      <c r="AA401" s="5" t="str" cm="1">
        <f t="array" ref="AA401">_xlfn.IFS(W401&gt;10,"Veteran",W401&gt;=6,"Experienced",W401&gt;=2,"Developing",W401&gt;=0,"New")</f>
        <v>Developing</v>
      </c>
      <c r="AB401" s="5" t="str" cm="1">
        <f t="array" ref="AB401">_xlfn.IFS(G401=1,"Junior",G401=2,"Mid-Level",G401=3,"Senior",G401=4,"Lead",G401=5,"Principal")&amp;" "&amp;TRIM(PROPER(H401))</f>
        <v>Junior Laboratory Technician</v>
      </c>
      <c r="AC401" s="19" t="str">
        <f t="shared" ca="1" si="76"/>
        <v>La-Res-2022-400 is a Junior Laboratory Technician in the Research &amp; Development department, aged 31, married and has been with the Company for 4years</v>
      </c>
    </row>
    <row r="402" spans="1:29">
      <c r="A402" s="18" t="str">
        <f t="shared" ca="1" si="66"/>
        <v>Ma-Res-2005-401</v>
      </c>
      <c r="B402" s="5">
        <v>39</v>
      </c>
      <c r="C402" s="5" t="str">
        <f t="shared" si="67"/>
        <v>30-39</v>
      </c>
      <c r="D402" s="5" t="s">
        <v>43</v>
      </c>
      <c r="E402" s="5" t="s">
        <v>45</v>
      </c>
      <c r="F402" s="5" t="s">
        <v>46</v>
      </c>
      <c r="G402" s="5">
        <v>5</v>
      </c>
      <c r="H402" s="5" t="s">
        <v>56</v>
      </c>
      <c r="I402" s="5" t="s">
        <v>52</v>
      </c>
      <c r="J402" s="7">
        <v>19197</v>
      </c>
      <c r="K402" s="7">
        <f t="shared" si="68"/>
        <v>5759.0999999999995</v>
      </c>
      <c r="L402" s="7">
        <f t="shared" si="69"/>
        <v>13437.900000000001</v>
      </c>
      <c r="M402" s="7">
        <v>8213</v>
      </c>
      <c r="N402" s="5" t="s">
        <v>35</v>
      </c>
      <c r="O402" s="5">
        <v>14</v>
      </c>
      <c r="P402" s="7">
        <f t="shared" si="70"/>
        <v>21884.58</v>
      </c>
      <c r="Q402" s="7">
        <f t="shared" si="71"/>
        <v>32250.960000000021</v>
      </c>
      <c r="R402" s="7" t="str">
        <f t="shared" si="72"/>
        <v>Normal</v>
      </c>
      <c r="S402" s="5">
        <v>3</v>
      </c>
      <c r="T402" s="5">
        <v>3</v>
      </c>
      <c r="U402" s="5" t="str" cm="1">
        <f t="array" ref="U402">_xlfn.IFS(T402=1,"Poor",T402=2,"Fair",T402=3,"Good",T402=4,"Excellent")</f>
        <v>Good</v>
      </c>
      <c r="V402" s="5" t="s">
        <v>35</v>
      </c>
      <c r="W402" s="5">
        <v>21</v>
      </c>
      <c r="X402" s="28">
        <f t="shared" ca="1" si="73"/>
        <v>38441</v>
      </c>
      <c r="Y402" s="28">
        <f t="shared" ca="1" si="74"/>
        <v>46476</v>
      </c>
      <c r="Z402" s="28" t="str">
        <f t="shared" ca="1" si="75"/>
        <v>Due Soon</v>
      </c>
      <c r="AA402" s="5" t="str" cm="1">
        <f t="array" ref="AA402">_xlfn.IFS(W402&gt;10,"Veteran",W402&gt;=6,"Experienced",W402&gt;=2,"Developing",W402&gt;=0,"New")</f>
        <v>Veteran</v>
      </c>
      <c r="AB402" s="5" t="str" cm="1">
        <f t="array" ref="AB402">_xlfn.IFS(G402=1,"Junior",G402=2,"Mid-Level",G402=3,"Senior",G402=4,"Lead",G402=5,"Principal")&amp;" "&amp;TRIM(PROPER(H402))</f>
        <v>Principal Manager</v>
      </c>
      <c r="AC402" s="19" t="str">
        <f t="shared" ca="1" si="76"/>
        <v>Ma-Res-2005-401 is a Principal Manager in the Research &amp; Development department, aged 39, divorced and has been with the Company for 21years</v>
      </c>
    </row>
    <row r="403" spans="1:29">
      <c r="A403" s="18" t="str">
        <f t="shared" ca="1" si="66"/>
        <v>Sa-Sal-2019-402</v>
      </c>
      <c r="B403" s="5">
        <v>56</v>
      </c>
      <c r="C403" s="5" t="str">
        <f t="shared" si="67"/>
        <v>50+</v>
      </c>
      <c r="D403" s="5" t="s">
        <v>43</v>
      </c>
      <c r="E403" s="5" t="s">
        <v>37</v>
      </c>
      <c r="F403" s="5" t="s">
        <v>39</v>
      </c>
      <c r="G403" s="5">
        <v>4</v>
      </c>
      <c r="H403" s="5" t="s">
        <v>40</v>
      </c>
      <c r="I403" s="5" t="s">
        <v>48</v>
      </c>
      <c r="J403" s="7">
        <v>13212</v>
      </c>
      <c r="K403" s="7">
        <f t="shared" si="68"/>
        <v>3963.6</v>
      </c>
      <c r="L403" s="7">
        <f t="shared" si="69"/>
        <v>9248.4</v>
      </c>
      <c r="M403" s="7">
        <v>18256</v>
      </c>
      <c r="N403" s="5" t="s">
        <v>43</v>
      </c>
      <c r="O403" s="5">
        <v>11</v>
      </c>
      <c r="P403" s="7">
        <f t="shared" si="70"/>
        <v>14665.320000000002</v>
      </c>
      <c r="Q403" s="7">
        <f t="shared" si="71"/>
        <v>17439.840000000018</v>
      </c>
      <c r="R403" s="7" t="str">
        <f t="shared" si="72"/>
        <v>Normal</v>
      </c>
      <c r="S403" s="5">
        <v>3</v>
      </c>
      <c r="T403" s="5">
        <v>2</v>
      </c>
      <c r="U403" s="5" t="str" cm="1">
        <f t="array" ref="U403">_xlfn.IFS(T403=1,"Poor",T403=2,"Fair",T403=3,"Good",T403=4,"Excellent")</f>
        <v>Fair</v>
      </c>
      <c r="V403" s="5" t="s">
        <v>43</v>
      </c>
      <c r="W403" s="5">
        <v>7</v>
      </c>
      <c r="X403" s="28">
        <f t="shared" ca="1" si="73"/>
        <v>43554</v>
      </c>
      <c r="Y403" s="28">
        <f t="shared" ca="1" si="74"/>
        <v>46476</v>
      </c>
      <c r="Z403" s="28" t="str">
        <f t="shared" ca="1" si="75"/>
        <v>Due Soon</v>
      </c>
      <c r="AA403" s="5" t="str" cm="1">
        <f t="array" ref="AA403">_xlfn.IFS(W403&gt;10,"Veteran",W403&gt;=6,"Experienced",W403&gt;=2,"Developing",W403&gt;=0,"New")</f>
        <v>Experienced</v>
      </c>
      <c r="AB403" s="5" t="str" cm="1">
        <f t="array" ref="AB403">_xlfn.IFS(G403=1,"Junior",G403=2,"Mid-Level",G403=3,"Senior",G403=4,"Lead",G403=5,"Principal")&amp;" "&amp;TRIM(PROPER(H403))</f>
        <v>Lead Sales Executive</v>
      </c>
      <c r="AC403" s="19" t="str">
        <f t="shared" ca="1" si="76"/>
        <v>Sa-Sal-2019-402 is a Lead Sales Executive in the Sales department, aged 56, married and has been with the Company for 7years</v>
      </c>
    </row>
    <row r="404" spans="1:29">
      <c r="A404" s="18" t="str">
        <f t="shared" ca="1" si="66"/>
        <v>Sa-Sal-2021-403</v>
      </c>
      <c r="B404" s="5">
        <v>30</v>
      </c>
      <c r="C404" s="5" t="str">
        <f t="shared" si="67"/>
        <v>30-39</v>
      </c>
      <c r="D404" s="5" t="s">
        <v>43</v>
      </c>
      <c r="E404" s="5" t="s">
        <v>37</v>
      </c>
      <c r="F404" s="5" t="s">
        <v>39</v>
      </c>
      <c r="G404" s="5">
        <v>2</v>
      </c>
      <c r="H404" s="5" t="s">
        <v>40</v>
      </c>
      <c r="I404" s="5" t="s">
        <v>41</v>
      </c>
      <c r="J404" s="7">
        <v>6577</v>
      </c>
      <c r="K404" s="7">
        <f t="shared" si="68"/>
        <v>986.55</v>
      </c>
      <c r="L404" s="7">
        <f t="shared" si="69"/>
        <v>5590.45</v>
      </c>
      <c r="M404" s="7">
        <v>19558</v>
      </c>
      <c r="N404" s="5" t="s">
        <v>43</v>
      </c>
      <c r="O404" s="5">
        <v>11</v>
      </c>
      <c r="P404" s="7">
        <f t="shared" si="70"/>
        <v>7300.47</v>
      </c>
      <c r="Q404" s="7">
        <f t="shared" si="71"/>
        <v>8681.6400000000031</v>
      </c>
      <c r="R404" s="7" t="str">
        <f t="shared" si="72"/>
        <v>Normal</v>
      </c>
      <c r="S404" s="5">
        <v>3</v>
      </c>
      <c r="T404" s="5">
        <v>3</v>
      </c>
      <c r="U404" s="5" t="str" cm="1">
        <f t="array" ref="U404">_xlfn.IFS(T404=1,"Poor",T404=2,"Fair",T404=3,"Good",T404=4,"Excellent")</f>
        <v>Good</v>
      </c>
      <c r="V404" s="5" t="s">
        <v>43</v>
      </c>
      <c r="W404" s="5">
        <v>5</v>
      </c>
      <c r="X404" s="28">
        <f t="shared" ca="1" si="73"/>
        <v>44285</v>
      </c>
      <c r="Y404" s="28">
        <f t="shared" ca="1" si="74"/>
        <v>46476</v>
      </c>
      <c r="Z404" s="28" t="str">
        <f t="shared" ca="1" si="75"/>
        <v>Due Soon</v>
      </c>
      <c r="AA404" s="5" t="str" cm="1">
        <f t="array" ref="AA404">_xlfn.IFS(W404&gt;10,"Veteran",W404&gt;=6,"Experienced",W404&gt;=2,"Developing",W404&gt;=0,"New")</f>
        <v>Developing</v>
      </c>
      <c r="AB404" s="5" t="str" cm="1">
        <f t="array" ref="AB404">_xlfn.IFS(G404=1,"Junior",G404=2,"Mid-Level",G404=3,"Senior",G404=4,"Lead",G404=5,"Principal")&amp;" "&amp;TRIM(PROPER(H404))</f>
        <v>Mid-Level Sales Executive</v>
      </c>
      <c r="AC404" s="19" t="str">
        <f t="shared" ca="1" si="76"/>
        <v>Sa-Sal-2021-403 is a Mid-Level Sales Executive in the Sales department, aged 30, single and has been with the Company for 5years</v>
      </c>
    </row>
    <row r="405" spans="1:29">
      <c r="A405" s="18" t="str">
        <f t="shared" ca="1" si="66"/>
        <v>Sa-Sal-2016-404</v>
      </c>
      <c r="B405" s="5">
        <v>41</v>
      </c>
      <c r="C405" s="5" t="str">
        <f t="shared" si="67"/>
        <v>40-49</v>
      </c>
      <c r="D405" s="5" t="s">
        <v>43</v>
      </c>
      <c r="E405" s="5" t="s">
        <v>37</v>
      </c>
      <c r="F405" s="5" t="s">
        <v>46</v>
      </c>
      <c r="G405" s="5">
        <v>3</v>
      </c>
      <c r="H405" s="5" t="s">
        <v>40</v>
      </c>
      <c r="I405" s="5" t="s">
        <v>48</v>
      </c>
      <c r="J405" s="7">
        <v>8392</v>
      </c>
      <c r="K405" s="7">
        <f t="shared" si="68"/>
        <v>1846.24</v>
      </c>
      <c r="L405" s="7">
        <f t="shared" si="69"/>
        <v>6545.76</v>
      </c>
      <c r="M405" s="7">
        <v>19566</v>
      </c>
      <c r="N405" s="5" t="s">
        <v>43</v>
      </c>
      <c r="O405" s="5">
        <v>16</v>
      </c>
      <c r="P405" s="7">
        <f t="shared" si="70"/>
        <v>9734.7199999999993</v>
      </c>
      <c r="Q405" s="7">
        <f t="shared" si="71"/>
        <v>16112.639999999992</v>
      </c>
      <c r="R405" s="7" t="str">
        <f t="shared" si="72"/>
        <v>Normal</v>
      </c>
      <c r="S405" s="5">
        <v>3</v>
      </c>
      <c r="T405" s="5">
        <v>3</v>
      </c>
      <c r="U405" s="5" t="str" cm="1">
        <f t="array" ref="U405">_xlfn.IFS(T405=1,"Poor",T405=2,"Fair",T405=3,"Good",T405=4,"Excellent")</f>
        <v>Good</v>
      </c>
      <c r="V405" s="5" t="s">
        <v>43</v>
      </c>
      <c r="W405" s="5">
        <v>10</v>
      </c>
      <c r="X405" s="28">
        <f t="shared" ca="1" si="73"/>
        <v>42459</v>
      </c>
      <c r="Y405" s="28">
        <f t="shared" ca="1" si="74"/>
        <v>46842</v>
      </c>
      <c r="Z405" s="28" t="str">
        <f t="shared" ca="1" si="75"/>
        <v>Upcoming</v>
      </c>
      <c r="AA405" s="5" t="str" cm="1">
        <f t="array" ref="AA405">_xlfn.IFS(W405&gt;10,"Veteran",W405&gt;=6,"Experienced",W405&gt;=2,"Developing",W405&gt;=0,"New")</f>
        <v>Experienced</v>
      </c>
      <c r="AB405" s="5" t="str" cm="1">
        <f t="array" ref="AB405">_xlfn.IFS(G405=1,"Junior",G405=2,"Mid-Level",G405=3,"Senior",G405=4,"Lead",G405=5,"Principal")&amp;" "&amp;TRIM(PROPER(H405))</f>
        <v>Senior Sales Executive</v>
      </c>
      <c r="AC405" s="19" t="str">
        <f t="shared" ca="1" si="76"/>
        <v>Sa-Sal-2016-404 is a Senior Sales Executive in the Sales department, aged 41, married and has been with the Company for 10years</v>
      </c>
    </row>
    <row r="406" spans="1:29">
      <c r="A406" s="18" t="str">
        <f t="shared" ca="1" si="66"/>
        <v>La-Res-2016-405</v>
      </c>
      <c r="B406" s="5">
        <v>28</v>
      </c>
      <c r="C406" s="5" t="str">
        <f t="shared" si="67"/>
        <v>20-29</v>
      </c>
      <c r="D406" s="5" t="s">
        <v>43</v>
      </c>
      <c r="E406" s="5" t="s">
        <v>45</v>
      </c>
      <c r="F406" s="5" t="s">
        <v>46</v>
      </c>
      <c r="G406" s="5">
        <v>2</v>
      </c>
      <c r="H406" s="5" t="s">
        <v>50</v>
      </c>
      <c r="I406" s="5" t="s">
        <v>52</v>
      </c>
      <c r="J406" s="7">
        <v>4558</v>
      </c>
      <c r="K406" s="7">
        <f t="shared" si="68"/>
        <v>683.69999999999993</v>
      </c>
      <c r="L406" s="7">
        <f t="shared" si="69"/>
        <v>3874.3</v>
      </c>
      <c r="M406" s="7">
        <v>13535</v>
      </c>
      <c r="N406" s="5" t="s">
        <v>43</v>
      </c>
      <c r="O406" s="5">
        <v>12</v>
      </c>
      <c r="P406" s="7">
        <f t="shared" si="70"/>
        <v>5104.96</v>
      </c>
      <c r="Q406" s="7">
        <f t="shared" si="71"/>
        <v>6563.52</v>
      </c>
      <c r="R406" s="7" t="str">
        <f t="shared" si="72"/>
        <v>Normal</v>
      </c>
      <c r="S406" s="5">
        <v>3</v>
      </c>
      <c r="T406" s="5">
        <v>3</v>
      </c>
      <c r="U406" s="5" t="str" cm="1">
        <f t="array" ref="U406">_xlfn.IFS(T406=1,"Poor",T406=2,"Fair",T406=3,"Good",T406=4,"Excellent")</f>
        <v>Good</v>
      </c>
      <c r="V406" s="5" t="s">
        <v>43</v>
      </c>
      <c r="W406" s="5">
        <v>10</v>
      </c>
      <c r="X406" s="28">
        <f t="shared" ca="1" si="73"/>
        <v>42459</v>
      </c>
      <c r="Y406" s="28">
        <f t="shared" ca="1" si="74"/>
        <v>46842</v>
      </c>
      <c r="Z406" s="28" t="str">
        <f t="shared" ca="1" si="75"/>
        <v>Upcoming</v>
      </c>
      <c r="AA406" s="5" t="str" cm="1">
        <f t="array" ref="AA406">_xlfn.IFS(W406&gt;10,"Veteran",W406&gt;=6,"Experienced",W406&gt;=2,"Developing",W406&gt;=0,"New")</f>
        <v>Experienced</v>
      </c>
      <c r="AB406" s="5" t="str" cm="1">
        <f t="array" ref="AB406">_xlfn.IFS(G406=1,"Junior",G406=2,"Mid-Level",G406=3,"Senior",G406=4,"Lead",G406=5,"Principal")&amp;" "&amp;TRIM(PROPER(H406))</f>
        <v>Mid-Level Laboratory Technician</v>
      </c>
      <c r="AC406" s="19" t="str">
        <f t="shared" ca="1" si="76"/>
        <v>La-Res-2016-405 is a Mid-Level Laboratory Technician in the Research &amp; Development department, aged 28, divorced and has been with the Company for 10years</v>
      </c>
    </row>
    <row r="407" spans="1:29">
      <c r="A407" s="18" t="str">
        <f t="shared" ca="1" si="66"/>
        <v>La-Res-2024-406</v>
      </c>
      <c r="B407" s="5">
        <v>25</v>
      </c>
      <c r="C407" s="5" t="str">
        <f t="shared" si="67"/>
        <v>20-29</v>
      </c>
      <c r="D407" s="5" t="s">
        <v>35</v>
      </c>
      <c r="E407" s="5" t="s">
        <v>45</v>
      </c>
      <c r="F407" s="5" t="s">
        <v>46</v>
      </c>
      <c r="G407" s="5">
        <v>1</v>
      </c>
      <c r="H407" s="5" t="s">
        <v>50</v>
      </c>
      <c r="I407" s="5" t="s">
        <v>48</v>
      </c>
      <c r="J407" s="7">
        <v>4031</v>
      </c>
      <c r="K407" s="7">
        <f t="shared" si="68"/>
        <v>604.65</v>
      </c>
      <c r="L407" s="7">
        <f t="shared" si="69"/>
        <v>3426.35</v>
      </c>
      <c r="M407" s="7">
        <v>9396</v>
      </c>
      <c r="N407" s="5" t="s">
        <v>43</v>
      </c>
      <c r="O407" s="5">
        <v>13</v>
      </c>
      <c r="P407" s="7">
        <f t="shared" si="70"/>
        <v>4555.03</v>
      </c>
      <c r="Q407" s="7">
        <f t="shared" si="71"/>
        <v>6288.3599999999969</v>
      </c>
      <c r="R407" s="7" t="str">
        <f t="shared" si="72"/>
        <v>Normal</v>
      </c>
      <c r="S407" s="5">
        <v>3</v>
      </c>
      <c r="T407" s="5">
        <v>3</v>
      </c>
      <c r="U407" s="5" t="str" cm="1">
        <f t="array" ref="U407">_xlfn.IFS(T407=1,"Poor",T407=2,"Fair",T407=3,"Good",T407=4,"Excellent")</f>
        <v>Good</v>
      </c>
      <c r="V407" s="5" t="s">
        <v>43</v>
      </c>
      <c r="W407" s="5">
        <v>2</v>
      </c>
      <c r="X407" s="28">
        <f t="shared" ca="1" si="73"/>
        <v>45381</v>
      </c>
      <c r="Y407" s="28">
        <f t="shared" ca="1" si="74"/>
        <v>46842</v>
      </c>
      <c r="Z407" s="28" t="str">
        <f t="shared" ca="1" si="75"/>
        <v>Upcoming</v>
      </c>
      <c r="AA407" s="5" t="str" cm="1">
        <f t="array" ref="AA407">_xlfn.IFS(W407&gt;10,"Veteran",W407&gt;=6,"Experienced",W407&gt;=2,"Developing",W407&gt;=0,"New")</f>
        <v>Developing</v>
      </c>
      <c r="AB407" s="5" t="str" cm="1">
        <f t="array" ref="AB407">_xlfn.IFS(G407=1,"Junior",G407=2,"Mid-Level",G407=3,"Senior",G407=4,"Lead",G407=5,"Principal")&amp;" "&amp;TRIM(PROPER(H407))</f>
        <v>Junior Laboratory Technician</v>
      </c>
      <c r="AC407" s="19" t="str">
        <f t="shared" ca="1" si="76"/>
        <v>La-Res-2024-406 is a Junior Laboratory Technician in the Research &amp; Development department, aged 25, married and has been with the Company for 2years</v>
      </c>
    </row>
    <row r="408" spans="1:29">
      <c r="A408" s="18" t="str">
        <f t="shared" ca="1" si="66"/>
        <v>Ma-Res-2021-407</v>
      </c>
      <c r="B408" s="5">
        <v>52</v>
      </c>
      <c r="C408" s="5" t="str">
        <f t="shared" si="67"/>
        <v>50+</v>
      </c>
      <c r="D408" s="5" t="s">
        <v>43</v>
      </c>
      <c r="E408" s="5" t="s">
        <v>45</v>
      </c>
      <c r="F408" s="5" t="s">
        <v>46</v>
      </c>
      <c r="G408" s="5">
        <v>3</v>
      </c>
      <c r="H408" s="5" t="s">
        <v>53</v>
      </c>
      <c r="I408" s="5" t="s">
        <v>48</v>
      </c>
      <c r="J408" s="7">
        <v>7969</v>
      </c>
      <c r="K408" s="7">
        <f t="shared" si="68"/>
        <v>1753.18</v>
      </c>
      <c r="L408" s="7">
        <f t="shared" si="69"/>
        <v>6215.82</v>
      </c>
      <c r="M408" s="7">
        <v>19609</v>
      </c>
      <c r="N408" s="5" t="s">
        <v>35</v>
      </c>
      <c r="O408" s="5">
        <v>14</v>
      </c>
      <c r="P408" s="7">
        <f t="shared" si="70"/>
        <v>9084.6600000000017</v>
      </c>
      <c r="Q408" s="7">
        <f t="shared" si="71"/>
        <v>13387.92000000002</v>
      </c>
      <c r="R408" s="7" t="str">
        <f t="shared" si="72"/>
        <v>Normal</v>
      </c>
      <c r="S408" s="5">
        <v>3</v>
      </c>
      <c r="T408" s="5">
        <v>3</v>
      </c>
      <c r="U408" s="5" t="str" cm="1">
        <f t="array" ref="U408">_xlfn.IFS(T408=1,"Poor",T408=2,"Fair",T408=3,"Good",T408=4,"Excellent")</f>
        <v>Good</v>
      </c>
      <c r="V408" s="5" t="s">
        <v>35</v>
      </c>
      <c r="W408" s="5">
        <v>5</v>
      </c>
      <c r="X408" s="28">
        <f t="shared" ca="1" si="73"/>
        <v>44285</v>
      </c>
      <c r="Y408" s="28">
        <f t="shared" ca="1" si="74"/>
        <v>46476</v>
      </c>
      <c r="Z408" s="28" t="str">
        <f t="shared" ca="1" si="75"/>
        <v>Due Soon</v>
      </c>
      <c r="AA408" s="5" t="str" cm="1">
        <f t="array" ref="AA408">_xlfn.IFS(W408&gt;10,"Veteran",W408&gt;=6,"Experienced",W408&gt;=2,"Developing",W408&gt;=0,"New")</f>
        <v>Developing</v>
      </c>
      <c r="AB408" s="5" t="str" cm="1">
        <f t="array" ref="AB408">_xlfn.IFS(G408=1,"Junior",G408=2,"Mid-Level",G408=3,"Senior",G408=4,"Lead",G408=5,"Principal")&amp;" "&amp;TRIM(PROPER(H408))</f>
        <v>Senior Manufacturing Director</v>
      </c>
      <c r="AC408" s="19" t="str">
        <f t="shared" ca="1" si="76"/>
        <v>Ma-Res-2021-407 is a Senior Manufacturing Director in the Research &amp; Development department, aged 52, married and has been with the Company for 5years</v>
      </c>
    </row>
    <row r="409" spans="1:29">
      <c r="A409" s="18" t="str">
        <f t="shared" ca="1" si="66"/>
        <v>Re-Res-2024-408</v>
      </c>
      <c r="B409" s="5">
        <v>45</v>
      </c>
      <c r="C409" s="5" t="str">
        <f t="shared" si="67"/>
        <v>40-49</v>
      </c>
      <c r="D409" s="5" t="s">
        <v>43</v>
      </c>
      <c r="E409" s="5" t="s">
        <v>45</v>
      </c>
      <c r="F409" s="5" t="s">
        <v>46</v>
      </c>
      <c r="G409" s="5">
        <v>1</v>
      </c>
      <c r="H409" s="5" t="s">
        <v>47</v>
      </c>
      <c r="I409" s="5" t="s">
        <v>48</v>
      </c>
      <c r="J409" s="7">
        <v>2654</v>
      </c>
      <c r="K409" s="7">
        <f t="shared" si="68"/>
        <v>185.78000000000003</v>
      </c>
      <c r="L409" s="7">
        <f t="shared" si="69"/>
        <v>2468.2199999999998</v>
      </c>
      <c r="M409" s="7">
        <v>9655</v>
      </c>
      <c r="N409" s="5" t="s">
        <v>43</v>
      </c>
      <c r="O409" s="5">
        <v>21</v>
      </c>
      <c r="P409" s="7">
        <f t="shared" si="70"/>
        <v>3211.3399999999997</v>
      </c>
      <c r="Q409" s="7">
        <f t="shared" si="71"/>
        <v>6688.0799999999963</v>
      </c>
      <c r="R409" s="7" t="str">
        <f t="shared" si="72"/>
        <v>Normal</v>
      </c>
      <c r="S409" s="5">
        <v>4</v>
      </c>
      <c r="T409" s="5">
        <v>2</v>
      </c>
      <c r="U409" s="5" t="str" cm="1">
        <f t="array" ref="U409">_xlfn.IFS(T409=1,"Poor",T409=2,"Fair",T409=3,"Good",T409=4,"Excellent")</f>
        <v>Fair</v>
      </c>
      <c r="V409" s="5" t="s">
        <v>43</v>
      </c>
      <c r="W409" s="5">
        <v>2</v>
      </c>
      <c r="X409" s="28">
        <f t="shared" ca="1" si="73"/>
        <v>45381</v>
      </c>
      <c r="Y409" s="28">
        <f t="shared" ca="1" si="74"/>
        <v>46842</v>
      </c>
      <c r="Z409" s="28" t="str">
        <f t="shared" ca="1" si="75"/>
        <v>Upcoming</v>
      </c>
      <c r="AA409" s="5" t="str" cm="1">
        <f t="array" ref="AA409">_xlfn.IFS(W409&gt;10,"Veteran",W409&gt;=6,"Experienced",W409&gt;=2,"Developing",W409&gt;=0,"New")</f>
        <v>Developing</v>
      </c>
      <c r="AB409" s="5" t="str" cm="1">
        <f t="array" ref="AB409">_xlfn.IFS(G409=1,"Junior",G409=2,"Mid-Level",G409=3,"Senior",G409=4,"Lead",G409=5,"Principal")&amp;" "&amp;TRIM(PROPER(H409))</f>
        <v>Junior Research Scientist</v>
      </c>
      <c r="AC409" s="19" t="str">
        <f t="shared" ca="1" si="76"/>
        <v>Re-Res-2024-408 is a Junior Research Scientist in the Research &amp; Development department, aged 45, married and has been with the Company for 2years</v>
      </c>
    </row>
    <row r="410" spans="1:29">
      <c r="A410" s="18" t="str">
        <f t="shared" ca="1" si="66"/>
        <v>Ma-Res-2021-409</v>
      </c>
      <c r="B410" s="5">
        <v>52</v>
      </c>
      <c r="C410" s="5" t="str">
        <f t="shared" si="67"/>
        <v>50+</v>
      </c>
      <c r="D410" s="5" t="s">
        <v>43</v>
      </c>
      <c r="E410" s="5" t="s">
        <v>45</v>
      </c>
      <c r="F410" s="5" t="s">
        <v>39</v>
      </c>
      <c r="G410" s="5">
        <v>4</v>
      </c>
      <c r="H410" s="5" t="s">
        <v>56</v>
      </c>
      <c r="I410" s="5" t="s">
        <v>48</v>
      </c>
      <c r="J410" s="7">
        <v>16555</v>
      </c>
      <c r="K410" s="7">
        <f t="shared" si="68"/>
        <v>4966.5</v>
      </c>
      <c r="L410" s="7">
        <f t="shared" si="69"/>
        <v>11588.5</v>
      </c>
      <c r="M410" s="7">
        <v>10310</v>
      </c>
      <c r="N410" s="5" t="s">
        <v>43</v>
      </c>
      <c r="O410" s="5">
        <v>13</v>
      </c>
      <c r="P410" s="7">
        <f t="shared" si="70"/>
        <v>18707.149999999998</v>
      </c>
      <c r="Q410" s="7">
        <f t="shared" si="71"/>
        <v>25825.799999999974</v>
      </c>
      <c r="R410" s="7" t="str">
        <f t="shared" si="72"/>
        <v>Normal</v>
      </c>
      <c r="S410" s="5">
        <v>3</v>
      </c>
      <c r="T410" s="5">
        <v>1</v>
      </c>
      <c r="U410" s="5" t="str" cm="1">
        <f t="array" ref="U410">_xlfn.IFS(T410=1,"Poor",T410=2,"Fair",T410=3,"Good",T410=4,"Excellent")</f>
        <v>Poor</v>
      </c>
      <c r="V410" s="5" t="s">
        <v>43</v>
      </c>
      <c r="W410" s="5">
        <v>5</v>
      </c>
      <c r="X410" s="28">
        <f t="shared" ca="1" si="73"/>
        <v>44285</v>
      </c>
      <c r="Y410" s="28">
        <f t="shared" ca="1" si="74"/>
        <v>46476</v>
      </c>
      <c r="Z410" s="28" t="str">
        <f t="shared" ca="1" si="75"/>
        <v>Due Soon</v>
      </c>
      <c r="AA410" s="5" t="str" cm="1">
        <f t="array" ref="AA410">_xlfn.IFS(W410&gt;10,"Veteran",W410&gt;=6,"Experienced",W410&gt;=2,"Developing",W410&gt;=0,"New")</f>
        <v>Developing</v>
      </c>
      <c r="AB410" s="5" t="str" cm="1">
        <f t="array" ref="AB410">_xlfn.IFS(G410=1,"Junior",G410=2,"Mid-Level",G410=3,"Senior",G410=4,"Lead",G410=5,"Principal")&amp;" "&amp;TRIM(PROPER(H410))</f>
        <v>Lead Manager</v>
      </c>
      <c r="AC410" s="19" t="str">
        <f t="shared" ca="1" si="76"/>
        <v>Ma-Res-2021-409 is a Lead Manager in the Research &amp; Development department, aged 52, married and has been with the Company for 5years</v>
      </c>
    </row>
    <row r="411" spans="1:29">
      <c r="A411" s="18" t="str">
        <f t="shared" ca="1" si="66"/>
        <v>Re-Res-2021-410</v>
      </c>
      <c r="B411" s="5">
        <v>42</v>
      </c>
      <c r="C411" s="5" t="str">
        <f t="shared" si="67"/>
        <v>40-49</v>
      </c>
      <c r="D411" s="5" t="s">
        <v>43</v>
      </c>
      <c r="E411" s="5" t="s">
        <v>45</v>
      </c>
      <c r="F411" s="5" t="s">
        <v>39</v>
      </c>
      <c r="G411" s="5">
        <v>2</v>
      </c>
      <c r="H411" s="5" t="s">
        <v>47</v>
      </c>
      <c r="I411" s="5" t="s">
        <v>52</v>
      </c>
      <c r="J411" s="7">
        <v>4556</v>
      </c>
      <c r="K411" s="7">
        <f t="shared" si="68"/>
        <v>683.4</v>
      </c>
      <c r="L411" s="7">
        <f t="shared" si="69"/>
        <v>3872.6</v>
      </c>
      <c r="M411" s="7">
        <v>12932</v>
      </c>
      <c r="N411" s="5" t="s">
        <v>43</v>
      </c>
      <c r="O411" s="5">
        <v>11</v>
      </c>
      <c r="P411" s="7">
        <f t="shared" si="70"/>
        <v>5057.1600000000008</v>
      </c>
      <c r="Q411" s="7">
        <f t="shared" si="71"/>
        <v>6013.9200000000092</v>
      </c>
      <c r="R411" s="7" t="str">
        <f t="shared" si="72"/>
        <v>Normal</v>
      </c>
      <c r="S411" s="5">
        <v>3</v>
      </c>
      <c r="T411" s="5">
        <v>3</v>
      </c>
      <c r="U411" s="5" t="str" cm="1">
        <f t="array" ref="U411">_xlfn.IFS(T411=1,"Poor",T411=2,"Fair",T411=3,"Good",T411=4,"Excellent")</f>
        <v>Good</v>
      </c>
      <c r="V411" s="5" t="s">
        <v>43</v>
      </c>
      <c r="W411" s="5">
        <v>5</v>
      </c>
      <c r="X411" s="28">
        <f t="shared" ca="1" si="73"/>
        <v>44285</v>
      </c>
      <c r="Y411" s="28">
        <f t="shared" ca="1" si="74"/>
        <v>46476</v>
      </c>
      <c r="Z411" s="28" t="str">
        <f t="shared" ca="1" si="75"/>
        <v>Due Soon</v>
      </c>
      <c r="AA411" s="5" t="str" cm="1">
        <f t="array" ref="AA411">_xlfn.IFS(W411&gt;10,"Veteran",W411&gt;=6,"Experienced",W411&gt;=2,"Developing",W411&gt;=0,"New")</f>
        <v>Developing</v>
      </c>
      <c r="AB411" s="5" t="str" cm="1">
        <f t="array" ref="AB411">_xlfn.IFS(G411=1,"Junior",G411=2,"Mid-Level",G411=3,"Senior",G411=4,"Lead",G411=5,"Principal")&amp;" "&amp;TRIM(PROPER(H411))</f>
        <v>Mid-Level Research Scientist</v>
      </c>
      <c r="AC411" s="19" t="str">
        <f t="shared" ca="1" si="76"/>
        <v>Re-Res-2021-410 is a Mid-Level Research Scientist in the Research &amp; Development department, aged 42, divorced and has been with the Company for 5years</v>
      </c>
    </row>
    <row r="412" spans="1:29">
      <c r="A412" s="18" t="str">
        <f t="shared" ca="1" si="66"/>
        <v>Ma-Res-2021-411</v>
      </c>
      <c r="B412" s="5">
        <v>30</v>
      </c>
      <c r="C412" s="5" t="str">
        <f t="shared" si="67"/>
        <v>30-39</v>
      </c>
      <c r="D412" s="5" t="s">
        <v>43</v>
      </c>
      <c r="E412" s="5" t="s">
        <v>45</v>
      </c>
      <c r="F412" s="5" t="s">
        <v>39</v>
      </c>
      <c r="G412" s="5">
        <v>2</v>
      </c>
      <c r="H412" s="5" t="s">
        <v>53</v>
      </c>
      <c r="I412" s="5" t="s">
        <v>41</v>
      </c>
      <c r="J412" s="7">
        <v>6091</v>
      </c>
      <c r="K412" s="7">
        <f t="shared" si="68"/>
        <v>913.65</v>
      </c>
      <c r="L412" s="7">
        <f t="shared" si="69"/>
        <v>5177.3500000000004</v>
      </c>
      <c r="M412" s="7">
        <v>24793</v>
      </c>
      <c r="N412" s="5" t="s">
        <v>43</v>
      </c>
      <c r="O412" s="5">
        <v>20</v>
      </c>
      <c r="P412" s="7">
        <f t="shared" si="70"/>
        <v>7309.2</v>
      </c>
      <c r="Q412" s="7">
        <f t="shared" si="71"/>
        <v>14618.399999999998</v>
      </c>
      <c r="R412" s="7" t="str">
        <f t="shared" si="72"/>
        <v>Normal</v>
      </c>
      <c r="S412" s="5">
        <v>4</v>
      </c>
      <c r="T412" s="5">
        <v>3</v>
      </c>
      <c r="U412" s="5" t="str" cm="1">
        <f t="array" ref="U412">_xlfn.IFS(T412=1,"Poor",T412=2,"Fair",T412=3,"Good",T412=4,"Excellent")</f>
        <v>Good</v>
      </c>
      <c r="V412" s="5" t="s">
        <v>43</v>
      </c>
      <c r="W412" s="5">
        <v>5</v>
      </c>
      <c r="X412" s="28">
        <f t="shared" ca="1" si="73"/>
        <v>44285</v>
      </c>
      <c r="Y412" s="28">
        <f t="shared" ca="1" si="74"/>
        <v>46476</v>
      </c>
      <c r="Z412" s="28" t="str">
        <f t="shared" ca="1" si="75"/>
        <v>Due Soon</v>
      </c>
      <c r="AA412" s="5" t="str" cm="1">
        <f t="array" ref="AA412">_xlfn.IFS(W412&gt;10,"Veteran",W412&gt;=6,"Experienced",W412&gt;=2,"Developing",W412&gt;=0,"New")</f>
        <v>Developing</v>
      </c>
      <c r="AB412" s="5" t="str" cm="1">
        <f t="array" ref="AB412">_xlfn.IFS(G412=1,"Junior",G412=2,"Mid-Level",G412=3,"Senior",G412=4,"Lead",G412=5,"Principal")&amp;" "&amp;TRIM(PROPER(H412))</f>
        <v>Mid-Level Manufacturing Director</v>
      </c>
      <c r="AC412" s="19" t="str">
        <f t="shared" ca="1" si="76"/>
        <v>Ma-Res-2021-411 is a Mid-Level Manufacturing Director in the Research &amp; Development department, aged 30, single and has been with the Company for 5years</v>
      </c>
    </row>
    <row r="413" spans="1:29">
      <c r="A413" s="18" t="str">
        <f t="shared" ca="1" si="66"/>
        <v>Ma-Res-1997-412</v>
      </c>
      <c r="B413" s="5">
        <v>60</v>
      </c>
      <c r="C413" s="5" t="str">
        <f t="shared" si="67"/>
        <v>50+</v>
      </c>
      <c r="D413" s="5" t="s">
        <v>43</v>
      </c>
      <c r="E413" s="5" t="s">
        <v>45</v>
      </c>
      <c r="F413" s="5" t="s">
        <v>39</v>
      </c>
      <c r="G413" s="5">
        <v>5</v>
      </c>
      <c r="H413" s="5" t="s">
        <v>56</v>
      </c>
      <c r="I413" s="5" t="s">
        <v>48</v>
      </c>
      <c r="J413" s="7">
        <v>19566</v>
      </c>
      <c r="K413" s="7">
        <f t="shared" si="68"/>
        <v>5869.8</v>
      </c>
      <c r="L413" s="7">
        <f t="shared" si="69"/>
        <v>13696.2</v>
      </c>
      <c r="M413" s="7">
        <v>3854</v>
      </c>
      <c r="N413" s="5" t="s">
        <v>43</v>
      </c>
      <c r="O413" s="5">
        <v>11</v>
      </c>
      <c r="P413" s="7">
        <f t="shared" si="70"/>
        <v>21718.260000000002</v>
      </c>
      <c r="Q413" s="7">
        <f t="shared" si="71"/>
        <v>25827.120000000024</v>
      </c>
      <c r="R413" s="7" t="str">
        <f t="shared" si="72"/>
        <v>Normal</v>
      </c>
      <c r="S413" s="5">
        <v>3</v>
      </c>
      <c r="T413" s="5">
        <v>1</v>
      </c>
      <c r="U413" s="5" t="str" cm="1">
        <f t="array" ref="U413">_xlfn.IFS(T413=1,"Poor",T413=2,"Fair",T413=3,"Good",T413=4,"Excellent")</f>
        <v>Poor</v>
      </c>
      <c r="V413" s="5" t="s">
        <v>43</v>
      </c>
      <c r="W413" s="5">
        <v>29</v>
      </c>
      <c r="X413" s="28">
        <f t="shared" ca="1" si="73"/>
        <v>35519</v>
      </c>
      <c r="Y413" s="28">
        <f t="shared" ca="1" si="74"/>
        <v>46476</v>
      </c>
      <c r="Z413" s="28" t="str">
        <f t="shared" ca="1" si="75"/>
        <v>Due Soon</v>
      </c>
      <c r="AA413" s="5" t="str" cm="1">
        <f t="array" ref="AA413">_xlfn.IFS(W413&gt;10,"Veteran",W413&gt;=6,"Experienced",W413&gt;=2,"Developing",W413&gt;=0,"New")</f>
        <v>Veteran</v>
      </c>
      <c r="AB413" s="5" t="str" cm="1">
        <f t="array" ref="AB413">_xlfn.IFS(G413=1,"Junior",G413=2,"Mid-Level",G413=3,"Senior",G413=4,"Lead",G413=5,"Principal")&amp;" "&amp;TRIM(PROPER(H413))</f>
        <v>Principal Manager</v>
      </c>
      <c r="AC413" s="19" t="str">
        <f t="shared" ca="1" si="76"/>
        <v>Ma-Res-1997-412 is a Principal Manager in the Research &amp; Development department, aged 60, married and has been with the Company for 29years</v>
      </c>
    </row>
    <row r="414" spans="1:29">
      <c r="A414" s="18" t="str">
        <f t="shared" ca="1" si="66"/>
        <v>Ma-Res-2016-413</v>
      </c>
      <c r="B414" s="5">
        <v>46</v>
      </c>
      <c r="C414" s="5" t="str">
        <f t="shared" si="67"/>
        <v>40-49</v>
      </c>
      <c r="D414" s="5" t="s">
        <v>43</v>
      </c>
      <c r="E414" s="5" t="s">
        <v>45</v>
      </c>
      <c r="F414" s="5" t="s">
        <v>39</v>
      </c>
      <c r="G414" s="5">
        <v>2</v>
      </c>
      <c r="H414" s="5" t="s">
        <v>53</v>
      </c>
      <c r="I414" s="5" t="s">
        <v>52</v>
      </c>
      <c r="J414" s="7">
        <v>4810</v>
      </c>
      <c r="K414" s="7">
        <f t="shared" si="68"/>
        <v>721.5</v>
      </c>
      <c r="L414" s="7">
        <f t="shared" si="69"/>
        <v>4088.5</v>
      </c>
      <c r="M414" s="7">
        <v>26314</v>
      </c>
      <c r="N414" s="5" t="s">
        <v>43</v>
      </c>
      <c r="O414" s="5">
        <v>14</v>
      </c>
      <c r="P414" s="7">
        <f t="shared" si="70"/>
        <v>5483.4000000000005</v>
      </c>
      <c r="Q414" s="7">
        <f t="shared" si="71"/>
        <v>8080.8000000000065</v>
      </c>
      <c r="R414" s="7" t="str">
        <f t="shared" si="72"/>
        <v>Normal</v>
      </c>
      <c r="S414" s="5">
        <v>3</v>
      </c>
      <c r="T414" s="5">
        <v>2</v>
      </c>
      <c r="U414" s="5" t="str" cm="1">
        <f t="array" ref="U414">_xlfn.IFS(T414=1,"Poor",T414=2,"Fair",T414=3,"Good",T414=4,"Excellent")</f>
        <v>Fair</v>
      </c>
      <c r="V414" s="5" t="s">
        <v>43</v>
      </c>
      <c r="W414" s="5">
        <v>10</v>
      </c>
      <c r="X414" s="28">
        <f t="shared" ca="1" si="73"/>
        <v>42459</v>
      </c>
      <c r="Y414" s="28">
        <f t="shared" ca="1" si="74"/>
        <v>46842</v>
      </c>
      <c r="Z414" s="28" t="str">
        <f t="shared" ca="1" si="75"/>
        <v>Upcoming</v>
      </c>
      <c r="AA414" s="5" t="str" cm="1">
        <f t="array" ref="AA414">_xlfn.IFS(W414&gt;10,"Veteran",W414&gt;=6,"Experienced",W414&gt;=2,"Developing",W414&gt;=0,"New")</f>
        <v>Experienced</v>
      </c>
      <c r="AB414" s="5" t="str" cm="1">
        <f t="array" ref="AB414">_xlfn.IFS(G414=1,"Junior",G414=2,"Mid-Level",G414=3,"Senior",G414=4,"Lead",G414=5,"Principal")&amp;" "&amp;TRIM(PROPER(H414))</f>
        <v>Mid-Level Manufacturing Director</v>
      </c>
      <c r="AC414" s="19" t="str">
        <f t="shared" ca="1" si="76"/>
        <v>Ma-Res-2016-413 is a Mid-Level Manufacturing Director in the Research &amp; Development department, aged 46, divorced and has been with the Company for 10years</v>
      </c>
    </row>
    <row r="415" spans="1:29">
      <c r="A415" s="18" t="str">
        <f t="shared" ca="1" si="66"/>
        <v>He-Res-2020-414</v>
      </c>
      <c r="B415" s="5">
        <v>42</v>
      </c>
      <c r="C415" s="5" t="str">
        <f t="shared" si="67"/>
        <v>40-49</v>
      </c>
      <c r="D415" s="5" t="s">
        <v>43</v>
      </c>
      <c r="E415" s="5" t="s">
        <v>45</v>
      </c>
      <c r="F415" s="5" t="s">
        <v>39</v>
      </c>
      <c r="G415" s="5">
        <v>2</v>
      </c>
      <c r="H415" s="5" t="s">
        <v>54</v>
      </c>
      <c r="I415" s="5" t="s">
        <v>48</v>
      </c>
      <c r="J415" s="7">
        <v>4523</v>
      </c>
      <c r="K415" s="7">
        <f t="shared" si="68"/>
        <v>678.44999999999993</v>
      </c>
      <c r="L415" s="7">
        <f t="shared" si="69"/>
        <v>3844.55</v>
      </c>
      <c r="M415" s="7">
        <v>4386</v>
      </c>
      <c r="N415" s="5" t="s">
        <v>43</v>
      </c>
      <c r="O415" s="5">
        <v>11</v>
      </c>
      <c r="P415" s="7">
        <f t="shared" si="70"/>
        <v>5020.5300000000007</v>
      </c>
      <c r="Q415" s="7">
        <f t="shared" si="71"/>
        <v>5970.3600000000079</v>
      </c>
      <c r="R415" s="7" t="str">
        <f t="shared" si="72"/>
        <v>Normal</v>
      </c>
      <c r="S415" s="5">
        <v>3</v>
      </c>
      <c r="T415" s="5">
        <v>4</v>
      </c>
      <c r="U415" s="5" t="str" cm="1">
        <f t="array" ref="U415">_xlfn.IFS(T415=1,"Poor",T415=2,"Fair",T415=3,"Good",T415=4,"Excellent")</f>
        <v>Excellent</v>
      </c>
      <c r="V415" s="5" t="s">
        <v>43</v>
      </c>
      <c r="W415" s="5">
        <v>6</v>
      </c>
      <c r="X415" s="28">
        <f t="shared" ca="1" si="73"/>
        <v>43920</v>
      </c>
      <c r="Y415" s="28">
        <f t="shared" ca="1" si="74"/>
        <v>46842</v>
      </c>
      <c r="Z415" s="28" t="str">
        <f t="shared" ca="1" si="75"/>
        <v>Upcoming</v>
      </c>
      <c r="AA415" s="5" t="str" cm="1">
        <f t="array" ref="AA415">_xlfn.IFS(W415&gt;10,"Veteran",W415&gt;=6,"Experienced",W415&gt;=2,"Developing",W415&gt;=0,"New")</f>
        <v>Experienced</v>
      </c>
      <c r="AB415" s="5" t="str" cm="1">
        <f t="array" ref="AB415">_xlfn.IFS(G415=1,"Junior",G415=2,"Mid-Level",G415=3,"Senior",G415=4,"Lead",G415=5,"Principal")&amp;" "&amp;TRIM(PROPER(H415))</f>
        <v>Mid-Level Healthcare Representative</v>
      </c>
      <c r="AC415" s="19" t="str">
        <f t="shared" ca="1" si="76"/>
        <v>He-Res-2020-414 is a Mid-Level Healthcare Representative in the Research &amp; Development department, aged 42, married and has been with the Company for 6years</v>
      </c>
    </row>
    <row r="416" spans="1:29">
      <c r="A416" s="18" t="str">
        <f t="shared" ca="1" si="66"/>
        <v>Sa-Sal-2021-415</v>
      </c>
      <c r="B416" s="5">
        <v>24</v>
      </c>
      <c r="C416" s="5" t="str">
        <f t="shared" si="67"/>
        <v>20-29</v>
      </c>
      <c r="D416" s="5" t="s">
        <v>35</v>
      </c>
      <c r="E416" s="5" t="s">
        <v>37</v>
      </c>
      <c r="F416" s="5" t="s">
        <v>39</v>
      </c>
      <c r="G416" s="5">
        <v>1</v>
      </c>
      <c r="H416" s="5" t="s">
        <v>57</v>
      </c>
      <c r="I416" s="5" t="s">
        <v>41</v>
      </c>
      <c r="J416" s="7">
        <v>3202</v>
      </c>
      <c r="K416" s="7">
        <f t="shared" si="68"/>
        <v>480.29999999999995</v>
      </c>
      <c r="L416" s="7">
        <f t="shared" si="69"/>
        <v>2721.7</v>
      </c>
      <c r="M416" s="7">
        <v>21972</v>
      </c>
      <c r="N416" s="5" t="s">
        <v>35</v>
      </c>
      <c r="O416" s="5">
        <v>16</v>
      </c>
      <c r="P416" s="7">
        <f t="shared" si="70"/>
        <v>3714.3199999999997</v>
      </c>
      <c r="Q416" s="7">
        <f t="shared" si="71"/>
        <v>6147.8399999999965</v>
      </c>
      <c r="R416" s="7" t="str">
        <f t="shared" si="72"/>
        <v>Normal</v>
      </c>
      <c r="S416" s="5">
        <v>3</v>
      </c>
      <c r="T416" s="5">
        <v>3</v>
      </c>
      <c r="U416" s="5" t="str" cm="1">
        <f t="array" ref="U416">_xlfn.IFS(T416=1,"Poor",T416=2,"Fair",T416=3,"Good",T416=4,"Excellent")</f>
        <v>Good</v>
      </c>
      <c r="V416" s="5" t="s">
        <v>35</v>
      </c>
      <c r="W416" s="5">
        <v>5</v>
      </c>
      <c r="X416" s="28">
        <f t="shared" ca="1" si="73"/>
        <v>44285</v>
      </c>
      <c r="Y416" s="28">
        <f t="shared" ca="1" si="74"/>
        <v>46476</v>
      </c>
      <c r="Z416" s="28" t="str">
        <f t="shared" ca="1" si="75"/>
        <v>Due Soon</v>
      </c>
      <c r="AA416" s="5" t="str" cm="1">
        <f t="array" ref="AA416">_xlfn.IFS(W416&gt;10,"Veteran",W416&gt;=6,"Experienced",W416&gt;=2,"Developing",W416&gt;=0,"New")</f>
        <v>Developing</v>
      </c>
      <c r="AB416" s="5" t="str" cm="1">
        <f t="array" ref="AB416">_xlfn.IFS(G416=1,"Junior",G416=2,"Mid-Level",G416=3,"Senior",G416=4,"Lead",G416=5,"Principal")&amp;" "&amp;TRIM(PROPER(H416))</f>
        <v>Junior Sales Representative</v>
      </c>
      <c r="AC416" s="19" t="str">
        <f t="shared" ca="1" si="76"/>
        <v>Sa-Sal-2021-415 is a Junior Sales Representative in the Sales department, aged 24, single and has been with the Company for 5years</v>
      </c>
    </row>
    <row r="417" spans="1:29">
      <c r="A417" s="18" t="str">
        <f t="shared" ca="1" si="66"/>
        <v>Sa-Sal-2024-416</v>
      </c>
      <c r="B417" s="5">
        <v>34</v>
      </c>
      <c r="C417" s="5" t="str">
        <f t="shared" si="67"/>
        <v>30-39</v>
      </c>
      <c r="D417" s="5" t="s">
        <v>35</v>
      </c>
      <c r="E417" s="5" t="s">
        <v>37</v>
      </c>
      <c r="F417" s="5" t="s">
        <v>39</v>
      </c>
      <c r="G417" s="5">
        <v>1</v>
      </c>
      <c r="H417" s="5" t="s">
        <v>57</v>
      </c>
      <c r="I417" s="5" t="s">
        <v>52</v>
      </c>
      <c r="J417" s="7">
        <v>2351</v>
      </c>
      <c r="K417" s="7">
        <f t="shared" si="68"/>
        <v>164.57000000000002</v>
      </c>
      <c r="L417" s="7">
        <f t="shared" si="69"/>
        <v>2186.4299999999998</v>
      </c>
      <c r="M417" s="7">
        <v>12253</v>
      </c>
      <c r="N417" s="5" t="s">
        <v>43</v>
      </c>
      <c r="O417" s="5">
        <v>16</v>
      </c>
      <c r="P417" s="7">
        <f t="shared" si="70"/>
        <v>2727.16</v>
      </c>
      <c r="Q417" s="7">
        <f t="shared" si="71"/>
        <v>4513.9199999999983</v>
      </c>
      <c r="R417" s="7" t="str">
        <f t="shared" si="72"/>
        <v>Normal</v>
      </c>
      <c r="S417" s="5">
        <v>3</v>
      </c>
      <c r="T417" s="5">
        <v>2</v>
      </c>
      <c r="U417" s="5" t="str" cm="1">
        <f t="array" ref="U417">_xlfn.IFS(T417=1,"Poor",T417=2,"Fair",T417=3,"Good",T417=4,"Excellent")</f>
        <v>Fair</v>
      </c>
      <c r="V417" s="5" t="s">
        <v>43</v>
      </c>
      <c r="W417" s="5">
        <v>2</v>
      </c>
      <c r="X417" s="28">
        <f t="shared" ca="1" si="73"/>
        <v>45381</v>
      </c>
      <c r="Y417" s="28">
        <f t="shared" ca="1" si="74"/>
        <v>46842</v>
      </c>
      <c r="Z417" s="28" t="str">
        <f t="shared" ca="1" si="75"/>
        <v>Upcoming</v>
      </c>
      <c r="AA417" s="5" t="str" cm="1">
        <f t="array" ref="AA417">_xlfn.IFS(W417&gt;10,"Veteran",W417&gt;=6,"Experienced",W417&gt;=2,"Developing",W417&gt;=0,"New")</f>
        <v>Developing</v>
      </c>
      <c r="AB417" s="5" t="str" cm="1">
        <f t="array" ref="AB417">_xlfn.IFS(G417=1,"Junior",G417=2,"Mid-Level",G417=3,"Senior",G417=4,"Lead",G417=5,"Principal")&amp;" "&amp;TRIM(PROPER(H417))</f>
        <v>Junior Sales Representative</v>
      </c>
      <c r="AC417" s="19" t="str">
        <f t="shared" ca="1" si="76"/>
        <v>Sa-Sal-2024-416 is a Junior Sales Representative in the Sales department, aged 34, divorced and has been with the Company for 2years</v>
      </c>
    </row>
    <row r="418" spans="1:29">
      <c r="A418" s="18" t="str">
        <f t="shared" ca="1" si="66"/>
        <v>La-Res-2025-417</v>
      </c>
      <c r="B418" s="5">
        <v>38</v>
      </c>
      <c r="C418" s="5" t="str">
        <f t="shared" si="67"/>
        <v>30-39</v>
      </c>
      <c r="D418" s="5" t="s">
        <v>43</v>
      </c>
      <c r="E418" s="5" t="s">
        <v>45</v>
      </c>
      <c r="F418" s="5" t="s">
        <v>46</v>
      </c>
      <c r="G418" s="5">
        <v>1</v>
      </c>
      <c r="H418" s="5" t="s">
        <v>50</v>
      </c>
      <c r="I418" s="5" t="s">
        <v>48</v>
      </c>
      <c r="J418" s="7">
        <v>1702</v>
      </c>
      <c r="K418" s="7">
        <f t="shared" si="68"/>
        <v>119.14000000000001</v>
      </c>
      <c r="L418" s="7">
        <f t="shared" si="69"/>
        <v>1582.86</v>
      </c>
      <c r="M418" s="7">
        <v>12106</v>
      </c>
      <c r="N418" s="5" t="s">
        <v>35</v>
      </c>
      <c r="O418" s="5">
        <v>23</v>
      </c>
      <c r="P418" s="7">
        <f t="shared" si="70"/>
        <v>2093.46</v>
      </c>
      <c r="Q418" s="7">
        <f t="shared" si="71"/>
        <v>4697.5200000000004</v>
      </c>
      <c r="R418" s="7" t="str">
        <f t="shared" si="72"/>
        <v>Normal</v>
      </c>
      <c r="S418" s="5">
        <v>4</v>
      </c>
      <c r="T418" s="5">
        <v>3</v>
      </c>
      <c r="U418" s="5" t="str" cm="1">
        <f t="array" ref="U418">_xlfn.IFS(T418=1,"Poor",T418=2,"Fair",T418=3,"Good",T418=4,"Excellent")</f>
        <v>Good</v>
      </c>
      <c r="V418" s="5" t="s">
        <v>35</v>
      </c>
      <c r="W418" s="5">
        <v>1</v>
      </c>
      <c r="X418" s="28">
        <f t="shared" ca="1" si="73"/>
        <v>45746</v>
      </c>
      <c r="Y418" s="28">
        <f t="shared" ca="1" si="74"/>
        <v>46476</v>
      </c>
      <c r="Z418" s="28" t="str">
        <f t="shared" ca="1" si="75"/>
        <v>Due Soon</v>
      </c>
      <c r="AA418" s="5" t="str" cm="1">
        <f t="array" ref="AA418">_xlfn.IFS(W418&gt;10,"Veteran",W418&gt;=6,"Experienced",W418&gt;=2,"Developing",W418&gt;=0,"New")</f>
        <v>New</v>
      </c>
      <c r="AB418" s="5" t="str" cm="1">
        <f t="array" ref="AB418">_xlfn.IFS(G418=1,"Junior",G418=2,"Mid-Level",G418=3,"Senior",G418=4,"Lead",G418=5,"Principal")&amp;" "&amp;TRIM(PROPER(H418))</f>
        <v>Junior Laboratory Technician</v>
      </c>
      <c r="AC418" s="19" t="str">
        <f t="shared" ca="1" si="76"/>
        <v>La-Res-2025-417 is a Junior Laboratory Technician in the Research &amp; Development department, aged 38, married and has been with the Company for 1years</v>
      </c>
    </row>
    <row r="419" spans="1:29">
      <c r="A419" s="18" t="str">
        <f t="shared" ca="1" si="66"/>
        <v>Ma-Sal-2006-418</v>
      </c>
      <c r="B419" s="5">
        <v>40</v>
      </c>
      <c r="C419" s="5" t="str">
        <f t="shared" si="67"/>
        <v>40-49</v>
      </c>
      <c r="D419" s="5" t="s">
        <v>43</v>
      </c>
      <c r="E419" s="5" t="s">
        <v>37</v>
      </c>
      <c r="F419" s="5" t="s">
        <v>39</v>
      </c>
      <c r="G419" s="5">
        <v>5</v>
      </c>
      <c r="H419" s="5" t="s">
        <v>56</v>
      </c>
      <c r="I419" s="5" t="s">
        <v>48</v>
      </c>
      <c r="J419" s="7">
        <v>18041</v>
      </c>
      <c r="K419" s="7">
        <f t="shared" si="68"/>
        <v>5412.3</v>
      </c>
      <c r="L419" s="7">
        <f t="shared" si="69"/>
        <v>12628.7</v>
      </c>
      <c r="M419" s="7">
        <v>13022</v>
      </c>
      <c r="N419" s="5" t="s">
        <v>43</v>
      </c>
      <c r="O419" s="5">
        <v>14</v>
      </c>
      <c r="P419" s="7">
        <f t="shared" si="70"/>
        <v>20566.740000000002</v>
      </c>
      <c r="Q419" s="7">
        <f t="shared" si="71"/>
        <v>30308.880000000019</v>
      </c>
      <c r="R419" s="7" t="str">
        <f t="shared" si="72"/>
        <v>Normal</v>
      </c>
      <c r="S419" s="5">
        <v>3</v>
      </c>
      <c r="T419" s="5">
        <v>3</v>
      </c>
      <c r="U419" s="5" t="str" cm="1">
        <f t="array" ref="U419">_xlfn.IFS(T419=1,"Poor",T419=2,"Fair",T419=3,"Good",T419=4,"Excellent")</f>
        <v>Good</v>
      </c>
      <c r="V419" s="5" t="s">
        <v>43</v>
      </c>
      <c r="W419" s="5">
        <v>20</v>
      </c>
      <c r="X419" s="28">
        <f t="shared" ca="1" si="73"/>
        <v>38806</v>
      </c>
      <c r="Y419" s="28">
        <f t="shared" ca="1" si="74"/>
        <v>46842</v>
      </c>
      <c r="Z419" s="28" t="str">
        <f t="shared" ca="1" si="75"/>
        <v>Upcoming</v>
      </c>
      <c r="AA419" s="5" t="str" cm="1">
        <f t="array" ref="AA419">_xlfn.IFS(W419&gt;10,"Veteran",W419&gt;=6,"Experienced",W419&gt;=2,"Developing",W419&gt;=0,"New")</f>
        <v>Veteran</v>
      </c>
      <c r="AB419" s="5" t="str" cm="1">
        <f t="array" ref="AB419">_xlfn.IFS(G419=1,"Junior",G419=2,"Mid-Level",G419=3,"Senior",G419=4,"Lead",G419=5,"Principal")&amp;" "&amp;TRIM(PROPER(H419))</f>
        <v>Principal Manager</v>
      </c>
      <c r="AC419" s="19" t="str">
        <f t="shared" ca="1" si="76"/>
        <v>Ma-Sal-2006-418 is a Principal Manager in the Sales department, aged 40, married and has been with the Company for 20years</v>
      </c>
    </row>
    <row r="420" spans="1:29">
      <c r="A420" s="18" t="str">
        <f t="shared" ca="1" si="66"/>
        <v>Re-Res-2023-419</v>
      </c>
      <c r="B420" s="5">
        <v>26</v>
      </c>
      <c r="C420" s="5" t="str">
        <f t="shared" si="67"/>
        <v>20-29</v>
      </c>
      <c r="D420" s="5" t="s">
        <v>43</v>
      </c>
      <c r="E420" s="5" t="s">
        <v>45</v>
      </c>
      <c r="F420" s="5" t="s">
        <v>39</v>
      </c>
      <c r="G420" s="5">
        <v>1</v>
      </c>
      <c r="H420" s="5" t="s">
        <v>47</v>
      </c>
      <c r="I420" s="5" t="s">
        <v>52</v>
      </c>
      <c r="J420" s="7">
        <v>2886</v>
      </c>
      <c r="K420" s="7">
        <f t="shared" si="68"/>
        <v>202.02</v>
      </c>
      <c r="L420" s="7">
        <f t="shared" si="69"/>
        <v>2683.98</v>
      </c>
      <c r="M420" s="7">
        <v>3032</v>
      </c>
      <c r="N420" s="5" t="s">
        <v>43</v>
      </c>
      <c r="O420" s="5">
        <v>22</v>
      </c>
      <c r="P420" s="7">
        <f t="shared" si="70"/>
        <v>3520.92</v>
      </c>
      <c r="Q420" s="7">
        <f t="shared" si="71"/>
        <v>7619.0400000000009</v>
      </c>
      <c r="R420" s="7" t="str">
        <f t="shared" si="72"/>
        <v>Normal</v>
      </c>
      <c r="S420" s="5">
        <v>4</v>
      </c>
      <c r="T420" s="5">
        <v>1</v>
      </c>
      <c r="U420" s="5" t="str" cm="1">
        <f t="array" ref="U420">_xlfn.IFS(T420=1,"Poor",T420=2,"Fair",T420=3,"Good",T420=4,"Excellent")</f>
        <v>Poor</v>
      </c>
      <c r="V420" s="5" t="s">
        <v>43</v>
      </c>
      <c r="W420" s="5">
        <v>3</v>
      </c>
      <c r="X420" s="28">
        <f t="shared" ca="1" si="73"/>
        <v>45015</v>
      </c>
      <c r="Y420" s="28">
        <f t="shared" ca="1" si="74"/>
        <v>46476</v>
      </c>
      <c r="Z420" s="28" t="str">
        <f t="shared" ca="1" si="75"/>
        <v>Due Soon</v>
      </c>
      <c r="AA420" s="5" t="str" cm="1">
        <f t="array" ref="AA420">_xlfn.IFS(W420&gt;10,"Veteran",W420&gt;=6,"Experienced",W420&gt;=2,"Developing",W420&gt;=0,"New")</f>
        <v>Developing</v>
      </c>
      <c r="AB420" s="5" t="str" cm="1">
        <f t="array" ref="AB420">_xlfn.IFS(G420=1,"Junior",G420=2,"Mid-Level",G420=3,"Senior",G420=4,"Lead",G420=5,"Principal")&amp;" "&amp;TRIM(PROPER(H420))</f>
        <v>Junior Research Scientist</v>
      </c>
      <c r="AC420" s="19" t="str">
        <f t="shared" ca="1" si="76"/>
        <v>Re-Res-2023-419 is a Junior Research Scientist in the Research &amp; Development department, aged 26, divorced and has been with the Company for 3years</v>
      </c>
    </row>
    <row r="421" spans="1:29">
      <c r="A421" s="18" t="str">
        <f t="shared" ca="1" si="66"/>
        <v>La-Res-2021-420</v>
      </c>
      <c r="B421" s="5">
        <v>30</v>
      </c>
      <c r="C421" s="5" t="str">
        <f t="shared" si="67"/>
        <v>30-39</v>
      </c>
      <c r="D421" s="5" t="s">
        <v>43</v>
      </c>
      <c r="E421" s="5" t="s">
        <v>45</v>
      </c>
      <c r="F421" s="5" t="s">
        <v>46</v>
      </c>
      <c r="G421" s="5">
        <v>1</v>
      </c>
      <c r="H421" s="5" t="s">
        <v>50</v>
      </c>
      <c r="I421" s="5" t="s">
        <v>48</v>
      </c>
      <c r="J421" s="7">
        <v>2097</v>
      </c>
      <c r="K421" s="7">
        <f t="shared" si="68"/>
        <v>146.79000000000002</v>
      </c>
      <c r="L421" s="7">
        <f t="shared" si="69"/>
        <v>1950.21</v>
      </c>
      <c r="M421" s="7">
        <v>16734</v>
      </c>
      <c r="N421" s="5" t="s">
        <v>43</v>
      </c>
      <c r="O421" s="5">
        <v>15</v>
      </c>
      <c r="P421" s="7">
        <f t="shared" si="70"/>
        <v>2411.5499999999997</v>
      </c>
      <c r="Q421" s="7">
        <f t="shared" si="71"/>
        <v>3774.5999999999967</v>
      </c>
      <c r="R421" s="7" t="str">
        <f t="shared" si="72"/>
        <v>Normal</v>
      </c>
      <c r="S421" s="5">
        <v>3</v>
      </c>
      <c r="T421" s="5">
        <v>1</v>
      </c>
      <c r="U421" s="5" t="str" cm="1">
        <f t="array" ref="U421">_xlfn.IFS(T421=1,"Poor",T421=2,"Fair",T421=3,"Good",T421=4,"Excellent")</f>
        <v>Poor</v>
      </c>
      <c r="V421" s="5" t="s">
        <v>43</v>
      </c>
      <c r="W421" s="5">
        <v>5</v>
      </c>
      <c r="X421" s="28">
        <f t="shared" ca="1" si="73"/>
        <v>44285</v>
      </c>
      <c r="Y421" s="28">
        <f t="shared" ca="1" si="74"/>
        <v>46476</v>
      </c>
      <c r="Z421" s="28" t="str">
        <f t="shared" ca="1" si="75"/>
        <v>Due Soon</v>
      </c>
      <c r="AA421" s="5" t="str" cm="1">
        <f t="array" ref="AA421">_xlfn.IFS(W421&gt;10,"Veteran",W421&gt;=6,"Experienced",W421&gt;=2,"Developing",W421&gt;=0,"New")</f>
        <v>Developing</v>
      </c>
      <c r="AB421" s="5" t="str" cm="1">
        <f t="array" ref="AB421">_xlfn.IFS(G421=1,"Junior",G421=2,"Mid-Level",G421=3,"Senior",G421=4,"Lead",G421=5,"Principal")&amp;" "&amp;TRIM(PROPER(H421))</f>
        <v>Junior Laboratory Technician</v>
      </c>
      <c r="AC421" s="19" t="str">
        <f t="shared" ca="1" si="76"/>
        <v>La-Res-2021-420 is a Junior Laboratory Technician in the Research &amp; Development department, aged 30, married and has been with the Company for 5years</v>
      </c>
    </row>
    <row r="422" spans="1:29">
      <c r="A422" s="18" t="str">
        <f t="shared" ca="1" si="66"/>
        <v>Re-Res-2016-421</v>
      </c>
      <c r="B422" s="5">
        <v>29</v>
      </c>
      <c r="C422" s="5" t="str">
        <f t="shared" si="67"/>
        <v>20-29</v>
      </c>
      <c r="D422" s="5" t="s">
        <v>43</v>
      </c>
      <c r="E422" s="5" t="s">
        <v>45</v>
      </c>
      <c r="F422" s="5" t="s">
        <v>46</v>
      </c>
      <c r="G422" s="5">
        <v>3</v>
      </c>
      <c r="H422" s="5" t="s">
        <v>58</v>
      </c>
      <c r="I422" s="5" t="s">
        <v>48</v>
      </c>
      <c r="J422" s="7">
        <v>11935</v>
      </c>
      <c r="K422" s="7">
        <f t="shared" si="68"/>
        <v>2625.7</v>
      </c>
      <c r="L422" s="7">
        <f t="shared" si="69"/>
        <v>9309.2999999999993</v>
      </c>
      <c r="M422" s="7">
        <v>21526</v>
      </c>
      <c r="N422" s="5" t="s">
        <v>43</v>
      </c>
      <c r="O422" s="5">
        <v>18</v>
      </c>
      <c r="P422" s="7">
        <f t="shared" si="70"/>
        <v>14083.3</v>
      </c>
      <c r="Q422" s="7">
        <f t="shared" si="71"/>
        <v>25779.599999999991</v>
      </c>
      <c r="R422" s="7" t="str">
        <f t="shared" si="72"/>
        <v>Normal</v>
      </c>
      <c r="S422" s="5">
        <v>3</v>
      </c>
      <c r="T422" s="5">
        <v>3</v>
      </c>
      <c r="U422" s="5" t="str" cm="1">
        <f t="array" ref="U422">_xlfn.IFS(T422=1,"Poor",T422=2,"Fair",T422=3,"Good",T422=4,"Excellent")</f>
        <v>Good</v>
      </c>
      <c r="V422" s="5" t="s">
        <v>43</v>
      </c>
      <c r="W422" s="5">
        <v>10</v>
      </c>
      <c r="X422" s="28">
        <f t="shared" ca="1" si="73"/>
        <v>42459</v>
      </c>
      <c r="Y422" s="28">
        <f t="shared" ca="1" si="74"/>
        <v>46842</v>
      </c>
      <c r="Z422" s="28" t="str">
        <f t="shared" ca="1" si="75"/>
        <v>Upcoming</v>
      </c>
      <c r="AA422" s="5" t="str" cm="1">
        <f t="array" ref="AA422">_xlfn.IFS(W422&gt;10,"Veteran",W422&gt;=6,"Experienced",W422&gt;=2,"Developing",W422&gt;=0,"New")</f>
        <v>Experienced</v>
      </c>
      <c r="AB422" s="5" t="str" cm="1">
        <f t="array" ref="AB422">_xlfn.IFS(G422=1,"Junior",G422=2,"Mid-Level",G422=3,"Senior",G422=4,"Lead",G422=5,"Principal")&amp;" "&amp;TRIM(PROPER(H422))</f>
        <v>Senior Research Director</v>
      </c>
      <c r="AC422" s="19" t="str">
        <f t="shared" ca="1" si="76"/>
        <v>Re-Res-2016-421 is a Senior Research Director in the Research &amp; Development department, aged 29, married and has been with the Company for 10years</v>
      </c>
    </row>
    <row r="423" spans="1:29">
      <c r="A423" s="18" t="str">
        <f t="shared" ca="1" si="66"/>
        <v>Re-Res-2024-422</v>
      </c>
      <c r="B423" s="5">
        <v>29</v>
      </c>
      <c r="C423" s="5" t="str">
        <f t="shared" si="67"/>
        <v>20-29</v>
      </c>
      <c r="D423" s="5" t="s">
        <v>35</v>
      </c>
      <c r="E423" s="5" t="s">
        <v>45</v>
      </c>
      <c r="F423" s="5" t="s">
        <v>39</v>
      </c>
      <c r="G423" s="5">
        <v>1</v>
      </c>
      <c r="H423" s="5" t="s">
        <v>47</v>
      </c>
      <c r="I423" s="5" t="s">
        <v>48</v>
      </c>
      <c r="J423" s="7">
        <v>2546</v>
      </c>
      <c r="K423" s="7">
        <f t="shared" si="68"/>
        <v>178.22000000000003</v>
      </c>
      <c r="L423" s="7">
        <f t="shared" si="69"/>
        <v>2367.7799999999997</v>
      </c>
      <c r="M423" s="7">
        <v>18300</v>
      </c>
      <c r="N423" s="5" t="s">
        <v>43</v>
      </c>
      <c r="O423" s="5">
        <v>16</v>
      </c>
      <c r="P423" s="7">
        <f t="shared" si="70"/>
        <v>2953.3599999999997</v>
      </c>
      <c r="Q423" s="7">
        <f t="shared" si="71"/>
        <v>4888.3199999999961</v>
      </c>
      <c r="R423" s="7" t="str">
        <f t="shared" si="72"/>
        <v>Normal</v>
      </c>
      <c r="S423" s="5">
        <v>3</v>
      </c>
      <c r="T423" s="5">
        <v>4</v>
      </c>
      <c r="U423" s="5" t="str" cm="1">
        <f t="array" ref="U423">_xlfn.IFS(T423=1,"Poor",T423=2,"Fair",T423=3,"Good",T423=4,"Excellent")</f>
        <v>Excellent</v>
      </c>
      <c r="V423" s="5" t="s">
        <v>43</v>
      </c>
      <c r="W423" s="5">
        <v>2</v>
      </c>
      <c r="X423" s="28">
        <f t="shared" ca="1" si="73"/>
        <v>45381</v>
      </c>
      <c r="Y423" s="28">
        <f t="shared" ca="1" si="74"/>
        <v>46842</v>
      </c>
      <c r="Z423" s="28" t="str">
        <f t="shared" ca="1" si="75"/>
        <v>Upcoming</v>
      </c>
      <c r="AA423" s="5" t="str" cm="1">
        <f t="array" ref="AA423">_xlfn.IFS(W423&gt;10,"Veteran",W423&gt;=6,"Experienced",W423&gt;=2,"Developing",W423&gt;=0,"New")</f>
        <v>Developing</v>
      </c>
      <c r="AB423" s="5" t="str" cm="1">
        <f t="array" ref="AB423">_xlfn.IFS(G423=1,"Junior",G423=2,"Mid-Level",G423=3,"Senior",G423=4,"Lead",G423=5,"Principal")&amp;" "&amp;TRIM(PROPER(H423))</f>
        <v>Junior Research Scientist</v>
      </c>
      <c r="AC423" s="19" t="str">
        <f t="shared" ca="1" si="76"/>
        <v>Re-Res-2024-422 is a Junior Research Scientist in the Research &amp; Development department, aged 29, married and has been with the Company for 2years</v>
      </c>
    </row>
    <row r="424" spans="1:29">
      <c r="A424" s="18" t="str">
        <f t="shared" ca="1" si="66"/>
        <v>Hu-Hum-2025-423</v>
      </c>
      <c r="B424" s="5">
        <v>19</v>
      </c>
      <c r="C424" s="5" t="str">
        <f t="shared" si="67"/>
        <v>20-29</v>
      </c>
      <c r="D424" s="5" t="s">
        <v>35</v>
      </c>
      <c r="E424" s="5" t="s">
        <v>61</v>
      </c>
      <c r="F424" s="5" t="s">
        <v>46</v>
      </c>
      <c r="G424" s="5">
        <v>1</v>
      </c>
      <c r="H424" s="5" t="s">
        <v>61</v>
      </c>
      <c r="I424" s="5" t="s">
        <v>41</v>
      </c>
      <c r="J424" s="7">
        <v>2564</v>
      </c>
      <c r="K424" s="7">
        <f t="shared" si="68"/>
        <v>179.48000000000002</v>
      </c>
      <c r="L424" s="7">
        <f t="shared" si="69"/>
        <v>2384.52</v>
      </c>
      <c r="M424" s="7">
        <v>18437</v>
      </c>
      <c r="N424" s="5" t="s">
        <v>43</v>
      </c>
      <c r="O424" s="5">
        <v>12</v>
      </c>
      <c r="P424" s="7">
        <f t="shared" si="70"/>
        <v>2871.6800000000003</v>
      </c>
      <c r="Q424" s="7">
        <f t="shared" si="71"/>
        <v>3692.1600000000035</v>
      </c>
      <c r="R424" s="7" t="str">
        <f t="shared" si="72"/>
        <v>Normal</v>
      </c>
      <c r="S424" s="5">
        <v>3</v>
      </c>
      <c r="T424" s="5">
        <v>4</v>
      </c>
      <c r="U424" s="5" t="str" cm="1">
        <f t="array" ref="U424">_xlfn.IFS(T424=1,"Poor",T424=2,"Fair",T424=3,"Good",T424=4,"Excellent")</f>
        <v>Excellent</v>
      </c>
      <c r="V424" s="5" t="s">
        <v>43</v>
      </c>
      <c r="W424" s="5">
        <v>1</v>
      </c>
      <c r="X424" s="28">
        <f t="shared" ca="1" si="73"/>
        <v>45746</v>
      </c>
      <c r="Y424" s="28">
        <f t="shared" ca="1" si="74"/>
        <v>46476</v>
      </c>
      <c r="Z424" s="28" t="str">
        <f t="shared" ca="1" si="75"/>
        <v>Due Soon</v>
      </c>
      <c r="AA424" s="5" t="str" cm="1">
        <f t="array" ref="AA424">_xlfn.IFS(W424&gt;10,"Veteran",W424&gt;=6,"Experienced",W424&gt;=2,"Developing",W424&gt;=0,"New")</f>
        <v>New</v>
      </c>
      <c r="AB424" s="5" t="str" cm="1">
        <f t="array" ref="AB424">_xlfn.IFS(G424=1,"Junior",G424=2,"Mid-Level",G424=3,"Senior",G424=4,"Lead",G424=5,"Principal")&amp;" "&amp;TRIM(PROPER(H424))</f>
        <v>Junior Human Resources</v>
      </c>
      <c r="AC424" s="19" t="str">
        <f t="shared" ca="1" si="76"/>
        <v>Hu-Hum-2025-423 is a Junior Human Resources in the Human Resources department, aged 19, single and has been with the Company for 1years</v>
      </c>
    </row>
    <row r="425" spans="1:29">
      <c r="A425" s="18" t="str">
        <f t="shared" ca="1" si="66"/>
        <v>Sa-Sal-2017-424</v>
      </c>
      <c r="B425" s="5">
        <v>30</v>
      </c>
      <c r="C425" s="5" t="str">
        <f t="shared" si="67"/>
        <v>30-39</v>
      </c>
      <c r="D425" s="5" t="s">
        <v>43</v>
      </c>
      <c r="E425" s="5" t="s">
        <v>37</v>
      </c>
      <c r="F425" s="5" t="s">
        <v>39</v>
      </c>
      <c r="G425" s="5">
        <v>3</v>
      </c>
      <c r="H425" s="5" t="s">
        <v>40</v>
      </c>
      <c r="I425" s="5" t="s">
        <v>48</v>
      </c>
      <c r="J425" s="7">
        <v>8412</v>
      </c>
      <c r="K425" s="7">
        <f t="shared" si="68"/>
        <v>1850.64</v>
      </c>
      <c r="L425" s="7">
        <f t="shared" si="69"/>
        <v>6561.36</v>
      </c>
      <c r="M425" s="7">
        <v>2890</v>
      </c>
      <c r="N425" s="5" t="s">
        <v>43</v>
      </c>
      <c r="O425" s="5">
        <v>11</v>
      </c>
      <c r="P425" s="7">
        <f t="shared" si="70"/>
        <v>9337.3200000000015</v>
      </c>
      <c r="Q425" s="7">
        <f t="shared" si="71"/>
        <v>11103.840000000018</v>
      </c>
      <c r="R425" s="7" t="str">
        <f t="shared" si="72"/>
        <v>Normal</v>
      </c>
      <c r="S425" s="5">
        <v>3</v>
      </c>
      <c r="T425" s="5">
        <v>3</v>
      </c>
      <c r="U425" s="5" t="str" cm="1">
        <f t="array" ref="U425">_xlfn.IFS(T425=1,"Poor",T425=2,"Fair",T425=3,"Good",T425=4,"Excellent")</f>
        <v>Good</v>
      </c>
      <c r="V425" s="5" t="s">
        <v>43</v>
      </c>
      <c r="W425" s="5">
        <v>9</v>
      </c>
      <c r="X425" s="28">
        <f t="shared" ca="1" si="73"/>
        <v>42824</v>
      </c>
      <c r="Y425" s="28">
        <f t="shared" ca="1" si="74"/>
        <v>46476</v>
      </c>
      <c r="Z425" s="28" t="str">
        <f t="shared" ca="1" si="75"/>
        <v>Due Soon</v>
      </c>
      <c r="AA425" s="5" t="str" cm="1">
        <f t="array" ref="AA425">_xlfn.IFS(W425&gt;10,"Veteran",W425&gt;=6,"Experienced",W425&gt;=2,"Developing",W425&gt;=0,"New")</f>
        <v>Experienced</v>
      </c>
      <c r="AB425" s="5" t="str" cm="1">
        <f t="array" ref="AB425">_xlfn.IFS(G425=1,"Junior",G425=2,"Mid-Level",G425=3,"Senior",G425=4,"Lead",G425=5,"Principal")&amp;" "&amp;TRIM(PROPER(H425))</f>
        <v>Senior Sales Executive</v>
      </c>
      <c r="AC425" s="19" t="str">
        <f t="shared" ca="1" si="76"/>
        <v>Sa-Sal-2017-424 is a Senior Sales Executive in the Sales department, aged 30, married and has been with the Company for 9years</v>
      </c>
    </row>
    <row r="426" spans="1:29">
      <c r="A426" s="18" t="str">
        <f t="shared" ca="1" si="66"/>
        <v>Ma-Sal-2025-425</v>
      </c>
      <c r="B426" s="5">
        <v>57</v>
      </c>
      <c r="C426" s="5" t="str">
        <f t="shared" si="67"/>
        <v>50+</v>
      </c>
      <c r="D426" s="5" t="s">
        <v>43</v>
      </c>
      <c r="E426" s="5" t="s">
        <v>37</v>
      </c>
      <c r="F426" s="5" t="s">
        <v>46</v>
      </c>
      <c r="G426" s="5">
        <v>4</v>
      </c>
      <c r="H426" s="5" t="s">
        <v>56</v>
      </c>
      <c r="I426" s="5" t="s">
        <v>52</v>
      </c>
      <c r="J426" s="7">
        <v>14118</v>
      </c>
      <c r="K426" s="7">
        <f t="shared" si="68"/>
        <v>4235.3999999999996</v>
      </c>
      <c r="L426" s="7">
        <f t="shared" si="69"/>
        <v>9882.6</v>
      </c>
      <c r="M426" s="7">
        <v>22102</v>
      </c>
      <c r="N426" s="5" t="s">
        <v>43</v>
      </c>
      <c r="O426" s="5">
        <v>12</v>
      </c>
      <c r="P426" s="7">
        <f t="shared" si="70"/>
        <v>15812.160000000002</v>
      </c>
      <c r="Q426" s="7">
        <f t="shared" si="71"/>
        <v>20329.92000000002</v>
      </c>
      <c r="R426" s="7" t="str">
        <f t="shared" si="72"/>
        <v>Normal</v>
      </c>
      <c r="S426" s="5">
        <v>3</v>
      </c>
      <c r="T426" s="5">
        <v>2</v>
      </c>
      <c r="U426" s="5" t="str" cm="1">
        <f t="array" ref="U426">_xlfn.IFS(T426=1,"Poor",T426=2,"Fair",T426=3,"Good",T426=4,"Excellent")</f>
        <v>Fair</v>
      </c>
      <c r="V426" s="5" t="s">
        <v>43</v>
      </c>
      <c r="W426" s="5">
        <v>1</v>
      </c>
      <c r="X426" s="28">
        <f t="shared" ca="1" si="73"/>
        <v>45746</v>
      </c>
      <c r="Y426" s="28">
        <f t="shared" ca="1" si="74"/>
        <v>46476</v>
      </c>
      <c r="Z426" s="28" t="str">
        <f t="shared" ca="1" si="75"/>
        <v>Due Soon</v>
      </c>
      <c r="AA426" s="5" t="str" cm="1">
        <f t="array" ref="AA426">_xlfn.IFS(W426&gt;10,"Veteran",W426&gt;=6,"Experienced",W426&gt;=2,"Developing",W426&gt;=0,"New")</f>
        <v>New</v>
      </c>
      <c r="AB426" s="5" t="str" cm="1">
        <f t="array" ref="AB426">_xlfn.IFS(G426=1,"Junior",G426=2,"Mid-Level",G426=3,"Senior",G426=4,"Lead",G426=5,"Principal")&amp;" "&amp;TRIM(PROPER(H426))</f>
        <v>Lead Manager</v>
      </c>
      <c r="AC426" s="19" t="str">
        <f t="shared" ca="1" si="76"/>
        <v>Ma-Sal-2025-425 is a Lead Manager in the Sales department, aged 57, divorced and has been with the Company for 1years</v>
      </c>
    </row>
    <row r="427" spans="1:29">
      <c r="A427" s="18" t="str">
        <f t="shared" ca="1" si="66"/>
        <v>Ma-Res-1999-426</v>
      </c>
      <c r="B427" s="5">
        <v>50</v>
      </c>
      <c r="C427" s="5" t="str">
        <f t="shared" si="67"/>
        <v>50+</v>
      </c>
      <c r="D427" s="5" t="s">
        <v>43</v>
      </c>
      <c r="E427" s="5" t="s">
        <v>45</v>
      </c>
      <c r="F427" s="5" t="s">
        <v>46</v>
      </c>
      <c r="G427" s="5">
        <v>4</v>
      </c>
      <c r="H427" s="5" t="s">
        <v>56</v>
      </c>
      <c r="I427" s="5" t="s">
        <v>48</v>
      </c>
      <c r="J427" s="7">
        <v>17046</v>
      </c>
      <c r="K427" s="7">
        <f t="shared" si="68"/>
        <v>5113.8</v>
      </c>
      <c r="L427" s="7">
        <f t="shared" si="69"/>
        <v>11932.2</v>
      </c>
      <c r="M427" s="7">
        <v>9314</v>
      </c>
      <c r="N427" s="5" t="s">
        <v>43</v>
      </c>
      <c r="O427" s="5">
        <v>15</v>
      </c>
      <c r="P427" s="7">
        <f t="shared" si="70"/>
        <v>19602.899999999998</v>
      </c>
      <c r="Q427" s="7">
        <f t="shared" si="71"/>
        <v>30682.799999999974</v>
      </c>
      <c r="R427" s="7" t="str">
        <f t="shared" si="72"/>
        <v>Normal</v>
      </c>
      <c r="S427" s="5">
        <v>3</v>
      </c>
      <c r="T427" s="5">
        <v>3</v>
      </c>
      <c r="U427" s="5" t="str" cm="1">
        <f t="array" ref="U427">_xlfn.IFS(T427=1,"Poor",T427=2,"Fair",T427=3,"Good",T427=4,"Excellent")</f>
        <v>Good</v>
      </c>
      <c r="V427" s="5" t="s">
        <v>43</v>
      </c>
      <c r="W427" s="5">
        <v>27</v>
      </c>
      <c r="X427" s="28">
        <f t="shared" ca="1" si="73"/>
        <v>36249</v>
      </c>
      <c r="Y427" s="28">
        <f t="shared" ca="1" si="74"/>
        <v>46476</v>
      </c>
      <c r="Z427" s="28" t="str">
        <f t="shared" ca="1" si="75"/>
        <v>Due Soon</v>
      </c>
      <c r="AA427" s="5" t="str" cm="1">
        <f t="array" ref="AA427">_xlfn.IFS(W427&gt;10,"Veteran",W427&gt;=6,"Experienced",W427&gt;=2,"Developing",W427&gt;=0,"New")</f>
        <v>Veteran</v>
      </c>
      <c r="AB427" s="5" t="str" cm="1">
        <f t="array" ref="AB427">_xlfn.IFS(G427=1,"Junior",G427=2,"Mid-Level",G427=3,"Senior",G427=4,"Lead",G427=5,"Principal")&amp;" "&amp;TRIM(PROPER(H427))</f>
        <v>Lead Manager</v>
      </c>
      <c r="AC427" s="19" t="str">
        <f t="shared" ca="1" si="76"/>
        <v>Ma-Res-1999-426 is a Lead Manager in the Research &amp; Development department, aged 50, married and has been with the Company for 27years</v>
      </c>
    </row>
    <row r="428" spans="1:29">
      <c r="A428" s="18" t="str">
        <f t="shared" ca="1" si="66"/>
        <v>La-Res-2015-427</v>
      </c>
      <c r="B428" s="5">
        <v>30</v>
      </c>
      <c r="C428" s="5" t="str">
        <f t="shared" si="67"/>
        <v>30-39</v>
      </c>
      <c r="D428" s="5" t="s">
        <v>43</v>
      </c>
      <c r="E428" s="5" t="s">
        <v>45</v>
      </c>
      <c r="F428" s="5" t="s">
        <v>39</v>
      </c>
      <c r="G428" s="5">
        <v>1</v>
      </c>
      <c r="H428" s="5" t="s">
        <v>50</v>
      </c>
      <c r="I428" s="5" t="s">
        <v>41</v>
      </c>
      <c r="J428" s="7">
        <v>2564</v>
      </c>
      <c r="K428" s="7">
        <f t="shared" si="68"/>
        <v>179.48000000000002</v>
      </c>
      <c r="L428" s="7">
        <f t="shared" si="69"/>
        <v>2384.52</v>
      </c>
      <c r="M428" s="7">
        <v>7181</v>
      </c>
      <c r="N428" s="5" t="s">
        <v>43</v>
      </c>
      <c r="O428" s="5">
        <v>14</v>
      </c>
      <c r="P428" s="7">
        <f t="shared" si="70"/>
        <v>2922.9600000000005</v>
      </c>
      <c r="Q428" s="7">
        <f t="shared" si="71"/>
        <v>4307.5200000000059</v>
      </c>
      <c r="R428" s="7" t="str">
        <f t="shared" si="72"/>
        <v>Normal</v>
      </c>
      <c r="S428" s="5">
        <v>3</v>
      </c>
      <c r="T428" s="5">
        <v>2</v>
      </c>
      <c r="U428" s="5" t="str" cm="1">
        <f t="array" ref="U428">_xlfn.IFS(T428=1,"Poor",T428=2,"Fair",T428=3,"Good",T428=4,"Excellent")</f>
        <v>Fair</v>
      </c>
      <c r="V428" s="5" t="s">
        <v>43</v>
      </c>
      <c r="W428" s="5">
        <v>11</v>
      </c>
      <c r="X428" s="28">
        <f t="shared" ca="1" si="73"/>
        <v>42093</v>
      </c>
      <c r="Y428" s="28">
        <f t="shared" ca="1" si="74"/>
        <v>46476</v>
      </c>
      <c r="Z428" s="28" t="str">
        <f t="shared" ca="1" si="75"/>
        <v>Due Soon</v>
      </c>
      <c r="AA428" s="5" t="str" cm="1">
        <f t="array" ref="AA428">_xlfn.IFS(W428&gt;10,"Veteran",W428&gt;=6,"Experienced",W428&gt;=2,"Developing",W428&gt;=0,"New")</f>
        <v>Veteran</v>
      </c>
      <c r="AB428" s="5" t="str" cm="1">
        <f t="array" ref="AB428">_xlfn.IFS(G428=1,"Junior",G428=2,"Mid-Level",G428=3,"Senior",G428=4,"Lead",G428=5,"Principal")&amp;" "&amp;TRIM(PROPER(H428))</f>
        <v>Junior Laboratory Technician</v>
      </c>
      <c r="AC428" s="19" t="str">
        <f t="shared" ca="1" si="76"/>
        <v>La-Res-2015-427 is a Junior Laboratory Technician in the Research &amp; Development department, aged 30, single and has been with the Company for 11years</v>
      </c>
    </row>
    <row r="429" spans="1:29">
      <c r="A429" s="18" t="str">
        <f t="shared" ca="1" si="66"/>
        <v>Sa-Sal-2008-428</v>
      </c>
      <c r="B429" s="5">
        <v>60</v>
      </c>
      <c r="C429" s="5" t="str">
        <f t="shared" si="67"/>
        <v>50+</v>
      </c>
      <c r="D429" s="5" t="s">
        <v>43</v>
      </c>
      <c r="E429" s="5" t="s">
        <v>37</v>
      </c>
      <c r="F429" s="5" t="s">
        <v>39</v>
      </c>
      <c r="G429" s="5">
        <v>3</v>
      </c>
      <c r="H429" s="5" t="s">
        <v>40</v>
      </c>
      <c r="I429" s="5" t="s">
        <v>48</v>
      </c>
      <c r="J429" s="7">
        <v>10266</v>
      </c>
      <c r="K429" s="7">
        <f t="shared" si="68"/>
        <v>2258.52</v>
      </c>
      <c r="L429" s="7">
        <f t="shared" si="69"/>
        <v>8007.48</v>
      </c>
      <c r="M429" s="7">
        <v>2845</v>
      </c>
      <c r="N429" s="5" t="s">
        <v>43</v>
      </c>
      <c r="O429" s="5">
        <v>19</v>
      </c>
      <c r="P429" s="7">
        <f t="shared" si="70"/>
        <v>12216.539999999999</v>
      </c>
      <c r="Q429" s="7">
        <f t="shared" si="71"/>
        <v>23406.479999999989</v>
      </c>
      <c r="R429" s="7" t="str">
        <f t="shared" si="72"/>
        <v>Normal</v>
      </c>
      <c r="S429" s="5">
        <v>3</v>
      </c>
      <c r="T429" s="5">
        <v>4</v>
      </c>
      <c r="U429" s="5" t="str" cm="1">
        <f t="array" ref="U429">_xlfn.IFS(T429=1,"Poor",T429=2,"Fair",T429=3,"Good",T429=4,"Excellent")</f>
        <v>Excellent</v>
      </c>
      <c r="V429" s="5" t="s">
        <v>43</v>
      </c>
      <c r="W429" s="5">
        <v>18</v>
      </c>
      <c r="X429" s="28">
        <f t="shared" ca="1" si="73"/>
        <v>39537</v>
      </c>
      <c r="Y429" s="28">
        <f t="shared" ca="1" si="74"/>
        <v>46842</v>
      </c>
      <c r="Z429" s="28" t="str">
        <f t="shared" ca="1" si="75"/>
        <v>Upcoming</v>
      </c>
      <c r="AA429" s="5" t="str" cm="1">
        <f t="array" ref="AA429">_xlfn.IFS(W429&gt;10,"Veteran",W429&gt;=6,"Experienced",W429&gt;=2,"Developing",W429&gt;=0,"New")</f>
        <v>Veteran</v>
      </c>
      <c r="AB429" s="5" t="str" cm="1">
        <f t="array" ref="AB429">_xlfn.IFS(G429=1,"Junior",G429=2,"Mid-Level",G429=3,"Senior",G429=4,"Lead",G429=5,"Principal")&amp;" "&amp;TRIM(PROPER(H429))</f>
        <v>Senior Sales Executive</v>
      </c>
      <c r="AC429" s="19" t="str">
        <f t="shared" ca="1" si="76"/>
        <v>Sa-Sal-2008-428 is a Senior Sales Executive in the Sales department, aged 60, married and has been with the Company for 18years</v>
      </c>
    </row>
    <row r="430" spans="1:29">
      <c r="A430" s="18" t="str">
        <f t="shared" ca="1" si="66"/>
        <v>Ma-Res-2021-429</v>
      </c>
      <c r="B430" s="5">
        <v>47</v>
      </c>
      <c r="C430" s="5" t="str">
        <f t="shared" si="67"/>
        <v>40-49</v>
      </c>
      <c r="D430" s="5" t="s">
        <v>43</v>
      </c>
      <c r="E430" s="5" t="s">
        <v>45</v>
      </c>
      <c r="F430" s="5" t="s">
        <v>39</v>
      </c>
      <c r="G430" s="5">
        <v>2</v>
      </c>
      <c r="H430" s="5" t="s">
        <v>53</v>
      </c>
      <c r="I430" s="5" t="s">
        <v>52</v>
      </c>
      <c r="J430" s="7">
        <v>5070</v>
      </c>
      <c r="K430" s="7">
        <f t="shared" si="68"/>
        <v>760.5</v>
      </c>
      <c r="L430" s="7">
        <f t="shared" si="69"/>
        <v>4309.5</v>
      </c>
      <c r="M430" s="7">
        <v>7389</v>
      </c>
      <c r="N430" s="5" t="s">
        <v>43</v>
      </c>
      <c r="O430" s="5">
        <v>13</v>
      </c>
      <c r="P430" s="7">
        <f t="shared" si="70"/>
        <v>5729.0999999999995</v>
      </c>
      <c r="Q430" s="7">
        <f t="shared" si="71"/>
        <v>7909.1999999999935</v>
      </c>
      <c r="R430" s="7" t="str">
        <f t="shared" si="72"/>
        <v>Normal</v>
      </c>
      <c r="S430" s="5">
        <v>3</v>
      </c>
      <c r="T430" s="5">
        <v>3</v>
      </c>
      <c r="U430" s="5" t="str" cm="1">
        <f t="array" ref="U430">_xlfn.IFS(T430=1,"Poor",T430=2,"Fair",T430=3,"Good",T430=4,"Excellent")</f>
        <v>Good</v>
      </c>
      <c r="V430" s="5" t="s">
        <v>43</v>
      </c>
      <c r="W430" s="5">
        <v>5</v>
      </c>
      <c r="X430" s="28">
        <f t="shared" ca="1" si="73"/>
        <v>44285</v>
      </c>
      <c r="Y430" s="28">
        <f t="shared" ca="1" si="74"/>
        <v>46476</v>
      </c>
      <c r="Z430" s="28" t="str">
        <f t="shared" ca="1" si="75"/>
        <v>Due Soon</v>
      </c>
      <c r="AA430" s="5" t="str" cm="1">
        <f t="array" ref="AA430">_xlfn.IFS(W430&gt;10,"Veteran",W430&gt;=6,"Experienced",W430&gt;=2,"Developing",W430&gt;=0,"New")</f>
        <v>Developing</v>
      </c>
      <c r="AB430" s="5" t="str" cm="1">
        <f t="array" ref="AB430">_xlfn.IFS(G430=1,"Junior",G430=2,"Mid-Level",G430=3,"Senior",G430=4,"Lead",G430=5,"Principal")&amp;" "&amp;TRIM(PROPER(H430))</f>
        <v>Mid-Level Manufacturing Director</v>
      </c>
      <c r="AC430" s="19" t="str">
        <f t="shared" ca="1" si="76"/>
        <v>Ma-Res-2021-429 is a Mid-Level Manufacturing Director in the Research &amp; Development department, aged 47, divorced and has been with the Company for 5years</v>
      </c>
    </row>
    <row r="431" spans="1:29">
      <c r="A431" s="18" t="str">
        <f t="shared" ca="1" si="66"/>
        <v>Re-Res-2023-430</v>
      </c>
      <c r="B431" s="5">
        <v>46</v>
      </c>
      <c r="C431" s="5" t="str">
        <f t="shared" si="67"/>
        <v>40-49</v>
      </c>
      <c r="D431" s="5" t="s">
        <v>43</v>
      </c>
      <c r="E431" s="5" t="s">
        <v>45</v>
      </c>
      <c r="F431" s="5" t="s">
        <v>46</v>
      </c>
      <c r="G431" s="5">
        <v>4</v>
      </c>
      <c r="H431" s="5" t="s">
        <v>58</v>
      </c>
      <c r="I431" s="5" t="s">
        <v>48</v>
      </c>
      <c r="J431" s="7">
        <v>17861</v>
      </c>
      <c r="K431" s="7">
        <f t="shared" si="68"/>
        <v>5358.3</v>
      </c>
      <c r="L431" s="7">
        <f t="shared" si="69"/>
        <v>12502.7</v>
      </c>
      <c r="M431" s="7">
        <v>2288</v>
      </c>
      <c r="N431" s="5" t="s">
        <v>43</v>
      </c>
      <c r="O431" s="5">
        <v>13</v>
      </c>
      <c r="P431" s="7">
        <f t="shared" si="70"/>
        <v>20182.929999999997</v>
      </c>
      <c r="Q431" s="7">
        <f t="shared" si="71"/>
        <v>27863.15999999996</v>
      </c>
      <c r="R431" s="7" t="str">
        <f t="shared" si="72"/>
        <v>Normal</v>
      </c>
      <c r="S431" s="5">
        <v>3</v>
      </c>
      <c r="T431" s="5">
        <v>1</v>
      </c>
      <c r="U431" s="5" t="str" cm="1">
        <f t="array" ref="U431">_xlfn.IFS(T431=1,"Poor",T431=2,"Fair",T431=3,"Good",T431=4,"Excellent")</f>
        <v>Poor</v>
      </c>
      <c r="V431" s="5" t="s">
        <v>43</v>
      </c>
      <c r="W431" s="5">
        <v>3</v>
      </c>
      <c r="X431" s="28">
        <f t="shared" ca="1" si="73"/>
        <v>45015</v>
      </c>
      <c r="Y431" s="28">
        <f t="shared" ca="1" si="74"/>
        <v>46476</v>
      </c>
      <c r="Z431" s="28" t="str">
        <f t="shared" ca="1" si="75"/>
        <v>Due Soon</v>
      </c>
      <c r="AA431" s="5" t="str" cm="1">
        <f t="array" ref="AA431">_xlfn.IFS(W431&gt;10,"Veteran",W431&gt;=6,"Experienced",W431&gt;=2,"Developing",W431&gt;=0,"New")</f>
        <v>Developing</v>
      </c>
      <c r="AB431" s="5" t="str" cm="1">
        <f t="array" ref="AB431">_xlfn.IFS(G431=1,"Junior",G431=2,"Mid-Level",G431=3,"Senior",G431=4,"Lead",G431=5,"Principal")&amp;" "&amp;TRIM(PROPER(H431))</f>
        <v>Lead Research Director</v>
      </c>
      <c r="AC431" s="19" t="str">
        <f t="shared" ca="1" si="76"/>
        <v>Re-Res-2023-430 is a Lead Research Director in the Research &amp; Development department, aged 46, married and has been with the Company for 3years</v>
      </c>
    </row>
    <row r="432" spans="1:29">
      <c r="A432" s="18" t="str">
        <f t="shared" ca="1" si="66"/>
        <v>La-Res-2021-431</v>
      </c>
      <c r="B432" s="5">
        <v>35</v>
      </c>
      <c r="C432" s="5" t="str">
        <f t="shared" si="67"/>
        <v>30-39</v>
      </c>
      <c r="D432" s="5" t="s">
        <v>43</v>
      </c>
      <c r="E432" s="5" t="s">
        <v>45</v>
      </c>
      <c r="F432" s="5" t="s">
        <v>46</v>
      </c>
      <c r="G432" s="5">
        <v>1</v>
      </c>
      <c r="H432" s="5" t="s">
        <v>50</v>
      </c>
      <c r="I432" s="5" t="s">
        <v>41</v>
      </c>
      <c r="J432" s="7">
        <v>4230</v>
      </c>
      <c r="K432" s="7">
        <f t="shared" si="68"/>
        <v>634.5</v>
      </c>
      <c r="L432" s="7">
        <f t="shared" si="69"/>
        <v>3595.5</v>
      </c>
      <c r="M432" s="7">
        <v>19225</v>
      </c>
      <c r="N432" s="5" t="s">
        <v>43</v>
      </c>
      <c r="O432" s="5">
        <v>15</v>
      </c>
      <c r="P432" s="7">
        <f t="shared" si="70"/>
        <v>4864.5</v>
      </c>
      <c r="Q432" s="7">
        <f t="shared" si="71"/>
        <v>7614</v>
      </c>
      <c r="R432" s="7" t="str">
        <f t="shared" si="72"/>
        <v>Normal</v>
      </c>
      <c r="S432" s="5">
        <v>3</v>
      </c>
      <c r="T432" s="5">
        <v>3</v>
      </c>
      <c r="U432" s="5" t="str" cm="1">
        <f t="array" ref="U432">_xlfn.IFS(T432=1,"Poor",T432=2,"Fair",T432=3,"Good",T432=4,"Excellent")</f>
        <v>Good</v>
      </c>
      <c r="V432" s="5" t="s">
        <v>43</v>
      </c>
      <c r="W432" s="5">
        <v>5</v>
      </c>
      <c r="X432" s="28">
        <f t="shared" ca="1" si="73"/>
        <v>44285</v>
      </c>
      <c r="Y432" s="28">
        <f t="shared" ca="1" si="74"/>
        <v>46476</v>
      </c>
      <c r="Z432" s="28" t="str">
        <f t="shared" ca="1" si="75"/>
        <v>Due Soon</v>
      </c>
      <c r="AA432" s="5" t="str" cm="1">
        <f t="array" ref="AA432">_xlfn.IFS(W432&gt;10,"Veteran",W432&gt;=6,"Experienced",W432&gt;=2,"Developing",W432&gt;=0,"New")</f>
        <v>Developing</v>
      </c>
      <c r="AB432" s="5" t="str" cm="1">
        <f t="array" ref="AB432">_xlfn.IFS(G432=1,"Junior",G432=2,"Mid-Level",G432=3,"Senior",G432=4,"Lead",G432=5,"Principal")&amp;" "&amp;TRIM(PROPER(H432))</f>
        <v>Junior Laboratory Technician</v>
      </c>
      <c r="AC432" s="19" t="str">
        <f t="shared" ca="1" si="76"/>
        <v>La-Res-2021-431 is a Junior Laboratory Technician in the Research &amp; Development department, aged 35, single and has been with the Company for 5years</v>
      </c>
    </row>
    <row r="433" spans="1:29">
      <c r="A433" s="18" t="str">
        <f t="shared" ca="1" si="66"/>
        <v>La-Res-2025-432</v>
      </c>
      <c r="B433" s="5">
        <v>54</v>
      </c>
      <c r="C433" s="5" t="str">
        <f t="shared" si="67"/>
        <v>50+</v>
      </c>
      <c r="D433" s="5" t="s">
        <v>43</v>
      </c>
      <c r="E433" s="5" t="s">
        <v>45</v>
      </c>
      <c r="F433" s="5" t="s">
        <v>39</v>
      </c>
      <c r="G433" s="5">
        <v>2</v>
      </c>
      <c r="H433" s="5" t="s">
        <v>50</v>
      </c>
      <c r="I433" s="5" t="s">
        <v>41</v>
      </c>
      <c r="J433" s="7">
        <v>3780</v>
      </c>
      <c r="K433" s="7">
        <f t="shared" si="68"/>
        <v>567</v>
      </c>
      <c r="L433" s="7">
        <f t="shared" si="69"/>
        <v>3213</v>
      </c>
      <c r="M433" s="7">
        <v>23428</v>
      </c>
      <c r="N433" s="5" t="s">
        <v>43</v>
      </c>
      <c r="O433" s="5">
        <v>11</v>
      </c>
      <c r="P433" s="7">
        <f t="shared" si="70"/>
        <v>4195.8</v>
      </c>
      <c r="Q433" s="7">
        <f t="shared" si="71"/>
        <v>4989.6000000000022</v>
      </c>
      <c r="R433" s="7" t="str">
        <f t="shared" si="72"/>
        <v>Normal</v>
      </c>
      <c r="S433" s="5">
        <v>3</v>
      </c>
      <c r="T433" s="5">
        <v>3</v>
      </c>
      <c r="U433" s="5" t="str" cm="1">
        <f t="array" ref="U433">_xlfn.IFS(T433=1,"Poor",T433=2,"Fair",T433=3,"Good",T433=4,"Excellent")</f>
        <v>Good</v>
      </c>
      <c r="V433" s="5" t="s">
        <v>43</v>
      </c>
      <c r="W433" s="5">
        <v>1</v>
      </c>
      <c r="X433" s="28">
        <f t="shared" ca="1" si="73"/>
        <v>45746</v>
      </c>
      <c r="Y433" s="28">
        <f t="shared" ca="1" si="74"/>
        <v>46476</v>
      </c>
      <c r="Z433" s="28" t="str">
        <f t="shared" ca="1" si="75"/>
        <v>Due Soon</v>
      </c>
      <c r="AA433" s="5" t="str" cm="1">
        <f t="array" ref="AA433">_xlfn.IFS(W433&gt;10,"Veteran",W433&gt;=6,"Experienced",W433&gt;=2,"Developing",W433&gt;=0,"New")</f>
        <v>New</v>
      </c>
      <c r="AB433" s="5" t="str" cm="1">
        <f t="array" ref="AB433">_xlfn.IFS(G433=1,"Junior",G433=2,"Mid-Level",G433=3,"Senior",G433=4,"Lead",G433=5,"Principal")&amp;" "&amp;TRIM(PROPER(H433))</f>
        <v>Mid-Level Laboratory Technician</v>
      </c>
      <c r="AC433" s="19" t="str">
        <f t="shared" ca="1" si="76"/>
        <v>La-Res-2025-432 is a Mid-Level Laboratory Technician in the Research &amp; Development department, aged 54, single and has been with the Company for 1years</v>
      </c>
    </row>
    <row r="434" spans="1:29">
      <c r="A434" s="18" t="str">
        <f t="shared" ca="1" si="66"/>
        <v>Re-Res-2019-433</v>
      </c>
      <c r="B434" s="5">
        <v>34</v>
      </c>
      <c r="C434" s="5" t="str">
        <f t="shared" si="67"/>
        <v>30-39</v>
      </c>
      <c r="D434" s="5" t="s">
        <v>43</v>
      </c>
      <c r="E434" s="5" t="s">
        <v>45</v>
      </c>
      <c r="F434" s="5" t="s">
        <v>46</v>
      </c>
      <c r="G434" s="5">
        <v>1</v>
      </c>
      <c r="H434" s="5" t="s">
        <v>47</v>
      </c>
      <c r="I434" s="5" t="s">
        <v>52</v>
      </c>
      <c r="J434" s="7">
        <v>2768</v>
      </c>
      <c r="K434" s="7">
        <f t="shared" si="68"/>
        <v>193.76000000000002</v>
      </c>
      <c r="L434" s="7">
        <f t="shared" si="69"/>
        <v>2574.2399999999998</v>
      </c>
      <c r="M434" s="7">
        <v>8416</v>
      </c>
      <c r="N434" s="5" t="s">
        <v>43</v>
      </c>
      <c r="O434" s="5">
        <v>12</v>
      </c>
      <c r="P434" s="7">
        <f t="shared" si="70"/>
        <v>3100.1600000000003</v>
      </c>
      <c r="Q434" s="7">
        <f t="shared" si="71"/>
        <v>3985.9200000000037</v>
      </c>
      <c r="R434" s="7" t="str">
        <f t="shared" si="72"/>
        <v>Normal</v>
      </c>
      <c r="S434" s="5">
        <v>3</v>
      </c>
      <c r="T434" s="5">
        <v>3</v>
      </c>
      <c r="U434" s="5" t="str" cm="1">
        <f t="array" ref="U434">_xlfn.IFS(T434=1,"Poor",T434=2,"Fair",T434=3,"Good",T434=4,"Excellent")</f>
        <v>Good</v>
      </c>
      <c r="V434" s="5" t="s">
        <v>43</v>
      </c>
      <c r="W434" s="5">
        <v>7</v>
      </c>
      <c r="X434" s="28">
        <f t="shared" ca="1" si="73"/>
        <v>43554</v>
      </c>
      <c r="Y434" s="28">
        <f t="shared" ca="1" si="74"/>
        <v>46476</v>
      </c>
      <c r="Z434" s="28" t="str">
        <f t="shared" ca="1" si="75"/>
        <v>Due Soon</v>
      </c>
      <c r="AA434" s="5" t="str" cm="1">
        <f t="array" ref="AA434">_xlfn.IFS(W434&gt;10,"Veteran",W434&gt;=6,"Experienced",W434&gt;=2,"Developing",W434&gt;=0,"New")</f>
        <v>Experienced</v>
      </c>
      <c r="AB434" s="5" t="str" cm="1">
        <f t="array" ref="AB434">_xlfn.IFS(G434=1,"Junior",G434=2,"Mid-Level",G434=3,"Senior",G434=4,"Lead",G434=5,"Principal")&amp;" "&amp;TRIM(PROPER(H434))</f>
        <v>Junior Research Scientist</v>
      </c>
      <c r="AC434" s="19" t="str">
        <f t="shared" ca="1" si="76"/>
        <v>Re-Res-2019-433 is a Junior Research Scientist in the Research &amp; Development department, aged 34, divorced and has been with the Company for 7years</v>
      </c>
    </row>
    <row r="435" spans="1:29">
      <c r="A435" s="18" t="str">
        <f t="shared" ca="1" si="66"/>
        <v>Sa-Sal-2023-434</v>
      </c>
      <c r="B435" s="5">
        <v>46</v>
      </c>
      <c r="C435" s="5" t="str">
        <f t="shared" si="67"/>
        <v>40-49</v>
      </c>
      <c r="D435" s="5" t="s">
        <v>43</v>
      </c>
      <c r="E435" s="5" t="s">
        <v>37</v>
      </c>
      <c r="F435" s="5" t="s">
        <v>39</v>
      </c>
      <c r="G435" s="5">
        <v>3</v>
      </c>
      <c r="H435" s="5" t="s">
        <v>40</v>
      </c>
      <c r="I435" s="5" t="s">
        <v>48</v>
      </c>
      <c r="J435" s="7">
        <v>9071</v>
      </c>
      <c r="K435" s="7">
        <f t="shared" si="68"/>
        <v>1995.6200000000001</v>
      </c>
      <c r="L435" s="7">
        <f t="shared" si="69"/>
        <v>7075.38</v>
      </c>
      <c r="M435" s="7">
        <v>11563</v>
      </c>
      <c r="N435" s="5" t="s">
        <v>35</v>
      </c>
      <c r="O435" s="5">
        <v>19</v>
      </c>
      <c r="P435" s="7">
        <f t="shared" si="70"/>
        <v>10794.49</v>
      </c>
      <c r="Q435" s="7">
        <f t="shared" si="71"/>
        <v>20681.879999999997</v>
      </c>
      <c r="R435" s="7" t="str">
        <f t="shared" si="72"/>
        <v>Normal</v>
      </c>
      <c r="S435" s="5">
        <v>3</v>
      </c>
      <c r="T435" s="5">
        <v>3</v>
      </c>
      <c r="U435" s="5" t="str" cm="1">
        <f t="array" ref="U435">_xlfn.IFS(T435=1,"Poor",T435=2,"Fair",T435=3,"Good",T435=4,"Excellent")</f>
        <v>Good</v>
      </c>
      <c r="V435" s="5" t="s">
        <v>35</v>
      </c>
      <c r="W435" s="5">
        <v>3</v>
      </c>
      <c r="X435" s="28">
        <f t="shared" ca="1" si="73"/>
        <v>45015</v>
      </c>
      <c r="Y435" s="28">
        <f t="shared" ca="1" si="74"/>
        <v>46476</v>
      </c>
      <c r="Z435" s="28" t="str">
        <f t="shared" ca="1" si="75"/>
        <v>Due Soon</v>
      </c>
      <c r="AA435" s="5" t="str" cm="1">
        <f t="array" ref="AA435">_xlfn.IFS(W435&gt;10,"Veteran",W435&gt;=6,"Experienced",W435&gt;=2,"Developing",W435&gt;=0,"New")</f>
        <v>Developing</v>
      </c>
      <c r="AB435" s="5" t="str" cm="1">
        <f t="array" ref="AB435">_xlfn.IFS(G435=1,"Junior",G435=2,"Mid-Level",G435=3,"Senior",G435=4,"Lead",G435=5,"Principal")&amp;" "&amp;TRIM(PROPER(H435))</f>
        <v>Senior Sales Executive</v>
      </c>
      <c r="AC435" s="19" t="str">
        <f t="shared" ca="1" si="76"/>
        <v>Sa-Sal-2023-434 is a Senior Sales Executive in the Sales department, aged 46, married and has been with the Company for 3years</v>
      </c>
    </row>
    <row r="436" spans="1:29">
      <c r="A436" s="18" t="str">
        <f t="shared" ca="1" si="66"/>
        <v>Ma-Res-2013-435</v>
      </c>
      <c r="B436" s="5">
        <v>31</v>
      </c>
      <c r="C436" s="5" t="str">
        <f t="shared" si="67"/>
        <v>30-39</v>
      </c>
      <c r="D436" s="5" t="s">
        <v>43</v>
      </c>
      <c r="E436" s="5" t="s">
        <v>45</v>
      </c>
      <c r="F436" s="5" t="s">
        <v>46</v>
      </c>
      <c r="G436" s="5">
        <v>3</v>
      </c>
      <c r="H436" s="5" t="s">
        <v>53</v>
      </c>
      <c r="I436" s="5" t="s">
        <v>52</v>
      </c>
      <c r="J436" s="7">
        <v>10648</v>
      </c>
      <c r="K436" s="7">
        <f t="shared" si="68"/>
        <v>2342.56</v>
      </c>
      <c r="L436" s="7">
        <f t="shared" si="69"/>
        <v>8305.44</v>
      </c>
      <c r="M436" s="7">
        <v>14394</v>
      </c>
      <c r="N436" s="5" t="s">
        <v>43</v>
      </c>
      <c r="O436" s="5">
        <v>25</v>
      </c>
      <c r="P436" s="7">
        <f t="shared" si="70"/>
        <v>13310</v>
      </c>
      <c r="Q436" s="7">
        <f t="shared" si="71"/>
        <v>31944</v>
      </c>
      <c r="R436" s="7" t="str">
        <f t="shared" si="72"/>
        <v>Normal</v>
      </c>
      <c r="S436" s="5">
        <v>4</v>
      </c>
      <c r="T436" s="5">
        <v>4</v>
      </c>
      <c r="U436" s="5" t="str" cm="1">
        <f t="array" ref="U436">_xlfn.IFS(T436=1,"Poor",T436=2,"Fair",T436=3,"Good",T436=4,"Excellent")</f>
        <v>Excellent</v>
      </c>
      <c r="V436" s="5" t="s">
        <v>43</v>
      </c>
      <c r="W436" s="5">
        <v>13</v>
      </c>
      <c r="X436" s="28">
        <f t="shared" ca="1" si="73"/>
        <v>41363</v>
      </c>
      <c r="Y436" s="28">
        <f t="shared" ca="1" si="74"/>
        <v>46476</v>
      </c>
      <c r="Z436" s="28" t="str">
        <f t="shared" ca="1" si="75"/>
        <v>Due Soon</v>
      </c>
      <c r="AA436" s="5" t="str" cm="1">
        <f t="array" ref="AA436">_xlfn.IFS(W436&gt;10,"Veteran",W436&gt;=6,"Experienced",W436&gt;=2,"Developing",W436&gt;=0,"New")</f>
        <v>Veteran</v>
      </c>
      <c r="AB436" s="5" t="str" cm="1">
        <f t="array" ref="AB436">_xlfn.IFS(G436=1,"Junior",G436=2,"Mid-Level",G436=3,"Senior",G436=4,"Lead",G436=5,"Principal")&amp;" "&amp;TRIM(PROPER(H436))</f>
        <v>Senior Manufacturing Director</v>
      </c>
      <c r="AC436" s="19" t="str">
        <f t="shared" ca="1" si="76"/>
        <v>Ma-Res-2013-435 is a Senior Manufacturing Director in the Research &amp; Development department, aged 31, divorced and has been with the Company for 13years</v>
      </c>
    </row>
    <row r="437" spans="1:29">
      <c r="A437" s="18" t="str">
        <f t="shared" ca="1" si="66"/>
        <v>Ma-Res-2019-436</v>
      </c>
      <c r="B437" s="5">
        <v>33</v>
      </c>
      <c r="C437" s="5" t="str">
        <f t="shared" si="67"/>
        <v>30-39</v>
      </c>
      <c r="D437" s="5" t="s">
        <v>35</v>
      </c>
      <c r="E437" s="5" t="s">
        <v>45</v>
      </c>
      <c r="F437" s="5" t="s">
        <v>46</v>
      </c>
      <c r="G437" s="5">
        <v>3</v>
      </c>
      <c r="H437" s="5" t="s">
        <v>56</v>
      </c>
      <c r="I437" s="5" t="s">
        <v>48</v>
      </c>
      <c r="J437" s="7">
        <v>13610</v>
      </c>
      <c r="K437" s="7">
        <f t="shared" si="68"/>
        <v>4083</v>
      </c>
      <c r="L437" s="7">
        <f t="shared" si="69"/>
        <v>9527</v>
      </c>
      <c r="M437" s="7">
        <v>24619</v>
      </c>
      <c r="N437" s="5" t="s">
        <v>35</v>
      </c>
      <c r="O437" s="5">
        <v>12</v>
      </c>
      <c r="P437" s="7">
        <f t="shared" si="70"/>
        <v>15243.2</v>
      </c>
      <c r="Q437" s="7">
        <f t="shared" si="71"/>
        <v>19598.400000000009</v>
      </c>
      <c r="R437" s="7" t="str">
        <f t="shared" si="72"/>
        <v>Normal</v>
      </c>
      <c r="S437" s="5">
        <v>3</v>
      </c>
      <c r="T437" s="5">
        <v>4</v>
      </c>
      <c r="U437" s="5" t="str" cm="1">
        <f t="array" ref="U437">_xlfn.IFS(T437=1,"Poor",T437=2,"Fair",T437=3,"Good",T437=4,"Excellent")</f>
        <v>Excellent</v>
      </c>
      <c r="V437" s="5" t="s">
        <v>35</v>
      </c>
      <c r="W437" s="5">
        <v>7</v>
      </c>
      <c r="X437" s="28">
        <f t="shared" ca="1" si="73"/>
        <v>43554</v>
      </c>
      <c r="Y437" s="28">
        <f t="shared" ca="1" si="74"/>
        <v>46476</v>
      </c>
      <c r="Z437" s="28" t="str">
        <f t="shared" ca="1" si="75"/>
        <v>Due Soon</v>
      </c>
      <c r="AA437" s="5" t="str" cm="1">
        <f t="array" ref="AA437">_xlfn.IFS(W437&gt;10,"Veteran",W437&gt;=6,"Experienced",W437&gt;=2,"Developing",W437&gt;=0,"New")</f>
        <v>Experienced</v>
      </c>
      <c r="AB437" s="5" t="str" cm="1">
        <f t="array" ref="AB437">_xlfn.IFS(G437=1,"Junior",G437=2,"Mid-Level",G437=3,"Senior",G437=4,"Lead",G437=5,"Principal")&amp;" "&amp;TRIM(PROPER(H437))</f>
        <v>Senior Manager</v>
      </c>
      <c r="AC437" s="19" t="str">
        <f t="shared" ca="1" si="76"/>
        <v>Ma-Res-2019-436 is a Senior Manager in the Research &amp; Development department, aged 33, married and has been with the Company for 7years</v>
      </c>
    </row>
    <row r="438" spans="1:29">
      <c r="A438" s="18" t="str">
        <f t="shared" ca="1" si="66"/>
        <v>La-Res-2022-437</v>
      </c>
      <c r="B438" s="5">
        <v>33</v>
      </c>
      <c r="C438" s="5" t="str">
        <f t="shared" si="67"/>
        <v>30-39</v>
      </c>
      <c r="D438" s="5" t="s">
        <v>35</v>
      </c>
      <c r="E438" s="5" t="s">
        <v>45</v>
      </c>
      <c r="F438" s="5" t="s">
        <v>46</v>
      </c>
      <c r="G438" s="5">
        <v>1</v>
      </c>
      <c r="H438" s="5" t="s">
        <v>50</v>
      </c>
      <c r="I438" s="5" t="s">
        <v>52</v>
      </c>
      <c r="J438" s="7">
        <v>3408</v>
      </c>
      <c r="K438" s="7">
        <f t="shared" si="68"/>
        <v>511.2</v>
      </c>
      <c r="L438" s="7">
        <f t="shared" si="69"/>
        <v>2896.8</v>
      </c>
      <c r="M438" s="7">
        <v>6705</v>
      </c>
      <c r="N438" s="5" t="s">
        <v>43</v>
      </c>
      <c r="O438" s="5">
        <v>13</v>
      </c>
      <c r="P438" s="7">
        <f t="shared" si="70"/>
        <v>3851.0399999999995</v>
      </c>
      <c r="Q438" s="7">
        <f t="shared" si="71"/>
        <v>5316.4799999999941</v>
      </c>
      <c r="R438" s="7" t="str">
        <f t="shared" si="72"/>
        <v>Normal</v>
      </c>
      <c r="S438" s="5">
        <v>3</v>
      </c>
      <c r="T438" s="5">
        <v>3</v>
      </c>
      <c r="U438" s="5" t="str" cm="1">
        <f t="array" ref="U438">_xlfn.IFS(T438=1,"Poor",T438=2,"Fair",T438=3,"Good",T438=4,"Excellent")</f>
        <v>Good</v>
      </c>
      <c r="V438" s="5" t="s">
        <v>43</v>
      </c>
      <c r="W438" s="5">
        <v>4</v>
      </c>
      <c r="X438" s="28">
        <f t="shared" ca="1" si="73"/>
        <v>44650</v>
      </c>
      <c r="Y438" s="28">
        <f t="shared" ca="1" si="74"/>
        <v>46842</v>
      </c>
      <c r="Z438" s="28" t="str">
        <f t="shared" ca="1" si="75"/>
        <v>Upcoming</v>
      </c>
      <c r="AA438" s="5" t="str" cm="1">
        <f t="array" ref="AA438">_xlfn.IFS(W438&gt;10,"Veteran",W438&gt;=6,"Experienced",W438&gt;=2,"Developing",W438&gt;=0,"New")</f>
        <v>Developing</v>
      </c>
      <c r="AB438" s="5" t="str" cm="1">
        <f t="array" ref="AB438">_xlfn.IFS(G438=1,"Junior",G438=2,"Mid-Level",G438=3,"Senior",G438=4,"Lead",G438=5,"Principal")&amp;" "&amp;TRIM(PROPER(H438))</f>
        <v>Junior Laboratory Technician</v>
      </c>
      <c r="AC438" s="19" t="str">
        <f t="shared" ca="1" si="76"/>
        <v>La-Res-2022-437 is a Junior Laboratory Technician in the Research &amp; Development department, aged 33, divorced and has been with the Company for 4years</v>
      </c>
    </row>
    <row r="439" spans="1:29">
      <c r="A439" s="18" t="str">
        <f t="shared" ca="1" si="66"/>
        <v>Sa-Sal-2023-438</v>
      </c>
      <c r="B439" s="5">
        <v>30</v>
      </c>
      <c r="C439" s="5" t="str">
        <f t="shared" si="67"/>
        <v>30-39</v>
      </c>
      <c r="D439" s="5" t="s">
        <v>43</v>
      </c>
      <c r="E439" s="5" t="s">
        <v>37</v>
      </c>
      <c r="F439" s="5" t="s">
        <v>46</v>
      </c>
      <c r="G439" s="5">
        <v>1</v>
      </c>
      <c r="H439" s="5" t="s">
        <v>57</v>
      </c>
      <c r="I439" s="5" t="s">
        <v>41</v>
      </c>
      <c r="J439" s="7">
        <v>2983</v>
      </c>
      <c r="K439" s="7">
        <f t="shared" si="68"/>
        <v>208.81000000000003</v>
      </c>
      <c r="L439" s="7">
        <f t="shared" si="69"/>
        <v>2774.19</v>
      </c>
      <c r="M439" s="7">
        <v>18398</v>
      </c>
      <c r="N439" s="5" t="s">
        <v>43</v>
      </c>
      <c r="O439" s="5">
        <v>14</v>
      </c>
      <c r="P439" s="7">
        <f t="shared" si="70"/>
        <v>3400.6200000000003</v>
      </c>
      <c r="Q439" s="7">
        <f t="shared" si="71"/>
        <v>5011.4400000000041</v>
      </c>
      <c r="R439" s="7" t="str">
        <f t="shared" si="72"/>
        <v>Normal</v>
      </c>
      <c r="S439" s="5">
        <v>3</v>
      </c>
      <c r="T439" s="5">
        <v>3</v>
      </c>
      <c r="U439" s="5" t="str" cm="1">
        <f t="array" ref="U439">_xlfn.IFS(T439=1,"Poor",T439=2,"Fair",T439=3,"Good",T439=4,"Excellent")</f>
        <v>Good</v>
      </c>
      <c r="V439" s="5" t="s">
        <v>43</v>
      </c>
      <c r="W439" s="5">
        <v>3</v>
      </c>
      <c r="X439" s="28">
        <f t="shared" ca="1" si="73"/>
        <v>45015</v>
      </c>
      <c r="Y439" s="28">
        <f t="shared" ca="1" si="74"/>
        <v>46476</v>
      </c>
      <c r="Z439" s="28" t="str">
        <f t="shared" ca="1" si="75"/>
        <v>Due Soon</v>
      </c>
      <c r="AA439" s="5" t="str" cm="1">
        <f t="array" ref="AA439">_xlfn.IFS(W439&gt;10,"Veteran",W439&gt;=6,"Experienced",W439&gt;=2,"Developing",W439&gt;=0,"New")</f>
        <v>Developing</v>
      </c>
      <c r="AB439" s="5" t="str" cm="1">
        <f t="array" ref="AB439">_xlfn.IFS(G439=1,"Junior",G439=2,"Mid-Level",G439=3,"Senior",G439=4,"Lead",G439=5,"Principal")&amp;" "&amp;TRIM(PROPER(H439))</f>
        <v>Junior Sales Representative</v>
      </c>
      <c r="AC439" s="19" t="str">
        <f t="shared" ca="1" si="76"/>
        <v>Sa-Sal-2023-438 is a Junior Sales Representative in the Sales department, aged 30, single and has been with the Company for 3years</v>
      </c>
    </row>
    <row r="440" spans="1:29">
      <c r="A440" s="18" t="str">
        <f t="shared" ca="1" si="66"/>
        <v>He-Res-2018-439</v>
      </c>
      <c r="B440" s="5">
        <v>35</v>
      </c>
      <c r="C440" s="5" t="str">
        <f t="shared" si="67"/>
        <v>30-39</v>
      </c>
      <c r="D440" s="5" t="s">
        <v>43</v>
      </c>
      <c r="E440" s="5" t="s">
        <v>45</v>
      </c>
      <c r="F440" s="5" t="s">
        <v>46</v>
      </c>
      <c r="G440" s="5">
        <v>3</v>
      </c>
      <c r="H440" s="5" t="s">
        <v>54</v>
      </c>
      <c r="I440" s="5" t="s">
        <v>48</v>
      </c>
      <c r="J440" s="7">
        <v>7632</v>
      </c>
      <c r="K440" s="7">
        <f t="shared" si="68"/>
        <v>1679.04</v>
      </c>
      <c r="L440" s="7">
        <f t="shared" si="69"/>
        <v>5952.96</v>
      </c>
      <c r="M440" s="7">
        <v>14295</v>
      </c>
      <c r="N440" s="5" t="s">
        <v>35</v>
      </c>
      <c r="O440" s="5">
        <v>12</v>
      </c>
      <c r="P440" s="7">
        <f t="shared" si="70"/>
        <v>8547.84</v>
      </c>
      <c r="Q440" s="7">
        <f t="shared" si="71"/>
        <v>10990.080000000002</v>
      </c>
      <c r="R440" s="7" t="str">
        <f t="shared" si="72"/>
        <v>Normal</v>
      </c>
      <c r="S440" s="5">
        <v>3</v>
      </c>
      <c r="T440" s="5">
        <v>3</v>
      </c>
      <c r="U440" s="5" t="str" cm="1">
        <f t="array" ref="U440">_xlfn.IFS(T440=1,"Poor",T440=2,"Fair",T440=3,"Good",T440=4,"Excellent")</f>
        <v>Good</v>
      </c>
      <c r="V440" s="5" t="s">
        <v>35</v>
      </c>
      <c r="W440" s="5">
        <v>8</v>
      </c>
      <c r="X440" s="28">
        <f t="shared" ca="1" si="73"/>
        <v>43189</v>
      </c>
      <c r="Y440" s="28">
        <f t="shared" ca="1" si="74"/>
        <v>46842</v>
      </c>
      <c r="Z440" s="28" t="str">
        <f t="shared" ca="1" si="75"/>
        <v>Upcoming</v>
      </c>
      <c r="AA440" s="5" t="str" cm="1">
        <f t="array" ref="AA440">_xlfn.IFS(W440&gt;10,"Veteran",W440&gt;=6,"Experienced",W440&gt;=2,"Developing",W440&gt;=0,"New")</f>
        <v>Experienced</v>
      </c>
      <c r="AB440" s="5" t="str" cm="1">
        <f t="array" ref="AB440">_xlfn.IFS(G440=1,"Junior",G440=2,"Mid-Level",G440=3,"Senior",G440=4,"Lead",G440=5,"Principal")&amp;" "&amp;TRIM(PROPER(H440))</f>
        <v>Senior Healthcare Representative</v>
      </c>
      <c r="AC440" s="19" t="str">
        <f t="shared" ca="1" si="76"/>
        <v>He-Res-2018-439 is a Senior Healthcare Representative in the Research &amp; Development department, aged 35, married and has been with the Company for 8years</v>
      </c>
    </row>
    <row r="441" spans="1:29">
      <c r="A441" s="18" t="str">
        <f t="shared" ca="1" si="66"/>
        <v>He-Res-2025-440</v>
      </c>
      <c r="B441" s="5">
        <v>31</v>
      </c>
      <c r="C441" s="5" t="str">
        <f t="shared" si="67"/>
        <v>30-39</v>
      </c>
      <c r="D441" s="5" t="s">
        <v>35</v>
      </c>
      <c r="E441" s="5" t="s">
        <v>45</v>
      </c>
      <c r="F441" s="5" t="s">
        <v>46</v>
      </c>
      <c r="G441" s="5">
        <v>3</v>
      </c>
      <c r="H441" s="5" t="s">
        <v>54</v>
      </c>
      <c r="I441" s="5" t="s">
        <v>48</v>
      </c>
      <c r="J441" s="7">
        <v>9824</v>
      </c>
      <c r="K441" s="7">
        <f t="shared" si="68"/>
        <v>2161.2800000000002</v>
      </c>
      <c r="L441" s="7">
        <f t="shared" si="69"/>
        <v>7662.7199999999993</v>
      </c>
      <c r="M441" s="7">
        <v>22908</v>
      </c>
      <c r="N441" s="5" t="s">
        <v>43</v>
      </c>
      <c r="O441" s="5">
        <v>12</v>
      </c>
      <c r="P441" s="7">
        <f t="shared" si="70"/>
        <v>11002.880000000001</v>
      </c>
      <c r="Q441" s="7">
        <f t="shared" si="71"/>
        <v>14146.560000000012</v>
      </c>
      <c r="R441" s="7" t="str">
        <f t="shared" si="72"/>
        <v>Normal</v>
      </c>
      <c r="S441" s="5">
        <v>3</v>
      </c>
      <c r="T441" s="5">
        <v>3</v>
      </c>
      <c r="U441" s="5" t="str" cm="1">
        <f t="array" ref="U441">_xlfn.IFS(T441=1,"Poor",T441=2,"Fair",T441=3,"Good",T441=4,"Excellent")</f>
        <v>Good</v>
      </c>
      <c r="V441" s="5" t="s">
        <v>43</v>
      </c>
      <c r="W441" s="5">
        <v>1</v>
      </c>
      <c r="X441" s="28">
        <f t="shared" ca="1" si="73"/>
        <v>45746</v>
      </c>
      <c r="Y441" s="28">
        <f t="shared" ca="1" si="74"/>
        <v>46476</v>
      </c>
      <c r="Z441" s="28" t="str">
        <f t="shared" ca="1" si="75"/>
        <v>Due Soon</v>
      </c>
      <c r="AA441" s="5" t="str" cm="1">
        <f t="array" ref="AA441">_xlfn.IFS(W441&gt;10,"Veteran",W441&gt;=6,"Experienced",W441&gt;=2,"Developing",W441&gt;=0,"New")</f>
        <v>New</v>
      </c>
      <c r="AB441" s="5" t="str" cm="1">
        <f t="array" ref="AB441">_xlfn.IFS(G441=1,"Junior",G441=2,"Mid-Level",G441=3,"Senior",G441=4,"Lead",G441=5,"Principal")&amp;" "&amp;TRIM(PROPER(H441))</f>
        <v>Senior Healthcare Representative</v>
      </c>
      <c r="AC441" s="19" t="str">
        <f t="shared" ca="1" si="76"/>
        <v>He-Res-2025-440 is a Senior Healthcare Representative in the Research &amp; Development department, aged 31, married and has been with the Company for 1years</v>
      </c>
    </row>
    <row r="442" spans="1:29">
      <c r="A442" s="18" t="str">
        <f t="shared" ca="1" si="66"/>
        <v>Hu-Hum-2023-441</v>
      </c>
      <c r="B442" s="5">
        <v>34</v>
      </c>
      <c r="C442" s="5" t="str">
        <f t="shared" si="67"/>
        <v>30-39</v>
      </c>
      <c r="D442" s="5" t="s">
        <v>35</v>
      </c>
      <c r="E442" s="5" t="s">
        <v>61</v>
      </c>
      <c r="F442" s="5" t="s">
        <v>39</v>
      </c>
      <c r="G442" s="5">
        <v>3</v>
      </c>
      <c r="H442" s="5" t="s">
        <v>61</v>
      </c>
      <c r="I442" s="5" t="s">
        <v>52</v>
      </c>
      <c r="J442" s="7">
        <v>9950</v>
      </c>
      <c r="K442" s="7">
        <f t="shared" si="68"/>
        <v>2189</v>
      </c>
      <c r="L442" s="7">
        <f t="shared" si="69"/>
        <v>7761</v>
      </c>
      <c r="M442" s="7">
        <v>11533</v>
      </c>
      <c r="N442" s="5" t="s">
        <v>35</v>
      </c>
      <c r="O442" s="5">
        <v>15</v>
      </c>
      <c r="P442" s="7">
        <f t="shared" si="70"/>
        <v>11442.5</v>
      </c>
      <c r="Q442" s="7">
        <f t="shared" si="71"/>
        <v>17910</v>
      </c>
      <c r="R442" s="7" t="str">
        <f t="shared" si="72"/>
        <v>Normal</v>
      </c>
      <c r="S442" s="5">
        <v>3</v>
      </c>
      <c r="T442" s="5">
        <v>3</v>
      </c>
      <c r="U442" s="5" t="str" cm="1">
        <f t="array" ref="U442">_xlfn.IFS(T442=1,"Poor",T442=2,"Fair",T442=3,"Good",T442=4,"Excellent")</f>
        <v>Good</v>
      </c>
      <c r="V442" s="5" t="s">
        <v>35</v>
      </c>
      <c r="W442" s="5">
        <v>3</v>
      </c>
      <c r="X442" s="28">
        <f t="shared" ca="1" si="73"/>
        <v>45015</v>
      </c>
      <c r="Y442" s="28">
        <f t="shared" ca="1" si="74"/>
        <v>46476</v>
      </c>
      <c r="Z442" s="28" t="str">
        <f t="shared" ca="1" si="75"/>
        <v>Due Soon</v>
      </c>
      <c r="AA442" s="5" t="str" cm="1">
        <f t="array" ref="AA442">_xlfn.IFS(W442&gt;10,"Veteran",W442&gt;=6,"Experienced",W442&gt;=2,"Developing",W442&gt;=0,"New")</f>
        <v>Developing</v>
      </c>
      <c r="AB442" s="5" t="str" cm="1">
        <f t="array" ref="AB442">_xlfn.IFS(G442=1,"Junior",G442=2,"Mid-Level",G442=3,"Senior",G442=4,"Lead",G442=5,"Principal")&amp;" "&amp;TRIM(PROPER(H442))</f>
        <v>Senior Human Resources</v>
      </c>
      <c r="AC442" s="19" t="str">
        <f t="shared" ca="1" si="76"/>
        <v>Hu-Hum-2023-441 is a Senior Human Resources in the Human Resources department, aged 34, divorced and has been with the Company for 3years</v>
      </c>
    </row>
    <row r="443" spans="1:29">
      <c r="A443" s="18" t="str">
        <f t="shared" ca="1" si="66"/>
        <v>La-Res-2024-442</v>
      </c>
      <c r="B443" s="5">
        <v>42</v>
      </c>
      <c r="C443" s="5" t="str">
        <f t="shared" si="67"/>
        <v>40-49</v>
      </c>
      <c r="D443" s="5" t="s">
        <v>43</v>
      </c>
      <c r="E443" s="5" t="s">
        <v>45</v>
      </c>
      <c r="F443" s="5" t="s">
        <v>46</v>
      </c>
      <c r="G443" s="5">
        <v>1</v>
      </c>
      <c r="H443" s="5" t="s">
        <v>50</v>
      </c>
      <c r="I443" s="5" t="s">
        <v>48</v>
      </c>
      <c r="J443" s="7">
        <v>2093</v>
      </c>
      <c r="K443" s="7">
        <f t="shared" si="68"/>
        <v>146.51000000000002</v>
      </c>
      <c r="L443" s="7">
        <f t="shared" si="69"/>
        <v>1946.49</v>
      </c>
      <c r="M443" s="7">
        <v>9260</v>
      </c>
      <c r="N443" s="5" t="s">
        <v>43</v>
      </c>
      <c r="O443" s="5">
        <v>17</v>
      </c>
      <c r="P443" s="7">
        <f t="shared" si="70"/>
        <v>2448.81</v>
      </c>
      <c r="Q443" s="7">
        <f t="shared" si="71"/>
        <v>4269.7199999999993</v>
      </c>
      <c r="R443" s="7" t="str">
        <f t="shared" si="72"/>
        <v>Normal</v>
      </c>
      <c r="S443" s="5">
        <v>3</v>
      </c>
      <c r="T443" s="5">
        <v>3</v>
      </c>
      <c r="U443" s="5" t="str" cm="1">
        <f t="array" ref="U443">_xlfn.IFS(T443=1,"Poor",T443=2,"Fair",T443=3,"Good",T443=4,"Excellent")</f>
        <v>Good</v>
      </c>
      <c r="V443" s="5" t="s">
        <v>43</v>
      </c>
      <c r="W443" s="5">
        <v>2</v>
      </c>
      <c r="X443" s="28">
        <f t="shared" ca="1" si="73"/>
        <v>45381</v>
      </c>
      <c r="Y443" s="28">
        <f t="shared" ca="1" si="74"/>
        <v>46842</v>
      </c>
      <c r="Z443" s="28" t="str">
        <f t="shared" ca="1" si="75"/>
        <v>Upcoming</v>
      </c>
      <c r="AA443" s="5" t="str" cm="1">
        <f t="array" ref="AA443">_xlfn.IFS(W443&gt;10,"Veteran",W443&gt;=6,"Experienced",W443&gt;=2,"Developing",W443&gt;=0,"New")</f>
        <v>Developing</v>
      </c>
      <c r="AB443" s="5" t="str" cm="1">
        <f t="array" ref="AB443">_xlfn.IFS(G443=1,"Junior",G443=2,"Mid-Level",G443=3,"Senior",G443=4,"Lead",G443=5,"Principal")&amp;" "&amp;TRIM(PROPER(H443))</f>
        <v>Junior Laboratory Technician</v>
      </c>
      <c r="AC443" s="19" t="str">
        <f t="shared" ca="1" si="76"/>
        <v>La-Res-2024-442 is a Junior Laboratory Technician in the Research &amp; Development department, aged 42, married and has been with the Company for 2years</v>
      </c>
    </row>
    <row r="444" spans="1:29">
      <c r="A444" s="18" t="str">
        <f t="shared" ca="1" si="66"/>
        <v>Sa-Sal-2016-443</v>
      </c>
      <c r="B444" s="5">
        <v>36</v>
      </c>
      <c r="C444" s="5" t="str">
        <f t="shared" si="67"/>
        <v>30-39</v>
      </c>
      <c r="D444" s="5" t="s">
        <v>43</v>
      </c>
      <c r="E444" s="5" t="s">
        <v>37</v>
      </c>
      <c r="F444" s="5" t="s">
        <v>46</v>
      </c>
      <c r="G444" s="5">
        <v>3</v>
      </c>
      <c r="H444" s="5" t="s">
        <v>40</v>
      </c>
      <c r="I444" s="5" t="s">
        <v>41</v>
      </c>
      <c r="J444" s="7">
        <v>9980</v>
      </c>
      <c r="K444" s="7">
        <f t="shared" si="68"/>
        <v>2195.6</v>
      </c>
      <c r="L444" s="7">
        <f t="shared" si="69"/>
        <v>7784.4</v>
      </c>
      <c r="M444" s="7">
        <v>15318</v>
      </c>
      <c r="N444" s="5" t="s">
        <v>43</v>
      </c>
      <c r="O444" s="5">
        <v>14</v>
      </c>
      <c r="P444" s="7">
        <f t="shared" si="70"/>
        <v>11377.2</v>
      </c>
      <c r="Q444" s="7">
        <f t="shared" si="71"/>
        <v>16766.400000000009</v>
      </c>
      <c r="R444" s="7" t="str">
        <f t="shared" si="72"/>
        <v>Normal</v>
      </c>
      <c r="S444" s="5">
        <v>3</v>
      </c>
      <c r="T444" s="5">
        <v>2</v>
      </c>
      <c r="U444" s="5" t="str" cm="1">
        <f t="array" ref="U444">_xlfn.IFS(T444=1,"Poor",T444=2,"Fair",T444=3,"Good",T444=4,"Excellent")</f>
        <v>Fair</v>
      </c>
      <c r="V444" s="5" t="s">
        <v>43</v>
      </c>
      <c r="W444" s="5">
        <v>10</v>
      </c>
      <c r="X444" s="28">
        <f t="shared" ca="1" si="73"/>
        <v>42459</v>
      </c>
      <c r="Y444" s="28">
        <f t="shared" ca="1" si="74"/>
        <v>46842</v>
      </c>
      <c r="Z444" s="28" t="str">
        <f t="shared" ca="1" si="75"/>
        <v>Upcoming</v>
      </c>
      <c r="AA444" s="5" t="str" cm="1">
        <f t="array" ref="AA444">_xlfn.IFS(W444&gt;10,"Veteran",W444&gt;=6,"Experienced",W444&gt;=2,"Developing",W444&gt;=0,"New")</f>
        <v>Experienced</v>
      </c>
      <c r="AB444" s="5" t="str" cm="1">
        <f t="array" ref="AB444">_xlfn.IFS(G444=1,"Junior",G444=2,"Mid-Level",G444=3,"Senior",G444=4,"Lead",G444=5,"Principal")&amp;" "&amp;TRIM(PROPER(H444))</f>
        <v>Senior Sales Executive</v>
      </c>
      <c r="AC444" s="19" t="str">
        <f t="shared" ca="1" si="76"/>
        <v>Sa-Sal-2016-443 is a Senior Sales Executive in the Sales department, aged 36, single and has been with the Company for 10years</v>
      </c>
    </row>
    <row r="445" spans="1:29">
      <c r="A445" s="18" t="str">
        <f t="shared" ca="1" si="66"/>
        <v>La-Res-2024-444</v>
      </c>
      <c r="B445" s="5">
        <v>22</v>
      </c>
      <c r="C445" s="5" t="str">
        <f t="shared" si="67"/>
        <v>20-29</v>
      </c>
      <c r="D445" s="5" t="s">
        <v>35</v>
      </c>
      <c r="E445" s="5" t="s">
        <v>45</v>
      </c>
      <c r="F445" s="5" t="s">
        <v>46</v>
      </c>
      <c r="G445" s="5">
        <v>1</v>
      </c>
      <c r="H445" s="5" t="s">
        <v>50</v>
      </c>
      <c r="I445" s="5" t="s">
        <v>41</v>
      </c>
      <c r="J445" s="7">
        <v>3894</v>
      </c>
      <c r="K445" s="7">
        <f t="shared" si="68"/>
        <v>584.1</v>
      </c>
      <c r="L445" s="7">
        <f t="shared" si="69"/>
        <v>3309.9</v>
      </c>
      <c r="M445" s="7">
        <v>9129</v>
      </c>
      <c r="N445" s="5" t="s">
        <v>43</v>
      </c>
      <c r="O445" s="5">
        <v>16</v>
      </c>
      <c r="P445" s="7">
        <f t="shared" si="70"/>
        <v>4517.04</v>
      </c>
      <c r="Q445" s="7">
        <f t="shared" si="71"/>
        <v>7476.48</v>
      </c>
      <c r="R445" s="7" t="str">
        <f t="shared" si="72"/>
        <v>Normal</v>
      </c>
      <c r="S445" s="5">
        <v>3</v>
      </c>
      <c r="T445" s="5">
        <v>3</v>
      </c>
      <c r="U445" s="5" t="str" cm="1">
        <f t="array" ref="U445">_xlfn.IFS(T445=1,"Poor",T445=2,"Fair",T445=3,"Good",T445=4,"Excellent")</f>
        <v>Good</v>
      </c>
      <c r="V445" s="5" t="s">
        <v>43</v>
      </c>
      <c r="W445" s="5">
        <v>2</v>
      </c>
      <c r="X445" s="28">
        <f t="shared" ca="1" si="73"/>
        <v>45381</v>
      </c>
      <c r="Y445" s="28">
        <f t="shared" ca="1" si="74"/>
        <v>46842</v>
      </c>
      <c r="Z445" s="28" t="str">
        <f t="shared" ca="1" si="75"/>
        <v>Upcoming</v>
      </c>
      <c r="AA445" s="5" t="str" cm="1">
        <f t="array" ref="AA445">_xlfn.IFS(W445&gt;10,"Veteran",W445&gt;=6,"Experienced",W445&gt;=2,"Developing",W445&gt;=0,"New")</f>
        <v>Developing</v>
      </c>
      <c r="AB445" s="5" t="str" cm="1">
        <f t="array" ref="AB445">_xlfn.IFS(G445=1,"Junior",G445=2,"Mid-Level",G445=3,"Senior",G445=4,"Lead",G445=5,"Principal")&amp;" "&amp;TRIM(PROPER(H445))</f>
        <v>Junior Laboratory Technician</v>
      </c>
      <c r="AC445" s="19" t="str">
        <f t="shared" ca="1" si="76"/>
        <v>La-Res-2024-444 is a Junior Laboratory Technician in the Research &amp; Development department, aged 22, single and has been with the Company for 2years</v>
      </c>
    </row>
    <row r="446" spans="1:29">
      <c r="A446" s="18" t="str">
        <f t="shared" ca="1" si="66"/>
        <v>Sa-Sal-2017-445</v>
      </c>
      <c r="B446" s="5">
        <v>48</v>
      </c>
      <c r="C446" s="5" t="str">
        <f t="shared" si="67"/>
        <v>40-49</v>
      </c>
      <c r="D446" s="5" t="s">
        <v>43</v>
      </c>
      <c r="E446" s="5" t="s">
        <v>37</v>
      </c>
      <c r="F446" s="5" t="s">
        <v>39</v>
      </c>
      <c r="G446" s="5">
        <v>2</v>
      </c>
      <c r="H446" s="5" t="s">
        <v>40</v>
      </c>
      <c r="I446" s="5" t="s">
        <v>48</v>
      </c>
      <c r="J446" s="7">
        <v>4051</v>
      </c>
      <c r="K446" s="7">
        <f t="shared" si="68"/>
        <v>607.65</v>
      </c>
      <c r="L446" s="7">
        <f t="shared" si="69"/>
        <v>3443.35</v>
      </c>
      <c r="M446" s="7">
        <v>19658</v>
      </c>
      <c r="N446" s="5" t="s">
        <v>43</v>
      </c>
      <c r="O446" s="5">
        <v>14</v>
      </c>
      <c r="P446" s="7">
        <f t="shared" si="70"/>
        <v>4618.1400000000003</v>
      </c>
      <c r="Q446" s="7">
        <f t="shared" si="71"/>
        <v>6805.6800000000039</v>
      </c>
      <c r="R446" s="7" t="str">
        <f t="shared" si="72"/>
        <v>Normal</v>
      </c>
      <c r="S446" s="5">
        <v>3</v>
      </c>
      <c r="T446" s="5">
        <v>3</v>
      </c>
      <c r="U446" s="5" t="str" cm="1">
        <f t="array" ref="U446">_xlfn.IFS(T446=1,"Poor",T446=2,"Fair",T446=3,"Good",T446=4,"Excellent")</f>
        <v>Good</v>
      </c>
      <c r="V446" s="5" t="s">
        <v>43</v>
      </c>
      <c r="W446" s="5">
        <v>9</v>
      </c>
      <c r="X446" s="28">
        <f t="shared" ca="1" si="73"/>
        <v>42824</v>
      </c>
      <c r="Y446" s="28">
        <f t="shared" ca="1" si="74"/>
        <v>46476</v>
      </c>
      <c r="Z446" s="28" t="str">
        <f t="shared" ca="1" si="75"/>
        <v>Due Soon</v>
      </c>
      <c r="AA446" s="5" t="str" cm="1">
        <f t="array" ref="AA446">_xlfn.IFS(W446&gt;10,"Veteran",W446&gt;=6,"Experienced",W446&gt;=2,"Developing",W446&gt;=0,"New")</f>
        <v>Experienced</v>
      </c>
      <c r="AB446" s="5" t="str" cm="1">
        <f t="array" ref="AB446">_xlfn.IFS(G446=1,"Junior",G446=2,"Mid-Level",G446=3,"Senior",G446=4,"Lead",G446=5,"Principal")&amp;" "&amp;TRIM(PROPER(H446))</f>
        <v>Mid-Level Sales Executive</v>
      </c>
      <c r="AC446" s="19" t="str">
        <f t="shared" ca="1" si="76"/>
        <v>Sa-Sal-2017-445 is a Mid-Level Sales Executive in the Sales department, aged 48, married and has been with the Company for 9years</v>
      </c>
    </row>
    <row r="447" spans="1:29">
      <c r="A447" s="18" t="str">
        <f t="shared" ca="1" si="66"/>
        <v>Ma-Sal-2016-446</v>
      </c>
      <c r="B447" s="5">
        <v>55</v>
      </c>
      <c r="C447" s="5" t="str">
        <f t="shared" si="67"/>
        <v>50+</v>
      </c>
      <c r="D447" s="5" t="s">
        <v>43</v>
      </c>
      <c r="E447" s="5" t="s">
        <v>37</v>
      </c>
      <c r="F447" s="5" t="s">
        <v>39</v>
      </c>
      <c r="G447" s="5">
        <v>4</v>
      </c>
      <c r="H447" s="5" t="s">
        <v>56</v>
      </c>
      <c r="I447" s="5" t="s">
        <v>41</v>
      </c>
      <c r="J447" s="7">
        <v>16835</v>
      </c>
      <c r="K447" s="7">
        <f t="shared" si="68"/>
        <v>5050.5</v>
      </c>
      <c r="L447" s="7">
        <f t="shared" si="69"/>
        <v>11784.5</v>
      </c>
      <c r="M447" s="7">
        <v>9873</v>
      </c>
      <c r="N447" s="5" t="s">
        <v>43</v>
      </c>
      <c r="O447" s="5">
        <v>23</v>
      </c>
      <c r="P447" s="7">
        <f t="shared" si="70"/>
        <v>20707.05</v>
      </c>
      <c r="Q447" s="7">
        <f t="shared" si="71"/>
        <v>46464.599999999991</v>
      </c>
      <c r="R447" s="7" t="str">
        <f t="shared" si="72"/>
        <v>Normal</v>
      </c>
      <c r="S447" s="5">
        <v>4</v>
      </c>
      <c r="T447" s="5">
        <v>3</v>
      </c>
      <c r="U447" s="5" t="str" cm="1">
        <f t="array" ref="U447">_xlfn.IFS(T447=1,"Poor",T447=2,"Fair",T447=3,"Good",T447=4,"Excellent")</f>
        <v>Good</v>
      </c>
      <c r="V447" s="5" t="s">
        <v>43</v>
      </c>
      <c r="W447" s="5">
        <v>10</v>
      </c>
      <c r="X447" s="28">
        <f t="shared" ca="1" si="73"/>
        <v>42459</v>
      </c>
      <c r="Y447" s="28">
        <f t="shared" ca="1" si="74"/>
        <v>46842</v>
      </c>
      <c r="Z447" s="28" t="str">
        <f t="shared" ca="1" si="75"/>
        <v>Upcoming</v>
      </c>
      <c r="AA447" s="5" t="str" cm="1">
        <f t="array" ref="AA447">_xlfn.IFS(W447&gt;10,"Veteran",W447&gt;=6,"Experienced",W447&gt;=2,"Developing",W447&gt;=0,"New")</f>
        <v>Experienced</v>
      </c>
      <c r="AB447" s="5" t="str" cm="1">
        <f t="array" ref="AB447">_xlfn.IFS(G447=1,"Junior",G447=2,"Mid-Level",G447=3,"Senior",G447=4,"Lead",G447=5,"Principal")&amp;" "&amp;TRIM(PROPER(H447))</f>
        <v>Lead Manager</v>
      </c>
      <c r="AC447" s="19" t="str">
        <f t="shared" ca="1" si="76"/>
        <v>Ma-Sal-2016-446 is a Lead Manager in the Sales department, aged 55, single and has been with the Company for 10years</v>
      </c>
    </row>
    <row r="448" spans="1:29">
      <c r="A448" s="18" t="str">
        <f t="shared" ca="1" si="66"/>
        <v>Sa-Sal-2012-447</v>
      </c>
      <c r="B448" s="5">
        <v>41</v>
      </c>
      <c r="C448" s="5" t="str">
        <f t="shared" si="67"/>
        <v>40-49</v>
      </c>
      <c r="D448" s="5" t="s">
        <v>43</v>
      </c>
      <c r="E448" s="5" t="s">
        <v>37</v>
      </c>
      <c r="F448" s="5" t="s">
        <v>46</v>
      </c>
      <c r="G448" s="5">
        <v>2</v>
      </c>
      <c r="H448" s="5" t="s">
        <v>40</v>
      </c>
      <c r="I448" s="5" t="s">
        <v>41</v>
      </c>
      <c r="J448" s="7">
        <v>6230</v>
      </c>
      <c r="K448" s="7">
        <f t="shared" si="68"/>
        <v>934.5</v>
      </c>
      <c r="L448" s="7">
        <f t="shared" si="69"/>
        <v>5295.5</v>
      </c>
      <c r="M448" s="7">
        <v>13430</v>
      </c>
      <c r="N448" s="5" t="s">
        <v>43</v>
      </c>
      <c r="O448" s="5">
        <v>14</v>
      </c>
      <c r="P448" s="7">
        <f t="shared" si="70"/>
        <v>7102.2000000000007</v>
      </c>
      <c r="Q448" s="7">
        <f t="shared" si="71"/>
        <v>10466.400000000009</v>
      </c>
      <c r="R448" s="7" t="str">
        <f t="shared" si="72"/>
        <v>Normal</v>
      </c>
      <c r="S448" s="5">
        <v>3</v>
      </c>
      <c r="T448" s="5">
        <v>3</v>
      </c>
      <c r="U448" s="5" t="str" cm="1">
        <f t="array" ref="U448">_xlfn.IFS(T448=1,"Poor",T448=2,"Fair",T448=3,"Good",T448=4,"Excellent")</f>
        <v>Good</v>
      </c>
      <c r="V448" s="5" t="s">
        <v>43</v>
      </c>
      <c r="W448" s="5">
        <v>14</v>
      </c>
      <c r="X448" s="28">
        <f t="shared" ca="1" si="73"/>
        <v>40998</v>
      </c>
      <c r="Y448" s="28">
        <f t="shared" ca="1" si="74"/>
        <v>46842</v>
      </c>
      <c r="Z448" s="28" t="str">
        <f t="shared" ca="1" si="75"/>
        <v>Upcoming</v>
      </c>
      <c r="AA448" s="5" t="str" cm="1">
        <f t="array" ref="AA448">_xlfn.IFS(W448&gt;10,"Veteran",W448&gt;=6,"Experienced",W448&gt;=2,"Developing",W448&gt;=0,"New")</f>
        <v>Veteran</v>
      </c>
      <c r="AB448" s="5" t="str" cm="1">
        <f t="array" ref="AB448">_xlfn.IFS(G448=1,"Junior",G448=2,"Mid-Level",G448=3,"Senior",G448=4,"Lead",G448=5,"Principal")&amp;" "&amp;TRIM(PROPER(H448))</f>
        <v>Mid-Level Sales Executive</v>
      </c>
      <c r="AC448" s="19" t="str">
        <f t="shared" ca="1" si="76"/>
        <v>Sa-Sal-2012-447 is a Mid-Level Sales Executive in the Sales department, aged 41, single and has been with the Company for 14years</v>
      </c>
    </row>
    <row r="449" spans="1:29">
      <c r="A449" s="18" t="str">
        <f t="shared" ca="1" si="66"/>
        <v>Sa-Sal-2015-448</v>
      </c>
      <c r="B449" s="5">
        <v>35</v>
      </c>
      <c r="C449" s="5" t="str">
        <f t="shared" si="67"/>
        <v>30-39</v>
      </c>
      <c r="D449" s="5" t="s">
        <v>43</v>
      </c>
      <c r="E449" s="5" t="s">
        <v>37</v>
      </c>
      <c r="F449" s="5" t="s">
        <v>46</v>
      </c>
      <c r="G449" s="5">
        <v>2</v>
      </c>
      <c r="H449" s="5" t="s">
        <v>40</v>
      </c>
      <c r="I449" s="5" t="s">
        <v>48</v>
      </c>
      <c r="J449" s="7">
        <v>4717</v>
      </c>
      <c r="K449" s="7">
        <f t="shared" si="68"/>
        <v>707.55</v>
      </c>
      <c r="L449" s="7">
        <f t="shared" si="69"/>
        <v>4009.45</v>
      </c>
      <c r="M449" s="7">
        <v>18659</v>
      </c>
      <c r="N449" s="5" t="s">
        <v>43</v>
      </c>
      <c r="O449" s="5">
        <v>11</v>
      </c>
      <c r="P449" s="7">
        <f t="shared" si="70"/>
        <v>5235.8700000000008</v>
      </c>
      <c r="Q449" s="7">
        <f t="shared" si="71"/>
        <v>6226.4400000000096</v>
      </c>
      <c r="R449" s="7" t="str">
        <f t="shared" si="72"/>
        <v>Normal</v>
      </c>
      <c r="S449" s="5">
        <v>3</v>
      </c>
      <c r="T449" s="5">
        <v>3</v>
      </c>
      <c r="U449" s="5" t="str" cm="1">
        <f t="array" ref="U449">_xlfn.IFS(T449=1,"Poor",T449=2,"Fair",T449=3,"Good",T449=4,"Excellent")</f>
        <v>Good</v>
      </c>
      <c r="V449" s="5" t="s">
        <v>43</v>
      </c>
      <c r="W449" s="5">
        <v>11</v>
      </c>
      <c r="X449" s="28">
        <f t="shared" ca="1" si="73"/>
        <v>42093</v>
      </c>
      <c r="Y449" s="28">
        <f t="shared" ca="1" si="74"/>
        <v>46476</v>
      </c>
      <c r="Z449" s="28" t="str">
        <f t="shared" ca="1" si="75"/>
        <v>Due Soon</v>
      </c>
      <c r="AA449" s="5" t="str" cm="1">
        <f t="array" ref="AA449">_xlfn.IFS(W449&gt;10,"Veteran",W449&gt;=6,"Experienced",W449&gt;=2,"Developing",W449&gt;=0,"New")</f>
        <v>Veteran</v>
      </c>
      <c r="AB449" s="5" t="str" cm="1">
        <f t="array" ref="AB449">_xlfn.IFS(G449=1,"Junior",G449=2,"Mid-Level",G449=3,"Senior",G449=4,"Lead",G449=5,"Principal")&amp;" "&amp;TRIM(PROPER(H449))</f>
        <v>Mid-Level Sales Executive</v>
      </c>
      <c r="AC449" s="19" t="str">
        <f t="shared" ca="1" si="76"/>
        <v>Sa-Sal-2015-448 is a Mid-Level Sales Executive in the Sales department, aged 35, married and has been with the Company for 11years</v>
      </c>
    </row>
    <row r="450" spans="1:29">
      <c r="A450" s="18" t="str">
        <f t="shared" ca="1" si="66"/>
        <v>Ma-Res-2006-449</v>
      </c>
      <c r="B450" s="5">
        <v>40</v>
      </c>
      <c r="C450" s="5" t="str">
        <f t="shared" si="67"/>
        <v>40-49</v>
      </c>
      <c r="D450" s="5" t="s">
        <v>43</v>
      </c>
      <c r="E450" s="5" t="s">
        <v>45</v>
      </c>
      <c r="F450" s="5" t="s">
        <v>39</v>
      </c>
      <c r="G450" s="5">
        <v>4</v>
      </c>
      <c r="H450" s="5" t="s">
        <v>53</v>
      </c>
      <c r="I450" s="5" t="s">
        <v>41</v>
      </c>
      <c r="J450" s="7">
        <v>13237</v>
      </c>
      <c r="K450" s="7">
        <f t="shared" si="68"/>
        <v>3971.1</v>
      </c>
      <c r="L450" s="7">
        <f t="shared" si="69"/>
        <v>9265.9</v>
      </c>
      <c r="M450" s="7">
        <v>20364</v>
      </c>
      <c r="N450" s="5" t="s">
        <v>43</v>
      </c>
      <c r="O450" s="5">
        <v>15</v>
      </c>
      <c r="P450" s="7">
        <f t="shared" si="70"/>
        <v>15222.55</v>
      </c>
      <c r="Q450" s="7">
        <f t="shared" si="71"/>
        <v>23826.599999999991</v>
      </c>
      <c r="R450" s="7" t="str">
        <f t="shared" si="72"/>
        <v>Normal</v>
      </c>
      <c r="S450" s="5">
        <v>3</v>
      </c>
      <c r="T450" s="5">
        <v>3</v>
      </c>
      <c r="U450" s="5" t="str" cm="1">
        <f t="array" ref="U450">_xlfn.IFS(T450=1,"Poor",T450=2,"Fair",T450=3,"Good",T450=4,"Excellent")</f>
        <v>Good</v>
      </c>
      <c r="V450" s="5" t="s">
        <v>43</v>
      </c>
      <c r="W450" s="5">
        <v>20</v>
      </c>
      <c r="X450" s="28">
        <f t="shared" ca="1" si="73"/>
        <v>38806</v>
      </c>
      <c r="Y450" s="28">
        <f t="shared" ca="1" si="74"/>
        <v>46842</v>
      </c>
      <c r="Z450" s="28" t="str">
        <f t="shared" ca="1" si="75"/>
        <v>Upcoming</v>
      </c>
      <c r="AA450" s="5" t="str" cm="1">
        <f t="array" ref="AA450">_xlfn.IFS(W450&gt;10,"Veteran",W450&gt;=6,"Experienced",W450&gt;=2,"Developing",W450&gt;=0,"New")</f>
        <v>Veteran</v>
      </c>
      <c r="AB450" s="5" t="str" cm="1">
        <f t="array" ref="AB450">_xlfn.IFS(G450=1,"Junior",G450=2,"Mid-Level",G450=3,"Senior",G450=4,"Lead",G450=5,"Principal")&amp;" "&amp;TRIM(PROPER(H450))</f>
        <v>Lead Manufacturing Director</v>
      </c>
      <c r="AC450" s="19" t="str">
        <f t="shared" ca="1" si="76"/>
        <v>Ma-Res-2006-449 is a Lead Manufacturing Director in the Research &amp; Development department, aged 40, single and has been with the Company for 20years</v>
      </c>
    </row>
    <row r="451" spans="1:29">
      <c r="A451" s="18" t="str">
        <f t="shared" ref="A451:A514" ca="1" si="77">LEFT(H451,2)&amp;"-"&amp;LEFT(E451,3)&amp;"-"&amp;YEAR(TODAY())-W451&amp;"-"&amp;TEXT(ROW()-1,"000")</f>
        <v>La-Res-2018-450</v>
      </c>
      <c r="B451" s="5">
        <v>39</v>
      </c>
      <c r="C451" s="5" t="str">
        <f t="shared" ref="C451:C514" si="78">IF(B451&lt;=29,"20-29",IF(B451&lt;=39,"30-39",IF(B451&lt;=49,"40-49","50+")))</f>
        <v>30-39</v>
      </c>
      <c r="D451" s="5" t="s">
        <v>43</v>
      </c>
      <c r="E451" s="5" t="s">
        <v>45</v>
      </c>
      <c r="F451" s="5" t="s">
        <v>39</v>
      </c>
      <c r="G451" s="5">
        <v>1</v>
      </c>
      <c r="H451" s="5" t="s">
        <v>50</v>
      </c>
      <c r="I451" s="5" t="s">
        <v>48</v>
      </c>
      <c r="J451" s="7">
        <v>3755</v>
      </c>
      <c r="K451" s="7">
        <f t="shared" ref="K451:K514" si="79">IF(J451&gt;13000,J451*30%,IF(J451&gt;7000,J451*22%,IF(J451&gt;3000,J451*15%,J451*7%)))</f>
        <v>563.25</v>
      </c>
      <c r="L451" s="7">
        <f t="shared" ref="L451:L514" si="80">J451-K451</f>
        <v>3191.75</v>
      </c>
      <c r="M451" s="7">
        <v>17872</v>
      </c>
      <c r="N451" s="5" t="s">
        <v>43</v>
      </c>
      <c r="O451" s="5">
        <v>11</v>
      </c>
      <c r="P451" s="7">
        <f t="shared" ref="P451:P514" si="81">J451*(1+(O451/100))</f>
        <v>4168.05</v>
      </c>
      <c r="Q451" s="7">
        <f t="shared" ref="Q451:Q514" si="82">(P451-J451)*12</f>
        <v>4956.6000000000022</v>
      </c>
      <c r="R451" s="7" t="str">
        <f t="shared" ref="R451:R514" si="83">IF(AND(O451&lt;12,S451=4),"UnderPaid","Normal")</f>
        <v>Normal</v>
      </c>
      <c r="S451" s="5">
        <v>3</v>
      </c>
      <c r="T451" s="5">
        <v>3</v>
      </c>
      <c r="U451" s="5" t="str" cm="1">
        <f t="array" ref="U451">_xlfn.IFS(T451=1,"Poor",T451=2,"Fair",T451=3,"Good",T451=4,"Excellent")</f>
        <v>Good</v>
      </c>
      <c r="V451" s="5" t="s">
        <v>43</v>
      </c>
      <c r="W451" s="5">
        <v>8</v>
      </c>
      <c r="X451" s="28">
        <f t="shared" ref="X451:X514" ca="1" si="84">EDATE(TODAY(),-W451*12)</f>
        <v>43189</v>
      </c>
      <c r="Y451" s="28">
        <f t="shared" ref="Y451:Y514" ca="1" si="85">EDATE(X451,(INT(W451/2)+1)*24)</f>
        <v>46842</v>
      </c>
      <c r="Z451" s="28" t="str">
        <f t="shared" ref="Z451:Z514" ca="1" si="86">IF(Y451&lt;=EDATE(TODAY(),12),"Due Soon","Upcoming")</f>
        <v>Upcoming</v>
      </c>
      <c r="AA451" s="5" t="str" cm="1">
        <f t="array" ref="AA451">_xlfn.IFS(W451&gt;10,"Veteran",W451&gt;=6,"Experienced",W451&gt;=2,"Developing",W451&gt;=0,"New")</f>
        <v>Experienced</v>
      </c>
      <c r="AB451" s="5" t="str" cm="1">
        <f t="array" ref="AB451">_xlfn.IFS(G451=1,"Junior",G451=2,"Mid-Level",G451=3,"Senior",G451=4,"Lead",G451=5,"Principal")&amp;" "&amp;TRIM(PROPER(H451))</f>
        <v>Junior Laboratory Technician</v>
      </c>
      <c r="AC451" s="19" t="str">
        <f t="shared" ref="AC451:AC514" ca="1" si="87">A451&amp;" is a "&amp;AB451&amp;" in the "&amp;E451&amp;" department, aged "&amp;B451&amp;", "&amp;LOWER(I451)&amp;" and has been with the Company for "&amp;W451&amp;"years"</f>
        <v>La-Res-2018-450 is a Junior Laboratory Technician in the Research &amp; Development department, aged 39, married and has been with the Company for 8years</v>
      </c>
    </row>
    <row r="452" spans="1:29">
      <c r="A452" s="18" t="str">
        <f t="shared" ca="1" si="77"/>
        <v>Sa-Sal-2020-451</v>
      </c>
      <c r="B452" s="5">
        <v>31</v>
      </c>
      <c r="C452" s="5" t="str">
        <f t="shared" si="78"/>
        <v>30-39</v>
      </c>
      <c r="D452" s="5" t="s">
        <v>43</v>
      </c>
      <c r="E452" s="5" t="s">
        <v>37</v>
      </c>
      <c r="F452" s="5" t="s">
        <v>46</v>
      </c>
      <c r="G452" s="5">
        <v>2</v>
      </c>
      <c r="H452" s="5" t="s">
        <v>40</v>
      </c>
      <c r="I452" s="5" t="s">
        <v>41</v>
      </c>
      <c r="J452" s="7">
        <v>6582</v>
      </c>
      <c r="K452" s="7">
        <f t="shared" si="79"/>
        <v>987.3</v>
      </c>
      <c r="L452" s="7">
        <f t="shared" si="80"/>
        <v>5594.7</v>
      </c>
      <c r="M452" s="7">
        <v>8346</v>
      </c>
      <c r="N452" s="5" t="s">
        <v>35</v>
      </c>
      <c r="O452" s="5">
        <v>13</v>
      </c>
      <c r="P452" s="7">
        <f t="shared" si="81"/>
        <v>7437.6599999999989</v>
      </c>
      <c r="Q452" s="7">
        <f t="shared" si="82"/>
        <v>10267.919999999987</v>
      </c>
      <c r="R452" s="7" t="str">
        <f t="shared" si="83"/>
        <v>Normal</v>
      </c>
      <c r="S452" s="5">
        <v>3</v>
      </c>
      <c r="T452" s="5">
        <v>4</v>
      </c>
      <c r="U452" s="5" t="str" cm="1">
        <f t="array" ref="U452">_xlfn.IFS(T452=1,"Poor",T452=2,"Fair",T452=3,"Good",T452=4,"Excellent")</f>
        <v>Excellent</v>
      </c>
      <c r="V452" s="5" t="s">
        <v>35</v>
      </c>
      <c r="W452" s="5">
        <v>6</v>
      </c>
      <c r="X452" s="28">
        <f t="shared" ca="1" si="84"/>
        <v>43920</v>
      </c>
      <c r="Y452" s="28">
        <f t="shared" ca="1" si="85"/>
        <v>46842</v>
      </c>
      <c r="Z452" s="28" t="str">
        <f t="shared" ca="1" si="86"/>
        <v>Upcoming</v>
      </c>
      <c r="AA452" s="5" t="str" cm="1">
        <f t="array" ref="AA452">_xlfn.IFS(W452&gt;10,"Veteran",W452&gt;=6,"Experienced",W452&gt;=2,"Developing",W452&gt;=0,"New")</f>
        <v>Experienced</v>
      </c>
      <c r="AB452" s="5" t="str" cm="1">
        <f t="array" ref="AB452">_xlfn.IFS(G452=1,"Junior",G452=2,"Mid-Level",G452=3,"Senior",G452=4,"Lead",G452=5,"Principal")&amp;" "&amp;TRIM(PROPER(H452))</f>
        <v>Mid-Level Sales Executive</v>
      </c>
      <c r="AC452" s="19" t="str">
        <f t="shared" ca="1" si="87"/>
        <v>Sa-Sal-2020-451 is a Mid-Level Sales Executive in the Sales department, aged 31, single and has been with the Company for 6years</v>
      </c>
    </row>
    <row r="453" spans="1:29">
      <c r="A453" s="18" t="str">
        <f t="shared" ca="1" si="77"/>
        <v>Ma-Res-2016-452</v>
      </c>
      <c r="B453" s="5">
        <v>42</v>
      </c>
      <c r="C453" s="5" t="str">
        <f t="shared" si="78"/>
        <v>40-49</v>
      </c>
      <c r="D453" s="5" t="s">
        <v>43</v>
      </c>
      <c r="E453" s="5" t="s">
        <v>45</v>
      </c>
      <c r="F453" s="5" t="s">
        <v>46</v>
      </c>
      <c r="G453" s="5">
        <v>3</v>
      </c>
      <c r="H453" s="5" t="s">
        <v>53</v>
      </c>
      <c r="I453" s="5" t="s">
        <v>48</v>
      </c>
      <c r="J453" s="7">
        <v>7406</v>
      </c>
      <c r="K453" s="7">
        <f t="shared" si="79"/>
        <v>1629.32</v>
      </c>
      <c r="L453" s="7">
        <f t="shared" si="80"/>
        <v>5776.68</v>
      </c>
      <c r="M453" s="7">
        <v>6950</v>
      </c>
      <c r="N453" s="5" t="s">
        <v>35</v>
      </c>
      <c r="O453" s="5">
        <v>21</v>
      </c>
      <c r="P453" s="7">
        <f t="shared" si="81"/>
        <v>8961.26</v>
      </c>
      <c r="Q453" s="7">
        <f t="shared" si="82"/>
        <v>18663.120000000003</v>
      </c>
      <c r="R453" s="7" t="str">
        <f t="shared" si="83"/>
        <v>Normal</v>
      </c>
      <c r="S453" s="5">
        <v>4</v>
      </c>
      <c r="T453" s="5">
        <v>2</v>
      </c>
      <c r="U453" s="5" t="str" cm="1">
        <f t="array" ref="U453">_xlfn.IFS(T453=1,"Poor",T453=2,"Fair",T453=3,"Good",T453=4,"Excellent")</f>
        <v>Fair</v>
      </c>
      <c r="V453" s="5" t="s">
        <v>35</v>
      </c>
      <c r="W453" s="5">
        <v>10</v>
      </c>
      <c r="X453" s="28">
        <f t="shared" ca="1" si="84"/>
        <v>42459</v>
      </c>
      <c r="Y453" s="28">
        <f t="shared" ca="1" si="85"/>
        <v>46842</v>
      </c>
      <c r="Z453" s="28" t="str">
        <f t="shared" ca="1" si="86"/>
        <v>Upcoming</v>
      </c>
      <c r="AA453" s="5" t="str" cm="1">
        <f t="array" ref="AA453">_xlfn.IFS(W453&gt;10,"Veteran",W453&gt;=6,"Experienced",W453&gt;=2,"Developing",W453&gt;=0,"New")</f>
        <v>Experienced</v>
      </c>
      <c r="AB453" s="5" t="str" cm="1">
        <f t="array" ref="AB453">_xlfn.IFS(G453=1,"Junior",G453=2,"Mid-Level",G453=3,"Senior",G453=4,"Lead",G453=5,"Principal")&amp;" "&amp;TRIM(PROPER(H453))</f>
        <v>Senior Manufacturing Director</v>
      </c>
      <c r="AC453" s="19" t="str">
        <f t="shared" ca="1" si="87"/>
        <v>Ma-Res-2016-452 is a Senior Manufacturing Director in the Research &amp; Development department, aged 42, married and has been with the Company for 10years</v>
      </c>
    </row>
    <row r="454" spans="1:29">
      <c r="A454" s="18" t="str">
        <f t="shared" ca="1" si="77"/>
        <v>Sa-Sal-2018-453</v>
      </c>
      <c r="B454" s="5">
        <v>45</v>
      </c>
      <c r="C454" s="5" t="str">
        <f t="shared" si="78"/>
        <v>40-49</v>
      </c>
      <c r="D454" s="5" t="s">
        <v>43</v>
      </c>
      <c r="E454" s="5" t="s">
        <v>37</v>
      </c>
      <c r="F454" s="5" t="s">
        <v>46</v>
      </c>
      <c r="G454" s="5">
        <v>2</v>
      </c>
      <c r="H454" s="5" t="s">
        <v>40</v>
      </c>
      <c r="I454" s="5" t="s">
        <v>48</v>
      </c>
      <c r="J454" s="7">
        <v>4805</v>
      </c>
      <c r="K454" s="7">
        <f t="shared" si="79"/>
        <v>720.75</v>
      </c>
      <c r="L454" s="7">
        <f t="shared" si="80"/>
        <v>4084.25</v>
      </c>
      <c r="M454" s="7">
        <v>16177</v>
      </c>
      <c r="N454" s="5" t="s">
        <v>43</v>
      </c>
      <c r="O454" s="5">
        <v>19</v>
      </c>
      <c r="P454" s="7">
        <f t="shared" si="81"/>
        <v>5717.95</v>
      </c>
      <c r="Q454" s="7">
        <f t="shared" si="82"/>
        <v>10955.399999999998</v>
      </c>
      <c r="R454" s="7" t="str">
        <f t="shared" si="83"/>
        <v>Normal</v>
      </c>
      <c r="S454" s="5">
        <v>3</v>
      </c>
      <c r="T454" s="5">
        <v>4</v>
      </c>
      <c r="U454" s="5" t="str" cm="1">
        <f t="array" ref="U454">_xlfn.IFS(T454=1,"Poor",T454=2,"Fair",T454=3,"Good",T454=4,"Excellent")</f>
        <v>Excellent</v>
      </c>
      <c r="V454" s="5" t="s">
        <v>43</v>
      </c>
      <c r="W454" s="5">
        <v>8</v>
      </c>
      <c r="X454" s="28">
        <f t="shared" ca="1" si="84"/>
        <v>43189</v>
      </c>
      <c r="Y454" s="28">
        <f t="shared" ca="1" si="85"/>
        <v>46842</v>
      </c>
      <c r="Z454" s="28" t="str">
        <f t="shared" ca="1" si="86"/>
        <v>Upcoming</v>
      </c>
      <c r="AA454" s="5" t="str" cm="1">
        <f t="array" ref="AA454">_xlfn.IFS(W454&gt;10,"Veteran",W454&gt;=6,"Experienced",W454&gt;=2,"Developing",W454&gt;=0,"New")</f>
        <v>Experienced</v>
      </c>
      <c r="AB454" s="5" t="str" cm="1">
        <f t="array" ref="AB454">_xlfn.IFS(G454=1,"Junior",G454=2,"Mid-Level",G454=3,"Senior",G454=4,"Lead",G454=5,"Principal")&amp;" "&amp;TRIM(PROPER(H454))</f>
        <v>Mid-Level Sales Executive</v>
      </c>
      <c r="AC454" s="19" t="str">
        <f t="shared" ca="1" si="87"/>
        <v>Sa-Sal-2018-453 is a Mid-Level Sales Executive in the Sales department, aged 45, married and has been with the Company for 8years</v>
      </c>
    </row>
    <row r="455" spans="1:29">
      <c r="A455" s="18" t="str">
        <f t="shared" ca="1" si="77"/>
        <v>Hu-Hum-2019-454</v>
      </c>
      <c r="B455" s="5">
        <v>26</v>
      </c>
      <c r="C455" s="5" t="str">
        <f t="shared" si="78"/>
        <v>20-29</v>
      </c>
      <c r="D455" s="5" t="s">
        <v>35</v>
      </c>
      <c r="E455" s="5" t="s">
        <v>61</v>
      </c>
      <c r="F455" s="5" t="s">
        <v>39</v>
      </c>
      <c r="G455" s="5">
        <v>1</v>
      </c>
      <c r="H455" s="5" t="s">
        <v>61</v>
      </c>
      <c r="I455" s="5" t="s">
        <v>52</v>
      </c>
      <c r="J455" s="7">
        <v>2741</v>
      </c>
      <c r="K455" s="7">
        <f t="shared" si="79"/>
        <v>191.87</v>
      </c>
      <c r="L455" s="7">
        <f t="shared" si="80"/>
        <v>2549.13</v>
      </c>
      <c r="M455" s="7">
        <v>22808</v>
      </c>
      <c r="N455" s="5" t="s">
        <v>35</v>
      </c>
      <c r="O455" s="5">
        <v>11</v>
      </c>
      <c r="P455" s="7">
        <f t="shared" si="81"/>
        <v>3042.51</v>
      </c>
      <c r="Q455" s="7">
        <f t="shared" si="82"/>
        <v>3618.1200000000026</v>
      </c>
      <c r="R455" s="7" t="str">
        <f t="shared" si="83"/>
        <v>Normal</v>
      </c>
      <c r="S455" s="5">
        <v>3</v>
      </c>
      <c r="T455" s="5">
        <v>2</v>
      </c>
      <c r="U455" s="5" t="str" cm="1">
        <f t="array" ref="U455">_xlfn.IFS(T455=1,"Poor",T455=2,"Fair",T455=3,"Good",T455=4,"Excellent")</f>
        <v>Fair</v>
      </c>
      <c r="V455" s="5" t="s">
        <v>35</v>
      </c>
      <c r="W455" s="5">
        <v>7</v>
      </c>
      <c r="X455" s="28">
        <f t="shared" ca="1" si="84"/>
        <v>43554</v>
      </c>
      <c r="Y455" s="28">
        <f t="shared" ca="1" si="85"/>
        <v>46476</v>
      </c>
      <c r="Z455" s="28" t="str">
        <f t="shared" ca="1" si="86"/>
        <v>Due Soon</v>
      </c>
      <c r="AA455" s="5" t="str" cm="1">
        <f t="array" ref="AA455">_xlfn.IFS(W455&gt;10,"Veteran",W455&gt;=6,"Experienced",W455&gt;=2,"Developing",W455&gt;=0,"New")</f>
        <v>Experienced</v>
      </c>
      <c r="AB455" s="5" t="str" cm="1">
        <f t="array" ref="AB455">_xlfn.IFS(G455=1,"Junior",G455=2,"Mid-Level",G455=3,"Senior",G455=4,"Lead",G455=5,"Principal")&amp;" "&amp;TRIM(PROPER(H455))</f>
        <v>Junior Human Resources</v>
      </c>
      <c r="AC455" s="19" t="str">
        <f t="shared" ca="1" si="87"/>
        <v>Hu-Hum-2019-454 is a Junior Human Resources in the Human Resources department, aged 26, divorced and has been with the Company for 7years</v>
      </c>
    </row>
    <row r="456" spans="1:29">
      <c r="A456" s="18" t="str">
        <f t="shared" ca="1" si="77"/>
        <v>Ma-Res-2023-455</v>
      </c>
      <c r="B456" s="5">
        <v>29</v>
      </c>
      <c r="C456" s="5" t="str">
        <f t="shared" si="78"/>
        <v>20-29</v>
      </c>
      <c r="D456" s="5" t="s">
        <v>43</v>
      </c>
      <c r="E456" s="5" t="s">
        <v>45</v>
      </c>
      <c r="F456" s="5" t="s">
        <v>46</v>
      </c>
      <c r="G456" s="5">
        <v>2</v>
      </c>
      <c r="H456" s="5" t="s">
        <v>53</v>
      </c>
      <c r="I456" s="5" t="s">
        <v>52</v>
      </c>
      <c r="J456" s="7">
        <v>4262</v>
      </c>
      <c r="K456" s="7">
        <f t="shared" si="79"/>
        <v>639.29999999999995</v>
      </c>
      <c r="L456" s="7">
        <f t="shared" si="80"/>
        <v>3622.7</v>
      </c>
      <c r="M456" s="7">
        <v>22645</v>
      </c>
      <c r="N456" s="5" t="s">
        <v>43</v>
      </c>
      <c r="O456" s="5">
        <v>12</v>
      </c>
      <c r="P456" s="7">
        <f t="shared" si="81"/>
        <v>4773.4400000000005</v>
      </c>
      <c r="Q456" s="7">
        <f t="shared" si="82"/>
        <v>6137.2800000000061</v>
      </c>
      <c r="R456" s="7" t="str">
        <f t="shared" si="83"/>
        <v>Normal</v>
      </c>
      <c r="S456" s="5">
        <v>3</v>
      </c>
      <c r="T456" s="5">
        <v>4</v>
      </c>
      <c r="U456" s="5" t="str" cm="1">
        <f t="array" ref="U456">_xlfn.IFS(T456=1,"Poor",T456=2,"Fair",T456=3,"Good",T456=4,"Excellent")</f>
        <v>Excellent</v>
      </c>
      <c r="V456" s="5" t="s">
        <v>43</v>
      </c>
      <c r="W456" s="5">
        <v>3</v>
      </c>
      <c r="X456" s="28">
        <f t="shared" ca="1" si="84"/>
        <v>45015</v>
      </c>
      <c r="Y456" s="28">
        <f t="shared" ca="1" si="85"/>
        <v>46476</v>
      </c>
      <c r="Z456" s="28" t="str">
        <f t="shared" ca="1" si="86"/>
        <v>Due Soon</v>
      </c>
      <c r="AA456" s="5" t="str" cm="1">
        <f t="array" ref="AA456">_xlfn.IFS(W456&gt;10,"Veteran",W456&gt;=6,"Experienced",W456&gt;=2,"Developing",W456&gt;=0,"New")</f>
        <v>Developing</v>
      </c>
      <c r="AB456" s="5" t="str" cm="1">
        <f t="array" ref="AB456">_xlfn.IFS(G456=1,"Junior",G456=2,"Mid-Level",G456=3,"Senior",G456=4,"Lead",G456=5,"Principal")&amp;" "&amp;TRIM(PROPER(H456))</f>
        <v>Mid-Level Manufacturing Director</v>
      </c>
      <c r="AC456" s="19" t="str">
        <f t="shared" ca="1" si="87"/>
        <v>Ma-Res-2023-455 is a Mid-Level Manufacturing Director in the Research &amp; Development department, aged 29, divorced and has been with the Company for 3years</v>
      </c>
    </row>
    <row r="457" spans="1:29">
      <c r="A457" s="18" t="str">
        <f t="shared" ca="1" si="77"/>
        <v>Re-Res-2020-456</v>
      </c>
      <c r="B457" s="5">
        <v>33</v>
      </c>
      <c r="C457" s="5" t="str">
        <f t="shared" si="78"/>
        <v>30-39</v>
      </c>
      <c r="D457" s="5" t="s">
        <v>43</v>
      </c>
      <c r="E457" s="5" t="s">
        <v>45</v>
      </c>
      <c r="F457" s="5" t="s">
        <v>39</v>
      </c>
      <c r="G457" s="5">
        <v>4</v>
      </c>
      <c r="H457" s="5" t="s">
        <v>58</v>
      </c>
      <c r="I457" s="5" t="s">
        <v>52</v>
      </c>
      <c r="J457" s="7">
        <v>16184</v>
      </c>
      <c r="K457" s="7">
        <f t="shared" si="79"/>
        <v>4855.2</v>
      </c>
      <c r="L457" s="7">
        <f t="shared" si="80"/>
        <v>11328.8</v>
      </c>
      <c r="M457" s="7">
        <v>22578</v>
      </c>
      <c r="N457" s="5" t="s">
        <v>43</v>
      </c>
      <c r="O457" s="5">
        <v>19</v>
      </c>
      <c r="P457" s="7">
        <f t="shared" si="81"/>
        <v>19258.96</v>
      </c>
      <c r="Q457" s="7">
        <f t="shared" si="82"/>
        <v>36899.51999999999</v>
      </c>
      <c r="R457" s="7" t="str">
        <f t="shared" si="83"/>
        <v>Normal</v>
      </c>
      <c r="S457" s="5">
        <v>3</v>
      </c>
      <c r="T457" s="5">
        <v>3</v>
      </c>
      <c r="U457" s="5" t="str" cm="1">
        <f t="array" ref="U457">_xlfn.IFS(T457=1,"Poor",T457=2,"Fair",T457=3,"Good",T457=4,"Excellent")</f>
        <v>Good</v>
      </c>
      <c r="V457" s="5" t="s">
        <v>43</v>
      </c>
      <c r="W457" s="5">
        <v>6</v>
      </c>
      <c r="X457" s="28">
        <f t="shared" ca="1" si="84"/>
        <v>43920</v>
      </c>
      <c r="Y457" s="28">
        <f t="shared" ca="1" si="85"/>
        <v>46842</v>
      </c>
      <c r="Z457" s="28" t="str">
        <f t="shared" ca="1" si="86"/>
        <v>Upcoming</v>
      </c>
      <c r="AA457" s="5" t="str" cm="1">
        <f t="array" ref="AA457">_xlfn.IFS(W457&gt;10,"Veteran",W457&gt;=6,"Experienced",W457&gt;=2,"Developing",W457&gt;=0,"New")</f>
        <v>Experienced</v>
      </c>
      <c r="AB457" s="5" t="str" cm="1">
        <f t="array" ref="AB457">_xlfn.IFS(G457=1,"Junior",G457=2,"Mid-Level",G457=3,"Senior",G457=4,"Lead",G457=5,"Principal")&amp;" "&amp;TRIM(PROPER(H457))</f>
        <v>Lead Research Director</v>
      </c>
      <c r="AC457" s="19" t="str">
        <f t="shared" ca="1" si="87"/>
        <v>Re-Res-2020-456 is a Lead Research Director in the Research &amp; Development department, aged 33, divorced and has been with the Company for 6years</v>
      </c>
    </row>
    <row r="458" spans="1:29">
      <c r="A458" s="18" t="str">
        <f t="shared" ca="1" si="77"/>
        <v>Ma-Sal-2021-457</v>
      </c>
      <c r="B458" s="5">
        <v>31</v>
      </c>
      <c r="C458" s="5" t="str">
        <f t="shared" si="78"/>
        <v>30-39</v>
      </c>
      <c r="D458" s="5" t="s">
        <v>43</v>
      </c>
      <c r="E458" s="5" t="s">
        <v>37</v>
      </c>
      <c r="F458" s="5" t="s">
        <v>46</v>
      </c>
      <c r="G458" s="5">
        <v>3</v>
      </c>
      <c r="H458" s="5" t="s">
        <v>56</v>
      </c>
      <c r="I458" s="5" t="s">
        <v>52</v>
      </c>
      <c r="J458" s="7">
        <v>11557</v>
      </c>
      <c r="K458" s="7">
        <f t="shared" si="79"/>
        <v>2542.54</v>
      </c>
      <c r="L458" s="7">
        <f t="shared" si="80"/>
        <v>9014.4599999999991</v>
      </c>
      <c r="M458" s="7">
        <v>25291</v>
      </c>
      <c r="N458" s="5" t="s">
        <v>43</v>
      </c>
      <c r="O458" s="5">
        <v>21</v>
      </c>
      <c r="P458" s="7">
        <f t="shared" si="81"/>
        <v>13983.97</v>
      </c>
      <c r="Q458" s="7">
        <f t="shared" si="82"/>
        <v>29123.639999999992</v>
      </c>
      <c r="R458" s="7" t="str">
        <f t="shared" si="83"/>
        <v>Normal</v>
      </c>
      <c r="S458" s="5">
        <v>4</v>
      </c>
      <c r="T458" s="5">
        <v>2</v>
      </c>
      <c r="U458" s="5" t="str" cm="1">
        <f t="array" ref="U458">_xlfn.IFS(T458=1,"Poor",T458=2,"Fair",T458=3,"Good",T458=4,"Excellent")</f>
        <v>Fair</v>
      </c>
      <c r="V458" s="5" t="s">
        <v>43</v>
      </c>
      <c r="W458" s="5">
        <v>5</v>
      </c>
      <c r="X458" s="28">
        <f t="shared" ca="1" si="84"/>
        <v>44285</v>
      </c>
      <c r="Y458" s="28">
        <f t="shared" ca="1" si="85"/>
        <v>46476</v>
      </c>
      <c r="Z458" s="28" t="str">
        <f t="shared" ca="1" si="86"/>
        <v>Due Soon</v>
      </c>
      <c r="AA458" s="5" t="str" cm="1">
        <f t="array" ref="AA458">_xlfn.IFS(W458&gt;10,"Veteran",W458&gt;=6,"Experienced",W458&gt;=2,"Developing",W458&gt;=0,"New")</f>
        <v>Developing</v>
      </c>
      <c r="AB458" s="5" t="str" cm="1">
        <f t="array" ref="AB458">_xlfn.IFS(G458=1,"Junior",G458=2,"Mid-Level",G458=3,"Senior",G458=4,"Lead",G458=5,"Principal")&amp;" "&amp;TRIM(PROPER(H458))</f>
        <v>Senior Manager</v>
      </c>
      <c r="AC458" s="19" t="str">
        <f t="shared" ca="1" si="87"/>
        <v>Ma-Sal-2021-457 is a Senior Manager in the Sales department, aged 31, divorced and has been with the Company for 5years</v>
      </c>
    </row>
    <row r="459" spans="1:29">
      <c r="A459" s="18" t="str">
        <f t="shared" ca="1" si="77"/>
        <v>Sa-Sal-2026-458</v>
      </c>
      <c r="B459" s="5">
        <v>18</v>
      </c>
      <c r="C459" s="5" t="str">
        <f t="shared" si="78"/>
        <v>20-29</v>
      </c>
      <c r="D459" s="5" t="s">
        <v>35</v>
      </c>
      <c r="E459" s="5" t="s">
        <v>37</v>
      </c>
      <c r="F459" s="5" t="s">
        <v>46</v>
      </c>
      <c r="G459" s="5">
        <v>1</v>
      </c>
      <c r="H459" s="5" t="s">
        <v>57</v>
      </c>
      <c r="I459" s="5" t="s">
        <v>41</v>
      </c>
      <c r="J459" s="7">
        <v>1878</v>
      </c>
      <c r="K459" s="7">
        <f t="shared" si="79"/>
        <v>131.46</v>
      </c>
      <c r="L459" s="7">
        <f t="shared" si="80"/>
        <v>1746.54</v>
      </c>
      <c r="M459" s="7">
        <v>8059</v>
      </c>
      <c r="N459" s="5" t="s">
        <v>35</v>
      </c>
      <c r="O459" s="5">
        <v>14</v>
      </c>
      <c r="P459" s="7">
        <f t="shared" si="81"/>
        <v>2140.92</v>
      </c>
      <c r="Q459" s="7">
        <f t="shared" si="82"/>
        <v>3155.0400000000009</v>
      </c>
      <c r="R459" s="7" t="str">
        <f t="shared" si="83"/>
        <v>Normal</v>
      </c>
      <c r="S459" s="5">
        <v>3</v>
      </c>
      <c r="T459" s="5">
        <v>3</v>
      </c>
      <c r="U459" s="5" t="str" cm="1">
        <f t="array" ref="U459">_xlfn.IFS(T459=1,"Poor",T459=2,"Fair",T459=3,"Good",T459=4,"Excellent")</f>
        <v>Good</v>
      </c>
      <c r="V459" s="5" t="s">
        <v>35</v>
      </c>
      <c r="W459" s="5">
        <v>0</v>
      </c>
      <c r="X459" s="28">
        <f t="shared" ca="1" si="84"/>
        <v>46111</v>
      </c>
      <c r="Y459" s="28">
        <f t="shared" ca="1" si="85"/>
        <v>46842</v>
      </c>
      <c r="Z459" s="28" t="str">
        <f t="shared" ca="1" si="86"/>
        <v>Upcoming</v>
      </c>
      <c r="AA459" s="5" t="str" cm="1">
        <f t="array" ref="AA459">_xlfn.IFS(W459&gt;10,"Veteran",W459&gt;=6,"Experienced",W459&gt;=2,"Developing",W459&gt;=0,"New")</f>
        <v>New</v>
      </c>
      <c r="AB459" s="5" t="str" cm="1">
        <f t="array" ref="AB459">_xlfn.IFS(G459=1,"Junior",G459=2,"Mid-Level",G459=3,"Senior",G459=4,"Lead",G459=5,"Principal")&amp;" "&amp;TRIM(PROPER(H459))</f>
        <v>Junior Sales Representative</v>
      </c>
      <c r="AC459" s="19" t="str">
        <f t="shared" ca="1" si="87"/>
        <v>Sa-Sal-2026-458 is a Junior Sales Representative in the Sales department, aged 18, single and has been with the Company for 0years</v>
      </c>
    </row>
    <row r="460" spans="1:29">
      <c r="A460" s="18" t="str">
        <f t="shared" ca="1" si="77"/>
        <v>Sa-Sal-2025-459</v>
      </c>
      <c r="B460" s="5">
        <v>40</v>
      </c>
      <c r="C460" s="5" t="str">
        <f t="shared" si="78"/>
        <v>40-49</v>
      </c>
      <c r="D460" s="5" t="s">
        <v>43</v>
      </c>
      <c r="E460" s="5" t="s">
        <v>37</v>
      </c>
      <c r="F460" s="5" t="s">
        <v>46</v>
      </c>
      <c r="G460" s="5">
        <v>3</v>
      </c>
      <c r="H460" s="5" t="s">
        <v>40</v>
      </c>
      <c r="I460" s="5" t="s">
        <v>52</v>
      </c>
      <c r="J460" s="7">
        <v>10932</v>
      </c>
      <c r="K460" s="7">
        <f t="shared" si="79"/>
        <v>2405.04</v>
      </c>
      <c r="L460" s="7">
        <f t="shared" si="80"/>
        <v>8526.9599999999991</v>
      </c>
      <c r="M460" s="7">
        <v>11373</v>
      </c>
      <c r="N460" s="5" t="s">
        <v>43</v>
      </c>
      <c r="O460" s="5">
        <v>15</v>
      </c>
      <c r="P460" s="7">
        <f t="shared" si="81"/>
        <v>12571.8</v>
      </c>
      <c r="Q460" s="7">
        <f t="shared" si="82"/>
        <v>19677.599999999991</v>
      </c>
      <c r="R460" s="7" t="str">
        <f t="shared" si="83"/>
        <v>Normal</v>
      </c>
      <c r="S460" s="5">
        <v>3</v>
      </c>
      <c r="T460" s="5">
        <v>3</v>
      </c>
      <c r="U460" s="5" t="str" cm="1">
        <f t="array" ref="U460">_xlfn.IFS(T460=1,"Poor",T460=2,"Fair",T460=3,"Good",T460=4,"Excellent")</f>
        <v>Good</v>
      </c>
      <c r="V460" s="5" t="s">
        <v>43</v>
      </c>
      <c r="W460" s="5">
        <v>1</v>
      </c>
      <c r="X460" s="28">
        <f t="shared" ca="1" si="84"/>
        <v>45746</v>
      </c>
      <c r="Y460" s="28">
        <f t="shared" ca="1" si="85"/>
        <v>46476</v>
      </c>
      <c r="Z460" s="28" t="str">
        <f t="shared" ca="1" si="86"/>
        <v>Due Soon</v>
      </c>
      <c r="AA460" s="5" t="str" cm="1">
        <f t="array" ref="AA460">_xlfn.IFS(W460&gt;10,"Veteran",W460&gt;=6,"Experienced",W460&gt;=2,"Developing",W460&gt;=0,"New")</f>
        <v>New</v>
      </c>
      <c r="AB460" s="5" t="str" cm="1">
        <f t="array" ref="AB460">_xlfn.IFS(G460=1,"Junior",G460=2,"Mid-Level",G460=3,"Senior",G460=4,"Lead",G460=5,"Principal")&amp;" "&amp;TRIM(PROPER(H460))</f>
        <v>Senior Sales Executive</v>
      </c>
      <c r="AC460" s="19" t="str">
        <f t="shared" ca="1" si="87"/>
        <v>Sa-Sal-2025-459 is a Senior Sales Executive in the Sales department, aged 40, divorced and has been with the Company for 1years</v>
      </c>
    </row>
    <row r="461" spans="1:29">
      <c r="A461" s="18" t="str">
        <f t="shared" ca="1" si="77"/>
        <v>He-Res-2018-460</v>
      </c>
      <c r="B461" s="5">
        <v>41</v>
      </c>
      <c r="C461" s="5" t="str">
        <f t="shared" si="78"/>
        <v>40-49</v>
      </c>
      <c r="D461" s="5" t="s">
        <v>43</v>
      </c>
      <c r="E461" s="5" t="s">
        <v>45</v>
      </c>
      <c r="F461" s="5" t="s">
        <v>39</v>
      </c>
      <c r="G461" s="5">
        <v>2</v>
      </c>
      <c r="H461" s="5" t="s">
        <v>54</v>
      </c>
      <c r="I461" s="5" t="s">
        <v>41</v>
      </c>
      <c r="J461" s="7">
        <v>6811</v>
      </c>
      <c r="K461" s="7">
        <f t="shared" si="79"/>
        <v>1021.65</v>
      </c>
      <c r="L461" s="7">
        <f t="shared" si="80"/>
        <v>5789.35</v>
      </c>
      <c r="M461" s="7">
        <v>2112</v>
      </c>
      <c r="N461" s="5" t="s">
        <v>35</v>
      </c>
      <c r="O461" s="5">
        <v>17</v>
      </c>
      <c r="P461" s="7">
        <f t="shared" si="81"/>
        <v>7968.87</v>
      </c>
      <c r="Q461" s="7">
        <f t="shared" si="82"/>
        <v>13894.439999999999</v>
      </c>
      <c r="R461" s="7" t="str">
        <f t="shared" si="83"/>
        <v>Normal</v>
      </c>
      <c r="S461" s="5">
        <v>3</v>
      </c>
      <c r="T461" s="5">
        <v>3</v>
      </c>
      <c r="U461" s="5" t="str" cm="1">
        <f t="array" ref="U461">_xlfn.IFS(T461=1,"Poor",T461=2,"Fair",T461=3,"Good",T461=4,"Excellent")</f>
        <v>Good</v>
      </c>
      <c r="V461" s="5" t="s">
        <v>35</v>
      </c>
      <c r="W461" s="5">
        <v>8</v>
      </c>
      <c r="X461" s="28">
        <f t="shared" ca="1" si="84"/>
        <v>43189</v>
      </c>
      <c r="Y461" s="28">
        <f t="shared" ca="1" si="85"/>
        <v>46842</v>
      </c>
      <c r="Z461" s="28" t="str">
        <f t="shared" ca="1" si="86"/>
        <v>Upcoming</v>
      </c>
      <c r="AA461" s="5" t="str" cm="1">
        <f t="array" ref="AA461">_xlfn.IFS(W461&gt;10,"Veteran",W461&gt;=6,"Experienced",W461&gt;=2,"Developing",W461&gt;=0,"New")</f>
        <v>Experienced</v>
      </c>
      <c r="AB461" s="5" t="str" cm="1">
        <f t="array" ref="AB461">_xlfn.IFS(G461=1,"Junior",G461=2,"Mid-Level",G461=3,"Senior",G461=4,"Lead",G461=5,"Principal")&amp;" "&amp;TRIM(PROPER(H461))</f>
        <v>Mid-Level Healthcare Representative</v>
      </c>
      <c r="AC461" s="19" t="str">
        <f t="shared" ca="1" si="87"/>
        <v>He-Res-2018-460 is a Mid-Level Healthcare Representative in the Research &amp; Development department, aged 41, single and has been with the Company for 8years</v>
      </c>
    </row>
    <row r="462" spans="1:29">
      <c r="A462" s="18" t="str">
        <f t="shared" ca="1" si="77"/>
        <v>Sa-Sal-2026-461</v>
      </c>
      <c r="B462" s="5">
        <v>26</v>
      </c>
      <c r="C462" s="5" t="str">
        <f t="shared" si="78"/>
        <v>20-29</v>
      </c>
      <c r="D462" s="5" t="s">
        <v>43</v>
      </c>
      <c r="E462" s="5" t="s">
        <v>37</v>
      </c>
      <c r="F462" s="5" t="s">
        <v>46</v>
      </c>
      <c r="G462" s="5">
        <v>2</v>
      </c>
      <c r="H462" s="5" t="s">
        <v>40</v>
      </c>
      <c r="I462" s="5" t="s">
        <v>52</v>
      </c>
      <c r="J462" s="7">
        <v>4306</v>
      </c>
      <c r="K462" s="7">
        <f t="shared" si="79"/>
        <v>645.9</v>
      </c>
      <c r="L462" s="7">
        <f t="shared" si="80"/>
        <v>3660.1</v>
      </c>
      <c r="M462" s="7">
        <v>4267</v>
      </c>
      <c r="N462" s="5" t="s">
        <v>43</v>
      </c>
      <c r="O462" s="5">
        <v>12</v>
      </c>
      <c r="P462" s="7">
        <f t="shared" si="81"/>
        <v>4822.72</v>
      </c>
      <c r="Q462" s="7">
        <f t="shared" si="82"/>
        <v>6200.6400000000031</v>
      </c>
      <c r="R462" s="7" t="str">
        <f t="shared" si="83"/>
        <v>Normal</v>
      </c>
      <c r="S462" s="5">
        <v>3</v>
      </c>
      <c r="T462" s="5">
        <v>3</v>
      </c>
      <c r="U462" s="5" t="str" cm="1">
        <f t="array" ref="U462">_xlfn.IFS(T462=1,"Poor",T462=2,"Fair",T462=3,"Good",T462=4,"Excellent")</f>
        <v>Good</v>
      </c>
      <c r="V462" s="5" t="s">
        <v>43</v>
      </c>
      <c r="W462" s="5">
        <v>0</v>
      </c>
      <c r="X462" s="28">
        <f t="shared" ca="1" si="84"/>
        <v>46111</v>
      </c>
      <c r="Y462" s="28">
        <f t="shared" ca="1" si="85"/>
        <v>46842</v>
      </c>
      <c r="Z462" s="28" t="str">
        <f t="shared" ca="1" si="86"/>
        <v>Upcoming</v>
      </c>
      <c r="AA462" s="5" t="str" cm="1">
        <f t="array" ref="AA462">_xlfn.IFS(W462&gt;10,"Veteran",W462&gt;=6,"Experienced",W462&gt;=2,"Developing",W462&gt;=0,"New")</f>
        <v>New</v>
      </c>
      <c r="AB462" s="5" t="str" cm="1">
        <f t="array" ref="AB462">_xlfn.IFS(G462=1,"Junior",G462=2,"Mid-Level",G462=3,"Senior",G462=4,"Lead",G462=5,"Principal")&amp;" "&amp;TRIM(PROPER(H462))</f>
        <v>Mid-Level Sales Executive</v>
      </c>
      <c r="AC462" s="19" t="str">
        <f t="shared" ca="1" si="87"/>
        <v>Sa-Sal-2026-461 is a Mid-Level Sales Executive in the Sales department, aged 26, divorced and has been with the Company for 0years</v>
      </c>
    </row>
    <row r="463" spans="1:29">
      <c r="A463" s="18" t="str">
        <f t="shared" ca="1" si="77"/>
        <v>Sa-Sal-2021-462</v>
      </c>
      <c r="B463" s="5">
        <v>35</v>
      </c>
      <c r="C463" s="5" t="str">
        <f t="shared" si="78"/>
        <v>30-39</v>
      </c>
      <c r="D463" s="5" t="s">
        <v>43</v>
      </c>
      <c r="E463" s="5" t="s">
        <v>37</v>
      </c>
      <c r="F463" s="5" t="s">
        <v>39</v>
      </c>
      <c r="G463" s="5">
        <v>2</v>
      </c>
      <c r="H463" s="5" t="s">
        <v>40</v>
      </c>
      <c r="I463" s="5" t="s">
        <v>41</v>
      </c>
      <c r="J463" s="7">
        <v>4859</v>
      </c>
      <c r="K463" s="7">
        <f t="shared" si="79"/>
        <v>728.85</v>
      </c>
      <c r="L463" s="7">
        <f t="shared" si="80"/>
        <v>4130.1499999999996</v>
      </c>
      <c r="M463" s="7">
        <v>6698</v>
      </c>
      <c r="N463" s="5" t="s">
        <v>43</v>
      </c>
      <c r="O463" s="5">
        <v>16</v>
      </c>
      <c r="P463" s="7">
        <f t="shared" si="81"/>
        <v>5636.44</v>
      </c>
      <c r="Q463" s="7">
        <f t="shared" si="82"/>
        <v>9329.2799999999952</v>
      </c>
      <c r="R463" s="7" t="str">
        <f t="shared" si="83"/>
        <v>Normal</v>
      </c>
      <c r="S463" s="5">
        <v>3</v>
      </c>
      <c r="T463" s="5">
        <v>3</v>
      </c>
      <c r="U463" s="5" t="str" cm="1">
        <f t="array" ref="U463">_xlfn.IFS(T463=1,"Poor",T463=2,"Fair",T463=3,"Good",T463=4,"Excellent")</f>
        <v>Good</v>
      </c>
      <c r="V463" s="5" t="s">
        <v>43</v>
      </c>
      <c r="W463" s="5">
        <v>5</v>
      </c>
      <c r="X463" s="28">
        <f t="shared" ca="1" si="84"/>
        <v>44285</v>
      </c>
      <c r="Y463" s="28">
        <f t="shared" ca="1" si="85"/>
        <v>46476</v>
      </c>
      <c r="Z463" s="28" t="str">
        <f t="shared" ca="1" si="86"/>
        <v>Due Soon</v>
      </c>
      <c r="AA463" s="5" t="str" cm="1">
        <f t="array" ref="AA463">_xlfn.IFS(W463&gt;10,"Veteran",W463&gt;=6,"Experienced",W463&gt;=2,"Developing",W463&gt;=0,"New")</f>
        <v>Developing</v>
      </c>
      <c r="AB463" s="5" t="str" cm="1">
        <f t="array" ref="AB463">_xlfn.IFS(G463=1,"Junior",G463=2,"Mid-Level",G463=3,"Senior",G463=4,"Lead",G463=5,"Principal")&amp;" "&amp;TRIM(PROPER(H463))</f>
        <v>Mid-Level Sales Executive</v>
      </c>
      <c r="AC463" s="19" t="str">
        <f t="shared" ca="1" si="87"/>
        <v>Sa-Sal-2021-462 is a Mid-Level Sales Executive in the Sales department, aged 35, single and has been with the Company for 5years</v>
      </c>
    </row>
    <row r="464" spans="1:29">
      <c r="A464" s="18" t="str">
        <f t="shared" ca="1" si="77"/>
        <v>Sa-Sal-2016-463</v>
      </c>
      <c r="B464" s="5">
        <v>34</v>
      </c>
      <c r="C464" s="5" t="str">
        <f t="shared" si="78"/>
        <v>30-39</v>
      </c>
      <c r="D464" s="5" t="s">
        <v>43</v>
      </c>
      <c r="E464" s="5" t="s">
        <v>37</v>
      </c>
      <c r="F464" s="5" t="s">
        <v>46</v>
      </c>
      <c r="G464" s="5">
        <v>2</v>
      </c>
      <c r="H464" s="5" t="s">
        <v>40</v>
      </c>
      <c r="I464" s="5" t="s">
        <v>41</v>
      </c>
      <c r="J464" s="7">
        <v>5337</v>
      </c>
      <c r="K464" s="7">
        <f t="shared" si="79"/>
        <v>800.55</v>
      </c>
      <c r="L464" s="7">
        <f t="shared" si="80"/>
        <v>4536.45</v>
      </c>
      <c r="M464" s="7">
        <v>19921</v>
      </c>
      <c r="N464" s="5" t="s">
        <v>43</v>
      </c>
      <c r="O464" s="5">
        <v>12</v>
      </c>
      <c r="P464" s="7">
        <f t="shared" si="81"/>
        <v>5977.4400000000005</v>
      </c>
      <c r="Q464" s="7">
        <f t="shared" si="82"/>
        <v>7685.2800000000061</v>
      </c>
      <c r="R464" s="7" t="str">
        <f t="shared" si="83"/>
        <v>Normal</v>
      </c>
      <c r="S464" s="5">
        <v>3</v>
      </c>
      <c r="T464" s="5">
        <v>3</v>
      </c>
      <c r="U464" s="5" t="str" cm="1">
        <f t="array" ref="U464">_xlfn.IFS(T464=1,"Poor",T464=2,"Fair",T464=3,"Good",T464=4,"Excellent")</f>
        <v>Good</v>
      </c>
      <c r="V464" s="5" t="s">
        <v>43</v>
      </c>
      <c r="W464" s="5">
        <v>10</v>
      </c>
      <c r="X464" s="28">
        <f t="shared" ca="1" si="84"/>
        <v>42459</v>
      </c>
      <c r="Y464" s="28">
        <f t="shared" ca="1" si="85"/>
        <v>46842</v>
      </c>
      <c r="Z464" s="28" t="str">
        <f t="shared" ca="1" si="86"/>
        <v>Upcoming</v>
      </c>
      <c r="AA464" s="5" t="str" cm="1">
        <f t="array" ref="AA464">_xlfn.IFS(W464&gt;10,"Veteran",W464&gt;=6,"Experienced",W464&gt;=2,"Developing",W464&gt;=0,"New")</f>
        <v>Experienced</v>
      </c>
      <c r="AB464" s="5" t="str" cm="1">
        <f t="array" ref="AB464">_xlfn.IFS(G464=1,"Junior",G464=2,"Mid-Level",G464=3,"Senior",G464=4,"Lead",G464=5,"Principal")&amp;" "&amp;TRIM(PROPER(H464))</f>
        <v>Mid-Level Sales Executive</v>
      </c>
      <c r="AC464" s="19" t="str">
        <f t="shared" ca="1" si="87"/>
        <v>Sa-Sal-2016-463 is a Mid-Level Sales Executive in the Sales department, aged 34, single and has been with the Company for 10years</v>
      </c>
    </row>
    <row r="465" spans="1:29">
      <c r="A465" s="18" t="str">
        <f t="shared" ca="1" si="77"/>
        <v>La-Res-2025-464</v>
      </c>
      <c r="B465" s="5">
        <v>26</v>
      </c>
      <c r="C465" s="5" t="str">
        <f t="shared" si="78"/>
        <v>20-29</v>
      </c>
      <c r="D465" s="5" t="s">
        <v>35</v>
      </c>
      <c r="E465" s="5" t="s">
        <v>45</v>
      </c>
      <c r="F465" s="5" t="s">
        <v>46</v>
      </c>
      <c r="G465" s="5">
        <v>1</v>
      </c>
      <c r="H465" s="5" t="s">
        <v>50</v>
      </c>
      <c r="I465" s="5" t="s">
        <v>41</v>
      </c>
      <c r="J465" s="7">
        <v>2340</v>
      </c>
      <c r="K465" s="7">
        <f t="shared" si="79"/>
        <v>163.80000000000001</v>
      </c>
      <c r="L465" s="7">
        <f t="shared" si="80"/>
        <v>2176.1999999999998</v>
      </c>
      <c r="M465" s="7">
        <v>23213</v>
      </c>
      <c r="N465" s="5" t="s">
        <v>35</v>
      </c>
      <c r="O465" s="5">
        <v>18</v>
      </c>
      <c r="P465" s="7">
        <f t="shared" si="81"/>
        <v>2761.2</v>
      </c>
      <c r="Q465" s="7">
        <f t="shared" si="82"/>
        <v>5054.3999999999978</v>
      </c>
      <c r="R465" s="7" t="str">
        <f t="shared" si="83"/>
        <v>Normal</v>
      </c>
      <c r="S465" s="5">
        <v>3</v>
      </c>
      <c r="T465" s="5">
        <v>1</v>
      </c>
      <c r="U465" s="5" t="str" cm="1">
        <f t="array" ref="U465">_xlfn.IFS(T465=1,"Poor",T465=2,"Fair",T465=3,"Good",T465=4,"Excellent")</f>
        <v>Poor</v>
      </c>
      <c r="V465" s="5" t="s">
        <v>35</v>
      </c>
      <c r="W465" s="5">
        <v>1</v>
      </c>
      <c r="X465" s="28">
        <f t="shared" ca="1" si="84"/>
        <v>45746</v>
      </c>
      <c r="Y465" s="28">
        <f t="shared" ca="1" si="85"/>
        <v>46476</v>
      </c>
      <c r="Z465" s="28" t="str">
        <f t="shared" ca="1" si="86"/>
        <v>Due Soon</v>
      </c>
      <c r="AA465" s="5" t="str" cm="1">
        <f t="array" ref="AA465">_xlfn.IFS(W465&gt;10,"Veteran",W465&gt;=6,"Experienced",W465&gt;=2,"Developing",W465&gt;=0,"New")</f>
        <v>New</v>
      </c>
      <c r="AB465" s="5" t="str" cm="1">
        <f t="array" ref="AB465">_xlfn.IFS(G465=1,"Junior",G465=2,"Mid-Level",G465=3,"Senior",G465=4,"Lead",G465=5,"Principal")&amp;" "&amp;TRIM(PROPER(H465))</f>
        <v>Junior Laboratory Technician</v>
      </c>
      <c r="AC465" s="19" t="str">
        <f t="shared" ca="1" si="87"/>
        <v>La-Res-2025-464 is a Junior Laboratory Technician in the Research &amp; Development department, aged 26, single and has been with the Company for 1years</v>
      </c>
    </row>
    <row r="466" spans="1:29">
      <c r="A466" s="18" t="str">
        <f t="shared" ca="1" si="77"/>
        <v>Ma-Res-2020-465</v>
      </c>
      <c r="B466" s="5">
        <v>37</v>
      </c>
      <c r="C466" s="5" t="str">
        <f t="shared" si="78"/>
        <v>30-39</v>
      </c>
      <c r="D466" s="5" t="s">
        <v>43</v>
      </c>
      <c r="E466" s="5" t="s">
        <v>45</v>
      </c>
      <c r="F466" s="5" t="s">
        <v>39</v>
      </c>
      <c r="G466" s="5">
        <v>3</v>
      </c>
      <c r="H466" s="5" t="s">
        <v>53</v>
      </c>
      <c r="I466" s="5" t="s">
        <v>41</v>
      </c>
      <c r="J466" s="7">
        <v>7491</v>
      </c>
      <c r="K466" s="7">
        <f t="shared" si="79"/>
        <v>1648.02</v>
      </c>
      <c r="L466" s="7">
        <f t="shared" si="80"/>
        <v>5842.98</v>
      </c>
      <c r="M466" s="7">
        <v>23848</v>
      </c>
      <c r="N466" s="5" t="s">
        <v>43</v>
      </c>
      <c r="O466" s="5">
        <v>17</v>
      </c>
      <c r="P466" s="7">
        <f t="shared" si="81"/>
        <v>8764.4699999999993</v>
      </c>
      <c r="Q466" s="7">
        <f t="shared" si="82"/>
        <v>15281.639999999992</v>
      </c>
      <c r="R466" s="7" t="str">
        <f t="shared" si="83"/>
        <v>Normal</v>
      </c>
      <c r="S466" s="5">
        <v>3</v>
      </c>
      <c r="T466" s="5">
        <v>4</v>
      </c>
      <c r="U466" s="5" t="str" cm="1">
        <f t="array" ref="U466">_xlfn.IFS(T466=1,"Poor",T466=2,"Fair",T466=3,"Good",T466=4,"Excellent")</f>
        <v>Excellent</v>
      </c>
      <c r="V466" s="5" t="s">
        <v>43</v>
      </c>
      <c r="W466" s="5">
        <v>6</v>
      </c>
      <c r="X466" s="28">
        <f t="shared" ca="1" si="84"/>
        <v>43920</v>
      </c>
      <c r="Y466" s="28">
        <f t="shared" ca="1" si="85"/>
        <v>46842</v>
      </c>
      <c r="Z466" s="28" t="str">
        <f t="shared" ca="1" si="86"/>
        <v>Upcoming</v>
      </c>
      <c r="AA466" s="5" t="str" cm="1">
        <f t="array" ref="AA466">_xlfn.IFS(W466&gt;10,"Veteran",W466&gt;=6,"Experienced",W466&gt;=2,"Developing",W466&gt;=0,"New")</f>
        <v>Experienced</v>
      </c>
      <c r="AB466" s="5" t="str" cm="1">
        <f t="array" ref="AB466">_xlfn.IFS(G466=1,"Junior",G466=2,"Mid-Level",G466=3,"Senior",G466=4,"Lead",G466=5,"Principal")&amp;" "&amp;TRIM(PROPER(H466))</f>
        <v>Senior Manufacturing Director</v>
      </c>
      <c r="AC466" s="19" t="str">
        <f t="shared" ca="1" si="87"/>
        <v>Ma-Res-2020-465 is a Senior Manufacturing Director in the Research &amp; Development department, aged 37, single and has been with the Company for 6years</v>
      </c>
    </row>
    <row r="467" spans="1:29">
      <c r="A467" s="18" t="str">
        <f t="shared" ca="1" si="77"/>
        <v>He-Res-2024-466</v>
      </c>
      <c r="B467" s="5">
        <v>46</v>
      </c>
      <c r="C467" s="5" t="str">
        <f t="shared" si="78"/>
        <v>40-49</v>
      </c>
      <c r="D467" s="5" t="s">
        <v>43</v>
      </c>
      <c r="E467" s="5" t="s">
        <v>45</v>
      </c>
      <c r="F467" s="5" t="s">
        <v>39</v>
      </c>
      <c r="G467" s="5">
        <v>3</v>
      </c>
      <c r="H467" s="5" t="s">
        <v>54</v>
      </c>
      <c r="I467" s="5" t="s">
        <v>48</v>
      </c>
      <c r="J467" s="7">
        <v>10527</v>
      </c>
      <c r="K467" s="7">
        <f t="shared" si="79"/>
        <v>2315.94</v>
      </c>
      <c r="L467" s="7">
        <f t="shared" si="80"/>
        <v>8211.06</v>
      </c>
      <c r="M467" s="7">
        <v>8984</v>
      </c>
      <c r="N467" s="5" t="s">
        <v>43</v>
      </c>
      <c r="O467" s="5">
        <v>11</v>
      </c>
      <c r="P467" s="7">
        <f t="shared" si="81"/>
        <v>11684.970000000001</v>
      </c>
      <c r="Q467" s="7">
        <f t="shared" si="82"/>
        <v>13895.640000000014</v>
      </c>
      <c r="R467" s="7" t="str">
        <f t="shared" si="83"/>
        <v>Normal</v>
      </c>
      <c r="S467" s="5">
        <v>3</v>
      </c>
      <c r="T467" s="5">
        <v>2</v>
      </c>
      <c r="U467" s="5" t="str" cm="1">
        <f t="array" ref="U467">_xlfn.IFS(T467=1,"Poor",T467=2,"Fair",T467=3,"Good",T467=4,"Excellent")</f>
        <v>Fair</v>
      </c>
      <c r="V467" s="5" t="s">
        <v>43</v>
      </c>
      <c r="W467" s="5">
        <v>2</v>
      </c>
      <c r="X467" s="28">
        <f t="shared" ca="1" si="84"/>
        <v>45381</v>
      </c>
      <c r="Y467" s="28">
        <f t="shared" ca="1" si="85"/>
        <v>46842</v>
      </c>
      <c r="Z467" s="28" t="str">
        <f t="shared" ca="1" si="86"/>
        <v>Upcoming</v>
      </c>
      <c r="AA467" s="5" t="str" cm="1">
        <f t="array" ref="AA467">_xlfn.IFS(W467&gt;10,"Veteran",W467&gt;=6,"Experienced",W467&gt;=2,"Developing",W467&gt;=0,"New")</f>
        <v>Developing</v>
      </c>
      <c r="AB467" s="5" t="str" cm="1">
        <f t="array" ref="AB467">_xlfn.IFS(G467=1,"Junior",G467=2,"Mid-Level",G467=3,"Senior",G467=4,"Lead",G467=5,"Principal")&amp;" "&amp;TRIM(PROPER(H467))</f>
        <v>Senior Healthcare Representative</v>
      </c>
      <c r="AC467" s="19" t="str">
        <f t="shared" ca="1" si="87"/>
        <v>He-Res-2024-466 is a Senior Healthcare Representative in the Research &amp; Development department, aged 46, married and has been with the Company for 2years</v>
      </c>
    </row>
    <row r="468" spans="1:29">
      <c r="A468" s="18" t="str">
        <f t="shared" ca="1" si="77"/>
        <v>Ma-Sal-2008-467</v>
      </c>
      <c r="B468" s="5">
        <v>41</v>
      </c>
      <c r="C468" s="5" t="str">
        <f t="shared" si="78"/>
        <v>40-49</v>
      </c>
      <c r="D468" s="5" t="s">
        <v>43</v>
      </c>
      <c r="E468" s="5" t="s">
        <v>37</v>
      </c>
      <c r="F468" s="5" t="s">
        <v>39</v>
      </c>
      <c r="G468" s="5">
        <v>4</v>
      </c>
      <c r="H468" s="5" t="s">
        <v>56</v>
      </c>
      <c r="I468" s="5" t="s">
        <v>48</v>
      </c>
      <c r="J468" s="7">
        <v>16595</v>
      </c>
      <c r="K468" s="7">
        <f t="shared" si="79"/>
        <v>4978.5</v>
      </c>
      <c r="L468" s="7">
        <f t="shared" si="80"/>
        <v>11616.5</v>
      </c>
      <c r="M468" s="7">
        <v>5626</v>
      </c>
      <c r="N468" s="5" t="s">
        <v>43</v>
      </c>
      <c r="O468" s="5">
        <v>16</v>
      </c>
      <c r="P468" s="7">
        <f t="shared" si="81"/>
        <v>19250.199999999997</v>
      </c>
      <c r="Q468" s="7">
        <f t="shared" si="82"/>
        <v>31862.399999999965</v>
      </c>
      <c r="R468" s="7" t="str">
        <f t="shared" si="83"/>
        <v>Normal</v>
      </c>
      <c r="S468" s="5">
        <v>3</v>
      </c>
      <c r="T468" s="5">
        <v>3</v>
      </c>
      <c r="U468" s="5" t="str" cm="1">
        <f t="array" ref="U468">_xlfn.IFS(T468=1,"Poor",T468=2,"Fair",T468=3,"Good",T468=4,"Excellent")</f>
        <v>Good</v>
      </c>
      <c r="V468" s="5" t="s">
        <v>43</v>
      </c>
      <c r="W468" s="5">
        <v>18</v>
      </c>
      <c r="X468" s="28">
        <f t="shared" ca="1" si="84"/>
        <v>39537</v>
      </c>
      <c r="Y468" s="28">
        <f t="shared" ca="1" si="85"/>
        <v>46842</v>
      </c>
      <c r="Z468" s="28" t="str">
        <f t="shared" ca="1" si="86"/>
        <v>Upcoming</v>
      </c>
      <c r="AA468" s="5" t="str" cm="1">
        <f t="array" ref="AA468">_xlfn.IFS(W468&gt;10,"Veteran",W468&gt;=6,"Experienced",W468&gt;=2,"Developing",W468&gt;=0,"New")</f>
        <v>Veteran</v>
      </c>
      <c r="AB468" s="5" t="str" cm="1">
        <f t="array" ref="AB468">_xlfn.IFS(G468=1,"Junior",G468=2,"Mid-Level",G468=3,"Senior",G468=4,"Lead",G468=5,"Principal")&amp;" "&amp;TRIM(PROPER(H468))</f>
        <v>Lead Manager</v>
      </c>
      <c r="AC468" s="19" t="str">
        <f t="shared" ca="1" si="87"/>
        <v>Ma-Sal-2008-467 is a Lead Manager in the Sales department, aged 41, married and has been with the Company for 18years</v>
      </c>
    </row>
    <row r="469" spans="1:29">
      <c r="A469" s="18" t="str">
        <f t="shared" ca="1" si="77"/>
        <v>Sa-Sal-2017-468</v>
      </c>
      <c r="B469" s="5">
        <v>37</v>
      </c>
      <c r="C469" s="5" t="str">
        <f t="shared" si="78"/>
        <v>30-39</v>
      </c>
      <c r="D469" s="5" t="s">
        <v>43</v>
      </c>
      <c r="E469" s="5" t="s">
        <v>37</v>
      </c>
      <c r="F469" s="5" t="s">
        <v>46</v>
      </c>
      <c r="G469" s="5">
        <v>3</v>
      </c>
      <c r="H469" s="5" t="s">
        <v>40</v>
      </c>
      <c r="I469" s="5" t="s">
        <v>52</v>
      </c>
      <c r="J469" s="7">
        <v>8834</v>
      </c>
      <c r="K469" s="7">
        <f t="shared" si="79"/>
        <v>1943.48</v>
      </c>
      <c r="L469" s="7">
        <f t="shared" si="80"/>
        <v>6890.52</v>
      </c>
      <c r="M469" s="7">
        <v>24666</v>
      </c>
      <c r="N469" s="5" t="s">
        <v>43</v>
      </c>
      <c r="O469" s="5">
        <v>13</v>
      </c>
      <c r="P469" s="7">
        <f t="shared" si="81"/>
        <v>9982.4199999999983</v>
      </c>
      <c r="Q469" s="7">
        <f t="shared" si="82"/>
        <v>13781.039999999979</v>
      </c>
      <c r="R469" s="7" t="str">
        <f t="shared" si="83"/>
        <v>Normal</v>
      </c>
      <c r="S469" s="5">
        <v>3</v>
      </c>
      <c r="T469" s="5">
        <v>3</v>
      </c>
      <c r="U469" s="5" t="str" cm="1">
        <f t="array" ref="U469">_xlfn.IFS(T469=1,"Poor",T469=2,"Fair",T469=3,"Good",T469=4,"Excellent")</f>
        <v>Good</v>
      </c>
      <c r="V469" s="5" t="s">
        <v>43</v>
      </c>
      <c r="W469" s="5">
        <v>9</v>
      </c>
      <c r="X469" s="28">
        <f t="shared" ca="1" si="84"/>
        <v>42824</v>
      </c>
      <c r="Y469" s="28">
        <f t="shared" ca="1" si="85"/>
        <v>46476</v>
      </c>
      <c r="Z469" s="28" t="str">
        <f t="shared" ca="1" si="86"/>
        <v>Due Soon</v>
      </c>
      <c r="AA469" s="5" t="str" cm="1">
        <f t="array" ref="AA469">_xlfn.IFS(W469&gt;10,"Veteran",W469&gt;=6,"Experienced",W469&gt;=2,"Developing",W469&gt;=0,"New")</f>
        <v>Experienced</v>
      </c>
      <c r="AB469" s="5" t="str" cm="1">
        <f t="array" ref="AB469">_xlfn.IFS(G469=1,"Junior",G469=2,"Mid-Level",G469=3,"Senior",G469=4,"Lead",G469=5,"Principal")&amp;" "&amp;TRIM(PROPER(H469))</f>
        <v>Senior Sales Executive</v>
      </c>
      <c r="AC469" s="19" t="str">
        <f t="shared" ca="1" si="87"/>
        <v>Sa-Sal-2017-468 is a Senior Sales Executive in the Sales department, aged 37, divorced and has been with the Company for 9years</v>
      </c>
    </row>
    <row r="470" spans="1:29">
      <c r="A470" s="18" t="str">
        <f t="shared" ca="1" si="77"/>
        <v>Re-Res-2016-469</v>
      </c>
      <c r="B470" s="5">
        <v>52</v>
      </c>
      <c r="C470" s="5" t="str">
        <f t="shared" si="78"/>
        <v>50+</v>
      </c>
      <c r="D470" s="5" t="s">
        <v>43</v>
      </c>
      <c r="E470" s="5" t="s">
        <v>45</v>
      </c>
      <c r="F470" s="5" t="s">
        <v>46</v>
      </c>
      <c r="G470" s="5">
        <v>2</v>
      </c>
      <c r="H470" s="5" t="s">
        <v>47</v>
      </c>
      <c r="I470" s="5" t="s">
        <v>52</v>
      </c>
      <c r="J470" s="7">
        <v>5577</v>
      </c>
      <c r="K470" s="7">
        <f t="shared" si="79"/>
        <v>836.55</v>
      </c>
      <c r="L470" s="7">
        <f t="shared" si="80"/>
        <v>4740.45</v>
      </c>
      <c r="M470" s="7">
        <v>22087</v>
      </c>
      <c r="N470" s="5" t="s">
        <v>35</v>
      </c>
      <c r="O470" s="5">
        <v>12</v>
      </c>
      <c r="P470" s="7">
        <f t="shared" si="81"/>
        <v>6246.2400000000007</v>
      </c>
      <c r="Q470" s="7">
        <f t="shared" si="82"/>
        <v>8030.8800000000083</v>
      </c>
      <c r="R470" s="7" t="str">
        <f t="shared" si="83"/>
        <v>Normal</v>
      </c>
      <c r="S470" s="5">
        <v>3</v>
      </c>
      <c r="T470" s="5">
        <v>3</v>
      </c>
      <c r="U470" s="5" t="str" cm="1">
        <f t="array" ref="U470">_xlfn.IFS(T470=1,"Poor",T470=2,"Fair",T470=3,"Good",T470=4,"Excellent")</f>
        <v>Good</v>
      </c>
      <c r="V470" s="5" t="s">
        <v>35</v>
      </c>
      <c r="W470" s="5">
        <v>10</v>
      </c>
      <c r="X470" s="28">
        <f t="shared" ca="1" si="84"/>
        <v>42459</v>
      </c>
      <c r="Y470" s="28">
        <f t="shared" ca="1" si="85"/>
        <v>46842</v>
      </c>
      <c r="Z470" s="28" t="str">
        <f t="shared" ca="1" si="86"/>
        <v>Upcoming</v>
      </c>
      <c r="AA470" s="5" t="str" cm="1">
        <f t="array" ref="AA470">_xlfn.IFS(W470&gt;10,"Veteran",W470&gt;=6,"Experienced",W470&gt;=2,"Developing",W470&gt;=0,"New")</f>
        <v>Experienced</v>
      </c>
      <c r="AB470" s="5" t="str" cm="1">
        <f t="array" ref="AB470">_xlfn.IFS(G470=1,"Junior",G470=2,"Mid-Level",G470=3,"Senior",G470=4,"Lead",G470=5,"Principal")&amp;" "&amp;TRIM(PROPER(H470))</f>
        <v>Mid-Level Research Scientist</v>
      </c>
      <c r="AC470" s="19" t="str">
        <f t="shared" ca="1" si="87"/>
        <v>Re-Res-2016-469 is a Mid-Level Research Scientist in the Research &amp; Development department, aged 52, divorced and has been with the Company for 10years</v>
      </c>
    </row>
    <row r="471" spans="1:29">
      <c r="A471" s="18" t="str">
        <f t="shared" ca="1" si="77"/>
        <v>Sa-Sal-2022-470</v>
      </c>
      <c r="B471" s="5">
        <v>32</v>
      </c>
      <c r="C471" s="5" t="str">
        <f t="shared" si="78"/>
        <v>30-39</v>
      </c>
      <c r="D471" s="5" t="s">
        <v>35</v>
      </c>
      <c r="E471" s="5" t="s">
        <v>37</v>
      </c>
      <c r="F471" s="5" t="s">
        <v>46</v>
      </c>
      <c r="G471" s="5">
        <v>2</v>
      </c>
      <c r="H471" s="5" t="s">
        <v>40</v>
      </c>
      <c r="I471" s="5" t="s">
        <v>48</v>
      </c>
      <c r="J471" s="7">
        <v>4707</v>
      </c>
      <c r="K471" s="7">
        <f t="shared" si="79"/>
        <v>706.05</v>
      </c>
      <c r="L471" s="7">
        <f t="shared" si="80"/>
        <v>4000.95</v>
      </c>
      <c r="M471" s="7">
        <v>23914</v>
      </c>
      <c r="N471" s="5" t="s">
        <v>43</v>
      </c>
      <c r="O471" s="5">
        <v>12</v>
      </c>
      <c r="P471" s="7">
        <f t="shared" si="81"/>
        <v>5271.84</v>
      </c>
      <c r="Q471" s="7">
        <f t="shared" si="82"/>
        <v>6778.0800000000017</v>
      </c>
      <c r="R471" s="7" t="str">
        <f t="shared" si="83"/>
        <v>Normal</v>
      </c>
      <c r="S471" s="5">
        <v>3</v>
      </c>
      <c r="T471" s="5">
        <v>3</v>
      </c>
      <c r="U471" s="5" t="str" cm="1">
        <f t="array" ref="U471">_xlfn.IFS(T471=1,"Poor",T471=2,"Fair",T471=3,"Good",T471=4,"Excellent")</f>
        <v>Good</v>
      </c>
      <c r="V471" s="5" t="s">
        <v>43</v>
      </c>
      <c r="W471" s="5">
        <v>4</v>
      </c>
      <c r="X471" s="28">
        <f t="shared" ca="1" si="84"/>
        <v>44650</v>
      </c>
      <c r="Y471" s="28">
        <f t="shared" ca="1" si="85"/>
        <v>46842</v>
      </c>
      <c r="Z471" s="28" t="str">
        <f t="shared" ca="1" si="86"/>
        <v>Upcoming</v>
      </c>
      <c r="AA471" s="5" t="str" cm="1">
        <f t="array" ref="AA471">_xlfn.IFS(W471&gt;10,"Veteran",W471&gt;=6,"Experienced",W471&gt;=2,"Developing",W471&gt;=0,"New")</f>
        <v>Developing</v>
      </c>
      <c r="AB471" s="5" t="str" cm="1">
        <f t="array" ref="AB471">_xlfn.IFS(G471=1,"Junior",G471=2,"Mid-Level",G471=3,"Senior",G471=4,"Lead",G471=5,"Principal")&amp;" "&amp;TRIM(PROPER(H471))</f>
        <v>Mid-Level Sales Executive</v>
      </c>
      <c r="AC471" s="19" t="str">
        <f t="shared" ca="1" si="87"/>
        <v>Sa-Sal-2022-470 is a Mid-Level Sales Executive in the Sales department, aged 32, married and has been with the Company for 4years</v>
      </c>
    </row>
    <row r="472" spans="1:29">
      <c r="A472" s="18" t="str">
        <f t="shared" ca="1" si="77"/>
        <v>Sa-Sal-2024-471</v>
      </c>
      <c r="B472" s="5">
        <v>24</v>
      </c>
      <c r="C472" s="5" t="str">
        <f t="shared" si="78"/>
        <v>20-29</v>
      </c>
      <c r="D472" s="5" t="s">
        <v>43</v>
      </c>
      <c r="E472" s="5" t="s">
        <v>37</v>
      </c>
      <c r="F472" s="5" t="s">
        <v>46</v>
      </c>
      <c r="G472" s="5">
        <v>1</v>
      </c>
      <c r="H472" s="5" t="s">
        <v>57</v>
      </c>
      <c r="I472" s="5" t="s">
        <v>48</v>
      </c>
      <c r="J472" s="7">
        <v>2400</v>
      </c>
      <c r="K472" s="7">
        <f t="shared" si="79"/>
        <v>168.00000000000003</v>
      </c>
      <c r="L472" s="7">
        <f t="shared" si="80"/>
        <v>2232</v>
      </c>
      <c r="M472" s="7">
        <v>5530</v>
      </c>
      <c r="N472" s="5" t="s">
        <v>43</v>
      </c>
      <c r="O472" s="5">
        <v>13</v>
      </c>
      <c r="P472" s="7">
        <f t="shared" si="81"/>
        <v>2711.9999999999995</v>
      </c>
      <c r="Q472" s="7">
        <f t="shared" si="82"/>
        <v>3743.9999999999945</v>
      </c>
      <c r="R472" s="7" t="str">
        <f t="shared" si="83"/>
        <v>Normal</v>
      </c>
      <c r="S472" s="5">
        <v>3</v>
      </c>
      <c r="T472" s="5">
        <v>3</v>
      </c>
      <c r="U472" s="5" t="str" cm="1">
        <f t="array" ref="U472">_xlfn.IFS(T472=1,"Poor",T472=2,"Fair",T472=3,"Good",T472=4,"Excellent")</f>
        <v>Good</v>
      </c>
      <c r="V472" s="5" t="s">
        <v>43</v>
      </c>
      <c r="W472" s="5">
        <v>2</v>
      </c>
      <c r="X472" s="28">
        <f t="shared" ca="1" si="84"/>
        <v>45381</v>
      </c>
      <c r="Y472" s="28">
        <f t="shared" ca="1" si="85"/>
        <v>46842</v>
      </c>
      <c r="Z472" s="28" t="str">
        <f t="shared" ca="1" si="86"/>
        <v>Upcoming</v>
      </c>
      <c r="AA472" s="5" t="str" cm="1">
        <f t="array" ref="AA472">_xlfn.IFS(W472&gt;10,"Veteran",W472&gt;=6,"Experienced",W472&gt;=2,"Developing",W472&gt;=0,"New")</f>
        <v>Developing</v>
      </c>
      <c r="AB472" s="5" t="str" cm="1">
        <f t="array" ref="AB472">_xlfn.IFS(G472=1,"Junior",G472=2,"Mid-Level",G472=3,"Senior",G472=4,"Lead",G472=5,"Principal")&amp;" "&amp;TRIM(PROPER(H472))</f>
        <v>Junior Sales Representative</v>
      </c>
      <c r="AC472" s="19" t="str">
        <f t="shared" ca="1" si="87"/>
        <v>Sa-Sal-2024-471 is a Junior Sales Representative in the Sales department, aged 24, married and has been with the Company for 2years</v>
      </c>
    </row>
    <row r="473" spans="1:29">
      <c r="A473" s="18" t="str">
        <f t="shared" ca="1" si="77"/>
        <v>He-Res-2025-472</v>
      </c>
      <c r="B473" s="5">
        <v>38</v>
      </c>
      <c r="C473" s="5" t="str">
        <f t="shared" si="78"/>
        <v>30-39</v>
      </c>
      <c r="D473" s="5" t="s">
        <v>43</v>
      </c>
      <c r="E473" s="5" t="s">
        <v>45</v>
      </c>
      <c r="F473" s="5" t="s">
        <v>39</v>
      </c>
      <c r="G473" s="5">
        <v>2</v>
      </c>
      <c r="H473" s="5" t="s">
        <v>54</v>
      </c>
      <c r="I473" s="5" t="s">
        <v>48</v>
      </c>
      <c r="J473" s="7">
        <v>9824</v>
      </c>
      <c r="K473" s="7">
        <f t="shared" si="79"/>
        <v>2161.2800000000002</v>
      </c>
      <c r="L473" s="7">
        <f t="shared" si="80"/>
        <v>7662.7199999999993</v>
      </c>
      <c r="M473" s="7">
        <v>22174</v>
      </c>
      <c r="N473" s="5" t="s">
        <v>43</v>
      </c>
      <c r="O473" s="5">
        <v>19</v>
      </c>
      <c r="P473" s="7">
        <f t="shared" si="81"/>
        <v>11690.56</v>
      </c>
      <c r="Q473" s="7">
        <f t="shared" si="82"/>
        <v>22398.719999999994</v>
      </c>
      <c r="R473" s="7" t="str">
        <f t="shared" si="83"/>
        <v>Normal</v>
      </c>
      <c r="S473" s="5">
        <v>3</v>
      </c>
      <c r="T473" s="5">
        <v>3</v>
      </c>
      <c r="U473" s="5" t="str" cm="1">
        <f t="array" ref="U473">_xlfn.IFS(T473=1,"Poor",T473=2,"Fair",T473=3,"Good",T473=4,"Excellent")</f>
        <v>Good</v>
      </c>
      <c r="V473" s="5" t="s">
        <v>43</v>
      </c>
      <c r="W473" s="5">
        <v>1</v>
      </c>
      <c r="X473" s="28">
        <f t="shared" ca="1" si="84"/>
        <v>45746</v>
      </c>
      <c r="Y473" s="28">
        <f t="shared" ca="1" si="85"/>
        <v>46476</v>
      </c>
      <c r="Z473" s="28" t="str">
        <f t="shared" ca="1" si="86"/>
        <v>Due Soon</v>
      </c>
      <c r="AA473" s="5" t="str" cm="1">
        <f t="array" ref="AA473">_xlfn.IFS(W473&gt;10,"Veteran",W473&gt;=6,"Experienced",W473&gt;=2,"Developing",W473&gt;=0,"New")</f>
        <v>New</v>
      </c>
      <c r="AB473" s="5" t="str" cm="1">
        <f t="array" ref="AB473">_xlfn.IFS(G473=1,"Junior",G473=2,"Mid-Level",G473=3,"Senior",G473=4,"Lead",G473=5,"Principal")&amp;" "&amp;TRIM(PROPER(H473))</f>
        <v>Mid-Level Healthcare Representative</v>
      </c>
      <c r="AC473" s="19" t="str">
        <f t="shared" ca="1" si="87"/>
        <v>He-Res-2025-472 is a Mid-Level Healthcare Representative in the Research &amp; Development department, aged 38, married and has been with the Company for 1years</v>
      </c>
    </row>
    <row r="474" spans="1:29">
      <c r="A474" s="18" t="str">
        <f t="shared" ca="1" si="77"/>
        <v>Ma-Res-2020-473</v>
      </c>
      <c r="B474" s="5">
        <v>37</v>
      </c>
      <c r="C474" s="5" t="str">
        <f t="shared" si="78"/>
        <v>30-39</v>
      </c>
      <c r="D474" s="5" t="s">
        <v>43</v>
      </c>
      <c r="E474" s="5" t="s">
        <v>45</v>
      </c>
      <c r="F474" s="5" t="s">
        <v>39</v>
      </c>
      <c r="G474" s="5">
        <v>2</v>
      </c>
      <c r="H474" s="5" t="s">
        <v>53</v>
      </c>
      <c r="I474" s="5" t="s">
        <v>48</v>
      </c>
      <c r="J474" s="7">
        <v>6447</v>
      </c>
      <c r="K474" s="7">
        <f t="shared" si="79"/>
        <v>967.05</v>
      </c>
      <c r="L474" s="7">
        <f t="shared" si="80"/>
        <v>5479.95</v>
      </c>
      <c r="M474" s="7">
        <v>15701</v>
      </c>
      <c r="N474" s="5" t="s">
        <v>43</v>
      </c>
      <c r="O474" s="5">
        <v>12</v>
      </c>
      <c r="P474" s="7">
        <f t="shared" si="81"/>
        <v>7220.64</v>
      </c>
      <c r="Q474" s="7">
        <f t="shared" si="82"/>
        <v>9283.6800000000039</v>
      </c>
      <c r="R474" s="7" t="str">
        <f t="shared" si="83"/>
        <v>Normal</v>
      </c>
      <c r="S474" s="5">
        <v>3</v>
      </c>
      <c r="T474" s="5">
        <v>2</v>
      </c>
      <c r="U474" s="5" t="str" cm="1">
        <f t="array" ref="U474">_xlfn.IFS(T474=1,"Poor",T474=2,"Fair",T474=3,"Good",T474=4,"Excellent")</f>
        <v>Fair</v>
      </c>
      <c r="V474" s="5" t="s">
        <v>43</v>
      </c>
      <c r="W474" s="5">
        <v>6</v>
      </c>
      <c r="X474" s="28">
        <f t="shared" ca="1" si="84"/>
        <v>43920</v>
      </c>
      <c r="Y474" s="28">
        <f t="shared" ca="1" si="85"/>
        <v>46842</v>
      </c>
      <c r="Z474" s="28" t="str">
        <f t="shared" ca="1" si="86"/>
        <v>Upcoming</v>
      </c>
      <c r="AA474" s="5" t="str" cm="1">
        <f t="array" ref="AA474">_xlfn.IFS(W474&gt;10,"Veteran",W474&gt;=6,"Experienced",W474&gt;=2,"Developing",W474&gt;=0,"New")</f>
        <v>Experienced</v>
      </c>
      <c r="AB474" s="5" t="str" cm="1">
        <f t="array" ref="AB474">_xlfn.IFS(G474=1,"Junior",G474=2,"Mid-Level",G474=3,"Senior",G474=4,"Lead",G474=5,"Principal")&amp;" "&amp;TRIM(PROPER(H474))</f>
        <v>Mid-Level Manufacturing Director</v>
      </c>
      <c r="AC474" s="19" t="str">
        <f t="shared" ca="1" si="87"/>
        <v>Ma-Res-2020-473 is a Mid-Level Manufacturing Director in the Research &amp; Development department, aged 37, married and has been with the Company for 6years</v>
      </c>
    </row>
    <row r="475" spans="1:29">
      <c r="A475" s="18" t="str">
        <f t="shared" ca="1" si="77"/>
        <v>Re-Res-1995-474</v>
      </c>
      <c r="B475" s="5">
        <v>49</v>
      </c>
      <c r="C475" s="5" t="str">
        <f t="shared" si="78"/>
        <v>40-49</v>
      </c>
      <c r="D475" s="5" t="s">
        <v>43</v>
      </c>
      <c r="E475" s="5" t="s">
        <v>45</v>
      </c>
      <c r="F475" s="5" t="s">
        <v>46</v>
      </c>
      <c r="G475" s="5">
        <v>5</v>
      </c>
      <c r="H475" s="5" t="s">
        <v>58</v>
      </c>
      <c r="I475" s="5" t="s">
        <v>52</v>
      </c>
      <c r="J475" s="7">
        <v>19502</v>
      </c>
      <c r="K475" s="7">
        <f t="shared" si="79"/>
        <v>5850.5999999999995</v>
      </c>
      <c r="L475" s="7">
        <f t="shared" si="80"/>
        <v>13651.400000000001</v>
      </c>
      <c r="M475" s="7">
        <v>2125</v>
      </c>
      <c r="N475" s="5" t="s">
        <v>35</v>
      </c>
      <c r="O475" s="5">
        <v>17</v>
      </c>
      <c r="P475" s="7">
        <f t="shared" si="81"/>
        <v>22817.34</v>
      </c>
      <c r="Q475" s="7">
        <f t="shared" si="82"/>
        <v>39784.080000000002</v>
      </c>
      <c r="R475" s="7" t="str">
        <f t="shared" si="83"/>
        <v>Normal</v>
      </c>
      <c r="S475" s="5">
        <v>3</v>
      </c>
      <c r="T475" s="5">
        <v>3</v>
      </c>
      <c r="U475" s="5" t="str" cm="1">
        <f t="array" ref="U475">_xlfn.IFS(T475=1,"Poor",T475=2,"Fair",T475=3,"Good",T475=4,"Excellent")</f>
        <v>Good</v>
      </c>
      <c r="V475" s="5" t="s">
        <v>35</v>
      </c>
      <c r="W475" s="5">
        <v>31</v>
      </c>
      <c r="X475" s="28">
        <f t="shared" ca="1" si="84"/>
        <v>34788</v>
      </c>
      <c r="Y475" s="28">
        <f t="shared" ca="1" si="85"/>
        <v>46476</v>
      </c>
      <c r="Z475" s="28" t="str">
        <f t="shared" ca="1" si="86"/>
        <v>Due Soon</v>
      </c>
      <c r="AA475" s="5" t="str" cm="1">
        <f t="array" ref="AA475">_xlfn.IFS(W475&gt;10,"Veteran",W475&gt;=6,"Experienced",W475&gt;=2,"Developing",W475&gt;=0,"New")</f>
        <v>Veteran</v>
      </c>
      <c r="AB475" s="5" t="str" cm="1">
        <f t="array" ref="AB475">_xlfn.IFS(G475=1,"Junior",G475=2,"Mid-Level",G475=3,"Senior",G475=4,"Lead",G475=5,"Principal")&amp;" "&amp;TRIM(PROPER(H475))</f>
        <v>Principal Research Director</v>
      </c>
      <c r="AC475" s="19" t="str">
        <f t="shared" ca="1" si="87"/>
        <v>Re-Res-1995-474 is a Principal Research Director in the Research &amp; Development department, aged 49, divorced and has been with the Company for 31years</v>
      </c>
    </row>
    <row r="476" spans="1:29">
      <c r="A476" s="18" t="str">
        <f t="shared" ca="1" si="77"/>
        <v>Re-Res-2020-475</v>
      </c>
      <c r="B476" s="5">
        <v>24</v>
      </c>
      <c r="C476" s="5" t="str">
        <f t="shared" si="78"/>
        <v>20-29</v>
      </c>
      <c r="D476" s="5" t="s">
        <v>43</v>
      </c>
      <c r="E476" s="5" t="s">
        <v>45</v>
      </c>
      <c r="F476" s="5" t="s">
        <v>46</v>
      </c>
      <c r="G476" s="5">
        <v>1</v>
      </c>
      <c r="H476" s="5" t="s">
        <v>47</v>
      </c>
      <c r="I476" s="5" t="s">
        <v>48</v>
      </c>
      <c r="J476" s="7">
        <v>2725</v>
      </c>
      <c r="K476" s="7">
        <f t="shared" si="79"/>
        <v>190.75000000000003</v>
      </c>
      <c r="L476" s="7">
        <f t="shared" si="80"/>
        <v>2534.25</v>
      </c>
      <c r="M476" s="7">
        <v>21630</v>
      </c>
      <c r="N476" s="5" t="s">
        <v>35</v>
      </c>
      <c r="O476" s="5">
        <v>11</v>
      </c>
      <c r="P476" s="7">
        <f t="shared" si="81"/>
        <v>3024.7500000000005</v>
      </c>
      <c r="Q476" s="7">
        <f t="shared" si="82"/>
        <v>3597.0000000000055</v>
      </c>
      <c r="R476" s="7" t="str">
        <f t="shared" si="83"/>
        <v>Normal</v>
      </c>
      <c r="S476" s="5">
        <v>3</v>
      </c>
      <c r="T476" s="5">
        <v>3</v>
      </c>
      <c r="U476" s="5" t="str" cm="1">
        <f t="array" ref="U476">_xlfn.IFS(T476=1,"Poor",T476=2,"Fair",T476=3,"Good",T476=4,"Excellent")</f>
        <v>Good</v>
      </c>
      <c r="V476" s="5" t="s">
        <v>35</v>
      </c>
      <c r="W476" s="5">
        <v>6</v>
      </c>
      <c r="X476" s="28">
        <f t="shared" ca="1" si="84"/>
        <v>43920</v>
      </c>
      <c r="Y476" s="28">
        <f t="shared" ca="1" si="85"/>
        <v>46842</v>
      </c>
      <c r="Z476" s="28" t="str">
        <f t="shared" ca="1" si="86"/>
        <v>Upcoming</v>
      </c>
      <c r="AA476" s="5" t="str" cm="1">
        <f t="array" ref="AA476">_xlfn.IFS(W476&gt;10,"Veteran",W476&gt;=6,"Experienced",W476&gt;=2,"Developing",W476&gt;=0,"New")</f>
        <v>Experienced</v>
      </c>
      <c r="AB476" s="5" t="str" cm="1">
        <f t="array" ref="AB476">_xlfn.IFS(G476=1,"Junior",G476=2,"Mid-Level",G476=3,"Senior",G476=4,"Lead",G476=5,"Principal")&amp;" "&amp;TRIM(PROPER(H476))</f>
        <v>Junior Research Scientist</v>
      </c>
      <c r="AC476" s="19" t="str">
        <f t="shared" ca="1" si="87"/>
        <v>Re-Res-2020-475 is a Junior Research Scientist in the Research &amp; Development department, aged 24, married and has been with the Company for 6years</v>
      </c>
    </row>
    <row r="477" spans="1:29">
      <c r="A477" s="18" t="str">
        <f t="shared" ca="1" si="77"/>
        <v>Sa-Sal-2021-476</v>
      </c>
      <c r="B477" s="5">
        <v>26</v>
      </c>
      <c r="C477" s="5" t="str">
        <f t="shared" si="78"/>
        <v>20-29</v>
      </c>
      <c r="D477" s="5" t="s">
        <v>43</v>
      </c>
      <c r="E477" s="5" t="s">
        <v>37</v>
      </c>
      <c r="F477" s="5" t="s">
        <v>46</v>
      </c>
      <c r="G477" s="5">
        <v>2</v>
      </c>
      <c r="H477" s="5" t="s">
        <v>40</v>
      </c>
      <c r="I477" s="5" t="s">
        <v>48</v>
      </c>
      <c r="J477" s="7">
        <v>6272</v>
      </c>
      <c r="K477" s="7">
        <f t="shared" si="79"/>
        <v>940.8</v>
      </c>
      <c r="L477" s="7">
        <f t="shared" si="80"/>
        <v>5331.2</v>
      </c>
      <c r="M477" s="7">
        <v>7428</v>
      </c>
      <c r="N477" s="5" t="s">
        <v>43</v>
      </c>
      <c r="O477" s="5">
        <v>20</v>
      </c>
      <c r="P477" s="7">
        <f t="shared" si="81"/>
        <v>7526.4</v>
      </c>
      <c r="Q477" s="7">
        <f t="shared" si="82"/>
        <v>15052.799999999996</v>
      </c>
      <c r="R477" s="7" t="str">
        <f t="shared" si="83"/>
        <v>Normal</v>
      </c>
      <c r="S477" s="5">
        <v>4</v>
      </c>
      <c r="T477" s="5">
        <v>4</v>
      </c>
      <c r="U477" s="5" t="str" cm="1">
        <f t="array" ref="U477">_xlfn.IFS(T477=1,"Poor",T477=2,"Fair",T477=3,"Good",T477=4,"Excellent")</f>
        <v>Excellent</v>
      </c>
      <c r="V477" s="5" t="s">
        <v>43</v>
      </c>
      <c r="W477" s="5">
        <v>5</v>
      </c>
      <c r="X477" s="28">
        <f t="shared" ca="1" si="84"/>
        <v>44285</v>
      </c>
      <c r="Y477" s="28">
        <f t="shared" ca="1" si="85"/>
        <v>46476</v>
      </c>
      <c r="Z477" s="28" t="str">
        <f t="shared" ca="1" si="86"/>
        <v>Due Soon</v>
      </c>
      <c r="AA477" s="5" t="str" cm="1">
        <f t="array" ref="AA477">_xlfn.IFS(W477&gt;10,"Veteran",W477&gt;=6,"Experienced",W477&gt;=2,"Developing",W477&gt;=0,"New")</f>
        <v>Developing</v>
      </c>
      <c r="AB477" s="5" t="str" cm="1">
        <f t="array" ref="AB477">_xlfn.IFS(G477=1,"Junior",G477=2,"Mid-Level",G477=3,"Senior",G477=4,"Lead",G477=5,"Principal")&amp;" "&amp;TRIM(PROPER(H477))</f>
        <v>Mid-Level Sales Executive</v>
      </c>
      <c r="AC477" s="19" t="str">
        <f t="shared" ca="1" si="87"/>
        <v>Sa-Sal-2021-476 is a Mid-Level Sales Executive in the Sales department, aged 26, married and has been with the Company for 5years</v>
      </c>
    </row>
    <row r="478" spans="1:29">
      <c r="A478" s="18" t="str">
        <f t="shared" ca="1" si="77"/>
        <v>La-Res-2025-477</v>
      </c>
      <c r="B478" s="5">
        <v>24</v>
      </c>
      <c r="C478" s="5" t="str">
        <f t="shared" si="78"/>
        <v>20-29</v>
      </c>
      <c r="D478" s="5" t="s">
        <v>43</v>
      </c>
      <c r="E478" s="5" t="s">
        <v>45</v>
      </c>
      <c r="F478" s="5" t="s">
        <v>46</v>
      </c>
      <c r="G478" s="5">
        <v>1</v>
      </c>
      <c r="H478" s="5" t="s">
        <v>50</v>
      </c>
      <c r="I478" s="5" t="s">
        <v>48</v>
      </c>
      <c r="J478" s="7">
        <v>2127</v>
      </c>
      <c r="K478" s="7">
        <f t="shared" si="79"/>
        <v>148.89000000000001</v>
      </c>
      <c r="L478" s="7">
        <f t="shared" si="80"/>
        <v>1978.11</v>
      </c>
      <c r="M478" s="7">
        <v>9100</v>
      </c>
      <c r="N478" s="5" t="s">
        <v>43</v>
      </c>
      <c r="O478" s="5">
        <v>21</v>
      </c>
      <c r="P478" s="7">
        <f t="shared" si="81"/>
        <v>2573.67</v>
      </c>
      <c r="Q478" s="7">
        <f t="shared" si="82"/>
        <v>5360.0400000000009</v>
      </c>
      <c r="R478" s="7" t="str">
        <f t="shared" si="83"/>
        <v>Normal</v>
      </c>
      <c r="S478" s="5">
        <v>4</v>
      </c>
      <c r="T478" s="5">
        <v>3</v>
      </c>
      <c r="U478" s="5" t="str" cm="1">
        <f t="array" ref="U478">_xlfn.IFS(T478=1,"Poor",T478=2,"Fair",T478=3,"Good",T478=4,"Excellent")</f>
        <v>Good</v>
      </c>
      <c r="V478" s="5" t="s">
        <v>43</v>
      </c>
      <c r="W478" s="5">
        <v>1</v>
      </c>
      <c r="X478" s="28">
        <f t="shared" ca="1" si="84"/>
        <v>45746</v>
      </c>
      <c r="Y478" s="28">
        <f t="shared" ca="1" si="85"/>
        <v>46476</v>
      </c>
      <c r="Z478" s="28" t="str">
        <f t="shared" ca="1" si="86"/>
        <v>Due Soon</v>
      </c>
      <c r="AA478" s="5" t="str" cm="1">
        <f t="array" ref="AA478">_xlfn.IFS(W478&gt;10,"Veteran",W478&gt;=6,"Experienced",W478&gt;=2,"Developing",W478&gt;=0,"New")</f>
        <v>New</v>
      </c>
      <c r="AB478" s="5" t="str" cm="1">
        <f t="array" ref="AB478">_xlfn.IFS(G478=1,"Junior",G478=2,"Mid-Level",G478=3,"Senior",G478=4,"Lead",G478=5,"Principal")&amp;" "&amp;TRIM(PROPER(H478))</f>
        <v>Junior Laboratory Technician</v>
      </c>
      <c r="AC478" s="19" t="str">
        <f t="shared" ca="1" si="87"/>
        <v>La-Res-2025-477 is a Junior Laboratory Technician in the Research &amp; Development department, aged 24, married and has been with the Company for 1years</v>
      </c>
    </row>
    <row r="479" spans="1:29">
      <c r="A479" s="18" t="str">
        <f t="shared" ca="1" si="77"/>
        <v>Ma-Hum-1994-478</v>
      </c>
      <c r="B479" s="5">
        <v>50</v>
      </c>
      <c r="C479" s="5" t="str">
        <f t="shared" si="78"/>
        <v>50+</v>
      </c>
      <c r="D479" s="5" t="s">
        <v>43</v>
      </c>
      <c r="E479" s="5" t="s">
        <v>61</v>
      </c>
      <c r="F479" s="5" t="s">
        <v>46</v>
      </c>
      <c r="G479" s="5">
        <v>5</v>
      </c>
      <c r="H479" s="5" t="s">
        <v>56</v>
      </c>
      <c r="I479" s="5" t="s">
        <v>48</v>
      </c>
      <c r="J479" s="7">
        <v>18200</v>
      </c>
      <c r="K479" s="7">
        <f t="shared" si="79"/>
        <v>5460</v>
      </c>
      <c r="L479" s="7">
        <f t="shared" si="80"/>
        <v>12740</v>
      </c>
      <c r="M479" s="7">
        <v>7999</v>
      </c>
      <c r="N479" s="5" t="s">
        <v>43</v>
      </c>
      <c r="O479" s="5">
        <v>11</v>
      </c>
      <c r="P479" s="7">
        <f t="shared" si="81"/>
        <v>20202</v>
      </c>
      <c r="Q479" s="7">
        <f t="shared" si="82"/>
        <v>24024</v>
      </c>
      <c r="R479" s="7" t="str">
        <f t="shared" si="83"/>
        <v>Normal</v>
      </c>
      <c r="S479" s="5">
        <v>3</v>
      </c>
      <c r="T479" s="5">
        <v>3</v>
      </c>
      <c r="U479" s="5" t="str" cm="1">
        <f t="array" ref="U479">_xlfn.IFS(T479=1,"Poor",T479=2,"Fair",T479=3,"Good",T479=4,"Excellent")</f>
        <v>Good</v>
      </c>
      <c r="V479" s="5" t="s">
        <v>43</v>
      </c>
      <c r="W479" s="5">
        <v>32</v>
      </c>
      <c r="X479" s="28">
        <f t="shared" ca="1" si="84"/>
        <v>34423</v>
      </c>
      <c r="Y479" s="28">
        <f t="shared" ca="1" si="85"/>
        <v>46842</v>
      </c>
      <c r="Z479" s="28" t="str">
        <f t="shared" ca="1" si="86"/>
        <v>Upcoming</v>
      </c>
      <c r="AA479" s="5" t="str" cm="1">
        <f t="array" ref="AA479">_xlfn.IFS(W479&gt;10,"Veteran",W479&gt;=6,"Experienced",W479&gt;=2,"Developing",W479&gt;=0,"New")</f>
        <v>Veteran</v>
      </c>
      <c r="AB479" s="5" t="str" cm="1">
        <f t="array" ref="AB479">_xlfn.IFS(G479=1,"Junior",G479=2,"Mid-Level",G479=3,"Senior",G479=4,"Lead",G479=5,"Principal")&amp;" "&amp;TRIM(PROPER(H479))</f>
        <v>Principal Manager</v>
      </c>
      <c r="AC479" s="19" t="str">
        <f t="shared" ca="1" si="87"/>
        <v>Ma-Hum-1994-478 is a Principal Manager in the Human Resources department, aged 50, married and has been with the Company for 32years</v>
      </c>
    </row>
    <row r="480" spans="1:29">
      <c r="A480" s="18" t="str">
        <f t="shared" ca="1" si="77"/>
        <v>Sa-Sal-2019-479</v>
      </c>
      <c r="B480" s="5">
        <v>25</v>
      </c>
      <c r="C480" s="5" t="str">
        <f t="shared" si="78"/>
        <v>20-29</v>
      </c>
      <c r="D480" s="5" t="s">
        <v>43</v>
      </c>
      <c r="E480" s="5" t="s">
        <v>37</v>
      </c>
      <c r="F480" s="5" t="s">
        <v>46</v>
      </c>
      <c r="G480" s="5">
        <v>1</v>
      </c>
      <c r="H480" s="5" t="s">
        <v>57</v>
      </c>
      <c r="I480" s="5" t="s">
        <v>48</v>
      </c>
      <c r="J480" s="7">
        <v>2096</v>
      </c>
      <c r="K480" s="7">
        <f t="shared" si="79"/>
        <v>146.72000000000003</v>
      </c>
      <c r="L480" s="7">
        <f t="shared" si="80"/>
        <v>1949.28</v>
      </c>
      <c r="M480" s="7">
        <v>26376</v>
      </c>
      <c r="N480" s="5" t="s">
        <v>43</v>
      </c>
      <c r="O480" s="5">
        <v>11</v>
      </c>
      <c r="P480" s="7">
        <f t="shared" si="81"/>
        <v>2326.5600000000004</v>
      </c>
      <c r="Q480" s="7">
        <f t="shared" si="82"/>
        <v>2766.7200000000048</v>
      </c>
      <c r="R480" s="7" t="str">
        <f t="shared" si="83"/>
        <v>Normal</v>
      </c>
      <c r="S480" s="5">
        <v>3</v>
      </c>
      <c r="T480" s="5">
        <v>3</v>
      </c>
      <c r="U480" s="5" t="str" cm="1">
        <f t="array" ref="U480">_xlfn.IFS(T480=1,"Poor",T480=2,"Fair",T480=3,"Good",T480=4,"Excellent")</f>
        <v>Good</v>
      </c>
      <c r="V480" s="5" t="s">
        <v>43</v>
      </c>
      <c r="W480" s="5">
        <v>7</v>
      </c>
      <c r="X480" s="28">
        <f t="shared" ca="1" si="84"/>
        <v>43554</v>
      </c>
      <c r="Y480" s="28">
        <f t="shared" ca="1" si="85"/>
        <v>46476</v>
      </c>
      <c r="Z480" s="28" t="str">
        <f t="shared" ca="1" si="86"/>
        <v>Due Soon</v>
      </c>
      <c r="AA480" s="5" t="str" cm="1">
        <f t="array" ref="AA480">_xlfn.IFS(W480&gt;10,"Veteran",W480&gt;=6,"Experienced",W480&gt;=2,"Developing",W480&gt;=0,"New")</f>
        <v>Experienced</v>
      </c>
      <c r="AB480" s="5" t="str" cm="1">
        <f t="array" ref="AB480">_xlfn.IFS(G480=1,"Junior",G480=2,"Mid-Level",G480=3,"Senior",G480=4,"Lead",G480=5,"Principal")&amp;" "&amp;TRIM(PROPER(H480))</f>
        <v>Junior Sales Representative</v>
      </c>
      <c r="AC480" s="19" t="str">
        <f t="shared" ca="1" si="87"/>
        <v>Sa-Sal-2019-479 is a Junior Sales Representative in the Sales department, aged 25, married and has been with the Company for 7years</v>
      </c>
    </row>
    <row r="481" spans="1:29">
      <c r="A481" s="18" t="str">
        <f t="shared" ca="1" si="77"/>
        <v>La-Res-2020-480</v>
      </c>
      <c r="B481" s="5">
        <v>24</v>
      </c>
      <c r="C481" s="5" t="str">
        <f t="shared" si="78"/>
        <v>20-29</v>
      </c>
      <c r="D481" s="5" t="s">
        <v>35</v>
      </c>
      <c r="E481" s="5" t="s">
        <v>45</v>
      </c>
      <c r="F481" s="5" t="s">
        <v>39</v>
      </c>
      <c r="G481" s="5">
        <v>1</v>
      </c>
      <c r="H481" s="5" t="s">
        <v>50</v>
      </c>
      <c r="I481" s="5" t="s">
        <v>48</v>
      </c>
      <c r="J481" s="7">
        <v>2886</v>
      </c>
      <c r="K481" s="7">
        <f t="shared" si="79"/>
        <v>202.02</v>
      </c>
      <c r="L481" s="7">
        <f t="shared" si="80"/>
        <v>2683.98</v>
      </c>
      <c r="M481" s="7">
        <v>14168</v>
      </c>
      <c r="N481" s="5" t="s">
        <v>35</v>
      </c>
      <c r="O481" s="5">
        <v>16</v>
      </c>
      <c r="P481" s="7">
        <f t="shared" si="81"/>
        <v>3347.7599999999998</v>
      </c>
      <c r="Q481" s="7">
        <f t="shared" si="82"/>
        <v>5541.1199999999972</v>
      </c>
      <c r="R481" s="7" t="str">
        <f t="shared" si="83"/>
        <v>Normal</v>
      </c>
      <c r="S481" s="5">
        <v>3</v>
      </c>
      <c r="T481" s="5">
        <v>3</v>
      </c>
      <c r="U481" s="5" t="str" cm="1">
        <f t="array" ref="U481">_xlfn.IFS(T481=1,"Poor",T481=2,"Fair",T481=3,"Good",T481=4,"Excellent")</f>
        <v>Good</v>
      </c>
      <c r="V481" s="5" t="s">
        <v>35</v>
      </c>
      <c r="W481" s="5">
        <v>6</v>
      </c>
      <c r="X481" s="28">
        <f t="shared" ca="1" si="84"/>
        <v>43920</v>
      </c>
      <c r="Y481" s="28">
        <f t="shared" ca="1" si="85"/>
        <v>46842</v>
      </c>
      <c r="Z481" s="28" t="str">
        <f t="shared" ca="1" si="86"/>
        <v>Upcoming</v>
      </c>
      <c r="AA481" s="5" t="str" cm="1">
        <f t="array" ref="AA481">_xlfn.IFS(W481&gt;10,"Veteran",W481&gt;=6,"Experienced",W481&gt;=2,"Developing",W481&gt;=0,"New")</f>
        <v>Experienced</v>
      </c>
      <c r="AB481" s="5" t="str" cm="1">
        <f t="array" ref="AB481">_xlfn.IFS(G481=1,"Junior",G481=2,"Mid-Level",G481=3,"Senior",G481=4,"Lead",G481=5,"Principal")&amp;" "&amp;TRIM(PROPER(H481))</f>
        <v>Junior Laboratory Technician</v>
      </c>
      <c r="AC481" s="19" t="str">
        <f t="shared" ca="1" si="87"/>
        <v>La-Res-2020-480 is a Junior Laboratory Technician in the Research &amp; Development department, aged 24, married and has been with the Company for 6years</v>
      </c>
    </row>
    <row r="482" spans="1:29">
      <c r="A482" s="18" t="str">
        <f t="shared" ca="1" si="77"/>
        <v>Sa-Sal-2025-481</v>
      </c>
      <c r="B482" s="5">
        <v>30</v>
      </c>
      <c r="C482" s="5" t="str">
        <f t="shared" si="78"/>
        <v>30-39</v>
      </c>
      <c r="D482" s="5" t="s">
        <v>35</v>
      </c>
      <c r="E482" s="5" t="s">
        <v>37</v>
      </c>
      <c r="F482" s="5" t="s">
        <v>46</v>
      </c>
      <c r="G482" s="5">
        <v>1</v>
      </c>
      <c r="H482" s="5" t="s">
        <v>57</v>
      </c>
      <c r="I482" s="5" t="s">
        <v>48</v>
      </c>
      <c r="J482" s="7">
        <v>2033</v>
      </c>
      <c r="K482" s="7">
        <f t="shared" si="79"/>
        <v>142.31</v>
      </c>
      <c r="L482" s="7">
        <f t="shared" si="80"/>
        <v>1890.69</v>
      </c>
      <c r="M482" s="7">
        <v>14470</v>
      </c>
      <c r="N482" s="5" t="s">
        <v>43</v>
      </c>
      <c r="O482" s="5">
        <v>18</v>
      </c>
      <c r="P482" s="7">
        <f t="shared" si="81"/>
        <v>2398.94</v>
      </c>
      <c r="Q482" s="7">
        <f t="shared" si="82"/>
        <v>4391.2800000000007</v>
      </c>
      <c r="R482" s="7" t="str">
        <f t="shared" si="83"/>
        <v>Normal</v>
      </c>
      <c r="S482" s="5">
        <v>3</v>
      </c>
      <c r="T482" s="5">
        <v>4</v>
      </c>
      <c r="U482" s="5" t="str" cm="1">
        <f t="array" ref="U482">_xlfn.IFS(T482=1,"Poor",T482=2,"Fair",T482=3,"Good",T482=4,"Excellent")</f>
        <v>Excellent</v>
      </c>
      <c r="V482" s="5" t="s">
        <v>43</v>
      </c>
      <c r="W482" s="5">
        <v>1</v>
      </c>
      <c r="X482" s="28">
        <f t="shared" ca="1" si="84"/>
        <v>45746</v>
      </c>
      <c r="Y482" s="28">
        <f t="shared" ca="1" si="85"/>
        <v>46476</v>
      </c>
      <c r="Z482" s="28" t="str">
        <f t="shared" ca="1" si="86"/>
        <v>Due Soon</v>
      </c>
      <c r="AA482" s="5" t="str" cm="1">
        <f t="array" ref="AA482">_xlfn.IFS(W482&gt;10,"Veteran",W482&gt;=6,"Experienced",W482&gt;=2,"Developing",W482&gt;=0,"New")</f>
        <v>New</v>
      </c>
      <c r="AB482" s="5" t="str" cm="1">
        <f t="array" ref="AB482">_xlfn.IFS(G482=1,"Junior",G482=2,"Mid-Level",G482=3,"Senior",G482=4,"Lead",G482=5,"Principal")&amp;" "&amp;TRIM(PROPER(H482))</f>
        <v>Junior Sales Representative</v>
      </c>
      <c r="AC482" s="19" t="str">
        <f t="shared" ca="1" si="87"/>
        <v>Sa-Sal-2025-481 is a Junior Sales Representative in the Sales department, aged 30, married and has been with the Company for 1years</v>
      </c>
    </row>
    <row r="483" spans="1:29">
      <c r="A483" s="18" t="str">
        <f t="shared" ca="1" si="77"/>
        <v>Re-Res-2020-482</v>
      </c>
      <c r="B483" s="5">
        <v>34</v>
      </c>
      <c r="C483" s="5" t="str">
        <f t="shared" si="78"/>
        <v>30-39</v>
      </c>
      <c r="D483" s="5" t="s">
        <v>43</v>
      </c>
      <c r="E483" s="5" t="s">
        <v>45</v>
      </c>
      <c r="F483" s="5" t="s">
        <v>46</v>
      </c>
      <c r="G483" s="5">
        <v>1</v>
      </c>
      <c r="H483" s="5" t="s">
        <v>47</v>
      </c>
      <c r="I483" s="5" t="s">
        <v>48</v>
      </c>
      <c r="J483" s="7">
        <v>3622</v>
      </c>
      <c r="K483" s="7">
        <f t="shared" si="79"/>
        <v>543.29999999999995</v>
      </c>
      <c r="L483" s="7">
        <f t="shared" si="80"/>
        <v>3078.7</v>
      </c>
      <c r="M483" s="7">
        <v>22794</v>
      </c>
      <c r="N483" s="5" t="s">
        <v>35</v>
      </c>
      <c r="O483" s="5">
        <v>13</v>
      </c>
      <c r="P483" s="7">
        <f t="shared" si="81"/>
        <v>4092.8599999999997</v>
      </c>
      <c r="Q483" s="7">
        <f t="shared" si="82"/>
        <v>5650.3199999999961</v>
      </c>
      <c r="R483" s="7" t="str">
        <f t="shared" si="83"/>
        <v>Normal</v>
      </c>
      <c r="S483" s="5">
        <v>3</v>
      </c>
      <c r="T483" s="5">
        <v>3</v>
      </c>
      <c r="U483" s="5" t="str" cm="1">
        <f t="array" ref="U483">_xlfn.IFS(T483=1,"Poor",T483=2,"Fair",T483=3,"Good",T483=4,"Excellent")</f>
        <v>Good</v>
      </c>
      <c r="V483" s="5" t="s">
        <v>35</v>
      </c>
      <c r="W483" s="5">
        <v>6</v>
      </c>
      <c r="X483" s="28">
        <f t="shared" ca="1" si="84"/>
        <v>43920</v>
      </c>
      <c r="Y483" s="28">
        <f t="shared" ca="1" si="85"/>
        <v>46842</v>
      </c>
      <c r="Z483" s="28" t="str">
        <f t="shared" ca="1" si="86"/>
        <v>Upcoming</v>
      </c>
      <c r="AA483" s="5" t="str" cm="1">
        <f t="array" ref="AA483">_xlfn.IFS(W483&gt;10,"Veteran",W483&gt;=6,"Experienced",W483&gt;=2,"Developing",W483&gt;=0,"New")</f>
        <v>Experienced</v>
      </c>
      <c r="AB483" s="5" t="str" cm="1">
        <f t="array" ref="AB483">_xlfn.IFS(G483=1,"Junior",G483=2,"Mid-Level",G483=3,"Senior",G483=4,"Lead",G483=5,"Principal")&amp;" "&amp;TRIM(PROPER(H483))</f>
        <v>Junior Research Scientist</v>
      </c>
      <c r="AC483" s="19" t="str">
        <f t="shared" ca="1" si="87"/>
        <v>Re-Res-2020-482 is a Junior Research Scientist in the Research &amp; Development department, aged 34, married and has been with the Company for 6years</v>
      </c>
    </row>
    <row r="484" spans="1:29">
      <c r="A484" s="18" t="str">
        <f t="shared" ca="1" si="77"/>
        <v>Sa-Sal-2023-483</v>
      </c>
      <c r="B484" s="5">
        <v>31</v>
      </c>
      <c r="C484" s="5" t="str">
        <f t="shared" si="78"/>
        <v>30-39</v>
      </c>
      <c r="D484" s="5" t="s">
        <v>35</v>
      </c>
      <c r="E484" s="5" t="s">
        <v>37</v>
      </c>
      <c r="F484" s="5" t="s">
        <v>46</v>
      </c>
      <c r="G484" s="5">
        <v>2</v>
      </c>
      <c r="H484" s="5" t="s">
        <v>40</v>
      </c>
      <c r="I484" s="5" t="s">
        <v>52</v>
      </c>
      <c r="J484" s="7">
        <v>4233</v>
      </c>
      <c r="K484" s="7">
        <f t="shared" si="79"/>
        <v>634.94999999999993</v>
      </c>
      <c r="L484" s="7">
        <f t="shared" si="80"/>
        <v>3598.05</v>
      </c>
      <c r="M484" s="7">
        <v>11512</v>
      </c>
      <c r="N484" s="5" t="s">
        <v>43</v>
      </c>
      <c r="O484" s="5">
        <v>17</v>
      </c>
      <c r="P484" s="7">
        <f t="shared" si="81"/>
        <v>4952.6099999999997</v>
      </c>
      <c r="Q484" s="7">
        <f t="shared" si="82"/>
        <v>8635.3199999999961</v>
      </c>
      <c r="R484" s="7" t="str">
        <f t="shared" si="83"/>
        <v>Normal</v>
      </c>
      <c r="S484" s="5">
        <v>3</v>
      </c>
      <c r="T484" s="5">
        <v>1</v>
      </c>
      <c r="U484" s="5" t="str" cm="1">
        <f t="array" ref="U484">_xlfn.IFS(T484=1,"Poor",T484=2,"Fair",T484=3,"Good",T484=4,"Excellent")</f>
        <v>Poor</v>
      </c>
      <c r="V484" s="5" t="s">
        <v>43</v>
      </c>
      <c r="W484" s="5">
        <v>3</v>
      </c>
      <c r="X484" s="28">
        <f t="shared" ca="1" si="84"/>
        <v>45015</v>
      </c>
      <c r="Y484" s="28">
        <f t="shared" ca="1" si="85"/>
        <v>46476</v>
      </c>
      <c r="Z484" s="28" t="str">
        <f t="shared" ca="1" si="86"/>
        <v>Due Soon</v>
      </c>
      <c r="AA484" s="5" t="str" cm="1">
        <f t="array" ref="AA484">_xlfn.IFS(W484&gt;10,"Veteran",W484&gt;=6,"Experienced",W484&gt;=2,"Developing",W484&gt;=0,"New")</f>
        <v>Developing</v>
      </c>
      <c r="AB484" s="5" t="str" cm="1">
        <f t="array" ref="AB484">_xlfn.IFS(G484=1,"Junior",G484=2,"Mid-Level",G484=3,"Senior",G484=4,"Lead",G484=5,"Principal")&amp;" "&amp;TRIM(PROPER(H484))</f>
        <v>Mid-Level Sales Executive</v>
      </c>
      <c r="AC484" s="19" t="str">
        <f t="shared" ca="1" si="87"/>
        <v>Sa-Sal-2023-483 is a Mid-Level Sales Executive in the Sales department, aged 31, divorced and has been with the Company for 3years</v>
      </c>
    </row>
    <row r="485" spans="1:29">
      <c r="A485" s="18" t="str">
        <f t="shared" ca="1" si="77"/>
        <v>La-Res-2023-484</v>
      </c>
      <c r="B485" s="5">
        <v>35</v>
      </c>
      <c r="C485" s="5" t="str">
        <f t="shared" si="78"/>
        <v>30-39</v>
      </c>
      <c r="D485" s="5" t="s">
        <v>43</v>
      </c>
      <c r="E485" s="5" t="s">
        <v>45</v>
      </c>
      <c r="F485" s="5" t="s">
        <v>46</v>
      </c>
      <c r="G485" s="5">
        <v>2</v>
      </c>
      <c r="H485" s="5" t="s">
        <v>50</v>
      </c>
      <c r="I485" s="5" t="s">
        <v>41</v>
      </c>
      <c r="J485" s="7">
        <v>3681</v>
      </c>
      <c r="K485" s="7">
        <f t="shared" si="79"/>
        <v>552.15</v>
      </c>
      <c r="L485" s="7">
        <f t="shared" si="80"/>
        <v>3128.85</v>
      </c>
      <c r="M485" s="7">
        <v>14004</v>
      </c>
      <c r="N485" s="5" t="s">
        <v>43</v>
      </c>
      <c r="O485" s="5">
        <v>14</v>
      </c>
      <c r="P485" s="7">
        <f t="shared" si="81"/>
        <v>4196.34</v>
      </c>
      <c r="Q485" s="7">
        <f t="shared" si="82"/>
        <v>6184.0800000000017</v>
      </c>
      <c r="R485" s="7" t="str">
        <f t="shared" si="83"/>
        <v>Normal</v>
      </c>
      <c r="S485" s="5">
        <v>3</v>
      </c>
      <c r="T485" s="5">
        <v>3</v>
      </c>
      <c r="U485" s="5" t="str" cm="1">
        <f t="array" ref="U485">_xlfn.IFS(T485=1,"Poor",T485=2,"Fair",T485=3,"Good",T485=4,"Excellent")</f>
        <v>Good</v>
      </c>
      <c r="V485" s="5" t="s">
        <v>43</v>
      </c>
      <c r="W485" s="5">
        <v>3</v>
      </c>
      <c r="X485" s="28">
        <f t="shared" ca="1" si="84"/>
        <v>45015</v>
      </c>
      <c r="Y485" s="28">
        <f t="shared" ca="1" si="85"/>
        <v>46476</v>
      </c>
      <c r="Z485" s="28" t="str">
        <f t="shared" ca="1" si="86"/>
        <v>Due Soon</v>
      </c>
      <c r="AA485" s="5" t="str" cm="1">
        <f t="array" ref="AA485">_xlfn.IFS(W485&gt;10,"Veteran",W485&gt;=6,"Experienced",W485&gt;=2,"Developing",W485&gt;=0,"New")</f>
        <v>Developing</v>
      </c>
      <c r="AB485" s="5" t="str" cm="1">
        <f t="array" ref="AB485">_xlfn.IFS(G485=1,"Junior",G485=2,"Mid-Level",G485=3,"Senior",G485=4,"Lead",G485=5,"Principal")&amp;" "&amp;TRIM(PROPER(H485))</f>
        <v>Mid-Level Laboratory Technician</v>
      </c>
      <c r="AC485" s="19" t="str">
        <f t="shared" ca="1" si="87"/>
        <v>La-Res-2023-484 is a Mid-Level Laboratory Technician in the Research &amp; Development department, aged 35, single and has been with the Company for 3years</v>
      </c>
    </row>
    <row r="486" spans="1:29">
      <c r="A486" s="18" t="str">
        <f t="shared" ca="1" si="77"/>
        <v>Sa-Sal-2019-485</v>
      </c>
      <c r="B486" s="5">
        <v>31</v>
      </c>
      <c r="C486" s="5" t="str">
        <f t="shared" si="78"/>
        <v>30-39</v>
      </c>
      <c r="D486" s="5" t="s">
        <v>43</v>
      </c>
      <c r="E486" s="5" t="s">
        <v>37</v>
      </c>
      <c r="F486" s="5" t="s">
        <v>46</v>
      </c>
      <c r="G486" s="5">
        <v>2</v>
      </c>
      <c r="H486" s="5" t="s">
        <v>40</v>
      </c>
      <c r="I486" s="5" t="s">
        <v>52</v>
      </c>
      <c r="J486" s="7">
        <v>5460</v>
      </c>
      <c r="K486" s="7">
        <f t="shared" si="79"/>
        <v>819</v>
      </c>
      <c r="L486" s="7">
        <f t="shared" si="80"/>
        <v>4641</v>
      </c>
      <c r="M486" s="7">
        <v>6219</v>
      </c>
      <c r="N486" s="5" t="s">
        <v>43</v>
      </c>
      <c r="O486" s="5">
        <v>22</v>
      </c>
      <c r="P486" s="7">
        <f t="shared" si="81"/>
        <v>6661.2</v>
      </c>
      <c r="Q486" s="7">
        <f t="shared" si="82"/>
        <v>14414.399999999998</v>
      </c>
      <c r="R486" s="7" t="str">
        <f t="shared" si="83"/>
        <v>Normal</v>
      </c>
      <c r="S486" s="5">
        <v>4</v>
      </c>
      <c r="T486" s="5">
        <v>4</v>
      </c>
      <c r="U486" s="5" t="str" cm="1">
        <f t="array" ref="U486">_xlfn.IFS(T486=1,"Poor",T486=2,"Fair",T486=3,"Good",T486=4,"Excellent")</f>
        <v>Excellent</v>
      </c>
      <c r="V486" s="5" t="s">
        <v>43</v>
      </c>
      <c r="W486" s="5">
        <v>7</v>
      </c>
      <c r="X486" s="28">
        <f t="shared" ca="1" si="84"/>
        <v>43554</v>
      </c>
      <c r="Y486" s="28">
        <f t="shared" ca="1" si="85"/>
        <v>46476</v>
      </c>
      <c r="Z486" s="28" t="str">
        <f t="shared" ca="1" si="86"/>
        <v>Due Soon</v>
      </c>
      <c r="AA486" s="5" t="str" cm="1">
        <f t="array" ref="AA486">_xlfn.IFS(W486&gt;10,"Veteran",W486&gt;=6,"Experienced",W486&gt;=2,"Developing",W486&gt;=0,"New")</f>
        <v>Experienced</v>
      </c>
      <c r="AB486" s="5" t="str" cm="1">
        <f t="array" ref="AB486">_xlfn.IFS(G486=1,"Junior",G486=2,"Mid-Level",G486=3,"Senior",G486=4,"Lead",G486=5,"Principal")&amp;" "&amp;TRIM(PROPER(H486))</f>
        <v>Mid-Level Sales Executive</v>
      </c>
      <c r="AC486" s="19" t="str">
        <f t="shared" ca="1" si="87"/>
        <v>Sa-Sal-2019-485 is a Mid-Level Sales Executive in the Sales department, aged 31, divorced and has been with the Company for 7years</v>
      </c>
    </row>
    <row r="487" spans="1:29">
      <c r="A487" s="18" t="str">
        <f t="shared" ca="1" si="77"/>
        <v>Re-Res-2021-486</v>
      </c>
      <c r="B487" s="5">
        <v>27</v>
      </c>
      <c r="C487" s="5" t="str">
        <f t="shared" si="78"/>
        <v>20-29</v>
      </c>
      <c r="D487" s="5" t="s">
        <v>43</v>
      </c>
      <c r="E487" s="5" t="s">
        <v>45</v>
      </c>
      <c r="F487" s="5" t="s">
        <v>39</v>
      </c>
      <c r="G487" s="5">
        <v>1</v>
      </c>
      <c r="H487" s="5" t="s">
        <v>47</v>
      </c>
      <c r="I487" s="5" t="s">
        <v>52</v>
      </c>
      <c r="J487" s="7">
        <v>2187</v>
      </c>
      <c r="K487" s="7">
        <f t="shared" si="79"/>
        <v>153.09</v>
      </c>
      <c r="L487" s="7">
        <f t="shared" si="80"/>
        <v>2033.91</v>
      </c>
      <c r="M487" s="7">
        <v>5013</v>
      </c>
      <c r="N487" s="5" t="s">
        <v>43</v>
      </c>
      <c r="O487" s="5">
        <v>12</v>
      </c>
      <c r="P487" s="7">
        <f t="shared" si="81"/>
        <v>2449.44</v>
      </c>
      <c r="Q487" s="7">
        <f t="shared" si="82"/>
        <v>3149.2800000000007</v>
      </c>
      <c r="R487" s="7" t="str">
        <f t="shared" si="83"/>
        <v>Normal</v>
      </c>
      <c r="S487" s="5">
        <v>3</v>
      </c>
      <c r="T487" s="5">
        <v>2</v>
      </c>
      <c r="U487" s="5" t="str" cm="1">
        <f t="array" ref="U487">_xlfn.IFS(T487=1,"Poor",T487=2,"Fair",T487=3,"Good",T487=4,"Excellent")</f>
        <v>Fair</v>
      </c>
      <c r="V487" s="5" t="s">
        <v>43</v>
      </c>
      <c r="W487" s="5">
        <v>5</v>
      </c>
      <c r="X487" s="28">
        <f t="shared" ca="1" si="84"/>
        <v>44285</v>
      </c>
      <c r="Y487" s="28">
        <f t="shared" ca="1" si="85"/>
        <v>46476</v>
      </c>
      <c r="Z487" s="28" t="str">
        <f t="shared" ca="1" si="86"/>
        <v>Due Soon</v>
      </c>
      <c r="AA487" s="5" t="str" cm="1">
        <f t="array" ref="AA487">_xlfn.IFS(W487&gt;10,"Veteran",W487&gt;=6,"Experienced",W487&gt;=2,"Developing",W487&gt;=0,"New")</f>
        <v>Developing</v>
      </c>
      <c r="AB487" s="5" t="str" cm="1">
        <f t="array" ref="AB487">_xlfn.IFS(G487=1,"Junior",G487=2,"Mid-Level",G487=3,"Senior",G487=4,"Lead",G487=5,"Principal")&amp;" "&amp;TRIM(PROPER(H487))</f>
        <v>Junior Research Scientist</v>
      </c>
      <c r="AC487" s="19" t="str">
        <f t="shared" ca="1" si="87"/>
        <v>Re-Res-2021-486 is a Junior Research Scientist in the Research &amp; Development department, aged 27, divorced and has been with the Company for 5years</v>
      </c>
    </row>
    <row r="488" spans="1:29">
      <c r="A488" s="18" t="str">
        <f t="shared" ca="1" si="77"/>
        <v>Sa-Sal-2023-487</v>
      </c>
      <c r="B488" s="5">
        <v>37</v>
      </c>
      <c r="C488" s="5" t="str">
        <f t="shared" si="78"/>
        <v>30-39</v>
      </c>
      <c r="D488" s="5" t="s">
        <v>43</v>
      </c>
      <c r="E488" s="5" t="s">
        <v>37</v>
      </c>
      <c r="F488" s="5" t="s">
        <v>46</v>
      </c>
      <c r="G488" s="5">
        <v>2</v>
      </c>
      <c r="H488" s="5" t="s">
        <v>40</v>
      </c>
      <c r="I488" s="5" t="s">
        <v>48</v>
      </c>
      <c r="J488" s="7">
        <v>9602</v>
      </c>
      <c r="K488" s="7">
        <f t="shared" si="79"/>
        <v>2112.44</v>
      </c>
      <c r="L488" s="7">
        <f t="shared" si="80"/>
        <v>7489.5599999999995</v>
      </c>
      <c r="M488" s="7">
        <v>3010</v>
      </c>
      <c r="N488" s="5" t="s">
        <v>35</v>
      </c>
      <c r="O488" s="5">
        <v>11</v>
      </c>
      <c r="P488" s="7">
        <f t="shared" si="81"/>
        <v>10658.220000000001</v>
      </c>
      <c r="Q488" s="7">
        <f t="shared" si="82"/>
        <v>12674.640000000014</v>
      </c>
      <c r="R488" s="7" t="str">
        <f t="shared" si="83"/>
        <v>Normal</v>
      </c>
      <c r="S488" s="5">
        <v>3</v>
      </c>
      <c r="T488" s="5">
        <v>2</v>
      </c>
      <c r="U488" s="5" t="str" cm="1">
        <f t="array" ref="U488">_xlfn.IFS(T488=1,"Poor",T488=2,"Fair",T488=3,"Good",T488=4,"Excellent")</f>
        <v>Fair</v>
      </c>
      <c r="V488" s="5" t="s">
        <v>35</v>
      </c>
      <c r="W488" s="5">
        <v>3</v>
      </c>
      <c r="X488" s="28">
        <f t="shared" ca="1" si="84"/>
        <v>45015</v>
      </c>
      <c r="Y488" s="28">
        <f t="shared" ca="1" si="85"/>
        <v>46476</v>
      </c>
      <c r="Z488" s="28" t="str">
        <f t="shared" ca="1" si="86"/>
        <v>Due Soon</v>
      </c>
      <c r="AA488" s="5" t="str" cm="1">
        <f t="array" ref="AA488">_xlfn.IFS(W488&gt;10,"Veteran",W488&gt;=6,"Experienced",W488&gt;=2,"Developing",W488&gt;=0,"New")</f>
        <v>Developing</v>
      </c>
      <c r="AB488" s="5" t="str" cm="1">
        <f t="array" ref="AB488">_xlfn.IFS(G488=1,"Junior",G488=2,"Mid-Level",G488=3,"Senior",G488=4,"Lead",G488=5,"Principal")&amp;" "&amp;TRIM(PROPER(H488))</f>
        <v>Mid-Level Sales Executive</v>
      </c>
      <c r="AC488" s="19" t="str">
        <f t="shared" ca="1" si="87"/>
        <v>Sa-Sal-2023-487 is a Mid-Level Sales Executive in the Sales department, aged 37, married and has been with the Company for 3years</v>
      </c>
    </row>
    <row r="489" spans="1:29">
      <c r="A489" s="18" t="str">
        <f t="shared" ca="1" si="77"/>
        <v>Re-Res-2025-488</v>
      </c>
      <c r="B489" s="5">
        <v>20</v>
      </c>
      <c r="C489" s="5" t="str">
        <f t="shared" si="78"/>
        <v>20-29</v>
      </c>
      <c r="D489" s="5" t="s">
        <v>43</v>
      </c>
      <c r="E489" s="5" t="s">
        <v>45</v>
      </c>
      <c r="F489" s="5" t="s">
        <v>39</v>
      </c>
      <c r="G489" s="5">
        <v>1</v>
      </c>
      <c r="H489" s="5" t="s">
        <v>47</v>
      </c>
      <c r="I489" s="5" t="s">
        <v>41</v>
      </c>
      <c r="J489" s="7">
        <v>2836</v>
      </c>
      <c r="K489" s="7">
        <f t="shared" si="79"/>
        <v>198.52</v>
      </c>
      <c r="L489" s="7">
        <f t="shared" si="80"/>
        <v>2637.48</v>
      </c>
      <c r="M489" s="7">
        <v>11757</v>
      </c>
      <c r="N489" s="5" t="s">
        <v>43</v>
      </c>
      <c r="O489" s="5">
        <v>13</v>
      </c>
      <c r="P489" s="7">
        <f t="shared" si="81"/>
        <v>3204.68</v>
      </c>
      <c r="Q489" s="7">
        <f t="shared" si="82"/>
        <v>4424.159999999998</v>
      </c>
      <c r="R489" s="7" t="str">
        <f t="shared" si="83"/>
        <v>Normal</v>
      </c>
      <c r="S489" s="5">
        <v>3</v>
      </c>
      <c r="T489" s="5">
        <v>4</v>
      </c>
      <c r="U489" s="5" t="str" cm="1">
        <f t="array" ref="U489">_xlfn.IFS(T489=1,"Poor",T489=2,"Fair",T489=3,"Good",T489=4,"Excellent")</f>
        <v>Excellent</v>
      </c>
      <c r="V489" s="5" t="s">
        <v>43</v>
      </c>
      <c r="W489" s="5">
        <v>1</v>
      </c>
      <c r="X489" s="28">
        <f t="shared" ca="1" si="84"/>
        <v>45746</v>
      </c>
      <c r="Y489" s="28">
        <f t="shared" ca="1" si="85"/>
        <v>46476</v>
      </c>
      <c r="Z489" s="28" t="str">
        <f t="shared" ca="1" si="86"/>
        <v>Due Soon</v>
      </c>
      <c r="AA489" s="5" t="str" cm="1">
        <f t="array" ref="AA489">_xlfn.IFS(W489&gt;10,"Veteran",W489&gt;=6,"Experienced",W489&gt;=2,"Developing",W489&gt;=0,"New")</f>
        <v>New</v>
      </c>
      <c r="AB489" s="5" t="str" cm="1">
        <f t="array" ref="AB489">_xlfn.IFS(G489=1,"Junior",G489=2,"Mid-Level",G489=3,"Senior",G489=4,"Lead",G489=5,"Principal")&amp;" "&amp;TRIM(PROPER(H489))</f>
        <v>Junior Research Scientist</v>
      </c>
      <c r="AC489" s="19" t="str">
        <f t="shared" ca="1" si="87"/>
        <v>Re-Res-2025-488 is a Junior Research Scientist in the Research &amp; Development department, aged 20, single and has been with the Company for 1years</v>
      </c>
    </row>
    <row r="490" spans="1:29">
      <c r="A490" s="18" t="str">
        <f t="shared" ca="1" si="77"/>
        <v>He-Res-2016-489</v>
      </c>
      <c r="B490" s="5">
        <v>42</v>
      </c>
      <c r="C490" s="5" t="str">
        <f t="shared" si="78"/>
        <v>40-49</v>
      </c>
      <c r="D490" s="5" t="s">
        <v>43</v>
      </c>
      <c r="E490" s="5" t="s">
        <v>45</v>
      </c>
      <c r="F490" s="5" t="s">
        <v>39</v>
      </c>
      <c r="G490" s="5">
        <v>2</v>
      </c>
      <c r="H490" s="5" t="s">
        <v>54</v>
      </c>
      <c r="I490" s="5" t="s">
        <v>48</v>
      </c>
      <c r="J490" s="7">
        <v>4089</v>
      </c>
      <c r="K490" s="7">
        <f t="shared" si="79"/>
        <v>613.35</v>
      </c>
      <c r="L490" s="7">
        <f t="shared" si="80"/>
        <v>3475.65</v>
      </c>
      <c r="M490" s="7">
        <v>5718</v>
      </c>
      <c r="N490" s="5" t="s">
        <v>43</v>
      </c>
      <c r="O490" s="5">
        <v>13</v>
      </c>
      <c r="P490" s="7">
        <f t="shared" si="81"/>
        <v>4620.57</v>
      </c>
      <c r="Q490" s="7">
        <f t="shared" si="82"/>
        <v>6378.8399999999965</v>
      </c>
      <c r="R490" s="7" t="str">
        <f t="shared" si="83"/>
        <v>Normal</v>
      </c>
      <c r="S490" s="5">
        <v>3</v>
      </c>
      <c r="T490" s="5">
        <v>3</v>
      </c>
      <c r="U490" s="5" t="str" cm="1">
        <f t="array" ref="U490">_xlfn.IFS(T490=1,"Poor",T490=2,"Fair",T490=3,"Good",T490=4,"Excellent")</f>
        <v>Good</v>
      </c>
      <c r="V490" s="5" t="s">
        <v>43</v>
      </c>
      <c r="W490" s="5">
        <v>10</v>
      </c>
      <c r="X490" s="28">
        <f t="shared" ca="1" si="84"/>
        <v>42459</v>
      </c>
      <c r="Y490" s="28">
        <f t="shared" ca="1" si="85"/>
        <v>46842</v>
      </c>
      <c r="Z490" s="28" t="str">
        <f t="shared" ca="1" si="86"/>
        <v>Upcoming</v>
      </c>
      <c r="AA490" s="5" t="str" cm="1">
        <f t="array" ref="AA490">_xlfn.IFS(W490&gt;10,"Veteran",W490&gt;=6,"Experienced",W490&gt;=2,"Developing",W490&gt;=0,"New")</f>
        <v>Experienced</v>
      </c>
      <c r="AB490" s="5" t="str" cm="1">
        <f t="array" ref="AB490">_xlfn.IFS(G490=1,"Junior",G490=2,"Mid-Level",G490=3,"Senior",G490=4,"Lead",G490=5,"Principal")&amp;" "&amp;TRIM(PROPER(H490))</f>
        <v>Mid-Level Healthcare Representative</v>
      </c>
      <c r="AC490" s="19" t="str">
        <f t="shared" ca="1" si="87"/>
        <v>He-Res-2016-489 is a Mid-Level Healthcare Representative in the Research &amp; Development department, aged 42, married and has been with the Company for 10years</v>
      </c>
    </row>
    <row r="491" spans="1:29">
      <c r="A491" s="18" t="str">
        <f t="shared" ca="1" si="77"/>
        <v>Re-Res-2025-490</v>
      </c>
      <c r="B491" s="5">
        <v>43</v>
      </c>
      <c r="C491" s="5" t="str">
        <f t="shared" si="78"/>
        <v>40-49</v>
      </c>
      <c r="D491" s="5" t="s">
        <v>43</v>
      </c>
      <c r="E491" s="5" t="s">
        <v>45</v>
      </c>
      <c r="F491" s="5" t="s">
        <v>46</v>
      </c>
      <c r="G491" s="5">
        <v>4</v>
      </c>
      <c r="H491" s="5" t="s">
        <v>58</v>
      </c>
      <c r="I491" s="5" t="s">
        <v>52</v>
      </c>
      <c r="J491" s="7">
        <v>16627</v>
      </c>
      <c r="K491" s="7">
        <f t="shared" si="79"/>
        <v>4988.0999999999995</v>
      </c>
      <c r="L491" s="7">
        <f t="shared" si="80"/>
        <v>11638.900000000001</v>
      </c>
      <c r="M491" s="7">
        <v>2671</v>
      </c>
      <c r="N491" s="5" t="s">
        <v>35</v>
      </c>
      <c r="O491" s="5">
        <v>14</v>
      </c>
      <c r="P491" s="7">
        <f t="shared" si="81"/>
        <v>18954.780000000002</v>
      </c>
      <c r="Q491" s="7">
        <f t="shared" si="82"/>
        <v>27933.36000000003</v>
      </c>
      <c r="R491" s="7" t="str">
        <f t="shared" si="83"/>
        <v>Normal</v>
      </c>
      <c r="S491" s="5">
        <v>3</v>
      </c>
      <c r="T491" s="5">
        <v>2</v>
      </c>
      <c r="U491" s="5" t="str" cm="1">
        <f t="array" ref="U491">_xlfn.IFS(T491=1,"Poor",T491=2,"Fair",T491=3,"Good",T491=4,"Excellent")</f>
        <v>Fair</v>
      </c>
      <c r="V491" s="5" t="s">
        <v>35</v>
      </c>
      <c r="W491" s="5">
        <v>1</v>
      </c>
      <c r="X491" s="28">
        <f t="shared" ca="1" si="84"/>
        <v>45746</v>
      </c>
      <c r="Y491" s="28">
        <f t="shared" ca="1" si="85"/>
        <v>46476</v>
      </c>
      <c r="Z491" s="28" t="str">
        <f t="shared" ca="1" si="86"/>
        <v>Due Soon</v>
      </c>
      <c r="AA491" s="5" t="str" cm="1">
        <f t="array" ref="AA491">_xlfn.IFS(W491&gt;10,"Veteran",W491&gt;=6,"Experienced",W491&gt;=2,"Developing",W491&gt;=0,"New")</f>
        <v>New</v>
      </c>
      <c r="AB491" s="5" t="str" cm="1">
        <f t="array" ref="AB491">_xlfn.IFS(G491=1,"Junior",G491=2,"Mid-Level",G491=3,"Senior",G491=4,"Lead",G491=5,"Principal")&amp;" "&amp;TRIM(PROPER(H491))</f>
        <v>Lead Research Director</v>
      </c>
      <c r="AC491" s="19" t="str">
        <f t="shared" ca="1" si="87"/>
        <v>Re-Res-2025-490 is a Lead Research Director in the Research &amp; Development department, aged 43, divorced and has been with the Company for 1years</v>
      </c>
    </row>
    <row r="492" spans="1:29">
      <c r="A492" s="18" t="str">
        <f t="shared" ca="1" si="77"/>
        <v>Re-Res-2026-491</v>
      </c>
      <c r="B492" s="5">
        <v>38</v>
      </c>
      <c r="C492" s="5" t="str">
        <f t="shared" si="78"/>
        <v>30-39</v>
      </c>
      <c r="D492" s="5" t="s">
        <v>43</v>
      </c>
      <c r="E492" s="5" t="s">
        <v>45</v>
      </c>
      <c r="F492" s="5" t="s">
        <v>39</v>
      </c>
      <c r="G492" s="5">
        <v>1</v>
      </c>
      <c r="H492" s="5" t="s">
        <v>47</v>
      </c>
      <c r="I492" s="5" t="s">
        <v>41</v>
      </c>
      <c r="J492" s="7">
        <v>2619</v>
      </c>
      <c r="K492" s="7">
        <f t="shared" si="79"/>
        <v>183.33</v>
      </c>
      <c r="L492" s="7">
        <f t="shared" si="80"/>
        <v>2435.67</v>
      </c>
      <c r="M492" s="7">
        <v>14561</v>
      </c>
      <c r="N492" s="5" t="s">
        <v>43</v>
      </c>
      <c r="O492" s="5">
        <v>17</v>
      </c>
      <c r="P492" s="7">
        <f t="shared" si="81"/>
        <v>3064.23</v>
      </c>
      <c r="Q492" s="7">
        <f t="shared" si="82"/>
        <v>5342.76</v>
      </c>
      <c r="R492" s="7" t="str">
        <f t="shared" si="83"/>
        <v>Normal</v>
      </c>
      <c r="S492" s="5">
        <v>3</v>
      </c>
      <c r="T492" s="5">
        <v>2</v>
      </c>
      <c r="U492" s="5" t="str" cm="1">
        <f t="array" ref="U492">_xlfn.IFS(T492=1,"Poor",T492=2,"Fair",T492=3,"Good",T492=4,"Excellent")</f>
        <v>Fair</v>
      </c>
      <c r="V492" s="5" t="s">
        <v>43</v>
      </c>
      <c r="W492" s="5">
        <v>0</v>
      </c>
      <c r="X492" s="28">
        <f t="shared" ca="1" si="84"/>
        <v>46111</v>
      </c>
      <c r="Y492" s="28">
        <f t="shared" ca="1" si="85"/>
        <v>46842</v>
      </c>
      <c r="Z492" s="28" t="str">
        <f t="shared" ca="1" si="86"/>
        <v>Upcoming</v>
      </c>
      <c r="AA492" s="5" t="str" cm="1">
        <f t="array" ref="AA492">_xlfn.IFS(W492&gt;10,"Veteran",W492&gt;=6,"Experienced",W492&gt;=2,"Developing",W492&gt;=0,"New")</f>
        <v>New</v>
      </c>
      <c r="AB492" s="5" t="str" cm="1">
        <f t="array" ref="AB492">_xlfn.IFS(G492=1,"Junior",G492=2,"Mid-Level",G492=3,"Senior",G492=4,"Lead",G492=5,"Principal")&amp;" "&amp;TRIM(PROPER(H492))</f>
        <v>Junior Research Scientist</v>
      </c>
      <c r="AC492" s="19" t="str">
        <f t="shared" ca="1" si="87"/>
        <v>Re-Res-2026-491 is a Junior Research Scientist in the Research &amp; Development department, aged 38, single and has been with the Company for 0years</v>
      </c>
    </row>
    <row r="493" spans="1:29">
      <c r="A493" s="18" t="str">
        <f t="shared" ca="1" si="77"/>
        <v>La-Res-2018-492</v>
      </c>
      <c r="B493" s="5">
        <v>43</v>
      </c>
      <c r="C493" s="5" t="str">
        <f t="shared" si="78"/>
        <v>40-49</v>
      </c>
      <c r="D493" s="5" t="s">
        <v>43</v>
      </c>
      <c r="E493" s="5" t="s">
        <v>45</v>
      </c>
      <c r="F493" s="5" t="s">
        <v>46</v>
      </c>
      <c r="G493" s="5">
        <v>2</v>
      </c>
      <c r="H493" s="5" t="s">
        <v>50</v>
      </c>
      <c r="I493" s="5" t="s">
        <v>52</v>
      </c>
      <c r="J493" s="7">
        <v>5679</v>
      </c>
      <c r="K493" s="7">
        <f t="shared" si="79"/>
        <v>851.85</v>
      </c>
      <c r="L493" s="7">
        <f t="shared" si="80"/>
        <v>4827.1499999999996</v>
      </c>
      <c r="M493" s="7">
        <v>19627</v>
      </c>
      <c r="N493" s="5" t="s">
        <v>35</v>
      </c>
      <c r="O493" s="5">
        <v>13</v>
      </c>
      <c r="P493" s="7">
        <f t="shared" si="81"/>
        <v>6417.2699999999995</v>
      </c>
      <c r="Q493" s="7">
        <f t="shared" si="82"/>
        <v>8859.2399999999943</v>
      </c>
      <c r="R493" s="7" t="str">
        <f t="shared" si="83"/>
        <v>Normal</v>
      </c>
      <c r="S493" s="5">
        <v>3</v>
      </c>
      <c r="T493" s="5">
        <v>3</v>
      </c>
      <c r="U493" s="5" t="str" cm="1">
        <f t="array" ref="U493">_xlfn.IFS(T493=1,"Poor",T493=2,"Fair",T493=3,"Good",T493=4,"Excellent")</f>
        <v>Good</v>
      </c>
      <c r="V493" s="5" t="s">
        <v>35</v>
      </c>
      <c r="W493" s="5">
        <v>8</v>
      </c>
      <c r="X493" s="28">
        <f t="shared" ca="1" si="84"/>
        <v>43189</v>
      </c>
      <c r="Y493" s="28">
        <f t="shared" ca="1" si="85"/>
        <v>46842</v>
      </c>
      <c r="Z493" s="28" t="str">
        <f t="shared" ca="1" si="86"/>
        <v>Upcoming</v>
      </c>
      <c r="AA493" s="5" t="str" cm="1">
        <f t="array" ref="AA493">_xlfn.IFS(W493&gt;10,"Veteran",W493&gt;=6,"Experienced",W493&gt;=2,"Developing",W493&gt;=0,"New")</f>
        <v>Experienced</v>
      </c>
      <c r="AB493" s="5" t="str" cm="1">
        <f t="array" ref="AB493">_xlfn.IFS(G493=1,"Junior",G493=2,"Mid-Level",G493=3,"Senior",G493=4,"Lead",G493=5,"Principal")&amp;" "&amp;TRIM(PROPER(H493))</f>
        <v>Mid-Level Laboratory Technician</v>
      </c>
      <c r="AC493" s="19" t="str">
        <f t="shared" ca="1" si="87"/>
        <v>La-Res-2018-492 is a Mid-Level Laboratory Technician in the Research &amp; Development department, aged 43, divorced and has been with the Company for 8years</v>
      </c>
    </row>
    <row r="494" spans="1:29">
      <c r="A494" s="18" t="str">
        <f t="shared" ca="1" si="77"/>
        <v>Ma-Res-2023-493</v>
      </c>
      <c r="B494" s="5">
        <v>48</v>
      </c>
      <c r="C494" s="5" t="str">
        <f t="shared" si="78"/>
        <v>40-49</v>
      </c>
      <c r="D494" s="5" t="s">
        <v>43</v>
      </c>
      <c r="E494" s="5" t="s">
        <v>45</v>
      </c>
      <c r="F494" s="5" t="s">
        <v>39</v>
      </c>
      <c r="G494" s="5">
        <v>4</v>
      </c>
      <c r="H494" s="5" t="s">
        <v>56</v>
      </c>
      <c r="I494" s="5" t="s">
        <v>48</v>
      </c>
      <c r="J494" s="7">
        <v>15402</v>
      </c>
      <c r="K494" s="7">
        <f t="shared" si="79"/>
        <v>4620.5999999999995</v>
      </c>
      <c r="L494" s="7">
        <f t="shared" si="80"/>
        <v>10781.400000000001</v>
      </c>
      <c r="M494" s="7">
        <v>17997</v>
      </c>
      <c r="N494" s="5" t="s">
        <v>43</v>
      </c>
      <c r="O494" s="5">
        <v>11</v>
      </c>
      <c r="P494" s="7">
        <f t="shared" si="81"/>
        <v>17096.22</v>
      </c>
      <c r="Q494" s="7">
        <f t="shared" si="82"/>
        <v>20330.640000000014</v>
      </c>
      <c r="R494" s="7" t="str">
        <f t="shared" si="83"/>
        <v>Normal</v>
      </c>
      <c r="S494" s="5">
        <v>3</v>
      </c>
      <c r="T494" s="5">
        <v>1</v>
      </c>
      <c r="U494" s="5" t="str" cm="1">
        <f t="array" ref="U494">_xlfn.IFS(T494=1,"Poor",T494=2,"Fair",T494=3,"Good",T494=4,"Excellent")</f>
        <v>Poor</v>
      </c>
      <c r="V494" s="5" t="s">
        <v>43</v>
      </c>
      <c r="W494" s="5">
        <v>3</v>
      </c>
      <c r="X494" s="28">
        <f t="shared" ca="1" si="84"/>
        <v>45015</v>
      </c>
      <c r="Y494" s="28">
        <f t="shared" ca="1" si="85"/>
        <v>46476</v>
      </c>
      <c r="Z494" s="28" t="str">
        <f t="shared" ca="1" si="86"/>
        <v>Due Soon</v>
      </c>
      <c r="AA494" s="5" t="str" cm="1">
        <f t="array" ref="AA494">_xlfn.IFS(W494&gt;10,"Veteran",W494&gt;=6,"Experienced",W494&gt;=2,"Developing",W494&gt;=0,"New")</f>
        <v>Developing</v>
      </c>
      <c r="AB494" s="5" t="str" cm="1">
        <f t="array" ref="AB494">_xlfn.IFS(G494=1,"Junior",G494=2,"Mid-Level",G494=3,"Senior",G494=4,"Lead",G494=5,"Principal")&amp;" "&amp;TRIM(PROPER(H494))</f>
        <v>Lead Manager</v>
      </c>
      <c r="AC494" s="19" t="str">
        <f t="shared" ca="1" si="87"/>
        <v>Ma-Res-2023-493 is a Lead Manager in the Research &amp; Development department, aged 48, married and has been with the Company for 3years</v>
      </c>
    </row>
    <row r="495" spans="1:29">
      <c r="A495" s="18" t="str">
        <f t="shared" ca="1" si="77"/>
        <v>Hu-Hum-2024-494</v>
      </c>
      <c r="B495" s="5">
        <v>44</v>
      </c>
      <c r="C495" s="5" t="str">
        <f t="shared" si="78"/>
        <v>40-49</v>
      </c>
      <c r="D495" s="5" t="s">
        <v>43</v>
      </c>
      <c r="E495" s="5" t="s">
        <v>61</v>
      </c>
      <c r="F495" s="5" t="s">
        <v>39</v>
      </c>
      <c r="G495" s="5">
        <v>2</v>
      </c>
      <c r="H495" s="5" t="s">
        <v>61</v>
      </c>
      <c r="I495" s="5" t="s">
        <v>41</v>
      </c>
      <c r="J495" s="7">
        <v>5985</v>
      </c>
      <c r="K495" s="7">
        <f t="shared" si="79"/>
        <v>897.75</v>
      </c>
      <c r="L495" s="7">
        <f t="shared" si="80"/>
        <v>5087.25</v>
      </c>
      <c r="M495" s="7">
        <v>26894</v>
      </c>
      <c r="N495" s="5" t="s">
        <v>43</v>
      </c>
      <c r="O495" s="5">
        <v>11</v>
      </c>
      <c r="P495" s="7">
        <f t="shared" si="81"/>
        <v>6643.35</v>
      </c>
      <c r="Q495" s="7">
        <f t="shared" si="82"/>
        <v>7900.2000000000044</v>
      </c>
      <c r="R495" s="7" t="str">
        <f t="shared" si="83"/>
        <v>Normal</v>
      </c>
      <c r="S495" s="5">
        <v>3</v>
      </c>
      <c r="T495" s="5">
        <v>4</v>
      </c>
      <c r="U495" s="5" t="str" cm="1">
        <f t="array" ref="U495">_xlfn.IFS(T495=1,"Poor",T495=2,"Fair",T495=3,"Good",T495=4,"Excellent")</f>
        <v>Excellent</v>
      </c>
      <c r="V495" s="5" t="s">
        <v>43</v>
      </c>
      <c r="W495" s="5">
        <v>2</v>
      </c>
      <c r="X495" s="28">
        <f t="shared" ca="1" si="84"/>
        <v>45381</v>
      </c>
      <c r="Y495" s="28">
        <f t="shared" ca="1" si="85"/>
        <v>46842</v>
      </c>
      <c r="Z495" s="28" t="str">
        <f t="shared" ca="1" si="86"/>
        <v>Upcoming</v>
      </c>
      <c r="AA495" s="5" t="str" cm="1">
        <f t="array" ref="AA495">_xlfn.IFS(W495&gt;10,"Veteran",W495&gt;=6,"Experienced",W495&gt;=2,"Developing",W495&gt;=0,"New")</f>
        <v>Developing</v>
      </c>
      <c r="AB495" s="5" t="str" cm="1">
        <f t="array" ref="AB495">_xlfn.IFS(G495=1,"Junior",G495=2,"Mid-Level",G495=3,"Senior",G495=4,"Lead",G495=5,"Principal")&amp;" "&amp;TRIM(PROPER(H495))</f>
        <v>Mid-Level Human Resources</v>
      </c>
      <c r="AC495" s="19" t="str">
        <f t="shared" ca="1" si="87"/>
        <v>Hu-Hum-2024-494 is a Mid-Level Human Resources in the Human Resources department, aged 44, single and has been with the Company for 2years</v>
      </c>
    </row>
    <row r="496" spans="1:29">
      <c r="A496" s="18" t="str">
        <f t="shared" ca="1" si="77"/>
        <v>Sa-Sal-2018-495</v>
      </c>
      <c r="B496" s="5">
        <v>34</v>
      </c>
      <c r="C496" s="5" t="str">
        <f t="shared" si="78"/>
        <v>30-39</v>
      </c>
      <c r="D496" s="5" t="s">
        <v>43</v>
      </c>
      <c r="E496" s="5" t="s">
        <v>37</v>
      </c>
      <c r="F496" s="5" t="s">
        <v>39</v>
      </c>
      <c r="G496" s="5">
        <v>1</v>
      </c>
      <c r="H496" s="5" t="s">
        <v>57</v>
      </c>
      <c r="I496" s="5" t="s">
        <v>52</v>
      </c>
      <c r="J496" s="7">
        <v>2579</v>
      </c>
      <c r="K496" s="7">
        <f t="shared" si="79"/>
        <v>180.53000000000003</v>
      </c>
      <c r="L496" s="7">
        <f t="shared" si="80"/>
        <v>2398.4699999999998</v>
      </c>
      <c r="M496" s="7">
        <v>2912</v>
      </c>
      <c r="N496" s="5" t="s">
        <v>35</v>
      </c>
      <c r="O496" s="5">
        <v>18</v>
      </c>
      <c r="P496" s="7">
        <f t="shared" si="81"/>
        <v>3043.22</v>
      </c>
      <c r="Q496" s="7">
        <f t="shared" si="82"/>
        <v>5570.6399999999976</v>
      </c>
      <c r="R496" s="7" t="str">
        <f t="shared" si="83"/>
        <v>Normal</v>
      </c>
      <c r="S496" s="5">
        <v>3</v>
      </c>
      <c r="T496" s="5">
        <v>3</v>
      </c>
      <c r="U496" s="5" t="str" cm="1">
        <f t="array" ref="U496">_xlfn.IFS(T496=1,"Poor",T496=2,"Fair",T496=3,"Good",T496=4,"Excellent")</f>
        <v>Good</v>
      </c>
      <c r="V496" s="5" t="s">
        <v>35</v>
      </c>
      <c r="W496" s="5">
        <v>8</v>
      </c>
      <c r="X496" s="28">
        <f t="shared" ca="1" si="84"/>
        <v>43189</v>
      </c>
      <c r="Y496" s="28">
        <f t="shared" ca="1" si="85"/>
        <v>46842</v>
      </c>
      <c r="Z496" s="28" t="str">
        <f t="shared" ca="1" si="86"/>
        <v>Upcoming</v>
      </c>
      <c r="AA496" s="5" t="str" cm="1">
        <f t="array" ref="AA496">_xlfn.IFS(W496&gt;10,"Veteran",W496&gt;=6,"Experienced",W496&gt;=2,"Developing",W496&gt;=0,"New")</f>
        <v>Experienced</v>
      </c>
      <c r="AB496" s="5" t="str" cm="1">
        <f t="array" ref="AB496">_xlfn.IFS(G496=1,"Junior",G496=2,"Mid-Level",G496=3,"Senior",G496=4,"Lead",G496=5,"Principal")&amp;" "&amp;TRIM(PROPER(H496))</f>
        <v>Junior Sales Representative</v>
      </c>
      <c r="AC496" s="19" t="str">
        <f t="shared" ca="1" si="87"/>
        <v>Sa-Sal-2018-495 is a Junior Sales Representative in the Sales department, aged 34, divorced and has been with the Company for 8years</v>
      </c>
    </row>
    <row r="497" spans="1:29">
      <c r="A497" s="18" t="str">
        <f t="shared" ca="1" si="77"/>
        <v>Sa-Sal-2022-496</v>
      </c>
      <c r="B497" s="5">
        <v>27</v>
      </c>
      <c r="C497" s="5" t="str">
        <f t="shared" si="78"/>
        <v>20-29</v>
      </c>
      <c r="D497" s="5" t="s">
        <v>35</v>
      </c>
      <c r="E497" s="5" t="s">
        <v>37</v>
      </c>
      <c r="F497" s="5" t="s">
        <v>46</v>
      </c>
      <c r="G497" s="5">
        <v>1</v>
      </c>
      <c r="H497" s="5" t="s">
        <v>57</v>
      </c>
      <c r="I497" s="5" t="s">
        <v>52</v>
      </c>
      <c r="J497" s="7">
        <v>3041</v>
      </c>
      <c r="K497" s="7">
        <f t="shared" si="79"/>
        <v>456.15</v>
      </c>
      <c r="L497" s="7">
        <f t="shared" si="80"/>
        <v>2584.85</v>
      </c>
      <c r="M497" s="7">
        <v>16346</v>
      </c>
      <c r="N497" s="5" t="s">
        <v>43</v>
      </c>
      <c r="O497" s="5">
        <v>11</v>
      </c>
      <c r="P497" s="7">
        <f t="shared" si="81"/>
        <v>3375.51</v>
      </c>
      <c r="Q497" s="7">
        <f t="shared" si="82"/>
        <v>4014.1200000000026</v>
      </c>
      <c r="R497" s="7" t="str">
        <f t="shared" si="83"/>
        <v>Normal</v>
      </c>
      <c r="S497" s="5">
        <v>3</v>
      </c>
      <c r="T497" s="5">
        <v>3</v>
      </c>
      <c r="U497" s="5" t="str" cm="1">
        <f t="array" ref="U497">_xlfn.IFS(T497=1,"Poor",T497=2,"Fair",T497=3,"Good",T497=4,"Excellent")</f>
        <v>Good</v>
      </c>
      <c r="V497" s="5" t="s">
        <v>43</v>
      </c>
      <c r="W497" s="5">
        <v>4</v>
      </c>
      <c r="X497" s="28">
        <f t="shared" ca="1" si="84"/>
        <v>44650</v>
      </c>
      <c r="Y497" s="28">
        <f t="shared" ca="1" si="85"/>
        <v>46842</v>
      </c>
      <c r="Z497" s="28" t="str">
        <f t="shared" ca="1" si="86"/>
        <v>Upcoming</v>
      </c>
      <c r="AA497" s="5" t="str" cm="1">
        <f t="array" ref="AA497">_xlfn.IFS(W497&gt;10,"Veteran",W497&gt;=6,"Experienced",W497&gt;=2,"Developing",W497&gt;=0,"New")</f>
        <v>Developing</v>
      </c>
      <c r="AB497" s="5" t="str" cm="1">
        <f t="array" ref="AB497">_xlfn.IFS(G497=1,"Junior",G497=2,"Mid-Level",G497=3,"Senior",G497=4,"Lead",G497=5,"Principal")&amp;" "&amp;TRIM(PROPER(H497))</f>
        <v>Junior Sales Representative</v>
      </c>
      <c r="AC497" s="19" t="str">
        <f t="shared" ca="1" si="87"/>
        <v>Sa-Sal-2022-496 is a Junior Sales Representative in the Sales department, aged 27, divorced and has been with the Company for 4years</v>
      </c>
    </row>
    <row r="498" spans="1:29">
      <c r="A498" s="18" t="str">
        <f t="shared" ca="1" si="77"/>
        <v>Sa-Sal-2023-497</v>
      </c>
      <c r="B498" s="5">
        <v>21</v>
      </c>
      <c r="C498" s="5" t="str">
        <f t="shared" si="78"/>
        <v>20-29</v>
      </c>
      <c r="D498" s="5" t="s">
        <v>43</v>
      </c>
      <c r="E498" s="5" t="s">
        <v>37</v>
      </c>
      <c r="F498" s="5" t="s">
        <v>46</v>
      </c>
      <c r="G498" s="5">
        <v>1</v>
      </c>
      <c r="H498" s="5" t="s">
        <v>57</v>
      </c>
      <c r="I498" s="5" t="s">
        <v>41</v>
      </c>
      <c r="J498" s="7">
        <v>3447</v>
      </c>
      <c r="K498" s="7">
        <f t="shared" si="79"/>
        <v>517.04999999999995</v>
      </c>
      <c r="L498" s="7">
        <f t="shared" si="80"/>
        <v>2929.95</v>
      </c>
      <c r="M498" s="7">
        <v>24444</v>
      </c>
      <c r="N498" s="5" t="s">
        <v>43</v>
      </c>
      <c r="O498" s="5">
        <v>11</v>
      </c>
      <c r="P498" s="7">
        <f t="shared" si="81"/>
        <v>3826.1700000000005</v>
      </c>
      <c r="Q498" s="7">
        <f t="shared" si="82"/>
        <v>4550.0400000000063</v>
      </c>
      <c r="R498" s="7" t="str">
        <f t="shared" si="83"/>
        <v>Normal</v>
      </c>
      <c r="S498" s="5">
        <v>3</v>
      </c>
      <c r="T498" s="5">
        <v>3</v>
      </c>
      <c r="U498" s="5" t="str" cm="1">
        <f t="array" ref="U498">_xlfn.IFS(T498=1,"Poor",T498=2,"Fair",T498=3,"Good",T498=4,"Excellent")</f>
        <v>Good</v>
      </c>
      <c r="V498" s="5" t="s">
        <v>43</v>
      </c>
      <c r="W498" s="5">
        <v>3</v>
      </c>
      <c r="X498" s="28">
        <f t="shared" ca="1" si="84"/>
        <v>45015</v>
      </c>
      <c r="Y498" s="28">
        <f t="shared" ca="1" si="85"/>
        <v>46476</v>
      </c>
      <c r="Z498" s="28" t="str">
        <f t="shared" ca="1" si="86"/>
        <v>Due Soon</v>
      </c>
      <c r="AA498" s="5" t="str" cm="1">
        <f t="array" ref="AA498">_xlfn.IFS(W498&gt;10,"Veteran",W498&gt;=6,"Experienced",W498&gt;=2,"Developing",W498&gt;=0,"New")</f>
        <v>Developing</v>
      </c>
      <c r="AB498" s="5" t="str" cm="1">
        <f t="array" ref="AB498">_xlfn.IFS(G498=1,"Junior",G498=2,"Mid-Level",G498=3,"Senior",G498=4,"Lead",G498=5,"Principal")&amp;" "&amp;TRIM(PROPER(H498))</f>
        <v>Junior Sales Representative</v>
      </c>
      <c r="AC498" s="19" t="str">
        <f t="shared" ca="1" si="87"/>
        <v>Sa-Sal-2023-497 is a Junior Sales Representative in the Sales department, aged 21, single and has been with the Company for 3years</v>
      </c>
    </row>
    <row r="499" spans="1:29">
      <c r="A499" s="18" t="str">
        <f t="shared" ca="1" si="77"/>
        <v>Ma-Res-2024-498</v>
      </c>
      <c r="B499" s="5">
        <v>44</v>
      </c>
      <c r="C499" s="5" t="str">
        <f t="shared" si="78"/>
        <v>40-49</v>
      </c>
      <c r="D499" s="5" t="s">
        <v>43</v>
      </c>
      <c r="E499" s="5" t="s">
        <v>45</v>
      </c>
      <c r="F499" s="5" t="s">
        <v>46</v>
      </c>
      <c r="G499" s="5">
        <v>5</v>
      </c>
      <c r="H499" s="5" t="s">
        <v>56</v>
      </c>
      <c r="I499" s="5" t="s">
        <v>48</v>
      </c>
      <c r="J499" s="7">
        <v>19513</v>
      </c>
      <c r="K499" s="7">
        <f t="shared" si="79"/>
        <v>5853.9</v>
      </c>
      <c r="L499" s="7">
        <f t="shared" si="80"/>
        <v>13659.1</v>
      </c>
      <c r="M499" s="7">
        <v>9358</v>
      </c>
      <c r="N499" s="5" t="s">
        <v>35</v>
      </c>
      <c r="O499" s="5">
        <v>12</v>
      </c>
      <c r="P499" s="7">
        <f t="shared" si="81"/>
        <v>21854.560000000001</v>
      </c>
      <c r="Q499" s="7">
        <f t="shared" si="82"/>
        <v>28098.720000000016</v>
      </c>
      <c r="R499" s="7" t="str">
        <f t="shared" si="83"/>
        <v>Normal</v>
      </c>
      <c r="S499" s="5">
        <v>3</v>
      </c>
      <c r="T499" s="5">
        <v>4</v>
      </c>
      <c r="U499" s="5" t="str" cm="1">
        <f t="array" ref="U499">_xlfn.IFS(T499=1,"Poor",T499=2,"Fair",T499=3,"Good",T499=4,"Excellent")</f>
        <v>Excellent</v>
      </c>
      <c r="V499" s="5" t="s">
        <v>35</v>
      </c>
      <c r="W499" s="5">
        <v>2</v>
      </c>
      <c r="X499" s="28">
        <f t="shared" ca="1" si="84"/>
        <v>45381</v>
      </c>
      <c r="Y499" s="28">
        <f t="shared" ca="1" si="85"/>
        <v>46842</v>
      </c>
      <c r="Z499" s="28" t="str">
        <f t="shared" ca="1" si="86"/>
        <v>Upcoming</v>
      </c>
      <c r="AA499" s="5" t="str" cm="1">
        <f t="array" ref="AA499">_xlfn.IFS(W499&gt;10,"Veteran",W499&gt;=6,"Experienced",W499&gt;=2,"Developing",W499&gt;=0,"New")</f>
        <v>Developing</v>
      </c>
      <c r="AB499" s="5" t="str" cm="1">
        <f t="array" ref="AB499">_xlfn.IFS(G499=1,"Junior",G499=2,"Mid-Level",G499=3,"Senior",G499=4,"Lead",G499=5,"Principal")&amp;" "&amp;TRIM(PROPER(H499))</f>
        <v>Principal Manager</v>
      </c>
      <c r="AC499" s="19" t="str">
        <f t="shared" ca="1" si="87"/>
        <v>Ma-Res-2024-498 is a Principal Manager in the Research &amp; Development department, aged 44, married and has been with the Company for 2years</v>
      </c>
    </row>
    <row r="500" spans="1:29">
      <c r="A500" s="18" t="str">
        <f t="shared" ca="1" si="77"/>
        <v>Re-Res-2024-499</v>
      </c>
      <c r="B500" s="5">
        <v>22</v>
      </c>
      <c r="C500" s="5" t="str">
        <f t="shared" si="78"/>
        <v>20-29</v>
      </c>
      <c r="D500" s="5" t="s">
        <v>43</v>
      </c>
      <c r="E500" s="5" t="s">
        <v>45</v>
      </c>
      <c r="F500" s="5" t="s">
        <v>46</v>
      </c>
      <c r="G500" s="5">
        <v>1</v>
      </c>
      <c r="H500" s="5" t="s">
        <v>47</v>
      </c>
      <c r="I500" s="5" t="s">
        <v>48</v>
      </c>
      <c r="J500" s="7">
        <v>2773</v>
      </c>
      <c r="K500" s="7">
        <f t="shared" si="79"/>
        <v>194.11</v>
      </c>
      <c r="L500" s="7">
        <f t="shared" si="80"/>
        <v>2578.89</v>
      </c>
      <c r="M500" s="7">
        <v>12145</v>
      </c>
      <c r="N500" s="5" t="s">
        <v>43</v>
      </c>
      <c r="O500" s="5">
        <v>20</v>
      </c>
      <c r="P500" s="7">
        <f t="shared" si="81"/>
        <v>3327.6</v>
      </c>
      <c r="Q500" s="7">
        <f t="shared" si="82"/>
        <v>6655.1999999999989</v>
      </c>
      <c r="R500" s="7" t="str">
        <f t="shared" si="83"/>
        <v>Normal</v>
      </c>
      <c r="S500" s="5">
        <v>4</v>
      </c>
      <c r="T500" s="5">
        <v>3</v>
      </c>
      <c r="U500" s="5" t="str" cm="1">
        <f t="array" ref="U500">_xlfn.IFS(T500=1,"Poor",T500=2,"Fair",T500=3,"Good",T500=4,"Excellent")</f>
        <v>Good</v>
      </c>
      <c r="V500" s="5" t="s">
        <v>43</v>
      </c>
      <c r="W500" s="5">
        <v>2</v>
      </c>
      <c r="X500" s="28">
        <f t="shared" ca="1" si="84"/>
        <v>45381</v>
      </c>
      <c r="Y500" s="28">
        <f t="shared" ca="1" si="85"/>
        <v>46842</v>
      </c>
      <c r="Z500" s="28" t="str">
        <f t="shared" ca="1" si="86"/>
        <v>Upcoming</v>
      </c>
      <c r="AA500" s="5" t="str" cm="1">
        <f t="array" ref="AA500">_xlfn.IFS(W500&gt;10,"Veteran",W500&gt;=6,"Experienced",W500&gt;=2,"Developing",W500&gt;=0,"New")</f>
        <v>Developing</v>
      </c>
      <c r="AB500" s="5" t="str" cm="1">
        <f t="array" ref="AB500">_xlfn.IFS(G500=1,"Junior",G500=2,"Mid-Level",G500=3,"Senior",G500=4,"Lead",G500=5,"Principal")&amp;" "&amp;TRIM(PROPER(H500))</f>
        <v>Junior Research Scientist</v>
      </c>
      <c r="AC500" s="19" t="str">
        <f t="shared" ca="1" si="87"/>
        <v>Re-Res-2024-499 is a Junior Research Scientist in the Research &amp; Development department, aged 22, married and has been with the Company for 2years</v>
      </c>
    </row>
    <row r="501" spans="1:29">
      <c r="A501" s="18" t="str">
        <f t="shared" ca="1" si="77"/>
        <v>Sa-Sal-2021-500</v>
      </c>
      <c r="B501" s="5">
        <v>33</v>
      </c>
      <c r="C501" s="5" t="str">
        <f t="shared" si="78"/>
        <v>30-39</v>
      </c>
      <c r="D501" s="5" t="s">
        <v>43</v>
      </c>
      <c r="E501" s="5" t="s">
        <v>37</v>
      </c>
      <c r="F501" s="5" t="s">
        <v>46</v>
      </c>
      <c r="G501" s="5">
        <v>2</v>
      </c>
      <c r="H501" s="5" t="s">
        <v>40</v>
      </c>
      <c r="I501" s="5" t="s">
        <v>52</v>
      </c>
      <c r="J501" s="7">
        <v>7104</v>
      </c>
      <c r="K501" s="7">
        <f t="shared" si="79"/>
        <v>1562.88</v>
      </c>
      <c r="L501" s="7">
        <f t="shared" si="80"/>
        <v>5541.12</v>
      </c>
      <c r="M501" s="7">
        <v>20431</v>
      </c>
      <c r="N501" s="5" t="s">
        <v>43</v>
      </c>
      <c r="O501" s="5">
        <v>12</v>
      </c>
      <c r="P501" s="7">
        <f t="shared" si="81"/>
        <v>7956.4800000000005</v>
      </c>
      <c r="Q501" s="7">
        <f t="shared" si="82"/>
        <v>10229.760000000006</v>
      </c>
      <c r="R501" s="7" t="str">
        <f t="shared" si="83"/>
        <v>Normal</v>
      </c>
      <c r="S501" s="5">
        <v>3</v>
      </c>
      <c r="T501" s="5">
        <v>3</v>
      </c>
      <c r="U501" s="5" t="str" cm="1">
        <f t="array" ref="U501">_xlfn.IFS(T501=1,"Poor",T501=2,"Fair",T501=3,"Good",T501=4,"Excellent")</f>
        <v>Good</v>
      </c>
      <c r="V501" s="5" t="s">
        <v>43</v>
      </c>
      <c r="W501" s="5">
        <v>5</v>
      </c>
      <c r="X501" s="28">
        <f t="shared" ca="1" si="84"/>
        <v>44285</v>
      </c>
      <c r="Y501" s="28">
        <f t="shared" ca="1" si="85"/>
        <v>46476</v>
      </c>
      <c r="Z501" s="28" t="str">
        <f t="shared" ca="1" si="86"/>
        <v>Due Soon</v>
      </c>
      <c r="AA501" s="5" t="str" cm="1">
        <f t="array" ref="AA501">_xlfn.IFS(W501&gt;10,"Veteran",W501&gt;=6,"Experienced",W501&gt;=2,"Developing",W501&gt;=0,"New")</f>
        <v>Developing</v>
      </c>
      <c r="AB501" s="5" t="str" cm="1">
        <f t="array" ref="AB501">_xlfn.IFS(G501=1,"Junior",G501=2,"Mid-Level",G501=3,"Senior",G501=4,"Lead",G501=5,"Principal")&amp;" "&amp;TRIM(PROPER(H501))</f>
        <v>Mid-Level Sales Executive</v>
      </c>
      <c r="AC501" s="19" t="str">
        <f t="shared" ca="1" si="87"/>
        <v>Sa-Sal-2021-500 is a Mid-Level Sales Executive in the Sales department, aged 33, divorced and has been with the Company for 5years</v>
      </c>
    </row>
    <row r="502" spans="1:29">
      <c r="A502" s="18" t="str">
        <f t="shared" ca="1" si="77"/>
        <v>Re-Res-2020-501</v>
      </c>
      <c r="B502" s="5">
        <v>32</v>
      </c>
      <c r="C502" s="5" t="str">
        <f t="shared" si="78"/>
        <v>30-39</v>
      </c>
      <c r="D502" s="5" t="s">
        <v>43</v>
      </c>
      <c r="E502" s="5" t="s">
        <v>45</v>
      </c>
      <c r="F502" s="5" t="s">
        <v>39</v>
      </c>
      <c r="G502" s="5">
        <v>2</v>
      </c>
      <c r="H502" s="5" t="s">
        <v>47</v>
      </c>
      <c r="I502" s="5" t="s">
        <v>48</v>
      </c>
      <c r="J502" s="7">
        <v>6322</v>
      </c>
      <c r="K502" s="7">
        <f t="shared" si="79"/>
        <v>948.3</v>
      </c>
      <c r="L502" s="7">
        <f t="shared" si="80"/>
        <v>5373.7</v>
      </c>
      <c r="M502" s="7">
        <v>18089</v>
      </c>
      <c r="N502" s="5" t="s">
        <v>35</v>
      </c>
      <c r="O502" s="5">
        <v>12</v>
      </c>
      <c r="P502" s="7">
        <f t="shared" si="81"/>
        <v>7080.64</v>
      </c>
      <c r="Q502" s="7">
        <f t="shared" si="82"/>
        <v>9103.6800000000039</v>
      </c>
      <c r="R502" s="7" t="str">
        <f t="shared" si="83"/>
        <v>Normal</v>
      </c>
      <c r="S502" s="5">
        <v>3</v>
      </c>
      <c r="T502" s="5">
        <v>2</v>
      </c>
      <c r="U502" s="5" t="str" cm="1">
        <f t="array" ref="U502">_xlfn.IFS(T502=1,"Poor",T502=2,"Fair",T502=3,"Good",T502=4,"Excellent")</f>
        <v>Fair</v>
      </c>
      <c r="V502" s="5" t="s">
        <v>35</v>
      </c>
      <c r="W502" s="5">
        <v>6</v>
      </c>
      <c r="X502" s="28">
        <f t="shared" ca="1" si="84"/>
        <v>43920</v>
      </c>
      <c r="Y502" s="28">
        <f t="shared" ca="1" si="85"/>
        <v>46842</v>
      </c>
      <c r="Z502" s="28" t="str">
        <f t="shared" ca="1" si="86"/>
        <v>Upcoming</v>
      </c>
      <c r="AA502" s="5" t="str" cm="1">
        <f t="array" ref="AA502">_xlfn.IFS(W502&gt;10,"Veteran",W502&gt;=6,"Experienced",W502&gt;=2,"Developing",W502&gt;=0,"New")</f>
        <v>Experienced</v>
      </c>
      <c r="AB502" s="5" t="str" cm="1">
        <f t="array" ref="AB502">_xlfn.IFS(G502=1,"Junior",G502=2,"Mid-Level",G502=3,"Senior",G502=4,"Lead",G502=5,"Principal")&amp;" "&amp;TRIM(PROPER(H502))</f>
        <v>Mid-Level Research Scientist</v>
      </c>
      <c r="AC502" s="19" t="str">
        <f t="shared" ca="1" si="87"/>
        <v>Re-Res-2020-501 is a Mid-Level Research Scientist in the Research &amp; Development department, aged 32, married and has been with the Company for 6years</v>
      </c>
    </row>
    <row r="503" spans="1:29">
      <c r="A503" s="18" t="str">
        <f t="shared" ca="1" si="77"/>
        <v>Re-Res-2025-502</v>
      </c>
      <c r="B503" s="5">
        <v>30</v>
      </c>
      <c r="C503" s="5" t="str">
        <f t="shared" si="78"/>
        <v>30-39</v>
      </c>
      <c r="D503" s="5" t="s">
        <v>43</v>
      </c>
      <c r="E503" s="5" t="s">
        <v>45</v>
      </c>
      <c r="F503" s="5" t="s">
        <v>39</v>
      </c>
      <c r="G503" s="5">
        <v>1</v>
      </c>
      <c r="H503" s="5" t="s">
        <v>47</v>
      </c>
      <c r="I503" s="5" t="s">
        <v>52</v>
      </c>
      <c r="J503" s="7">
        <v>2083</v>
      </c>
      <c r="K503" s="7">
        <f t="shared" si="79"/>
        <v>145.81</v>
      </c>
      <c r="L503" s="7">
        <f t="shared" si="80"/>
        <v>1937.19</v>
      </c>
      <c r="M503" s="7">
        <v>22653</v>
      </c>
      <c r="N503" s="5" t="s">
        <v>43</v>
      </c>
      <c r="O503" s="5">
        <v>20</v>
      </c>
      <c r="P503" s="7">
        <f t="shared" si="81"/>
        <v>2499.6</v>
      </c>
      <c r="Q503" s="7">
        <f t="shared" si="82"/>
        <v>4999.1999999999989</v>
      </c>
      <c r="R503" s="7" t="str">
        <f t="shared" si="83"/>
        <v>Normal</v>
      </c>
      <c r="S503" s="5">
        <v>4</v>
      </c>
      <c r="T503" s="5">
        <v>3</v>
      </c>
      <c r="U503" s="5" t="str" cm="1">
        <f t="array" ref="U503">_xlfn.IFS(T503=1,"Poor",T503=2,"Fair",T503=3,"Good",T503=4,"Excellent")</f>
        <v>Good</v>
      </c>
      <c r="V503" s="5" t="s">
        <v>43</v>
      </c>
      <c r="W503" s="5">
        <v>1</v>
      </c>
      <c r="X503" s="28">
        <f t="shared" ca="1" si="84"/>
        <v>45746</v>
      </c>
      <c r="Y503" s="28">
        <f t="shared" ca="1" si="85"/>
        <v>46476</v>
      </c>
      <c r="Z503" s="28" t="str">
        <f t="shared" ca="1" si="86"/>
        <v>Due Soon</v>
      </c>
      <c r="AA503" s="5" t="str" cm="1">
        <f t="array" ref="AA503">_xlfn.IFS(W503&gt;10,"Veteran",W503&gt;=6,"Experienced",W503&gt;=2,"Developing",W503&gt;=0,"New")</f>
        <v>New</v>
      </c>
      <c r="AB503" s="5" t="str" cm="1">
        <f t="array" ref="AB503">_xlfn.IFS(G503=1,"Junior",G503=2,"Mid-Level",G503=3,"Senior",G503=4,"Lead",G503=5,"Principal")&amp;" "&amp;TRIM(PROPER(H503))</f>
        <v>Junior Research Scientist</v>
      </c>
      <c r="AC503" s="19" t="str">
        <f t="shared" ca="1" si="87"/>
        <v>Re-Res-2025-502 is a Junior Research Scientist in the Research &amp; Development department, aged 30, divorced and has been with the Company for 1years</v>
      </c>
    </row>
    <row r="504" spans="1:29">
      <c r="A504" s="18" t="str">
        <f t="shared" ca="1" si="77"/>
        <v>Sa-Sal-2012-503</v>
      </c>
      <c r="B504" s="5">
        <v>53</v>
      </c>
      <c r="C504" s="5" t="str">
        <f t="shared" si="78"/>
        <v>50+</v>
      </c>
      <c r="D504" s="5" t="s">
        <v>43</v>
      </c>
      <c r="E504" s="5" t="s">
        <v>37</v>
      </c>
      <c r="F504" s="5" t="s">
        <v>39</v>
      </c>
      <c r="G504" s="5">
        <v>2</v>
      </c>
      <c r="H504" s="5" t="s">
        <v>40</v>
      </c>
      <c r="I504" s="5" t="s">
        <v>41</v>
      </c>
      <c r="J504" s="7">
        <v>8381</v>
      </c>
      <c r="K504" s="7">
        <f t="shared" si="79"/>
        <v>1843.82</v>
      </c>
      <c r="L504" s="7">
        <f t="shared" si="80"/>
        <v>6537.18</v>
      </c>
      <c r="M504" s="7">
        <v>7507</v>
      </c>
      <c r="N504" s="5" t="s">
        <v>43</v>
      </c>
      <c r="O504" s="5">
        <v>20</v>
      </c>
      <c r="P504" s="7">
        <f t="shared" si="81"/>
        <v>10057.199999999999</v>
      </c>
      <c r="Q504" s="7">
        <f t="shared" si="82"/>
        <v>20114.399999999987</v>
      </c>
      <c r="R504" s="7" t="str">
        <f t="shared" si="83"/>
        <v>Normal</v>
      </c>
      <c r="S504" s="5">
        <v>4</v>
      </c>
      <c r="T504" s="5">
        <v>4</v>
      </c>
      <c r="U504" s="5" t="str" cm="1">
        <f t="array" ref="U504">_xlfn.IFS(T504=1,"Poor",T504=2,"Fair",T504=3,"Good",T504=4,"Excellent")</f>
        <v>Excellent</v>
      </c>
      <c r="V504" s="5" t="s">
        <v>43</v>
      </c>
      <c r="W504" s="5">
        <v>14</v>
      </c>
      <c r="X504" s="28">
        <f t="shared" ca="1" si="84"/>
        <v>40998</v>
      </c>
      <c r="Y504" s="28">
        <f t="shared" ca="1" si="85"/>
        <v>46842</v>
      </c>
      <c r="Z504" s="28" t="str">
        <f t="shared" ca="1" si="86"/>
        <v>Upcoming</v>
      </c>
      <c r="AA504" s="5" t="str" cm="1">
        <f t="array" ref="AA504">_xlfn.IFS(W504&gt;10,"Veteran",W504&gt;=6,"Experienced",W504&gt;=2,"Developing",W504&gt;=0,"New")</f>
        <v>Veteran</v>
      </c>
      <c r="AB504" s="5" t="str" cm="1">
        <f t="array" ref="AB504">_xlfn.IFS(G504=1,"Junior",G504=2,"Mid-Level",G504=3,"Senior",G504=4,"Lead",G504=5,"Principal")&amp;" "&amp;TRIM(PROPER(H504))</f>
        <v>Mid-Level Sales Executive</v>
      </c>
      <c r="AC504" s="19" t="str">
        <f t="shared" ca="1" si="87"/>
        <v>Sa-Sal-2012-503 is a Mid-Level Sales Executive in the Sales department, aged 53, single and has been with the Company for 14years</v>
      </c>
    </row>
    <row r="505" spans="1:29">
      <c r="A505" s="18" t="str">
        <f t="shared" ca="1" si="77"/>
        <v>Re-Res-2016-504</v>
      </c>
      <c r="B505" s="5">
        <v>34</v>
      </c>
      <c r="C505" s="5" t="str">
        <f t="shared" si="78"/>
        <v>30-39</v>
      </c>
      <c r="D505" s="5" t="s">
        <v>43</v>
      </c>
      <c r="E505" s="5" t="s">
        <v>45</v>
      </c>
      <c r="F505" s="5" t="s">
        <v>46</v>
      </c>
      <c r="G505" s="5">
        <v>1</v>
      </c>
      <c r="H505" s="5" t="s">
        <v>47</v>
      </c>
      <c r="I505" s="5" t="s">
        <v>48</v>
      </c>
      <c r="J505" s="7">
        <v>2691</v>
      </c>
      <c r="K505" s="7">
        <f t="shared" si="79"/>
        <v>188.37</v>
      </c>
      <c r="L505" s="7">
        <f t="shared" si="80"/>
        <v>2502.63</v>
      </c>
      <c r="M505" s="7">
        <v>7660</v>
      </c>
      <c r="N505" s="5" t="s">
        <v>43</v>
      </c>
      <c r="O505" s="5">
        <v>12</v>
      </c>
      <c r="P505" s="7">
        <f t="shared" si="81"/>
        <v>3013.92</v>
      </c>
      <c r="Q505" s="7">
        <f t="shared" si="82"/>
        <v>3875.0400000000009</v>
      </c>
      <c r="R505" s="7" t="str">
        <f t="shared" si="83"/>
        <v>Normal</v>
      </c>
      <c r="S505" s="5">
        <v>3</v>
      </c>
      <c r="T505" s="5">
        <v>2</v>
      </c>
      <c r="U505" s="5" t="str" cm="1">
        <f t="array" ref="U505">_xlfn.IFS(T505=1,"Poor",T505=2,"Fair",T505=3,"Good",T505=4,"Excellent")</f>
        <v>Fair</v>
      </c>
      <c r="V505" s="5" t="s">
        <v>43</v>
      </c>
      <c r="W505" s="5">
        <v>10</v>
      </c>
      <c r="X505" s="28">
        <f t="shared" ca="1" si="84"/>
        <v>42459</v>
      </c>
      <c r="Y505" s="28">
        <f t="shared" ca="1" si="85"/>
        <v>46842</v>
      </c>
      <c r="Z505" s="28" t="str">
        <f t="shared" ca="1" si="86"/>
        <v>Upcoming</v>
      </c>
      <c r="AA505" s="5" t="str" cm="1">
        <f t="array" ref="AA505">_xlfn.IFS(W505&gt;10,"Veteran",W505&gt;=6,"Experienced",W505&gt;=2,"Developing",W505&gt;=0,"New")</f>
        <v>Experienced</v>
      </c>
      <c r="AB505" s="5" t="str" cm="1">
        <f t="array" ref="AB505">_xlfn.IFS(G505=1,"Junior",G505=2,"Mid-Level",G505=3,"Senior",G505=4,"Lead",G505=5,"Principal")&amp;" "&amp;TRIM(PROPER(H505))</f>
        <v>Junior Research Scientist</v>
      </c>
      <c r="AC505" s="19" t="str">
        <f t="shared" ca="1" si="87"/>
        <v>Re-Res-2016-504 is a Junior Research Scientist in the Research &amp; Development department, aged 34, married and has been with the Company for 10years</v>
      </c>
    </row>
    <row r="506" spans="1:29">
      <c r="A506" s="18" t="str">
        <f t="shared" ca="1" si="77"/>
        <v>Sa-Sal-2025-505</v>
      </c>
      <c r="B506" s="5">
        <v>45</v>
      </c>
      <c r="C506" s="5" t="str">
        <f t="shared" si="78"/>
        <v>40-49</v>
      </c>
      <c r="D506" s="5" t="s">
        <v>35</v>
      </c>
      <c r="E506" s="5" t="s">
        <v>37</v>
      </c>
      <c r="F506" s="5" t="s">
        <v>39</v>
      </c>
      <c r="G506" s="5">
        <v>2</v>
      </c>
      <c r="H506" s="5" t="s">
        <v>40</v>
      </c>
      <c r="I506" s="5" t="s">
        <v>48</v>
      </c>
      <c r="J506" s="7">
        <v>4286</v>
      </c>
      <c r="K506" s="7">
        <f t="shared" si="79"/>
        <v>642.9</v>
      </c>
      <c r="L506" s="7">
        <f t="shared" si="80"/>
        <v>3643.1</v>
      </c>
      <c r="M506" s="7">
        <v>5630</v>
      </c>
      <c r="N506" s="5" t="s">
        <v>43</v>
      </c>
      <c r="O506" s="5">
        <v>14</v>
      </c>
      <c r="P506" s="7">
        <f t="shared" si="81"/>
        <v>4886.0400000000009</v>
      </c>
      <c r="Q506" s="7">
        <f t="shared" si="82"/>
        <v>7200.4800000000105</v>
      </c>
      <c r="R506" s="7" t="str">
        <f t="shared" si="83"/>
        <v>Normal</v>
      </c>
      <c r="S506" s="5">
        <v>3</v>
      </c>
      <c r="T506" s="5">
        <v>3</v>
      </c>
      <c r="U506" s="5" t="str" cm="1">
        <f t="array" ref="U506">_xlfn.IFS(T506=1,"Poor",T506=2,"Fair",T506=3,"Good",T506=4,"Excellent")</f>
        <v>Good</v>
      </c>
      <c r="V506" s="5" t="s">
        <v>43</v>
      </c>
      <c r="W506" s="5">
        <v>1</v>
      </c>
      <c r="X506" s="28">
        <f t="shared" ca="1" si="84"/>
        <v>45746</v>
      </c>
      <c r="Y506" s="28">
        <f t="shared" ca="1" si="85"/>
        <v>46476</v>
      </c>
      <c r="Z506" s="28" t="str">
        <f t="shared" ca="1" si="86"/>
        <v>Due Soon</v>
      </c>
      <c r="AA506" s="5" t="str" cm="1">
        <f t="array" ref="AA506">_xlfn.IFS(W506&gt;10,"Veteran",W506&gt;=6,"Experienced",W506&gt;=2,"Developing",W506&gt;=0,"New")</f>
        <v>New</v>
      </c>
      <c r="AB506" s="5" t="str" cm="1">
        <f t="array" ref="AB506">_xlfn.IFS(G506=1,"Junior",G506=2,"Mid-Level",G506=3,"Senior",G506=4,"Lead",G506=5,"Principal")&amp;" "&amp;TRIM(PROPER(H506))</f>
        <v>Mid-Level Sales Executive</v>
      </c>
      <c r="AC506" s="19" t="str">
        <f t="shared" ca="1" si="87"/>
        <v>Sa-Sal-2025-505 is a Mid-Level Sales Executive in the Sales department, aged 45, married and has been with the Company for 1years</v>
      </c>
    </row>
    <row r="507" spans="1:29">
      <c r="A507" s="18" t="str">
        <f t="shared" ca="1" si="77"/>
        <v>La-Res-2023-506</v>
      </c>
      <c r="B507" s="5">
        <v>26</v>
      </c>
      <c r="C507" s="5" t="str">
        <f t="shared" si="78"/>
        <v>20-29</v>
      </c>
      <c r="D507" s="5" t="s">
        <v>43</v>
      </c>
      <c r="E507" s="5" t="s">
        <v>45</v>
      </c>
      <c r="F507" s="5" t="s">
        <v>39</v>
      </c>
      <c r="G507" s="5">
        <v>1</v>
      </c>
      <c r="H507" s="5" t="s">
        <v>50</v>
      </c>
      <c r="I507" s="5" t="s">
        <v>48</v>
      </c>
      <c r="J507" s="7">
        <v>2659</v>
      </c>
      <c r="K507" s="7">
        <f t="shared" si="79"/>
        <v>186.13000000000002</v>
      </c>
      <c r="L507" s="7">
        <f t="shared" si="80"/>
        <v>2472.87</v>
      </c>
      <c r="M507" s="7">
        <v>17759</v>
      </c>
      <c r="N507" s="5" t="s">
        <v>35</v>
      </c>
      <c r="O507" s="5">
        <v>13</v>
      </c>
      <c r="P507" s="7">
        <f t="shared" si="81"/>
        <v>3004.6699999999996</v>
      </c>
      <c r="Q507" s="7">
        <f t="shared" si="82"/>
        <v>4148.0399999999954</v>
      </c>
      <c r="R507" s="7" t="str">
        <f t="shared" si="83"/>
        <v>Normal</v>
      </c>
      <c r="S507" s="5">
        <v>3</v>
      </c>
      <c r="T507" s="5">
        <v>3</v>
      </c>
      <c r="U507" s="5" t="str" cm="1">
        <f t="array" ref="U507">_xlfn.IFS(T507=1,"Poor",T507=2,"Fair",T507=3,"Good",T507=4,"Excellent")</f>
        <v>Good</v>
      </c>
      <c r="V507" s="5" t="s">
        <v>35</v>
      </c>
      <c r="W507" s="5">
        <v>3</v>
      </c>
      <c r="X507" s="28">
        <f t="shared" ca="1" si="84"/>
        <v>45015</v>
      </c>
      <c r="Y507" s="28">
        <f t="shared" ca="1" si="85"/>
        <v>46476</v>
      </c>
      <c r="Z507" s="28" t="str">
        <f t="shared" ca="1" si="86"/>
        <v>Due Soon</v>
      </c>
      <c r="AA507" s="5" t="str" cm="1">
        <f t="array" ref="AA507">_xlfn.IFS(W507&gt;10,"Veteran",W507&gt;=6,"Experienced",W507&gt;=2,"Developing",W507&gt;=0,"New")</f>
        <v>Developing</v>
      </c>
      <c r="AB507" s="5" t="str" cm="1">
        <f t="array" ref="AB507">_xlfn.IFS(G507=1,"Junior",G507=2,"Mid-Level",G507=3,"Senior",G507=4,"Lead",G507=5,"Principal")&amp;" "&amp;TRIM(PROPER(H507))</f>
        <v>Junior Laboratory Technician</v>
      </c>
      <c r="AC507" s="19" t="str">
        <f t="shared" ca="1" si="87"/>
        <v>La-Res-2023-506 is a Junior Laboratory Technician in the Research &amp; Development department, aged 26, married and has been with the Company for 3years</v>
      </c>
    </row>
    <row r="508" spans="1:29">
      <c r="A508" s="18" t="str">
        <f t="shared" ca="1" si="77"/>
        <v>Ma-Res-2016-507</v>
      </c>
      <c r="B508" s="5">
        <v>37</v>
      </c>
      <c r="C508" s="5" t="str">
        <f t="shared" si="78"/>
        <v>30-39</v>
      </c>
      <c r="D508" s="5" t="s">
        <v>43</v>
      </c>
      <c r="E508" s="5" t="s">
        <v>45</v>
      </c>
      <c r="F508" s="5" t="s">
        <v>46</v>
      </c>
      <c r="G508" s="5">
        <v>3</v>
      </c>
      <c r="H508" s="5" t="s">
        <v>53</v>
      </c>
      <c r="I508" s="5" t="s">
        <v>48</v>
      </c>
      <c r="J508" s="7">
        <v>9434</v>
      </c>
      <c r="K508" s="7">
        <f t="shared" si="79"/>
        <v>2075.48</v>
      </c>
      <c r="L508" s="7">
        <f t="shared" si="80"/>
        <v>7358.52</v>
      </c>
      <c r="M508" s="7">
        <v>9606</v>
      </c>
      <c r="N508" s="5" t="s">
        <v>43</v>
      </c>
      <c r="O508" s="5">
        <v>15</v>
      </c>
      <c r="P508" s="7">
        <f t="shared" si="81"/>
        <v>10849.099999999999</v>
      </c>
      <c r="Q508" s="7">
        <f t="shared" si="82"/>
        <v>16981.199999999983</v>
      </c>
      <c r="R508" s="7" t="str">
        <f t="shared" si="83"/>
        <v>Normal</v>
      </c>
      <c r="S508" s="5">
        <v>3</v>
      </c>
      <c r="T508" s="5">
        <v>3</v>
      </c>
      <c r="U508" s="5" t="str" cm="1">
        <f t="array" ref="U508">_xlfn.IFS(T508=1,"Poor",T508=2,"Fair",T508=3,"Good",T508=4,"Excellent")</f>
        <v>Good</v>
      </c>
      <c r="V508" s="5" t="s">
        <v>43</v>
      </c>
      <c r="W508" s="5">
        <v>10</v>
      </c>
      <c r="X508" s="28">
        <f t="shared" ca="1" si="84"/>
        <v>42459</v>
      </c>
      <c r="Y508" s="28">
        <f t="shared" ca="1" si="85"/>
        <v>46842</v>
      </c>
      <c r="Z508" s="28" t="str">
        <f t="shared" ca="1" si="86"/>
        <v>Upcoming</v>
      </c>
      <c r="AA508" s="5" t="str" cm="1">
        <f t="array" ref="AA508">_xlfn.IFS(W508&gt;10,"Veteran",W508&gt;=6,"Experienced",W508&gt;=2,"Developing",W508&gt;=0,"New")</f>
        <v>Experienced</v>
      </c>
      <c r="AB508" s="5" t="str" cm="1">
        <f t="array" ref="AB508">_xlfn.IFS(G508=1,"Junior",G508=2,"Mid-Level",G508=3,"Senior",G508=4,"Lead",G508=5,"Principal")&amp;" "&amp;TRIM(PROPER(H508))</f>
        <v>Senior Manufacturing Director</v>
      </c>
      <c r="AC508" s="19" t="str">
        <f t="shared" ca="1" si="87"/>
        <v>Ma-Res-2016-507 is a Senior Manufacturing Director in the Research &amp; Development department, aged 37, married and has been with the Company for 10years</v>
      </c>
    </row>
    <row r="509" spans="1:29">
      <c r="A509" s="18" t="str">
        <f t="shared" ca="1" si="77"/>
        <v>Sa-Sal-2020-508</v>
      </c>
      <c r="B509" s="5">
        <v>29</v>
      </c>
      <c r="C509" s="5" t="str">
        <f t="shared" si="78"/>
        <v>20-29</v>
      </c>
      <c r="D509" s="5" t="s">
        <v>43</v>
      </c>
      <c r="E509" s="5" t="s">
        <v>37</v>
      </c>
      <c r="F509" s="5" t="s">
        <v>39</v>
      </c>
      <c r="G509" s="5">
        <v>2</v>
      </c>
      <c r="H509" s="5" t="s">
        <v>40</v>
      </c>
      <c r="I509" s="5" t="s">
        <v>48</v>
      </c>
      <c r="J509" s="7">
        <v>5561</v>
      </c>
      <c r="K509" s="7">
        <f t="shared" si="79"/>
        <v>834.15</v>
      </c>
      <c r="L509" s="7">
        <f t="shared" si="80"/>
        <v>4726.8500000000004</v>
      </c>
      <c r="M509" s="7">
        <v>3487</v>
      </c>
      <c r="N509" s="5" t="s">
        <v>43</v>
      </c>
      <c r="O509" s="5">
        <v>14</v>
      </c>
      <c r="P509" s="7">
        <f t="shared" si="81"/>
        <v>6339.5400000000009</v>
      </c>
      <c r="Q509" s="7">
        <f t="shared" si="82"/>
        <v>9342.4800000000105</v>
      </c>
      <c r="R509" s="7" t="str">
        <f t="shared" si="83"/>
        <v>Normal</v>
      </c>
      <c r="S509" s="5">
        <v>3</v>
      </c>
      <c r="T509" s="5">
        <v>2</v>
      </c>
      <c r="U509" s="5" t="str" cm="1">
        <f t="array" ref="U509">_xlfn.IFS(T509=1,"Poor",T509=2,"Fair",T509=3,"Good",T509=4,"Excellent")</f>
        <v>Fair</v>
      </c>
      <c r="V509" s="5" t="s">
        <v>43</v>
      </c>
      <c r="W509" s="5">
        <v>6</v>
      </c>
      <c r="X509" s="28">
        <f t="shared" ca="1" si="84"/>
        <v>43920</v>
      </c>
      <c r="Y509" s="28">
        <f t="shared" ca="1" si="85"/>
        <v>46842</v>
      </c>
      <c r="Z509" s="28" t="str">
        <f t="shared" ca="1" si="86"/>
        <v>Upcoming</v>
      </c>
      <c r="AA509" s="5" t="str" cm="1">
        <f t="array" ref="AA509">_xlfn.IFS(W509&gt;10,"Veteran",W509&gt;=6,"Experienced",W509&gt;=2,"Developing",W509&gt;=0,"New")</f>
        <v>Experienced</v>
      </c>
      <c r="AB509" s="5" t="str" cm="1">
        <f t="array" ref="AB509">_xlfn.IFS(G509=1,"Junior",G509=2,"Mid-Level",G509=3,"Senior",G509=4,"Lead",G509=5,"Principal")&amp;" "&amp;TRIM(PROPER(H509))</f>
        <v>Mid-Level Sales Executive</v>
      </c>
      <c r="AC509" s="19" t="str">
        <f t="shared" ca="1" si="87"/>
        <v>Sa-Sal-2020-508 is a Mid-Level Sales Executive in the Sales department, aged 29, married and has been with the Company for 6years</v>
      </c>
    </row>
    <row r="510" spans="1:29">
      <c r="A510" s="18" t="str">
        <f t="shared" ca="1" si="77"/>
        <v>Re-Res-2009-509</v>
      </c>
      <c r="B510" s="5">
        <v>35</v>
      </c>
      <c r="C510" s="5" t="str">
        <f t="shared" si="78"/>
        <v>30-39</v>
      </c>
      <c r="D510" s="5" t="s">
        <v>43</v>
      </c>
      <c r="E510" s="5" t="s">
        <v>45</v>
      </c>
      <c r="F510" s="5" t="s">
        <v>46</v>
      </c>
      <c r="G510" s="5">
        <v>2</v>
      </c>
      <c r="H510" s="5" t="s">
        <v>47</v>
      </c>
      <c r="I510" s="5" t="s">
        <v>41</v>
      </c>
      <c r="J510" s="7">
        <v>6646</v>
      </c>
      <c r="K510" s="7">
        <f t="shared" si="79"/>
        <v>996.9</v>
      </c>
      <c r="L510" s="7">
        <f t="shared" si="80"/>
        <v>5649.1</v>
      </c>
      <c r="M510" s="7">
        <v>19368</v>
      </c>
      <c r="N510" s="5" t="s">
        <v>43</v>
      </c>
      <c r="O510" s="5">
        <v>13</v>
      </c>
      <c r="P510" s="7">
        <f t="shared" si="81"/>
        <v>7509.98</v>
      </c>
      <c r="Q510" s="7">
        <f t="shared" si="82"/>
        <v>10367.759999999995</v>
      </c>
      <c r="R510" s="7" t="str">
        <f t="shared" si="83"/>
        <v>Normal</v>
      </c>
      <c r="S510" s="5">
        <v>3</v>
      </c>
      <c r="T510" s="5">
        <v>3</v>
      </c>
      <c r="U510" s="5" t="str" cm="1">
        <f t="array" ref="U510">_xlfn.IFS(T510=1,"Poor",T510=2,"Fair",T510=3,"Good",T510=4,"Excellent")</f>
        <v>Good</v>
      </c>
      <c r="V510" s="5" t="s">
        <v>43</v>
      </c>
      <c r="W510" s="5">
        <v>17</v>
      </c>
      <c r="X510" s="28">
        <f t="shared" ca="1" si="84"/>
        <v>39902</v>
      </c>
      <c r="Y510" s="28">
        <f t="shared" ca="1" si="85"/>
        <v>46476</v>
      </c>
      <c r="Z510" s="28" t="str">
        <f t="shared" ca="1" si="86"/>
        <v>Due Soon</v>
      </c>
      <c r="AA510" s="5" t="str" cm="1">
        <f t="array" ref="AA510">_xlfn.IFS(W510&gt;10,"Veteran",W510&gt;=6,"Experienced",W510&gt;=2,"Developing",W510&gt;=0,"New")</f>
        <v>Veteran</v>
      </c>
      <c r="AB510" s="5" t="str" cm="1">
        <f t="array" ref="AB510">_xlfn.IFS(G510=1,"Junior",G510=2,"Mid-Level",G510=3,"Senior",G510=4,"Lead",G510=5,"Principal")&amp;" "&amp;TRIM(PROPER(H510))</f>
        <v>Mid-Level Research Scientist</v>
      </c>
      <c r="AC510" s="19" t="str">
        <f t="shared" ca="1" si="87"/>
        <v>Re-Res-2009-509 is a Mid-Level Research Scientist in the Research &amp; Development department, aged 35, single and has been with the Company for 17years</v>
      </c>
    </row>
    <row r="511" spans="1:29">
      <c r="A511" s="18" t="str">
        <f t="shared" ca="1" si="77"/>
        <v>He-Res-2013-510</v>
      </c>
      <c r="B511" s="5">
        <v>33</v>
      </c>
      <c r="C511" s="5" t="str">
        <f t="shared" si="78"/>
        <v>30-39</v>
      </c>
      <c r="D511" s="5" t="s">
        <v>43</v>
      </c>
      <c r="E511" s="5" t="s">
        <v>45</v>
      </c>
      <c r="F511" s="5" t="s">
        <v>46</v>
      </c>
      <c r="G511" s="5">
        <v>2</v>
      </c>
      <c r="H511" s="5" t="s">
        <v>54</v>
      </c>
      <c r="I511" s="5" t="s">
        <v>52</v>
      </c>
      <c r="J511" s="7">
        <v>7725</v>
      </c>
      <c r="K511" s="7">
        <f t="shared" si="79"/>
        <v>1699.5</v>
      </c>
      <c r="L511" s="7">
        <f t="shared" si="80"/>
        <v>6025.5</v>
      </c>
      <c r="M511" s="7">
        <v>5335</v>
      </c>
      <c r="N511" s="5" t="s">
        <v>43</v>
      </c>
      <c r="O511" s="5">
        <v>23</v>
      </c>
      <c r="P511" s="7">
        <f t="shared" si="81"/>
        <v>9501.75</v>
      </c>
      <c r="Q511" s="7">
        <f t="shared" si="82"/>
        <v>21321</v>
      </c>
      <c r="R511" s="7" t="str">
        <f t="shared" si="83"/>
        <v>Normal</v>
      </c>
      <c r="S511" s="5">
        <v>4</v>
      </c>
      <c r="T511" s="5">
        <v>1</v>
      </c>
      <c r="U511" s="5" t="str" cm="1">
        <f t="array" ref="U511">_xlfn.IFS(T511=1,"Poor",T511=2,"Fair",T511=3,"Good",T511=4,"Excellent")</f>
        <v>Poor</v>
      </c>
      <c r="V511" s="5" t="s">
        <v>43</v>
      </c>
      <c r="W511" s="5">
        <v>13</v>
      </c>
      <c r="X511" s="28">
        <f t="shared" ca="1" si="84"/>
        <v>41363</v>
      </c>
      <c r="Y511" s="28">
        <f t="shared" ca="1" si="85"/>
        <v>46476</v>
      </c>
      <c r="Z511" s="28" t="str">
        <f t="shared" ca="1" si="86"/>
        <v>Due Soon</v>
      </c>
      <c r="AA511" s="5" t="str" cm="1">
        <f t="array" ref="AA511">_xlfn.IFS(W511&gt;10,"Veteran",W511&gt;=6,"Experienced",W511&gt;=2,"Developing",W511&gt;=0,"New")</f>
        <v>Veteran</v>
      </c>
      <c r="AB511" s="5" t="str" cm="1">
        <f t="array" ref="AB511">_xlfn.IFS(G511=1,"Junior",G511=2,"Mid-Level",G511=3,"Senior",G511=4,"Lead",G511=5,"Principal")&amp;" "&amp;TRIM(PROPER(H511))</f>
        <v>Mid-Level Healthcare Representative</v>
      </c>
      <c r="AC511" s="19" t="str">
        <f t="shared" ca="1" si="87"/>
        <v>He-Res-2013-510 is a Mid-Level Healthcare Representative in the Research &amp; Development department, aged 33, divorced and has been with the Company for 13years</v>
      </c>
    </row>
    <row r="512" spans="1:29">
      <c r="A512" s="18" t="str">
        <f t="shared" ca="1" si="77"/>
        <v>Hu-Hum-2017-511</v>
      </c>
      <c r="B512" s="5">
        <v>54</v>
      </c>
      <c r="C512" s="5" t="str">
        <f t="shared" si="78"/>
        <v>50+</v>
      </c>
      <c r="D512" s="5" t="s">
        <v>43</v>
      </c>
      <c r="E512" s="5" t="s">
        <v>61</v>
      </c>
      <c r="F512" s="5" t="s">
        <v>46</v>
      </c>
      <c r="G512" s="5">
        <v>3</v>
      </c>
      <c r="H512" s="5" t="s">
        <v>61</v>
      </c>
      <c r="I512" s="5" t="s">
        <v>48</v>
      </c>
      <c r="J512" s="7">
        <v>10725</v>
      </c>
      <c r="K512" s="7">
        <f t="shared" si="79"/>
        <v>2359.5</v>
      </c>
      <c r="L512" s="7">
        <f t="shared" si="80"/>
        <v>8365.5</v>
      </c>
      <c r="M512" s="7">
        <v>6729</v>
      </c>
      <c r="N512" s="5" t="s">
        <v>43</v>
      </c>
      <c r="O512" s="5">
        <v>15</v>
      </c>
      <c r="P512" s="7">
        <f t="shared" si="81"/>
        <v>12333.749999999998</v>
      </c>
      <c r="Q512" s="7">
        <f t="shared" si="82"/>
        <v>19304.999999999978</v>
      </c>
      <c r="R512" s="7" t="str">
        <f t="shared" si="83"/>
        <v>Normal</v>
      </c>
      <c r="S512" s="5">
        <v>3</v>
      </c>
      <c r="T512" s="5">
        <v>4</v>
      </c>
      <c r="U512" s="5" t="str" cm="1">
        <f t="array" ref="U512">_xlfn.IFS(T512=1,"Poor",T512=2,"Fair",T512=3,"Good",T512=4,"Excellent")</f>
        <v>Excellent</v>
      </c>
      <c r="V512" s="5" t="s">
        <v>43</v>
      </c>
      <c r="W512" s="5">
        <v>9</v>
      </c>
      <c r="X512" s="28">
        <f t="shared" ca="1" si="84"/>
        <v>42824</v>
      </c>
      <c r="Y512" s="28">
        <f t="shared" ca="1" si="85"/>
        <v>46476</v>
      </c>
      <c r="Z512" s="28" t="str">
        <f t="shared" ca="1" si="86"/>
        <v>Due Soon</v>
      </c>
      <c r="AA512" s="5" t="str" cm="1">
        <f t="array" ref="AA512">_xlfn.IFS(W512&gt;10,"Veteran",W512&gt;=6,"Experienced",W512&gt;=2,"Developing",W512&gt;=0,"New")</f>
        <v>Experienced</v>
      </c>
      <c r="AB512" s="5" t="str" cm="1">
        <f t="array" ref="AB512">_xlfn.IFS(G512=1,"Junior",G512=2,"Mid-Level",G512=3,"Senior",G512=4,"Lead",G512=5,"Principal")&amp;" "&amp;TRIM(PROPER(H512))</f>
        <v>Senior Human Resources</v>
      </c>
      <c r="AC512" s="19" t="str">
        <f t="shared" ca="1" si="87"/>
        <v>Hu-Hum-2017-511 is a Senior Human Resources in the Human Resources department, aged 54, married and has been with the Company for 9years</v>
      </c>
    </row>
    <row r="513" spans="1:29">
      <c r="A513" s="18" t="str">
        <f t="shared" ca="1" si="77"/>
        <v>Ma-Res-2023-512</v>
      </c>
      <c r="B513" s="5">
        <v>36</v>
      </c>
      <c r="C513" s="5" t="str">
        <f t="shared" si="78"/>
        <v>30-39</v>
      </c>
      <c r="D513" s="5" t="s">
        <v>43</v>
      </c>
      <c r="E513" s="5" t="s">
        <v>45</v>
      </c>
      <c r="F513" s="5" t="s">
        <v>46</v>
      </c>
      <c r="G513" s="5">
        <v>2</v>
      </c>
      <c r="H513" s="5" t="s">
        <v>53</v>
      </c>
      <c r="I513" s="5" t="s">
        <v>52</v>
      </c>
      <c r="J513" s="7">
        <v>8847</v>
      </c>
      <c r="K513" s="7">
        <f t="shared" si="79"/>
        <v>1946.34</v>
      </c>
      <c r="L513" s="7">
        <f t="shared" si="80"/>
        <v>6900.66</v>
      </c>
      <c r="M513" s="7">
        <v>13934</v>
      </c>
      <c r="N513" s="5" t="s">
        <v>35</v>
      </c>
      <c r="O513" s="5">
        <v>11</v>
      </c>
      <c r="P513" s="7">
        <f t="shared" si="81"/>
        <v>9820.17</v>
      </c>
      <c r="Q513" s="7">
        <f t="shared" si="82"/>
        <v>11678.04</v>
      </c>
      <c r="R513" s="7" t="str">
        <f t="shared" si="83"/>
        <v>Normal</v>
      </c>
      <c r="S513" s="5">
        <v>3</v>
      </c>
      <c r="T513" s="5">
        <v>3</v>
      </c>
      <c r="U513" s="5" t="str" cm="1">
        <f t="array" ref="U513">_xlfn.IFS(T513=1,"Poor",T513=2,"Fair",T513=3,"Good",T513=4,"Excellent")</f>
        <v>Good</v>
      </c>
      <c r="V513" s="5" t="s">
        <v>35</v>
      </c>
      <c r="W513" s="5">
        <v>3</v>
      </c>
      <c r="X513" s="28">
        <f t="shared" ca="1" si="84"/>
        <v>45015</v>
      </c>
      <c r="Y513" s="28">
        <f t="shared" ca="1" si="85"/>
        <v>46476</v>
      </c>
      <c r="Z513" s="28" t="str">
        <f t="shared" ca="1" si="86"/>
        <v>Due Soon</v>
      </c>
      <c r="AA513" s="5" t="str" cm="1">
        <f t="array" ref="AA513">_xlfn.IFS(W513&gt;10,"Veteran",W513&gt;=6,"Experienced",W513&gt;=2,"Developing",W513&gt;=0,"New")</f>
        <v>Developing</v>
      </c>
      <c r="AB513" s="5" t="str" cm="1">
        <f t="array" ref="AB513">_xlfn.IFS(G513=1,"Junior",G513=2,"Mid-Level",G513=3,"Senior",G513=4,"Lead",G513=5,"Principal")&amp;" "&amp;TRIM(PROPER(H513))</f>
        <v>Mid-Level Manufacturing Director</v>
      </c>
      <c r="AC513" s="19" t="str">
        <f t="shared" ca="1" si="87"/>
        <v>Ma-Res-2023-512 is a Mid-Level Manufacturing Director in the Research &amp; Development department, aged 36, divorced and has been with the Company for 3years</v>
      </c>
    </row>
    <row r="514" spans="1:29">
      <c r="A514" s="18" t="str">
        <f t="shared" ca="1" si="77"/>
        <v>Re-Res-2022-513</v>
      </c>
      <c r="B514" s="5">
        <v>27</v>
      </c>
      <c r="C514" s="5" t="str">
        <f t="shared" si="78"/>
        <v>20-29</v>
      </c>
      <c r="D514" s="5" t="s">
        <v>43</v>
      </c>
      <c r="E514" s="5" t="s">
        <v>45</v>
      </c>
      <c r="F514" s="5" t="s">
        <v>46</v>
      </c>
      <c r="G514" s="5">
        <v>1</v>
      </c>
      <c r="H514" s="5" t="s">
        <v>47</v>
      </c>
      <c r="I514" s="5" t="s">
        <v>41</v>
      </c>
      <c r="J514" s="7">
        <v>2045</v>
      </c>
      <c r="K514" s="7">
        <f t="shared" si="79"/>
        <v>143.15</v>
      </c>
      <c r="L514" s="7">
        <f t="shared" si="80"/>
        <v>1901.85</v>
      </c>
      <c r="M514" s="7">
        <v>15174</v>
      </c>
      <c r="N514" s="5" t="s">
        <v>43</v>
      </c>
      <c r="O514" s="5">
        <v>13</v>
      </c>
      <c r="P514" s="7">
        <f t="shared" si="81"/>
        <v>2310.85</v>
      </c>
      <c r="Q514" s="7">
        <f t="shared" si="82"/>
        <v>3190.1999999999989</v>
      </c>
      <c r="R514" s="7" t="str">
        <f t="shared" si="83"/>
        <v>Normal</v>
      </c>
      <c r="S514" s="5">
        <v>3</v>
      </c>
      <c r="T514" s="5">
        <v>3</v>
      </c>
      <c r="U514" s="5" t="str" cm="1">
        <f t="array" ref="U514">_xlfn.IFS(T514=1,"Poor",T514=2,"Fair",T514=3,"Good",T514=4,"Excellent")</f>
        <v>Good</v>
      </c>
      <c r="V514" s="5" t="s">
        <v>43</v>
      </c>
      <c r="W514" s="5">
        <v>4</v>
      </c>
      <c r="X514" s="28">
        <f t="shared" ca="1" si="84"/>
        <v>44650</v>
      </c>
      <c r="Y514" s="28">
        <f t="shared" ca="1" si="85"/>
        <v>46842</v>
      </c>
      <c r="Z514" s="28" t="str">
        <f t="shared" ca="1" si="86"/>
        <v>Upcoming</v>
      </c>
      <c r="AA514" s="5" t="str" cm="1">
        <f t="array" ref="AA514">_xlfn.IFS(W514&gt;10,"Veteran",W514&gt;=6,"Experienced",W514&gt;=2,"Developing",W514&gt;=0,"New")</f>
        <v>Developing</v>
      </c>
      <c r="AB514" s="5" t="str" cm="1">
        <f t="array" ref="AB514">_xlfn.IFS(G514=1,"Junior",G514=2,"Mid-Level",G514=3,"Senior",G514=4,"Lead",G514=5,"Principal")&amp;" "&amp;TRIM(PROPER(H514))</f>
        <v>Junior Research Scientist</v>
      </c>
      <c r="AC514" s="19" t="str">
        <f t="shared" ca="1" si="87"/>
        <v>Re-Res-2022-513 is a Junior Research Scientist in the Research &amp; Development department, aged 27, single and has been with the Company for 4years</v>
      </c>
    </row>
    <row r="515" spans="1:29">
      <c r="A515" s="18" t="str">
        <f t="shared" ref="A515:A578" ca="1" si="88">LEFT(H515,2)&amp;"-"&amp;LEFT(E515,3)&amp;"-"&amp;YEAR(TODAY())-W515&amp;"-"&amp;TEXT(ROW()-1,"000")</f>
        <v>Re-Res-2025-514</v>
      </c>
      <c r="B515" s="5">
        <v>20</v>
      </c>
      <c r="C515" s="5" t="str">
        <f t="shared" ref="C515:C578" si="89">IF(B515&lt;=29,"20-29",IF(B515&lt;=39,"30-39",IF(B515&lt;=49,"40-49","50+")))</f>
        <v>20-29</v>
      </c>
      <c r="D515" s="5" t="s">
        <v>35</v>
      </c>
      <c r="E515" s="5" t="s">
        <v>45</v>
      </c>
      <c r="F515" s="5" t="s">
        <v>46</v>
      </c>
      <c r="G515" s="5">
        <v>1</v>
      </c>
      <c r="H515" s="5" t="s">
        <v>47</v>
      </c>
      <c r="I515" s="5" t="s">
        <v>41</v>
      </c>
      <c r="J515" s="7">
        <v>1009</v>
      </c>
      <c r="K515" s="7">
        <f t="shared" ref="K515:K578" si="90">IF(J515&gt;13000,J515*30%,IF(J515&gt;7000,J515*22%,IF(J515&gt;3000,J515*15%,J515*7%)))</f>
        <v>70.63000000000001</v>
      </c>
      <c r="L515" s="7">
        <f t="shared" ref="L515:L578" si="91">J515-K515</f>
        <v>938.37</v>
      </c>
      <c r="M515" s="7">
        <v>26999</v>
      </c>
      <c r="N515" s="5" t="s">
        <v>35</v>
      </c>
      <c r="O515" s="5">
        <v>11</v>
      </c>
      <c r="P515" s="7">
        <f t="shared" ref="P515:P578" si="92">J515*(1+(O515/100))</f>
        <v>1119.99</v>
      </c>
      <c r="Q515" s="7">
        <f t="shared" ref="Q515:Q578" si="93">(P515-J515)*12</f>
        <v>1331.88</v>
      </c>
      <c r="R515" s="7" t="str">
        <f t="shared" ref="R515:R578" si="94">IF(AND(O515&lt;12,S515=4),"UnderPaid","Normal")</f>
        <v>Normal</v>
      </c>
      <c r="S515" s="5">
        <v>3</v>
      </c>
      <c r="T515" s="5">
        <v>3</v>
      </c>
      <c r="U515" s="5" t="str" cm="1">
        <f t="array" ref="U515">_xlfn.IFS(T515=1,"Poor",T515=2,"Fair",T515=3,"Good",T515=4,"Excellent")</f>
        <v>Good</v>
      </c>
      <c r="V515" s="5" t="s">
        <v>35</v>
      </c>
      <c r="W515" s="5">
        <v>1</v>
      </c>
      <c r="X515" s="28">
        <f t="shared" ref="X515:X578" ca="1" si="95">EDATE(TODAY(),-W515*12)</f>
        <v>45746</v>
      </c>
      <c r="Y515" s="28">
        <f t="shared" ref="Y515:Y578" ca="1" si="96">EDATE(X515,(INT(W515/2)+1)*24)</f>
        <v>46476</v>
      </c>
      <c r="Z515" s="28" t="str">
        <f t="shared" ref="Z515:Z578" ca="1" si="97">IF(Y515&lt;=EDATE(TODAY(),12),"Due Soon","Upcoming")</f>
        <v>Due Soon</v>
      </c>
      <c r="AA515" s="5" t="str" cm="1">
        <f t="array" ref="AA515">_xlfn.IFS(W515&gt;10,"Veteran",W515&gt;=6,"Experienced",W515&gt;=2,"Developing",W515&gt;=0,"New")</f>
        <v>New</v>
      </c>
      <c r="AB515" s="5" t="str" cm="1">
        <f t="array" ref="AB515">_xlfn.IFS(G515=1,"Junior",G515=2,"Mid-Level",G515=3,"Senior",G515=4,"Lead",G515=5,"Principal")&amp;" "&amp;TRIM(PROPER(H515))</f>
        <v>Junior Research Scientist</v>
      </c>
      <c r="AC515" s="19" t="str">
        <f t="shared" ref="AC515:AC578" ca="1" si="98">A515&amp;" is a "&amp;AB515&amp;" in the "&amp;E515&amp;" department, aged "&amp;B515&amp;", "&amp;LOWER(I515)&amp;" and has been with the Company for "&amp;W515&amp;"years"</f>
        <v>Re-Res-2025-514 is a Junior Research Scientist in the Research &amp; Development department, aged 20, single and has been with the Company for 1years</v>
      </c>
    </row>
    <row r="516" spans="1:29">
      <c r="A516" s="18" t="str">
        <f t="shared" ca="1" si="88"/>
        <v>Re-Res-2016-515</v>
      </c>
      <c r="B516" s="5">
        <v>33</v>
      </c>
      <c r="C516" s="5" t="str">
        <f t="shared" si="89"/>
        <v>30-39</v>
      </c>
      <c r="D516" s="5" t="s">
        <v>35</v>
      </c>
      <c r="E516" s="5" t="s">
        <v>45</v>
      </c>
      <c r="F516" s="5" t="s">
        <v>46</v>
      </c>
      <c r="G516" s="5">
        <v>1</v>
      </c>
      <c r="H516" s="5" t="s">
        <v>47</v>
      </c>
      <c r="I516" s="5" t="s">
        <v>41</v>
      </c>
      <c r="J516" s="7">
        <v>3348</v>
      </c>
      <c r="K516" s="7">
        <f t="shared" si="90"/>
        <v>502.2</v>
      </c>
      <c r="L516" s="7">
        <f t="shared" si="91"/>
        <v>2845.8</v>
      </c>
      <c r="M516" s="7">
        <v>3164</v>
      </c>
      <c r="N516" s="5" t="s">
        <v>35</v>
      </c>
      <c r="O516" s="5">
        <v>11</v>
      </c>
      <c r="P516" s="7">
        <f t="shared" si="92"/>
        <v>3716.28</v>
      </c>
      <c r="Q516" s="7">
        <f t="shared" si="93"/>
        <v>4419.3600000000024</v>
      </c>
      <c r="R516" s="7" t="str">
        <f t="shared" si="94"/>
        <v>Normal</v>
      </c>
      <c r="S516" s="5">
        <v>3</v>
      </c>
      <c r="T516" s="5">
        <v>3</v>
      </c>
      <c r="U516" s="5" t="str" cm="1">
        <f t="array" ref="U516">_xlfn.IFS(T516=1,"Poor",T516=2,"Fair",T516=3,"Good",T516=4,"Excellent")</f>
        <v>Good</v>
      </c>
      <c r="V516" s="5" t="s">
        <v>35</v>
      </c>
      <c r="W516" s="5">
        <v>10</v>
      </c>
      <c r="X516" s="28">
        <f t="shared" ca="1" si="95"/>
        <v>42459</v>
      </c>
      <c r="Y516" s="28">
        <f t="shared" ca="1" si="96"/>
        <v>46842</v>
      </c>
      <c r="Z516" s="28" t="str">
        <f t="shared" ca="1" si="97"/>
        <v>Upcoming</v>
      </c>
      <c r="AA516" s="5" t="str" cm="1">
        <f t="array" ref="AA516">_xlfn.IFS(W516&gt;10,"Veteran",W516&gt;=6,"Experienced",W516&gt;=2,"Developing",W516&gt;=0,"New")</f>
        <v>Experienced</v>
      </c>
      <c r="AB516" s="5" t="str" cm="1">
        <f t="array" ref="AB516">_xlfn.IFS(G516=1,"Junior",G516=2,"Mid-Level",G516=3,"Senior",G516=4,"Lead",G516=5,"Principal")&amp;" "&amp;TRIM(PROPER(H516))</f>
        <v>Junior Research Scientist</v>
      </c>
      <c r="AC516" s="19" t="str">
        <f t="shared" ca="1" si="98"/>
        <v>Re-Res-2016-515 is a Junior Research Scientist in the Research &amp; Development department, aged 33, single and has been with the Company for 10years</v>
      </c>
    </row>
    <row r="517" spans="1:29">
      <c r="A517" s="18" t="str">
        <f t="shared" ca="1" si="88"/>
        <v>La-Res-2025-516</v>
      </c>
      <c r="B517" s="5">
        <v>35</v>
      </c>
      <c r="C517" s="5" t="str">
        <f t="shared" si="89"/>
        <v>30-39</v>
      </c>
      <c r="D517" s="5" t="s">
        <v>43</v>
      </c>
      <c r="E517" s="5" t="s">
        <v>45</v>
      </c>
      <c r="F517" s="5" t="s">
        <v>46</v>
      </c>
      <c r="G517" s="5">
        <v>1</v>
      </c>
      <c r="H517" s="5" t="s">
        <v>50</v>
      </c>
      <c r="I517" s="5" t="s">
        <v>48</v>
      </c>
      <c r="J517" s="7">
        <v>1281</v>
      </c>
      <c r="K517" s="7">
        <f t="shared" si="90"/>
        <v>89.67</v>
      </c>
      <c r="L517" s="7">
        <f t="shared" si="91"/>
        <v>1191.33</v>
      </c>
      <c r="M517" s="7">
        <v>16900</v>
      </c>
      <c r="N517" s="5" t="s">
        <v>43</v>
      </c>
      <c r="O517" s="5">
        <v>18</v>
      </c>
      <c r="P517" s="7">
        <f t="shared" si="92"/>
        <v>1511.58</v>
      </c>
      <c r="Q517" s="7">
        <f t="shared" si="93"/>
        <v>2766.9599999999991</v>
      </c>
      <c r="R517" s="7" t="str">
        <f t="shared" si="94"/>
        <v>Normal</v>
      </c>
      <c r="S517" s="5">
        <v>3</v>
      </c>
      <c r="T517" s="5">
        <v>3</v>
      </c>
      <c r="U517" s="5" t="str" cm="1">
        <f t="array" ref="U517">_xlfn.IFS(T517=1,"Poor",T517=2,"Fair",T517=3,"Good",T517=4,"Excellent")</f>
        <v>Good</v>
      </c>
      <c r="V517" s="5" t="s">
        <v>43</v>
      </c>
      <c r="W517" s="5">
        <v>1</v>
      </c>
      <c r="X517" s="28">
        <f t="shared" ca="1" si="95"/>
        <v>45746</v>
      </c>
      <c r="Y517" s="28">
        <f t="shared" ca="1" si="96"/>
        <v>46476</v>
      </c>
      <c r="Z517" s="28" t="str">
        <f t="shared" ca="1" si="97"/>
        <v>Due Soon</v>
      </c>
      <c r="AA517" s="5" t="str" cm="1">
        <f t="array" ref="AA517">_xlfn.IFS(W517&gt;10,"Veteran",W517&gt;=6,"Experienced",W517&gt;=2,"Developing",W517&gt;=0,"New")</f>
        <v>New</v>
      </c>
      <c r="AB517" s="5" t="str" cm="1">
        <f t="array" ref="AB517">_xlfn.IFS(G517=1,"Junior",G517=2,"Mid-Level",G517=3,"Senior",G517=4,"Lead",G517=5,"Principal")&amp;" "&amp;TRIM(PROPER(H517))</f>
        <v>Junior Laboratory Technician</v>
      </c>
      <c r="AC517" s="19" t="str">
        <f t="shared" ca="1" si="98"/>
        <v>La-Res-2025-516 is a Junior Laboratory Technician in the Research &amp; Development department, aged 35, married and has been with the Company for 1years</v>
      </c>
    </row>
    <row r="518" spans="1:29">
      <c r="A518" s="18" t="str">
        <f t="shared" ca="1" si="88"/>
        <v>Re-Res-2023-517</v>
      </c>
      <c r="B518" s="5">
        <v>23</v>
      </c>
      <c r="C518" s="5" t="str">
        <f t="shared" si="89"/>
        <v>20-29</v>
      </c>
      <c r="D518" s="5" t="s">
        <v>43</v>
      </c>
      <c r="E518" s="5" t="s">
        <v>45</v>
      </c>
      <c r="F518" s="5" t="s">
        <v>46</v>
      </c>
      <c r="G518" s="5">
        <v>1</v>
      </c>
      <c r="H518" s="5" t="s">
        <v>47</v>
      </c>
      <c r="I518" s="5" t="s">
        <v>48</v>
      </c>
      <c r="J518" s="7">
        <v>2819</v>
      </c>
      <c r="K518" s="7">
        <f t="shared" si="90"/>
        <v>197.33</v>
      </c>
      <c r="L518" s="7">
        <f t="shared" si="91"/>
        <v>2621.67</v>
      </c>
      <c r="M518" s="7">
        <v>8544</v>
      </c>
      <c r="N518" s="5" t="s">
        <v>43</v>
      </c>
      <c r="O518" s="5">
        <v>16</v>
      </c>
      <c r="P518" s="7">
        <f t="shared" si="92"/>
        <v>3270.04</v>
      </c>
      <c r="Q518" s="7">
        <f t="shared" si="93"/>
        <v>5412.48</v>
      </c>
      <c r="R518" s="7" t="str">
        <f t="shared" si="94"/>
        <v>Normal</v>
      </c>
      <c r="S518" s="5">
        <v>3</v>
      </c>
      <c r="T518" s="5">
        <v>4</v>
      </c>
      <c r="U518" s="5" t="str" cm="1">
        <f t="array" ref="U518">_xlfn.IFS(T518=1,"Poor",T518=2,"Fair",T518=3,"Good",T518=4,"Excellent")</f>
        <v>Excellent</v>
      </c>
      <c r="V518" s="5" t="s">
        <v>43</v>
      </c>
      <c r="W518" s="5">
        <v>3</v>
      </c>
      <c r="X518" s="28">
        <f t="shared" ca="1" si="95"/>
        <v>45015</v>
      </c>
      <c r="Y518" s="28">
        <f t="shared" ca="1" si="96"/>
        <v>46476</v>
      </c>
      <c r="Z518" s="28" t="str">
        <f t="shared" ca="1" si="97"/>
        <v>Due Soon</v>
      </c>
      <c r="AA518" s="5" t="str" cm="1">
        <f t="array" ref="AA518">_xlfn.IFS(W518&gt;10,"Veteran",W518&gt;=6,"Experienced",W518&gt;=2,"Developing",W518&gt;=0,"New")</f>
        <v>Developing</v>
      </c>
      <c r="AB518" s="5" t="str" cm="1">
        <f t="array" ref="AB518">_xlfn.IFS(G518=1,"Junior",G518=2,"Mid-Level",G518=3,"Senior",G518=4,"Lead",G518=5,"Principal")&amp;" "&amp;TRIM(PROPER(H518))</f>
        <v>Junior Research Scientist</v>
      </c>
      <c r="AC518" s="19" t="str">
        <f t="shared" ca="1" si="98"/>
        <v>Re-Res-2023-517 is a Junior Research Scientist in the Research &amp; Development department, aged 23, married and has been with the Company for 3years</v>
      </c>
    </row>
    <row r="519" spans="1:29">
      <c r="A519" s="18" t="str">
        <f t="shared" ca="1" si="88"/>
        <v>Sa-Sal-2023-518</v>
      </c>
      <c r="B519" s="5">
        <v>25</v>
      </c>
      <c r="C519" s="5" t="str">
        <f t="shared" si="89"/>
        <v>20-29</v>
      </c>
      <c r="D519" s="5" t="s">
        <v>43</v>
      </c>
      <c r="E519" s="5" t="s">
        <v>37</v>
      </c>
      <c r="F519" s="5" t="s">
        <v>46</v>
      </c>
      <c r="G519" s="5">
        <v>2</v>
      </c>
      <c r="H519" s="5" t="s">
        <v>40</v>
      </c>
      <c r="I519" s="5" t="s">
        <v>48</v>
      </c>
      <c r="J519" s="7">
        <v>4851</v>
      </c>
      <c r="K519" s="7">
        <f t="shared" si="90"/>
        <v>727.65</v>
      </c>
      <c r="L519" s="7">
        <f t="shared" si="91"/>
        <v>4123.3500000000004</v>
      </c>
      <c r="M519" s="7">
        <v>15678</v>
      </c>
      <c r="N519" s="5" t="s">
        <v>43</v>
      </c>
      <c r="O519" s="5">
        <v>22</v>
      </c>
      <c r="P519" s="7">
        <f t="shared" si="92"/>
        <v>5918.22</v>
      </c>
      <c r="Q519" s="7">
        <f t="shared" si="93"/>
        <v>12806.640000000003</v>
      </c>
      <c r="R519" s="7" t="str">
        <f t="shared" si="94"/>
        <v>Normal</v>
      </c>
      <c r="S519" s="5">
        <v>4</v>
      </c>
      <c r="T519" s="5">
        <v>3</v>
      </c>
      <c r="U519" s="5" t="str" cm="1">
        <f t="array" ref="U519">_xlfn.IFS(T519=1,"Poor",T519=2,"Fair",T519=3,"Good",T519=4,"Excellent")</f>
        <v>Good</v>
      </c>
      <c r="V519" s="5" t="s">
        <v>43</v>
      </c>
      <c r="W519" s="5">
        <v>3</v>
      </c>
      <c r="X519" s="28">
        <f t="shared" ca="1" si="95"/>
        <v>45015</v>
      </c>
      <c r="Y519" s="28">
        <f t="shared" ca="1" si="96"/>
        <v>46476</v>
      </c>
      <c r="Z519" s="28" t="str">
        <f t="shared" ca="1" si="97"/>
        <v>Due Soon</v>
      </c>
      <c r="AA519" s="5" t="str" cm="1">
        <f t="array" ref="AA519">_xlfn.IFS(W519&gt;10,"Veteran",W519&gt;=6,"Experienced",W519&gt;=2,"Developing",W519&gt;=0,"New")</f>
        <v>Developing</v>
      </c>
      <c r="AB519" s="5" t="str" cm="1">
        <f t="array" ref="AB519">_xlfn.IFS(G519=1,"Junior",G519=2,"Mid-Level",G519=3,"Senior",G519=4,"Lead",G519=5,"Principal")&amp;" "&amp;TRIM(PROPER(H519))</f>
        <v>Mid-Level Sales Executive</v>
      </c>
      <c r="AC519" s="19" t="str">
        <f t="shared" ca="1" si="98"/>
        <v>Sa-Sal-2023-518 is a Mid-Level Sales Executive in the Sales department, aged 25, married and has been with the Company for 3years</v>
      </c>
    </row>
    <row r="520" spans="1:29">
      <c r="A520" s="18" t="str">
        <f t="shared" ca="1" si="88"/>
        <v>Sa-Sal-2019-519</v>
      </c>
      <c r="B520" s="5">
        <v>38</v>
      </c>
      <c r="C520" s="5" t="str">
        <f t="shared" si="89"/>
        <v>30-39</v>
      </c>
      <c r="D520" s="5" t="s">
        <v>43</v>
      </c>
      <c r="E520" s="5" t="s">
        <v>37</v>
      </c>
      <c r="F520" s="5" t="s">
        <v>39</v>
      </c>
      <c r="G520" s="5">
        <v>2</v>
      </c>
      <c r="H520" s="5" t="s">
        <v>40</v>
      </c>
      <c r="I520" s="5" t="s">
        <v>41</v>
      </c>
      <c r="J520" s="7">
        <v>4028</v>
      </c>
      <c r="K520" s="7">
        <f t="shared" si="90"/>
        <v>604.19999999999993</v>
      </c>
      <c r="L520" s="7">
        <f t="shared" si="91"/>
        <v>3423.8</v>
      </c>
      <c r="M520" s="7">
        <v>7791</v>
      </c>
      <c r="N520" s="5" t="s">
        <v>43</v>
      </c>
      <c r="O520" s="5">
        <v>20</v>
      </c>
      <c r="P520" s="7">
        <f t="shared" si="92"/>
        <v>4833.5999999999995</v>
      </c>
      <c r="Q520" s="7">
        <f t="shared" si="93"/>
        <v>9667.1999999999935</v>
      </c>
      <c r="R520" s="7" t="str">
        <f t="shared" si="94"/>
        <v>Normal</v>
      </c>
      <c r="S520" s="5">
        <v>4</v>
      </c>
      <c r="T520" s="5">
        <v>3</v>
      </c>
      <c r="U520" s="5" t="str" cm="1">
        <f t="array" ref="U520">_xlfn.IFS(T520=1,"Poor",T520=2,"Fair",T520=3,"Good",T520=4,"Excellent")</f>
        <v>Good</v>
      </c>
      <c r="V520" s="5" t="s">
        <v>43</v>
      </c>
      <c r="W520" s="5">
        <v>7</v>
      </c>
      <c r="X520" s="28">
        <f t="shared" ca="1" si="95"/>
        <v>43554</v>
      </c>
      <c r="Y520" s="28">
        <f t="shared" ca="1" si="96"/>
        <v>46476</v>
      </c>
      <c r="Z520" s="28" t="str">
        <f t="shared" ca="1" si="97"/>
        <v>Due Soon</v>
      </c>
      <c r="AA520" s="5" t="str" cm="1">
        <f t="array" ref="AA520">_xlfn.IFS(W520&gt;10,"Veteran",W520&gt;=6,"Experienced",W520&gt;=2,"Developing",W520&gt;=0,"New")</f>
        <v>Experienced</v>
      </c>
      <c r="AB520" s="5" t="str" cm="1">
        <f t="array" ref="AB520">_xlfn.IFS(G520=1,"Junior",G520=2,"Mid-Level",G520=3,"Senior",G520=4,"Lead",G520=5,"Principal")&amp;" "&amp;TRIM(PROPER(H520))</f>
        <v>Mid-Level Sales Executive</v>
      </c>
      <c r="AC520" s="19" t="str">
        <f t="shared" ca="1" si="98"/>
        <v>Sa-Sal-2019-519 is a Mid-Level Sales Executive in the Sales department, aged 38, single and has been with the Company for 7years</v>
      </c>
    </row>
    <row r="521" spans="1:29">
      <c r="A521" s="18" t="str">
        <f t="shared" ca="1" si="88"/>
        <v>Re-Res-2016-520</v>
      </c>
      <c r="B521" s="5">
        <v>29</v>
      </c>
      <c r="C521" s="5" t="str">
        <f t="shared" si="89"/>
        <v>20-29</v>
      </c>
      <c r="D521" s="5" t="s">
        <v>43</v>
      </c>
      <c r="E521" s="5" t="s">
        <v>45</v>
      </c>
      <c r="F521" s="5" t="s">
        <v>46</v>
      </c>
      <c r="G521" s="5">
        <v>1</v>
      </c>
      <c r="H521" s="5" t="s">
        <v>47</v>
      </c>
      <c r="I521" s="5" t="s">
        <v>52</v>
      </c>
      <c r="J521" s="7">
        <v>2720</v>
      </c>
      <c r="K521" s="7">
        <f t="shared" si="90"/>
        <v>190.4</v>
      </c>
      <c r="L521" s="7">
        <f t="shared" si="91"/>
        <v>2529.6</v>
      </c>
      <c r="M521" s="7">
        <v>18959</v>
      </c>
      <c r="N521" s="5" t="s">
        <v>43</v>
      </c>
      <c r="O521" s="5">
        <v>18</v>
      </c>
      <c r="P521" s="7">
        <f t="shared" si="92"/>
        <v>3209.6</v>
      </c>
      <c r="Q521" s="7">
        <f t="shared" si="93"/>
        <v>5875.1999999999989</v>
      </c>
      <c r="R521" s="7" t="str">
        <f t="shared" si="94"/>
        <v>Normal</v>
      </c>
      <c r="S521" s="5">
        <v>3</v>
      </c>
      <c r="T521" s="5">
        <v>3</v>
      </c>
      <c r="U521" s="5" t="str" cm="1">
        <f t="array" ref="U521">_xlfn.IFS(T521=1,"Poor",T521=2,"Fair",T521=3,"Good",T521=4,"Excellent")</f>
        <v>Good</v>
      </c>
      <c r="V521" s="5" t="s">
        <v>43</v>
      </c>
      <c r="W521" s="5">
        <v>10</v>
      </c>
      <c r="X521" s="28">
        <f t="shared" ca="1" si="95"/>
        <v>42459</v>
      </c>
      <c r="Y521" s="28">
        <f t="shared" ca="1" si="96"/>
        <v>46842</v>
      </c>
      <c r="Z521" s="28" t="str">
        <f t="shared" ca="1" si="97"/>
        <v>Upcoming</v>
      </c>
      <c r="AA521" s="5" t="str" cm="1">
        <f t="array" ref="AA521">_xlfn.IFS(W521&gt;10,"Veteran",W521&gt;=6,"Experienced",W521&gt;=2,"Developing",W521&gt;=0,"New")</f>
        <v>Experienced</v>
      </c>
      <c r="AB521" s="5" t="str" cm="1">
        <f t="array" ref="AB521">_xlfn.IFS(G521=1,"Junior",G521=2,"Mid-Level",G521=3,"Senior",G521=4,"Lead",G521=5,"Principal")&amp;" "&amp;TRIM(PROPER(H521))</f>
        <v>Junior Research Scientist</v>
      </c>
      <c r="AC521" s="19" t="str">
        <f t="shared" ca="1" si="98"/>
        <v>Re-Res-2016-520 is a Junior Research Scientist in the Research &amp; Development department, aged 29, divorced and has been with the Company for 10years</v>
      </c>
    </row>
    <row r="522" spans="1:29">
      <c r="A522" s="18" t="str">
        <f t="shared" ca="1" si="88"/>
        <v>Sa-Sal-2024-521</v>
      </c>
      <c r="B522" s="5">
        <v>48</v>
      </c>
      <c r="C522" s="5" t="str">
        <f t="shared" si="89"/>
        <v>40-49</v>
      </c>
      <c r="D522" s="5" t="s">
        <v>43</v>
      </c>
      <c r="E522" s="5" t="s">
        <v>37</v>
      </c>
      <c r="F522" s="5" t="s">
        <v>46</v>
      </c>
      <c r="G522" s="5">
        <v>2</v>
      </c>
      <c r="H522" s="5" t="s">
        <v>40</v>
      </c>
      <c r="I522" s="5" t="s">
        <v>48</v>
      </c>
      <c r="J522" s="7">
        <v>8120</v>
      </c>
      <c r="K522" s="7">
        <f t="shared" si="90"/>
        <v>1786.4</v>
      </c>
      <c r="L522" s="7">
        <f t="shared" si="91"/>
        <v>6333.6</v>
      </c>
      <c r="M522" s="7">
        <v>18597</v>
      </c>
      <c r="N522" s="5" t="s">
        <v>43</v>
      </c>
      <c r="O522" s="5">
        <v>12</v>
      </c>
      <c r="P522" s="7">
        <f t="shared" si="92"/>
        <v>9094.4000000000015</v>
      </c>
      <c r="Q522" s="7">
        <f t="shared" si="93"/>
        <v>11692.800000000017</v>
      </c>
      <c r="R522" s="7" t="str">
        <f t="shared" si="94"/>
        <v>Normal</v>
      </c>
      <c r="S522" s="5">
        <v>3</v>
      </c>
      <c r="T522" s="5">
        <v>3</v>
      </c>
      <c r="U522" s="5" t="str" cm="1">
        <f t="array" ref="U522">_xlfn.IFS(T522=1,"Poor",T522=2,"Fair",T522=3,"Good",T522=4,"Excellent")</f>
        <v>Good</v>
      </c>
      <c r="V522" s="5" t="s">
        <v>43</v>
      </c>
      <c r="W522" s="5">
        <v>2</v>
      </c>
      <c r="X522" s="28">
        <f t="shared" ca="1" si="95"/>
        <v>45381</v>
      </c>
      <c r="Y522" s="28">
        <f t="shared" ca="1" si="96"/>
        <v>46842</v>
      </c>
      <c r="Z522" s="28" t="str">
        <f t="shared" ca="1" si="97"/>
        <v>Upcoming</v>
      </c>
      <c r="AA522" s="5" t="str" cm="1">
        <f t="array" ref="AA522">_xlfn.IFS(W522&gt;10,"Veteran",W522&gt;=6,"Experienced",W522&gt;=2,"Developing",W522&gt;=0,"New")</f>
        <v>Developing</v>
      </c>
      <c r="AB522" s="5" t="str" cm="1">
        <f t="array" ref="AB522">_xlfn.IFS(G522=1,"Junior",G522=2,"Mid-Level",G522=3,"Senior",G522=4,"Lead",G522=5,"Principal")&amp;" "&amp;TRIM(PROPER(H522))</f>
        <v>Mid-Level Sales Executive</v>
      </c>
      <c r="AC522" s="19" t="str">
        <f t="shared" ca="1" si="98"/>
        <v>Sa-Sal-2024-521 is a Mid-Level Sales Executive in the Sales department, aged 48, married and has been with the Company for 2years</v>
      </c>
    </row>
    <row r="523" spans="1:29">
      <c r="A523" s="18" t="str">
        <f t="shared" ca="1" si="88"/>
        <v>Sa-Sal-2020-522</v>
      </c>
      <c r="B523" s="5">
        <v>27</v>
      </c>
      <c r="C523" s="5" t="str">
        <f t="shared" si="89"/>
        <v>20-29</v>
      </c>
      <c r="D523" s="5" t="s">
        <v>43</v>
      </c>
      <c r="E523" s="5" t="s">
        <v>37</v>
      </c>
      <c r="F523" s="5" t="s">
        <v>39</v>
      </c>
      <c r="G523" s="5">
        <v>2</v>
      </c>
      <c r="H523" s="5" t="s">
        <v>40</v>
      </c>
      <c r="I523" s="5" t="s">
        <v>52</v>
      </c>
      <c r="J523" s="7">
        <v>4647</v>
      </c>
      <c r="K523" s="7">
        <f t="shared" si="90"/>
        <v>697.05</v>
      </c>
      <c r="L523" s="7">
        <f t="shared" si="91"/>
        <v>3949.95</v>
      </c>
      <c r="M523" s="7">
        <v>16673</v>
      </c>
      <c r="N523" s="5" t="s">
        <v>35</v>
      </c>
      <c r="O523" s="5">
        <v>20</v>
      </c>
      <c r="P523" s="7">
        <f t="shared" si="92"/>
        <v>5576.4</v>
      </c>
      <c r="Q523" s="7">
        <f t="shared" si="93"/>
        <v>11152.799999999996</v>
      </c>
      <c r="R523" s="7" t="str">
        <f t="shared" si="94"/>
        <v>Normal</v>
      </c>
      <c r="S523" s="5">
        <v>4</v>
      </c>
      <c r="T523" s="5">
        <v>3</v>
      </c>
      <c r="U523" s="5" t="str" cm="1">
        <f t="array" ref="U523">_xlfn.IFS(T523=1,"Poor",T523=2,"Fair",T523=3,"Good",T523=4,"Excellent")</f>
        <v>Good</v>
      </c>
      <c r="V523" s="5" t="s">
        <v>35</v>
      </c>
      <c r="W523" s="5">
        <v>6</v>
      </c>
      <c r="X523" s="28">
        <f t="shared" ca="1" si="95"/>
        <v>43920</v>
      </c>
      <c r="Y523" s="28">
        <f t="shared" ca="1" si="96"/>
        <v>46842</v>
      </c>
      <c r="Z523" s="28" t="str">
        <f t="shared" ca="1" si="97"/>
        <v>Upcoming</v>
      </c>
      <c r="AA523" s="5" t="str" cm="1">
        <f t="array" ref="AA523">_xlfn.IFS(W523&gt;10,"Veteran",W523&gt;=6,"Experienced",W523&gt;=2,"Developing",W523&gt;=0,"New")</f>
        <v>Experienced</v>
      </c>
      <c r="AB523" s="5" t="str" cm="1">
        <f t="array" ref="AB523">_xlfn.IFS(G523=1,"Junior",G523=2,"Mid-Level",G523=3,"Senior",G523=4,"Lead",G523=5,"Principal")&amp;" "&amp;TRIM(PROPER(H523))</f>
        <v>Mid-Level Sales Executive</v>
      </c>
      <c r="AC523" s="19" t="str">
        <f t="shared" ca="1" si="98"/>
        <v>Sa-Sal-2020-522 is a Mid-Level Sales Executive in the Sales department, aged 27, divorced and has been with the Company for 6years</v>
      </c>
    </row>
    <row r="524" spans="1:29">
      <c r="A524" s="18" t="str">
        <f t="shared" ca="1" si="88"/>
        <v>Re-Res-2025-523</v>
      </c>
      <c r="B524" s="5">
        <v>37</v>
      </c>
      <c r="C524" s="5" t="str">
        <f t="shared" si="89"/>
        <v>30-39</v>
      </c>
      <c r="D524" s="5" t="s">
        <v>43</v>
      </c>
      <c r="E524" s="5" t="s">
        <v>45</v>
      </c>
      <c r="F524" s="5" t="s">
        <v>46</v>
      </c>
      <c r="G524" s="5">
        <v>1</v>
      </c>
      <c r="H524" s="5" t="s">
        <v>47</v>
      </c>
      <c r="I524" s="5" t="s">
        <v>41</v>
      </c>
      <c r="J524" s="7">
        <v>4680</v>
      </c>
      <c r="K524" s="7">
        <f t="shared" si="90"/>
        <v>702</v>
      </c>
      <c r="L524" s="7">
        <f t="shared" si="91"/>
        <v>3978</v>
      </c>
      <c r="M524" s="7">
        <v>15232</v>
      </c>
      <c r="N524" s="5" t="s">
        <v>43</v>
      </c>
      <c r="O524" s="5">
        <v>17</v>
      </c>
      <c r="P524" s="7">
        <f t="shared" si="92"/>
        <v>5475.5999999999995</v>
      </c>
      <c r="Q524" s="7">
        <f t="shared" si="93"/>
        <v>9547.1999999999935</v>
      </c>
      <c r="R524" s="7" t="str">
        <f t="shared" si="94"/>
        <v>Normal</v>
      </c>
      <c r="S524" s="5">
        <v>3</v>
      </c>
      <c r="T524" s="5">
        <v>3</v>
      </c>
      <c r="U524" s="5" t="str" cm="1">
        <f t="array" ref="U524">_xlfn.IFS(T524=1,"Poor",T524=2,"Fair",T524=3,"Good",T524=4,"Excellent")</f>
        <v>Good</v>
      </c>
      <c r="V524" s="5" t="s">
        <v>43</v>
      </c>
      <c r="W524" s="5">
        <v>1</v>
      </c>
      <c r="X524" s="28">
        <f t="shared" ca="1" si="95"/>
        <v>45746</v>
      </c>
      <c r="Y524" s="28">
        <f t="shared" ca="1" si="96"/>
        <v>46476</v>
      </c>
      <c r="Z524" s="28" t="str">
        <f t="shared" ca="1" si="97"/>
        <v>Due Soon</v>
      </c>
      <c r="AA524" s="5" t="str" cm="1">
        <f t="array" ref="AA524">_xlfn.IFS(W524&gt;10,"Veteran",W524&gt;=6,"Experienced",W524&gt;=2,"Developing",W524&gt;=0,"New")</f>
        <v>New</v>
      </c>
      <c r="AB524" s="5" t="str" cm="1">
        <f t="array" ref="AB524">_xlfn.IFS(G524=1,"Junior",G524=2,"Mid-Level",G524=3,"Senior",G524=4,"Lead",G524=5,"Principal")&amp;" "&amp;TRIM(PROPER(H524))</f>
        <v>Junior Research Scientist</v>
      </c>
      <c r="AC524" s="19" t="str">
        <f t="shared" ca="1" si="98"/>
        <v>Re-Res-2025-523 is a Junior Research Scientist in the Research &amp; Development department, aged 37, single and has been with the Company for 1years</v>
      </c>
    </row>
    <row r="525" spans="1:29">
      <c r="A525" s="18" t="str">
        <f t="shared" ca="1" si="88"/>
        <v>La-Res-2006-524</v>
      </c>
      <c r="B525" s="5">
        <v>50</v>
      </c>
      <c r="C525" s="5" t="str">
        <f t="shared" si="89"/>
        <v>50+</v>
      </c>
      <c r="D525" s="5" t="s">
        <v>43</v>
      </c>
      <c r="E525" s="5" t="s">
        <v>45</v>
      </c>
      <c r="F525" s="5" t="s">
        <v>46</v>
      </c>
      <c r="G525" s="5">
        <v>1</v>
      </c>
      <c r="H525" s="5" t="s">
        <v>50</v>
      </c>
      <c r="I525" s="5" t="s">
        <v>48</v>
      </c>
      <c r="J525" s="7">
        <v>3221</v>
      </c>
      <c r="K525" s="7">
        <f t="shared" si="90"/>
        <v>483.15</v>
      </c>
      <c r="L525" s="7">
        <f t="shared" si="91"/>
        <v>2737.85</v>
      </c>
      <c r="M525" s="7">
        <v>3297</v>
      </c>
      <c r="N525" s="5" t="s">
        <v>35</v>
      </c>
      <c r="O525" s="5">
        <v>11</v>
      </c>
      <c r="P525" s="7">
        <f t="shared" si="92"/>
        <v>3575.3100000000004</v>
      </c>
      <c r="Q525" s="7">
        <f t="shared" si="93"/>
        <v>4251.7200000000048</v>
      </c>
      <c r="R525" s="7" t="str">
        <f t="shared" si="94"/>
        <v>Normal</v>
      </c>
      <c r="S525" s="5">
        <v>3</v>
      </c>
      <c r="T525" s="5">
        <v>3</v>
      </c>
      <c r="U525" s="5" t="str" cm="1">
        <f t="array" ref="U525">_xlfn.IFS(T525=1,"Poor",T525=2,"Fair",T525=3,"Good",T525=4,"Excellent")</f>
        <v>Good</v>
      </c>
      <c r="V525" s="5" t="s">
        <v>35</v>
      </c>
      <c r="W525" s="5">
        <v>20</v>
      </c>
      <c r="X525" s="28">
        <f t="shared" ca="1" si="95"/>
        <v>38806</v>
      </c>
      <c r="Y525" s="28">
        <f t="shared" ca="1" si="96"/>
        <v>46842</v>
      </c>
      <c r="Z525" s="28" t="str">
        <f t="shared" ca="1" si="97"/>
        <v>Upcoming</v>
      </c>
      <c r="AA525" s="5" t="str" cm="1">
        <f t="array" ref="AA525">_xlfn.IFS(W525&gt;10,"Veteran",W525&gt;=6,"Experienced",W525&gt;=2,"Developing",W525&gt;=0,"New")</f>
        <v>Veteran</v>
      </c>
      <c r="AB525" s="5" t="str" cm="1">
        <f t="array" ref="AB525">_xlfn.IFS(G525=1,"Junior",G525=2,"Mid-Level",G525=3,"Senior",G525=4,"Lead",G525=5,"Principal")&amp;" "&amp;TRIM(PROPER(H525))</f>
        <v>Junior Laboratory Technician</v>
      </c>
      <c r="AC525" s="19" t="str">
        <f t="shared" ca="1" si="98"/>
        <v>La-Res-2006-524 is a Junior Laboratory Technician in the Research &amp; Development department, aged 50, married and has been with the Company for 20years</v>
      </c>
    </row>
    <row r="526" spans="1:29">
      <c r="A526" s="18" t="str">
        <f t="shared" ca="1" si="88"/>
        <v>He-Res-2018-525</v>
      </c>
      <c r="B526" s="5">
        <v>34</v>
      </c>
      <c r="C526" s="5" t="str">
        <f t="shared" si="89"/>
        <v>30-39</v>
      </c>
      <c r="D526" s="5" t="s">
        <v>43</v>
      </c>
      <c r="E526" s="5" t="s">
        <v>45</v>
      </c>
      <c r="F526" s="5" t="s">
        <v>39</v>
      </c>
      <c r="G526" s="5">
        <v>3</v>
      </c>
      <c r="H526" s="5" t="s">
        <v>54</v>
      </c>
      <c r="I526" s="5" t="s">
        <v>41</v>
      </c>
      <c r="J526" s="7">
        <v>8621</v>
      </c>
      <c r="K526" s="7">
        <f t="shared" si="90"/>
        <v>1896.6200000000001</v>
      </c>
      <c r="L526" s="7">
        <f t="shared" si="91"/>
        <v>6724.38</v>
      </c>
      <c r="M526" s="7">
        <v>17654</v>
      </c>
      <c r="N526" s="5" t="s">
        <v>43</v>
      </c>
      <c r="O526" s="5">
        <v>14</v>
      </c>
      <c r="P526" s="7">
        <f t="shared" si="92"/>
        <v>9827.94</v>
      </c>
      <c r="Q526" s="7">
        <f t="shared" si="93"/>
        <v>14483.280000000006</v>
      </c>
      <c r="R526" s="7" t="str">
        <f t="shared" si="94"/>
        <v>Normal</v>
      </c>
      <c r="S526" s="5">
        <v>3</v>
      </c>
      <c r="T526" s="5">
        <v>4</v>
      </c>
      <c r="U526" s="5" t="str" cm="1">
        <f t="array" ref="U526">_xlfn.IFS(T526=1,"Poor",T526=2,"Fair",T526=3,"Good",T526=4,"Excellent")</f>
        <v>Excellent</v>
      </c>
      <c r="V526" s="5" t="s">
        <v>43</v>
      </c>
      <c r="W526" s="5">
        <v>8</v>
      </c>
      <c r="X526" s="28">
        <f t="shared" ca="1" si="95"/>
        <v>43189</v>
      </c>
      <c r="Y526" s="28">
        <f t="shared" ca="1" si="96"/>
        <v>46842</v>
      </c>
      <c r="Z526" s="28" t="str">
        <f t="shared" ca="1" si="97"/>
        <v>Upcoming</v>
      </c>
      <c r="AA526" s="5" t="str" cm="1">
        <f t="array" ref="AA526">_xlfn.IFS(W526&gt;10,"Veteran",W526&gt;=6,"Experienced",W526&gt;=2,"Developing",W526&gt;=0,"New")</f>
        <v>Experienced</v>
      </c>
      <c r="AB526" s="5" t="str" cm="1">
        <f t="array" ref="AB526">_xlfn.IFS(G526=1,"Junior",G526=2,"Mid-Level",G526=3,"Senior",G526=4,"Lead",G526=5,"Principal")&amp;" "&amp;TRIM(PROPER(H526))</f>
        <v>Senior Healthcare Representative</v>
      </c>
      <c r="AC526" s="19" t="str">
        <f t="shared" ca="1" si="98"/>
        <v>He-Res-2018-525 is a Senior Healthcare Representative in the Research &amp; Development department, aged 34, single and has been with the Company for 8years</v>
      </c>
    </row>
    <row r="527" spans="1:29">
      <c r="A527" s="18" t="str">
        <f t="shared" ca="1" si="88"/>
        <v>Sa-Sal-2024-526</v>
      </c>
      <c r="B527" s="5">
        <v>24</v>
      </c>
      <c r="C527" s="5" t="str">
        <f t="shared" si="89"/>
        <v>20-29</v>
      </c>
      <c r="D527" s="5" t="s">
        <v>35</v>
      </c>
      <c r="E527" s="5" t="s">
        <v>37</v>
      </c>
      <c r="F527" s="5" t="s">
        <v>39</v>
      </c>
      <c r="G527" s="5">
        <v>2</v>
      </c>
      <c r="H527" s="5" t="s">
        <v>40</v>
      </c>
      <c r="I527" s="5" t="s">
        <v>41</v>
      </c>
      <c r="J527" s="7">
        <v>4577</v>
      </c>
      <c r="K527" s="7">
        <f t="shared" si="90"/>
        <v>686.55</v>
      </c>
      <c r="L527" s="7">
        <f t="shared" si="91"/>
        <v>3890.45</v>
      </c>
      <c r="M527" s="7">
        <v>24785</v>
      </c>
      <c r="N527" s="5" t="s">
        <v>43</v>
      </c>
      <c r="O527" s="5">
        <v>14</v>
      </c>
      <c r="P527" s="7">
        <f t="shared" si="92"/>
        <v>5217.7800000000007</v>
      </c>
      <c r="Q527" s="7">
        <f t="shared" si="93"/>
        <v>7689.3600000000079</v>
      </c>
      <c r="R527" s="7" t="str">
        <f t="shared" si="94"/>
        <v>Normal</v>
      </c>
      <c r="S527" s="5">
        <v>3</v>
      </c>
      <c r="T527" s="5">
        <v>3</v>
      </c>
      <c r="U527" s="5" t="str" cm="1">
        <f t="array" ref="U527">_xlfn.IFS(T527=1,"Poor",T527=2,"Fair",T527=3,"Good",T527=4,"Excellent")</f>
        <v>Good</v>
      </c>
      <c r="V527" s="5" t="s">
        <v>43</v>
      </c>
      <c r="W527" s="5">
        <v>2</v>
      </c>
      <c r="X527" s="28">
        <f t="shared" ca="1" si="95"/>
        <v>45381</v>
      </c>
      <c r="Y527" s="28">
        <f t="shared" ca="1" si="96"/>
        <v>46842</v>
      </c>
      <c r="Z527" s="28" t="str">
        <f t="shared" ca="1" si="97"/>
        <v>Upcoming</v>
      </c>
      <c r="AA527" s="5" t="str" cm="1">
        <f t="array" ref="AA527">_xlfn.IFS(W527&gt;10,"Veteran",W527&gt;=6,"Experienced",W527&gt;=2,"Developing",W527&gt;=0,"New")</f>
        <v>Developing</v>
      </c>
      <c r="AB527" s="5" t="str" cm="1">
        <f t="array" ref="AB527">_xlfn.IFS(G527=1,"Junior",G527=2,"Mid-Level",G527=3,"Senior",G527=4,"Lead",G527=5,"Principal")&amp;" "&amp;TRIM(PROPER(H527))</f>
        <v>Mid-Level Sales Executive</v>
      </c>
      <c r="AC527" s="19" t="str">
        <f t="shared" ca="1" si="98"/>
        <v>Sa-Sal-2024-526 is a Mid-Level Sales Executive in the Sales department, aged 24, single and has been with the Company for 2years</v>
      </c>
    </row>
    <row r="528" spans="1:29">
      <c r="A528" s="18" t="str">
        <f t="shared" ca="1" si="88"/>
        <v>He-Res-2006-527</v>
      </c>
      <c r="B528" s="5">
        <v>39</v>
      </c>
      <c r="C528" s="5" t="str">
        <f t="shared" si="89"/>
        <v>30-39</v>
      </c>
      <c r="D528" s="5" t="s">
        <v>43</v>
      </c>
      <c r="E528" s="5" t="s">
        <v>45</v>
      </c>
      <c r="F528" s="5" t="s">
        <v>39</v>
      </c>
      <c r="G528" s="5">
        <v>2</v>
      </c>
      <c r="H528" s="5" t="s">
        <v>54</v>
      </c>
      <c r="I528" s="5" t="s">
        <v>41</v>
      </c>
      <c r="J528" s="7">
        <v>4553</v>
      </c>
      <c r="K528" s="7">
        <f t="shared" si="90"/>
        <v>682.94999999999993</v>
      </c>
      <c r="L528" s="7">
        <f t="shared" si="91"/>
        <v>3870.05</v>
      </c>
      <c r="M528" s="7">
        <v>20978</v>
      </c>
      <c r="N528" s="5" t="s">
        <v>43</v>
      </c>
      <c r="O528" s="5">
        <v>11</v>
      </c>
      <c r="P528" s="7">
        <f t="shared" si="92"/>
        <v>5053.8300000000008</v>
      </c>
      <c r="Q528" s="7">
        <f t="shared" si="93"/>
        <v>6009.96000000001</v>
      </c>
      <c r="R528" s="7" t="str">
        <f t="shared" si="94"/>
        <v>Normal</v>
      </c>
      <c r="S528" s="5">
        <v>3</v>
      </c>
      <c r="T528" s="5">
        <v>3</v>
      </c>
      <c r="U528" s="5" t="str" cm="1">
        <f t="array" ref="U528">_xlfn.IFS(T528=1,"Poor",T528=2,"Fair",T528=3,"Good",T528=4,"Excellent")</f>
        <v>Good</v>
      </c>
      <c r="V528" s="5" t="s">
        <v>43</v>
      </c>
      <c r="W528" s="5">
        <v>20</v>
      </c>
      <c r="X528" s="28">
        <f t="shared" ca="1" si="95"/>
        <v>38806</v>
      </c>
      <c r="Y528" s="28">
        <f t="shared" ca="1" si="96"/>
        <v>46842</v>
      </c>
      <c r="Z528" s="28" t="str">
        <f t="shared" ca="1" si="97"/>
        <v>Upcoming</v>
      </c>
      <c r="AA528" s="5" t="str" cm="1">
        <f t="array" ref="AA528">_xlfn.IFS(W528&gt;10,"Veteran",W528&gt;=6,"Experienced",W528&gt;=2,"Developing",W528&gt;=0,"New")</f>
        <v>Veteran</v>
      </c>
      <c r="AB528" s="5" t="str" cm="1">
        <f t="array" ref="AB528">_xlfn.IFS(G528=1,"Junior",G528=2,"Mid-Level",G528=3,"Senior",G528=4,"Lead",G528=5,"Principal")&amp;" "&amp;TRIM(PROPER(H528))</f>
        <v>Mid-Level Healthcare Representative</v>
      </c>
      <c r="AC528" s="19" t="str">
        <f t="shared" ca="1" si="98"/>
        <v>He-Res-2006-527 is a Mid-Level Healthcare Representative in the Research &amp; Development department, aged 39, single and has been with the Company for 20years</v>
      </c>
    </row>
    <row r="529" spans="1:29">
      <c r="A529" s="18" t="str">
        <f t="shared" ca="1" si="88"/>
        <v>Sa-Sal-2016-528</v>
      </c>
      <c r="B529" s="5">
        <v>32</v>
      </c>
      <c r="C529" s="5" t="str">
        <f t="shared" si="89"/>
        <v>30-39</v>
      </c>
      <c r="D529" s="5" t="s">
        <v>43</v>
      </c>
      <c r="E529" s="5" t="s">
        <v>37</v>
      </c>
      <c r="F529" s="5" t="s">
        <v>46</v>
      </c>
      <c r="G529" s="5">
        <v>2</v>
      </c>
      <c r="H529" s="5" t="s">
        <v>40</v>
      </c>
      <c r="I529" s="5" t="s">
        <v>41</v>
      </c>
      <c r="J529" s="7">
        <v>5396</v>
      </c>
      <c r="K529" s="7">
        <f t="shared" si="90"/>
        <v>809.4</v>
      </c>
      <c r="L529" s="7">
        <f t="shared" si="91"/>
        <v>4586.6000000000004</v>
      </c>
      <c r="M529" s="7">
        <v>21703</v>
      </c>
      <c r="N529" s="5" t="s">
        <v>43</v>
      </c>
      <c r="O529" s="5">
        <v>12</v>
      </c>
      <c r="P529" s="7">
        <f t="shared" si="92"/>
        <v>6043.52</v>
      </c>
      <c r="Q529" s="7">
        <f t="shared" si="93"/>
        <v>7770.2400000000052</v>
      </c>
      <c r="R529" s="7" t="str">
        <f t="shared" si="94"/>
        <v>Normal</v>
      </c>
      <c r="S529" s="5">
        <v>3</v>
      </c>
      <c r="T529" s="5">
        <v>2</v>
      </c>
      <c r="U529" s="5" t="str" cm="1">
        <f t="array" ref="U529">_xlfn.IFS(T529=1,"Poor",T529=2,"Fair",T529=3,"Good",T529=4,"Excellent")</f>
        <v>Fair</v>
      </c>
      <c r="V529" s="5" t="s">
        <v>43</v>
      </c>
      <c r="W529" s="5">
        <v>10</v>
      </c>
      <c r="X529" s="28">
        <f t="shared" ca="1" si="95"/>
        <v>42459</v>
      </c>
      <c r="Y529" s="28">
        <f t="shared" ca="1" si="96"/>
        <v>46842</v>
      </c>
      <c r="Z529" s="28" t="str">
        <f t="shared" ca="1" si="97"/>
        <v>Upcoming</v>
      </c>
      <c r="AA529" s="5" t="str" cm="1">
        <f t="array" ref="AA529">_xlfn.IFS(W529&gt;10,"Veteran",W529&gt;=6,"Experienced",W529&gt;=2,"Developing",W529&gt;=0,"New")</f>
        <v>Experienced</v>
      </c>
      <c r="AB529" s="5" t="str" cm="1">
        <f t="array" ref="AB529">_xlfn.IFS(G529=1,"Junior",G529=2,"Mid-Level",G529=3,"Senior",G529=4,"Lead",G529=5,"Principal")&amp;" "&amp;TRIM(PROPER(H529))</f>
        <v>Mid-Level Sales Executive</v>
      </c>
      <c r="AC529" s="19" t="str">
        <f t="shared" ca="1" si="98"/>
        <v>Sa-Sal-2016-528 is a Mid-Level Sales Executive in the Sales department, aged 32, single and has been with the Company for 10years</v>
      </c>
    </row>
    <row r="530" spans="1:29">
      <c r="A530" s="18" t="str">
        <f t="shared" ca="1" si="88"/>
        <v>Sa-Sal-2022-529</v>
      </c>
      <c r="B530" s="5">
        <v>50</v>
      </c>
      <c r="C530" s="5" t="str">
        <f t="shared" si="89"/>
        <v>50+</v>
      </c>
      <c r="D530" s="5" t="s">
        <v>35</v>
      </c>
      <c r="E530" s="5" t="s">
        <v>37</v>
      </c>
      <c r="F530" s="5" t="s">
        <v>46</v>
      </c>
      <c r="G530" s="5">
        <v>2</v>
      </c>
      <c r="H530" s="5" t="s">
        <v>40</v>
      </c>
      <c r="I530" s="5" t="s">
        <v>48</v>
      </c>
      <c r="J530" s="7">
        <v>6796</v>
      </c>
      <c r="K530" s="7">
        <f t="shared" si="90"/>
        <v>1019.4</v>
      </c>
      <c r="L530" s="7">
        <f t="shared" si="91"/>
        <v>5776.6</v>
      </c>
      <c r="M530" s="7">
        <v>23452</v>
      </c>
      <c r="N530" s="5" t="s">
        <v>35</v>
      </c>
      <c r="O530" s="5">
        <v>14</v>
      </c>
      <c r="P530" s="7">
        <f t="shared" si="92"/>
        <v>7747.4400000000005</v>
      </c>
      <c r="Q530" s="7">
        <f t="shared" si="93"/>
        <v>11417.280000000006</v>
      </c>
      <c r="R530" s="7" t="str">
        <f t="shared" si="94"/>
        <v>Normal</v>
      </c>
      <c r="S530" s="5">
        <v>3</v>
      </c>
      <c r="T530" s="5">
        <v>3</v>
      </c>
      <c r="U530" s="5" t="str" cm="1">
        <f t="array" ref="U530">_xlfn.IFS(T530=1,"Poor",T530=2,"Fair",T530=3,"Good",T530=4,"Excellent")</f>
        <v>Good</v>
      </c>
      <c r="V530" s="5" t="s">
        <v>35</v>
      </c>
      <c r="W530" s="5">
        <v>4</v>
      </c>
      <c r="X530" s="28">
        <f t="shared" ca="1" si="95"/>
        <v>44650</v>
      </c>
      <c r="Y530" s="28">
        <f t="shared" ca="1" si="96"/>
        <v>46842</v>
      </c>
      <c r="Z530" s="28" t="str">
        <f t="shared" ca="1" si="97"/>
        <v>Upcoming</v>
      </c>
      <c r="AA530" s="5" t="str" cm="1">
        <f t="array" ref="AA530">_xlfn.IFS(W530&gt;10,"Veteran",W530&gt;=6,"Experienced",W530&gt;=2,"Developing",W530&gt;=0,"New")</f>
        <v>Developing</v>
      </c>
      <c r="AB530" s="5" t="str" cm="1">
        <f t="array" ref="AB530">_xlfn.IFS(G530=1,"Junior",G530=2,"Mid-Level",G530=3,"Senior",G530=4,"Lead",G530=5,"Principal")&amp;" "&amp;TRIM(PROPER(H530))</f>
        <v>Mid-Level Sales Executive</v>
      </c>
      <c r="AC530" s="19" t="str">
        <f t="shared" ca="1" si="98"/>
        <v>Sa-Sal-2022-529 is a Mid-Level Sales Executive in the Sales department, aged 50, married and has been with the Company for 4years</v>
      </c>
    </row>
    <row r="531" spans="1:29">
      <c r="A531" s="18" t="str">
        <f t="shared" ca="1" si="88"/>
        <v>He-Res-2017-530</v>
      </c>
      <c r="B531" s="5">
        <v>38</v>
      </c>
      <c r="C531" s="5" t="str">
        <f t="shared" si="89"/>
        <v>30-39</v>
      </c>
      <c r="D531" s="5" t="s">
        <v>43</v>
      </c>
      <c r="E531" s="5" t="s">
        <v>45</v>
      </c>
      <c r="F531" s="5" t="s">
        <v>39</v>
      </c>
      <c r="G531" s="5">
        <v>2</v>
      </c>
      <c r="H531" s="5" t="s">
        <v>54</v>
      </c>
      <c r="I531" s="5" t="s">
        <v>41</v>
      </c>
      <c r="J531" s="7">
        <v>7625</v>
      </c>
      <c r="K531" s="7">
        <f t="shared" si="90"/>
        <v>1677.5</v>
      </c>
      <c r="L531" s="7">
        <f t="shared" si="91"/>
        <v>5947.5</v>
      </c>
      <c r="M531" s="7">
        <v>19383</v>
      </c>
      <c r="N531" s="5" t="s">
        <v>43</v>
      </c>
      <c r="O531" s="5">
        <v>13</v>
      </c>
      <c r="P531" s="7">
        <f t="shared" si="92"/>
        <v>8616.25</v>
      </c>
      <c r="Q531" s="7">
        <f t="shared" si="93"/>
        <v>11895</v>
      </c>
      <c r="R531" s="7" t="str">
        <f t="shared" si="94"/>
        <v>Normal</v>
      </c>
      <c r="S531" s="5">
        <v>3</v>
      </c>
      <c r="T531" s="5">
        <v>2</v>
      </c>
      <c r="U531" s="5" t="str" cm="1">
        <f t="array" ref="U531">_xlfn.IFS(T531=1,"Poor",T531=2,"Fair",T531=3,"Good",T531=4,"Excellent")</f>
        <v>Fair</v>
      </c>
      <c r="V531" s="5" t="s">
        <v>43</v>
      </c>
      <c r="W531" s="5">
        <v>9</v>
      </c>
      <c r="X531" s="28">
        <f t="shared" ca="1" si="95"/>
        <v>42824</v>
      </c>
      <c r="Y531" s="28">
        <f t="shared" ca="1" si="96"/>
        <v>46476</v>
      </c>
      <c r="Z531" s="28" t="str">
        <f t="shared" ca="1" si="97"/>
        <v>Due Soon</v>
      </c>
      <c r="AA531" s="5" t="str" cm="1">
        <f t="array" ref="AA531">_xlfn.IFS(W531&gt;10,"Veteran",W531&gt;=6,"Experienced",W531&gt;=2,"Developing",W531&gt;=0,"New")</f>
        <v>Experienced</v>
      </c>
      <c r="AB531" s="5" t="str" cm="1">
        <f t="array" ref="AB531">_xlfn.IFS(G531=1,"Junior",G531=2,"Mid-Level",G531=3,"Senior",G531=4,"Lead",G531=5,"Principal")&amp;" "&amp;TRIM(PROPER(H531))</f>
        <v>Mid-Level Healthcare Representative</v>
      </c>
      <c r="AC531" s="19" t="str">
        <f t="shared" ca="1" si="98"/>
        <v>He-Res-2017-530 is a Mid-Level Healthcare Representative in the Research &amp; Development department, aged 38, single and has been with the Company for 9years</v>
      </c>
    </row>
    <row r="532" spans="1:29">
      <c r="A532" s="18" t="str">
        <f t="shared" ca="1" si="88"/>
        <v>Ma-Res-2017-531</v>
      </c>
      <c r="B532" s="5">
        <v>27</v>
      </c>
      <c r="C532" s="5" t="str">
        <f t="shared" si="89"/>
        <v>20-29</v>
      </c>
      <c r="D532" s="5" t="s">
        <v>43</v>
      </c>
      <c r="E532" s="5" t="s">
        <v>45</v>
      </c>
      <c r="F532" s="5" t="s">
        <v>39</v>
      </c>
      <c r="G532" s="5">
        <v>3</v>
      </c>
      <c r="H532" s="5" t="s">
        <v>53</v>
      </c>
      <c r="I532" s="5" t="s">
        <v>48</v>
      </c>
      <c r="J532" s="7">
        <v>7412</v>
      </c>
      <c r="K532" s="7">
        <f t="shared" si="90"/>
        <v>1630.64</v>
      </c>
      <c r="L532" s="7">
        <f t="shared" si="91"/>
        <v>5781.36</v>
      </c>
      <c r="M532" s="7">
        <v>6009</v>
      </c>
      <c r="N532" s="5" t="s">
        <v>43</v>
      </c>
      <c r="O532" s="5">
        <v>11</v>
      </c>
      <c r="P532" s="7">
        <f t="shared" si="92"/>
        <v>8227.3200000000015</v>
      </c>
      <c r="Q532" s="7">
        <f t="shared" si="93"/>
        <v>9783.8400000000183</v>
      </c>
      <c r="R532" s="7" t="str">
        <f t="shared" si="94"/>
        <v>Normal</v>
      </c>
      <c r="S532" s="5">
        <v>3</v>
      </c>
      <c r="T532" s="5">
        <v>3</v>
      </c>
      <c r="U532" s="5" t="str" cm="1">
        <f t="array" ref="U532">_xlfn.IFS(T532=1,"Poor",T532=2,"Fair",T532=3,"Good",T532=4,"Excellent")</f>
        <v>Good</v>
      </c>
      <c r="V532" s="5" t="s">
        <v>43</v>
      </c>
      <c r="W532" s="5">
        <v>9</v>
      </c>
      <c r="X532" s="28">
        <f t="shared" ca="1" si="95"/>
        <v>42824</v>
      </c>
      <c r="Y532" s="28">
        <f t="shared" ca="1" si="96"/>
        <v>46476</v>
      </c>
      <c r="Z532" s="28" t="str">
        <f t="shared" ca="1" si="97"/>
        <v>Due Soon</v>
      </c>
      <c r="AA532" s="5" t="str" cm="1">
        <f t="array" ref="AA532">_xlfn.IFS(W532&gt;10,"Veteran",W532&gt;=6,"Experienced",W532&gt;=2,"Developing",W532&gt;=0,"New")</f>
        <v>Experienced</v>
      </c>
      <c r="AB532" s="5" t="str" cm="1">
        <f t="array" ref="AB532">_xlfn.IFS(G532=1,"Junior",G532=2,"Mid-Level",G532=3,"Senior",G532=4,"Lead",G532=5,"Principal")&amp;" "&amp;TRIM(PROPER(H532))</f>
        <v>Senior Manufacturing Director</v>
      </c>
      <c r="AC532" s="19" t="str">
        <f t="shared" ca="1" si="98"/>
        <v>Ma-Res-2017-531 is a Senior Manufacturing Director in the Research &amp; Development department, aged 27, married and has been with the Company for 9years</v>
      </c>
    </row>
    <row r="533" spans="1:29">
      <c r="A533" s="18" t="str">
        <f t="shared" ca="1" si="88"/>
        <v>Re-Res-2019-532</v>
      </c>
      <c r="B533" s="5">
        <v>32</v>
      </c>
      <c r="C533" s="5" t="str">
        <f t="shared" si="89"/>
        <v>30-39</v>
      </c>
      <c r="D533" s="5" t="s">
        <v>43</v>
      </c>
      <c r="E533" s="5" t="s">
        <v>45</v>
      </c>
      <c r="F533" s="5" t="s">
        <v>39</v>
      </c>
      <c r="G533" s="5">
        <v>3</v>
      </c>
      <c r="H533" s="5" t="s">
        <v>58</v>
      </c>
      <c r="I533" s="5" t="s">
        <v>41</v>
      </c>
      <c r="J533" s="7">
        <v>11159</v>
      </c>
      <c r="K533" s="7">
        <f t="shared" si="90"/>
        <v>2454.98</v>
      </c>
      <c r="L533" s="7">
        <f t="shared" si="91"/>
        <v>8704.02</v>
      </c>
      <c r="M533" s="7">
        <v>19373</v>
      </c>
      <c r="N533" s="5" t="s">
        <v>43</v>
      </c>
      <c r="O533" s="5">
        <v>15</v>
      </c>
      <c r="P533" s="7">
        <f t="shared" si="92"/>
        <v>12832.849999999999</v>
      </c>
      <c r="Q533" s="7">
        <f t="shared" si="93"/>
        <v>20086.199999999983</v>
      </c>
      <c r="R533" s="7" t="str">
        <f t="shared" si="94"/>
        <v>Normal</v>
      </c>
      <c r="S533" s="5">
        <v>3</v>
      </c>
      <c r="T533" s="5">
        <v>3</v>
      </c>
      <c r="U533" s="5" t="str" cm="1">
        <f t="array" ref="U533">_xlfn.IFS(T533=1,"Poor",T533=2,"Fair",T533=3,"Good",T533=4,"Excellent")</f>
        <v>Good</v>
      </c>
      <c r="V533" s="5" t="s">
        <v>43</v>
      </c>
      <c r="W533" s="5">
        <v>7</v>
      </c>
      <c r="X533" s="28">
        <f t="shared" ca="1" si="95"/>
        <v>43554</v>
      </c>
      <c r="Y533" s="28">
        <f t="shared" ca="1" si="96"/>
        <v>46476</v>
      </c>
      <c r="Z533" s="28" t="str">
        <f t="shared" ca="1" si="97"/>
        <v>Due Soon</v>
      </c>
      <c r="AA533" s="5" t="str" cm="1">
        <f t="array" ref="AA533">_xlfn.IFS(W533&gt;10,"Veteran",W533&gt;=6,"Experienced",W533&gt;=2,"Developing",W533&gt;=0,"New")</f>
        <v>Experienced</v>
      </c>
      <c r="AB533" s="5" t="str" cm="1">
        <f t="array" ref="AB533">_xlfn.IFS(G533=1,"Junior",G533=2,"Mid-Level",G533=3,"Senior",G533=4,"Lead",G533=5,"Principal")&amp;" "&amp;TRIM(PROPER(H533))</f>
        <v>Senior Research Director</v>
      </c>
      <c r="AC533" s="19" t="str">
        <f t="shared" ca="1" si="98"/>
        <v>Re-Res-2019-532 is a Senior Research Director in the Research &amp; Development department, aged 32, single and has been with the Company for 7years</v>
      </c>
    </row>
    <row r="534" spans="1:29">
      <c r="A534" s="18" t="str">
        <f t="shared" ca="1" si="88"/>
        <v>Sa-Sal-2019-533</v>
      </c>
      <c r="B534" s="5">
        <v>47</v>
      </c>
      <c r="C534" s="5" t="str">
        <f t="shared" si="89"/>
        <v>40-49</v>
      </c>
      <c r="D534" s="5" t="s">
        <v>43</v>
      </c>
      <c r="E534" s="5" t="s">
        <v>37</v>
      </c>
      <c r="F534" s="5" t="s">
        <v>46</v>
      </c>
      <c r="G534" s="5">
        <v>2</v>
      </c>
      <c r="H534" s="5" t="s">
        <v>40</v>
      </c>
      <c r="I534" s="5" t="s">
        <v>41</v>
      </c>
      <c r="J534" s="7">
        <v>4960</v>
      </c>
      <c r="K534" s="7">
        <f t="shared" si="90"/>
        <v>744</v>
      </c>
      <c r="L534" s="7">
        <f t="shared" si="91"/>
        <v>4216</v>
      </c>
      <c r="M534" s="7">
        <v>11825</v>
      </c>
      <c r="N534" s="5" t="s">
        <v>43</v>
      </c>
      <c r="O534" s="5">
        <v>12</v>
      </c>
      <c r="P534" s="7">
        <f t="shared" si="92"/>
        <v>5555.2000000000007</v>
      </c>
      <c r="Q534" s="7">
        <f t="shared" si="93"/>
        <v>7142.4000000000087</v>
      </c>
      <c r="R534" s="7" t="str">
        <f t="shared" si="94"/>
        <v>Normal</v>
      </c>
      <c r="S534" s="5">
        <v>3</v>
      </c>
      <c r="T534" s="5">
        <v>3</v>
      </c>
      <c r="U534" s="5" t="str" cm="1">
        <f t="array" ref="U534">_xlfn.IFS(T534=1,"Poor",T534=2,"Fair",T534=3,"Good",T534=4,"Excellent")</f>
        <v>Good</v>
      </c>
      <c r="V534" s="5" t="s">
        <v>43</v>
      </c>
      <c r="W534" s="5">
        <v>7</v>
      </c>
      <c r="X534" s="28">
        <f t="shared" ca="1" si="95"/>
        <v>43554</v>
      </c>
      <c r="Y534" s="28">
        <f t="shared" ca="1" si="96"/>
        <v>46476</v>
      </c>
      <c r="Z534" s="28" t="str">
        <f t="shared" ca="1" si="97"/>
        <v>Due Soon</v>
      </c>
      <c r="AA534" s="5" t="str" cm="1">
        <f t="array" ref="AA534">_xlfn.IFS(W534&gt;10,"Veteran",W534&gt;=6,"Experienced",W534&gt;=2,"Developing",W534&gt;=0,"New")</f>
        <v>Experienced</v>
      </c>
      <c r="AB534" s="5" t="str" cm="1">
        <f t="array" ref="AB534">_xlfn.IFS(G534=1,"Junior",G534=2,"Mid-Level",G534=3,"Senior",G534=4,"Lead",G534=5,"Principal")&amp;" "&amp;TRIM(PROPER(H534))</f>
        <v>Mid-Level Sales Executive</v>
      </c>
      <c r="AC534" s="19" t="str">
        <f t="shared" ca="1" si="98"/>
        <v>Sa-Sal-2019-533 is a Mid-Level Sales Executive in the Sales department, aged 47, single and has been with the Company for 7years</v>
      </c>
    </row>
    <row r="535" spans="1:29">
      <c r="A535" s="18" t="str">
        <f t="shared" ca="1" si="88"/>
        <v>Sa-Sal-2008-534</v>
      </c>
      <c r="B535" s="5">
        <v>40</v>
      </c>
      <c r="C535" s="5" t="str">
        <f t="shared" si="89"/>
        <v>40-49</v>
      </c>
      <c r="D535" s="5" t="s">
        <v>43</v>
      </c>
      <c r="E535" s="5" t="s">
        <v>37</v>
      </c>
      <c r="F535" s="5" t="s">
        <v>46</v>
      </c>
      <c r="G535" s="5">
        <v>3</v>
      </c>
      <c r="H535" s="5" t="s">
        <v>40</v>
      </c>
      <c r="I535" s="5" t="s">
        <v>48</v>
      </c>
      <c r="J535" s="7">
        <v>10475</v>
      </c>
      <c r="K535" s="7">
        <f t="shared" si="90"/>
        <v>2304.5</v>
      </c>
      <c r="L535" s="7">
        <f t="shared" si="91"/>
        <v>8170.5</v>
      </c>
      <c r="M535" s="7">
        <v>23772</v>
      </c>
      <c r="N535" s="5" t="s">
        <v>35</v>
      </c>
      <c r="O535" s="5">
        <v>21</v>
      </c>
      <c r="P535" s="7">
        <f t="shared" si="92"/>
        <v>12674.75</v>
      </c>
      <c r="Q535" s="7">
        <f t="shared" si="93"/>
        <v>26397</v>
      </c>
      <c r="R535" s="7" t="str">
        <f t="shared" si="94"/>
        <v>Normal</v>
      </c>
      <c r="S535" s="5">
        <v>4</v>
      </c>
      <c r="T535" s="5">
        <v>3</v>
      </c>
      <c r="U535" s="5" t="str" cm="1">
        <f t="array" ref="U535">_xlfn.IFS(T535=1,"Poor",T535=2,"Fair",T535=3,"Good",T535=4,"Excellent")</f>
        <v>Good</v>
      </c>
      <c r="V535" s="5" t="s">
        <v>35</v>
      </c>
      <c r="W535" s="5">
        <v>18</v>
      </c>
      <c r="X535" s="28">
        <f t="shared" ca="1" si="95"/>
        <v>39537</v>
      </c>
      <c r="Y535" s="28">
        <f t="shared" ca="1" si="96"/>
        <v>46842</v>
      </c>
      <c r="Z535" s="28" t="str">
        <f t="shared" ca="1" si="97"/>
        <v>Upcoming</v>
      </c>
      <c r="AA535" s="5" t="str" cm="1">
        <f t="array" ref="AA535">_xlfn.IFS(W535&gt;10,"Veteran",W535&gt;=6,"Experienced",W535&gt;=2,"Developing",W535&gt;=0,"New")</f>
        <v>Veteran</v>
      </c>
      <c r="AB535" s="5" t="str" cm="1">
        <f t="array" ref="AB535">_xlfn.IFS(G535=1,"Junior",G535=2,"Mid-Level",G535=3,"Senior",G535=4,"Lead",G535=5,"Principal")&amp;" "&amp;TRIM(PROPER(H535))</f>
        <v>Senior Sales Executive</v>
      </c>
      <c r="AC535" s="19" t="str">
        <f t="shared" ca="1" si="98"/>
        <v>Sa-Sal-2008-534 is a Senior Sales Executive in the Sales department, aged 40, married and has been with the Company for 18years</v>
      </c>
    </row>
    <row r="536" spans="1:29">
      <c r="A536" s="18" t="str">
        <f t="shared" ca="1" si="88"/>
        <v>Re-Res-2021-535</v>
      </c>
      <c r="B536" s="5">
        <v>53</v>
      </c>
      <c r="C536" s="5" t="str">
        <f t="shared" si="89"/>
        <v>50+</v>
      </c>
      <c r="D536" s="5" t="s">
        <v>43</v>
      </c>
      <c r="E536" s="5" t="s">
        <v>45</v>
      </c>
      <c r="F536" s="5" t="s">
        <v>46</v>
      </c>
      <c r="G536" s="5">
        <v>4</v>
      </c>
      <c r="H536" s="5" t="s">
        <v>58</v>
      </c>
      <c r="I536" s="5" t="s">
        <v>48</v>
      </c>
      <c r="J536" s="7">
        <v>14814</v>
      </c>
      <c r="K536" s="7">
        <f t="shared" si="90"/>
        <v>4444.2</v>
      </c>
      <c r="L536" s="7">
        <f t="shared" si="91"/>
        <v>10369.799999999999</v>
      </c>
      <c r="M536" s="7">
        <v>13514</v>
      </c>
      <c r="N536" s="5" t="s">
        <v>43</v>
      </c>
      <c r="O536" s="5">
        <v>19</v>
      </c>
      <c r="P536" s="7">
        <f t="shared" si="92"/>
        <v>17628.66</v>
      </c>
      <c r="Q536" s="7">
        <f t="shared" si="93"/>
        <v>33775.919999999998</v>
      </c>
      <c r="R536" s="7" t="str">
        <f t="shared" si="94"/>
        <v>Normal</v>
      </c>
      <c r="S536" s="5">
        <v>3</v>
      </c>
      <c r="T536" s="5">
        <v>3</v>
      </c>
      <c r="U536" s="5" t="str" cm="1">
        <f t="array" ref="U536">_xlfn.IFS(T536=1,"Poor",T536=2,"Fair",T536=3,"Good",T536=4,"Excellent")</f>
        <v>Good</v>
      </c>
      <c r="V536" s="5" t="s">
        <v>43</v>
      </c>
      <c r="W536" s="5">
        <v>5</v>
      </c>
      <c r="X536" s="28">
        <f t="shared" ca="1" si="95"/>
        <v>44285</v>
      </c>
      <c r="Y536" s="28">
        <f t="shared" ca="1" si="96"/>
        <v>46476</v>
      </c>
      <c r="Z536" s="28" t="str">
        <f t="shared" ca="1" si="97"/>
        <v>Due Soon</v>
      </c>
      <c r="AA536" s="5" t="str" cm="1">
        <f t="array" ref="AA536">_xlfn.IFS(W536&gt;10,"Veteran",W536&gt;=6,"Experienced",W536&gt;=2,"Developing",W536&gt;=0,"New")</f>
        <v>Developing</v>
      </c>
      <c r="AB536" s="5" t="str" cm="1">
        <f t="array" ref="AB536">_xlfn.IFS(G536=1,"Junior",G536=2,"Mid-Level",G536=3,"Senior",G536=4,"Lead",G536=5,"Principal")&amp;" "&amp;TRIM(PROPER(H536))</f>
        <v>Lead Research Director</v>
      </c>
      <c r="AC536" s="19" t="str">
        <f t="shared" ca="1" si="98"/>
        <v>Re-Res-2021-535 is a Lead Research Director in the Research &amp; Development department, aged 53, married and has been with the Company for 5years</v>
      </c>
    </row>
    <row r="537" spans="1:29">
      <c r="A537" s="18" t="str">
        <f t="shared" ca="1" si="88"/>
        <v>Ma-Hum-2005-536</v>
      </c>
      <c r="B537" s="5">
        <v>41</v>
      </c>
      <c r="C537" s="5" t="str">
        <f t="shared" si="89"/>
        <v>40-49</v>
      </c>
      <c r="D537" s="5" t="s">
        <v>43</v>
      </c>
      <c r="E537" s="5" t="s">
        <v>61</v>
      </c>
      <c r="F537" s="5" t="s">
        <v>46</v>
      </c>
      <c r="G537" s="5">
        <v>5</v>
      </c>
      <c r="H537" s="5" t="s">
        <v>56</v>
      </c>
      <c r="I537" s="5" t="s">
        <v>52</v>
      </c>
      <c r="J537" s="7">
        <v>19141</v>
      </c>
      <c r="K537" s="7">
        <f t="shared" si="90"/>
        <v>5742.3</v>
      </c>
      <c r="L537" s="7">
        <f t="shared" si="91"/>
        <v>13398.7</v>
      </c>
      <c r="M537" s="7">
        <v>8861</v>
      </c>
      <c r="N537" s="5" t="s">
        <v>43</v>
      </c>
      <c r="O537" s="5">
        <v>15</v>
      </c>
      <c r="P537" s="7">
        <f t="shared" si="92"/>
        <v>22012.149999999998</v>
      </c>
      <c r="Q537" s="7">
        <f t="shared" si="93"/>
        <v>34453.799999999974</v>
      </c>
      <c r="R537" s="7" t="str">
        <f t="shared" si="94"/>
        <v>Normal</v>
      </c>
      <c r="S537" s="5">
        <v>3</v>
      </c>
      <c r="T537" s="5">
        <v>2</v>
      </c>
      <c r="U537" s="5" t="str" cm="1">
        <f t="array" ref="U537">_xlfn.IFS(T537=1,"Poor",T537=2,"Fair",T537=3,"Good",T537=4,"Excellent")</f>
        <v>Fair</v>
      </c>
      <c r="V537" s="5" t="s">
        <v>43</v>
      </c>
      <c r="W537" s="5">
        <v>21</v>
      </c>
      <c r="X537" s="28">
        <f t="shared" ca="1" si="95"/>
        <v>38441</v>
      </c>
      <c r="Y537" s="28">
        <f t="shared" ca="1" si="96"/>
        <v>46476</v>
      </c>
      <c r="Z537" s="28" t="str">
        <f t="shared" ca="1" si="97"/>
        <v>Due Soon</v>
      </c>
      <c r="AA537" s="5" t="str" cm="1">
        <f t="array" ref="AA537">_xlfn.IFS(W537&gt;10,"Veteran",W537&gt;=6,"Experienced",W537&gt;=2,"Developing",W537&gt;=0,"New")</f>
        <v>Veteran</v>
      </c>
      <c r="AB537" s="5" t="str" cm="1">
        <f t="array" ref="AB537">_xlfn.IFS(G537=1,"Junior",G537=2,"Mid-Level",G537=3,"Senior",G537=4,"Lead",G537=5,"Principal")&amp;" "&amp;TRIM(PROPER(H537))</f>
        <v>Principal Manager</v>
      </c>
      <c r="AC537" s="19" t="str">
        <f t="shared" ca="1" si="98"/>
        <v>Ma-Hum-2005-536 is a Principal Manager in the Human Resources department, aged 41, divorced and has been with the Company for 21years</v>
      </c>
    </row>
    <row r="538" spans="1:29">
      <c r="A538" s="18" t="str">
        <f t="shared" ca="1" si="88"/>
        <v>Sa-Sal-2024-537</v>
      </c>
      <c r="B538" s="5">
        <v>60</v>
      </c>
      <c r="C538" s="5" t="str">
        <f t="shared" si="89"/>
        <v>50+</v>
      </c>
      <c r="D538" s="5" t="s">
        <v>43</v>
      </c>
      <c r="E538" s="5" t="s">
        <v>37</v>
      </c>
      <c r="F538" s="5" t="s">
        <v>46</v>
      </c>
      <c r="G538" s="5">
        <v>2</v>
      </c>
      <c r="H538" s="5" t="s">
        <v>40</v>
      </c>
      <c r="I538" s="5" t="s">
        <v>41</v>
      </c>
      <c r="J538" s="7">
        <v>5405</v>
      </c>
      <c r="K538" s="7">
        <f t="shared" si="90"/>
        <v>810.75</v>
      </c>
      <c r="L538" s="7">
        <f t="shared" si="91"/>
        <v>4594.25</v>
      </c>
      <c r="M538" s="7">
        <v>11924</v>
      </c>
      <c r="N538" s="5" t="s">
        <v>43</v>
      </c>
      <c r="O538" s="5">
        <v>14</v>
      </c>
      <c r="P538" s="7">
        <f t="shared" si="92"/>
        <v>6161.7000000000007</v>
      </c>
      <c r="Q538" s="7">
        <f t="shared" si="93"/>
        <v>9080.4000000000087</v>
      </c>
      <c r="R538" s="7" t="str">
        <f t="shared" si="94"/>
        <v>Normal</v>
      </c>
      <c r="S538" s="5">
        <v>3</v>
      </c>
      <c r="T538" s="5">
        <v>3</v>
      </c>
      <c r="U538" s="5" t="str" cm="1">
        <f t="array" ref="U538">_xlfn.IFS(T538=1,"Poor",T538=2,"Fair",T538=3,"Good",T538=4,"Excellent")</f>
        <v>Good</v>
      </c>
      <c r="V538" s="5" t="s">
        <v>43</v>
      </c>
      <c r="W538" s="5">
        <v>2</v>
      </c>
      <c r="X538" s="28">
        <f t="shared" ca="1" si="95"/>
        <v>45381</v>
      </c>
      <c r="Y538" s="28">
        <f t="shared" ca="1" si="96"/>
        <v>46842</v>
      </c>
      <c r="Z538" s="28" t="str">
        <f t="shared" ca="1" si="97"/>
        <v>Upcoming</v>
      </c>
      <c r="AA538" s="5" t="str" cm="1">
        <f t="array" ref="AA538">_xlfn.IFS(W538&gt;10,"Veteran",W538&gt;=6,"Experienced",W538&gt;=2,"Developing",W538&gt;=0,"New")</f>
        <v>Developing</v>
      </c>
      <c r="AB538" s="5" t="str" cm="1">
        <f t="array" ref="AB538">_xlfn.IFS(G538=1,"Junior",G538=2,"Mid-Level",G538=3,"Senior",G538=4,"Lead",G538=5,"Principal")&amp;" "&amp;TRIM(PROPER(H538))</f>
        <v>Mid-Level Sales Executive</v>
      </c>
      <c r="AC538" s="19" t="str">
        <f t="shared" ca="1" si="98"/>
        <v>Sa-Sal-2024-537 is a Mid-Level Sales Executive in the Sales department, aged 60, single and has been with the Company for 2years</v>
      </c>
    </row>
    <row r="539" spans="1:29">
      <c r="A539" s="18" t="str">
        <f t="shared" ca="1" si="88"/>
        <v>Ma-Res-2017-538</v>
      </c>
      <c r="B539" s="5">
        <v>27</v>
      </c>
      <c r="C539" s="5" t="str">
        <f t="shared" si="89"/>
        <v>20-29</v>
      </c>
      <c r="D539" s="5" t="s">
        <v>43</v>
      </c>
      <c r="E539" s="5" t="s">
        <v>45</v>
      </c>
      <c r="F539" s="5" t="s">
        <v>46</v>
      </c>
      <c r="G539" s="5">
        <v>3</v>
      </c>
      <c r="H539" s="5" t="s">
        <v>53</v>
      </c>
      <c r="I539" s="5" t="s">
        <v>52</v>
      </c>
      <c r="J539" s="7">
        <v>8793</v>
      </c>
      <c r="K539" s="7">
        <f t="shared" si="90"/>
        <v>1934.46</v>
      </c>
      <c r="L539" s="7">
        <f t="shared" si="91"/>
        <v>6858.54</v>
      </c>
      <c r="M539" s="7">
        <v>4809</v>
      </c>
      <c r="N539" s="5" t="s">
        <v>43</v>
      </c>
      <c r="O539" s="5">
        <v>21</v>
      </c>
      <c r="P539" s="7">
        <f t="shared" si="92"/>
        <v>10639.529999999999</v>
      </c>
      <c r="Q539" s="7">
        <f t="shared" si="93"/>
        <v>22158.359999999986</v>
      </c>
      <c r="R539" s="7" t="str">
        <f t="shared" si="94"/>
        <v>Normal</v>
      </c>
      <c r="S539" s="5">
        <v>4</v>
      </c>
      <c r="T539" s="5">
        <v>2</v>
      </c>
      <c r="U539" s="5" t="str" cm="1">
        <f t="array" ref="U539">_xlfn.IFS(T539=1,"Poor",T539=2,"Fair",T539=3,"Good",T539=4,"Excellent")</f>
        <v>Fair</v>
      </c>
      <c r="V539" s="5" t="s">
        <v>43</v>
      </c>
      <c r="W539" s="5">
        <v>9</v>
      </c>
      <c r="X539" s="28">
        <f t="shared" ca="1" si="95"/>
        <v>42824</v>
      </c>
      <c r="Y539" s="28">
        <f t="shared" ca="1" si="96"/>
        <v>46476</v>
      </c>
      <c r="Z539" s="28" t="str">
        <f t="shared" ca="1" si="97"/>
        <v>Due Soon</v>
      </c>
      <c r="AA539" s="5" t="str" cm="1">
        <f t="array" ref="AA539">_xlfn.IFS(W539&gt;10,"Veteran",W539&gt;=6,"Experienced",W539&gt;=2,"Developing",W539&gt;=0,"New")</f>
        <v>Experienced</v>
      </c>
      <c r="AB539" s="5" t="str" cm="1">
        <f t="array" ref="AB539">_xlfn.IFS(G539=1,"Junior",G539=2,"Mid-Level",G539=3,"Senior",G539=4,"Lead",G539=5,"Principal")&amp;" "&amp;TRIM(PROPER(H539))</f>
        <v>Senior Manufacturing Director</v>
      </c>
      <c r="AC539" s="19" t="str">
        <f t="shared" ca="1" si="98"/>
        <v>Ma-Res-2017-538 is a Senior Manufacturing Director in the Research &amp; Development department, aged 27, divorced and has been with the Company for 9years</v>
      </c>
    </row>
    <row r="540" spans="1:29">
      <c r="A540" s="18" t="str">
        <f t="shared" ca="1" si="88"/>
        <v>Ma-Hum-2004-539</v>
      </c>
      <c r="B540" s="5">
        <v>41</v>
      </c>
      <c r="C540" s="5" t="str">
        <f t="shared" si="89"/>
        <v>40-49</v>
      </c>
      <c r="D540" s="5" t="s">
        <v>43</v>
      </c>
      <c r="E540" s="5" t="s">
        <v>61</v>
      </c>
      <c r="F540" s="5" t="s">
        <v>46</v>
      </c>
      <c r="G540" s="5">
        <v>5</v>
      </c>
      <c r="H540" s="5" t="s">
        <v>56</v>
      </c>
      <c r="I540" s="5" t="s">
        <v>48</v>
      </c>
      <c r="J540" s="7">
        <v>19189</v>
      </c>
      <c r="K540" s="7">
        <f t="shared" si="90"/>
        <v>5756.7</v>
      </c>
      <c r="L540" s="7">
        <f t="shared" si="91"/>
        <v>13432.3</v>
      </c>
      <c r="M540" s="7">
        <v>19562</v>
      </c>
      <c r="N540" s="5" t="s">
        <v>43</v>
      </c>
      <c r="O540" s="5">
        <v>12</v>
      </c>
      <c r="P540" s="7">
        <f t="shared" si="92"/>
        <v>21491.68</v>
      </c>
      <c r="Q540" s="7">
        <f t="shared" si="93"/>
        <v>27632.160000000003</v>
      </c>
      <c r="R540" s="7" t="str">
        <f t="shared" si="94"/>
        <v>Normal</v>
      </c>
      <c r="S540" s="5">
        <v>3</v>
      </c>
      <c r="T540" s="5">
        <v>3</v>
      </c>
      <c r="U540" s="5" t="str" cm="1">
        <f t="array" ref="U540">_xlfn.IFS(T540=1,"Poor",T540=2,"Fair",T540=3,"Good",T540=4,"Excellent")</f>
        <v>Good</v>
      </c>
      <c r="V540" s="5" t="s">
        <v>43</v>
      </c>
      <c r="W540" s="5">
        <v>22</v>
      </c>
      <c r="X540" s="28">
        <f t="shared" ca="1" si="95"/>
        <v>38076</v>
      </c>
      <c r="Y540" s="28">
        <f t="shared" ca="1" si="96"/>
        <v>46842</v>
      </c>
      <c r="Z540" s="28" t="str">
        <f t="shared" ca="1" si="97"/>
        <v>Upcoming</v>
      </c>
      <c r="AA540" s="5" t="str" cm="1">
        <f t="array" ref="AA540">_xlfn.IFS(W540&gt;10,"Veteran",W540&gt;=6,"Experienced",W540&gt;=2,"Developing",W540&gt;=0,"New")</f>
        <v>Veteran</v>
      </c>
      <c r="AB540" s="5" t="str" cm="1">
        <f t="array" ref="AB540">_xlfn.IFS(G540=1,"Junior",G540=2,"Mid-Level",G540=3,"Senior",G540=4,"Lead",G540=5,"Principal")&amp;" "&amp;TRIM(PROPER(H540))</f>
        <v>Principal Manager</v>
      </c>
      <c r="AC540" s="19" t="str">
        <f t="shared" ca="1" si="98"/>
        <v>Ma-Hum-2004-539 is a Principal Manager in the Human Resources department, aged 41, married and has been with the Company for 22years</v>
      </c>
    </row>
    <row r="541" spans="1:29">
      <c r="A541" s="18" t="str">
        <f t="shared" ca="1" si="88"/>
        <v>Sa-Sal-2024-540</v>
      </c>
      <c r="B541" s="5">
        <v>50</v>
      </c>
      <c r="C541" s="5" t="str">
        <f t="shared" si="89"/>
        <v>50+</v>
      </c>
      <c r="D541" s="5" t="s">
        <v>43</v>
      </c>
      <c r="E541" s="5" t="s">
        <v>37</v>
      </c>
      <c r="F541" s="5" t="s">
        <v>46</v>
      </c>
      <c r="G541" s="5">
        <v>1</v>
      </c>
      <c r="H541" s="5" t="s">
        <v>57</v>
      </c>
      <c r="I541" s="5" t="s">
        <v>48</v>
      </c>
      <c r="J541" s="7">
        <v>3875</v>
      </c>
      <c r="K541" s="7">
        <f t="shared" si="90"/>
        <v>581.25</v>
      </c>
      <c r="L541" s="7">
        <f t="shared" si="91"/>
        <v>3293.75</v>
      </c>
      <c r="M541" s="7">
        <v>9983</v>
      </c>
      <c r="N541" s="5" t="s">
        <v>43</v>
      </c>
      <c r="O541" s="5">
        <v>15</v>
      </c>
      <c r="P541" s="7">
        <f t="shared" si="92"/>
        <v>4456.25</v>
      </c>
      <c r="Q541" s="7">
        <f t="shared" si="93"/>
        <v>6975</v>
      </c>
      <c r="R541" s="7" t="str">
        <f t="shared" si="94"/>
        <v>Normal</v>
      </c>
      <c r="S541" s="5">
        <v>3</v>
      </c>
      <c r="T541" s="5">
        <v>3</v>
      </c>
      <c r="U541" s="5" t="str" cm="1">
        <f t="array" ref="U541">_xlfn.IFS(T541=1,"Poor",T541=2,"Fair",T541=3,"Good",T541=4,"Excellent")</f>
        <v>Good</v>
      </c>
      <c r="V541" s="5" t="s">
        <v>43</v>
      </c>
      <c r="W541" s="5">
        <v>2</v>
      </c>
      <c r="X541" s="28">
        <f t="shared" ca="1" si="95"/>
        <v>45381</v>
      </c>
      <c r="Y541" s="28">
        <f t="shared" ca="1" si="96"/>
        <v>46842</v>
      </c>
      <c r="Z541" s="28" t="str">
        <f t="shared" ca="1" si="97"/>
        <v>Upcoming</v>
      </c>
      <c r="AA541" s="5" t="str" cm="1">
        <f t="array" ref="AA541">_xlfn.IFS(W541&gt;10,"Veteran",W541&gt;=6,"Experienced",W541&gt;=2,"Developing",W541&gt;=0,"New")</f>
        <v>Developing</v>
      </c>
      <c r="AB541" s="5" t="str" cm="1">
        <f t="array" ref="AB541">_xlfn.IFS(G541=1,"Junior",G541=2,"Mid-Level",G541=3,"Senior",G541=4,"Lead",G541=5,"Principal")&amp;" "&amp;TRIM(PROPER(H541))</f>
        <v>Junior Sales Representative</v>
      </c>
      <c r="AC541" s="19" t="str">
        <f t="shared" ca="1" si="98"/>
        <v>Sa-Sal-2024-540 is a Junior Sales Representative in the Sales department, aged 50, married and has been with the Company for 2years</v>
      </c>
    </row>
    <row r="542" spans="1:29">
      <c r="A542" s="18" t="str">
        <f t="shared" ca="1" si="88"/>
        <v>Re-Res-2019-541</v>
      </c>
      <c r="B542" s="5">
        <v>28</v>
      </c>
      <c r="C542" s="5" t="str">
        <f t="shared" si="89"/>
        <v>20-29</v>
      </c>
      <c r="D542" s="5" t="s">
        <v>35</v>
      </c>
      <c r="E542" s="5" t="s">
        <v>45</v>
      </c>
      <c r="F542" s="5" t="s">
        <v>39</v>
      </c>
      <c r="G542" s="5">
        <v>1</v>
      </c>
      <c r="H542" s="5" t="s">
        <v>47</v>
      </c>
      <c r="I542" s="5" t="s">
        <v>41</v>
      </c>
      <c r="J542" s="7">
        <v>2216</v>
      </c>
      <c r="K542" s="7">
        <f t="shared" si="90"/>
        <v>155.12</v>
      </c>
      <c r="L542" s="7">
        <f t="shared" si="91"/>
        <v>2060.88</v>
      </c>
      <c r="M542" s="7">
        <v>3872</v>
      </c>
      <c r="N542" s="5" t="s">
        <v>35</v>
      </c>
      <c r="O542" s="5">
        <v>13</v>
      </c>
      <c r="P542" s="7">
        <f t="shared" si="92"/>
        <v>2504.08</v>
      </c>
      <c r="Q542" s="7">
        <f t="shared" si="93"/>
        <v>3456.9599999999991</v>
      </c>
      <c r="R542" s="7" t="str">
        <f t="shared" si="94"/>
        <v>Normal</v>
      </c>
      <c r="S542" s="5">
        <v>3</v>
      </c>
      <c r="T542" s="5">
        <v>3</v>
      </c>
      <c r="U542" s="5" t="str" cm="1">
        <f t="array" ref="U542">_xlfn.IFS(T542=1,"Poor",T542=2,"Fair",T542=3,"Good",T542=4,"Excellent")</f>
        <v>Good</v>
      </c>
      <c r="V542" s="5" t="s">
        <v>35</v>
      </c>
      <c r="W542" s="5">
        <v>7</v>
      </c>
      <c r="X542" s="28">
        <f t="shared" ca="1" si="95"/>
        <v>43554</v>
      </c>
      <c r="Y542" s="28">
        <f t="shared" ca="1" si="96"/>
        <v>46476</v>
      </c>
      <c r="Z542" s="28" t="str">
        <f t="shared" ca="1" si="97"/>
        <v>Due Soon</v>
      </c>
      <c r="AA542" s="5" t="str" cm="1">
        <f t="array" ref="AA542">_xlfn.IFS(W542&gt;10,"Veteran",W542&gt;=6,"Experienced",W542&gt;=2,"Developing",W542&gt;=0,"New")</f>
        <v>Experienced</v>
      </c>
      <c r="AB542" s="5" t="str" cm="1">
        <f t="array" ref="AB542">_xlfn.IFS(G542=1,"Junior",G542=2,"Mid-Level",G542=3,"Senior",G542=4,"Lead",G542=5,"Principal")&amp;" "&amp;TRIM(PROPER(H542))</f>
        <v>Junior Research Scientist</v>
      </c>
      <c r="AC542" s="19" t="str">
        <f t="shared" ca="1" si="98"/>
        <v>Re-Res-2019-541 is a Junior Research Scientist in the Research &amp; Development department, aged 28, single and has been with the Company for 7years</v>
      </c>
    </row>
    <row r="543" spans="1:29">
      <c r="A543" s="18" t="str">
        <f t="shared" ca="1" si="88"/>
        <v>Re-Res-2018-542</v>
      </c>
      <c r="B543" s="5">
        <v>36</v>
      </c>
      <c r="C543" s="5" t="str">
        <f t="shared" si="89"/>
        <v>30-39</v>
      </c>
      <c r="D543" s="5" t="s">
        <v>43</v>
      </c>
      <c r="E543" s="5" t="s">
        <v>45</v>
      </c>
      <c r="F543" s="5" t="s">
        <v>39</v>
      </c>
      <c r="G543" s="5">
        <v>3</v>
      </c>
      <c r="H543" s="5" t="s">
        <v>58</v>
      </c>
      <c r="I543" s="5" t="s">
        <v>48</v>
      </c>
      <c r="J543" s="7">
        <v>11713</v>
      </c>
      <c r="K543" s="7">
        <f t="shared" si="90"/>
        <v>2576.86</v>
      </c>
      <c r="L543" s="7">
        <f t="shared" si="91"/>
        <v>9136.14</v>
      </c>
      <c r="M543" s="7">
        <v>20335</v>
      </c>
      <c r="N543" s="5" t="s">
        <v>43</v>
      </c>
      <c r="O543" s="5">
        <v>14</v>
      </c>
      <c r="P543" s="7">
        <f t="shared" si="92"/>
        <v>13352.820000000002</v>
      </c>
      <c r="Q543" s="7">
        <f t="shared" si="93"/>
        <v>19677.840000000018</v>
      </c>
      <c r="R543" s="7" t="str">
        <f t="shared" si="94"/>
        <v>Normal</v>
      </c>
      <c r="S543" s="5">
        <v>3</v>
      </c>
      <c r="T543" s="5">
        <v>3</v>
      </c>
      <c r="U543" s="5" t="str" cm="1">
        <f t="array" ref="U543">_xlfn.IFS(T543=1,"Poor",T543=2,"Fair",T543=3,"Good",T543=4,"Excellent")</f>
        <v>Good</v>
      </c>
      <c r="V543" s="5" t="s">
        <v>43</v>
      </c>
      <c r="W543" s="5">
        <v>8</v>
      </c>
      <c r="X543" s="28">
        <f t="shared" ca="1" si="95"/>
        <v>43189</v>
      </c>
      <c r="Y543" s="28">
        <f t="shared" ca="1" si="96"/>
        <v>46842</v>
      </c>
      <c r="Z543" s="28" t="str">
        <f t="shared" ca="1" si="97"/>
        <v>Upcoming</v>
      </c>
      <c r="AA543" s="5" t="str" cm="1">
        <f t="array" ref="AA543">_xlfn.IFS(W543&gt;10,"Veteran",W543&gt;=6,"Experienced",W543&gt;=2,"Developing",W543&gt;=0,"New")</f>
        <v>Experienced</v>
      </c>
      <c r="AB543" s="5" t="str" cm="1">
        <f t="array" ref="AB543">_xlfn.IFS(G543=1,"Junior",G543=2,"Mid-Level",G543=3,"Senior",G543=4,"Lead",G543=5,"Principal")&amp;" "&amp;TRIM(PROPER(H543))</f>
        <v>Senior Research Director</v>
      </c>
      <c r="AC543" s="19" t="str">
        <f t="shared" ca="1" si="98"/>
        <v>Re-Res-2018-542 is a Senior Research Director in the Research &amp; Development department, aged 36, married and has been with the Company for 8years</v>
      </c>
    </row>
    <row r="544" spans="1:29">
      <c r="A544" s="18" t="str">
        <f t="shared" ca="1" si="88"/>
        <v>Ma-Res-2025-543</v>
      </c>
      <c r="B544" s="5">
        <v>38</v>
      </c>
      <c r="C544" s="5" t="str">
        <f t="shared" si="89"/>
        <v>30-39</v>
      </c>
      <c r="D544" s="5" t="s">
        <v>43</v>
      </c>
      <c r="E544" s="5" t="s">
        <v>45</v>
      </c>
      <c r="F544" s="5" t="s">
        <v>39</v>
      </c>
      <c r="G544" s="5">
        <v>3</v>
      </c>
      <c r="H544" s="5" t="s">
        <v>53</v>
      </c>
      <c r="I544" s="5" t="s">
        <v>41</v>
      </c>
      <c r="J544" s="7">
        <v>7861</v>
      </c>
      <c r="K544" s="7">
        <f t="shared" si="90"/>
        <v>1729.42</v>
      </c>
      <c r="L544" s="7">
        <f t="shared" si="91"/>
        <v>6131.58</v>
      </c>
      <c r="M544" s="7">
        <v>15397</v>
      </c>
      <c r="N544" s="5" t="s">
        <v>35</v>
      </c>
      <c r="O544" s="5">
        <v>14</v>
      </c>
      <c r="P544" s="7">
        <f t="shared" si="92"/>
        <v>8961.5400000000009</v>
      </c>
      <c r="Q544" s="7">
        <f t="shared" si="93"/>
        <v>13206.48000000001</v>
      </c>
      <c r="R544" s="7" t="str">
        <f t="shared" si="94"/>
        <v>Normal</v>
      </c>
      <c r="S544" s="5">
        <v>3</v>
      </c>
      <c r="T544" s="5">
        <v>4</v>
      </c>
      <c r="U544" s="5" t="str" cm="1">
        <f t="array" ref="U544">_xlfn.IFS(T544=1,"Poor",T544=2,"Fair",T544=3,"Good",T544=4,"Excellent")</f>
        <v>Excellent</v>
      </c>
      <c r="V544" s="5" t="s">
        <v>35</v>
      </c>
      <c r="W544" s="5">
        <v>1</v>
      </c>
      <c r="X544" s="28">
        <f t="shared" ca="1" si="95"/>
        <v>45746</v>
      </c>
      <c r="Y544" s="28">
        <f t="shared" ca="1" si="96"/>
        <v>46476</v>
      </c>
      <c r="Z544" s="28" t="str">
        <f t="shared" ca="1" si="97"/>
        <v>Due Soon</v>
      </c>
      <c r="AA544" s="5" t="str" cm="1">
        <f t="array" ref="AA544">_xlfn.IFS(W544&gt;10,"Veteran",W544&gt;=6,"Experienced",W544&gt;=2,"Developing",W544&gt;=0,"New")</f>
        <v>New</v>
      </c>
      <c r="AB544" s="5" t="str" cm="1">
        <f t="array" ref="AB544">_xlfn.IFS(G544=1,"Junior",G544=2,"Mid-Level",G544=3,"Senior",G544=4,"Lead",G544=5,"Principal")&amp;" "&amp;TRIM(PROPER(H544))</f>
        <v>Senior Manufacturing Director</v>
      </c>
      <c r="AC544" s="19" t="str">
        <f t="shared" ca="1" si="98"/>
        <v>Ma-Res-2025-543 is a Senior Manufacturing Director in the Research &amp; Development department, aged 38, single and has been with the Company for 1years</v>
      </c>
    </row>
    <row r="545" spans="1:29">
      <c r="A545" s="18" t="str">
        <f t="shared" ca="1" si="88"/>
        <v>La-Res-2021-544</v>
      </c>
      <c r="B545" s="5">
        <v>44</v>
      </c>
      <c r="C545" s="5" t="str">
        <f t="shared" si="89"/>
        <v>40-49</v>
      </c>
      <c r="D545" s="5" t="s">
        <v>43</v>
      </c>
      <c r="E545" s="5" t="s">
        <v>45</v>
      </c>
      <c r="F545" s="5" t="s">
        <v>46</v>
      </c>
      <c r="G545" s="5">
        <v>1</v>
      </c>
      <c r="H545" s="5" t="s">
        <v>50</v>
      </c>
      <c r="I545" s="5" t="s">
        <v>41</v>
      </c>
      <c r="J545" s="7">
        <v>3708</v>
      </c>
      <c r="K545" s="7">
        <f t="shared" si="90"/>
        <v>556.19999999999993</v>
      </c>
      <c r="L545" s="7">
        <f t="shared" si="91"/>
        <v>3151.8</v>
      </c>
      <c r="M545" s="7">
        <v>2104</v>
      </c>
      <c r="N545" s="5" t="s">
        <v>43</v>
      </c>
      <c r="O545" s="5">
        <v>14</v>
      </c>
      <c r="P545" s="7">
        <f t="shared" si="92"/>
        <v>4227.1200000000008</v>
      </c>
      <c r="Q545" s="7">
        <f t="shared" si="93"/>
        <v>6229.4400000000096</v>
      </c>
      <c r="R545" s="7" t="str">
        <f t="shared" si="94"/>
        <v>Normal</v>
      </c>
      <c r="S545" s="5">
        <v>3</v>
      </c>
      <c r="T545" s="5">
        <v>3</v>
      </c>
      <c r="U545" s="5" t="str" cm="1">
        <f t="array" ref="U545">_xlfn.IFS(T545=1,"Poor",T545=2,"Fair",T545=3,"Good",T545=4,"Excellent")</f>
        <v>Good</v>
      </c>
      <c r="V545" s="5" t="s">
        <v>43</v>
      </c>
      <c r="W545" s="5">
        <v>5</v>
      </c>
      <c r="X545" s="28">
        <f t="shared" ca="1" si="95"/>
        <v>44285</v>
      </c>
      <c r="Y545" s="28">
        <f t="shared" ca="1" si="96"/>
        <v>46476</v>
      </c>
      <c r="Z545" s="28" t="str">
        <f t="shared" ca="1" si="97"/>
        <v>Due Soon</v>
      </c>
      <c r="AA545" s="5" t="str" cm="1">
        <f t="array" ref="AA545">_xlfn.IFS(W545&gt;10,"Veteran",W545&gt;=6,"Experienced",W545&gt;=2,"Developing",W545&gt;=0,"New")</f>
        <v>Developing</v>
      </c>
      <c r="AB545" s="5" t="str" cm="1">
        <f t="array" ref="AB545">_xlfn.IFS(G545=1,"Junior",G545=2,"Mid-Level",G545=3,"Senior",G545=4,"Lead",G545=5,"Principal")&amp;" "&amp;TRIM(PROPER(H545))</f>
        <v>Junior Laboratory Technician</v>
      </c>
      <c r="AC545" s="19" t="str">
        <f t="shared" ca="1" si="98"/>
        <v>La-Res-2021-544 is a Junior Laboratory Technician in the Research &amp; Development department, aged 44, single and has been with the Company for 5years</v>
      </c>
    </row>
    <row r="546" spans="1:29">
      <c r="A546" s="18" t="str">
        <f t="shared" ca="1" si="88"/>
        <v>Sa-Sal-2004-545</v>
      </c>
      <c r="B546" s="5">
        <v>47</v>
      </c>
      <c r="C546" s="5" t="str">
        <f t="shared" si="89"/>
        <v>40-49</v>
      </c>
      <c r="D546" s="5" t="s">
        <v>43</v>
      </c>
      <c r="E546" s="5" t="s">
        <v>37</v>
      </c>
      <c r="F546" s="5" t="s">
        <v>39</v>
      </c>
      <c r="G546" s="5">
        <v>4</v>
      </c>
      <c r="H546" s="5" t="s">
        <v>40</v>
      </c>
      <c r="I546" s="5" t="s">
        <v>52</v>
      </c>
      <c r="J546" s="7">
        <v>13770</v>
      </c>
      <c r="K546" s="7">
        <f t="shared" si="90"/>
        <v>4131</v>
      </c>
      <c r="L546" s="7">
        <f t="shared" si="91"/>
        <v>9639</v>
      </c>
      <c r="M546" s="7">
        <v>10225</v>
      </c>
      <c r="N546" s="5" t="s">
        <v>35</v>
      </c>
      <c r="O546" s="5">
        <v>12</v>
      </c>
      <c r="P546" s="7">
        <f t="shared" si="92"/>
        <v>15422.400000000001</v>
      </c>
      <c r="Q546" s="7">
        <f t="shared" si="93"/>
        <v>19828.800000000017</v>
      </c>
      <c r="R546" s="7" t="str">
        <f t="shared" si="94"/>
        <v>Normal</v>
      </c>
      <c r="S546" s="5">
        <v>3</v>
      </c>
      <c r="T546" s="5">
        <v>2</v>
      </c>
      <c r="U546" s="5" t="str" cm="1">
        <f t="array" ref="U546">_xlfn.IFS(T546=1,"Poor",T546=2,"Fair",T546=3,"Good",T546=4,"Excellent")</f>
        <v>Fair</v>
      </c>
      <c r="V546" s="5" t="s">
        <v>35</v>
      </c>
      <c r="W546" s="5">
        <v>22</v>
      </c>
      <c r="X546" s="28">
        <f t="shared" ca="1" si="95"/>
        <v>38076</v>
      </c>
      <c r="Y546" s="28">
        <f t="shared" ca="1" si="96"/>
        <v>46842</v>
      </c>
      <c r="Z546" s="28" t="str">
        <f t="shared" ca="1" si="97"/>
        <v>Upcoming</v>
      </c>
      <c r="AA546" s="5" t="str" cm="1">
        <f t="array" ref="AA546">_xlfn.IFS(W546&gt;10,"Veteran",W546&gt;=6,"Experienced",W546&gt;=2,"Developing",W546&gt;=0,"New")</f>
        <v>Veteran</v>
      </c>
      <c r="AB546" s="5" t="str" cm="1">
        <f t="array" ref="AB546">_xlfn.IFS(G546=1,"Junior",G546=2,"Mid-Level",G546=3,"Senior",G546=4,"Lead",G546=5,"Principal")&amp;" "&amp;TRIM(PROPER(H546))</f>
        <v>Lead Sales Executive</v>
      </c>
      <c r="AC546" s="19" t="str">
        <f t="shared" ca="1" si="98"/>
        <v>Sa-Sal-2004-545 is a Lead Sales Executive in the Sales department, aged 47, divorced and has been with the Company for 22years</v>
      </c>
    </row>
    <row r="547" spans="1:29">
      <c r="A547" s="18" t="str">
        <f t="shared" ca="1" si="88"/>
        <v>Sa-Sal-2018-546</v>
      </c>
      <c r="B547" s="5">
        <v>30</v>
      </c>
      <c r="C547" s="5" t="str">
        <f t="shared" si="89"/>
        <v>30-39</v>
      </c>
      <c r="D547" s="5" t="s">
        <v>43</v>
      </c>
      <c r="E547" s="5" t="s">
        <v>37</v>
      </c>
      <c r="F547" s="5" t="s">
        <v>46</v>
      </c>
      <c r="G547" s="5">
        <v>2</v>
      </c>
      <c r="H547" s="5" t="s">
        <v>40</v>
      </c>
      <c r="I547" s="5" t="s">
        <v>52</v>
      </c>
      <c r="J547" s="7">
        <v>5304</v>
      </c>
      <c r="K547" s="7">
        <f t="shared" si="90"/>
        <v>795.6</v>
      </c>
      <c r="L547" s="7">
        <f t="shared" si="91"/>
        <v>4508.3999999999996</v>
      </c>
      <c r="M547" s="7">
        <v>25275</v>
      </c>
      <c r="N547" s="5" t="s">
        <v>43</v>
      </c>
      <c r="O547" s="5">
        <v>23</v>
      </c>
      <c r="P547" s="7">
        <f t="shared" si="92"/>
        <v>6523.92</v>
      </c>
      <c r="Q547" s="7">
        <f t="shared" si="93"/>
        <v>14639.04</v>
      </c>
      <c r="R547" s="7" t="str">
        <f t="shared" si="94"/>
        <v>Normal</v>
      </c>
      <c r="S547" s="5">
        <v>4</v>
      </c>
      <c r="T547" s="5">
        <v>2</v>
      </c>
      <c r="U547" s="5" t="str" cm="1">
        <f t="array" ref="U547">_xlfn.IFS(T547=1,"Poor",T547=2,"Fair",T547=3,"Good",T547=4,"Excellent")</f>
        <v>Fair</v>
      </c>
      <c r="V547" s="5" t="s">
        <v>43</v>
      </c>
      <c r="W547" s="5">
        <v>8</v>
      </c>
      <c r="X547" s="28">
        <f t="shared" ca="1" si="95"/>
        <v>43189</v>
      </c>
      <c r="Y547" s="28">
        <f t="shared" ca="1" si="96"/>
        <v>46842</v>
      </c>
      <c r="Z547" s="28" t="str">
        <f t="shared" ca="1" si="97"/>
        <v>Upcoming</v>
      </c>
      <c r="AA547" s="5" t="str" cm="1">
        <f t="array" ref="AA547">_xlfn.IFS(W547&gt;10,"Veteran",W547&gt;=6,"Experienced",W547&gt;=2,"Developing",W547&gt;=0,"New")</f>
        <v>Experienced</v>
      </c>
      <c r="AB547" s="5" t="str" cm="1">
        <f t="array" ref="AB547">_xlfn.IFS(G547=1,"Junior",G547=2,"Mid-Level",G547=3,"Senior",G547=4,"Lead",G547=5,"Principal")&amp;" "&amp;TRIM(PROPER(H547))</f>
        <v>Mid-Level Sales Executive</v>
      </c>
      <c r="AC547" s="19" t="str">
        <f t="shared" ca="1" si="98"/>
        <v>Sa-Sal-2018-546 is a Mid-Level Sales Executive in the Sales department, aged 30, divorced and has been with the Company for 8years</v>
      </c>
    </row>
    <row r="548" spans="1:29">
      <c r="A548" s="18" t="str">
        <f t="shared" ca="1" si="88"/>
        <v>Sa-Sal-2025-547</v>
      </c>
      <c r="B548" s="5">
        <v>29</v>
      </c>
      <c r="C548" s="5" t="str">
        <f t="shared" si="89"/>
        <v>20-29</v>
      </c>
      <c r="D548" s="5" t="s">
        <v>43</v>
      </c>
      <c r="E548" s="5" t="s">
        <v>37</v>
      </c>
      <c r="F548" s="5" t="s">
        <v>46</v>
      </c>
      <c r="G548" s="5">
        <v>1</v>
      </c>
      <c r="H548" s="5" t="s">
        <v>57</v>
      </c>
      <c r="I548" s="5" t="s">
        <v>41</v>
      </c>
      <c r="J548" s="7">
        <v>2642</v>
      </c>
      <c r="K548" s="7">
        <f t="shared" si="90"/>
        <v>184.94000000000003</v>
      </c>
      <c r="L548" s="7">
        <f t="shared" si="91"/>
        <v>2457.06</v>
      </c>
      <c r="M548" s="7">
        <v>2755</v>
      </c>
      <c r="N548" s="5" t="s">
        <v>43</v>
      </c>
      <c r="O548" s="5">
        <v>11</v>
      </c>
      <c r="P548" s="7">
        <f t="shared" si="92"/>
        <v>2932.6200000000003</v>
      </c>
      <c r="Q548" s="7">
        <f t="shared" si="93"/>
        <v>3487.4400000000041</v>
      </c>
      <c r="R548" s="7" t="str">
        <f t="shared" si="94"/>
        <v>Normal</v>
      </c>
      <c r="S548" s="5">
        <v>3</v>
      </c>
      <c r="T548" s="5">
        <v>3</v>
      </c>
      <c r="U548" s="5" t="str" cm="1">
        <f t="array" ref="U548">_xlfn.IFS(T548=1,"Poor",T548=2,"Fair",T548=3,"Good",T548=4,"Excellent")</f>
        <v>Good</v>
      </c>
      <c r="V548" s="5" t="s">
        <v>43</v>
      </c>
      <c r="W548" s="5">
        <v>1</v>
      </c>
      <c r="X548" s="28">
        <f t="shared" ca="1" si="95"/>
        <v>45746</v>
      </c>
      <c r="Y548" s="28">
        <f t="shared" ca="1" si="96"/>
        <v>46476</v>
      </c>
      <c r="Z548" s="28" t="str">
        <f t="shared" ca="1" si="97"/>
        <v>Due Soon</v>
      </c>
      <c r="AA548" s="5" t="str" cm="1">
        <f t="array" ref="AA548">_xlfn.IFS(W548&gt;10,"Veteran",W548&gt;=6,"Experienced",W548&gt;=2,"Developing",W548&gt;=0,"New")</f>
        <v>New</v>
      </c>
      <c r="AB548" s="5" t="str" cm="1">
        <f t="array" ref="AB548">_xlfn.IFS(G548=1,"Junior",G548=2,"Mid-Level",G548=3,"Senior",G548=4,"Lead",G548=5,"Principal")&amp;" "&amp;TRIM(PROPER(H548))</f>
        <v>Junior Sales Representative</v>
      </c>
      <c r="AC548" s="19" t="str">
        <f t="shared" ca="1" si="98"/>
        <v>Sa-Sal-2025-547 is a Junior Sales Representative in the Sales department, aged 29, single and has been with the Company for 1years</v>
      </c>
    </row>
    <row r="549" spans="1:29">
      <c r="A549" s="18" t="str">
        <f t="shared" ca="1" si="88"/>
        <v>Re-Res-2024-548</v>
      </c>
      <c r="B549" s="5">
        <v>42</v>
      </c>
      <c r="C549" s="5" t="str">
        <f t="shared" si="89"/>
        <v>40-49</v>
      </c>
      <c r="D549" s="5" t="s">
        <v>35</v>
      </c>
      <c r="E549" s="5" t="s">
        <v>45</v>
      </c>
      <c r="F549" s="5" t="s">
        <v>46</v>
      </c>
      <c r="G549" s="5">
        <v>1</v>
      </c>
      <c r="H549" s="5" t="s">
        <v>47</v>
      </c>
      <c r="I549" s="5" t="s">
        <v>52</v>
      </c>
      <c r="J549" s="7">
        <v>2759</v>
      </c>
      <c r="K549" s="7">
        <f t="shared" si="90"/>
        <v>193.13000000000002</v>
      </c>
      <c r="L549" s="7">
        <f t="shared" si="91"/>
        <v>2565.87</v>
      </c>
      <c r="M549" s="7">
        <v>20366</v>
      </c>
      <c r="N549" s="5" t="s">
        <v>35</v>
      </c>
      <c r="O549" s="5">
        <v>12</v>
      </c>
      <c r="P549" s="7">
        <f t="shared" si="92"/>
        <v>3090.0800000000004</v>
      </c>
      <c r="Q549" s="7">
        <f t="shared" si="93"/>
        <v>3972.9600000000046</v>
      </c>
      <c r="R549" s="7" t="str">
        <f t="shared" si="94"/>
        <v>Normal</v>
      </c>
      <c r="S549" s="5">
        <v>3</v>
      </c>
      <c r="T549" s="5">
        <v>3</v>
      </c>
      <c r="U549" s="5" t="str" cm="1">
        <f t="array" ref="U549">_xlfn.IFS(T549=1,"Poor",T549=2,"Fair",T549=3,"Good",T549=4,"Excellent")</f>
        <v>Good</v>
      </c>
      <c r="V549" s="5" t="s">
        <v>35</v>
      </c>
      <c r="W549" s="5">
        <v>2</v>
      </c>
      <c r="X549" s="28">
        <f t="shared" ca="1" si="95"/>
        <v>45381</v>
      </c>
      <c r="Y549" s="28">
        <f t="shared" ca="1" si="96"/>
        <v>46842</v>
      </c>
      <c r="Z549" s="28" t="str">
        <f t="shared" ca="1" si="97"/>
        <v>Upcoming</v>
      </c>
      <c r="AA549" s="5" t="str" cm="1">
        <f t="array" ref="AA549">_xlfn.IFS(W549&gt;10,"Veteran",W549&gt;=6,"Experienced",W549&gt;=2,"Developing",W549&gt;=0,"New")</f>
        <v>Developing</v>
      </c>
      <c r="AB549" s="5" t="str" cm="1">
        <f t="array" ref="AB549">_xlfn.IFS(G549=1,"Junior",G549=2,"Mid-Level",G549=3,"Senior",G549=4,"Lead",G549=5,"Principal")&amp;" "&amp;TRIM(PROPER(H549))</f>
        <v>Junior Research Scientist</v>
      </c>
      <c r="AC549" s="19" t="str">
        <f t="shared" ca="1" si="98"/>
        <v>Re-Res-2024-548 is a Junior Research Scientist in the Research &amp; Development department, aged 42, divorced and has been with the Company for 2years</v>
      </c>
    </row>
    <row r="550" spans="1:29">
      <c r="A550" s="18" t="str">
        <f t="shared" ca="1" si="88"/>
        <v>Sa-Sal-2024-549</v>
      </c>
      <c r="B550" s="5">
        <v>43</v>
      </c>
      <c r="C550" s="5" t="str">
        <f t="shared" si="89"/>
        <v>40-49</v>
      </c>
      <c r="D550" s="5" t="s">
        <v>43</v>
      </c>
      <c r="E550" s="5" t="s">
        <v>37</v>
      </c>
      <c r="F550" s="5" t="s">
        <v>46</v>
      </c>
      <c r="G550" s="5">
        <v>2</v>
      </c>
      <c r="H550" s="5" t="s">
        <v>40</v>
      </c>
      <c r="I550" s="5" t="s">
        <v>48</v>
      </c>
      <c r="J550" s="7">
        <v>6804</v>
      </c>
      <c r="K550" s="7">
        <f t="shared" si="90"/>
        <v>1020.5999999999999</v>
      </c>
      <c r="L550" s="7">
        <f t="shared" si="91"/>
        <v>5783.4</v>
      </c>
      <c r="M550" s="7">
        <v>23683</v>
      </c>
      <c r="N550" s="5" t="s">
        <v>43</v>
      </c>
      <c r="O550" s="5">
        <v>18</v>
      </c>
      <c r="P550" s="7">
        <f t="shared" si="92"/>
        <v>8028.7199999999993</v>
      </c>
      <c r="Q550" s="7">
        <f t="shared" si="93"/>
        <v>14696.639999999992</v>
      </c>
      <c r="R550" s="7" t="str">
        <f t="shared" si="94"/>
        <v>Normal</v>
      </c>
      <c r="S550" s="5">
        <v>3</v>
      </c>
      <c r="T550" s="5">
        <v>3</v>
      </c>
      <c r="U550" s="5" t="str" cm="1">
        <f t="array" ref="U550">_xlfn.IFS(T550=1,"Poor",T550=2,"Fair",T550=3,"Good",T550=4,"Excellent")</f>
        <v>Good</v>
      </c>
      <c r="V550" s="5" t="s">
        <v>43</v>
      </c>
      <c r="W550" s="5">
        <v>2</v>
      </c>
      <c r="X550" s="28">
        <f t="shared" ca="1" si="95"/>
        <v>45381</v>
      </c>
      <c r="Y550" s="28">
        <f t="shared" ca="1" si="96"/>
        <v>46842</v>
      </c>
      <c r="Z550" s="28" t="str">
        <f t="shared" ca="1" si="97"/>
        <v>Upcoming</v>
      </c>
      <c r="AA550" s="5" t="str" cm="1">
        <f t="array" ref="AA550">_xlfn.IFS(W550&gt;10,"Veteran",W550&gt;=6,"Experienced",W550&gt;=2,"Developing",W550&gt;=0,"New")</f>
        <v>Developing</v>
      </c>
      <c r="AB550" s="5" t="str" cm="1">
        <f t="array" ref="AB550">_xlfn.IFS(G550=1,"Junior",G550=2,"Mid-Level",G550=3,"Senior",G550=4,"Lead",G550=5,"Principal")&amp;" "&amp;TRIM(PROPER(H550))</f>
        <v>Mid-Level Sales Executive</v>
      </c>
      <c r="AC550" s="19" t="str">
        <f t="shared" ca="1" si="98"/>
        <v>Sa-Sal-2024-549 is a Mid-Level Sales Executive in the Sales department, aged 43, married and has been with the Company for 2years</v>
      </c>
    </row>
    <row r="551" spans="1:29">
      <c r="A551" s="18" t="str">
        <f t="shared" ca="1" si="88"/>
        <v>He-Res-2021-550</v>
      </c>
      <c r="B551" s="5">
        <v>34</v>
      </c>
      <c r="C551" s="5" t="str">
        <f t="shared" si="89"/>
        <v>30-39</v>
      </c>
      <c r="D551" s="5" t="s">
        <v>43</v>
      </c>
      <c r="E551" s="5" t="s">
        <v>45</v>
      </c>
      <c r="F551" s="5" t="s">
        <v>39</v>
      </c>
      <c r="G551" s="5">
        <v>2</v>
      </c>
      <c r="H551" s="5" t="s">
        <v>54</v>
      </c>
      <c r="I551" s="5" t="s">
        <v>41</v>
      </c>
      <c r="J551" s="7">
        <v>6142</v>
      </c>
      <c r="K551" s="7">
        <f t="shared" si="90"/>
        <v>921.3</v>
      </c>
      <c r="L551" s="7">
        <f t="shared" si="91"/>
        <v>5220.7</v>
      </c>
      <c r="M551" s="7">
        <v>7360</v>
      </c>
      <c r="N551" s="5" t="s">
        <v>43</v>
      </c>
      <c r="O551" s="5">
        <v>11</v>
      </c>
      <c r="P551" s="7">
        <f t="shared" si="92"/>
        <v>6817.6200000000008</v>
      </c>
      <c r="Q551" s="7">
        <f t="shared" si="93"/>
        <v>8107.4400000000096</v>
      </c>
      <c r="R551" s="7" t="str">
        <f t="shared" si="94"/>
        <v>Normal</v>
      </c>
      <c r="S551" s="5">
        <v>3</v>
      </c>
      <c r="T551" s="5">
        <v>3</v>
      </c>
      <c r="U551" s="5" t="str" cm="1">
        <f t="array" ref="U551">_xlfn.IFS(T551=1,"Poor",T551=2,"Fair",T551=3,"Good",T551=4,"Excellent")</f>
        <v>Good</v>
      </c>
      <c r="V551" s="5" t="s">
        <v>43</v>
      </c>
      <c r="W551" s="5">
        <v>5</v>
      </c>
      <c r="X551" s="28">
        <f t="shared" ca="1" si="95"/>
        <v>44285</v>
      </c>
      <c r="Y551" s="28">
        <f t="shared" ca="1" si="96"/>
        <v>46476</v>
      </c>
      <c r="Z551" s="28" t="str">
        <f t="shared" ca="1" si="97"/>
        <v>Due Soon</v>
      </c>
      <c r="AA551" s="5" t="str" cm="1">
        <f t="array" ref="AA551">_xlfn.IFS(W551&gt;10,"Veteran",W551&gt;=6,"Experienced",W551&gt;=2,"Developing",W551&gt;=0,"New")</f>
        <v>Developing</v>
      </c>
      <c r="AB551" s="5" t="str" cm="1">
        <f t="array" ref="AB551">_xlfn.IFS(G551=1,"Junior",G551=2,"Mid-Level",G551=3,"Senior",G551=4,"Lead",G551=5,"Principal")&amp;" "&amp;TRIM(PROPER(H551))</f>
        <v>Mid-Level Healthcare Representative</v>
      </c>
      <c r="AC551" s="19" t="str">
        <f t="shared" ca="1" si="98"/>
        <v>He-Res-2021-550 is a Mid-Level Healthcare Representative in the Research &amp; Development department, aged 34, single and has been with the Company for 5years</v>
      </c>
    </row>
    <row r="552" spans="1:29">
      <c r="A552" s="18" t="str">
        <f t="shared" ca="1" si="88"/>
        <v>La-Res-2022-551</v>
      </c>
      <c r="B552" s="5">
        <v>23</v>
      </c>
      <c r="C552" s="5" t="str">
        <f t="shared" si="89"/>
        <v>20-29</v>
      </c>
      <c r="D552" s="5" t="s">
        <v>43</v>
      </c>
      <c r="E552" s="5" t="s">
        <v>45</v>
      </c>
      <c r="F552" s="5" t="s">
        <v>46</v>
      </c>
      <c r="G552" s="5">
        <v>1</v>
      </c>
      <c r="H552" s="5" t="s">
        <v>50</v>
      </c>
      <c r="I552" s="5" t="s">
        <v>48</v>
      </c>
      <c r="J552" s="7">
        <v>2500</v>
      </c>
      <c r="K552" s="7">
        <f t="shared" si="90"/>
        <v>175.00000000000003</v>
      </c>
      <c r="L552" s="7">
        <f t="shared" si="91"/>
        <v>2325</v>
      </c>
      <c r="M552" s="7">
        <v>4344</v>
      </c>
      <c r="N552" s="5" t="s">
        <v>43</v>
      </c>
      <c r="O552" s="5">
        <v>14</v>
      </c>
      <c r="P552" s="7">
        <f t="shared" si="92"/>
        <v>2850.0000000000005</v>
      </c>
      <c r="Q552" s="7">
        <f t="shared" si="93"/>
        <v>4200.0000000000055</v>
      </c>
      <c r="R552" s="7" t="str">
        <f t="shared" si="94"/>
        <v>Normal</v>
      </c>
      <c r="S552" s="5">
        <v>3</v>
      </c>
      <c r="T552" s="5">
        <v>4</v>
      </c>
      <c r="U552" s="5" t="str" cm="1">
        <f t="array" ref="U552">_xlfn.IFS(T552=1,"Poor",T552=2,"Fair",T552=3,"Good",T552=4,"Excellent")</f>
        <v>Excellent</v>
      </c>
      <c r="V552" s="5" t="s">
        <v>43</v>
      </c>
      <c r="W552" s="5">
        <v>4</v>
      </c>
      <c r="X552" s="28">
        <f t="shared" ca="1" si="95"/>
        <v>44650</v>
      </c>
      <c r="Y552" s="28">
        <f t="shared" ca="1" si="96"/>
        <v>46842</v>
      </c>
      <c r="Z552" s="28" t="str">
        <f t="shared" ca="1" si="97"/>
        <v>Upcoming</v>
      </c>
      <c r="AA552" s="5" t="str" cm="1">
        <f t="array" ref="AA552">_xlfn.IFS(W552&gt;10,"Veteran",W552&gt;=6,"Experienced",W552&gt;=2,"Developing",W552&gt;=0,"New")</f>
        <v>Developing</v>
      </c>
      <c r="AB552" s="5" t="str" cm="1">
        <f t="array" ref="AB552">_xlfn.IFS(G552=1,"Junior",G552=2,"Mid-Level",G552=3,"Senior",G552=4,"Lead",G552=5,"Principal")&amp;" "&amp;TRIM(PROPER(H552))</f>
        <v>Junior Laboratory Technician</v>
      </c>
      <c r="AC552" s="19" t="str">
        <f t="shared" ca="1" si="98"/>
        <v>La-Res-2022-551 is a Junior Laboratory Technician in the Research &amp; Development department, aged 23, married and has been with the Company for 4years</v>
      </c>
    </row>
    <row r="553" spans="1:29">
      <c r="A553" s="18" t="str">
        <f t="shared" ca="1" si="88"/>
        <v>Hu-Hum-2018-552</v>
      </c>
      <c r="B553" s="5">
        <v>39</v>
      </c>
      <c r="C553" s="5" t="str">
        <f t="shared" si="89"/>
        <v>30-39</v>
      </c>
      <c r="D553" s="5" t="s">
        <v>43</v>
      </c>
      <c r="E553" s="5" t="s">
        <v>61</v>
      </c>
      <c r="F553" s="5" t="s">
        <v>39</v>
      </c>
      <c r="G553" s="5">
        <v>2</v>
      </c>
      <c r="H553" s="5" t="s">
        <v>61</v>
      </c>
      <c r="I553" s="5" t="s">
        <v>48</v>
      </c>
      <c r="J553" s="7">
        <v>6389</v>
      </c>
      <c r="K553" s="7">
        <f t="shared" si="90"/>
        <v>958.34999999999991</v>
      </c>
      <c r="L553" s="7">
        <f t="shared" si="91"/>
        <v>5430.65</v>
      </c>
      <c r="M553" s="7">
        <v>18767</v>
      </c>
      <c r="N553" s="5" t="s">
        <v>43</v>
      </c>
      <c r="O553" s="5">
        <v>15</v>
      </c>
      <c r="P553" s="7">
        <f t="shared" si="92"/>
        <v>7347.3499999999995</v>
      </c>
      <c r="Q553" s="7">
        <f t="shared" si="93"/>
        <v>11500.199999999993</v>
      </c>
      <c r="R553" s="7" t="str">
        <f t="shared" si="94"/>
        <v>Normal</v>
      </c>
      <c r="S553" s="5">
        <v>3</v>
      </c>
      <c r="T553" s="5">
        <v>1</v>
      </c>
      <c r="U553" s="5" t="str" cm="1">
        <f t="array" ref="U553">_xlfn.IFS(T553=1,"Poor",T553=2,"Fair",T553=3,"Good",T553=4,"Excellent")</f>
        <v>Poor</v>
      </c>
      <c r="V553" s="5" t="s">
        <v>43</v>
      </c>
      <c r="W553" s="5">
        <v>8</v>
      </c>
      <c r="X553" s="28">
        <f t="shared" ca="1" si="95"/>
        <v>43189</v>
      </c>
      <c r="Y553" s="28">
        <f t="shared" ca="1" si="96"/>
        <v>46842</v>
      </c>
      <c r="Z553" s="28" t="str">
        <f t="shared" ca="1" si="97"/>
        <v>Upcoming</v>
      </c>
      <c r="AA553" s="5" t="str" cm="1">
        <f t="array" ref="AA553">_xlfn.IFS(W553&gt;10,"Veteran",W553&gt;=6,"Experienced",W553&gt;=2,"Developing",W553&gt;=0,"New")</f>
        <v>Experienced</v>
      </c>
      <c r="AB553" s="5" t="str" cm="1">
        <f t="array" ref="AB553">_xlfn.IFS(G553=1,"Junior",G553=2,"Mid-Level",G553=3,"Senior",G553=4,"Lead",G553=5,"Principal")&amp;" "&amp;TRIM(PROPER(H553))</f>
        <v>Mid-Level Human Resources</v>
      </c>
      <c r="AC553" s="19" t="str">
        <f t="shared" ca="1" si="98"/>
        <v>Hu-Hum-2018-552 is a Mid-Level Human Resources in the Human Resources department, aged 39, married and has been with the Company for 8years</v>
      </c>
    </row>
    <row r="554" spans="1:29">
      <c r="A554" s="18" t="str">
        <f t="shared" ca="1" si="88"/>
        <v>He-Res-2016-553</v>
      </c>
      <c r="B554" s="5">
        <v>56</v>
      </c>
      <c r="C554" s="5" t="str">
        <f t="shared" si="89"/>
        <v>50+</v>
      </c>
      <c r="D554" s="5" t="s">
        <v>43</v>
      </c>
      <c r="E554" s="5" t="s">
        <v>45</v>
      </c>
      <c r="F554" s="5" t="s">
        <v>46</v>
      </c>
      <c r="G554" s="5">
        <v>4</v>
      </c>
      <c r="H554" s="5" t="s">
        <v>54</v>
      </c>
      <c r="I554" s="5" t="s">
        <v>48</v>
      </c>
      <c r="J554" s="7">
        <v>11103</v>
      </c>
      <c r="K554" s="7">
        <f t="shared" si="90"/>
        <v>2442.66</v>
      </c>
      <c r="L554" s="7">
        <f t="shared" si="91"/>
        <v>8660.34</v>
      </c>
      <c r="M554" s="7">
        <v>20420</v>
      </c>
      <c r="N554" s="5" t="s">
        <v>43</v>
      </c>
      <c r="O554" s="5">
        <v>11</v>
      </c>
      <c r="P554" s="7">
        <f t="shared" si="92"/>
        <v>12324.330000000002</v>
      </c>
      <c r="Q554" s="7">
        <f t="shared" si="93"/>
        <v>14655.960000000021</v>
      </c>
      <c r="R554" s="7" t="str">
        <f t="shared" si="94"/>
        <v>Normal</v>
      </c>
      <c r="S554" s="5">
        <v>3</v>
      </c>
      <c r="T554" s="5">
        <v>2</v>
      </c>
      <c r="U554" s="5" t="str" cm="1">
        <f t="array" ref="U554">_xlfn.IFS(T554=1,"Poor",T554=2,"Fair",T554=3,"Good",T554=4,"Excellent")</f>
        <v>Fair</v>
      </c>
      <c r="V554" s="5" t="s">
        <v>43</v>
      </c>
      <c r="W554" s="5">
        <v>10</v>
      </c>
      <c r="X554" s="28">
        <f t="shared" ca="1" si="95"/>
        <v>42459</v>
      </c>
      <c r="Y554" s="28">
        <f t="shared" ca="1" si="96"/>
        <v>46842</v>
      </c>
      <c r="Z554" s="28" t="str">
        <f t="shared" ca="1" si="97"/>
        <v>Upcoming</v>
      </c>
      <c r="AA554" s="5" t="str" cm="1">
        <f t="array" ref="AA554">_xlfn.IFS(W554&gt;10,"Veteran",W554&gt;=6,"Experienced",W554&gt;=2,"Developing",W554&gt;=0,"New")</f>
        <v>Experienced</v>
      </c>
      <c r="AB554" s="5" t="str" cm="1">
        <f t="array" ref="AB554">_xlfn.IFS(G554=1,"Junior",G554=2,"Mid-Level",G554=3,"Senior",G554=4,"Lead",G554=5,"Principal")&amp;" "&amp;TRIM(PROPER(H554))</f>
        <v>Lead Healthcare Representative</v>
      </c>
      <c r="AC554" s="19" t="str">
        <f t="shared" ca="1" si="98"/>
        <v>He-Res-2016-553 is a Lead Healthcare Representative in the Research &amp; Development department, aged 56, married and has been with the Company for 10years</v>
      </c>
    </row>
    <row r="555" spans="1:29">
      <c r="A555" s="18" t="str">
        <f t="shared" ca="1" si="88"/>
        <v>Re-Res-2022-554</v>
      </c>
      <c r="B555" s="5">
        <v>40</v>
      </c>
      <c r="C555" s="5" t="str">
        <f t="shared" si="89"/>
        <v>40-49</v>
      </c>
      <c r="D555" s="5" t="s">
        <v>43</v>
      </c>
      <c r="E555" s="5" t="s">
        <v>45</v>
      </c>
      <c r="F555" s="5" t="s">
        <v>39</v>
      </c>
      <c r="G555" s="5">
        <v>1</v>
      </c>
      <c r="H555" s="5" t="s">
        <v>47</v>
      </c>
      <c r="I555" s="5" t="s">
        <v>41</v>
      </c>
      <c r="J555" s="7">
        <v>2342</v>
      </c>
      <c r="K555" s="7">
        <f t="shared" si="90"/>
        <v>163.94000000000003</v>
      </c>
      <c r="L555" s="7">
        <f t="shared" si="91"/>
        <v>2178.06</v>
      </c>
      <c r="M555" s="7">
        <v>22929</v>
      </c>
      <c r="N555" s="5" t="s">
        <v>35</v>
      </c>
      <c r="O555" s="5">
        <v>20</v>
      </c>
      <c r="P555" s="7">
        <f t="shared" si="92"/>
        <v>2810.4</v>
      </c>
      <c r="Q555" s="7">
        <f t="shared" si="93"/>
        <v>5620.8000000000011</v>
      </c>
      <c r="R555" s="7" t="str">
        <f t="shared" si="94"/>
        <v>Normal</v>
      </c>
      <c r="S555" s="5">
        <v>4</v>
      </c>
      <c r="T555" s="5">
        <v>2</v>
      </c>
      <c r="U555" s="5" t="str" cm="1">
        <f t="array" ref="U555">_xlfn.IFS(T555=1,"Poor",T555=2,"Fair",T555=3,"Good",T555=4,"Excellent")</f>
        <v>Fair</v>
      </c>
      <c r="V555" s="5" t="s">
        <v>35</v>
      </c>
      <c r="W555" s="5">
        <v>4</v>
      </c>
      <c r="X555" s="28">
        <f t="shared" ca="1" si="95"/>
        <v>44650</v>
      </c>
      <c r="Y555" s="28">
        <f t="shared" ca="1" si="96"/>
        <v>46842</v>
      </c>
      <c r="Z555" s="28" t="str">
        <f t="shared" ca="1" si="97"/>
        <v>Upcoming</v>
      </c>
      <c r="AA555" s="5" t="str" cm="1">
        <f t="array" ref="AA555">_xlfn.IFS(W555&gt;10,"Veteran",W555&gt;=6,"Experienced",W555&gt;=2,"Developing",W555&gt;=0,"New")</f>
        <v>Developing</v>
      </c>
      <c r="AB555" s="5" t="str" cm="1">
        <f t="array" ref="AB555">_xlfn.IFS(G555=1,"Junior",G555=2,"Mid-Level",G555=3,"Senior",G555=4,"Lead",G555=5,"Principal")&amp;" "&amp;TRIM(PROPER(H555))</f>
        <v>Junior Research Scientist</v>
      </c>
      <c r="AC555" s="19" t="str">
        <f t="shared" ca="1" si="98"/>
        <v>Re-Res-2022-554 is a Junior Research Scientist in the Research &amp; Development department, aged 40, single and has been with the Company for 4years</v>
      </c>
    </row>
    <row r="556" spans="1:29">
      <c r="A556" s="18" t="str">
        <f t="shared" ca="1" si="88"/>
        <v>He-Res-2019-555</v>
      </c>
      <c r="B556" s="5">
        <v>27</v>
      </c>
      <c r="C556" s="5" t="str">
        <f t="shared" si="89"/>
        <v>20-29</v>
      </c>
      <c r="D556" s="5" t="s">
        <v>43</v>
      </c>
      <c r="E556" s="5" t="s">
        <v>45</v>
      </c>
      <c r="F556" s="5" t="s">
        <v>39</v>
      </c>
      <c r="G556" s="5">
        <v>2</v>
      </c>
      <c r="H556" s="5" t="s">
        <v>54</v>
      </c>
      <c r="I556" s="5" t="s">
        <v>41</v>
      </c>
      <c r="J556" s="7">
        <v>6811</v>
      </c>
      <c r="K556" s="7">
        <f t="shared" si="90"/>
        <v>1021.65</v>
      </c>
      <c r="L556" s="7">
        <f t="shared" si="91"/>
        <v>5789.35</v>
      </c>
      <c r="M556" s="7">
        <v>23398</v>
      </c>
      <c r="N556" s="5" t="s">
        <v>43</v>
      </c>
      <c r="O556" s="5">
        <v>19</v>
      </c>
      <c r="P556" s="7">
        <f t="shared" si="92"/>
        <v>8105.0899999999992</v>
      </c>
      <c r="Q556" s="7">
        <f t="shared" si="93"/>
        <v>15529.079999999991</v>
      </c>
      <c r="R556" s="7" t="str">
        <f t="shared" si="94"/>
        <v>Normal</v>
      </c>
      <c r="S556" s="5">
        <v>3</v>
      </c>
      <c r="T556" s="5">
        <v>1</v>
      </c>
      <c r="U556" s="5" t="str" cm="1">
        <f t="array" ref="U556">_xlfn.IFS(T556=1,"Poor",T556=2,"Fair",T556=3,"Good",T556=4,"Excellent")</f>
        <v>Poor</v>
      </c>
      <c r="V556" s="5" t="s">
        <v>43</v>
      </c>
      <c r="W556" s="5">
        <v>7</v>
      </c>
      <c r="X556" s="28">
        <f t="shared" ca="1" si="95"/>
        <v>43554</v>
      </c>
      <c r="Y556" s="28">
        <f t="shared" ca="1" si="96"/>
        <v>46476</v>
      </c>
      <c r="Z556" s="28" t="str">
        <f t="shared" ca="1" si="97"/>
        <v>Due Soon</v>
      </c>
      <c r="AA556" s="5" t="str" cm="1">
        <f t="array" ref="AA556">_xlfn.IFS(W556&gt;10,"Veteran",W556&gt;=6,"Experienced",W556&gt;=2,"Developing",W556&gt;=0,"New")</f>
        <v>Experienced</v>
      </c>
      <c r="AB556" s="5" t="str" cm="1">
        <f t="array" ref="AB556">_xlfn.IFS(G556=1,"Junior",G556=2,"Mid-Level",G556=3,"Senior",G556=4,"Lead",G556=5,"Principal")&amp;" "&amp;TRIM(PROPER(H556))</f>
        <v>Mid-Level Healthcare Representative</v>
      </c>
      <c r="AC556" s="19" t="str">
        <f t="shared" ca="1" si="98"/>
        <v>He-Res-2019-555 is a Mid-Level Healthcare Representative in the Research &amp; Development department, aged 27, single and has been with the Company for 7years</v>
      </c>
    </row>
    <row r="557" spans="1:29">
      <c r="A557" s="18" t="str">
        <f t="shared" ca="1" si="88"/>
        <v>Sa-Sal-2024-556</v>
      </c>
      <c r="B557" s="5">
        <v>29</v>
      </c>
      <c r="C557" s="5" t="str">
        <f t="shared" si="89"/>
        <v>20-29</v>
      </c>
      <c r="D557" s="5" t="s">
        <v>43</v>
      </c>
      <c r="E557" s="5" t="s">
        <v>37</v>
      </c>
      <c r="F557" s="5" t="s">
        <v>46</v>
      </c>
      <c r="G557" s="5">
        <v>1</v>
      </c>
      <c r="H557" s="5" t="s">
        <v>57</v>
      </c>
      <c r="I557" s="5" t="s">
        <v>52</v>
      </c>
      <c r="J557" s="7">
        <v>2297</v>
      </c>
      <c r="K557" s="7">
        <f t="shared" si="90"/>
        <v>160.79000000000002</v>
      </c>
      <c r="L557" s="7">
        <f t="shared" si="91"/>
        <v>2136.21</v>
      </c>
      <c r="M557" s="7">
        <v>17967</v>
      </c>
      <c r="N557" s="5" t="s">
        <v>43</v>
      </c>
      <c r="O557" s="5">
        <v>14</v>
      </c>
      <c r="P557" s="7">
        <f t="shared" si="92"/>
        <v>2618.5800000000004</v>
      </c>
      <c r="Q557" s="7">
        <f t="shared" si="93"/>
        <v>3858.9600000000046</v>
      </c>
      <c r="R557" s="7" t="str">
        <f t="shared" si="94"/>
        <v>Normal</v>
      </c>
      <c r="S557" s="5">
        <v>3</v>
      </c>
      <c r="T557" s="5">
        <v>3</v>
      </c>
      <c r="U557" s="5" t="str" cm="1">
        <f t="array" ref="U557">_xlfn.IFS(T557=1,"Poor",T557=2,"Fair",T557=3,"Good",T557=4,"Excellent")</f>
        <v>Good</v>
      </c>
      <c r="V557" s="5" t="s">
        <v>43</v>
      </c>
      <c r="W557" s="5">
        <v>2</v>
      </c>
      <c r="X557" s="28">
        <f t="shared" ca="1" si="95"/>
        <v>45381</v>
      </c>
      <c r="Y557" s="28">
        <f t="shared" ca="1" si="96"/>
        <v>46842</v>
      </c>
      <c r="Z557" s="28" t="str">
        <f t="shared" ca="1" si="97"/>
        <v>Upcoming</v>
      </c>
      <c r="AA557" s="5" t="str" cm="1">
        <f t="array" ref="AA557">_xlfn.IFS(W557&gt;10,"Veteran",W557&gt;=6,"Experienced",W557&gt;=2,"Developing",W557&gt;=0,"New")</f>
        <v>Developing</v>
      </c>
      <c r="AB557" s="5" t="str" cm="1">
        <f t="array" ref="AB557">_xlfn.IFS(G557=1,"Junior",G557=2,"Mid-Level",G557=3,"Senior",G557=4,"Lead",G557=5,"Principal")&amp;" "&amp;TRIM(PROPER(H557))</f>
        <v>Junior Sales Representative</v>
      </c>
      <c r="AC557" s="19" t="str">
        <f t="shared" ca="1" si="98"/>
        <v>Sa-Sal-2024-556 is a Junior Sales Representative in the Sales department, aged 29, divorced and has been with the Company for 2years</v>
      </c>
    </row>
    <row r="558" spans="1:29">
      <c r="A558" s="18" t="str">
        <f t="shared" ca="1" si="88"/>
        <v>La-Res-2024-557</v>
      </c>
      <c r="B558" s="5">
        <v>53</v>
      </c>
      <c r="C558" s="5" t="str">
        <f t="shared" si="89"/>
        <v>50+</v>
      </c>
      <c r="D558" s="5" t="s">
        <v>43</v>
      </c>
      <c r="E558" s="5" t="s">
        <v>45</v>
      </c>
      <c r="F558" s="5" t="s">
        <v>46</v>
      </c>
      <c r="G558" s="5">
        <v>2</v>
      </c>
      <c r="H558" s="5" t="s">
        <v>50</v>
      </c>
      <c r="I558" s="5" t="s">
        <v>41</v>
      </c>
      <c r="J558" s="7">
        <v>2450</v>
      </c>
      <c r="K558" s="7">
        <f t="shared" si="90"/>
        <v>171.50000000000003</v>
      </c>
      <c r="L558" s="7">
        <f t="shared" si="91"/>
        <v>2278.5</v>
      </c>
      <c r="M558" s="7">
        <v>10919</v>
      </c>
      <c r="N558" s="5" t="s">
        <v>43</v>
      </c>
      <c r="O558" s="5">
        <v>17</v>
      </c>
      <c r="P558" s="7">
        <f t="shared" si="92"/>
        <v>2866.5</v>
      </c>
      <c r="Q558" s="7">
        <f t="shared" si="93"/>
        <v>4998</v>
      </c>
      <c r="R558" s="7" t="str">
        <f t="shared" si="94"/>
        <v>Normal</v>
      </c>
      <c r="S558" s="5">
        <v>3</v>
      </c>
      <c r="T558" s="5">
        <v>3</v>
      </c>
      <c r="U558" s="5" t="str" cm="1">
        <f t="array" ref="U558">_xlfn.IFS(T558=1,"Poor",T558=2,"Fair",T558=3,"Good",T558=4,"Excellent")</f>
        <v>Good</v>
      </c>
      <c r="V558" s="5" t="s">
        <v>43</v>
      </c>
      <c r="W558" s="5">
        <v>2</v>
      </c>
      <c r="X558" s="28">
        <f t="shared" ca="1" si="95"/>
        <v>45381</v>
      </c>
      <c r="Y558" s="28">
        <f t="shared" ca="1" si="96"/>
        <v>46842</v>
      </c>
      <c r="Z558" s="28" t="str">
        <f t="shared" ca="1" si="97"/>
        <v>Upcoming</v>
      </c>
      <c r="AA558" s="5" t="str" cm="1">
        <f t="array" ref="AA558">_xlfn.IFS(W558&gt;10,"Veteran",W558&gt;=6,"Experienced",W558&gt;=2,"Developing",W558&gt;=0,"New")</f>
        <v>Developing</v>
      </c>
      <c r="AB558" s="5" t="str" cm="1">
        <f t="array" ref="AB558">_xlfn.IFS(G558=1,"Junior",G558=2,"Mid-Level",G558=3,"Senior",G558=4,"Lead",G558=5,"Principal")&amp;" "&amp;TRIM(PROPER(H558))</f>
        <v>Mid-Level Laboratory Technician</v>
      </c>
      <c r="AC558" s="19" t="str">
        <f t="shared" ca="1" si="98"/>
        <v>La-Res-2024-557 is a Mid-Level Laboratory Technician in the Research &amp; Development department, aged 53, single and has been with the Company for 2years</v>
      </c>
    </row>
    <row r="559" spans="1:29">
      <c r="A559" s="18" t="str">
        <f t="shared" ca="1" si="88"/>
        <v>He-Res-2025-558</v>
      </c>
      <c r="B559" s="5">
        <v>35</v>
      </c>
      <c r="C559" s="5" t="str">
        <f t="shared" si="89"/>
        <v>30-39</v>
      </c>
      <c r="D559" s="5" t="s">
        <v>43</v>
      </c>
      <c r="E559" s="5" t="s">
        <v>45</v>
      </c>
      <c r="F559" s="5" t="s">
        <v>39</v>
      </c>
      <c r="G559" s="5">
        <v>2</v>
      </c>
      <c r="H559" s="5" t="s">
        <v>54</v>
      </c>
      <c r="I559" s="5" t="s">
        <v>52</v>
      </c>
      <c r="J559" s="7">
        <v>5093</v>
      </c>
      <c r="K559" s="7">
        <f t="shared" si="90"/>
        <v>763.94999999999993</v>
      </c>
      <c r="L559" s="7">
        <f t="shared" si="91"/>
        <v>4329.05</v>
      </c>
      <c r="M559" s="7">
        <v>4761</v>
      </c>
      <c r="N559" s="5" t="s">
        <v>43</v>
      </c>
      <c r="O559" s="5">
        <v>11</v>
      </c>
      <c r="P559" s="7">
        <f t="shared" si="92"/>
        <v>5653.2300000000005</v>
      </c>
      <c r="Q559" s="7">
        <f t="shared" si="93"/>
        <v>6722.7600000000057</v>
      </c>
      <c r="R559" s="7" t="str">
        <f t="shared" si="94"/>
        <v>Normal</v>
      </c>
      <c r="S559" s="5">
        <v>3</v>
      </c>
      <c r="T559" s="5">
        <v>4</v>
      </c>
      <c r="U559" s="5" t="str" cm="1">
        <f t="array" ref="U559">_xlfn.IFS(T559=1,"Poor",T559=2,"Fair",T559=3,"Good",T559=4,"Excellent")</f>
        <v>Excellent</v>
      </c>
      <c r="V559" s="5" t="s">
        <v>43</v>
      </c>
      <c r="W559" s="5">
        <v>1</v>
      </c>
      <c r="X559" s="28">
        <f t="shared" ca="1" si="95"/>
        <v>45746</v>
      </c>
      <c r="Y559" s="28">
        <f t="shared" ca="1" si="96"/>
        <v>46476</v>
      </c>
      <c r="Z559" s="28" t="str">
        <f t="shared" ca="1" si="97"/>
        <v>Due Soon</v>
      </c>
      <c r="AA559" s="5" t="str" cm="1">
        <f t="array" ref="AA559">_xlfn.IFS(W559&gt;10,"Veteran",W559&gt;=6,"Experienced",W559&gt;=2,"Developing",W559&gt;=0,"New")</f>
        <v>New</v>
      </c>
      <c r="AB559" s="5" t="str" cm="1">
        <f t="array" ref="AB559">_xlfn.IFS(G559=1,"Junior",G559=2,"Mid-Level",G559=3,"Senior",G559=4,"Lead",G559=5,"Principal")&amp;" "&amp;TRIM(PROPER(H559))</f>
        <v>Mid-Level Healthcare Representative</v>
      </c>
      <c r="AC559" s="19" t="str">
        <f t="shared" ca="1" si="98"/>
        <v>He-Res-2025-558 is a Mid-Level Healthcare Representative in the Research &amp; Development department, aged 35, divorced and has been with the Company for 1years</v>
      </c>
    </row>
    <row r="560" spans="1:29">
      <c r="A560" s="18" t="str">
        <f t="shared" ca="1" si="88"/>
        <v>La-Res-2016-559</v>
      </c>
      <c r="B560" s="5">
        <v>32</v>
      </c>
      <c r="C560" s="5" t="str">
        <f t="shared" si="89"/>
        <v>30-39</v>
      </c>
      <c r="D560" s="5" t="s">
        <v>43</v>
      </c>
      <c r="E560" s="5" t="s">
        <v>45</v>
      </c>
      <c r="F560" s="5" t="s">
        <v>46</v>
      </c>
      <c r="G560" s="5">
        <v>2</v>
      </c>
      <c r="H560" s="5" t="s">
        <v>50</v>
      </c>
      <c r="I560" s="5" t="s">
        <v>48</v>
      </c>
      <c r="J560" s="7">
        <v>5309</v>
      </c>
      <c r="K560" s="7">
        <f t="shared" si="90"/>
        <v>796.35</v>
      </c>
      <c r="L560" s="7">
        <f t="shared" si="91"/>
        <v>4512.6499999999996</v>
      </c>
      <c r="M560" s="7">
        <v>21146</v>
      </c>
      <c r="N560" s="5" t="s">
        <v>43</v>
      </c>
      <c r="O560" s="5">
        <v>15</v>
      </c>
      <c r="P560" s="7">
        <f t="shared" si="92"/>
        <v>6105.3499999999995</v>
      </c>
      <c r="Q560" s="7">
        <f t="shared" si="93"/>
        <v>9556.1999999999935</v>
      </c>
      <c r="R560" s="7" t="str">
        <f t="shared" si="94"/>
        <v>Normal</v>
      </c>
      <c r="S560" s="5">
        <v>3</v>
      </c>
      <c r="T560" s="5">
        <v>3</v>
      </c>
      <c r="U560" s="5" t="str" cm="1">
        <f t="array" ref="U560">_xlfn.IFS(T560=1,"Poor",T560=2,"Fair",T560=3,"Good",T560=4,"Excellent")</f>
        <v>Good</v>
      </c>
      <c r="V560" s="5" t="s">
        <v>43</v>
      </c>
      <c r="W560" s="5">
        <v>10</v>
      </c>
      <c r="X560" s="28">
        <f t="shared" ca="1" si="95"/>
        <v>42459</v>
      </c>
      <c r="Y560" s="28">
        <f t="shared" ca="1" si="96"/>
        <v>46842</v>
      </c>
      <c r="Z560" s="28" t="str">
        <f t="shared" ca="1" si="97"/>
        <v>Upcoming</v>
      </c>
      <c r="AA560" s="5" t="str" cm="1">
        <f t="array" ref="AA560">_xlfn.IFS(W560&gt;10,"Veteran",W560&gt;=6,"Experienced",W560&gt;=2,"Developing",W560&gt;=0,"New")</f>
        <v>Experienced</v>
      </c>
      <c r="AB560" s="5" t="str" cm="1">
        <f t="array" ref="AB560">_xlfn.IFS(G560=1,"Junior",G560=2,"Mid-Level",G560=3,"Senior",G560=4,"Lead",G560=5,"Principal")&amp;" "&amp;TRIM(PROPER(H560))</f>
        <v>Mid-Level Laboratory Technician</v>
      </c>
      <c r="AC560" s="19" t="str">
        <f t="shared" ca="1" si="98"/>
        <v>La-Res-2016-559 is a Mid-Level Laboratory Technician in the Research &amp; Development department, aged 32, married and has been with the Company for 10years</v>
      </c>
    </row>
    <row r="561" spans="1:29">
      <c r="A561" s="18" t="str">
        <f t="shared" ca="1" si="88"/>
        <v>Re-Res-2025-560</v>
      </c>
      <c r="B561" s="5">
        <v>38</v>
      </c>
      <c r="C561" s="5" t="str">
        <f t="shared" si="89"/>
        <v>30-39</v>
      </c>
      <c r="D561" s="5" t="s">
        <v>43</v>
      </c>
      <c r="E561" s="5" t="s">
        <v>45</v>
      </c>
      <c r="F561" s="5" t="s">
        <v>46</v>
      </c>
      <c r="G561" s="5">
        <v>1</v>
      </c>
      <c r="H561" s="5" t="s">
        <v>47</v>
      </c>
      <c r="I561" s="5" t="s">
        <v>48</v>
      </c>
      <c r="J561" s="7">
        <v>3057</v>
      </c>
      <c r="K561" s="7">
        <f t="shared" si="90"/>
        <v>458.55</v>
      </c>
      <c r="L561" s="7">
        <f t="shared" si="91"/>
        <v>2598.4499999999998</v>
      </c>
      <c r="M561" s="7">
        <v>20471</v>
      </c>
      <c r="N561" s="5" t="s">
        <v>35</v>
      </c>
      <c r="O561" s="5">
        <v>13</v>
      </c>
      <c r="P561" s="7">
        <f t="shared" si="92"/>
        <v>3454.41</v>
      </c>
      <c r="Q561" s="7">
        <f t="shared" si="93"/>
        <v>4768.9199999999983</v>
      </c>
      <c r="R561" s="7" t="str">
        <f t="shared" si="94"/>
        <v>Normal</v>
      </c>
      <c r="S561" s="5">
        <v>3</v>
      </c>
      <c r="T561" s="5">
        <v>1</v>
      </c>
      <c r="U561" s="5" t="str" cm="1">
        <f t="array" ref="U561">_xlfn.IFS(T561=1,"Poor",T561=2,"Fair",T561=3,"Good",T561=4,"Excellent")</f>
        <v>Poor</v>
      </c>
      <c r="V561" s="5" t="s">
        <v>35</v>
      </c>
      <c r="W561" s="5">
        <v>1</v>
      </c>
      <c r="X561" s="28">
        <f t="shared" ca="1" si="95"/>
        <v>45746</v>
      </c>
      <c r="Y561" s="28">
        <f t="shared" ca="1" si="96"/>
        <v>46476</v>
      </c>
      <c r="Z561" s="28" t="str">
        <f t="shared" ca="1" si="97"/>
        <v>Due Soon</v>
      </c>
      <c r="AA561" s="5" t="str" cm="1">
        <f t="array" ref="AA561">_xlfn.IFS(W561&gt;10,"Veteran",W561&gt;=6,"Experienced",W561&gt;=2,"Developing",W561&gt;=0,"New")</f>
        <v>New</v>
      </c>
      <c r="AB561" s="5" t="str" cm="1">
        <f t="array" ref="AB561">_xlfn.IFS(G561=1,"Junior",G561=2,"Mid-Level",G561=3,"Senior",G561=4,"Lead",G561=5,"Principal")&amp;" "&amp;TRIM(PROPER(H561))</f>
        <v>Junior Research Scientist</v>
      </c>
      <c r="AC561" s="19" t="str">
        <f t="shared" ca="1" si="98"/>
        <v>Re-Res-2025-560 is a Junior Research Scientist in the Research &amp; Development department, aged 38, married and has been with the Company for 1years</v>
      </c>
    </row>
    <row r="562" spans="1:29">
      <c r="A562" s="18" t="str">
        <f t="shared" ca="1" si="88"/>
        <v>Ma-Res-2026-561</v>
      </c>
      <c r="B562" s="5">
        <v>34</v>
      </c>
      <c r="C562" s="5" t="str">
        <f t="shared" si="89"/>
        <v>30-39</v>
      </c>
      <c r="D562" s="5" t="s">
        <v>43</v>
      </c>
      <c r="E562" s="5" t="s">
        <v>45</v>
      </c>
      <c r="F562" s="5" t="s">
        <v>39</v>
      </c>
      <c r="G562" s="5">
        <v>2</v>
      </c>
      <c r="H562" s="5" t="s">
        <v>53</v>
      </c>
      <c r="I562" s="5" t="s">
        <v>52</v>
      </c>
      <c r="J562" s="7">
        <v>5121</v>
      </c>
      <c r="K562" s="7">
        <f t="shared" si="90"/>
        <v>768.15</v>
      </c>
      <c r="L562" s="7">
        <f t="shared" si="91"/>
        <v>4352.8500000000004</v>
      </c>
      <c r="M562" s="7">
        <v>4187</v>
      </c>
      <c r="N562" s="5" t="s">
        <v>43</v>
      </c>
      <c r="O562" s="5">
        <v>14</v>
      </c>
      <c r="P562" s="7">
        <f t="shared" si="92"/>
        <v>5837.9400000000005</v>
      </c>
      <c r="Q562" s="7">
        <f t="shared" si="93"/>
        <v>8603.2800000000061</v>
      </c>
      <c r="R562" s="7" t="str">
        <f t="shared" si="94"/>
        <v>Normal</v>
      </c>
      <c r="S562" s="5">
        <v>3</v>
      </c>
      <c r="T562" s="5">
        <v>3</v>
      </c>
      <c r="U562" s="5" t="str" cm="1">
        <f t="array" ref="U562">_xlfn.IFS(T562=1,"Poor",T562=2,"Fair",T562=3,"Good",T562=4,"Excellent")</f>
        <v>Good</v>
      </c>
      <c r="V562" s="5" t="s">
        <v>43</v>
      </c>
      <c r="W562" s="5">
        <v>0</v>
      </c>
      <c r="X562" s="28">
        <f t="shared" ca="1" si="95"/>
        <v>46111</v>
      </c>
      <c r="Y562" s="28">
        <f t="shared" ca="1" si="96"/>
        <v>46842</v>
      </c>
      <c r="Z562" s="28" t="str">
        <f t="shared" ca="1" si="97"/>
        <v>Upcoming</v>
      </c>
      <c r="AA562" s="5" t="str" cm="1">
        <f t="array" ref="AA562">_xlfn.IFS(W562&gt;10,"Veteran",W562&gt;=6,"Experienced",W562&gt;=2,"Developing",W562&gt;=0,"New")</f>
        <v>New</v>
      </c>
      <c r="AB562" s="5" t="str" cm="1">
        <f t="array" ref="AB562">_xlfn.IFS(G562=1,"Junior",G562=2,"Mid-Level",G562=3,"Senior",G562=4,"Lead",G562=5,"Principal")&amp;" "&amp;TRIM(PROPER(H562))</f>
        <v>Mid-Level Manufacturing Director</v>
      </c>
      <c r="AC562" s="19" t="str">
        <f t="shared" ca="1" si="98"/>
        <v>Ma-Res-2026-561 is a Mid-Level Manufacturing Director in the Research &amp; Development department, aged 34, divorced and has been with the Company for 0years</v>
      </c>
    </row>
    <row r="563" spans="1:29">
      <c r="A563" s="18" t="str">
        <f t="shared" ca="1" si="88"/>
        <v>Ma-Sal-1992-562</v>
      </c>
      <c r="B563" s="5">
        <v>52</v>
      </c>
      <c r="C563" s="5" t="str">
        <f t="shared" si="89"/>
        <v>50+</v>
      </c>
      <c r="D563" s="5" t="s">
        <v>43</v>
      </c>
      <c r="E563" s="5" t="s">
        <v>37</v>
      </c>
      <c r="F563" s="5" t="s">
        <v>46</v>
      </c>
      <c r="G563" s="5">
        <v>4</v>
      </c>
      <c r="H563" s="5" t="s">
        <v>56</v>
      </c>
      <c r="I563" s="5" t="s">
        <v>48</v>
      </c>
      <c r="J563" s="7">
        <v>16856</v>
      </c>
      <c r="K563" s="7">
        <f t="shared" si="90"/>
        <v>5056.8</v>
      </c>
      <c r="L563" s="7">
        <f t="shared" si="91"/>
        <v>11799.2</v>
      </c>
      <c r="M563" s="7">
        <v>10084</v>
      </c>
      <c r="N563" s="5" t="s">
        <v>43</v>
      </c>
      <c r="O563" s="5">
        <v>11</v>
      </c>
      <c r="P563" s="7">
        <f t="shared" si="92"/>
        <v>18710.16</v>
      </c>
      <c r="Q563" s="7">
        <f t="shared" si="93"/>
        <v>22249.919999999998</v>
      </c>
      <c r="R563" s="7" t="str">
        <f t="shared" si="94"/>
        <v>Normal</v>
      </c>
      <c r="S563" s="5">
        <v>3</v>
      </c>
      <c r="T563" s="5">
        <v>4</v>
      </c>
      <c r="U563" s="5" t="str" cm="1">
        <f t="array" ref="U563">_xlfn.IFS(T563=1,"Poor",T563=2,"Fair",T563=3,"Good",T563=4,"Excellent")</f>
        <v>Excellent</v>
      </c>
      <c r="V563" s="5" t="s">
        <v>43</v>
      </c>
      <c r="W563" s="5">
        <v>34</v>
      </c>
      <c r="X563" s="28">
        <f t="shared" ca="1" si="95"/>
        <v>33693</v>
      </c>
      <c r="Y563" s="28">
        <f t="shared" ca="1" si="96"/>
        <v>46842</v>
      </c>
      <c r="Z563" s="28" t="str">
        <f t="shared" ca="1" si="97"/>
        <v>Upcoming</v>
      </c>
      <c r="AA563" s="5" t="str" cm="1">
        <f t="array" ref="AA563">_xlfn.IFS(W563&gt;10,"Veteran",W563&gt;=6,"Experienced",W563&gt;=2,"Developing",W563&gt;=0,"New")</f>
        <v>Veteran</v>
      </c>
      <c r="AB563" s="5" t="str" cm="1">
        <f t="array" ref="AB563">_xlfn.IFS(G563=1,"Junior",G563=2,"Mid-Level",G563=3,"Senior",G563=4,"Lead",G563=5,"Principal")&amp;" "&amp;TRIM(PROPER(H563))</f>
        <v>Lead Manager</v>
      </c>
      <c r="AC563" s="19" t="str">
        <f t="shared" ca="1" si="98"/>
        <v>Ma-Sal-1992-562 is a Lead Manager in the Sales department, aged 52, married and has been with the Company for 34years</v>
      </c>
    </row>
    <row r="564" spans="1:29">
      <c r="A564" s="18" t="str">
        <f t="shared" ca="1" si="88"/>
        <v>Re-Res-2016-563</v>
      </c>
      <c r="B564" s="5">
        <v>33</v>
      </c>
      <c r="C564" s="5" t="str">
        <f t="shared" si="89"/>
        <v>30-39</v>
      </c>
      <c r="D564" s="5" t="s">
        <v>35</v>
      </c>
      <c r="E564" s="5" t="s">
        <v>45</v>
      </c>
      <c r="F564" s="5" t="s">
        <v>46</v>
      </c>
      <c r="G564" s="5">
        <v>1</v>
      </c>
      <c r="H564" s="5" t="s">
        <v>47</v>
      </c>
      <c r="I564" s="5" t="s">
        <v>41</v>
      </c>
      <c r="J564" s="7">
        <v>2686</v>
      </c>
      <c r="K564" s="7">
        <f t="shared" si="90"/>
        <v>188.02</v>
      </c>
      <c r="L564" s="7">
        <f t="shared" si="91"/>
        <v>2497.98</v>
      </c>
      <c r="M564" s="7">
        <v>5207</v>
      </c>
      <c r="N564" s="5" t="s">
        <v>35</v>
      </c>
      <c r="O564" s="5">
        <v>13</v>
      </c>
      <c r="P564" s="7">
        <f t="shared" si="92"/>
        <v>3035.18</v>
      </c>
      <c r="Q564" s="7">
        <f t="shared" si="93"/>
        <v>4190.159999999998</v>
      </c>
      <c r="R564" s="7" t="str">
        <f t="shared" si="94"/>
        <v>Normal</v>
      </c>
      <c r="S564" s="5">
        <v>3</v>
      </c>
      <c r="T564" s="5">
        <v>2</v>
      </c>
      <c r="U564" s="5" t="str" cm="1">
        <f t="array" ref="U564">_xlfn.IFS(T564=1,"Poor",T564=2,"Fair",T564=3,"Good",T564=4,"Excellent")</f>
        <v>Fair</v>
      </c>
      <c r="V564" s="5" t="s">
        <v>35</v>
      </c>
      <c r="W564" s="5">
        <v>10</v>
      </c>
      <c r="X564" s="28">
        <f t="shared" ca="1" si="95"/>
        <v>42459</v>
      </c>
      <c r="Y564" s="28">
        <f t="shared" ca="1" si="96"/>
        <v>46842</v>
      </c>
      <c r="Z564" s="28" t="str">
        <f t="shared" ca="1" si="97"/>
        <v>Upcoming</v>
      </c>
      <c r="AA564" s="5" t="str" cm="1">
        <f t="array" ref="AA564">_xlfn.IFS(W564&gt;10,"Veteran",W564&gt;=6,"Experienced",W564&gt;=2,"Developing",W564&gt;=0,"New")</f>
        <v>Experienced</v>
      </c>
      <c r="AB564" s="5" t="str" cm="1">
        <f t="array" ref="AB564">_xlfn.IFS(G564=1,"Junior",G564=2,"Mid-Level",G564=3,"Senior",G564=4,"Lead",G564=5,"Principal")&amp;" "&amp;TRIM(PROPER(H564))</f>
        <v>Junior Research Scientist</v>
      </c>
      <c r="AC564" s="19" t="str">
        <f t="shared" ca="1" si="98"/>
        <v>Re-Res-2016-563 is a Junior Research Scientist in the Research &amp; Development department, aged 33, single and has been with the Company for 10years</v>
      </c>
    </row>
    <row r="565" spans="1:29">
      <c r="A565" s="18" t="str">
        <f t="shared" ca="1" si="88"/>
        <v>Sa-Sal-2020-564</v>
      </c>
      <c r="B565" s="5">
        <v>25</v>
      </c>
      <c r="C565" s="5" t="str">
        <f t="shared" si="89"/>
        <v>20-29</v>
      </c>
      <c r="D565" s="5" t="s">
        <v>43</v>
      </c>
      <c r="E565" s="5" t="s">
        <v>37</v>
      </c>
      <c r="F565" s="5" t="s">
        <v>39</v>
      </c>
      <c r="G565" s="5">
        <v>2</v>
      </c>
      <c r="H565" s="5" t="s">
        <v>40</v>
      </c>
      <c r="I565" s="5" t="s">
        <v>41</v>
      </c>
      <c r="J565" s="7">
        <v>6180</v>
      </c>
      <c r="K565" s="7">
        <f t="shared" si="90"/>
        <v>927</v>
      </c>
      <c r="L565" s="7">
        <f t="shared" si="91"/>
        <v>5253</v>
      </c>
      <c r="M565" s="7">
        <v>22807</v>
      </c>
      <c r="N565" s="5" t="s">
        <v>43</v>
      </c>
      <c r="O565" s="5">
        <v>23</v>
      </c>
      <c r="P565" s="7">
        <f t="shared" si="92"/>
        <v>7601.4</v>
      </c>
      <c r="Q565" s="7">
        <f t="shared" si="93"/>
        <v>17056.799999999996</v>
      </c>
      <c r="R565" s="7" t="str">
        <f t="shared" si="94"/>
        <v>Normal</v>
      </c>
      <c r="S565" s="5">
        <v>4</v>
      </c>
      <c r="T565" s="5">
        <v>2</v>
      </c>
      <c r="U565" s="5" t="str" cm="1">
        <f t="array" ref="U565">_xlfn.IFS(T565=1,"Poor",T565=2,"Fair",T565=3,"Good",T565=4,"Excellent")</f>
        <v>Fair</v>
      </c>
      <c r="V565" s="5" t="s">
        <v>43</v>
      </c>
      <c r="W565" s="5">
        <v>6</v>
      </c>
      <c r="X565" s="28">
        <f t="shared" ca="1" si="95"/>
        <v>43920</v>
      </c>
      <c r="Y565" s="28">
        <f t="shared" ca="1" si="96"/>
        <v>46842</v>
      </c>
      <c r="Z565" s="28" t="str">
        <f t="shared" ca="1" si="97"/>
        <v>Upcoming</v>
      </c>
      <c r="AA565" s="5" t="str" cm="1">
        <f t="array" ref="AA565">_xlfn.IFS(W565&gt;10,"Veteran",W565&gt;=6,"Experienced",W565&gt;=2,"Developing",W565&gt;=0,"New")</f>
        <v>Experienced</v>
      </c>
      <c r="AB565" s="5" t="str" cm="1">
        <f t="array" ref="AB565">_xlfn.IFS(G565=1,"Junior",G565=2,"Mid-Level",G565=3,"Senior",G565=4,"Lead",G565=5,"Principal")&amp;" "&amp;TRIM(PROPER(H565))</f>
        <v>Mid-Level Sales Executive</v>
      </c>
      <c r="AC565" s="19" t="str">
        <f t="shared" ca="1" si="98"/>
        <v>Sa-Sal-2020-564 is a Mid-Level Sales Executive in the Sales department, aged 25, single and has been with the Company for 6years</v>
      </c>
    </row>
    <row r="566" spans="1:29">
      <c r="A566" s="18" t="str">
        <f t="shared" ca="1" si="88"/>
        <v>Sa-Sal-2018-565</v>
      </c>
      <c r="B566" s="5">
        <v>45</v>
      </c>
      <c r="C566" s="5" t="str">
        <f t="shared" si="89"/>
        <v>40-49</v>
      </c>
      <c r="D566" s="5" t="s">
        <v>43</v>
      </c>
      <c r="E566" s="5" t="s">
        <v>37</v>
      </c>
      <c r="F566" s="5" t="s">
        <v>46</v>
      </c>
      <c r="G566" s="5">
        <v>2</v>
      </c>
      <c r="H566" s="5" t="s">
        <v>57</v>
      </c>
      <c r="I566" s="5" t="s">
        <v>41</v>
      </c>
      <c r="J566" s="7">
        <v>6632</v>
      </c>
      <c r="K566" s="7">
        <f t="shared" si="90"/>
        <v>994.8</v>
      </c>
      <c r="L566" s="7">
        <f t="shared" si="91"/>
        <v>5637.2</v>
      </c>
      <c r="M566" s="7">
        <v>12388</v>
      </c>
      <c r="N566" s="5" t="s">
        <v>43</v>
      </c>
      <c r="O566" s="5">
        <v>13</v>
      </c>
      <c r="P566" s="7">
        <f t="shared" si="92"/>
        <v>7494.1599999999989</v>
      </c>
      <c r="Q566" s="7">
        <f t="shared" si="93"/>
        <v>10345.919999999987</v>
      </c>
      <c r="R566" s="7" t="str">
        <f t="shared" si="94"/>
        <v>Normal</v>
      </c>
      <c r="S566" s="5">
        <v>3</v>
      </c>
      <c r="T566" s="5">
        <v>3</v>
      </c>
      <c r="U566" s="5" t="str" cm="1">
        <f t="array" ref="U566">_xlfn.IFS(T566=1,"Poor",T566=2,"Fair",T566=3,"Good",T566=4,"Excellent")</f>
        <v>Good</v>
      </c>
      <c r="V566" s="5" t="s">
        <v>43</v>
      </c>
      <c r="W566" s="5">
        <v>8</v>
      </c>
      <c r="X566" s="28">
        <f t="shared" ca="1" si="95"/>
        <v>43189</v>
      </c>
      <c r="Y566" s="28">
        <f t="shared" ca="1" si="96"/>
        <v>46842</v>
      </c>
      <c r="Z566" s="28" t="str">
        <f t="shared" ca="1" si="97"/>
        <v>Upcoming</v>
      </c>
      <c r="AA566" s="5" t="str" cm="1">
        <f t="array" ref="AA566">_xlfn.IFS(W566&gt;10,"Veteran",W566&gt;=6,"Experienced",W566&gt;=2,"Developing",W566&gt;=0,"New")</f>
        <v>Experienced</v>
      </c>
      <c r="AB566" s="5" t="str" cm="1">
        <f t="array" ref="AB566">_xlfn.IFS(G566=1,"Junior",G566=2,"Mid-Level",G566=3,"Senior",G566=4,"Lead",G566=5,"Principal")&amp;" "&amp;TRIM(PROPER(H566))</f>
        <v>Mid-Level Sales Representative</v>
      </c>
      <c r="AC566" s="19" t="str">
        <f t="shared" ca="1" si="98"/>
        <v>Sa-Sal-2018-565 is a Mid-Level Sales Representative in the Sales department, aged 45, single and has been with the Company for 8years</v>
      </c>
    </row>
    <row r="567" spans="1:29">
      <c r="A567" s="18" t="str">
        <f t="shared" ca="1" si="88"/>
        <v>Re-Res-2024-566</v>
      </c>
      <c r="B567" s="5">
        <v>23</v>
      </c>
      <c r="C567" s="5" t="str">
        <f t="shared" si="89"/>
        <v>20-29</v>
      </c>
      <c r="D567" s="5" t="s">
        <v>43</v>
      </c>
      <c r="E567" s="5" t="s">
        <v>45</v>
      </c>
      <c r="F567" s="5" t="s">
        <v>46</v>
      </c>
      <c r="G567" s="5">
        <v>1</v>
      </c>
      <c r="H567" s="5" t="s">
        <v>47</v>
      </c>
      <c r="I567" s="5" t="s">
        <v>41</v>
      </c>
      <c r="J567" s="7">
        <v>3505</v>
      </c>
      <c r="K567" s="7">
        <f t="shared" si="90"/>
        <v>525.75</v>
      </c>
      <c r="L567" s="7">
        <f t="shared" si="91"/>
        <v>2979.25</v>
      </c>
      <c r="M567" s="7">
        <v>19630</v>
      </c>
      <c r="N567" s="5" t="s">
        <v>43</v>
      </c>
      <c r="O567" s="5">
        <v>18</v>
      </c>
      <c r="P567" s="7">
        <f t="shared" si="92"/>
        <v>4135.8999999999996</v>
      </c>
      <c r="Q567" s="7">
        <f t="shared" si="93"/>
        <v>7570.7999999999956</v>
      </c>
      <c r="R567" s="7" t="str">
        <f t="shared" si="94"/>
        <v>Normal</v>
      </c>
      <c r="S567" s="5">
        <v>3</v>
      </c>
      <c r="T567" s="5">
        <v>3</v>
      </c>
      <c r="U567" s="5" t="str" cm="1">
        <f t="array" ref="U567">_xlfn.IFS(T567=1,"Poor",T567=2,"Fair",T567=3,"Good",T567=4,"Excellent")</f>
        <v>Good</v>
      </c>
      <c r="V567" s="5" t="s">
        <v>43</v>
      </c>
      <c r="W567" s="5">
        <v>2</v>
      </c>
      <c r="X567" s="28">
        <f t="shared" ca="1" si="95"/>
        <v>45381</v>
      </c>
      <c r="Y567" s="28">
        <f t="shared" ca="1" si="96"/>
        <v>46842</v>
      </c>
      <c r="Z567" s="28" t="str">
        <f t="shared" ca="1" si="97"/>
        <v>Upcoming</v>
      </c>
      <c r="AA567" s="5" t="str" cm="1">
        <f t="array" ref="AA567">_xlfn.IFS(W567&gt;10,"Veteran",W567&gt;=6,"Experienced",W567&gt;=2,"Developing",W567&gt;=0,"New")</f>
        <v>Developing</v>
      </c>
      <c r="AB567" s="5" t="str" cm="1">
        <f t="array" ref="AB567">_xlfn.IFS(G567=1,"Junior",G567=2,"Mid-Level",G567=3,"Senior",G567=4,"Lead",G567=5,"Principal")&amp;" "&amp;TRIM(PROPER(H567))</f>
        <v>Junior Research Scientist</v>
      </c>
      <c r="AC567" s="19" t="str">
        <f t="shared" ca="1" si="98"/>
        <v>Re-Res-2024-566 is a Junior Research Scientist in the Research &amp; Development department, aged 23, single and has been with the Company for 2years</v>
      </c>
    </row>
    <row r="568" spans="1:29">
      <c r="A568" s="18" t="str">
        <f t="shared" ca="1" si="88"/>
        <v>Sa-Sal-2021-567</v>
      </c>
      <c r="B568" s="5">
        <v>47</v>
      </c>
      <c r="C568" s="5" t="str">
        <f t="shared" si="89"/>
        <v>40-49</v>
      </c>
      <c r="D568" s="5" t="s">
        <v>35</v>
      </c>
      <c r="E568" s="5" t="s">
        <v>37</v>
      </c>
      <c r="F568" s="5" t="s">
        <v>39</v>
      </c>
      <c r="G568" s="5">
        <v>2</v>
      </c>
      <c r="H568" s="5" t="s">
        <v>40</v>
      </c>
      <c r="I568" s="5" t="s">
        <v>41</v>
      </c>
      <c r="J568" s="7">
        <v>6397</v>
      </c>
      <c r="K568" s="7">
        <f t="shared" si="90"/>
        <v>959.55</v>
      </c>
      <c r="L568" s="7">
        <f t="shared" si="91"/>
        <v>5437.45</v>
      </c>
      <c r="M568" s="7">
        <v>10339</v>
      </c>
      <c r="N568" s="5" t="s">
        <v>35</v>
      </c>
      <c r="O568" s="5">
        <v>12</v>
      </c>
      <c r="P568" s="7">
        <f t="shared" si="92"/>
        <v>7164.64</v>
      </c>
      <c r="Q568" s="7">
        <f t="shared" si="93"/>
        <v>9211.6800000000039</v>
      </c>
      <c r="R568" s="7" t="str">
        <f t="shared" si="94"/>
        <v>Normal</v>
      </c>
      <c r="S568" s="5">
        <v>3</v>
      </c>
      <c r="T568" s="5">
        <v>3</v>
      </c>
      <c r="U568" s="5" t="str" cm="1">
        <f t="array" ref="U568">_xlfn.IFS(T568=1,"Poor",T568=2,"Fair",T568=3,"Good",T568=4,"Excellent")</f>
        <v>Good</v>
      </c>
      <c r="V568" s="5" t="s">
        <v>35</v>
      </c>
      <c r="W568" s="5">
        <v>5</v>
      </c>
      <c r="X568" s="28">
        <f t="shared" ca="1" si="95"/>
        <v>44285</v>
      </c>
      <c r="Y568" s="28">
        <f t="shared" ca="1" si="96"/>
        <v>46476</v>
      </c>
      <c r="Z568" s="28" t="str">
        <f t="shared" ca="1" si="97"/>
        <v>Due Soon</v>
      </c>
      <c r="AA568" s="5" t="str" cm="1">
        <f t="array" ref="AA568">_xlfn.IFS(W568&gt;10,"Veteran",W568&gt;=6,"Experienced",W568&gt;=2,"Developing",W568&gt;=0,"New")</f>
        <v>Developing</v>
      </c>
      <c r="AB568" s="5" t="str" cm="1">
        <f t="array" ref="AB568">_xlfn.IFS(G568=1,"Junior",G568=2,"Mid-Level",G568=3,"Senior",G568=4,"Lead",G568=5,"Principal")&amp;" "&amp;TRIM(PROPER(H568))</f>
        <v>Mid-Level Sales Executive</v>
      </c>
      <c r="AC568" s="19" t="str">
        <f t="shared" ca="1" si="98"/>
        <v>Sa-Sal-2021-567 is a Mid-Level Sales Executive in the Sales department, aged 47, single and has been with the Company for 5years</v>
      </c>
    </row>
    <row r="569" spans="1:29">
      <c r="A569" s="18" t="str">
        <f t="shared" ca="1" si="88"/>
        <v>Sa-Sal-2020-568</v>
      </c>
      <c r="B569" s="5">
        <v>34</v>
      </c>
      <c r="C569" s="5" t="str">
        <f t="shared" si="89"/>
        <v>30-39</v>
      </c>
      <c r="D569" s="5" t="s">
        <v>43</v>
      </c>
      <c r="E569" s="5" t="s">
        <v>37</v>
      </c>
      <c r="F569" s="5" t="s">
        <v>46</v>
      </c>
      <c r="G569" s="5">
        <v>2</v>
      </c>
      <c r="H569" s="5" t="s">
        <v>40</v>
      </c>
      <c r="I569" s="5" t="s">
        <v>41</v>
      </c>
      <c r="J569" s="7">
        <v>6274</v>
      </c>
      <c r="K569" s="7">
        <f t="shared" si="90"/>
        <v>941.09999999999991</v>
      </c>
      <c r="L569" s="7">
        <f t="shared" si="91"/>
        <v>5332.9</v>
      </c>
      <c r="M569" s="7">
        <v>18686</v>
      </c>
      <c r="N569" s="5" t="s">
        <v>43</v>
      </c>
      <c r="O569" s="5">
        <v>22</v>
      </c>
      <c r="P569" s="7">
        <f t="shared" si="92"/>
        <v>7654.28</v>
      </c>
      <c r="Q569" s="7">
        <f t="shared" si="93"/>
        <v>16563.359999999997</v>
      </c>
      <c r="R569" s="7" t="str">
        <f t="shared" si="94"/>
        <v>Normal</v>
      </c>
      <c r="S569" s="5">
        <v>4</v>
      </c>
      <c r="T569" s="5">
        <v>3</v>
      </c>
      <c r="U569" s="5" t="str" cm="1">
        <f t="array" ref="U569">_xlfn.IFS(T569=1,"Poor",T569=2,"Fair",T569=3,"Good",T569=4,"Excellent")</f>
        <v>Good</v>
      </c>
      <c r="V569" s="5" t="s">
        <v>43</v>
      </c>
      <c r="W569" s="5">
        <v>6</v>
      </c>
      <c r="X569" s="28">
        <f t="shared" ca="1" si="95"/>
        <v>43920</v>
      </c>
      <c r="Y569" s="28">
        <f t="shared" ca="1" si="96"/>
        <v>46842</v>
      </c>
      <c r="Z569" s="28" t="str">
        <f t="shared" ca="1" si="97"/>
        <v>Upcoming</v>
      </c>
      <c r="AA569" s="5" t="str" cm="1">
        <f t="array" ref="AA569">_xlfn.IFS(W569&gt;10,"Veteran",W569&gt;=6,"Experienced",W569&gt;=2,"Developing",W569&gt;=0,"New")</f>
        <v>Experienced</v>
      </c>
      <c r="AB569" s="5" t="str" cm="1">
        <f t="array" ref="AB569">_xlfn.IFS(G569=1,"Junior",G569=2,"Mid-Level",G569=3,"Senior",G569=4,"Lead",G569=5,"Principal")&amp;" "&amp;TRIM(PROPER(H569))</f>
        <v>Mid-Level Sales Executive</v>
      </c>
      <c r="AC569" s="19" t="str">
        <f t="shared" ca="1" si="98"/>
        <v>Sa-Sal-2020-568 is a Mid-Level Sales Executive in the Sales department, aged 34, single and has been with the Company for 6years</v>
      </c>
    </row>
    <row r="570" spans="1:29">
      <c r="A570" s="18" t="str">
        <f t="shared" ca="1" si="88"/>
        <v>Ma-Res-2021-569</v>
      </c>
      <c r="B570" s="5">
        <v>55</v>
      </c>
      <c r="C570" s="5" t="str">
        <f t="shared" si="89"/>
        <v>50+</v>
      </c>
      <c r="D570" s="5" t="s">
        <v>35</v>
      </c>
      <c r="E570" s="5" t="s">
        <v>45</v>
      </c>
      <c r="F570" s="5" t="s">
        <v>46</v>
      </c>
      <c r="G570" s="5">
        <v>5</v>
      </c>
      <c r="H570" s="5" t="s">
        <v>56</v>
      </c>
      <c r="I570" s="5" t="s">
        <v>48</v>
      </c>
      <c r="J570" s="7">
        <v>19859</v>
      </c>
      <c r="K570" s="7">
        <f t="shared" si="90"/>
        <v>5957.7</v>
      </c>
      <c r="L570" s="7">
        <f t="shared" si="91"/>
        <v>13901.3</v>
      </c>
      <c r="M570" s="7">
        <v>21199</v>
      </c>
      <c r="N570" s="5" t="s">
        <v>35</v>
      </c>
      <c r="O570" s="5">
        <v>13</v>
      </c>
      <c r="P570" s="7">
        <f t="shared" si="92"/>
        <v>22440.67</v>
      </c>
      <c r="Q570" s="7">
        <f t="shared" si="93"/>
        <v>30980.039999999979</v>
      </c>
      <c r="R570" s="7" t="str">
        <f t="shared" si="94"/>
        <v>Normal</v>
      </c>
      <c r="S570" s="5">
        <v>3</v>
      </c>
      <c r="T570" s="5">
        <v>3</v>
      </c>
      <c r="U570" s="5" t="str" cm="1">
        <f t="array" ref="U570">_xlfn.IFS(T570=1,"Poor",T570=2,"Fair",T570=3,"Good",T570=4,"Excellent")</f>
        <v>Good</v>
      </c>
      <c r="V570" s="5" t="s">
        <v>35</v>
      </c>
      <c r="W570" s="5">
        <v>5</v>
      </c>
      <c r="X570" s="28">
        <f t="shared" ca="1" si="95"/>
        <v>44285</v>
      </c>
      <c r="Y570" s="28">
        <f t="shared" ca="1" si="96"/>
        <v>46476</v>
      </c>
      <c r="Z570" s="28" t="str">
        <f t="shared" ca="1" si="97"/>
        <v>Due Soon</v>
      </c>
      <c r="AA570" s="5" t="str" cm="1">
        <f t="array" ref="AA570">_xlfn.IFS(W570&gt;10,"Veteran",W570&gt;=6,"Experienced",W570&gt;=2,"Developing",W570&gt;=0,"New")</f>
        <v>Developing</v>
      </c>
      <c r="AB570" s="5" t="str" cm="1">
        <f t="array" ref="AB570">_xlfn.IFS(G570=1,"Junior",G570=2,"Mid-Level",G570=3,"Senior",G570=4,"Lead",G570=5,"Principal")&amp;" "&amp;TRIM(PROPER(H570))</f>
        <v>Principal Manager</v>
      </c>
      <c r="AC570" s="19" t="str">
        <f t="shared" ca="1" si="98"/>
        <v>Ma-Res-2021-569 is a Principal Manager in the Research &amp; Development department, aged 55, married and has been with the Company for 5years</v>
      </c>
    </row>
    <row r="571" spans="1:29">
      <c r="A571" s="18" t="str">
        <f t="shared" ca="1" si="88"/>
        <v>Sa-Sal-2016-570</v>
      </c>
      <c r="B571" s="5">
        <v>36</v>
      </c>
      <c r="C571" s="5" t="str">
        <f t="shared" si="89"/>
        <v>30-39</v>
      </c>
      <c r="D571" s="5" t="s">
        <v>43</v>
      </c>
      <c r="E571" s="5" t="s">
        <v>37</v>
      </c>
      <c r="F571" s="5" t="s">
        <v>46</v>
      </c>
      <c r="G571" s="5">
        <v>3</v>
      </c>
      <c r="H571" s="5" t="s">
        <v>40</v>
      </c>
      <c r="I571" s="5" t="s">
        <v>41</v>
      </c>
      <c r="J571" s="7">
        <v>7587</v>
      </c>
      <c r="K571" s="7">
        <f t="shared" si="90"/>
        <v>1669.14</v>
      </c>
      <c r="L571" s="7">
        <f t="shared" si="91"/>
        <v>5917.86</v>
      </c>
      <c r="M571" s="7">
        <v>14229</v>
      </c>
      <c r="N571" s="5" t="s">
        <v>43</v>
      </c>
      <c r="O571" s="5">
        <v>15</v>
      </c>
      <c r="P571" s="7">
        <f t="shared" si="92"/>
        <v>8725.0499999999993</v>
      </c>
      <c r="Q571" s="7">
        <f t="shared" si="93"/>
        <v>13656.599999999991</v>
      </c>
      <c r="R571" s="7" t="str">
        <f t="shared" si="94"/>
        <v>Normal</v>
      </c>
      <c r="S571" s="5">
        <v>3</v>
      </c>
      <c r="T571" s="5">
        <v>3</v>
      </c>
      <c r="U571" s="5" t="str" cm="1">
        <f t="array" ref="U571">_xlfn.IFS(T571=1,"Poor",T571=2,"Fair",T571=3,"Good",T571=4,"Excellent")</f>
        <v>Good</v>
      </c>
      <c r="V571" s="5" t="s">
        <v>43</v>
      </c>
      <c r="W571" s="5">
        <v>10</v>
      </c>
      <c r="X571" s="28">
        <f t="shared" ca="1" si="95"/>
        <v>42459</v>
      </c>
      <c r="Y571" s="28">
        <f t="shared" ca="1" si="96"/>
        <v>46842</v>
      </c>
      <c r="Z571" s="28" t="str">
        <f t="shared" ca="1" si="97"/>
        <v>Upcoming</v>
      </c>
      <c r="AA571" s="5" t="str" cm="1">
        <f t="array" ref="AA571">_xlfn.IFS(W571&gt;10,"Veteran",W571&gt;=6,"Experienced",W571&gt;=2,"Developing",W571&gt;=0,"New")</f>
        <v>Experienced</v>
      </c>
      <c r="AB571" s="5" t="str" cm="1">
        <f t="array" ref="AB571">_xlfn.IFS(G571=1,"Junior",G571=2,"Mid-Level",G571=3,"Senior",G571=4,"Lead",G571=5,"Principal")&amp;" "&amp;TRIM(PROPER(H571))</f>
        <v>Senior Sales Executive</v>
      </c>
      <c r="AC571" s="19" t="str">
        <f t="shared" ca="1" si="98"/>
        <v>Sa-Sal-2016-570 is a Senior Sales Executive in the Sales department, aged 36, single and has been with the Company for 10years</v>
      </c>
    </row>
    <row r="572" spans="1:29">
      <c r="A572" s="18" t="str">
        <f t="shared" ca="1" si="88"/>
        <v>Re-Res-2022-571</v>
      </c>
      <c r="B572" s="5">
        <v>52</v>
      </c>
      <c r="C572" s="5" t="str">
        <f t="shared" si="89"/>
        <v>50+</v>
      </c>
      <c r="D572" s="5" t="s">
        <v>43</v>
      </c>
      <c r="E572" s="5" t="s">
        <v>45</v>
      </c>
      <c r="F572" s="5" t="s">
        <v>46</v>
      </c>
      <c r="G572" s="5">
        <v>1</v>
      </c>
      <c r="H572" s="5" t="s">
        <v>47</v>
      </c>
      <c r="I572" s="5" t="s">
        <v>48</v>
      </c>
      <c r="J572" s="7">
        <v>4258</v>
      </c>
      <c r="K572" s="7">
        <f t="shared" si="90"/>
        <v>638.69999999999993</v>
      </c>
      <c r="L572" s="7">
        <f t="shared" si="91"/>
        <v>3619.3</v>
      </c>
      <c r="M572" s="7">
        <v>26589</v>
      </c>
      <c r="N572" s="5" t="s">
        <v>43</v>
      </c>
      <c r="O572" s="5">
        <v>18</v>
      </c>
      <c r="P572" s="7">
        <f t="shared" si="92"/>
        <v>5024.4399999999996</v>
      </c>
      <c r="Q572" s="7">
        <f t="shared" si="93"/>
        <v>9197.2799999999952</v>
      </c>
      <c r="R572" s="7" t="str">
        <f t="shared" si="94"/>
        <v>Normal</v>
      </c>
      <c r="S572" s="5">
        <v>3</v>
      </c>
      <c r="T572" s="5">
        <v>3</v>
      </c>
      <c r="U572" s="5" t="str" cm="1">
        <f t="array" ref="U572">_xlfn.IFS(T572=1,"Poor",T572=2,"Fair",T572=3,"Good",T572=4,"Excellent")</f>
        <v>Good</v>
      </c>
      <c r="V572" s="5" t="s">
        <v>43</v>
      </c>
      <c r="W572" s="5">
        <v>4</v>
      </c>
      <c r="X572" s="28">
        <f t="shared" ca="1" si="95"/>
        <v>44650</v>
      </c>
      <c r="Y572" s="28">
        <f t="shared" ca="1" si="96"/>
        <v>46842</v>
      </c>
      <c r="Z572" s="28" t="str">
        <f t="shared" ca="1" si="97"/>
        <v>Upcoming</v>
      </c>
      <c r="AA572" s="5" t="str" cm="1">
        <f t="array" ref="AA572">_xlfn.IFS(W572&gt;10,"Veteran",W572&gt;=6,"Experienced",W572&gt;=2,"Developing",W572&gt;=0,"New")</f>
        <v>Developing</v>
      </c>
      <c r="AB572" s="5" t="str" cm="1">
        <f t="array" ref="AB572">_xlfn.IFS(G572=1,"Junior",G572=2,"Mid-Level",G572=3,"Senior",G572=4,"Lead",G572=5,"Principal")&amp;" "&amp;TRIM(PROPER(H572))</f>
        <v>Junior Research Scientist</v>
      </c>
      <c r="AC572" s="19" t="str">
        <f t="shared" ca="1" si="98"/>
        <v>Re-Res-2022-571 is a Junior Research Scientist in the Research &amp; Development department, aged 52, married and has been with the Company for 4years</v>
      </c>
    </row>
    <row r="573" spans="1:29">
      <c r="A573" s="18" t="str">
        <f t="shared" ca="1" si="88"/>
        <v>La-Res-2024-572</v>
      </c>
      <c r="B573" s="5">
        <v>26</v>
      </c>
      <c r="C573" s="5" t="str">
        <f t="shared" si="89"/>
        <v>20-29</v>
      </c>
      <c r="D573" s="5" t="s">
        <v>43</v>
      </c>
      <c r="E573" s="5" t="s">
        <v>45</v>
      </c>
      <c r="F573" s="5" t="s">
        <v>39</v>
      </c>
      <c r="G573" s="5">
        <v>1</v>
      </c>
      <c r="H573" s="5" t="s">
        <v>50</v>
      </c>
      <c r="I573" s="5" t="s">
        <v>52</v>
      </c>
      <c r="J573" s="7">
        <v>4364</v>
      </c>
      <c r="K573" s="7">
        <f t="shared" si="90"/>
        <v>654.6</v>
      </c>
      <c r="L573" s="7">
        <f t="shared" si="91"/>
        <v>3709.4</v>
      </c>
      <c r="M573" s="7">
        <v>5288</v>
      </c>
      <c r="N573" s="5" t="s">
        <v>43</v>
      </c>
      <c r="O573" s="5">
        <v>14</v>
      </c>
      <c r="P573" s="7">
        <f t="shared" si="92"/>
        <v>4974.9600000000009</v>
      </c>
      <c r="Q573" s="7">
        <f t="shared" si="93"/>
        <v>7331.5200000000114</v>
      </c>
      <c r="R573" s="7" t="str">
        <f t="shared" si="94"/>
        <v>Normal</v>
      </c>
      <c r="S573" s="5">
        <v>3</v>
      </c>
      <c r="T573" s="5">
        <v>3</v>
      </c>
      <c r="U573" s="5" t="str" cm="1">
        <f t="array" ref="U573">_xlfn.IFS(T573=1,"Poor",T573=2,"Fair",T573=3,"Good",T573=4,"Excellent")</f>
        <v>Good</v>
      </c>
      <c r="V573" s="5" t="s">
        <v>43</v>
      </c>
      <c r="W573" s="5">
        <v>2</v>
      </c>
      <c r="X573" s="28">
        <f t="shared" ca="1" si="95"/>
        <v>45381</v>
      </c>
      <c r="Y573" s="28">
        <f t="shared" ca="1" si="96"/>
        <v>46842</v>
      </c>
      <c r="Z573" s="28" t="str">
        <f t="shared" ca="1" si="97"/>
        <v>Upcoming</v>
      </c>
      <c r="AA573" s="5" t="str" cm="1">
        <f t="array" ref="AA573">_xlfn.IFS(W573&gt;10,"Veteran",W573&gt;=6,"Experienced",W573&gt;=2,"Developing",W573&gt;=0,"New")</f>
        <v>Developing</v>
      </c>
      <c r="AB573" s="5" t="str" cm="1">
        <f t="array" ref="AB573">_xlfn.IFS(G573=1,"Junior",G573=2,"Mid-Level",G573=3,"Senior",G573=4,"Lead",G573=5,"Principal")&amp;" "&amp;TRIM(PROPER(H573))</f>
        <v>Junior Laboratory Technician</v>
      </c>
      <c r="AC573" s="19" t="str">
        <f t="shared" ca="1" si="98"/>
        <v>La-Res-2024-572 is a Junior Laboratory Technician in the Research &amp; Development department, aged 26, divorced and has been with the Company for 2years</v>
      </c>
    </row>
    <row r="574" spans="1:29">
      <c r="A574" s="18" t="str">
        <f t="shared" ca="1" si="88"/>
        <v>He-Res-2018-573</v>
      </c>
      <c r="B574" s="5">
        <v>29</v>
      </c>
      <c r="C574" s="5" t="str">
        <f t="shared" si="89"/>
        <v>20-29</v>
      </c>
      <c r="D574" s="5" t="s">
        <v>43</v>
      </c>
      <c r="E574" s="5" t="s">
        <v>45</v>
      </c>
      <c r="F574" s="5" t="s">
        <v>39</v>
      </c>
      <c r="G574" s="5">
        <v>2</v>
      </c>
      <c r="H574" s="5" t="s">
        <v>54</v>
      </c>
      <c r="I574" s="5" t="s">
        <v>48</v>
      </c>
      <c r="J574" s="7">
        <v>4335</v>
      </c>
      <c r="K574" s="7">
        <f t="shared" si="90"/>
        <v>650.25</v>
      </c>
      <c r="L574" s="7">
        <f t="shared" si="91"/>
        <v>3684.75</v>
      </c>
      <c r="M574" s="7">
        <v>25549</v>
      </c>
      <c r="N574" s="5" t="s">
        <v>43</v>
      </c>
      <c r="O574" s="5">
        <v>12</v>
      </c>
      <c r="P574" s="7">
        <f t="shared" si="92"/>
        <v>4855.2000000000007</v>
      </c>
      <c r="Q574" s="7">
        <f t="shared" si="93"/>
        <v>6242.4000000000087</v>
      </c>
      <c r="R574" s="7" t="str">
        <f t="shared" si="94"/>
        <v>Normal</v>
      </c>
      <c r="S574" s="5">
        <v>3</v>
      </c>
      <c r="T574" s="5">
        <v>2</v>
      </c>
      <c r="U574" s="5" t="str" cm="1">
        <f t="array" ref="U574">_xlfn.IFS(T574=1,"Poor",T574=2,"Fair",T574=3,"Good",T574=4,"Excellent")</f>
        <v>Fair</v>
      </c>
      <c r="V574" s="5" t="s">
        <v>43</v>
      </c>
      <c r="W574" s="5">
        <v>8</v>
      </c>
      <c r="X574" s="28">
        <f t="shared" ca="1" si="95"/>
        <v>43189</v>
      </c>
      <c r="Y574" s="28">
        <f t="shared" ca="1" si="96"/>
        <v>46842</v>
      </c>
      <c r="Z574" s="28" t="str">
        <f t="shared" ca="1" si="97"/>
        <v>Upcoming</v>
      </c>
      <c r="AA574" s="5" t="str" cm="1">
        <f t="array" ref="AA574">_xlfn.IFS(W574&gt;10,"Veteran",W574&gt;=6,"Experienced",W574&gt;=2,"Developing",W574&gt;=0,"New")</f>
        <v>Experienced</v>
      </c>
      <c r="AB574" s="5" t="str" cm="1">
        <f t="array" ref="AB574">_xlfn.IFS(G574=1,"Junior",G574=2,"Mid-Level",G574=3,"Senior",G574=4,"Lead",G574=5,"Principal")&amp;" "&amp;TRIM(PROPER(H574))</f>
        <v>Mid-Level Healthcare Representative</v>
      </c>
      <c r="AC574" s="19" t="str">
        <f t="shared" ca="1" si="98"/>
        <v>He-Res-2018-573 is a Mid-Level Healthcare Representative in the Research &amp; Development department, aged 29, married and has been with the Company for 8years</v>
      </c>
    </row>
    <row r="575" spans="1:29">
      <c r="A575" s="18" t="str">
        <f t="shared" ca="1" si="88"/>
        <v>Sa-Sal-2022-574</v>
      </c>
      <c r="B575" s="5">
        <v>26</v>
      </c>
      <c r="C575" s="5" t="str">
        <f t="shared" si="89"/>
        <v>20-29</v>
      </c>
      <c r="D575" s="5" t="s">
        <v>35</v>
      </c>
      <c r="E575" s="5" t="s">
        <v>37</v>
      </c>
      <c r="F575" s="5" t="s">
        <v>46</v>
      </c>
      <c r="G575" s="5">
        <v>2</v>
      </c>
      <c r="H575" s="5" t="s">
        <v>40</v>
      </c>
      <c r="I575" s="5" t="s">
        <v>41</v>
      </c>
      <c r="J575" s="7">
        <v>5326</v>
      </c>
      <c r="K575" s="7">
        <f t="shared" si="90"/>
        <v>798.9</v>
      </c>
      <c r="L575" s="7">
        <f t="shared" si="91"/>
        <v>4527.1000000000004</v>
      </c>
      <c r="M575" s="7">
        <v>3064</v>
      </c>
      <c r="N575" s="5" t="s">
        <v>43</v>
      </c>
      <c r="O575" s="5">
        <v>17</v>
      </c>
      <c r="P575" s="7">
        <f t="shared" si="92"/>
        <v>6231.42</v>
      </c>
      <c r="Q575" s="7">
        <f t="shared" si="93"/>
        <v>10865.04</v>
      </c>
      <c r="R575" s="7" t="str">
        <f t="shared" si="94"/>
        <v>Normal</v>
      </c>
      <c r="S575" s="5">
        <v>3</v>
      </c>
      <c r="T575" s="5">
        <v>2</v>
      </c>
      <c r="U575" s="5" t="str" cm="1">
        <f t="array" ref="U575">_xlfn.IFS(T575=1,"Poor",T575=2,"Fair",T575=3,"Good",T575=4,"Excellent")</f>
        <v>Fair</v>
      </c>
      <c r="V575" s="5" t="s">
        <v>43</v>
      </c>
      <c r="W575" s="5">
        <v>4</v>
      </c>
      <c r="X575" s="28">
        <f t="shared" ca="1" si="95"/>
        <v>44650</v>
      </c>
      <c r="Y575" s="28">
        <f t="shared" ca="1" si="96"/>
        <v>46842</v>
      </c>
      <c r="Z575" s="28" t="str">
        <f t="shared" ca="1" si="97"/>
        <v>Upcoming</v>
      </c>
      <c r="AA575" s="5" t="str" cm="1">
        <f t="array" ref="AA575">_xlfn.IFS(W575&gt;10,"Veteran",W575&gt;=6,"Experienced",W575&gt;=2,"Developing",W575&gt;=0,"New")</f>
        <v>Developing</v>
      </c>
      <c r="AB575" s="5" t="str" cm="1">
        <f t="array" ref="AB575">_xlfn.IFS(G575=1,"Junior",G575=2,"Mid-Level",G575=3,"Senior",G575=4,"Lead",G575=5,"Principal")&amp;" "&amp;TRIM(PROPER(H575))</f>
        <v>Mid-Level Sales Executive</v>
      </c>
      <c r="AC575" s="19" t="str">
        <f t="shared" ca="1" si="98"/>
        <v>Sa-Sal-2022-574 is a Mid-Level Sales Executive in the Sales department, aged 26, single and has been with the Company for 4years</v>
      </c>
    </row>
    <row r="576" spans="1:29">
      <c r="A576" s="18" t="str">
        <f t="shared" ca="1" si="88"/>
        <v>Re-Res-2022-575</v>
      </c>
      <c r="B576" s="5">
        <v>34</v>
      </c>
      <c r="C576" s="5" t="str">
        <f t="shared" si="89"/>
        <v>30-39</v>
      </c>
      <c r="D576" s="5" t="s">
        <v>43</v>
      </c>
      <c r="E576" s="5" t="s">
        <v>45</v>
      </c>
      <c r="F576" s="5" t="s">
        <v>39</v>
      </c>
      <c r="G576" s="5">
        <v>1</v>
      </c>
      <c r="H576" s="5" t="s">
        <v>47</v>
      </c>
      <c r="I576" s="5" t="s">
        <v>41</v>
      </c>
      <c r="J576" s="7">
        <v>3280</v>
      </c>
      <c r="K576" s="7">
        <f t="shared" si="90"/>
        <v>492</v>
      </c>
      <c r="L576" s="7">
        <f t="shared" si="91"/>
        <v>2788</v>
      </c>
      <c r="M576" s="7">
        <v>13551</v>
      </c>
      <c r="N576" s="5" t="s">
        <v>43</v>
      </c>
      <c r="O576" s="5">
        <v>16</v>
      </c>
      <c r="P576" s="7">
        <f t="shared" si="92"/>
        <v>3804.7999999999997</v>
      </c>
      <c r="Q576" s="7">
        <f t="shared" si="93"/>
        <v>6297.5999999999967</v>
      </c>
      <c r="R576" s="7" t="str">
        <f t="shared" si="94"/>
        <v>Normal</v>
      </c>
      <c r="S576" s="5">
        <v>3</v>
      </c>
      <c r="T576" s="5">
        <v>3</v>
      </c>
      <c r="U576" s="5" t="str" cm="1">
        <f t="array" ref="U576">_xlfn.IFS(T576=1,"Poor",T576=2,"Fair",T576=3,"Good",T576=4,"Excellent")</f>
        <v>Good</v>
      </c>
      <c r="V576" s="5" t="s">
        <v>43</v>
      </c>
      <c r="W576" s="5">
        <v>4</v>
      </c>
      <c r="X576" s="28">
        <f t="shared" ca="1" si="95"/>
        <v>44650</v>
      </c>
      <c r="Y576" s="28">
        <f t="shared" ca="1" si="96"/>
        <v>46842</v>
      </c>
      <c r="Z576" s="28" t="str">
        <f t="shared" ca="1" si="97"/>
        <v>Upcoming</v>
      </c>
      <c r="AA576" s="5" t="str" cm="1">
        <f t="array" ref="AA576">_xlfn.IFS(W576&gt;10,"Veteran",W576&gt;=6,"Experienced",W576&gt;=2,"Developing",W576&gt;=0,"New")</f>
        <v>Developing</v>
      </c>
      <c r="AB576" s="5" t="str" cm="1">
        <f t="array" ref="AB576">_xlfn.IFS(G576=1,"Junior",G576=2,"Mid-Level",G576=3,"Senior",G576=4,"Lead",G576=5,"Principal")&amp;" "&amp;TRIM(PROPER(H576))</f>
        <v>Junior Research Scientist</v>
      </c>
      <c r="AC576" s="19" t="str">
        <f t="shared" ca="1" si="98"/>
        <v>Re-Res-2022-575 is a Junior Research Scientist in the Research &amp; Development department, aged 34, single and has been with the Company for 4years</v>
      </c>
    </row>
    <row r="577" spans="1:29">
      <c r="A577" s="18" t="str">
        <f t="shared" ca="1" si="88"/>
        <v>Ma-Res-2021-576</v>
      </c>
      <c r="B577" s="5">
        <v>54</v>
      </c>
      <c r="C577" s="5" t="str">
        <f t="shared" si="89"/>
        <v>50+</v>
      </c>
      <c r="D577" s="5" t="s">
        <v>43</v>
      </c>
      <c r="E577" s="5" t="s">
        <v>45</v>
      </c>
      <c r="F577" s="5" t="s">
        <v>39</v>
      </c>
      <c r="G577" s="5">
        <v>2</v>
      </c>
      <c r="H577" s="5" t="s">
        <v>53</v>
      </c>
      <c r="I577" s="5" t="s">
        <v>52</v>
      </c>
      <c r="J577" s="7">
        <v>5485</v>
      </c>
      <c r="K577" s="7">
        <f t="shared" si="90"/>
        <v>822.75</v>
      </c>
      <c r="L577" s="7">
        <f t="shared" si="91"/>
        <v>4662.25</v>
      </c>
      <c r="M577" s="7">
        <v>22670</v>
      </c>
      <c r="N577" s="5" t="s">
        <v>35</v>
      </c>
      <c r="O577" s="5">
        <v>11</v>
      </c>
      <c r="P577" s="7">
        <f t="shared" si="92"/>
        <v>6088.35</v>
      </c>
      <c r="Q577" s="7">
        <f t="shared" si="93"/>
        <v>7240.2000000000044</v>
      </c>
      <c r="R577" s="7" t="str">
        <f t="shared" si="94"/>
        <v>Normal</v>
      </c>
      <c r="S577" s="5">
        <v>3</v>
      </c>
      <c r="T577" s="5">
        <v>3</v>
      </c>
      <c r="U577" s="5" t="str" cm="1">
        <f t="array" ref="U577">_xlfn.IFS(T577=1,"Poor",T577=2,"Fair",T577=3,"Good",T577=4,"Excellent")</f>
        <v>Good</v>
      </c>
      <c r="V577" s="5" t="s">
        <v>35</v>
      </c>
      <c r="W577" s="5">
        <v>5</v>
      </c>
      <c r="X577" s="28">
        <f t="shared" ca="1" si="95"/>
        <v>44285</v>
      </c>
      <c r="Y577" s="28">
        <f t="shared" ca="1" si="96"/>
        <v>46476</v>
      </c>
      <c r="Z577" s="28" t="str">
        <f t="shared" ca="1" si="97"/>
        <v>Due Soon</v>
      </c>
      <c r="AA577" s="5" t="str" cm="1">
        <f t="array" ref="AA577">_xlfn.IFS(W577&gt;10,"Veteran",W577&gt;=6,"Experienced",W577&gt;=2,"Developing",W577&gt;=0,"New")</f>
        <v>Developing</v>
      </c>
      <c r="AB577" s="5" t="str" cm="1">
        <f t="array" ref="AB577">_xlfn.IFS(G577=1,"Junior",G577=2,"Mid-Level",G577=3,"Senior",G577=4,"Lead",G577=5,"Principal")&amp;" "&amp;TRIM(PROPER(H577))</f>
        <v>Mid-Level Manufacturing Director</v>
      </c>
      <c r="AC577" s="19" t="str">
        <f t="shared" ca="1" si="98"/>
        <v>Ma-Res-2021-576 is a Mid-Level Manufacturing Director in the Research &amp; Development department, aged 54, divorced and has been with the Company for 5years</v>
      </c>
    </row>
    <row r="578" spans="1:29">
      <c r="A578" s="18" t="str">
        <f t="shared" ca="1" si="88"/>
        <v>Sa-Sal-2022-577</v>
      </c>
      <c r="B578" s="5">
        <v>27</v>
      </c>
      <c r="C578" s="5" t="str">
        <f t="shared" si="89"/>
        <v>20-29</v>
      </c>
      <c r="D578" s="5" t="s">
        <v>43</v>
      </c>
      <c r="E578" s="5" t="s">
        <v>37</v>
      </c>
      <c r="F578" s="5" t="s">
        <v>46</v>
      </c>
      <c r="G578" s="5">
        <v>2</v>
      </c>
      <c r="H578" s="5" t="s">
        <v>40</v>
      </c>
      <c r="I578" s="5" t="s">
        <v>48</v>
      </c>
      <c r="J578" s="7">
        <v>4342</v>
      </c>
      <c r="K578" s="7">
        <f t="shared" si="90"/>
        <v>651.29999999999995</v>
      </c>
      <c r="L578" s="7">
        <f t="shared" si="91"/>
        <v>3690.7</v>
      </c>
      <c r="M578" s="7">
        <v>24008</v>
      </c>
      <c r="N578" s="5" t="s">
        <v>43</v>
      </c>
      <c r="O578" s="5">
        <v>19</v>
      </c>
      <c r="P578" s="7">
        <f t="shared" si="92"/>
        <v>5166.9799999999996</v>
      </c>
      <c r="Q578" s="7">
        <f t="shared" si="93"/>
        <v>9899.7599999999948</v>
      </c>
      <c r="R578" s="7" t="str">
        <f t="shared" si="94"/>
        <v>Normal</v>
      </c>
      <c r="S578" s="5">
        <v>3</v>
      </c>
      <c r="T578" s="5">
        <v>3</v>
      </c>
      <c r="U578" s="5" t="str" cm="1">
        <f t="array" ref="U578">_xlfn.IFS(T578=1,"Poor",T578=2,"Fair",T578=3,"Good",T578=4,"Excellent")</f>
        <v>Good</v>
      </c>
      <c r="V578" s="5" t="s">
        <v>43</v>
      </c>
      <c r="W578" s="5">
        <v>4</v>
      </c>
      <c r="X578" s="28">
        <f t="shared" ca="1" si="95"/>
        <v>44650</v>
      </c>
      <c r="Y578" s="28">
        <f t="shared" ca="1" si="96"/>
        <v>46842</v>
      </c>
      <c r="Z578" s="28" t="str">
        <f t="shared" ca="1" si="97"/>
        <v>Upcoming</v>
      </c>
      <c r="AA578" s="5" t="str" cm="1">
        <f t="array" ref="AA578">_xlfn.IFS(W578&gt;10,"Veteran",W578&gt;=6,"Experienced",W578&gt;=2,"Developing",W578&gt;=0,"New")</f>
        <v>Developing</v>
      </c>
      <c r="AB578" s="5" t="str" cm="1">
        <f t="array" ref="AB578">_xlfn.IFS(G578=1,"Junior",G578=2,"Mid-Level",G578=3,"Senior",G578=4,"Lead",G578=5,"Principal")&amp;" "&amp;TRIM(PROPER(H578))</f>
        <v>Mid-Level Sales Executive</v>
      </c>
      <c r="AC578" s="19" t="str">
        <f t="shared" ca="1" si="98"/>
        <v>Sa-Sal-2022-577 is a Mid-Level Sales Executive in the Sales department, aged 27, married and has been with the Company for 4years</v>
      </c>
    </row>
    <row r="579" spans="1:29">
      <c r="A579" s="18" t="str">
        <f t="shared" ref="A579:A642" ca="1" si="99">LEFT(H579,2)&amp;"-"&amp;LEFT(E579,3)&amp;"-"&amp;YEAR(TODAY())-W579&amp;"-"&amp;TEXT(ROW()-1,"000")</f>
        <v>Re-Res-2021-578</v>
      </c>
      <c r="B579" s="5">
        <v>37</v>
      </c>
      <c r="C579" s="5" t="str">
        <f t="shared" ref="C579:C642" si="100">IF(B579&lt;=29,"20-29",IF(B579&lt;=39,"30-39",IF(B579&lt;=49,"40-49","50+")))</f>
        <v>30-39</v>
      </c>
      <c r="D579" s="5" t="s">
        <v>43</v>
      </c>
      <c r="E579" s="5" t="s">
        <v>45</v>
      </c>
      <c r="F579" s="5" t="s">
        <v>39</v>
      </c>
      <c r="G579" s="5">
        <v>1</v>
      </c>
      <c r="H579" s="5" t="s">
        <v>47</v>
      </c>
      <c r="I579" s="5" t="s">
        <v>52</v>
      </c>
      <c r="J579" s="7">
        <v>2782</v>
      </c>
      <c r="K579" s="7">
        <f t="shared" ref="K579:K642" si="101">IF(J579&gt;13000,J579*30%,IF(J579&gt;7000,J579*22%,IF(J579&gt;3000,J579*15%,J579*7%)))</f>
        <v>194.74</v>
      </c>
      <c r="L579" s="7">
        <f t="shared" ref="L579:L642" si="102">J579-K579</f>
        <v>2587.2600000000002</v>
      </c>
      <c r="M579" s="7">
        <v>19905</v>
      </c>
      <c r="N579" s="5" t="s">
        <v>35</v>
      </c>
      <c r="O579" s="5">
        <v>13</v>
      </c>
      <c r="P579" s="7">
        <f t="shared" ref="P579:P642" si="103">J579*(1+(O579/100))</f>
        <v>3143.66</v>
      </c>
      <c r="Q579" s="7">
        <f t="shared" ref="Q579:Q642" si="104">(P579-J579)*12</f>
        <v>4339.9199999999983</v>
      </c>
      <c r="R579" s="7" t="str">
        <f t="shared" ref="R579:R642" si="105">IF(AND(O579&lt;12,S579=4),"UnderPaid","Normal")</f>
        <v>Normal</v>
      </c>
      <c r="S579" s="5">
        <v>3</v>
      </c>
      <c r="T579" s="5">
        <v>2</v>
      </c>
      <c r="U579" s="5" t="str" cm="1">
        <f t="array" ref="U579">_xlfn.IFS(T579=1,"Poor",T579=2,"Fair",T579=3,"Good",T579=4,"Excellent")</f>
        <v>Fair</v>
      </c>
      <c r="V579" s="5" t="s">
        <v>35</v>
      </c>
      <c r="W579" s="5">
        <v>5</v>
      </c>
      <c r="X579" s="28">
        <f t="shared" ref="X579:X642" ca="1" si="106">EDATE(TODAY(),-W579*12)</f>
        <v>44285</v>
      </c>
      <c r="Y579" s="28">
        <f t="shared" ref="Y579:Y642" ca="1" si="107">EDATE(X579,(INT(W579/2)+1)*24)</f>
        <v>46476</v>
      </c>
      <c r="Z579" s="28" t="str">
        <f t="shared" ref="Z579:Z642" ca="1" si="108">IF(Y579&lt;=EDATE(TODAY(),12),"Due Soon","Upcoming")</f>
        <v>Due Soon</v>
      </c>
      <c r="AA579" s="5" t="str" cm="1">
        <f t="array" ref="AA579">_xlfn.IFS(W579&gt;10,"Veteran",W579&gt;=6,"Experienced",W579&gt;=2,"Developing",W579&gt;=0,"New")</f>
        <v>Developing</v>
      </c>
      <c r="AB579" s="5" t="str" cm="1">
        <f t="array" ref="AB579">_xlfn.IFS(G579=1,"Junior",G579=2,"Mid-Level",G579=3,"Senior",G579=4,"Lead",G579=5,"Principal")&amp;" "&amp;TRIM(PROPER(H579))</f>
        <v>Junior Research Scientist</v>
      </c>
      <c r="AC579" s="19" t="str">
        <f t="shared" ref="AC579:AC642" ca="1" si="109">A579&amp;" is a "&amp;AB579&amp;" in the "&amp;E579&amp;" department, aged "&amp;B579&amp;", "&amp;LOWER(I579)&amp;" and has been with the Company for "&amp;W579&amp;"years"</f>
        <v>Re-Res-2021-578 is a Junior Research Scientist in the Research &amp; Development department, aged 37, divorced and has been with the Company for 5years</v>
      </c>
    </row>
    <row r="580" spans="1:29">
      <c r="A580" s="18" t="str">
        <f t="shared" ca="1" si="99"/>
        <v>Ma-Res-2011-579</v>
      </c>
      <c r="B580" s="5">
        <v>38</v>
      </c>
      <c r="C580" s="5" t="str">
        <f t="shared" si="100"/>
        <v>30-39</v>
      </c>
      <c r="D580" s="5" t="s">
        <v>43</v>
      </c>
      <c r="E580" s="5" t="s">
        <v>45</v>
      </c>
      <c r="F580" s="5" t="s">
        <v>39</v>
      </c>
      <c r="G580" s="5">
        <v>2</v>
      </c>
      <c r="H580" s="5" t="s">
        <v>53</v>
      </c>
      <c r="I580" s="5" t="s">
        <v>41</v>
      </c>
      <c r="J580" s="7">
        <v>5980</v>
      </c>
      <c r="K580" s="7">
        <f t="shared" si="101"/>
        <v>897</v>
      </c>
      <c r="L580" s="7">
        <f t="shared" si="102"/>
        <v>5083</v>
      </c>
      <c r="M580" s="7">
        <v>26085</v>
      </c>
      <c r="N580" s="5" t="s">
        <v>35</v>
      </c>
      <c r="O580" s="5">
        <v>12</v>
      </c>
      <c r="P580" s="7">
        <f t="shared" si="103"/>
        <v>6697.6</v>
      </c>
      <c r="Q580" s="7">
        <f t="shared" si="104"/>
        <v>8611.2000000000044</v>
      </c>
      <c r="R580" s="7" t="str">
        <f t="shared" si="105"/>
        <v>Normal</v>
      </c>
      <c r="S580" s="5">
        <v>3</v>
      </c>
      <c r="T580" s="5">
        <v>3</v>
      </c>
      <c r="U580" s="5" t="str" cm="1">
        <f t="array" ref="U580">_xlfn.IFS(T580=1,"Poor",T580=2,"Fair",T580=3,"Good",T580=4,"Excellent")</f>
        <v>Good</v>
      </c>
      <c r="V580" s="5" t="s">
        <v>35</v>
      </c>
      <c r="W580" s="5">
        <v>15</v>
      </c>
      <c r="X580" s="28">
        <f t="shared" ca="1" si="106"/>
        <v>40632</v>
      </c>
      <c r="Y580" s="28">
        <f t="shared" ca="1" si="107"/>
        <v>46476</v>
      </c>
      <c r="Z580" s="28" t="str">
        <f t="shared" ca="1" si="108"/>
        <v>Due Soon</v>
      </c>
      <c r="AA580" s="5" t="str" cm="1">
        <f t="array" ref="AA580">_xlfn.IFS(W580&gt;10,"Veteran",W580&gt;=6,"Experienced",W580&gt;=2,"Developing",W580&gt;=0,"New")</f>
        <v>Veteran</v>
      </c>
      <c r="AB580" s="5" t="str" cm="1">
        <f t="array" ref="AB580">_xlfn.IFS(G580=1,"Junior",G580=2,"Mid-Level",G580=3,"Senior",G580=4,"Lead",G580=5,"Principal")&amp;" "&amp;TRIM(PROPER(H580))</f>
        <v>Mid-Level Manufacturing Director</v>
      </c>
      <c r="AC580" s="19" t="str">
        <f t="shared" ca="1" si="109"/>
        <v>Ma-Res-2011-579 is a Mid-Level Manufacturing Director in the Research &amp; Development department, aged 38, single and has been with the Company for 15years</v>
      </c>
    </row>
    <row r="581" spans="1:29">
      <c r="A581" s="18" t="str">
        <f t="shared" ca="1" si="99"/>
        <v>Re-Res-2020-580</v>
      </c>
      <c r="B581" s="5">
        <v>34</v>
      </c>
      <c r="C581" s="5" t="str">
        <f t="shared" si="100"/>
        <v>30-39</v>
      </c>
      <c r="D581" s="5" t="s">
        <v>43</v>
      </c>
      <c r="E581" s="5" t="s">
        <v>45</v>
      </c>
      <c r="F581" s="5" t="s">
        <v>39</v>
      </c>
      <c r="G581" s="5">
        <v>1</v>
      </c>
      <c r="H581" s="5" t="s">
        <v>47</v>
      </c>
      <c r="I581" s="5" t="s">
        <v>41</v>
      </c>
      <c r="J581" s="7">
        <v>4381</v>
      </c>
      <c r="K581" s="7">
        <f t="shared" si="101"/>
        <v>657.15</v>
      </c>
      <c r="L581" s="7">
        <f t="shared" si="102"/>
        <v>3723.85</v>
      </c>
      <c r="M581" s="7">
        <v>7530</v>
      </c>
      <c r="N581" s="5" t="s">
        <v>43</v>
      </c>
      <c r="O581" s="5">
        <v>11</v>
      </c>
      <c r="P581" s="7">
        <f t="shared" si="103"/>
        <v>4862.9100000000008</v>
      </c>
      <c r="Q581" s="7">
        <f t="shared" si="104"/>
        <v>5782.9200000000092</v>
      </c>
      <c r="R581" s="7" t="str">
        <f t="shared" si="105"/>
        <v>Normal</v>
      </c>
      <c r="S581" s="5">
        <v>3</v>
      </c>
      <c r="T581" s="5">
        <v>3</v>
      </c>
      <c r="U581" s="5" t="str" cm="1">
        <f t="array" ref="U581">_xlfn.IFS(T581=1,"Poor",T581=2,"Fair",T581=3,"Good",T581=4,"Excellent")</f>
        <v>Good</v>
      </c>
      <c r="V581" s="5" t="s">
        <v>43</v>
      </c>
      <c r="W581" s="5">
        <v>6</v>
      </c>
      <c r="X581" s="28">
        <f t="shared" ca="1" si="106"/>
        <v>43920</v>
      </c>
      <c r="Y581" s="28">
        <f t="shared" ca="1" si="107"/>
        <v>46842</v>
      </c>
      <c r="Z581" s="28" t="str">
        <f t="shared" ca="1" si="108"/>
        <v>Upcoming</v>
      </c>
      <c r="AA581" s="5" t="str" cm="1">
        <f t="array" ref="AA581">_xlfn.IFS(W581&gt;10,"Veteran",W581&gt;=6,"Experienced",W581&gt;=2,"Developing",W581&gt;=0,"New")</f>
        <v>Experienced</v>
      </c>
      <c r="AB581" s="5" t="str" cm="1">
        <f t="array" ref="AB581">_xlfn.IFS(G581=1,"Junior",G581=2,"Mid-Level",G581=3,"Senior",G581=4,"Lead",G581=5,"Principal")&amp;" "&amp;TRIM(PROPER(H581))</f>
        <v>Junior Research Scientist</v>
      </c>
      <c r="AC581" s="19" t="str">
        <f t="shared" ca="1" si="109"/>
        <v>Re-Res-2020-580 is a Junior Research Scientist in the Research &amp; Development department, aged 34, single and has been with the Company for 6years</v>
      </c>
    </row>
    <row r="582" spans="1:29">
      <c r="A582" s="18" t="str">
        <f t="shared" ca="1" si="99"/>
        <v>Sa-Sal-2023-581</v>
      </c>
      <c r="B582" s="5">
        <v>35</v>
      </c>
      <c r="C582" s="5" t="str">
        <f t="shared" si="100"/>
        <v>30-39</v>
      </c>
      <c r="D582" s="5" t="s">
        <v>43</v>
      </c>
      <c r="E582" s="5" t="s">
        <v>37</v>
      </c>
      <c r="F582" s="5" t="s">
        <v>39</v>
      </c>
      <c r="G582" s="5">
        <v>1</v>
      </c>
      <c r="H582" s="5" t="s">
        <v>57</v>
      </c>
      <c r="I582" s="5" t="s">
        <v>48</v>
      </c>
      <c r="J582" s="7">
        <v>2572</v>
      </c>
      <c r="K582" s="7">
        <f t="shared" si="101"/>
        <v>180.04000000000002</v>
      </c>
      <c r="L582" s="7">
        <f t="shared" si="102"/>
        <v>2391.96</v>
      </c>
      <c r="M582" s="7">
        <v>20317</v>
      </c>
      <c r="N582" s="5" t="s">
        <v>43</v>
      </c>
      <c r="O582" s="5">
        <v>16</v>
      </c>
      <c r="P582" s="7">
        <f t="shared" si="103"/>
        <v>2983.52</v>
      </c>
      <c r="Q582" s="7">
        <f t="shared" si="104"/>
        <v>4938.24</v>
      </c>
      <c r="R582" s="7" t="str">
        <f t="shared" si="105"/>
        <v>Normal</v>
      </c>
      <c r="S582" s="5">
        <v>3</v>
      </c>
      <c r="T582" s="5">
        <v>2</v>
      </c>
      <c r="U582" s="5" t="str" cm="1">
        <f t="array" ref="U582">_xlfn.IFS(T582=1,"Poor",T582=2,"Fair",T582=3,"Good",T582=4,"Excellent")</f>
        <v>Fair</v>
      </c>
      <c r="V582" s="5" t="s">
        <v>43</v>
      </c>
      <c r="W582" s="5">
        <v>3</v>
      </c>
      <c r="X582" s="28">
        <f t="shared" ca="1" si="106"/>
        <v>45015</v>
      </c>
      <c r="Y582" s="28">
        <f t="shared" ca="1" si="107"/>
        <v>46476</v>
      </c>
      <c r="Z582" s="28" t="str">
        <f t="shared" ca="1" si="108"/>
        <v>Due Soon</v>
      </c>
      <c r="AA582" s="5" t="str" cm="1">
        <f t="array" ref="AA582">_xlfn.IFS(W582&gt;10,"Veteran",W582&gt;=6,"Experienced",W582&gt;=2,"Developing",W582&gt;=0,"New")</f>
        <v>Developing</v>
      </c>
      <c r="AB582" s="5" t="str" cm="1">
        <f t="array" ref="AB582">_xlfn.IFS(G582=1,"Junior",G582=2,"Mid-Level",G582=3,"Senior",G582=4,"Lead",G582=5,"Principal")&amp;" "&amp;TRIM(PROPER(H582))</f>
        <v>Junior Sales Representative</v>
      </c>
      <c r="AC582" s="19" t="str">
        <f t="shared" ca="1" si="109"/>
        <v>Sa-Sal-2023-581 is a Junior Sales Representative in the Sales department, aged 35, married and has been with the Company for 3years</v>
      </c>
    </row>
    <row r="583" spans="1:29">
      <c r="A583" s="18" t="str">
        <f t="shared" ca="1" si="99"/>
        <v>La-Res-2024-582</v>
      </c>
      <c r="B583" s="5">
        <v>30</v>
      </c>
      <c r="C583" s="5" t="str">
        <f t="shared" si="100"/>
        <v>30-39</v>
      </c>
      <c r="D583" s="5" t="s">
        <v>43</v>
      </c>
      <c r="E583" s="5" t="s">
        <v>45</v>
      </c>
      <c r="F583" s="5" t="s">
        <v>46</v>
      </c>
      <c r="G583" s="5">
        <v>1</v>
      </c>
      <c r="H583" s="5" t="s">
        <v>50</v>
      </c>
      <c r="I583" s="5" t="s">
        <v>48</v>
      </c>
      <c r="J583" s="7">
        <v>3833</v>
      </c>
      <c r="K583" s="7">
        <f t="shared" si="101"/>
        <v>574.94999999999993</v>
      </c>
      <c r="L583" s="7">
        <f t="shared" si="102"/>
        <v>3258.05</v>
      </c>
      <c r="M583" s="7">
        <v>24375</v>
      </c>
      <c r="N583" s="5" t="s">
        <v>43</v>
      </c>
      <c r="O583" s="5">
        <v>21</v>
      </c>
      <c r="P583" s="7">
        <f t="shared" si="103"/>
        <v>4637.93</v>
      </c>
      <c r="Q583" s="7">
        <f t="shared" si="104"/>
        <v>9659.1600000000035</v>
      </c>
      <c r="R583" s="7" t="str">
        <f t="shared" si="105"/>
        <v>Normal</v>
      </c>
      <c r="S583" s="5">
        <v>4</v>
      </c>
      <c r="T583" s="5">
        <v>3</v>
      </c>
      <c r="U583" s="5" t="str" cm="1">
        <f t="array" ref="U583">_xlfn.IFS(T583=1,"Poor",T583=2,"Fair",T583=3,"Good",T583=4,"Excellent")</f>
        <v>Good</v>
      </c>
      <c r="V583" s="5" t="s">
        <v>43</v>
      </c>
      <c r="W583" s="5">
        <v>2</v>
      </c>
      <c r="X583" s="28">
        <f t="shared" ca="1" si="106"/>
        <v>45381</v>
      </c>
      <c r="Y583" s="28">
        <f t="shared" ca="1" si="107"/>
        <v>46842</v>
      </c>
      <c r="Z583" s="28" t="str">
        <f t="shared" ca="1" si="108"/>
        <v>Upcoming</v>
      </c>
      <c r="AA583" s="5" t="str" cm="1">
        <f t="array" ref="AA583">_xlfn.IFS(W583&gt;10,"Veteran",W583&gt;=6,"Experienced",W583&gt;=2,"Developing",W583&gt;=0,"New")</f>
        <v>Developing</v>
      </c>
      <c r="AB583" s="5" t="str" cm="1">
        <f t="array" ref="AB583">_xlfn.IFS(G583=1,"Junior",G583=2,"Mid-Level",G583=3,"Senior",G583=4,"Lead",G583=5,"Principal")&amp;" "&amp;TRIM(PROPER(H583))</f>
        <v>Junior Laboratory Technician</v>
      </c>
      <c r="AC583" s="19" t="str">
        <f t="shared" ca="1" si="109"/>
        <v>La-Res-2024-582 is a Junior Laboratory Technician in the Research &amp; Development department, aged 30, married and has been with the Company for 2years</v>
      </c>
    </row>
    <row r="584" spans="1:29">
      <c r="A584" s="18" t="str">
        <f t="shared" ca="1" si="99"/>
        <v>He-Res-2018-583</v>
      </c>
      <c r="B584" s="5">
        <v>40</v>
      </c>
      <c r="C584" s="5" t="str">
        <f t="shared" si="100"/>
        <v>40-49</v>
      </c>
      <c r="D584" s="5" t="s">
        <v>43</v>
      </c>
      <c r="E584" s="5" t="s">
        <v>45</v>
      </c>
      <c r="F584" s="5" t="s">
        <v>39</v>
      </c>
      <c r="G584" s="5">
        <v>2</v>
      </c>
      <c r="H584" s="5" t="s">
        <v>54</v>
      </c>
      <c r="I584" s="5" t="s">
        <v>48</v>
      </c>
      <c r="J584" s="7">
        <v>4244</v>
      </c>
      <c r="K584" s="7">
        <f t="shared" si="101"/>
        <v>636.6</v>
      </c>
      <c r="L584" s="7">
        <f t="shared" si="102"/>
        <v>3607.4</v>
      </c>
      <c r="M584" s="7">
        <v>9931</v>
      </c>
      <c r="N584" s="5" t="s">
        <v>43</v>
      </c>
      <c r="O584" s="5">
        <v>24</v>
      </c>
      <c r="P584" s="7">
        <f t="shared" si="103"/>
        <v>5262.56</v>
      </c>
      <c r="Q584" s="7">
        <f t="shared" si="104"/>
        <v>12222.720000000005</v>
      </c>
      <c r="R584" s="7" t="str">
        <f t="shared" si="105"/>
        <v>Normal</v>
      </c>
      <c r="S584" s="5">
        <v>4</v>
      </c>
      <c r="T584" s="5">
        <v>3</v>
      </c>
      <c r="U584" s="5" t="str" cm="1">
        <f t="array" ref="U584">_xlfn.IFS(T584=1,"Poor",T584=2,"Fair",T584=3,"Good",T584=4,"Excellent")</f>
        <v>Good</v>
      </c>
      <c r="V584" s="5" t="s">
        <v>43</v>
      </c>
      <c r="W584" s="5">
        <v>8</v>
      </c>
      <c r="X584" s="28">
        <f t="shared" ca="1" si="106"/>
        <v>43189</v>
      </c>
      <c r="Y584" s="28">
        <f t="shared" ca="1" si="107"/>
        <v>46842</v>
      </c>
      <c r="Z584" s="28" t="str">
        <f t="shared" ca="1" si="108"/>
        <v>Upcoming</v>
      </c>
      <c r="AA584" s="5" t="str" cm="1">
        <f t="array" ref="AA584">_xlfn.IFS(W584&gt;10,"Veteran",W584&gt;=6,"Experienced",W584&gt;=2,"Developing",W584&gt;=0,"New")</f>
        <v>Experienced</v>
      </c>
      <c r="AB584" s="5" t="str" cm="1">
        <f t="array" ref="AB584">_xlfn.IFS(G584=1,"Junior",G584=2,"Mid-Level",G584=3,"Senior",G584=4,"Lead",G584=5,"Principal")&amp;" "&amp;TRIM(PROPER(H584))</f>
        <v>Mid-Level Healthcare Representative</v>
      </c>
      <c r="AC584" s="19" t="str">
        <f t="shared" ca="1" si="109"/>
        <v>He-Res-2018-583 is a Mid-Level Healthcare Representative in the Research &amp; Development department, aged 40, married and has been with the Company for 8years</v>
      </c>
    </row>
    <row r="585" spans="1:29">
      <c r="A585" s="18" t="str">
        <f t="shared" ca="1" si="99"/>
        <v>Sa-Sal-2023-584</v>
      </c>
      <c r="B585" s="5">
        <v>34</v>
      </c>
      <c r="C585" s="5" t="str">
        <f t="shared" si="100"/>
        <v>30-39</v>
      </c>
      <c r="D585" s="5" t="s">
        <v>43</v>
      </c>
      <c r="E585" s="5" t="s">
        <v>37</v>
      </c>
      <c r="F585" s="5" t="s">
        <v>39</v>
      </c>
      <c r="G585" s="5">
        <v>2</v>
      </c>
      <c r="H585" s="5" t="s">
        <v>40</v>
      </c>
      <c r="I585" s="5" t="s">
        <v>48</v>
      </c>
      <c r="J585" s="7">
        <v>6500</v>
      </c>
      <c r="K585" s="7">
        <f t="shared" si="101"/>
        <v>975</v>
      </c>
      <c r="L585" s="7">
        <f t="shared" si="102"/>
        <v>5525</v>
      </c>
      <c r="M585" s="7">
        <v>13305</v>
      </c>
      <c r="N585" s="5" t="s">
        <v>43</v>
      </c>
      <c r="O585" s="5">
        <v>17</v>
      </c>
      <c r="P585" s="7">
        <f t="shared" si="103"/>
        <v>7604.9999999999991</v>
      </c>
      <c r="Q585" s="7">
        <f t="shared" si="104"/>
        <v>13259.999999999989</v>
      </c>
      <c r="R585" s="7" t="str">
        <f t="shared" si="105"/>
        <v>Normal</v>
      </c>
      <c r="S585" s="5">
        <v>3</v>
      </c>
      <c r="T585" s="5">
        <v>3</v>
      </c>
      <c r="U585" s="5" t="str" cm="1">
        <f t="array" ref="U585">_xlfn.IFS(T585=1,"Poor",T585=2,"Fair",T585=3,"Good",T585=4,"Excellent")</f>
        <v>Good</v>
      </c>
      <c r="V585" s="5" t="s">
        <v>43</v>
      </c>
      <c r="W585" s="5">
        <v>3</v>
      </c>
      <c r="X585" s="28">
        <f t="shared" ca="1" si="106"/>
        <v>45015</v>
      </c>
      <c r="Y585" s="28">
        <f t="shared" ca="1" si="107"/>
        <v>46476</v>
      </c>
      <c r="Z585" s="28" t="str">
        <f t="shared" ca="1" si="108"/>
        <v>Due Soon</v>
      </c>
      <c r="AA585" s="5" t="str" cm="1">
        <f t="array" ref="AA585">_xlfn.IFS(W585&gt;10,"Veteran",W585&gt;=6,"Experienced",W585&gt;=2,"Developing",W585&gt;=0,"New")</f>
        <v>Developing</v>
      </c>
      <c r="AB585" s="5" t="str" cm="1">
        <f t="array" ref="AB585">_xlfn.IFS(G585=1,"Junior",G585=2,"Mid-Level",G585=3,"Senior",G585=4,"Lead",G585=5,"Principal")&amp;" "&amp;TRIM(PROPER(H585))</f>
        <v>Mid-Level Sales Executive</v>
      </c>
      <c r="AC585" s="19" t="str">
        <f t="shared" ca="1" si="109"/>
        <v>Sa-Sal-2023-584 is a Mid-Level Sales Executive in the Sales department, aged 34, married and has been with the Company for 3years</v>
      </c>
    </row>
    <row r="586" spans="1:29">
      <c r="A586" s="18" t="str">
        <f t="shared" ca="1" si="99"/>
        <v>Ma-Res-2002-585</v>
      </c>
      <c r="B586" s="5">
        <v>42</v>
      </c>
      <c r="C586" s="5" t="str">
        <f t="shared" si="100"/>
        <v>40-49</v>
      </c>
      <c r="D586" s="5" t="s">
        <v>43</v>
      </c>
      <c r="E586" s="5" t="s">
        <v>45</v>
      </c>
      <c r="F586" s="5" t="s">
        <v>46</v>
      </c>
      <c r="G586" s="5">
        <v>5</v>
      </c>
      <c r="H586" s="5" t="s">
        <v>56</v>
      </c>
      <c r="I586" s="5" t="s">
        <v>52</v>
      </c>
      <c r="J586" s="7">
        <v>18430</v>
      </c>
      <c r="K586" s="7">
        <f t="shared" si="101"/>
        <v>5529</v>
      </c>
      <c r="L586" s="7">
        <f t="shared" si="102"/>
        <v>12901</v>
      </c>
      <c r="M586" s="7">
        <v>16225</v>
      </c>
      <c r="N586" s="5" t="s">
        <v>43</v>
      </c>
      <c r="O586" s="5">
        <v>13</v>
      </c>
      <c r="P586" s="7">
        <f t="shared" si="103"/>
        <v>20825.899999999998</v>
      </c>
      <c r="Q586" s="7">
        <f t="shared" si="104"/>
        <v>28750.799999999974</v>
      </c>
      <c r="R586" s="7" t="str">
        <f t="shared" si="105"/>
        <v>Normal</v>
      </c>
      <c r="S586" s="5">
        <v>3</v>
      </c>
      <c r="T586" s="5">
        <v>2</v>
      </c>
      <c r="U586" s="5" t="str" cm="1">
        <f t="array" ref="U586">_xlfn.IFS(T586=1,"Poor",T586=2,"Fair",T586=3,"Good",T586=4,"Excellent")</f>
        <v>Fair</v>
      </c>
      <c r="V586" s="5" t="s">
        <v>43</v>
      </c>
      <c r="W586" s="5">
        <v>24</v>
      </c>
      <c r="X586" s="28">
        <f t="shared" ca="1" si="106"/>
        <v>37345</v>
      </c>
      <c r="Y586" s="28">
        <f t="shared" ca="1" si="107"/>
        <v>46842</v>
      </c>
      <c r="Z586" s="28" t="str">
        <f t="shared" ca="1" si="108"/>
        <v>Upcoming</v>
      </c>
      <c r="AA586" s="5" t="str" cm="1">
        <f t="array" ref="AA586">_xlfn.IFS(W586&gt;10,"Veteran",W586&gt;=6,"Experienced",W586&gt;=2,"Developing",W586&gt;=0,"New")</f>
        <v>Veteran</v>
      </c>
      <c r="AB586" s="5" t="str" cm="1">
        <f t="array" ref="AB586">_xlfn.IFS(G586=1,"Junior",G586=2,"Mid-Level",G586=3,"Senior",G586=4,"Lead",G586=5,"Principal")&amp;" "&amp;TRIM(PROPER(H586))</f>
        <v>Principal Manager</v>
      </c>
      <c r="AC586" s="19" t="str">
        <f t="shared" ca="1" si="109"/>
        <v>Ma-Res-2002-585 is a Principal Manager in the Research &amp; Development department, aged 42, divorced and has been with the Company for 24years</v>
      </c>
    </row>
    <row r="587" spans="1:29">
      <c r="A587" s="18" t="str">
        <f t="shared" ca="1" si="99"/>
        <v>La-Res-2026-586</v>
      </c>
      <c r="B587" s="5">
        <v>23</v>
      </c>
      <c r="C587" s="5" t="str">
        <f t="shared" si="100"/>
        <v>20-29</v>
      </c>
      <c r="D587" s="5" t="s">
        <v>35</v>
      </c>
      <c r="E587" s="5" t="s">
        <v>45</v>
      </c>
      <c r="F587" s="5" t="s">
        <v>46</v>
      </c>
      <c r="G587" s="5">
        <v>1</v>
      </c>
      <c r="H587" s="5" t="s">
        <v>50</v>
      </c>
      <c r="I587" s="5" t="s">
        <v>48</v>
      </c>
      <c r="J587" s="7">
        <v>1601</v>
      </c>
      <c r="K587" s="7">
        <f t="shared" si="101"/>
        <v>112.07000000000001</v>
      </c>
      <c r="L587" s="7">
        <f t="shared" si="102"/>
        <v>1488.93</v>
      </c>
      <c r="M587" s="7">
        <v>3445</v>
      </c>
      <c r="N587" s="5" t="s">
        <v>35</v>
      </c>
      <c r="O587" s="5">
        <v>21</v>
      </c>
      <c r="P587" s="7">
        <f t="shared" si="103"/>
        <v>1937.21</v>
      </c>
      <c r="Q587" s="7">
        <f t="shared" si="104"/>
        <v>4034.5200000000004</v>
      </c>
      <c r="R587" s="7" t="str">
        <f t="shared" si="105"/>
        <v>Normal</v>
      </c>
      <c r="S587" s="5">
        <v>4</v>
      </c>
      <c r="T587" s="5">
        <v>3</v>
      </c>
      <c r="U587" s="5" t="str" cm="1">
        <f t="array" ref="U587">_xlfn.IFS(T587=1,"Poor",T587=2,"Fair",T587=3,"Good",T587=4,"Excellent")</f>
        <v>Good</v>
      </c>
      <c r="V587" s="5" t="s">
        <v>35</v>
      </c>
      <c r="W587" s="5">
        <v>0</v>
      </c>
      <c r="X587" s="28">
        <f t="shared" ca="1" si="106"/>
        <v>46111</v>
      </c>
      <c r="Y587" s="28">
        <f t="shared" ca="1" si="107"/>
        <v>46842</v>
      </c>
      <c r="Z587" s="28" t="str">
        <f t="shared" ca="1" si="108"/>
        <v>Upcoming</v>
      </c>
      <c r="AA587" s="5" t="str" cm="1">
        <f t="array" ref="AA587">_xlfn.IFS(W587&gt;10,"Veteran",W587&gt;=6,"Experienced",W587&gt;=2,"Developing",W587&gt;=0,"New")</f>
        <v>New</v>
      </c>
      <c r="AB587" s="5" t="str" cm="1">
        <f t="array" ref="AB587">_xlfn.IFS(G587=1,"Junior",G587=2,"Mid-Level",G587=3,"Senior",G587=4,"Lead",G587=5,"Principal")&amp;" "&amp;TRIM(PROPER(H587))</f>
        <v>Junior Laboratory Technician</v>
      </c>
      <c r="AC587" s="19" t="str">
        <f t="shared" ca="1" si="109"/>
        <v>La-Res-2026-586 is a Junior Laboratory Technician in the Research &amp; Development department, aged 23, married and has been with the Company for 0years</v>
      </c>
    </row>
    <row r="588" spans="1:29">
      <c r="A588" s="18" t="str">
        <f t="shared" ca="1" si="99"/>
        <v>La-Res-2025-587</v>
      </c>
      <c r="B588" s="5">
        <v>24</v>
      </c>
      <c r="C588" s="5" t="str">
        <f t="shared" si="100"/>
        <v>20-29</v>
      </c>
      <c r="D588" s="5" t="s">
        <v>43</v>
      </c>
      <c r="E588" s="5" t="s">
        <v>45</v>
      </c>
      <c r="F588" s="5" t="s">
        <v>46</v>
      </c>
      <c r="G588" s="5">
        <v>1</v>
      </c>
      <c r="H588" s="5" t="s">
        <v>50</v>
      </c>
      <c r="I588" s="5" t="s">
        <v>52</v>
      </c>
      <c r="J588" s="7">
        <v>2694</v>
      </c>
      <c r="K588" s="7">
        <f t="shared" si="101"/>
        <v>188.58</v>
      </c>
      <c r="L588" s="7">
        <f t="shared" si="102"/>
        <v>2505.42</v>
      </c>
      <c r="M588" s="7">
        <v>26551</v>
      </c>
      <c r="N588" s="5" t="s">
        <v>43</v>
      </c>
      <c r="O588" s="5">
        <v>11</v>
      </c>
      <c r="P588" s="7">
        <f t="shared" si="103"/>
        <v>2990.34</v>
      </c>
      <c r="Q588" s="7">
        <f t="shared" si="104"/>
        <v>3556.0800000000017</v>
      </c>
      <c r="R588" s="7" t="str">
        <f t="shared" si="105"/>
        <v>Normal</v>
      </c>
      <c r="S588" s="5">
        <v>3</v>
      </c>
      <c r="T588" s="5">
        <v>3</v>
      </c>
      <c r="U588" s="5" t="str" cm="1">
        <f t="array" ref="U588">_xlfn.IFS(T588=1,"Poor",T588=2,"Fair",T588=3,"Good",T588=4,"Excellent")</f>
        <v>Good</v>
      </c>
      <c r="V588" s="5" t="s">
        <v>43</v>
      </c>
      <c r="W588" s="5">
        <v>1</v>
      </c>
      <c r="X588" s="28">
        <f t="shared" ca="1" si="106"/>
        <v>45746</v>
      </c>
      <c r="Y588" s="28">
        <f t="shared" ca="1" si="107"/>
        <v>46476</v>
      </c>
      <c r="Z588" s="28" t="str">
        <f t="shared" ca="1" si="108"/>
        <v>Due Soon</v>
      </c>
      <c r="AA588" s="5" t="str" cm="1">
        <f t="array" ref="AA588">_xlfn.IFS(W588&gt;10,"Veteran",W588&gt;=6,"Experienced",W588&gt;=2,"Developing",W588&gt;=0,"New")</f>
        <v>New</v>
      </c>
      <c r="AB588" s="5" t="str" cm="1">
        <f t="array" ref="AB588">_xlfn.IFS(G588=1,"Junior",G588=2,"Mid-Level",G588=3,"Senior",G588=4,"Lead",G588=5,"Principal")&amp;" "&amp;TRIM(PROPER(H588))</f>
        <v>Junior Laboratory Technician</v>
      </c>
      <c r="AC588" s="19" t="str">
        <f t="shared" ca="1" si="109"/>
        <v>La-Res-2025-587 is a Junior Laboratory Technician in the Research &amp; Development department, aged 24, divorced and has been with the Company for 1years</v>
      </c>
    </row>
    <row r="589" spans="1:29">
      <c r="A589" s="18" t="str">
        <f t="shared" ca="1" si="99"/>
        <v>La-Res-2021-588</v>
      </c>
      <c r="B589" s="5">
        <v>52</v>
      </c>
      <c r="C589" s="5" t="str">
        <f t="shared" si="100"/>
        <v>50+</v>
      </c>
      <c r="D589" s="5" t="s">
        <v>43</v>
      </c>
      <c r="E589" s="5" t="s">
        <v>45</v>
      </c>
      <c r="F589" s="5" t="s">
        <v>39</v>
      </c>
      <c r="G589" s="5">
        <v>2</v>
      </c>
      <c r="H589" s="5" t="s">
        <v>50</v>
      </c>
      <c r="I589" s="5" t="s">
        <v>48</v>
      </c>
      <c r="J589" s="7">
        <v>3149</v>
      </c>
      <c r="K589" s="7">
        <f t="shared" si="101"/>
        <v>472.34999999999997</v>
      </c>
      <c r="L589" s="7">
        <f t="shared" si="102"/>
        <v>2676.65</v>
      </c>
      <c r="M589" s="7">
        <v>21821</v>
      </c>
      <c r="N589" s="5" t="s">
        <v>43</v>
      </c>
      <c r="O589" s="5">
        <v>20</v>
      </c>
      <c r="P589" s="7">
        <f t="shared" si="103"/>
        <v>3778.7999999999997</v>
      </c>
      <c r="Q589" s="7">
        <f t="shared" si="104"/>
        <v>7557.5999999999967</v>
      </c>
      <c r="R589" s="7" t="str">
        <f t="shared" si="105"/>
        <v>Normal</v>
      </c>
      <c r="S589" s="5">
        <v>4</v>
      </c>
      <c r="T589" s="5">
        <v>3</v>
      </c>
      <c r="U589" s="5" t="str" cm="1">
        <f t="array" ref="U589">_xlfn.IFS(T589=1,"Poor",T589=2,"Fair",T589=3,"Good",T589=4,"Excellent")</f>
        <v>Good</v>
      </c>
      <c r="V589" s="5" t="s">
        <v>43</v>
      </c>
      <c r="W589" s="5">
        <v>5</v>
      </c>
      <c r="X589" s="28">
        <f t="shared" ca="1" si="106"/>
        <v>44285</v>
      </c>
      <c r="Y589" s="28">
        <f t="shared" ca="1" si="107"/>
        <v>46476</v>
      </c>
      <c r="Z589" s="28" t="str">
        <f t="shared" ca="1" si="108"/>
        <v>Due Soon</v>
      </c>
      <c r="AA589" s="5" t="str" cm="1">
        <f t="array" ref="AA589">_xlfn.IFS(W589&gt;10,"Veteran",W589&gt;=6,"Experienced",W589&gt;=2,"Developing",W589&gt;=0,"New")</f>
        <v>Developing</v>
      </c>
      <c r="AB589" s="5" t="str" cm="1">
        <f t="array" ref="AB589">_xlfn.IFS(G589=1,"Junior",G589=2,"Mid-Level",G589=3,"Senior",G589=4,"Lead",G589=5,"Principal")&amp;" "&amp;TRIM(PROPER(H589))</f>
        <v>Mid-Level Laboratory Technician</v>
      </c>
      <c r="AC589" s="19" t="str">
        <f t="shared" ca="1" si="109"/>
        <v>La-Res-2021-588 is a Mid-Level Laboratory Technician in the Research &amp; Development department, aged 52, married and has been with the Company for 5years</v>
      </c>
    </row>
    <row r="590" spans="1:29">
      <c r="A590" s="18" t="str">
        <f t="shared" ca="1" si="99"/>
        <v>Re-Res-2022-589</v>
      </c>
      <c r="B590" s="5">
        <v>50</v>
      </c>
      <c r="C590" s="5" t="str">
        <f t="shared" si="100"/>
        <v>50+</v>
      </c>
      <c r="D590" s="5" t="s">
        <v>43</v>
      </c>
      <c r="E590" s="5" t="s">
        <v>45</v>
      </c>
      <c r="F590" s="5" t="s">
        <v>46</v>
      </c>
      <c r="G590" s="5">
        <v>4</v>
      </c>
      <c r="H590" s="5" t="s">
        <v>58</v>
      </c>
      <c r="I590" s="5" t="s">
        <v>48</v>
      </c>
      <c r="J590" s="7">
        <v>17639</v>
      </c>
      <c r="K590" s="7">
        <f t="shared" si="101"/>
        <v>5291.7</v>
      </c>
      <c r="L590" s="7">
        <f t="shared" si="102"/>
        <v>12347.3</v>
      </c>
      <c r="M590" s="7">
        <v>6881</v>
      </c>
      <c r="N590" s="5" t="s">
        <v>43</v>
      </c>
      <c r="O590" s="5">
        <v>16</v>
      </c>
      <c r="P590" s="7">
        <f t="shared" si="103"/>
        <v>20461.239999999998</v>
      </c>
      <c r="Q590" s="7">
        <f t="shared" si="104"/>
        <v>33866.879999999976</v>
      </c>
      <c r="R590" s="7" t="str">
        <f t="shared" si="105"/>
        <v>Normal</v>
      </c>
      <c r="S590" s="5">
        <v>3</v>
      </c>
      <c r="T590" s="5">
        <v>3</v>
      </c>
      <c r="U590" s="5" t="str" cm="1">
        <f t="array" ref="U590">_xlfn.IFS(T590=1,"Poor",T590=2,"Fair",T590=3,"Good",T590=4,"Excellent")</f>
        <v>Good</v>
      </c>
      <c r="V590" s="5" t="s">
        <v>43</v>
      </c>
      <c r="W590" s="5">
        <v>4</v>
      </c>
      <c r="X590" s="28">
        <f t="shared" ca="1" si="106"/>
        <v>44650</v>
      </c>
      <c r="Y590" s="28">
        <f t="shared" ca="1" si="107"/>
        <v>46842</v>
      </c>
      <c r="Z590" s="28" t="str">
        <f t="shared" ca="1" si="108"/>
        <v>Upcoming</v>
      </c>
      <c r="AA590" s="5" t="str" cm="1">
        <f t="array" ref="AA590">_xlfn.IFS(W590&gt;10,"Veteran",W590&gt;=6,"Experienced",W590&gt;=2,"Developing",W590&gt;=0,"New")</f>
        <v>Developing</v>
      </c>
      <c r="AB590" s="5" t="str" cm="1">
        <f t="array" ref="AB590">_xlfn.IFS(G590=1,"Junior",G590=2,"Mid-Level",G590=3,"Senior",G590=4,"Lead",G590=5,"Principal")&amp;" "&amp;TRIM(PROPER(H590))</f>
        <v>Lead Research Director</v>
      </c>
      <c r="AC590" s="19" t="str">
        <f t="shared" ca="1" si="109"/>
        <v>Re-Res-2022-589 is a Lead Research Director in the Research &amp; Development department, aged 50, married and has been with the Company for 4years</v>
      </c>
    </row>
    <row r="591" spans="1:29">
      <c r="A591" s="18" t="str">
        <f t="shared" ca="1" si="99"/>
        <v>La-Res-2025-590</v>
      </c>
      <c r="B591" s="5">
        <v>29</v>
      </c>
      <c r="C591" s="5" t="str">
        <f t="shared" si="100"/>
        <v>20-29</v>
      </c>
      <c r="D591" s="5" t="s">
        <v>35</v>
      </c>
      <c r="E591" s="5" t="s">
        <v>45</v>
      </c>
      <c r="F591" s="5" t="s">
        <v>39</v>
      </c>
      <c r="G591" s="5">
        <v>1</v>
      </c>
      <c r="H591" s="5" t="s">
        <v>50</v>
      </c>
      <c r="I591" s="5" t="s">
        <v>48</v>
      </c>
      <c r="J591" s="7">
        <v>2319</v>
      </c>
      <c r="K591" s="7">
        <f t="shared" si="101"/>
        <v>162.33000000000001</v>
      </c>
      <c r="L591" s="7">
        <f t="shared" si="102"/>
        <v>2156.67</v>
      </c>
      <c r="M591" s="7">
        <v>6689</v>
      </c>
      <c r="N591" s="5" t="s">
        <v>35</v>
      </c>
      <c r="O591" s="5">
        <v>11</v>
      </c>
      <c r="P591" s="7">
        <f t="shared" si="103"/>
        <v>2574.09</v>
      </c>
      <c r="Q591" s="7">
        <f t="shared" si="104"/>
        <v>3061.0800000000017</v>
      </c>
      <c r="R591" s="7" t="str">
        <f t="shared" si="105"/>
        <v>Normal</v>
      </c>
      <c r="S591" s="5">
        <v>3</v>
      </c>
      <c r="T591" s="5">
        <v>3</v>
      </c>
      <c r="U591" s="5" t="str" cm="1">
        <f t="array" ref="U591">_xlfn.IFS(T591=1,"Poor",T591=2,"Fair",T591=3,"Good",T591=4,"Excellent")</f>
        <v>Good</v>
      </c>
      <c r="V591" s="5" t="s">
        <v>35</v>
      </c>
      <c r="W591" s="5">
        <v>1</v>
      </c>
      <c r="X591" s="28">
        <f t="shared" ca="1" si="106"/>
        <v>45746</v>
      </c>
      <c r="Y591" s="28">
        <f t="shared" ca="1" si="107"/>
        <v>46476</v>
      </c>
      <c r="Z591" s="28" t="str">
        <f t="shared" ca="1" si="108"/>
        <v>Due Soon</v>
      </c>
      <c r="AA591" s="5" t="str" cm="1">
        <f t="array" ref="AA591">_xlfn.IFS(W591&gt;10,"Veteran",W591&gt;=6,"Experienced",W591&gt;=2,"Developing",W591&gt;=0,"New")</f>
        <v>New</v>
      </c>
      <c r="AB591" s="5" t="str" cm="1">
        <f t="array" ref="AB591">_xlfn.IFS(G591=1,"Junior",G591=2,"Mid-Level",G591=3,"Senior",G591=4,"Lead",G591=5,"Principal")&amp;" "&amp;TRIM(PROPER(H591))</f>
        <v>Junior Laboratory Technician</v>
      </c>
      <c r="AC591" s="19" t="str">
        <f t="shared" ca="1" si="109"/>
        <v>La-Res-2025-590 is a Junior Laboratory Technician in the Research &amp; Development department, aged 29, married and has been with the Company for 1years</v>
      </c>
    </row>
    <row r="592" spans="1:29">
      <c r="A592" s="18" t="str">
        <f t="shared" ca="1" si="99"/>
        <v>Re-Res-2013-591</v>
      </c>
      <c r="B592" s="5">
        <v>33</v>
      </c>
      <c r="C592" s="5" t="str">
        <f t="shared" si="100"/>
        <v>30-39</v>
      </c>
      <c r="D592" s="5" t="s">
        <v>43</v>
      </c>
      <c r="E592" s="5" t="s">
        <v>45</v>
      </c>
      <c r="F592" s="5" t="s">
        <v>46</v>
      </c>
      <c r="G592" s="5">
        <v>3</v>
      </c>
      <c r="H592" s="5" t="s">
        <v>58</v>
      </c>
      <c r="I592" s="5" t="s">
        <v>48</v>
      </c>
      <c r="J592" s="7">
        <v>11691</v>
      </c>
      <c r="K592" s="7">
        <f t="shared" si="101"/>
        <v>2572.02</v>
      </c>
      <c r="L592" s="7">
        <f t="shared" si="102"/>
        <v>9118.98</v>
      </c>
      <c r="M592" s="7">
        <v>25995</v>
      </c>
      <c r="N592" s="5" t="s">
        <v>43</v>
      </c>
      <c r="O592" s="5">
        <v>11</v>
      </c>
      <c r="P592" s="7">
        <f t="shared" si="103"/>
        <v>12977.010000000002</v>
      </c>
      <c r="Q592" s="7">
        <f t="shared" si="104"/>
        <v>15432.120000000024</v>
      </c>
      <c r="R592" s="7" t="str">
        <f t="shared" si="105"/>
        <v>Normal</v>
      </c>
      <c r="S592" s="5">
        <v>3</v>
      </c>
      <c r="T592" s="5">
        <v>4</v>
      </c>
      <c r="U592" s="5" t="str" cm="1">
        <f t="array" ref="U592">_xlfn.IFS(T592=1,"Poor",T592=2,"Fair",T592=3,"Good",T592=4,"Excellent")</f>
        <v>Excellent</v>
      </c>
      <c r="V592" s="5" t="s">
        <v>43</v>
      </c>
      <c r="W592" s="5">
        <v>13</v>
      </c>
      <c r="X592" s="28">
        <f t="shared" ca="1" si="106"/>
        <v>41363</v>
      </c>
      <c r="Y592" s="28">
        <f t="shared" ca="1" si="107"/>
        <v>46476</v>
      </c>
      <c r="Z592" s="28" t="str">
        <f t="shared" ca="1" si="108"/>
        <v>Due Soon</v>
      </c>
      <c r="AA592" s="5" t="str" cm="1">
        <f t="array" ref="AA592">_xlfn.IFS(W592&gt;10,"Veteran",W592&gt;=6,"Experienced",W592&gt;=2,"Developing",W592&gt;=0,"New")</f>
        <v>Veteran</v>
      </c>
      <c r="AB592" s="5" t="str" cm="1">
        <f t="array" ref="AB592">_xlfn.IFS(G592=1,"Junior",G592=2,"Mid-Level",G592=3,"Senior",G592=4,"Lead",G592=5,"Principal")&amp;" "&amp;TRIM(PROPER(H592))</f>
        <v>Senior Research Director</v>
      </c>
      <c r="AC592" s="19" t="str">
        <f t="shared" ca="1" si="109"/>
        <v>Re-Res-2013-591 is a Senior Research Director in the Research &amp; Development department, aged 33, married and has been with the Company for 13years</v>
      </c>
    </row>
    <row r="593" spans="1:29">
      <c r="A593" s="18" t="str">
        <f t="shared" ca="1" si="99"/>
        <v>Sa-Sal-2023-592</v>
      </c>
      <c r="B593" s="5">
        <v>33</v>
      </c>
      <c r="C593" s="5" t="str">
        <f t="shared" si="100"/>
        <v>30-39</v>
      </c>
      <c r="D593" s="5" t="s">
        <v>35</v>
      </c>
      <c r="E593" s="5" t="s">
        <v>37</v>
      </c>
      <c r="F593" s="5" t="s">
        <v>39</v>
      </c>
      <c r="G593" s="5">
        <v>2</v>
      </c>
      <c r="H593" s="5" t="s">
        <v>40</v>
      </c>
      <c r="I593" s="5" t="s">
        <v>41</v>
      </c>
      <c r="J593" s="7">
        <v>5324</v>
      </c>
      <c r="K593" s="7">
        <f t="shared" si="101"/>
        <v>798.6</v>
      </c>
      <c r="L593" s="7">
        <f t="shared" si="102"/>
        <v>4525.3999999999996</v>
      </c>
      <c r="M593" s="7">
        <v>26507</v>
      </c>
      <c r="N593" s="5" t="s">
        <v>43</v>
      </c>
      <c r="O593" s="5">
        <v>15</v>
      </c>
      <c r="P593" s="7">
        <f t="shared" si="103"/>
        <v>6122.5999999999995</v>
      </c>
      <c r="Q593" s="7">
        <f t="shared" si="104"/>
        <v>9583.1999999999935</v>
      </c>
      <c r="R593" s="7" t="str">
        <f t="shared" si="105"/>
        <v>Normal</v>
      </c>
      <c r="S593" s="5">
        <v>3</v>
      </c>
      <c r="T593" s="5">
        <v>3</v>
      </c>
      <c r="U593" s="5" t="str" cm="1">
        <f t="array" ref="U593">_xlfn.IFS(T593=1,"Poor",T593=2,"Fair",T593=3,"Good",T593=4,"Excellent")</f>
        <v>Good</v>
      </c>
      <c r="V593" s="5" t="s">
        <v>43</v>
      </c>
      <c r="W593" s="5">
        <v>3</v>
      </c>
      <c r="X593" s="28">
        <f t="shared" ca="1" si="106"/>
        <v>45015</v>
      </c>
      <c r="Y593" s="28">
        <f t="shared" ca="1" si="107"/>
        <v>46476</v>
      </c>
      <c r="Z593" s="28" t="str">
        <f t="shared" ca="1" si="108"/>
        <v>Due Soon</v>
      </c>
      <c r="AA593" s="5" t="str" cm="1">
        <f t="array" ref="AA593">_xlfn.IFS(W593&gt;10,"Veteran",W593&gt;=6,"Experienced",W593&gt;=2,"Developing",W593&gt;=0,"New")</f>
        <v>Developing</v>
      </c>
      <c r="AB593" s="5" t="str" cm="1">
        <f t="array" ref="AB593">_xlfn.IFS(G593=1,"Junior",G593=2,"Mid-Level",G593=3,"Senior",G593=4,"Lead",G593=5,"Principal")&amp;" "&amp;TRIM(PROPER(H593))</f>
        <v>Mid-Level Sales Executive</v>
      </c>
      <c r="AC593" s="19" t="str">
        <f t="shared" ca="1" si="109"/>
        <v>Sa-Sal-2023-592 is a Mid-Level Sales Executive in the Sales department, aged 33, single and has been with the Company for 3years</v>
      </c>
    </row>
    <row r="594" spans="1:29">
      <c r="A594" s="18" t="str">
        <f t="shared" ca="1" si="99"/>
        <v>Ma-Res-2000-593</v>
      </c>
      <c r="B594" s="5">
        <v>47</v>
      </c>
      <c r="C594" s="5" t="str">
        <f t="shared" si="100"/>
        <v>40-49</v>
      </c>
      <c r="D594" s="5" t="s">
        <v>43</v>
      </c>
      <c r="E594" s="5" t="s">
        <v>45</v>
      </c>
      <c r="F594" s="5" t="s">
        <v>39</v>
      </c>
      <c r="G594" s="5">
        <v>4</v>
      </c>
      <c r="H594" s="5" t="s">
        <v>56</v>
      </c>
      <c r="I594" s="5" t="s">
        <v>48</v>
      </c>
      <c r="J594" s="7">
        <v>16752</v>
      </c>
      <c r="K594" s="7">
        <f t="shared" si="101"/>
        <v>5025.5999999999995</v>
      </c>
      <c r="L594" s="7">
        <f t="shared" si="102"/>
        <v>11726.400000000001</v>
      </c>
      <c r="M594" s="7">
        <v>12982</v>
      </c>
      <c r="N594" s="5" t="s">
        <v>35</v>
      </c>
      <c r="O594" s="5">
        <v>11</v>
      </c>
      <c r="P594" s="7">
        <f t="shared" si="103"/>
        <v>18594.72</v>
      </c>
      <c r="Q594" s="7">
        <f t="shared" si="104"/>
        <v>22112.640000000014</v>
      </c>
      <c r="R594" s="7" t="str">
        <f t="shared" si="105"/>
        <v>Normal</v>
      </c>
      <c r="S594" s="5">
        <v>3</v>
      </c>
      <c r="T594" s="5">
        <v>2</v>
      </c>
      <c r="U594" s="5" t="str" cm="1">
        <f t="array" ref="U594">_xlfn.IFS(T594=1,"Poor",T594=2,"Fair",T594=3,"Good",T594=4,"Excellent")</f>
        <v>Fair</v>
      </c>
      <c r="V594" s="5" t="s">
        <v>35</v>
      </c>
      <c r="W594" s="5">
        <v>26</v>
      </c>
      <c r="X594" s="28">
        <f t="shared" ca="1" si="106"/>
        <v>36615</v>
      </c>
      <c r="Y594" s="28">
        <f t="shared" ca="1" si="107"/>
        <v>46842</v>
      </c>
      <c r="Z594" s="28" t="str">
        <f t="shared" ca="1" si="108"/>
        <v>Upcoming</v>
      </c>
      <c r="AA594" s="5" t="str" cm="1">
        <f t="array" ref="AA594">_xlfn.IFS(W594&gt;10,"Veteran",W594&gt;=6,"Experienced",W594&gt;=2,"Developing",W594&gt;=0,"New")</f>
        <v>Veteran</v>
      </c>
      <c r="AB594" s="5" t="str" cm="1">
        <f t="array" ref="AB594">_xlfn.IFS(G594=1,"Junior",G594=2,"Mid-Level",G594=3,"Senior",G594=4,"Lead",G594=5,"Principal")&amp;" "&amp;TRIM(PROPER(H594))</f>
        <v>Lead Manager</v>
      </c>
      <c r="AC594" s="19" t="str">
        <f t="shared" ca="1" si="109"/>
        <v>Ma-Res-2000-593 is a Lead Manager in the Research &amp; Development department, aged 47, married and has been with the Company for 26years</v>
      </c>
    </row>
    <row r="595" spans="1:29">
      <c r="A595" s="18" t="str">
        <f t="shared" ca="1" si="99"/>
        <v>Ma-Res-2017-594</v>
      </c>
      <c r="B595" s="5">
        <v>36</v>
      </c>
      <c r="C595" s="5" t="str">
        <f t="shared" si="100"/>
        <v>30-39</v>
      </c>
      <c r="D595" s="5" t="s">
        <v>43</v>
      </c>
      <c r="E595" s="5" t="s">
        <v>45</v>
      </c>
      <c r="F595" s="5" t="s">
        <v>39</v>
      </c>
      <c r="G595" s="5">
        <v>2</v>
      </c>
      <c r="H595" s="5" t="s">
        <v>53</v>
      </c>
      <c r="I595" s="5" t="s">
        <v>48</v>
      </c>
      <c r="J595" s="7">
        <v>5228</v>
      </c>
      <c r="K595" s="7">
        <f t="shared" si="101"/>
        <v>784.19999999999993</v>
      </c>
      <c r="L595" s="7">
        <f t="shared" si="102"/>
        <v>4443.8</v>
      </c>
      <c r="M595" s="7">
        <v>23361</v>
      </c>
      <c r="N595" s="5" t="s">
        <v>43</v>
      </c>
      <c r="O595" s="5">
        <v>15</v>
      </c>
      <c r="P595" s="7">
        <f t="shared" si="103"/>
        <v>6012.2</v>
      </c>
      <c r="Q595" s="7">
        <f t="shared" si="104"/>
        <v>9410.3999999999978</v>
      </c>
      <c r="R595" s="7" t="str">
        <f t="shared" si="105"/>
        <v>Normal</v>
      </c>
      <c r="S595" s="5">
        <v>3</v>
      </c>
      <c r="T595" s="5">
        <v>3</v>
      </c>
      <c r="U595" s="5" t="str" cm="1">
        <f t="array" ref="U595">_xlfn.IFS(T595=1,"Poor",T595=2,"Fair",T595=3,"Good",T595=4,"Excellent")</f>
        <v>Good</v>
      </c>
      <c r="V595" s="5" t="s">
        <v>43</v>
      </c>
      <c r="W595" s="5">
        <v>9</v>
      </c>
      <c r="X595" s="28">
        <f t="shared" ca="1" si="106"/>
        <v>42824</v>
      </c>
      <c r="Y595" s="28">
        <f t="shared" ca="1" si="107"/>
        <v>46476</v>
      </c>
      <c r="Z595" s="28" t="str">
        <f t="shared" ca="1" si="108"/>
        <v>Due Soon</v>
      </c>
      <c r="AA595" s="5" t="str" cm="1">
        <f t="array" ref="AA595">_xlfn.IFS(W595&gt;10,"Veteran",W595&gt;=6,"Experienced",W595&gt;=2,"Developing",W595&gt;=0,"New")</f>
        <v>Experienced</v>
      </c>
      <c r="AB595" s="5" t="str" cm="1">
        <f t="array" ref="AB595">_xlfn.IFS(G595=1,"Junior",G595=2,"Mid-Level",G595=3,"Senior",G595=4,"Lead",G595=5,"Principal")&amp;" "&amp;TRIM(PROPER(H595))</f>
        <v>Mid-Level Manufacturing Director</v>
      </c>
      <c r="AC595" s="19" t="str">
        <f t="shared" ca="1" si="109"/>
        <v>Ma-Res-2017-594 is a Mid-Level Manufacturing Director in the Research &amp; Development department, aged 36, married and has been with the Company for 9years</v>
      </c>
    </row>
    <row r="596" spans="1:29">
      <c r="A596" s="18" t="str">
        <f t="shared" ca="1" si="99"/>
        <v>Re-Res-2016-595</v>
      </c>
      <c r="B596" s="5">
        <v>29</v>
      </c>
      <c r="C596" s="5" t="str">
        <f t="shared" si="100"/>
        <v>20-29</v>
      </c>
      <c r="D596" s="5" t="s">
        <v>43</v>
      </c>
      <c r="E596" s="5" t="s">
        <v>45</v>
      </c>
      <c r="F596" s="5" t="s">
        <v>46</v>
      </c>
      <c r="G596" s="5">
        <v>1</v>
      </c>
      <c r="H596" s="5" t="s">
        <v>47</v>
      </c>
      <c r="I596" s="5" t="s">
        <v>48</v>
      </c>
      <c r="J596" s="7">
        <v>2700</v>
      </c>
      <c r="K596" s="7">
        <f t="shared" si="101"/>
        <v>189.00000000000003</v>
      </c>
      <c r="L596" s="7">
        <f t="shared" si="102"/>
        <v>2511</v>
      </c>
      <c r="M596" s="7">
        <v>23779</v>
      </c>
      <c r="N596" s="5" t="s">
        <v>43</v>
      </c>
      <c r="O596" s="5">
        <v>24</v>
      </c>
      <c r="P596" s="7">
        <f t="shared" si="103"/>
        <v>3348</v>
      </c>
      <c r="Q596" s="7">
        <f t="shared" si="104"/>
        <v>7776</v>
      </c>
      <c r="R596" s="7" t="str">
        <f t="shared" si="105"/>
        <v>Normal</v>
      </c>
      <c r="S596" s="5">
        <v>4</v>
      </c>
      <c r="T596" s="5">
        <v>3</v>
      </c>
      <c r="U596" s="5" t="str" cm="1">
        <f t="array" ref="U596">_xlfn.IFS(T596=1,"Poor",T596=2,"Fair",T596=3,"Good",T596=4,"Excellent")</f>
        <v>Good</v>
      </c>
      <c r="V596" s="5" t="s">
        <v>43</v>
      </c>
      <c r="W596" s="5">
        <v>10</v>
      </c>
      <c r="X596" s="28">
        <f t="shared" ca="1" si="106"/>
        <v>42459</v>
      </c>
      <c r="Y596" s="28">
        <f t="shared" ca="1" si="107"/>
        <v>46842</v>
      </c>
      <c r="Z596" s="28" t="str">
        <f t="shared" ca="1" si="108"/>
        <v>Upcoming</v>
      </c>
      <c r="AA596" s="5" t="str" cm="1">
        <f t="array" ref="AA596">_xlfn.IFS(W596&gt;10,"Veteran",W596&gt;=6,"Experienced",W596&gt;=2,"Developing",W596&gt;=0,"New")</f>
        <v>Experienced</v>
      </c>
      <c r="AB596" s="5" t="str" cm="1">
        <f t="array" ref="AB596">_xlfn.IFS(G596=1,"Junior",G596=2,"Mid-Level",G596=3,"Senior",G596=4,"Lead",G596=5,"Principal")&amp;" "&amp;TRIM(PROPER(H596))</f>
        <v>Junior Research Scientist</v>
      </c>
      <c r="AC596" s="19" t="str">
        <f t="shared" ca="1" si="109"/>
        <v>Re-Res-2016-595 is a Junior Research Scientist in the Research &amp; Development department, aged 29, married and has been with the Company for 10years</v>
      </c>
    </row>
    <row r="597" spans="1:29">
      <c r="A597" s="18" t="str">
        <f t="shared" ca="1" si="99"/>
        <v>Re-Res-1995-596</v>
      </c>
      <c r="B597" s="5">
        <v>58</v>
      </c>
      <c r="C597" s="5" t="str">
        <f t="shared" si="100"/>
        <v>50+</v>
      </c>
      <c r="D597" s="5" t="s">
        <v>35</v>
      </c>
      <c r="E597" s="5" t="s">
        <v>45</v>
      </c>
      <c r="F597" s="5" t="s">
        <v>46</v>
      </c>
      <c r="G597" s="5">
        <v>5</v>
      </c>
      <c r="H597" s="5" t="s">
        <v>58</v>
      </c>
      <c r="I597" s="5" t="s">
        <v>41</v>
      </c>
      <c r="J597" s="7">
        <v>19246</v>
      </c>
      <c r="K597" s="7">
        <f t="shared" si="101"/>
        <v>5773.8</v>
      </c>
      <c r="L597" s="7">
        <f t="shared" si="102"/>
        <v>13472.2</v>
      </c>
      <c r="M597" s="7">
        <v>25761</v>
      </c>
      <c r="N597" s="5" t="s">
        <v>35</v>
      </c>
      <c r="O597" s="5">
        <v>12</v>
      </c>
      <c r="P597" s="7">
        <f t="shared" si="103"/>
        <v>21555.52</v>
      </c>
      <c r="Q597" s="7">
        <f t="shared" si="104"/>
        <v>27714.240000000005</v>
      </c>
      <c r="R597" s="7" t="str">
        <f t="shared" si="105"/>
        <v>Normal</v>
      </c>
      <c r="S597" s="5">
        <v>3</v>
      </c>
      <c r="T597" s="5">
        <v>3</v>
      </c>
      <c r="U597" s="5" t="str" cm="1">
        <f t="array" ref="U597">_xlfn.IFS(T597=1,"Poor",T597=2,"Fair",T597=3,"Good",T597=4,"Excellent")</f>
        <v>Good</v>
      </c>
      <c r="V597" s="5" t="s">
        <v>35</v>
      </c>
      <c r="W597" s="5">
        <v>31</v>
      </c>
      <c r="X597" s="28">
        <f t="shared" ca="1" si="106"/>
        <v>34788</v>
      </c>
      <c r="Y597" s="28">
        <f t="shared" ca="1" si="107"/>
        <v>46476</v>
      </c>
      <c r="Z597" s="28" t="str">
        <f t="shared" ca="1" si="108"/>
        <v>Due Soon</v>
      </c>
      <c r="AA597" s="5" t="str" cm="1">
        <f t="array" ref="AA597">_xlfn.IFS(W597&gt;10,"Veteran",W597&gt;=6,"Experienced",W597&gt;=2,"Developing",W597&gt;=0,"New")</f>
        <v>Veteran</v>
      </c>
      <c r="AB597" s="5" t="str" cm="1">
        <f t="array" ref="AB597">_xlfn.IFS(G597=1,"Junior",G597=2,"Mid-Level",G597=3,"Senior",G597=4,"Lead",G597=5,"Principal")&amp;" "&amp;TRIM(PROPER(H597))</f>
        <v>Principal Research Director</v>
      </c>
      <c r="AC597" s="19" t="str">
        <f t="shared" ca="1" si="109"/>
        <v>Re-Res-1995-596 is a Principal Research Director in the Research &amp; Development department, aged 58, single and has been with the Company for 31years</v>
      </c>
    </row>
    <row r="598" spans="1:29">
      <c r="A598" s="18" t="str">
        <f t="shared" ca="1" si="99"/>
        <v>Re-Res-2024-597</v>
      </c>
      <c r="B598" s="5">
        <v>35</v>
      </c>
      <c r="C598" s="5" t="str">
        <f t="shared" si="100"/>
        <v>30-39</v>
      </c>
      <c r="D598" s="5" t="s">
        <v>43</v>
      </c>
      <c r="E598" s="5" t="s">
        <v>45</v>
      </c>
      <c r="F598" s="5" t="s">
        <v>39</v>
      </c>
      <c r="G598" s="5">
        <v>1</v>
      </c>
      <c r="H598" s="5" t="s">
        <v>47</v>
      </c>
      <c r="I598" s="5" t="s">
        <v>41</v>
      </c>
      <c r="J598" s="7">
        <v>2506</v>
      </c>
      <c r="K598" s="7">
        <f t="shared" si="101"/>
        <v>175.42000000000002</v>
      </c>
      <c r="L598" s="7">
        <f t="shared" si="102"/>
        <v>2330.58</v>
      </c>
      <c r="M598" s="7">
        <v>13301</v>
      </c>
      <c r="N598" s="5" t="s">
        <v>43</v>
      </c>
      <c r="O598" s="5">
        <v>13</v>
      </c>
      <c r="P598" s="7">
        <f t="shared" si="103"/>
        <v>2831.7799999999997</v>
      </c>
      <c r="Q598" s="7">
        <f t="shared" si="104"/>
        <v>3909.3599999999969</v>
      </c>
      <c r="R598" s="7" t="str">
        <f t="shared" si="105"/>
        <v>Normal</v>
      </c>
      <c r="S598" s="5">
        <v>3</v>
      </c>
      <c r="T598" s="5">
        <v>3</v>
      </c>
      <c r="U598" s="5" t="str" cm="1">
        <f t="array" ref="U598">_xlfn.IFS(T598=1,"Poor",T598=2,"Fair",T598=3,"Good",T598=4,"Excellent")</f>
        <v>Good</v>
      </c>
      <c r="V598" s="5" t="s">
        <v>43</v>
      </c>
      <c r="W598" s="5">
        <v>2</v>
      </c>
      <c r="X598" s="28">
        <f t="shared" ca="1" si="106"/>
        <v>45381</v>
      </c>
      <c r="Y598" s="28">
        <f t="shared" ca="1" si="107"/>
        <v>46842</v>
      </c>
      <c r="Z598" s="28" t="str">
        <f t="shared" ca="1" si="108"/>
        <v>Upcoming</v>
      </c>
      <c r="AA598" s="5" t="str" cm="1">
        <f t="array" ref="AA598">_xlfn.IFS(W598&gt;10,"Veteran",W598&gt;=6,"Experienced",W598&gt;=2,"Developing",W598&gt;=0,"New")</f>
        <v>Developing</v>
      </c>
      <c r="AB598" s="5" t="str" cm="1">
        <f t="array" ref="AB598">_xlfn.IFS(G598=1,"Junior",G598=2,"Mid-Level",G598=3,"Senior",G598=4,"Lead",G598=5,"Principal")&amp;" "&amp;TRIM(PROPER(H598))</f>
        <v>Junior Research Scientist</v>
      </c>
      <c r="AC598" s="19" t="str">
        <f t="shared" ca="1" si="109"/>
        <v>Re-Res-2024-597 is a Junior Research Scientist in the Research &amp; Development department, aged 35, single and has been with the Company for 2years</v>
      </c>
    </row>
    <row r="599" spans="1:29">
      <c r="A599" s="18" t="str">
        <f t="shared" ca="1" si="99"/>
        <v>Ma-Res-2022-598</v>
      </c>
      <c r="B599" s="5">
        <v>42</v>
      </c>
      <c r="C599" s="5" t="str">
        <f t="shared" si="100"/>
        <v>40-49</v>
      </c>
      <c r="D599" s="5" t="s">
        <v>43</v>
      </c>
      <c r="E599" s="5" t="s">
        <v>45</v>
      </c>
      <c r="F599" s="5" t="s">
        <v>39</v>
      </c>
      <c r="G599" s="5">
        <v>2</v>
      </c>
      <c r="H599" s="5" t="s">
        <v>53</v>
      </c>
      <c r="I599" s="5" t="s">
        <v>48</v>
      </c>
      <c r="J599" s="7">
        <v>6062</v>
      </c>
      <c r="K599" s="7">
        <f t="shared" si="101"/>
        <v>909.3</v>
      </c>
      <c r="L599" s="7">
        <f t="shared" si="102"/>
        <v>5152.7</v>
      </c>
      <c r="M599" s="7">
        <v>4051</v>
      </c>
      <c r="N599" s="5" t="s">
        <v>35</v>
      </c>
      <c r="O599" s="5">
        <v>13</v>
      </c>
      <c r="P599" s="7">
        <f t="shared" si="103"/>
        <v>6850.0599999999995</v>
      </c>
      <c r="Q599" s="7">
        <f t="shared" si="104"/>
        <v>9456.7199999999939</v>
      </c>
      <c r="R599" s="7" t="str">
        <f t="shared" si="105"/>
        <v>Normal</v>
      </c>
      <c r="S599" s="5">
        <v>3</v>
      </c>
      <c r="T599" s="5">
        <v>3</v>
      </c>
      <c r="U599" s="5" t="str" cm="1">
        <f t="array" ref="U599">_xlfn.IFS(T599=1,"Poor",T599=2,"Fair",T599=3,"Good",T599=4,"Excellent")</f>
        <v>Good</v>
      </c>
      <c r="V599" s="5" t="s">
        <v>35</v>
      </c>
      <c r="W599" s="5">
        <v>4</v>
      </c>
      <c r="X599" s="28">
        <f t="shared" ca="1" si="106"/>
        <v>44650</v>
      </c>
      <c r="Y599" s="28">
        <f t="shared" ca="1" si="107"/>
        <v>46842</v>
      </c>
      <c r="Z599" s="28" t="str">
        <f t="shared" ca="1" si="108"/>
        <v>Upcoming</v>
      </c>
      <c r="AA599" s="5" t="str" cm="1">
        <f t="array" ref="AA599">_xlfn.IFS(W599&gt;10,"Veteran",W599&gt;=6,"Experienced",W599&gt;=2,"Developing",W599&gt;=0,"New")</f>
        <v>Developing</v>
      </c>
      <c r="AB599" s="5" t="str" cm="1">
        <f t="array" ref="AB599">_xlfn.IFS(G599=1,"Junior",G599=2,"Mid-Level",G599=3,"Senior",G599=4,"Lead",G599=5,"Principal")&amp;" "&amp;TRIM(PROPER(H599))</f>
        <v>Mid-Level Manufacturing Director</v>
      </c>
      <c r="AC599" s="19" t="str">
        <f t="shared" ca="1" si="109"/>
        <v>Ma-Res-2022-598 is a Mid-Level Manufacturing Director in the Research &amp; Development department, aged 42, married and has been with the Company for 4years</v>
      </c>
    </row>
    <row r="600" spans="1:29">
      <c r="A600" s="18" t="str">
        <f t="shared" ca="1" si="99"/>
        <v>Re-Res-2024-599</v>
      </c>
      <c r="B600" s="5">
        <v>28</v>
      </c>
      <c r="C600" s="5" t="str">
        <f t="shared" si="100"/>
        <v>20-29</v>
      </c>
      <c r="D600" s="5" t="s">
        <v>35</v>
      </c>
      <c r="E600" s="5" t="s">
        <v>45</v>
      </c>
      <c r="F600" s="5" t="s">
        <v>46</v>
      </c>
      <c r="G600" s="5">
        <v>1</v>
      </c>
      <c r="H600" s="5" t="s">
        <v>47</v>
      </c>
      <c r="I600" s="5" t="s">
        <v>41</v>
      </c>
      <c r="J600" s="7">
        <v>4382</v>
      </c>
      <c r="K600" s="7">
        <f t="shared" si="101"/>
        <v>657.3</v>
      </c>
      <c r="L600" s="7">
        <f t="shared" si="102"/>
        <v>3724.7</v>
      </c>
      <c r="M600" s="7">
        <v>16374</v>
      </c>
      <c r="N600" s="5" t="s">
        <v>43</v>
      </c>
      <c r="O600" s="5">
        <v>17</v>
      </c>
      <c r="P600" s="7">
        <f t="shared" si="103"/>
        <v>5126.9399999999996</v>
      </c>
      <c r="Q600" s="7">
        <f t="shared" si="104"/>
        <v>8939.2799999999952</v>
      </c>
      <c r="R600" s="7" t="str">
        <f t="shared" si="105"/>
        <v>Normal</v>
      </c>
      <c r="S600" s="5">
        <v>3</v>
      </c>
      <c r="T600" s="5">
        <v>2</v>
      </c>
      <c r="U600" s="5" t="str" cm="1">
        <f t="array" ref="U600">_xlfn.IFS(T600=1,"Poor",T600=2,"Fair",T600=3,"Good",T600=4,"Excellent")</f>
        <v>Fair</v>
      </c>
      <c r="V600" s="5" t="s">
        <v>43</v>
      </c>
      <c r="W600" s="5">
        <v>2</v>
      </c>
      <c r="X600" s="28">
        <f t="shared" ca="1" si="106"/>
        <v>45381</v>
      </c>
      <c r="Y600" s="28">
        <f t="shared" ca="1" si="107"/>
        <v>46842</v>
      </c>
      <c r="Z600" s="28" t="str">
        <f t="shared" ca="1" si="108"/>
        <v>Upcoming</v>
      </c>
      <c r="AA600" s="5" t="str" cm="1">
        <f t="array" ref="AA600">_xlfn.IFS(W600&gt;10,"Veteran",W600&gt;=6,"Experienced",W600&gt;=2,"Developing",W600&gt;=0,"New")</f>
        <v>Developing</v>
      </c>
      <c r="AB600" s="5" t="str" cm="1">
        <f t="array" ref="AB600">_xlfn.IFS(G600=1,"Junior",G600=2,"Mid-Level",G600=3,"Senior",G600=4,"Lead",G600=5,"Principal")&amp;" "&amp;TRIM(PROPER(H600))</f>
        <v>Junior Research Scientist</v>
      </c>
      <c r="AC600" s="19" t="str">
        <f t="shared" ca="1" si="109"/>
        <v>Re-Res-2024-599 is a Junior Research Scientist in the Research &amp; Development department, aged 28, single and has been with the Company for 2years</v>
      </c>
    </row>
    <row r="601" spans="1:29">
      <c r="A601" s="18" t="str">
        <f t="shared" ca="1" si="99"/>
        <v>Hu-Hum-2021-600</v>
      </c>
      <c r="B601" s="5">
        <v>36</v>
      </c>
      <c r="C601" s="5" t="str">
        <f t="shared" si="100"/>
        <v>30-39</v>
      </c>
      <c r="D601" s="5" t="s">
        <v>43</v>
      </c>
      <c r="E601" s="5" t="s">
        <v>61</v>
      </c>
      <c r="F601" s="5" t="s">
        <v>46</v>
      </c>
      <c r="G601" s="5">
        <v>1</v>
      </c>
      <c r="H601" s="5" t="s">
        <v>61</v>
      </c>
      <c r="I601" s="5" t="s">
        <v>48</v>
      </c>
      <c r="J601" s="7">
        <v>2143</v>
      </c>
      <c r="K601" s="7">
        <f t="shared" si="101"/>
        <v>150.01000000000002</v>
      </c>
      <c r="L601" s="7">
        <f t="shared" si="102"/>
        <v>1992.99</v>
      </c>
      <c r="M601" s="7">
        <v>25527</v>
      </c>
      <c r="N601" s="5" t="s">
        <v>43</v>
      </c>
      <c r="O601" s="5">
        <v>13</v>
      </c>
      <c r="P601" s="7">
        <f t="shared" si="103"/>
        <v>2421.5899999999997</v>
      </c>
      <c r="Q601" s="7">
        <f t="shared" si="104"/>
        <v>3343.0799999999963</v>
      </c>
      <c r="R601" s="7" t="str">
        <f t="shared" si="105"/>
        <v>Normal</v>
      </c>
      <c r="S601" s="5">
        <v>3</v>
      </c>
      <c r="T601" s="5">
        <v>3</v>
      </c>
      <c r="U601" s="5" t="str" cm="1">
        <f t="array" ref="U601">_xlfn.IFS(T601=1,"Poor",T601=2,"Fair",T601=3,"Good",T601=4,"Excellent")</f>
        <v>Good</v>
      </c>
      <c r="V601" s="5" t="s">
        <v>43</v>
      </c>
      <c r="W601" s="5">
        <v>5</v>
      </c>
      <c r="X601" s="28">
        <f t="shared" ca="1" si="106"/>
        <v>44285</v>
      </c>
      <c r="Y601" s="28">
        <f t="shared" ca="1" si="107"/>
        <v>46476</v>
      </c>
      <c r="Z601" s="28" t="str">
        <f t="shared" ca="1" si="108"/>
        <v>Due Soon</v>
      </c>
      <c r="AA601" s="5" t="str" cm="1">
        <f t="array" ref="AA601">_xlfn.IFS(W601&gt;10,"Veteran",W601&gt;=6,"Experienced",W601&gt;=2,"Developing",W601&gt;=0,"New")</f>
        <v>Developing</v>
      </c>
      <c r="AB601" s="5" t="str" cm="1">
        <f t="array" ref="AB601">_xlfn.IFS(G601=1,"Junior",G601=2,"Mid-Level",G601=3,"Senior",G601=4,"Lead",G601=5,"Principal")&amp;" "&amp;TRIM(PROPER(H601))</f>
        <v>Junior Human Resources</v>
      </c>
      <c r="AC601" s="19" t="str">
        <f t="shared" ca="1" si="109"/>
        <v>Hu-Hum-2021-600 is a Junior Human Resources in the Human Resources department, aged 36, married and has been with the Company for 5years</v>
      </c>
    </row>
    <row r="602" spans="1:29">
      <c r="A602" s="18" t="str">
        <f t="shared" ca="1" si="99"/>
        <v>Ma-Res-2012-601</v>
      </c>
      <c r="B602" s="5">
        <v>32</v>
      </c>
      <c r="C602" s="5" t="str">
        <f t="shared" si="100"/>
        <v>30-39</v>
      </c>
      <c r="D602" s="5" t="s">
        <v>43</v>
      </c>
      <c r="E602" s="5" t="s">
        <v>45</v>
      </c>
      <c r="F602" s="5" t="s">
        <v>39</v>
      </c>
      <c r="G602" s="5">
        <v>2</v>
      </c>
      <c r="H602" s="5" t="s">
        <v>53</v>
      </c>
      <c r="I602" s="5" t="s">
        <v>48</v>
      </c>
      <c r="J602" s="7">
        <v>6162</v>
      </c>
      <c r="K602" s="7">
        <f t="shared" si="101"/>
        <v>924.3</v>
      </c>
      <c r="L602" s="7">
        <f t="shared" si="102"/>
        <v>5237.7</v>
      </c>
      <c r="M602" s="7">
        <v>19124</v>
      </c>
      <c r="N602" s="5" t="s">
        <v>43</v>
      </c>
      <c r="O602" s="5">
        <v>12</v>
      </c>
      <c r="P602" s="7">
        <f t="shared" si="103"/>
        <v>6901.4400000000005</v>
      </c>
      <c r="Q602" s="7">
        <f t="shared" si="104"/>
        <v>8873.2800000000061</v>
      </c>
      <c r="R602" s="7" t="str">
        <f t="shared" si="105"/>
        <v>Normal</v>
      </c>
      <c r="S602" s="5">
        <v>3</v>
      </c>
      <c r="T602" s="5">
        <v>3</v>
      </c>
      <c r="U602" s="5" t="str" cm="1">
        <f t="array" ref="U602">_xlfn.IFS(T602=1,"Poor",T602=2,"Fair",T602=3,"Good",T602=4,"Excellent")</f>
        <v>Good</v>
      </c>
      <c r="V602" s="5" t="s">
        <v>43</v>
      </c>
      <c r="W602" s="5">
        <v>14</v>
      </c>
      <c r="X602" s="28">
        <f t="shared" ca="1" si="106"/>
        <v>40998</v>
      </c>
      <c r="Y602" s="28">
        <f t="shared" ca="1" si="107"/>
        <v>46842</v>
      </c>
      <c r="Z602" s="28" t="str">
        <f t="shared" ca="1" si="108"/>
        <v>Upcoming</v>
      </c>
      <c r="AA602" s="5" t="str" cm="1">
        <f t="array" ref="AA602">_xlfn.IFS(W602&gt;10,"Veteran",W602&gt;=6,"Experienced",W602&gt;=2,"Developing",W602&gt;=0,"New")</f>
        <v>Veteran</v>
      </c>
      <c r="AB602" s="5" t="str" cm="1">
        <f t="array" ref="AB602">_xlfn.IFS(G602=1,"Junior",G602=2,"Mid-Level",G602=3,"Senior",G602=4,"Lead",G602=5,"Principal")&amp;" "&amp;TRIM(PROPER(H602))</f>
        <v>Mid-Level Manufacturing Director</v>
      </c>
      <c r="AC602" s="19" t="str">
        <f t="shared" ca="1" si="109"/>
        <v>Ma-Res-2012-601 is a Mid-Level Manufacturing Director in the Research &amp; Development department, aged 32, married and has been with the Company for 14years</v>
      </c>
    </row>
    <row r="603" spans="1:29">
      <c r="A603" s="18" t="str">
        <f t="shared" ca="1" si="99"/>
        <v>La-Res-2025-602</v>
      </c>
      <c r="B603" s="5">
        <v>40</v>
      </c>
      <c r="C603" s="5" t="str">
        <f t="shared" si="100"/>
        <v>40-49</v>
      </c>
      <c r="D603" s="5" t="s">
        <v>43</v>
      </c>
      <c r="E603" s="5" t="s">
        <v>45</v>
      </c>
      <c r="F603" s="5" t="s">
        <v>46</v>
      </c>
      <c r="G603" s="5">
        <v>2</v>
      </c>
      <c r="H603" s="5" t="s">
        <v>50</v>
      </c>
      <c r="I603" s="5" t="s">
        <v>41</v>
      </c>
      <c r="J603" s="7">
        <v>5094</v>
      </c>
      <c r="K603" s="7">
        <f t="shared" si="101"/>
        <v>764.1</v>
      </c>
      <c r="L603" s="7">
        <f t="shared" si="102"/>
        <v>4329.8999999999996</v>
      </c>
      <c r="M603" s="7">
        <v>11983</v>
      </c>
      <c r="N603" s="5" t="s">
        <v>43</v>
      </c>
      <c r="O603" s="5">
        <v>14</v>
      </c>
      <c r="P603" s="7">
        <f t="shared" si="103"/>
        <v>5807.1600000000008</v>
      </c>
      <c r="Q603" s="7">
        <f t="shared" si="104"/>
        <v>8557.9200000000092</v>
      </c>
      <c r="R603" s="7" t="str">
        <f t="shared" si="105"/>
        <v>Normal</v>
      </c>
      <c r="S603" s="5">
        <v>3</v>
      </c>
      <c r="T603" s="5">
        <v>3</v>
      </c>
      <c r="U603" s="5" t="str" cm="1">
        <f t="array" ref="U603">_xlfn.IFS(T603=1,"Poor",T603=2,"Fair",T603=3,"Good",T603=4,"Excellent")</f>
        <v>Good</v>
      </c>
      <c r="V603" s="5" t="s">
        <v>43</v>
      </c>
      <c r="W603" s="5">
        <v>1</v>
      </c>
      <c r="X603" s="28">
        <f t="shared" ca="1" si="106"/>
        <v>45746</v>
      </c>
      <c r="Y603" s="28">
        <f t="shared" ca="1" si="107"/>
        <v>46476</v>
      </c>
      <c r="Z603" s="28" t="str">
        <f t="shared" ca="1" si="108"/>
        <v>Due Soon</v>
      </c>
      <c r="AA603" s="5" t="str" cm="1">
        <f t="array" ref="AA603">_xlfn.IFS(W603&gt;10,"Veteran",W603&gt;=6,"Experienced",W603&gt;=2,"Developing",W603&gt;=0,"New")</f>
        <v>New</v>
      </c>
      <c r="AB603" s="5" t="str" cm="1">
        <f t="array" ref="AB603">_xlfn.IFS(G603=1,"Junior",G603=2,"Mid-Level",G603=3,"Senior",G603=4,"Lead",G603=5,"Principal")&amp;" "&amp;TRIM(PROPER(H603))</f>
        <v>Mid-Level Laboratory Technician</v>
      </c>
      <c r="AC603" s="19" t="str">
        <f t="shared" ca="1" si="109"/>
        <v>La-Res-2025-602 is a Mid-Level Laboratory Technician in the Research &amp; Development department, aged 40, single and has been with the Company for 1years</v>
      </c>
    </row>
    <row r="604" spans="1:29">
      <c r="A604" s="18" t="str">
        <f t="shared" ca="1" si="99"/>
        <v>Ma-Res-2026-603</v>
      </c>
      <c r="B604" s="5">
        <v>30</v>
      </c>
      <c r="C604" s="5" t="str">
        <f t="shared" si="100"/>
        <v>30-39</v>
      </c>
      <c r="D604" s="5" t="s">
        <v>43</v>
      </c>
      <c r="E604" s="5" t="s">
        <v>45</v>
      </c>
      <c r="F604" s="5" t="s">
        <v>39</v>
      </c>
      <c r="G604" s="5">
        <v>2</v>
      </c>
      <c r="H604" s="5" t="s">
        <v>53</v>
      </c>
      <c r="I604" s="5" t="s">
        <v>41</v>
      </c>
      <c r="J604" s="7">
        <v>6877</v>
      </c>
      <c r="K604" s="7">
        <f t="shared" si="101"/>
        <v>1031.55</v>
      </c>
      <c r="L604" s="7">
        <f t="shared" si="102"/>
        <v>5845.45</v>
      </c>
      <c r="M604" s="7">
        <v>20234</v>
      </c>
      <c r="N604" s="5" t="s">
        <v>35</v>
      </c>
      <c r="O604" s="5">
        <v>24</v>
      </c>
      <c r="P604" s="7">
        <f t="shared" si="103"/>
        <v>8527.48</v>
      </c>
      <c r="Q604" s="7">
        <f t="shared" si="104"/>
        <v>19805.759999999995</v>
      </c>
      <c r="R604" s="7" t="str">
        <f t="shared" si="105"/>
        <v>Normal</v>
      </c>
      <c r="S604" s="5">
        <v>4</v>
      </c>
      <c r="T604" s="5">
        <v>2</v>
      </c>
      <c r="U604" s="5" t="str" cm="1">
        <f t="array" ref="U604">_xlfn.IFS(T604=1,"Poor",T604=2,"Fair",T604=3,"Good",T604=4,"Excellent")</f>
        <v>Fair</v>
      </c>
      <c r="V604" s="5" t="s">
        <v>35</v>
      </c>
      <c r="W604" s="5">
        <v>0</v>
      </c>
      <c r="X604" s="28">
        <f t="shared" ca="1" si="106"/>
        <v>46111</v>
      </c>
      <c r="Y604" s="28">
        <f t="shared" ca="1" si="107"/>
        <v>46842</v>
      </c>
      <c r="Z604" s="28" t="str">
        <f t="shared" ca="1" si="108"/>
        <v>Upcoming</v>
      </c>
      <c r="AA604" s="5" t="str" cm="1">
        <f t="array" ref="AA604">_xlfn.IFS(W604&gt;10,"Veteran",W604&gt;=6,"Experienced",W604&gt;=2,"Developing",W604&gt;=0,"New")</f>
        <v>New</v>
      </c>
      <c r="AB604" s="5" t="str" cm="1">
        <f t="array" ref="AB604">_xlfn.IFS(G604=1,"Junior",G604=2,"Mid-Level",G604=3,"Senior",G604=4,"Lead",G604=5,"Principal")&amp;" "&amp;TRIM(PROPER(H604))</f>
        <v>Mid-Level Manufacturing Director</v>
      </c>
      <c r="AC604" s="19" t="str">
        <f t="shared" ca="1" si="109"/>
        <v>Ma-Res-2026-603 is a Mid-Level Manufacturing Director in the Research &amp; Development department, aged 30, single and has been with the Company for 0years</v>
      </c>
    </row>
    <row r="605" spans="1:29">
      <c r="A605" s="18" t="str">
        <f t="shared" ca="1" si="99"/>
        <v>Re-Res-2025-604</v>
      </c>
      <c r="B605" s="5">
        <v>45</v>
      </c>
      <c r="C605" s="5" t="str">
        <f t="shared" si="100"/>
        <v>40-49</v>
      </c>
      <c r="D605" s="5" t="s">
        <v>43</v>
      </c>
      <c r="E605" s="5" t="s">
        <v>45</v>
      </c>
      <c r="F605" s="5" t="s">
        <v>39</v>
      </c>
      <c r="G605" s="5">
        <v>1</v>
      </c>
      <c r="H605" s="5" t="s">
        <v>47</v>
      </c>
      <c r="I605" s="5" t="s">
        <v>41</v>
      </c>
      <c r="J605" s="7">
        <v>2274</v>
      </c>
      <c r="K605" s="7">
        <f t="shared" si="101"/>
        <v>159.18</v>
      </c>
      <c r="L605" s="7">
        <f t="shared" si="102"/>
        <v>2114.8200000000002</v>
      </c>
      <c r="M605" s="7">
        <v>6153</v>
      </c>
      <c r="N605" s="5" t="s">
        <v>43</v>
      </c>
      <c r="O605" s="5">
        <v>14</v>
      </c>
      <c r="P605" s="7">
        <f t="shared" si="103"/>
        <v>2592.36</v>
      </c>
      <c r="Q605" s="7">
        <f t="shared" si="104"/>
        <v>3820.3200000000015</v>
      </c>
      <c r="R605" s="7" t="str">
        <f t="shared" si="105"/>
        <v>Normal</v>
      </c>
      <c r="S605" s="5">
        <v>3</v>
      </c>
      <c r="T605" s="5">
        <v>3</v>
      </c>
      <c r="U605" s="5" t="str" cm="1">
        <f t="array" ref="U605">_xlfn.IFS(T605=1,"Poor",T605=2,"Fair",T605=3,"Good",T605=4,"Excellent")</f>
        <v>Good</v>
      </c>
      <c r="V605" s="5" t="s">
        <v>43</v>
      </c>
      <c r="W605" s="5">
        <v>1</v>
      </c>
      <c r="X605" s="28">
        <f t="shared" ca="1" si="106"/>
        <v>45746</v>
      </c>
      <c r="Y605" s="28">
        <f t="shared" ca="1" si="107"/>
        <v>46476</v>
      </c>
      <c r="Z605" s="28" t="str">
        <f t="shared" ca="1" si="108"/>
        <v>Due Soon</v>
      </c>
      <c r="AA605" s="5" t="str" cm="1">
        <f t="array" ref="AA605">_xlfn.IFS(W605&gt;10,"Veteran",W605&gt;=6,"Experienced",W605&gt;=2,"Developing",W605&gt;=0,"New")</f>
        <v>New</v>
      </c>
      <c r="AB605" s="5" t="str" cm="1">
        <f t="array" ref="AB605">_xlfn.IFS(G605=1,"Junior",G605=2,"Mid-Level",G605=3,"Senior",G605=4,"Lead",G605=5,"Principal")&amp;" "&amp;TRIM(PROPER(H605))</f>
        <v>Junior Research Scientist</v>
      </c>
      <c r="AC605" s="19" t="str">
        <f t="shared" ca="1" si="109"/>
        <v>Re-Res-2025-604 is a Junior Research Scientist in the Research &amp; Development department, aged 45, single and has been with the Company for 1years</v>
      </c>
    </row>
    <row r="606" spans="1:29">
      <c r="A606" s="18" t="str">
        <f t="shared" ca="1" si="99"/>
        <v>Ma-Res-2017-605</v>
      </c>
      <c r="B606" s="5">
        <v>42</v>
      </c>
      <c r="C606" s="5" t="str">
        <f t="shared" si="100"/>
        <v>40-49</v>
      </c>
      <c r="D606" s="5" t="s">
        <v>43</v>
      </c>
      <c r="E606" s="5" t="s">
        <v>45</v>
      </c>
      <c r="F606" s="5" t="s">
        <v>46</v>
      </c>
      <c r="G606" s="5">
        <v>2</v>
      </c>
      <c r="H606" s="5" t="s">
        <v>53</v>
      </c>
      <c r="I606" s="5" t="s">
        <v>48</v>
      </c>
      <c r="J606" s="7">
        <v>4434</v>
      </c>
      <c r="K606" s="7">
        <f t="shared" si="101"/>
        <v>665.1</v>
      </c>
      <c r="L606" s="7">
        <f t="shared" si="102"/>
        <v>3768.9</v>
      </c>
      <c r="M606" s="7">
        <v>11806</v>
      </c>
      <c r="N606" s="5" t="s">
        <v>43</v>
      </c>
      <c r="O606" s="5">
        <v>13</v>
      </c>
      <c r="P606" s="7">
        <f t="shared" si="103"/>
        <v>5010.4199999999992</v>
      </c>
      <c r="Q606" s="7">
        <f t="shared" si="104"/>
        <v>6917.03999999999</v>
      </c>
      <c r="R606" s="7" t="str">
        <f t="shared" si="105"/>
        <v>Normal</v>
      </c>
      <c r="S606" s="5">
        <v>3</v>
      </c>
      <c r="T606" s="5">
        <v>2</v>
      </c>
      <c r="U606" s="5" t="str" cm="1">
        <f t="array" ref="U606">_xlfn.IFS(T606=1,"Poor",T606=2,"Fair",T606=3,"Good",T606=4,"Excellent")</f>
        <v>Fair</v>
      </c>
      <c r="V606" s="5" t="s">
        <v>43</v>
      </c>
      <c r="W606" s="5">
        <v>9</v>
      </c>
      <c r="X606" s="28">
        <f t="shared" ca="1" si="106"/>
        <v>42824</v>
      </c>
      <c r="Y606" s="28">
        <f t="shared" ca="1" si="107"/>
        <v>46476</v>
      </c>
      <c r="Z606" s="28" t="str">
        <f t="shared" ca="1" si="108"/>
        <v>Due Soon</v>
      </c>
      <c r="AA606" s="5" t="str" cm="1">
        <f t="array" ref="AA606">_xlfn.IFS(W606&gt;10,"Veteran",W606&gt;=6,"Experienced",W606&gt;=2,"Developing",W606&gt;=0,"New")</f>
        <v>Experienced</v>
      </c>
      <c r="AB606" s="5" t="str" cm="1">
        <f t="array" ref="AB606">_xlfn.IFS(G606=1,"Junior",G606=2,"Mid-Level",G606=3,"Senior",G606=4,"Lead",G606=5,"Principal")&amp;" "&amp;TRIM(PROPER(H606))</f>
        <v>Mid-Level Manufacturing Director</v>
      </c>
      <c r="AC606" s="19" t="str">
        <f t="shared" ca="1" si="109"/>
        <v>Ma-Res-2017-605 is a Mid-Level Manufacturing Director in the Research &amp; Development department, aged 42, married and has been with the Company for 9years</v>
      </c>
    </row>
    <row r="607" spans="1:29">
      <c r="A607" s="18" t="str">
        <f t="shared" ca="1" si="99"/>
        <v>He-Res-2022-606</v>
      </c>
      <c r="B607" s="5">
        <v>38</v>
      </c>
      <c r="C607" s="5" t="str">
        <f t="shared" si="100"/>
        <v>30-39</v>
      </c>
      <c r="D607" s="5" t="s">
        <v>43</v>
      </c>
      <c r="E607" s="5" t="s">
        <v>45</v>
      </c>
      <c r="F607" s="5" t="s">
        <v>46</v>
      </c>
      <c r="G607" s="5">
        <v>2</v>
      </c>
      <c r="H607" s="5" t="s">
        <v>54</v>
      </c>
      <c r="I607" s="5" t="s">
        <v>52</v>
      </c>
      <c r="J607" s="7">
        <v>6288</v>
      </c>
      <c r="K607" s="7">
        <f t="shared" si="101"/>
        <v>943.19999999999993</v>
      </c>
      <c r="L607" s="7">
        <f t="shared" si="102"/>
        <v>5344.8</v>
      </c>
      <c r="M607" s="7">
        <v>4284</v>
      </c>
      <c r="N607" s="5" t="s">
        <v>43</v>
      </c>
      <c r="O607" s="5">
        <v>15</v>
      </c>
      <c r="P607" s="7">
        <f t="shared" si="103"/>
        <v>7231.2</v>
      </c>
      <c r="Q607" s="7">
        <f t="shared" si="104"/>
        <v>11318.399999999998</v>
      </c>
      <c r="R607" s="7" t="str">
        <f t="shared" si="105"/>
        <v>Normal</v>
      </c>
      <c r="S607" s="5">
        <v>3</v>
      </c>
      <c r="T607" s="5">
        <v>2</v>
      </c>
      <c r="U607" s="5" t="str" cm="1">
        <f t="array" ref="U607">_xlfn.IFS(T607=1,"Poor",T607=2,"Fair",T607=3,"Good",T607=4,"Excellent")</f>
        <v>Fair</v>
      </c>
      <c r="V607" s="5" t="s">
        <v>43</v>
      </c>
      <c r="W607" s="5">
        <v>4</v>
      </c>
      <c r="X607" s="28">
        <f t="shared" ca="1" si="106"/>
        <v>44650</v>
      </c>
      <c r="Y607" s="28">
        <f t="shared" ca="1" si="107"/>
        <v>46842</v>
      </c>
      <c r="Z607" s="28" t="str">
        <f t="shared" ca="1" si="108"/>
        <v>Upcoming</v>
      </c>
      <c r="AA607" s="5" t="str" cm="1">
        <f t="array" ref="AA607">_xlfn.IFS(W607&gt;10,"Veteran",W607&gt;=6,"Experienced",W607&gt;=2,"Developing",W607&gt;=0,"New")</f>
        <v>Developing</v>
      </c>
      <c r="AB607" s="5" t="str" cm="1">
        <f t="array" ref="AB607">_xlfn.IFS(G607=1,"Junior",G607=2,"Mid-Level",G607=3,"Senior",G607=4,"Lead",G607=5,"Principal")&amp;" "&amp;TRIM(PROPER(H607))</f>
        <v>Mid-Level Healthcare Representative</v>
      </c>
      <c r="AC607" s="19" t="str">
        <f t="shared" ca="1" si="109"/>
        <v>He-Res-2022-606 is a Mid-Level Healthcare Representative in the Research &amp; Development department, aged 38, divorced and has been with the Company for 4years</v>
      </c>
    </row>
    <row r="608" spans="1:29">
      <c r="A608" s="18" t="str">
        <f t="shared" ca="1" si="99"/>
        <v>Re-Res-2021-607</v>
      </c>
      <c r="B608" s="5">
        <v>34</v>
      </c>
      <c r="C608" s="5" t="str">
        <f t="shared" si="100"/>
        <v>30-39</v>
      </c>
      <c r="D608" s="5" t="s">
        <v>43</v>
      </c>
      <c r="E608" s="5" t="s">
        <v>45</v>
      </c>
      <c r="F608" s="5" t="s">
        <v>39</v>
      </c>
      <c r="G608" s="5">
        <v>1</v>
      </c>
      <c r="H608" s="5" t="s">
        <v>47</v>
      </c>
      <c r="I608" s="5" t="s">
        <v>41</v>
      </c>
      <c r="J608" s="7">
        <v>2553</v>
      </c>
      <c r="K608" s="7">
        <f t="shared" si="101"/>
        <v>178.71</v>
      </c>
      <c r="L608" s="7">
        <f t="shared" si="102"/>
        <v>2374.29</v>
      </c>
      <c r="M608" s="7">
        <v>8306</v>
      </c>
      <c r="N608" s="5" t="s">
        <v>43</v>
      </c>
      <c r="O608" s="5">
        <v>16</v>
      </c>
      <c r="P608" s="7">
        <f t="shared" si="103"/>
        <v>2961.48</v>
      </c>
      <c r="Q608" s="7">
        <f t="shared" si="104"/>
        <v>4901.76</v>
      </c>
      <c r="R608" s="7" t="str">
        <f t="shared" si="105"/>
        <v>Normal</v>
      </c>
      <c r="S608" s="5">
        <v>3</v>
      </c>
      <c r="T608" s="5">
        <v>3</v>
      </c>
      <c r="U608" s="5" t="str" cm="1">
        <f t="array" ref="U608">_xlfn.IFS(T608=1,"Poor",T608=2,"Fair",T608=3,"Good",T608=4,"Excellent")</f>
        <v>Good</v>
      </c>
      <c r="V608" s="5" t="s">
        <v>43</v>
      </c>
      <c r="W608" s="5">
        <v>5</v>
      </c>
      <c r="X608" s="28">
        <f t="shared" ca="1" si="106"/>
        <v>44285</v>
      </c>
      <c r="Y608" s="28">
        <f t="shared" ca="1" si="107"/>
        <v>46476</v>
      </c>
      <c r="Z608" s="28" t="str">
        <f t="shared" ca="1" si="108"/>
        <v>Due Soon</v>
      </c>
      <c r="AA608" s="5" t="str" cm="1">
        <f t="array" ref="AA608">_xlfn.IFS(W608&gt;10,"Veteran",W608&gt;=6,"Experienced",W608&gt;=2,"Developing",W608&gt;=0,"New")</f>
        <v>Developing</v>
      </c>
      <c r="AB608" s="5" t="str" cm="1">
        <f t="array" ref="AB608">_xlfn.IFS(G608=1,"Junior",G608=2,"Mid-Level",G608=3,"Senior",G608=4,"Lead",G608=5,"Principal")&amp;" "&amp;TRIM(PROPER(H608))</f>
        <v>Junior Research Scientist</v>
      </c>
      <c r="AC608" s="19" t="str">
        <f t="shared" ca="1" si="109"/>
        <v>Re-Res-2021-607 is a Junior Research Scientist in the Research &amp; Development department, aged 34, single and has been with the Company for 5years</v>
      </c>
    </row>
    <row r="609" spans="1:29">
      <c r="A609" s="18" t="str">
        <f t="shared" ca="1" si="99"/>
        <v>Sa-Sal-2017-608</v>
      </c>
      <c r="B609" s="5">
        <v>49</v>
      </c>
      <c r="C609" s="5" t="str">
        <f t="shared" si="100"/>
        <v>40-49</v>
      </c>
      <c r="D609" s="5" t="s">
        <v>35</v>
      </c>
      <c r="E609" s="5" t="s">
        <v>37</v>
      </c>
      <c r="F609" s="5" t="s">
        <v>39</v>
      </c>
      <c r="G609" s="5">
        <v>3</v>
      </c>
      <c r="H609" s="5" t="s">
        <v>40</v>
      </c>
      <c r="I609" s="5" t="s">
        <v>48</v>
      </c>
      <c r="J609" s="7">
        <v>7654</v>
      </c>
      <c r="K609" s="7">
        <f t="shared" si="101"/>
        <v>1683.88</v>
      </c>
      <c r="L609" s="7">
        <f t="shared" si="102"/>
        <v>5970.12</v>
      </c>
      <c r="M609" s="7">
        <v>5860</v>
      </c>
      <c r="N609" s="5" t="s">
        <v>43</v>
      </c>
      <c r="O609" s="5">
        <v>18</v>
      </c>
      <c r="P609" s="7">
        <f t="shared" si="103"/>
        <v>9031.7199999999993</v>
      </c>
      <c r="Q609" s="7">
        <f t="shared" si="104"/>
        <v>16532.639999999992</v>
      </c>
      <c r="R609" s="7" t="str">
        <f t="shared" si="105"/>
        <v>Normal</v>
      </c>
      <c r="S609" s="5">
        <v>3</v>
      </c>
      <c r="T609" s="5">
        <v>4</v>
      </c>
      <c r="U609" s="5" t="str" cm="1">
        <f t="array" ref="U609">_xlfn.IFS(T609=1,"Poor",T609=2,"Fair",T609=3,"Good",T609=4,"Excellent")</f>
        <v>Excellent</v>
      </c>
      <c r="V609" s="5" t="s">
        <v>43</v>
      </c>
      <c r="W609" s="5">
        <v>9</v>
      </c>
      <c r="X609" s="28">
        <f t="shared" ca="1" si="106"/>
        <v>42824</v>
      </c>
      <c r="Y609" s="28">
        <f t="shared" ca="1" si="107"/>
        <v>46476</v>
      </c>
      <c r="Z609" s="28" t="str">
        <f t="shared" ca="1" si="108"/>
        <v>Due Soon</v>
      </c>
      <c r="AA609" s="5" t="str" cm="1">
        <f t="array" ref="AA609">_xlfn.IFS(W609&gt;10,"Veteran",W609&gt;=6,"Experienced",W609&gt;=2,"Developing",W609&gt;=0,"New")</f>
        <v>Experienced</v>
      </c>
      <c r="AB609" s="5" t="str" cm="1">
        <f t="array" ref="AB609">_xlfn.IFS(G609=1,"Junior",G609=2,"Mid-Level",G609=3,"Senior",G609=4,"Lead",G609=5,"Principal")&amp;" "&amp;TRIM(PROPER(H609))</f>
        <v>Senior Sales Executive</v>
      </c>
      <c r="AC609" s="19" t="str">
        <f t="shared" ca="1" si="109"/>
        <v>Sa-Sal-2017-608 is a Senior Sales Executive in the Sales department, aged 49, married and has been with the Company for 9years</v>
      </c>
    </row>
    <row r="610" spans="1:29">
      <c r="A610" s="18" t="str">
        <f t="shared" ca="1" si="99"/>
        <v>Sa-Sal-2017-609</v>
      </c>
      <c r="B610" s="5">
        <v>55</v>
      </c>
      <c r="C610" s="5" t="str">
        <f t="shared" si="100"/>
        <v>50+</v>
      </c>
      <c r="D610" s="5" t="s">
        <v>35</v>
      </c>
      <c r="E610" s="5" t="s">
        <v>37</v>
      </c>
      <c r="F610" s="5" t="s">
        <v>46</v>
      </c>
      <c r="G610" s="5">
        <v>2</v>
      </c>
      <c r="H610" s="5" t="s">
        <v>40</v>
      </c>
      <c r="I610" s="5" t="s">
        <v>41</v>
      </c>
      <c r="J610" s="7">
        <v>5160</v>
      </c>
      <c r="K610" s="7">
        <f t="shared" si="101"/>
        <v>774</v>
      </c>
      <c r="L610" s="7">
        <f t="shared" si="102"/>
        <v>4386</v>
      </c>
      <c r="M610" s="7">
        <v>21519</v>
      </c>
      <c r="N610" s="5" t="s">
        <v>43</v>
      </c>
      <c r="O610" s="5">
        <v>16</v>
      </c>
      <c r="P610" s="7">
        <f t="shared" si="103"/>
        <v>5985.5999999999995</v>
      </c>
      <c r="Q610" s="7">
        <f t="shared" si="104"/>
        <v>9907.1999999999935</v>
      </c>
      <c r="R610" s="7" t="str">
        <f t="shared" si="105"/>
        <v>Normal</v>
      </c>
      <c r="S610" s="5">
        <v>3</v>
      </c>
      <c r="T610" s="5">
        <v>2</v>
      </c>
      <c r="U610" s="5" t="str" cm="1">
        <f t="array" ref="U610">_xlfn.IFS(T610=1,"Poor",T610=2,"Fair",T610=3,"Good",T610=4,"Excellent")</f>
        <v>Fair</v>
      </c>
      <c r="V610" s="5" t="s">
        <v>43</v>
      </c>
      <c r="W610" s="5">
        <v>9</v>
      </c>
      <c r="X610" s="28">
        <f t="shared" ca="1" si="106"/>
        <v>42824</v>
      </c>
      <c r="Y610" s="28">
        <f t="shared" ca="1" si="107"/>
        <v>46476</v>
      </c>
      <c r="Z610" s="28" t="str">
        <f t="shared" ca="1" si="108"/>
        <v>Due Soon</v>
      </c>
      <c r="AA610" s="5" t="str" cm="1">
        <f t="array" ref="AA610">_xlfn.IFS(W610&gt;10,"Veteran",W610&gt;=6,"Experienced",W610&gt;=2,"Developing",W610&gt;=0,"New")</f>
        <v>Experienced</v>
      </c>
      <c r="AB610" s="5" t="str" cm="1">
        <f t="array" ref="AB610">_xlfn.IFS(G610=1,"Junior",G610=2,"Mid-Level",G610=3,"Senior",G610=4,"Lead",G610=5,"Principal")&amp;" "&amp;TRIM(PROPER(H610))</f>
        <v>Mid-Level Sales Executive</v>
      </c>
      <c r="AC610" s="19" t="str">
        <f t="shared" ca="1" si="109"/>
        <v>Sa-Sal-2017-609 is a Mid-Level Sales Executive in the Sales department, aged 55, single and has been with the Company for 9years</v>
      </c>
    </row>
    <row r="611" spans="1:29">
      <c r="A611" s="18" t="str">
        <f t="shared" ca="1" si="99"/>
        <v>Re-Res-2022-610</v>
      </c>
      <c r="B611" s="5">
        <v>43</v>
      </c>
      <c r="C611" s="5" t="str">
        <f t="shared" si="100"/>
        <v>40-49</v>
      </c>
      <c r="D611" s="5" t="s">
        <v>43</v>
      </c>
      <c r="E611" s="5" t="s">
        <v>45</v>
      </c>
      <c r="F611" s="5" t="s">
        <v>46</v>
      </c>
      <c r="G611" s="5">
        <v>4</v>
      </c>
      <c r="H611" s="5" t="s">
        <v>58</v>
      </c>
      <c r="I611" s="5" t="s">
        <v>48</v>
      </c>
      <c r="J611" s="7">
        <v>17159</v>
      </c>
      <c r="K611" s="7">
        <f t="shared" si="101"/>
        <v>5147.7</v>
      </c>
      <c r="L611" s="7">
        <f t="shared" si="102"/>
        <v>12011.3</v>
      </c>
      <c r="M611" s="7">
        <v>5200</v>
      </c>
      <c r="N611" s="5" t="s">
        <v>43</v>
      </c>
      <c r="O611" s="5">
        <v>24</v>
      </c>
      <c r="P611" s="7">
        <f t="shared" si="103"/>
        <v>21277.16</v>
      </c>
      <c r="Q611" s="7">
        <f t="shared" si="104"/>
        <v>49417.919999999998</v>
      </c>
      <c r="R611" s="7" t="str">
        <f t="shared" si="105"/>
        <v>Normal</v>
      </c>
      <c r="S611" s="5">
        <v>4</v>
      </c>
      <c r="T611" s="5">
        <v>3</v>
      </c>
      <c r="U611" s="5" t="str" cm="1">
        <f t="array" ref="U611">_xlfn.IFS(T611=1,"Poor",T611=2,"Fair",T611=3,"Good",T611=4,"Excellent")</f>
        <v>Good</v>
      </c>
      <c r="V611" s="5" t="s">
        <v>43</v>
      </c>
      <c r="W611" s="5">
        <v>4</v>
      </c>
      <c r="X611" s="28">
        <f t="shared" ca="1" si="106"/>
        <v>44650</v>
      </c>
      <c r="Y611" s="28">
        <f t="shared" ca="1" si="107"/>
        <v>46842</v>
      </c>
      <c r="Z611" s="28" t="str">
        <f t="shared" ca="1" si="108"/>
        <v>Upcoming</v>
      </c>
      <c r="AA611" s="5" t="str" cm="1">
        <f t="array" ref="AA611">_xlfn.IFS(W611&gt;10,"Veteran",W611&gt;=6,"Experienced",W611&gt;=2,"Developing",W611&gt;=0,"New")</f>
        <v>Developing</v>
      </c>
      <c r="AB611" s="5" t="str" cm="1">
        <f t="array" ref="AB611">_xlfn.IFS(G611=1,"Junior",G611=2,"Mid-Level",G611=3,"Senior",G611=4,"Lead",G611=5,"Principal")&amp;" "&amp;TRIM(PROPER(H611))</f>
        <v>Lead Research Director</v>
      </c>
      <c r="AC611" s="19" t="str">
        <f t="shared" ca="1" si="109"/>
        <v>Re-Res-2022-610 is a Lead Research Director in the Research &amp; Development department, aged 43, married and has been with the Company for 4years</v>
      </c>
    </row>
    <row r="612" spans="1:29">
      <c r="A612" s="18" t="str">
        <f t="shared" ca="1" si="99"/>
        <v>Re-Res-2017-611</v>
      </c>
      <c r="B612" s="5">
        <v>27</v>
      </c>
      <c r="C612" s="5" t="str">
        <f t="shared" si="100"/>
        <v>20-29</v>
      </c>
      <c r="D612" s="5" t="s">
        <v>43</v>
      </c>
      <c r="E612" s="5" t="s">
        <v>45</v>
      </c>
      <c r="F612" s="5" t="s">
        <v>46</v>
      </c>
      <c r="G612" s="5">
        <v>3</v>
      </c>
      <c r="H612" s="5" t="s">
        <v>58</v>
      </c>
      <c r="I612" s="5" t="s">
        <v>52</v>
      </c>
      <c r="J612" s="7">
        <v>12808</v>
      </c>
      <c r="K612" s="7">
        <f t="shared" si="101"/>
        <v>2817.76</v>
      </c>
      <c r="L612" s="7">
        <f t="shared" si="102"/>
        <v>9990.24</v>
      </c>
      <c r="M612" s="7">
        <v>8842</v>
      </c>
      <c r="N612" s="5" t="s">
        <v>35</v>
      </c>
      <c r="O612" s="5">
        <v>16</v>
      </c>
      <c r="P612" s="7">
        <f t="shared" si="103"/>
        <v>14857.279999999999</v>
      </c>
      <c r="Q612" s="7">
        <f t="shared" si="104"/>
        <v>24591.359999999986</v>
      </c>
      <c r="R612" s="7" t="str">
        <f t="shared" si="105"/>
        <v>Normal</v>
      </c>
      <c r="S612" s="5">
        <v>3</v>
      </c>
      <c r="T612" s="5">
        <v>3</v>
      </c>
      <c r="U612" s="5" t="str" cm="1">
        <f t="array" ref="U612">_xlfn.IFS(T612=1,"Poor",T612=2,"Fair",T612=3,"Good",T612=4,"Excellent")</f>
        <v>Good</v>
      </c>
      <c r="V612" s="5" t="s">
        <v>35</v>
      </c>
      <c r="W612" s="5">
        <v>9</v>
      </c>
      <c r="X612" s="28">
        <f t="shared" ca="1" si="106"/>
        <v>42824</v>
      </c>
      <c r="Y612" s="28">
        <f t="shared" ca="1" si="107"/>
        <v>46476</v>
      </c>
      <c r="Z612" s="28" t="str">
        <f t="shared" ca="1" si="108"/>
        <v>Due Soon</v>
      </c>
      <c r="AA612" s="5" t="str" cm="1">
        <f t="array" ref="AA612">_xlfn.IFS(W612&gt;10,"Veteran",W612&gt;=6,"Experienced",W612&gt;=2,"Developing",W612&gt;=0,"New")</f>
        <v>Experienced</v>
      </c>
      <c r="AB612" s="5" t="str" cm="1">
        <f t="array" ref="AB612">_xlfn.IFS(G612=1,"Junior",G612=2,"Mid-Level",G612=3,"Senior",G612=4,"Lead",G612=5,"Principal")&amp;" "&amp;TRIM(PROPER(H612))</f>
        <v>Senior Research Director</v>
      </c>
      <c r="AC612" s="19" t="str">
        <f t="shared" ca="1" si="109"/>
        <v>Re-Res-2017-611 is a Senior Research Director in the Research &amp; Development department, aged 27, divorced and has been with the Company for 9years</v>
      </c>
    </row>
    <row r="613" spans="1:29">
      <c r="A613" s="18" t="str">
        <f t="shared" ca="1" si="99"/>
        <v>Ma-Res-2018-612</v>
      </c>
      <c r="B613" s="5">
        <v>35</v>
      </c>
      <c r="C613" s="5" t="str">
        <f t="shared" si="100"/>
        <v>30-39</v>
      </c>
      <c r="D613" s="5" t="s">
        <v>43</v>
      </c>
      <c r="E613" s="5" t="s">
        <v>45</v>
      </c>
      <c r="F613" s="5" t="s">
        <v>46</v>
      </c>
      <c r="G613" s="5">
        <v>3</v>
      </c>
      <c r="H613" s="5" t="s">
        <v>53</v>
      </c>
      <c r="I613" s="5" t="s">
        <v>41</v>
      </c>
      <c r="J613" s="7">
        <v>10221</v>
      </c>
      <c r="K613" s="7">
        <f t="shared" si="101"/>
        <v>2248.62</v>
      </c>
      <c r="L613" s="7">
        <f t="shared" si="102"/>
        <v>7972.38</v>
      </c>
      <c r="M613" s="7">
        <v>18869</v>
      </c>
      <c r="N613" s="5" t="s">
        <v>43</v>
      </c>
      <c r="O613" s="5">
        <v>21</v>
      </c>
      <c r="P613" s="7">
        <f t="shared" si="103"/>
        <v>12367.41</v>
      </c>
      <c r="Q613" s="7">
        <f t="shared" si="104"/>
        <v>25756.92</v>
      </c>
      <c r="R613" s="7" t="str">
        <f t="shared" si="105"/>
        <v>Normal</v>
      </c>
      <c r="S613" s="5">
        <v>4</v>
      </c>
      <c r="T613" s="5">
        <v>4</v>
      </c>
      <c r="U613" s="5" t="str" cm="1">
        <f t="array" ref="U613">_xlfn.IFS(T613=1,"Poor",T613=2,"Fair",T613=3,"Good",T613=4,"Excellent")</f>
        <v>Excellent</v>
      </c>
      <c r="V613" s="5" t="s">
        <v>43</v>
      </c>
      <c r="W613" s="5">
        <v>8</v>
      </c>
      <c r="X613" s="28">
        <f t="shared" ca="1" si="106"/>
        <v>43189</v>
      </c>
      <c r="Y613" s="28">
        <f t="shared" ca="1" si="107"/>
        <v>46842</v>
      </c>
      <c r="Z613" s="28" t="str">
        <f t="shared" ca="1" si="108"/>
        <v>Upcoming</v>
      </c>
      <c r="AA613" s="5" t="str" cm="1">
        <f t="array" ref="AA613">_xlfn.IFS(W613&gt;10,"Veteran",W613&gt;=6,"Experienced",W613&gt;=2,"Developing",W613&gt;=0,"New")</f>
        <v>Experienced</v>
      </c>
      <c r="AB613" s="5" t="str" cm="1">
        <f t="array" ref="AB613">_xlfn.IFS(G613=1,"Junior",G613=2,"Mid-Level",G613=3,"Senior",G613=4,"Lead",G613=5,"Principal")&amp;" "&amp;TRIM(PROPER(H613))</f>
        <v>Senior Manufacturing Director</v>
      </c>
      <c r="AC613" s="19" t="str">
        <f t="shared" ca="1" si="109"/>
        <v>Ma-Res-2018-612 is a Senior Manufacturing Director in the Research &amp; Development department, aged 35, single and has been with the Company for 8years</v>
      </c>
    </row>
    <row r="614" spans="1:29">
      <c r="A614" s="18" t="str">
        <f t="shared" ca="1" si="99"/>
        <v>Sa-Sal-2018-613</v>
      </c>
      <c r="B614" s="5">
        <v>28</v>
      </c>
      <c r="C614" s="5" t="str">
        <f t="shared" si="100"/>
        <v>20-29</v>
      </c>
      <c r="D614" s="5" t="s">
        <v>43</v>
      </c>
      <c r="E614" s="5" t="s">
        <v>37</v>
      </c>
      <c r="F614" s="5" t="s">
        <v>39</v>
      </c>
      <c r="G614" s="5">
        <v>2</v>
      </c>
      <c r="H614" s="5" t="s">
        <v>40</v>
      </c>
      <c r="I614" s="5" t="s">
        <v>48</v>
      </c>
      <c r="J614" s="7">
        <v>4779</v>
      </c>
      <c r="K614" s="7">
        <f t="shared" si="101"/>
        <v>716.85</v>
      </c>
      <c r="L614" s="7">
        <f t="shared" si="102"/>
        <v>4062.15</v>
      </c>
      <c r="M614" s="7">
        <v>3698</v>
      </c>
      <c r="N614" s="5" t="s">
        <v>35</v>
      </c>
      <c r="O614" s="5">
        <v>20</v>
      </c>
      <c r="P614" s="7">
        <f t="shared" si="103"/>
        <v>5734.8</v>
      </c>
      <c r="Q614" s="7">
        <f t="shared" si="104"/>
        <v>11469.600000000002</v>
      </c>
      <c r="R614" s="7" t="str">
        <f t="shared" si="105"/>
        <v>Normal</v>
      </c>
      <c r="S614" s="5">
        <v>4</v>
      </c>
      <c r="T614" s="5">
        <v>3</v>
      </c>
      <c r="U614" s="5" t="str" cm="1">
        <f t="array" ref="U614">_xlfn.IFS(T614=1,"Poor",T614=2,"Fair",T614=3,"Good",T614=4,"Excellent")</f>
        <v>Good</v>
      </c>
      <c r="V614" s="5" t="s">
        <v>35</v>
      </c>
      <c r="W614" s="5">
        <v>8</v>
      </c>
      <c r="X614" s="28">
        <f t="shared" ca="1" si="106"/>
        <v>43189</v>
      </c>
      <c r="Y614" s="28">
        <f t="shared" ca="1" si="107"/>
        <v>46842</v>
      </c>
      <c r="Z614" s="28" t="str">
        <f t="shared" ca="1" si="108"/>
        <v>Upcoming</v>
      </c>
      <c r="AA614" s="5" t="str" cm="1">
        <f t="array" ref="AA614">_xlfn.IFS(W614&gt;10,"Veteran",W614&gt;=6,"Experienced",W614&gt;=2,"Developing",W614&gt;=0,"New")</f>
        <v>Experienced</v>
      </c>
      <c r="AB614" s="5" t="str" cm="1">
        <f t="array" ref="AB614">_xlfn.IFS(G614=1,"Junior",G614=2,"Mid-Level",G614=3,"Senior",G614=4,"Lead",G614=5,"Principal")&amp;" "&amp;TRIM(PROPER(H614))</f>
        <v>Mid-Level Sales Executive</v>
      </c>
      <c r="AC614" s="19" t="str">
        <f t="shared" ca="1" si="109"/>
        <v>Sa-Sal-2018-613 is a Mid-Level Sales Executive in the Sales department, aged 28, married and has been with the Company for 8years</v>
      </c>
    </row>
    <row r="615" spans="1:29">
      <c r="A615" s="18" t="str">
        <f t="shared" ca="1" si="99"/>
        <v>Hu-Hum-2023-614</v>
      </c>
      <c r="B615" s="5">
        <v>34</v>
      </c>
      <c r="C615" s="5" t="str">
        <f t="shared" si="100"/>
        <v>30-39</v>
      </c>
      <c r="D615" s="5" t="s">
        <v>43</v>
      </c>
      <c r="E615" s="5" t="s">
        <v>61</v>
      </c>
      <c r="F615" s="5" t="s">
        <v>46</v>
      </c>
      <c r="G615" s="5">
        <v>1</v>
      </c>
      <c r="H615" s="5" t="s">
        <v>61</v>
      </c>
      <c r="I615" s="5" t="s">
        <v>48</v>
      </c>
      <c r="J615" s="7">
        <v>3737</v>
      </c>
      <c r="K615" s="7">
        <f t="shared" si="101"/>
        <v>560.54999999999995</v>
      </c>
      <c r="L615" s="7">
        <f t="shared" si="102"/>
        <v>3176.45</v>
      </c>
      <c r="M615" s="7">
        <v>2243</v>
      </c>
      <c r="N615" s="5" t="s">
        <v>43</v>
      </c>
      <c r="O615" s="5">
        <v>19</v>
      </c>
      <c r="P615" s="7">
        <f t="shared" si="103"/>
        <v>4447.03</v>
      </c>
      <c r="Q615" s="7">
        <f t="shared" si="104"/>
        <v>8520.3599999999969</v>
      </c>
      <c r="R615" s="7" t="str">
        <f t="shared" si="105"/>
        <v>Normal</v>
      </c>
      <c r="S615" s="5">
        <v>3</v>
      </c>
      <c r="T615" s="5">
        <v>1</v>
      </c>
      <c r="U615" s="5" t="str" cm="1">
        <f t="array" ref="U615">_xlfn.IFS(T615=1,"Poor",T615=2,"Fair",T615=3,"Good",T615=4,"Excellent")</f>
        <v>Poor</v>
      </c>
      <c r="V615" s="5" t="s">
        <v>43</v>
      </c>
      <c r="W615" s="5">
        <v>3</v>
      </c>
      <c r="X615" s="28">
        <f t="shared" ca="1" si="106"/>
        <v>45015</v>
      </c>
      <c r="Y615" s="28">
        <f t="shared" ca="1" si="107"/>
        <v>46476</v>
      </c>
      <c r="Z615" s="28" t="str">
        <f t="shared" ca="1" si="108"/>
        <v>Due Soon</v>
      </c>
      <c r="AA615" s="5" t="str" cm="1">
        <f t="array" ref="AA615">_xlfn.IFS(W615&gt;10,"Veteran",W615&gt;=6,"Experienced",W615&gt;=2,"Developing",W615&gt;=0,"New")</f>
        <v>Developing</v>
      </c>
      <c r="AB615" s="5" t="str" cm="1">
        <f t="array" ref="AB615">_xlfn.IFS(G615=1,"Junior",G615=2,"Mid-Level",G615=3,"Senior",G615=4,"Lead",G615=5,"Principal")&amp;" "&amp;TRIM(PROPER(H615))</f>
        <v>Junior Human Resources</v>
      </c>
      <c r="AC615" s="19" t="str">
        <f t="shared" ca="1" si="109"/>
        <v>Hu-Hum-2023-614 is a Junior Human Resources in the Human Resources department, aged 34, married and has been with the Company for 3years</v>
      </c>
    </row>
    <row r="616" spans="1:29">
      <c r="A616" s="18" t="str">
        <f t="shared" ca="1" si="99"/>
        <v>Re-Res-2018-615</v>
      </c>
      <c r="B616" s="5">
        <v>26</v>
      </c>
      <c r="C616" s="5" t="str">
        <f t="shared" si="100"/>
        <v>20-29</v>
      </c>
      <c r="D616" s="5" t="s">
        <v>35</v>
      </c>
      <c r="E616" s="5" t="s">
        <v>45</v>
      </c>
      <c r="F616" s="5" t="s">
        <v>39</v>
      </c>
      <c r="G616" s="5">
        <v>1</v>
      </c>
      <c r="H616" s="5" t="s">
        <v>47</v>
      </c>
      <c r="I616" s="5" t="s">
        <v>48</v>
      </c>
      <c r="J616" s="7">
        <v>2366</v>
      </c>
      <c r="K616" s="7">
        <f t="shared" si="101"/>
        <v>165.62</v>
      </c>
      <c r="L616" s="7">
        <f t="shared" si="102"/>
        <v>2200.38</v>
      </c>
      <c r="M616" s="7">
        <v>20898</v>
      </c>
      <c r="N616" s="5" t="s">
        <v>35</v>
      </c>
      <c r="O616" s="5">
        <v>14</v>
      </c>
      <c r="P616" s="7">
        <f t="shared" si="103"/>
        <v>2697.2400000000002</v>
      </c>
      <c r="Q616" s="7">
        <f t="shared" si="104"/>
        <v>3974.8800000000028</v>
      </c>
      <c r="R616" s="7" t="str">
        <f t="shared" si="105"/>
        <v>Normal</v>
      </c>
      <c r="S616" s="5">
        <v>3</v>
      </c>
      <c r="T616" s="5">
        <v>3</v>
      </c>
      <c r="U616" s="5" t="str" cm="1">
        <f t="array" ref="U616">_xlfn.IFS(T616=1,"Poor",T616=2,"Fair",T616=3,"Good",T616=4,"Excellent")</f>
        <v>Good</v>
      </c>
      <c r="V616" s="5" t="s">
        <v>35</v>
      </c>
      <c r="W616" s="5">
        <v>8</v>
      </c>
      <c r="X616" s="28">
        <f t="shared" ca="1" si="106"/>
        <v>43189</v>
      </c>
      <c r="Y616" s="28">
        <f t="shared" ca="1" si="107"/>
        <v>46842</v>
      </c>
      <c r="Z616" s="28" t="str">
        <f t="shared" ca="1" si="108"/>
        <v>Upcoming</v>
      </c>
      <c r="AA616" s="5" t="str" cm="1">
        <f t="array" ref="AA616">_xlfn.IFS(W616&gt;10,"Veteran",W616&gt;=6,"Experienced",W616&gt;=2,"Developing",W616&gt;=0,"New")</f>
        <v>Experienced</v>
      </c>
      <c r="AB616" s="5" t="str" cm="1">
        <f t="array" ref="AB616">_xlfn.IFS(G616=1,"Junior",G616=2,"Mid-Level",G616=3,"Senior",G616=4,"Lead",G616=5,"Principal")&amp;" "&amp;TRIM(PROPER(H616))</f>
        <v>Junior Research Scientist</v>
      </c>
      <c r="AC616" s="19" t="str">
        <f t="shared" ca="1" si="109"/>
        <v>Re-Res-2018-615 is a Junior Research Scientist in the Research &amp; Development department, aged 26, married and has been with the Company for 8years</v>
      </c>
    </row>
    <row r="617" spans="1:29">
      <c r="A617" s="18" t="str">
        <f t="shared" ca="1" si="99"/>
        <v>Re-Res-2026-616</v>
      </c>
      <c r="B617" s="5">
        <v>27</v>
      </c>
      <c r="C617" s="5" t="str">
        <f t="shared" si="100"/>
        <v>20-29</v>
      </c>
      <c r="D617" s="5" t="s">
        <v>43</v>
      </c>
      <c r="E617" s="5" t="s">
        <v>45</v>
      </c>
      <c r="F617" s="5" t="s">
        <v>46</v>
      </c>
      <c r="G617" s="5">
        <v>1</v>
      </c>
      <c r="H617" s="5" t="s">
        <v>47</v>
      </c>
      <c r="I617" s="5" t="s">
        <v>48</v>
      </c>
      <c r="J617" s="7">
        <v>1706</v>
      </c>
      <c r="K617" s="7">
        <f t="shared" si="101"/>
        <v>119.42000000000002</v>
      </c>
      <c r="L617" s="7">
        <f t="shared" si="102"/>
        <v>1586.58</v>
      </c>
      <c r="M617" s="7">
        <v>16571</v>
      </c>
      <c r="N617" s="5" t="s">
        <v>43</v>
      </c>
      <c r="O617" s="5">
        <v>11</v>
      </c>
      <c r="P617" s="7">
        <f t="shared" si="103"/>
        <v>1893.66</v>
      </c>
      <c r="Q617" s="7">
        <f t="shared" si="104"/>
        <v>2251.920000000001</v>
      </c>
      <c r="R617" s="7" t="str">
        <f t="shared" si="105"/>
        <v>Normal</v>
      </c>
      <c r="S617" s="5">
        <v>3</v>
      </c>
      <c r="T617" s="5">
        <v>2</v>
      </c>
      <c r="U617" s="5" t="str" cm="1">
        <f t="array" ref="U617">_xlfn.IFS(T617=1,"Poor",T617=2,"Fair",T617=3,"Good",T617=4,"Excellent")</f>
        <v>Fair</v>
      </c>
      <c r="V617" s="5" t="s">
        <v>43</v>
      </c>
      <c r="W617" s="5">
        <v>0</v>
      </c>
      <c r="X617" s="28">
        <f t="shared" ca="1" si="106"/>
        <v>46111</v>
      </c>
      <c r="Y617" s="28">
        <f t="shared" ca="1" si="107"/>
        <v>46842</v>
      </c>
      <c r="Z617" s="28" t="str">
        <f t="shared" ca="1" si="108"/>
        <v>Upcoming</v>
      </c>
      <c r="AA617" s="5" t="str" cm="1">
        <f t="array" ref="AA617">_xlfn.IFS(W617&gt;10,"Veteran",W617&gt;=6,"Experienced",W617&gt;=2,"Developing",W617&gt;=0,"New")</f>
        <v>New</v>
      </c>
      <c r="AB617" s="5" t="str" cm="1">
        <f t="array" ref="AB617">_xlfn.IFS(G617=1,"Junior",G617=2,"Mid-Level",G617=3,"Senior",G617=4,"Lead",G617=5,"Principal")&amp;" "&amp;TRIM(PROPER(H617))</f>
        <v>Junior Research Scientist</v>
      </c>
      <c r="AC617" s="19" t="str">
        <f t="shared" ca="1" si="109"/>
        <v>Re-Res-2026-616 is a Junior Research Scientist in the Research &amp; Development department, aged 27, married and has been with the Company for 0years</v>
      </c>
    </row>
    <row r="618" spans="1:29">
      <c r="A618" s="18" t="str">
        <f t="shared" ca="1" si="99"/>
        <v>Ma-Sal-2006-617</v>
      </c>
      <c r="B618" s="5">
        <v>51</v>
      </c>
      <c r="C618" s="5" t="str">
        <f t="shared" si="100"/>
        <v>50+</v>
      </c>
      <c r="D618" s="5" t="s">
        <v>43</v>
      </c>
      <c r="E618" s="5" t="s">
        <v>37</v>
      </c>
      <c r="F618" s="5" t="s">
        <v>39</v>
      </c>
      <c r="G618" s="5">
        <v>4</v>
      </c>
      <c r="H618" s="5" t="s">
        <v>56</v>
      </c>
      <c r="I618" s="5" t="s">
        <v>48</v>
      </c>
      <c r="J618" s="7">
        <v>16307</v>
      </c>
      <c r="K618" s="7">
        <f t="shared" si="101"/>
        <v>4892.0999999999995</v>
      </c>
      <c r="L618" s="7">
        <f t="shared" si="102"/>
        <v>11414.900000000001</v>
      </c>
      <c r="M618" s="7">
        <v>5594</v>
      </c>
      <c r="N618" s="5" t="s">
        <v>43</v>
      </c>
      <c r="O618" s="5">
        <v>14</v>
      </c>
      <c r="P618" s="7">
        <f t="shared" si="103"/>
        <v>18589.980000000003</v>
      </c>
      <c r="Q618" s="7">
        <f t="shared" si="104"/>
        <v>27395.760000000038</v>
      </c>
      <c r="R618" s="7" t="str">
        <f t="shared" si="105"/>
        <v>Normal</v>
      </c>
      <c r="S618" s="5">
        <v>3</v>
      </c>
      <c r="T618" s="5">
        <v>2</v>
      </c>
      <c r="U618" s="5" t="str" cm="1">
        <f t="array" ref="U618">_xlfn.IFS(T618=1,"Poor",T618=2,"Fair",T618=3,"Good",T618=4,"Excellent")</f>
        <v>Fair</v>
      </c>
      <c r="V618" s="5" t="s">
        <v>43</v>
      </c>
      <c r="W618" s="5">
        <v>20</v>
      </c>
      <c r="X618" s="28">
        <f t="shared" ca="1" si="106"/>
        <v>38806</v>
      </c>
      <c r="Y618" s="28">
        <f t="shared" ca="1" si="107"/>
        <v>46842</v>
      </c>
      <c r="Z618" s="28" t="str">
        <f t="shared" ca="1" si="108"/>
        <v>Upcoming</v>
      </c>
      <c r="AA618" s="5" t="str" cm="1">
        <f t="array" ref="AA618">_xlfn.IFS(W618&gt;10,"Veteran",W618&gt;=6,"Experienced",W618&gt;=2,"Developing",W618&gt;=0,"New")</f>
        <v>Veteran</v>
      </c>
      <c r="AB618" s="5" t="str" cm="1">
        <f t="array" ref="AB618">_xlfn.IFS(G618=1,"Junior",G618=2,"Mid-Level",G618=3,"Senior",G618=4,"Lead",G618=5,"Principal")&amp;" "&amp;TRIM(PROPER(H618))</f>
        <v>Lead Manager</v>
      </c>
      <c r="AC618" s="19" t="str">
        <f t="shared" ca="1" si="109"/>
        <v>Ma-Sal-2006-617 is a Lead Manager in the Sales department, aged 51, married and has been with the Company for 20years</v>
      </c>
    </row>
    <row r="619" spans="1:29">
      <c r="A619" s="18" t="str">
        <f t="shared" ca="1" si="99"/>
        <v>He-Res-2021-618</v>
      </c>
      <c r="B619" s="5">
        <v>44</v>
      </c>
      <c r="C619" s="5" t="str">
        <f t="shared" si="100"/>
        <v>40-49</v>
      </c>
      <c r="D619" s="5" t="s">
        <v>43</v>
      </c>
      <c r="E619" s="5" t="s">
        <v>45</v>
      </c>
      <c r="F619" s="5" t="s">
        <v>46</v>
      </c>
      <c r="G619" s="5">
        <v>2</v>
      </c>
      <c r="H619" s="5" t="s">
        <v>54</v>
      </c>
      <c r="I619" s="5" t="s">
        <v>41</v>
      </c>
      <c r="J619" s="7">
        <v>5933</v>
      </c>
      <c r="K619" s="7">
        <f t="shared" si="101"/>
        <v>889.94999999999993</v>
      </c>
      <c r="L619" s="7">
        <f t="shared" si="102"/>
        <v>5043.05</v>
      </c>
      <c r="M619" s="7">
        <v>5197</v>
      </c>
      <c r="N619" s="5" t="s">
        <v>43</v>
      </c>
      <c r="O619" s="5">
        <v>12</v>
      </c>
      <c r="P619" s="7">
        <f t="shared" si="103"/>
        <v>6644.9600000000009</v>
      </c>
      <c r="Q619" s="7">
        <f t="shared" si="104"/>
        <v>8543.5200000000114</v>
      </c>
      <c r="R619" s="7" t="str">
        <f t="shared" si="105"/>
        <v>Normal</v>
      </c>
      <c r="S619" s="5">
        <v>3</v>
      </c>
      <c r="T619" s="5">
        <v>2</v>
      </c>
      <c r="U619" s="5" t="str" cm="1">
        <f t="array" ref="U619">_xlfn.IFS(T619=1,"Poor",T619=2,"Fair",T619=3,"Good",T619=4,"Excellent")</f>
        <v>Fair</v>
      </c>
      <c r="V619" s="5" t="s">
        <v>43</v>
      </c>
      <c r="W619" s="5">
        <v>5</v>
      </c>
      <c r="X619" s="28">
        <f t="shared" ca="1" si="106"/>
        <v>44285</v>
      </c>
      <c r="Y619" s="28">
        <f t="shared" ca="1" si="107"/>
        <v>46476</v>
      </c>
      <c r="Z619" s="28" t="str">
        <f t="shared" ca="1" si="108"/>
        <v>Due Soon</v>
      </c>
      <c r="AA619" s="5" t="str" cm="1">
        <f t="array" ref="AA619">_xlfn.IFS(W619&gt;10,"Veteran",W619&gt;=6,"Experienced",W619&gt;=2,"Developing",W619&gt;=0,"New")</f>
        <v>Developing</v>
      </c>
      <c r="AB619" s="5" t="str" cm="1">
        <f t="array" ref="AB619">_xlfn.IFS(G619=1,"Junior",G619=2,"Mid-Level",G619=3,"Senior",G619=4,"Lead",G619=5,"Principal")&amp;" "&amp;TRIM(PROPER(H619))</f>
        <v>Mid-Level Healthcare Representative</v>
      </c>
      <c r="AC619" s="19" t="str">
        <f t="shared" ca="1" si="109"/>
        <v>He-Res-2021-618 is a Mid-Level Healthcare Representative in the Research &amp; Development department, aged 44, single and has been with the Company for 5years</v>
      </c>
    </row>
    <row r="620" spans="1:29">
      <c r="A620" s="18" t="str">
        <f t="shared" ca="1" si="99"/>
        <v>Re-Res-2022-619</v>
      </c>
      <c r="B620" s="5">
        <v>25</v>
      </c>
      <c r="C620" s="5" t="str">
        <f t="shared" si="100"/>
        <v>20-29</v>
      </c>
      <c r="D620" s="5" t="s">
        <v>43</v>
      </c>
      <c r="E620" s="5" t="s">
        <v>45</v>
      </c>
      <c r="F620" s="5" t="s">
        <v>46</v>
      </c>
      <c r="G620" s="5">
        <v>1</v>
      </c>
      <c r="H620" s="5" t="s">
        <v>47</v>
      </c>
      <c r="I620" s="5" t="s">
        <v>41</v>
      </c>
      <c r="J620" s="7">
        <v>3424</v>
      </c>
      <c r="K620" s="7">
        <f t="shared" si="101"/>
        <v>513.6</v>
      </c>
      <c r="L620" s="7">
        <f t="shared" si="102"/>
        <v>2910.4</v>
      </c>
      <c r="M620" s="7">
        <v>21632</v>
      </c>
      <c r="N620" s="5" t="s">
        <v>43</v>
      </c>
      <c r="O620" s="5">
        <v>13</v>
      </c>
      <c r="P620" s="7">
        <f t="shared" si="103"/>
        <v>3869.1199999999994</v>
      </c>
      <c r="Q620" s="7">
        <f t="shared" si="104"/>
        <v>5341.4399999999932</v>
      </c>
      <c r="R620" s="7" t="str">
        <f t="shared" si="105"/>
        <v>Normal</v>
      </c>
      <c r="S620" s="5">
        <v>3</v>
      </c>
      <c r="T620" s="5">
        <v>2</v>
      </c>
      <c r="U620" s="5" t="str" cm="1">
        <f t="array" ref="U620">_xlfn.IFS(T620=1,"Poor",T620=2,"Fair",T620=3,"Good",T620=4,"Excellent")</f>
        <v>Fair</v>
      </c>
      <c r="V620" s="5" t="s">
        <v>43</v>
      </c>
      <c r="W620" s="5">
        <v>4</v>
      </c>
      <c r="X620" s="28">
        <f t="shared" ca="1" si="106"/>
        <v>44650</v>
      </c>
      <c r="Y620" s="28">
        <f t="shared" ca="1" si="107"/>
        <v>46842</v>
      </c>
      <c r="Z620" s="28" t="str">
        <f t="shared" ca="1" si="108"/>
        <v>Upcoming</v>
      </c>
      <c r="AA620" s="5" t="str" cm="1">
        <f t="array" ref="AA620">_xlfn.IFS(W620&gt;10,"Veteran",W620&gt;=6,"Experienced",W620&gt;=2,"Developing",W620&gt;=0,"New")</f>
        <v>Developing</v>
      </c>
      <c r="AB620" s="5" t="str" cm="1">
        <f t="array" ref="AB620">_xlfn.IFS(G620=1,"Junior",G620=2,"Mid-Level",G620=3,"Senior",G620=4,"Lead",G620=5,"Principal")&amp;" "&amp;TRIM(PROPER(H620))</f>
        <v>Junior Research Scientist</v>
      </c>
      <c r="AC620" s="19" t="str">
        <f t="shared" ca="1" si="109"/>
        <v>Re-Res-2022-619 is a Junior Research Scientist in the Research &amp; Development department, aged 25, single and has been with the Company for 4years</v>
      </c>
    </row>
    <row r="621" spans="1:29">
      <c r="A621" s="18" t="str">
        <f t="shared" ca="1" si="99"/>
        <v>Sa-Sal-2017-620</v>
      </c>
      <c r="B621" s="5">
        <v>33</v>
      </c>
      <c r="C621" s="5" t="str">
        <f t="shared" si="100"/>
        <v>30-39</v>
      </c>
      <c r="D621" s="5" t="s">
        <v>43</v>
      </c>
      <c r="E621" s="5" t="s">
        <v>37</v>
      </c>
      <c r="F621" s="5" t="s">
        <v>46</v>
      </c>
      <c r="G621" s="5">
        <v>2</v>
      </c>
      <c r="H621" s="5" t="s">
        <v>40</v>
      </c>
      <c r="I621" s="5" t="s">
        <v>52</v>
      </c>
      <c r="J621" s="7">
        <v>4037</v>
      </c>
      <c r="K621" s="7">
        <f t="shared" si="101"/>
        <v>605.54999999999995</v>
      </c>
      <c r="L621" s="7">
        <f t="shared" si="102"/>
        <v>3431.45</v>
      </c>
      <c r="M621" s="7">
        <v>21816</v>
      </c>
      <c r="N621" s="5" t="s">
        <v>43</v>
      </c>
      <c r="O621" s="5">
        <v>22</v>
      </c>
      <c r="P621" s="7">
        <f t="shared" si="103"/>
        <v>4925.1400000000003</v>
      </c>
      <c r="Q621" s="7">
        <f t="shared" si="104"/>
        <v>10657.680000000004</v>
      </c>
      <c r="R621" s="7" t="str">
        <f t="shared" si="105"/>
        <v>Normal</v>
      </c>
      <c r="S621" s="5">
        <v>4</v>
      </c>
      <c r="T621" s="5">
        <v>3</v>
      </c>
      <c r="U621" s="5" t="str" cm="1">
        <f t="array" ref="U621">_xlfn.IFS(T621=1,"Poor",T621=2,"Fair",T621=3,"Good",T621=4,"Excellent")</f>
        <v>Good</v>
      </c>
      <c r="V621" s="5" t="s">
        <v>43</v>
      </c>
      <c r="W621" s="5">
        <v>9</v>
      </c>
      <c r="X621" s="28">
        <f t="shared" ca="1" si="106"/>
        <v>42824</v>
      </c>
      <c r="Y621" s="28">
        <f t="shared" ca="1" si="107"/>
        <v>46476</v>
      </c>
      <c r="Z621" s="28" t="str">
        <f t="shared" ca="1" si="108"/>
        <v>Due Soon</v>
      </c>
      <c r="AA621" s="5" t="str" cm="1">
        <f t="array" ref="AA621">_xlfn.IFS(W621&gt;10,"Veteran",W621&gt;=6,"Experienced",W621&gt;=2,"Developing",W621&gt;=0,"New")</f>
        <v>Experienced</v>
      </c>
      <c r="AB621" s="5" t="str" cm="1">
        <f t="array" ref="AB621">_xlfn.IFS(G621=1,"Junior",G621=2,"Mid-Level",G621=3,"Senior",G621=4,"Lead",G621=5,"Principal")&amp;" "&amp;TRIM(PROPER(H621))</f>
        <v>Mid-Level Sales Executive</v>
      </c>
      <c r="AC621" s="19" t="str">
        <f t="shared" ca="1" si="109"/>
        <v>Sa-Sal-2017-620 is a Mid-Level Sales Executive in the Sales department, aged 33, divorced and has been with the Company for 9years</v>
      </c>
    </row>
    <row r="622" spans="1:29">
      <c r="A622" s="18" t="str">
        <f t="shared" ca="1" si="99"/>
        <v>Re-Res-2020-621</v>
      </c>
      <c r="B622" s="5">
        <v>35</v>
      </c>
      <c r="C622" s="5" t="str">
        <f t="shared" si="100"/>
        <v>30-39</v>
      </c>
      <c r="D622" s="5" t="s">
        <v>43</v>
      </c>
      <c r="E622" s="5" t="s">
        <v>45</v>
      </c>
      <c r="F622" s="5" t="s">
        <v>39</v>
      </c>
      <c r="G622" s="5">
        <v>1</v>
      </c>
      <c r="H622" s="5" t="s">
        <v>47</v>
      </c>
      <c r="I622" s="5" t="s">
        <v>41</v>
      </c>
      <c r="J622" s="7">
        <v>2559</v>
      </c>
      <c r="K622" s="7">
        <f t="shared" si="101"/>
        <v>179.13000000000002</v>
      </c>
      <c r="L622" s="7">
        <f t="shared" si="102"/>
        <v>2379.87</v>
      </c>
      <c r="M622" s="7">
        <v>17852</v>
      </c>
      <c r="N622" s="5" t="s">
        <v>43</v>
      </c>
      <c r="O622" s="5">
        <v>11</v>
      </c>
      <c r="P622" s="7">
        <f t="shared" si="103"/>
        <v>2840.4900000000002</v>
      </c>
      <c r="Q622" s="7">
        <f t="shared" si="104"/>
        <v>3377.8800000000028</v>
      </c>
      <c r="R622" s="7" t="str">
        <f t="shared" si="105"/>
        <v>Normal</v>
      </c>
      <c r="S622" s="5">
        <v>3</v>
      </c>
      <c r="T622" s="5">
        <v>2</v>
      </c>
      <c r="U622" s="5" t="str" cm="1">
        <f t="array" ref="U622">_xlfn.IFS(T622=1,"Poor",T622=2,"Fair",T622=3,"Good",T622=4,"Excellent")</f>
        <v>Fair</v>
      </c>
      <c r="V622" s="5" t="s">
        <v>43</v>
      </c>
      <c r="W622" s="5">
        <v>6</v>
      </c>
      <c r="X622" s="28">
        <f t="shared" ca="1" si="106"/>
        <v>43920</v>
      </c>
      <c r="Y622" s="28">
        <f t="shared" ca="1" si="107"/>
        <v>46842</v>
      </c>
      <c r="Z622" s="28" t="str">
        <f t="shared" ca="1" si="108"/>
        <v>Upcoming</v>
      </c>
      <c r="AA622" s="5" t="str" cm="1">
        <f t="array" ref="AA622">_xlfn.IFS(W622&gt;10,"Veteran",W622&gt;=6,"Experienced",W622&gt;=2,"Developing",W622&gt;=0,"New")</f>
        <v>Experienced</v>
      </c>
      <c r="AB622" s="5" t="str" cm="1">
        <f t="array" ref="AB622">_xlfn.IFS(G622=1,"Junior",G622=2,"Mid-Level",G622=3,"Senior",G622=4,"Lead",G622=5,"Principal")&amp;" "&amp;TRIM(PROPER(H622))</f>
        <v>Junior Research Scientist</v>
      </c>
      <c r="AC622" s="19" t="str">
        <f t="shared" ca="1" si="109"/>
        <v>Re-Res-2020-621 is a Junior Research Scientist in the Research &amp; Development department, aged 35, single and has been with the Company for 6years</v>
      </c>
    </row>
    <row r="623" spans="1:29">
      <c r="A623" s="18" t="str">
        <f t="shared" ca="1" si="99"/>
        <v>Sa-Sal-2008-622</v>
      </c>
      <c r="B623" s="5">
        <v>36</v>
      </c>
      <c r="C623" s="5" t="str">
        <f t="shared" si="100"/>
        <v>30-39</v>
      </c>
      <c r="D623" s="5" t="s">
        <v>43</v>
      </c>
      <c r="E623" s="5" t="s">
        <v>37</v>
      </c>
      <c r="F623" s="5" t="s">
        <v>46</v>
      </c>
      <c r="G623" s="5">
        <v>2</v>
      </c>
      <c r="H623" s="5" t="s">
        <v>40</v>
      </c>
      <c r="I623" s="5" t="s">
        <v>48</v>
      </c>
      <c r="J623" s="7">
        <v>6201</v>
      </c>
      <c r="K623" s="7">
        <f t="shared" si="101"/>
        <v>930.15</v>
      </c>
      <c r="L623" s="7">
        <f t="shared" si="102"/>
        <v>5270.85</v>
      </c>
      <c r="M623" s="7">
        <v>2823</v>
      </c>
      <c r="N623" s="5" t="s">
        <v>35</v>
      </c>
      <c r="O623" s="5">
        <v>14</v>
      </c>
      <c r="P623" s="7">
        <f t="shared" si="103"/>
        <v>7069.14</v>
      </c>
      <c r="Q623" s="7">
        <f t="shared" si="104"/>
        <v>10417.680000000004</v>
      </c>
      <c r="R623" s="7" t="str">
        <f t="shared" si="105"/>
        <v>Normal</v>
      </c>
      <c r="S623" s="5">
        <v>3</v>
      </c>
      <c r="T623" s="5">
        <v>2</v>
      </c>
      <c r="U623" s="5" t="str" cm="1">
        <f t="array" ref="U623">_xlfn.IFS(T623=1,"Poor",T623=2,"Fair",T623=3,"Good",T623=4,"Excellent")</f>
        <v>Fair</v>
      </c>
      <c r="V623" s="5" t="s">
        <v>35</v>
      </c>
      <c r="W623" s="5">
        <v>18</v>
      </c>
      <c r="X623" s="28">
        <f t="shared" ca="1" si="106"/>
        <v>39537</v>
      </c>
      <c r="Y623" s="28">
        <f t="shared" ca="1" si="107"/>
        <v>46842</v>
      </c>
      <c r="Z623" s="28" t="str">
        <f t="shared" ca="1" si="108"/>
        <v>Upcoming</v>
      </c>
      <c r="AA623" s="5" t="str" cm="1">
        <f t="array" ref="AA623">_xlfn.IFS(W623&gt;10,"Veteran",W623&gt;=6,"Experienced",W623&gt;=2,"Developing",W623&gt;=0,"New")</f>
        <v>Veteran</v>
      </c>
      <c r="AB623" s="5" t="str" cm="1">
        <f t="array" ref="AB623">_xlfn.IFS(G623=1,"Junior",G623=2,"Mid-Level",G623=3,"Senior",G623=4,"Lead",G623=5,"Principal")&amp;" "&amp;TRIM(PROPER(H623))</f>
        <v>Mid-Level Sales Executive</v>
      </c>
      <c r="AC623" s="19" t="str">
        <f t="shared" ca="1" si="109"/>
        <v>Sa-Sal-2008-622 is a Mid-Level Sales Executive in the Sales department, aged 36, married and has been with the Company for 18years</v>
      </c>
    </row>
    <row r="624" spans="1:29">
      <c r="A624" s="18" t="str">
        <f t="shared" ca="1" si="99"/>
        <v>Sa-Sal-2021-623</v>
      </c>
      <c r="B624" s="5">
        <v>32</v>
      </c>
      <c r="C624" s="5" t="str">
        <f t="shared" si="100"/>
        <v>30-39</v>
      </c>
      <c r="D624" s="5" t="s">
        <v>43</v>
      </c>
      <c r="E624" s="5" t="s">
        <v>37</v>
      </c>
      <c r="F624" s="5" t="s">
        <v>46</v>
      </c>
      <c r="G624" s="5">
        <v>2</v>
      </c>
      <c r="H624" s="5" t="s">
        <v>40</v>
      </c>
      <c r="I624" s="5" t="s">
        <v>52</v>
      </c>
      <c r="J624" s="7">
        <v>4403</v>
      </c>
      <c r="K624" s="7">
        <f t="shared" si="101"/>
        <v>660.44999999999993</v>
      </c>
      <c r="L624" s="7">
        <f t="shared" si="102"/>
        <v>3742.55</v>
      </c>
      <c r="M624" s="7">
        <v>9250</v>
      </c>
      <c r="N624" s="5" t="s">
        <v>43</v>
      </c>
      <c r="O624" s="5">
        <v>11</v>
      </c>
      <c r="P624" s="7">
        <f t="shared" si="103"/>
        <v>4887.3300000000008</v>
      </c>
      <c r="Q624" s="7">
        <f t="shared" si="104"/>
        <v>5811.96000000001</v>
      </c>
      <c r="R624" s="7" t="str">
        <f t="shared" si="105"/>
        <v>Normal</v>
      </c>
      <c r="S624" s="5">
        <v>3</v>
      </c>
      <c r="T624" s="5">
        <v>2</v>
      </c>
      <c r="U624" s="5" t="str" cm="1">
        <f t="array" ref="U624">_xlfn.IFS(T624=1,"Poor",T624=2,"Fair",T624=3,"Good",T624=4,"Excellent")</f>
        <v>Fair</v>
      </c>
      <c r="V624" s="5" t="s">
        <v>43</v>
      </c>
      <c r="W624" s="5">
        <v>5</v>
      </c>
      <c r="X624" s="28">
        <f t="shared" ca="1" si="106"/>
        <v>44285</v>
      </c>
      <c r="Y624" s="28">
        <f t="shared" ca="1" si="107"/>
        <v>46476</v>
      </c>
      <c r="Z624" s="28" t="str">
        <f t="shared" ca="1" si="108"/>
        <v>Due Soon</v>
      </c>
      <c r="AA624" s="5" t="str" cm="1">
        <f t="array" ref="AA624">_xlfn.IFS(W624&gt;10,"Veteran",W624&gt;=6,"Experienced",W624&gt;=2,"Developing",W624&gt;=0,"New")</f>
        <v>Developing</v>
      </c>
      <c r="AB624" s="5" t="str" cm="1">
        <f t="array" ref="AB624">_xlfn.IFS(G624=1,"Junior",G624=2,"Mid-Level",G624=3,"Senior",G624=4,"Lead",G624=5,"Principal")&amp;" "&amp;TRIM(PROPER(H624))</f>
        <v>Mid-Level Sales Executive</v>
      </c>
      <c r="AC624" s="19" t="str">
        <f t="shared" ca="1" si="109"/>
        <v>Sa-Sal-2021-623 is a Mid-Level Sales Executive in the Sales department, aged 32, divorced and has been with the Company for 5years</v>
      </c>
    </row>
    <row r="625" spans="1:29">
      <c r="A625" s="18" t="str">
        <f t="shared" ca="1" si="99"/>
        <v>Re-Res-2021-624</v>
      </c>
      <c r="B625" s="5">
        <v>30</v>
      </c>
      <c r="C625" s="5" t="str">
        <f t="shared" si="100"/>
        <v>30-39</v>
      </c>
      <c r="D625" s="5" t="s">
        <v>43</v>
      </c>
      <c r="E625" s="5" t="s">
        <v>45</v>
      </c>
      <c r="F625" s="5" t="s">
        <v>46</v>
      </c>
      <c r="G625" s="5">
        <v>1</v>
      </c>
      <c r="H625" s="5" t="s">
        <v>47</v>
      </c>
      <c r="I625" s="5" t="s">
        <v>52</v>
      </c>
      <c r="J625" s="7">
        <v>3761</v>
      </c>
      <c r="K625" s="7">
        <f t="shared" si="101"/>
        <v>564.15</v>
      </c>
      <c r="L625" s="7">
        <f t="shared" si="102"/>
        <v>3196.85</v>
      </c>
      <c r="M625" s="7">
        <v>2373</v>
      </c>
      <c r="N625" s="5" t="s">
        <v>43</v>
      </c>
      <c r="O625" s="5">
        <v>12</v>
      </c>
      <c r="P625" s="7">
        <f t="shared" si="103"/>
        <v>4212.3200000000006</v>
      </c>
      <c r="Q625" s="7">
        <f t="shared" si="104"/>
        <v>5415.8400000000074</v>
      </c>
      <c r="R625" s="7" t="str">
        <f t="shared" si="105"/>
        <v>Normal</v>
      </c>
      <c r="S625" s="5">
        <v>3</v>
      </c>
      <c r="T625" s="5">
        <v>2</v>
      </c>
      <c r="U625" s="5" t="str" cm="1">
        <f t="array" ref="U625">_xlfn.IFS(T625=1,"Poor",T625=2,"Fair",T625=3,"Good",T625=4,"Excellent")</f>
        <v>Fair</v>
      </c>
      <c r="V625" s="5" t="s">
        <v>43</v>
      </c>
      <c r="W625" s="5">
        <v>5</v>
      </c>
      <c r="X625" s="28">
        <f t="shared" ca="1" si="106"/>
        <v>44285</v>
      </c>
      <c r="Y625" s="28">
        <f t="shared" ca="1" si="107"/>
        <v>46476</v>
      </c>
      <c r="Z625" s="28" t="str">
        <f t="shared" ca="1" si="108"/>
        <v>Due Soon</v>
      </c>
      <c r="AA625" s="5" t="str" cm="1">
        <f t="array" ref="AA625">_xlfn.IFS(W625&gt;10,"Veteran",W625&gt;=6,"Experienced",W625&gt;=2,"Developing",W625&gt;=0,"New")</f>
        <v>Developing</v>
      </c>
      <c r="AB625" s="5" t="str" cm="1">
        <f t="array" ref="AB625">_xlfn.IFS(G625=1,"Junior",G625=2,"Mid-Level",G625=3,"Senior",G625=4,"Lead",G625=5,"Principal")&amp;" "&amp;TRIM(PROPER(H625))</f>
        <v>Junior Research Scientist</v>
      </c>
      <c r="AC625" s="19" t="str">
        <f t="shared" ca="1" si="109"/>
        <v>Re-Res-2021-624 is a Junior Research Scientist in the Research &amp; Development department, aged 30, divorced and has been with the Company for 5years</v>
      </c>
    </row>
    <row r="626" spans="1:29">
      <c r="A626" s="18" t="str">
        <f t="shared" ca="1" si="99"/>
        <v>Sa-Sal-2021-625</v>
      </c>
      <c r="B626" s="5">
        <v>53</v>
      </c>
      <c r="C626" s="5" t="str">
        <f t="shared" si="100"/>
        <v>50+</v>
      </c>
      <c r="D626" s="5" t="s">
        <v>43</v>
      </c>
      <c r="E626" s="5" t="s">
        <v>37</v>
      </c>
      <c r="F626" s="5" t="s">
        <v>39</v>
      </c>
      <c r="G626" s="5">
        <v>3</v>
      </c>
      <c r="H626" s="5" t="s">
        <v>40</v>
      </c>
      <c r="I626" s="5" t="s">
        <v>48</v>
      </c>
      <c r="J626" s="7">
        <v>10934</v>
      </c>
      <c r="K626" s="7">
        <f t="shared" si="101"/>
        <v>2405.48</v>
      </c>
      <c r="L626" s="7">
        <f t="shared" si="102"/>
        <v>8528.52</v>
      </c>
      <c r="M626" s="7">
        <v>20715</v>
      </c>
      <c r="N626" s="5" t="s">
        <v>35</v>
      </c>
      <c r="O626" s="5">
        <v>18</v>
      </c>
      <c r="P626" s="7">
        <f t="shared" si="103"/>
        <v>12902.119999999999</v>
      </c>
      <c r="Q626" s="7">
        <f t="shared" si="104"/>
        <v>23617.439999999988</v>
      </c>
      <c r="R626" s="7" t="str">
        <f t="shared" si="105"/>
        <v>Normal</v>
      </c>
      <c r="S626" s="5">
        <v>3</v>
      </c>
      <c r="T626" s="5">
        <v>3</v>
      </c>
      <c r="U626" s="5" t="str" cm="1">
        <f t="array" ref="U626">_xlfn.IFS(T626=1,"Poor",T626=2,"Fair",T626=3,"Good",T626=4,"Excellent")</f>
        <v>Good</v>
      </c>
      <c r="V626" s="5" t="s">
        <v>35</v>
      </c>
      <c r="W626" s="5">
        <v>5</v>
      </c>
      <c r="X626" s="28">
        <f t="shared" ca="1" si="106"/>
        <v>44285</v>
      </c>
      <c r="Y626" s="28">
        <f t="shared" ca="1" si="107"/>
        <v>46476</v>
      </c>
      <c r="Z626" s="28" t="str">
        <f t="shared" ca="1" si="108"/>
        <v>Due Soon</v>
      </c>
      <c r="AA626" s="5" t="str" cm="1">
        <f t="array" ref="AA626">_xlfn.IFS(W626&gt;10,"Veteran",W626&gt;=6,"Experienced",W626&gt;=2,"Developing",W626&gt;=0,"New")</f>
        <v>Developing</v>
      </c>
      <c r="AB626" s="5" t="str" cm="1">
        <f t="array" ref="AB626">_xlfn.IFS(G626=1,"Junior",G626=2,"Mid-Level",G626=3,"Senior",G626=4,"Lead",G626=5,"Principal")&amp;" "&amp;TRIM(PROPER(H626))</f>
        <v>Senior Sales Executive</v>
      </c>
      <c r="AC626" s="19" t="str">
        <f t="shared" ca="1" si="109"/>
        <v>Sa-Sal-2021-625 is a Senior Sales Executive in the Sales department, aged 53, married and has been with the Company for 5years</v>
      </c>
    </row>
    <row r="627" spans="1:29">
      <c r="A627" s="18" t="str">
        <f t="shared" ca="1" si="99"/>
        <v>Sa-Sal-2021-626</v>
      </c>
      <c r="B627" s="5">
        <v>45</v>
      </c>
      <c r="C627" s="5" t="str">
        <f t="shared" si="100"/>
        <v>40-49</v>
      </c>
      <c r="D627" s="5" t="s">
        <v>43</v>
      </c>
      <c r="E627" s="5" t="s">
        <v>37</v>
      </c>
      <c r="F627" s="5" t="s">
        <v>46</v>
      </c>
      <c r="G627" s="5">
        <v>3</v>
      </c>
      <c r="H627" s="5" t="s">
        <v>40</v>
      </c>
      <c r="I627" s="5" t="s">
        <v>52</v>
      </c>
      <c r="J627" s="7">
        <v>10761</v>
      </c>
      <c r="K627" s="7">
        <f t="shared" si="101"/>
        <v>2367.42</v>
      </c>
      <c r="L627" s="7">
        <f t="shared" si="102"/>
        <v>8393.58</v>
      </c>
      <c r="M627" s="7">
        <v>19239</v>
      </c>
      <c r="N627" s="5" t="s">
        <v>35</v>
      </c>
      <c r="O627" s="5">
        <v>12</v>
      </c>
      <c r="P627" s="7">
        <f t="shared" si="103"/>
        <v>12052.320000000002</v>
      </c>
      <c r="Q627" s="7">
        <f t="shared" si="104"/>
        <v>15495.840000000018</v>
      </c>
      <c r="R627" s="7" t="str">
        <f t="shared" si="105"/>
        <v>Normal</v>
      </c>
      <c r="S627" s="5">
        <v>3</v>
      </c>
      <c r="T627" s="5">
        <v>3</v>
      </c>
      <c r="U627" s="5" t="str" cm="1">
        <f t="array" ref="U627">_xlfn.IFS(T627=1,"Poor",T627=2,"Fair",T627=3,"Good",T627=4,"Excellent")</f>
        <v>Good</v>
      </c>
      <c r="V627" s="5" t="s">
        <v>35</v>
      </c>
      <c r="W627" s="5">
        <v>5</v>
      </c>
      <c r="X627" s="28">
        <f t="shared" ca="1" si="106"/>
        <v>44285</v>
      </c>
      <c r="Y627" s="28">
        <f t="shared" ca="1" si="107"/>
        <v>46476</v>
      </c>
      <c r="Z627" s="28" t="str">
        <f t="shared" ca="1" si="108"/>
        <v>Due Soon</v>
      </c>
      <c r="AA627" s="5" t="str" cm="1">
        <f t="array" ref="AA627">_xlfn.IFS(W627&gt;10,"Veteran",W627&gt;=6,"Experienced",W627&gt;=2,"Developing",W627&gt;=0,"New")</f>
        <v>Developing</v>
      </c>
      <c r="AB627" s="5" t="str" cm="1">
        <f t="array" ref="AB627">_xlfn.IFS(G627=1,"Junior",G627=2,"Mid-Level",G627=3,"Senior",G627=4,"Lead",G627=5,"Principal")&amp;" "&amp;TRIM(PROPER(H627))</f>
        <v>Senior Sales Executive</v>
      </c>
      <c r="AC627" s="19" t="str">
        <f t="shared" ca="1" si="109"/>
        <v>Sa-Sal-2021-626 is a Senior Sales Executive in the Sales department, aged 45, divorced and has been with the Company for 5years</v>
      </c>
    </row>
    <row r="628" spans="1:29">
      <c r="A628" s="18" t="str">
        <f t="shared" ca="1" si="99"/>
        <v>Re-Res-2021-627</v>
      </c>
      <c r="B628" s="5">
        <v>32</v>
      </c>
      <c r="C628" s="5" t="str">
        <f t="shared" si="100"/>
        <v>30-39</v>
      </c>
      <c r="D628" s="5" t="s">
        <v>43</v>
      </c>
      <c r="E628" s="5" t="s">
        <v>45</v>
      </c>
      <c r="F628" s="5" t="s">
        <v>39</v>
      </c>
      <c r="G628" s="5">
        <v>2</v>
      </c>
      <c r="H628" s="5" t="s">
        <v>47</v>
      </c>
      <c r="I628" s="5" t="s">
        <v>48</v>
      </c>
      <c r="J628" s="7">
        <v>5175</v>
      </c>
      <c r="K628" s="7">
        <f t="shared" si="101"/>
        <v>776.25</v>
      </c>
      <c r="L628" s="7">
        <f t="shared" si="102"/>
        <v>4398.75</v>
      </c>
      <c r="M628" s="7">
        <v>22162</v>
      </c>
      <c r="N628" s="5" t="s">
        <v>43</v>
      </c>
      <c r="O628" s="5">
        <v>12</v>
      </c>
      <c r="P628" s="7">
        <f t="shared" si="103"/>
        <v>5796.0000000000009</v>
      </c>
      <c r="Q628" s="7">
        <f t="shared" si="104"/>
        <v>7452.0000000000109</v>
      </c>
      <c r="R628" s="7" t="str">
        <f t="shared" si="105"/>
        <v>Normal</v>
      </c>
      <c r="S628" s="5">
        <v>3</v>
      </c>
      <c r="T628" s="5">
        <v>2</v>
      </c>
      <c r="U628" s="5" t="str" cm="1">
        <f t="array" ref="U628">_xlfn.IFS(T628=1,"Poor",T628=2,"Fair",T628=3,"Good",T628=4,"Excellent")</f>
        <v>Fair</v>
      </c>
      <c r="V628" s="5" t="s">
        <v>43</v>
      </c>
      <c r="W628" s="5">
        <v>5</v>
      </c>
      <c r="X628" s="28">
        <f t="shared" ca="1" si="106"/>
        <v>44285</v>
      </c>
      <c r="Y628" s="28">
        <f t="shared" ca="1" si="107"/>
        <v>46476</v>
      </c>
      <c r="Z628" s="28" t="str">
        <f t="shared" ca="1" si="108"/>
        <v>Due Soon</v>
      </c>
      <c r="AA628" s="5" t="str" cm="1">
        <f t="array" ref="AA628">_xlfn.IFS(W628&gt;10,"Veteran",W628&gt;=6,"Experienced",W628&gt;=2,"Developing",W628&gt;=0,"New")</f>
        <v>Developing</v>
      </c>
      <c r="AB628" s="5" t="str" cm="1">
        <f t="array" ref="AB628">_xlfn.IFS(G628=1,"Junior",G628=2,"Mid-Level",G628=3,"Senior",G628=4,"Lead",G628=5,"Principal")&amp;" "&amp;TRIM(PROPER(H628))</f>
        <v>Mid-Level Research Scientist</v>
      </c>
      <c r="AC628" s="19" t="str">
        <f t="shared" ca="1" si="109"/>
        <v>Re-Res-2021-627 is a Mid-Level Research Scientist in the Research &amp; Development department, aged 32, married and has been with the Company for 5years</v>
      </c>
    </row>
    <row r="629" spans="1:29">
      <c r="A629" s="18" t="str">
        <f t="shared" ca="1" si="99"/>
        <v>Ma-Res-2017-628</v>
      </c>
      <c r="B629" s="5">
        <v>52</v>
      </c>
      <c r="C629" s="5" t="str">
        <f t="shared" si="100"/>
        <v>50+</v>
      </c>
      <c r="D629" s="5" t="s">
        <v>43</v>
      </c>
      <c r="E629" s="5" t="s">
        <v>45</v>
      </c>
      <c r="F629" s="5" t="s">
        <v>39</v>
      </c>
      <c r="G629" s="5">
        <v>4</v>
      </c>
      <c r="H629" s="5" t="s">
        <v>53</v>
      </c>
      <c r="I629" s="5" t="s">
        <v>48</v>
      </c>
      <c r="J629" s="7">
        <v>13826</v>
      </c>
      <c r="K629" s="7">
        <f t="shared" si="101"/>
        <v>4147.8</v>
      </c>
      <c r="L629" s="7">
        <f t="shared" si="102"/>
        <v>9678.2000000000007</v>
      </c>
      <c r="M629" s="7">
        <v>19028</v>
      </c>
      <c r="N629" s="5" t="s">
        <v>43</v>
      </c>
      <c r="O629" s="5">
        <v>22</v>
      </c>
      <c r="P629" s="7">
        <f t="shared" si="103"/>
        <v>16867.72</v>
      </c>
      <c r="Q629" s="7">
        <f t="shared" si="104"/>
        <v>36500.640000000014</v>
      </c>
      <c r="R629" s="7" t="str">
        <f t="shared" si="105"/>
        <v>Normal</v>
      </c>
      <c r="S629" s="5">
        <v>4</v>
      </c>
      <c r="T629" s="5">
        <v>3</v>
      </c>
      <c r="U629" s="5" t="str" cm="1">
        <f t="array" ref="U629">_xlfn.IFS(T629=1,"Poor",T629=2,"Fair",T629=3,"Good",T629=4,"Excellent")</f>
        <v>Good</v>
      </c>
      <c r="V629" s="5" t="s">
        <v>43</v>
      </c>
      <c r="W629" s="5">
        <v>9</v>
      </c>
      <c r="X629" s="28">
        <f t="shared" ca="1" si="106"/>
        <v>42824</v>
      </c>
      <c r="Y629" s="28">
        <f t="shared" ca="1" si="107"/>
        <v>46476</v>
      </c>
      <c r="Z629" s="28" t="str">
        <f t="shared" ca="1" si="108"/>
        <v>Due Soon</v>
      </c>
      <c r="AA629" s="5" t="str" cm="1">
        <f t="array" ref="AA629">_xlfn.IFS(W629&gt;10,"Veteran",W629&gt;=6,"Experienced",W629&gt;=2,"Developing",W629&gt;=0,"New")</f>
        <v>Experienced</v>
      </c>
      <c r="AB629" s="5" t="str" cm="1">
        <f t="array" ref="AB629">_xlfn.IFS(G629=1,"Junior",G629=2,"Mid-Level",G629=3,"Senior",G629=4,"Lead",G629=5,"Principal")&amp;" "&amp;TRIM(PROPER(H629))</f>
        <v>Lead Manufacturing Director</v>
      </c>
      <c r="AC629" s="19" t="str">
        <f t="shared" ca="1" si="109"/>
        <v>Ma-Res-2017-628 is a Lead Manufacturing Director in the Research &amp; Development department, aged 52, married and has been with the Company for 9years</v>
      </c>
    </row>
    <row r="630" spans="1:29">
      <c r="A630" s="18" t="str">
        <f t="shared" ca="1" si="99"/>
        <v>Sa-Sal-2025-629</v>
      </c>
      <c r="B630" s="5">
        <v>37</v>
      </c>
      <c r="C630" s="5" t="str">
        <f t="shared" si="100"/>
        <v>30-39</v>
      </c>
      <c r="D630" s="5" t="s">
        <v>43</v>
      </c>
      <c r="E630" s="5" t="s">
        <v>37</v>
      </c>
      <c r="F630" s="5" t="s">
        <v>46</v>
      </c>
      <c r="G630" s="5">
        <v>2</v>
      </c>
      <c r="H630" s="5" t="s">
        <v>40</v>
      </c>
      <c r="I630" s="5" t="s">
        <v>52</v>
      </c>
      <c r="J630" s="7">
        <v>6334</v>
      </c>
      <c r="K630" s="7">
        <f t="shared" si="101"/>
        <v>950.09999999999991</v>
      </c>
      <c r="L630" s="7">
        <f t="shared" si="102"/>
        <v>5383.9</v>
      </c>
      <c r="M630" s="7">
        <v>24558</v>
      </c>
      <c r="N630" s="5" t="s">
        <v>43</v>
      </c>
      <c r="O630" s="5">
        <v>19</v>
      </c>
      <c r="P630" s="7">
        <f t="shared" si="103"/>
        <v>7537.46</v>
      </c>
      <c r="Q630" s="7">
        <f t="shared" si="104"/>
        <v>14441.52</v>
      </c>
      <c r="R630" s="7" t="str">
        <f t="shared" si="105"/>
        <v>Normal</v>
      </c>
      <c r="S630" s="5">
        <v>3</v>
      </c>
      <c r="T630" s="5">
        <v>3</v>
      </c>
      <c r="U630" s="5" t="str" cm="1">
        <f t="array" ref="U630">_xlfn.IFS(T630=1,"Poor",T630=2,"Fair",T630=3,"Good",T630=4,"Excellent")</f>
        <v>Good</v>
      </c>
      <c r="V630" s="5" t="s">
        <v>43</v>
      </c>
      <c r="W630" s="5">
        <v>1</v>
      </c>
      <c r="X630" s="28">
        <f t="shared" ca="1" si="106"/>
        <v>45746</v>
      </c>
      <c r="Y630" s="28">
        <f t="shared" ca="1" si="107"/>
        <v>46476</v>
      </c>
      <c r="Z630" s="28" t="str">
        <f t="shared" ca="1" si="108"/>
        <v>Due Soon</v>
      </c>
      <c r="AA630" s="5" t="str" cm="1">
        <f t="array" ref="AA630">_xlfn.IFS(W630&gt;10,"Veteran",W630&gt;=6,"Experienced",W630&gt;=2,"Developing",W630&gt;=0,"New")</f>
        <v>New</v>
      </c>
      <c r="AB630" s="5" t="str" cm="1">
        <f t="array" ref="AB630">_xlfn.IFS(G630=1,"Junior",G630=2,"Mid-Level",G630=3,"Senior",G630=4,"Lead",G630=5,"Principal")&amp;" "&amp;TRIM(PROPER(H630))</f>
        <v>Mid-Level Sales Executive</v>
      </c>
      <c r="AC630" s="19" t="str">
        <f t="shared" ca="1" si="109"/>
        <v>Sa-Sal-2025-629 is a Mid-Level Sales Executive in the Sales department, aged 37, divorced and has been with the Company for 1years</v>
      </c>
    </row>
    <row r="631" spans="1:29">
      <c r="A631" s="18" t="str">
        <f t="shared" ca="1" si="99"/>
        <v>Hu-Hum-2021-630</v>
      </c>
      <c r="B631" s="5">
        <v>28</v>
      </c>
      <c r="C631" s="5" t="str">
        <f t="shared" si="100"/>
        <v>20-29</v>
      </c>
      <c r="D631" s="5" t="s">
        <v>43</v>
      </c>
      <c r="E631" s="5" t="s">
        <v>61</v>
      </c>
      <c r="F631" s="5" t="s">
        <v>46</v>
      </c>
      <c r="G631" s="5">
        <v>1</v>
      </c>
      <c r="H631" s="5" t="s">
        <v>61</v>
      </c>
      <c r="I631" s="5" t="s">
        <v>52</v>
      </c>
      <c r="J631" s="7">
        <v>4936</v>
      </c>
      <c r="K631" s="7">
        <f t="shared" si="101"/>
        <v>740.4</v>
      </c>
      <c r="L631" s="7">
        <f t="shared" si="102"/>
        <v>4195.6000000000004</v>
      </c>
      <c r="M631" s="7">
        <v>23965</v>
      </c>
      <c r="N631" s="5" t="s">
        <v>43</v>
      </c>
      <c r="O631" s="5">
        <v>13</v>
      </c>
      <c r="P631" s="7">
        <f t="shared" si="103"/>
        <v>5577.6799999999994</v>
      </c>
      <c r="Q631" s="7">
        <f t="shared" si="104"/>
        <v>7700.1599999999926</v>
      </c>
      <c r="R631" s="7" t="str">
        <f t="shared" si="105"/>
        <v>Normal</v>
      </c>
      <c r="S631" s="5">
        <v>3</v>
      </c>
      <c r="T631" s="5">
        <v>3</v>
      </c>
      <c r="U631" s="5" t="str" cm="1">
        <f t="array" ref="U631">_xlfn.IFS(T631=1,"Poor",T631=2,"Fair",T631=3,"Good",T631=4,"Excellent")</f>
        <v>Good</v>
      </c>
      <c r="V631" s="5" t="s">
        <v>43</v>
      </c>
      <c r="W631" s="5">
        <v>5</v>
      </c>
      <c r="X631" s="28">
        <f t="shared" ca="1" si="106"/>
        <v>44285</v>
      </c>
      <c r="Y631" s="28">
        <f t="shared" ca="1" si="107"/>
        <v>46476</v>
      </c>
      <c r="Z631" s="28" t="str">
        <f t="shared" ca="1" si="108"/>
        <v>Due Soon</v>
      </c>
      <c r="AA631" s="5" t="str" cm="1">
        <f t="array" ref="AA631">_xlfn.IFS(W631&gt;10,"Veteran",W631&gt;=6,"Experienced",W631&gt;=2,"Developing",W631&gt;=0,"New")</f>
        <v>Developing</v>
      </c>
      <c r="AB631" s="5" t="str" cm="1">
        <f t="array" ref="AB631">_xlfn.IFS(G631=1,"Junior",G631=2,"Mid-Level",G631=3,"Senior",G631=4,"Lead",G631=5,"Principal")&amp;" "&amp;TRIM(PROPER(H631))</f>
        <v>Junior Human Resources</v>
      </c>
      <c r="AC631" s="19" t="str">
        <f t="shared" ca="1" si="109"/>
        <v>Hu-Hum-2021-630 is a Junior Human Resources in the Human Resources department, aged 28, divorced and has been with the Company for 5years</v>
      </c>
    </row>
    <row r="632" spans="1:29">
      <c r="A632" s="18" t="str">
        <f t="shared" ca="1" si="99"/>
        <v>Ma-Res-2024-631</v>
      </c>
      <c r="B632" s="5">
        <v>22</v>
      </c>
      <c r="C632" s="5" t="str">
        <f t="shared" si="100"/>
        <v>20-29</v>
      </c>
      <c r="D632" s="5" t="s">
        <v>43</v>
      </c>
      <c r="E632" s="5" t="s">
        <v>45</v>
      </c>
      <c r="F632" s="5" t="s">
        <v>46</v>
      </c>
      <c r="G632" s="5">
        <v>2</v>
      </c>
      <c r="H632" s="5" t="s">
        <v>53</v>
      </c>
      <c r="I632" s="5" t="s">
        <v>48</v>
      </c>
      <c r="J632" s="7">
        <v>4775</v>
      </c>
      <c r="K632" s="7">
        <f t="shared" si="101"/>
        <v>716.25</v>
      </c>
      <c r="L632" s="7">
        <f t="shared" si="102"/>
        <v>4058.75</v>
      </c>
      <c r="M632" s="7">
        <v>19146</v>
      </c>
      <c r="N632" s="5" t="s">
        <v>43</v>
      </c>
      <c r="O632" s="5">
        <v>22</v>
      </c>
      <c r="P632" s="7">
        <f t="shared" si="103"/>
        <v>5825.5</v>
      </c>
      <c r="Q632" s="7">
        <f t="shared" si="104"/>
        <v>12606</v>
      </c>
      <c r="R632" s="7" t="str">
        <f t="shared" si="105"/>
        <v>Normal</v>
      </c>
      <c r="S632" s="5">
        <v>4</v>
      </c>
      <c r="T632" s="5">
        <v>1</v>
      </c>
      <c r="U632" s="5" t="str" cm="1">
        <f t="array" ref="U632">_xlfn.IFS(T632=1,"Poor",T632=2,"Fair",T632=3,"Good",T632=4,"Excellent")</f>
        <v>Poor</v>
      </c>
      <c r="V632" s="5" t="s">
        <v>43</v>
      </c>
      <c r="W632" s="5">
        <v>2</v>
      </c>
      <c r="X632" s="28">
        <f t="shared" ca="1" si="106"/>
        <v>45381</v>
      </c>
      <c r="Y632" s="28">
        <f t="shared" ca="1" si="107"/>
        <v>46842</v>
      </c>
      <c r="Z632" s="28" t="str">
        <f t="shared" ca="1" si="108"/>
        <v>Upcoming</v>
      </c>
      <c r="AA632" s="5" t="str" cm="1">
        <f t="array" ref="AA632">_xlfn.IFS(W632&gt;10,"Veteran",W632&gt;=6,"Experienced",W632&gt;=2,"Developing",W632&gt;=0,"New")</f>
        <v>Developing</v>
      </c>
      <c r="AB632" s="5" t="str" cm="1">
        <f t="array" ref="AB632">_xlfn.IFS(G632=1,"Junior",G632=2,"Mid-Level",G632=3,"Senior",G632=4,"Lead",G632=5,"Principal")&amp;" "&amp;TRIM(PROPER(H632))</f>
        <v>Mid-Level Manufacturing Director</v>
      </c>
      <c r="AC632" s="19" t="str">
        <f t="shared" ca="1" si="109"/>
        <v>Ma-Res-2024-631 is a Mid-Level Manufacturing Director in the Research &amp; Development department, aged 22, married and has been with the Company for 2years</v>
      </c>
    </row>
    <row r="633" spans="1:29">
      <c r="A633" s="18" t="str">
        <f t="shared" ca="1" si="99"/>
        <v>La-Res-2023-632</v>
      </c>
      <c r="B633" s="5">
        <v>44</v>
      </c>
      <c r="C633" s="5" t="str">
        <f t="shared" si="100"/>
        <v>40-49</v>
      </c>
      <c r="D633" s="5" t="s">
        <v>43</v>
      </c>
      <c r="E633" s="5" t="s">
        <v>45</v>
      </c>
      <c r="F633" s="5" t="s">
        <v>46</v>
      </c>
      <c r="G633" s="5">
        <v>1</v>
      </c>
      <c r="H633" s="5" t="s">
        <v>50</v>
      </c>
      <c r="I633" s="5" t="s">
        <v>48</v>
      </c>
      <c r="J633" s="7">
        <v>2818</v>
      </c>
      <c r="K633" s="7">
        <f t="shared" si="101"/>
        <v>197.26000000000002</v>
      </c>
      <c r="L633" s="7">
        <f t="shared" si="102"/>
        <v>2620.7399999999998</v>
      </c>
      <c r="M633" s="7">
        <v>5044</v>
      </c>
      <c r="N633" s="5" t="s">
        <v>35</v>
      </c>
      <c r="O633" s="5">
        <v>24</v>
      </c>
      <c r="P633" s="7">
        <f t="shared" si="103"/>
        <v>3494.32</v>
      </c>
      <c r="Q633" s="7">
        <f t="shared" si="104"/>
        <v>8115.840000000002</v>
      </c>
      <c r="R633" s="7" t="str">
        <f t="shared" si="105"/>
        <v>Normal</v>
      </c>
      <c r="S633" s="5">
        <v>4</v>
      </c>
      <c r="T633" s="5">
        <v>2</v>
      </c>
      <c r="U633" s="5" t="str" cm="1">
        <f t="array" ref="U633">_xlfn.IFS(T633=1,"Poor",T633=2,"Fair",T633=3,"Good",T633=4,"Excellent")</f>
        <v>Fair</v>
      </c>
      <c r="V633" s="5" t="s">
        <v>35</v>
      </c>
      <c r="W633" s="5">
        <v>3</v>
      </c>
      <c r="X633" s="28">
        <f t="shared" ca="1" si="106"/>
        <v>45015</v>
      </c>
      <c r="Y633" s="28">
        <f t="shared" ca="1" si="107"/>
        <v>46476</v>
      </c>
      <c r="Z633" s="28" t="str">
        <f t="shared" ca="1" si="108"/>
        <v>Due Soon</v>
      </c>
      <c r="AA633" s="5" t="str" cm="1">
        <f t="array" ref="AA633">_xlfn.IFS(W633&gt;10,"Veteran",W633&gt;=6,"Experienced",W633&gt;=2,"Developing",W633&gt;=0,"New")</f>
        <v>Developing</v>
      </c>
      <c r="AB633" s="5" t="str" cm="1">
        <f t="array" ref="AB633">_xlfn.IFS(G633=1,"Junior",G633=2,"Mid-Level",G633=3,"Senior",G633=4,"Lead",G633=5,"Principal")&amp;" "&amp;TRIM(PROPER(H633))</f>
        <v>Junior Laboratory Technician</v>
      </c>
      <c r="AC633" s="19" t="str">
        <f t="shared" ca="1" si="109"/>
        <v>La-Res-2023-632 is a Junior Laboratory Technician in the Research &amp; Development department, aged 44, married and has been with the Company for 3years</v>
      </c>
    </row>
    <row r="634" spans="1:29">
      <c r="A634" s="18" t="str">
        <f t="shared" ca="1" si="99"/>
        <v>Re-Res-2024-633</v>
      </c>
      <c r="B634" s="5">
        <v>42</v>
      </c>
      <c r="C634" s="5" t="str">
        <f t="shared" si="100"/>
        <v>40-49</v>
      </c>
      <c r="D634" s="5" t="s">
        <v>43</v>
      </c>
      <c r="E634" s="5" t="s">
        <v>45</v>
      </c>
      <c r="F634" s="5" t="s">
        <v>46</v>
      </c>
      <c r="G634" s="5">
        <v>1</v>
      </c>
      <c r="H634" s="5" t="s">
        <v>47</v>
      </c>
      <c r="I634" s="5" t="s">
        <v>41</v>
      </c>
      <c r="J634" s="7">
        <v>2515</v>
      </c>
      <c r="K634" s="7">
        <f t="shared" si="101"/>
        <v>176.05</v>
      </c>
      <c r="L634" s="7">
        <f t="shared" si="102"/>
        <v>2338.9499999999998</v>
      </c>
      <c r="M634" s="7">
        <v>9068</v>
      </c>
      <c r="N634" s="5" t="s">
        <v>35</v>
      </c>
      <c r="O634" s="5">
        <v>14</v>
      </c>
      <c r="P634" s="7">
        <f t="shared" si="103"/>
        <v>2867.1000000000004</v>
      </c>
      <c r="Q634" s="7">
        <f t="shared" si="104"/>
        <v>4225.2000000000044</v>
      </c>
      <c r="R634" s="7" t="str">
        <f t="shared" si="105"/>
        <v>Normal</v>
      </c>
      <c r="S634" s="5">
        <v>3</v>
      </c>
      <c r="T634" s="5">
        <v>3</v>
      </c>
      <c r="U634" s="5" t="str" cm="1">
        <f t="array" ref="U634">_xlfn.IFS(T634=1,"Poor",T634=2,"Fair",T634=3,"Good",T634=4,"Excellent")</f>
        <v>Good</v>
      </c>
      <c r="V634" s="5" t="s">
        <v>35</v>
      </c>
      <c r="W634" s="5">
        <v>2</v>
      </c>
      <c r="X634" s="28">
        <f t="shared" ca="1" si="106"/>
        <v>45381</v>
      </c>
      <c r="Y634" s="28">
        <f t="shared" ca="1" si="107"/>
        <v>46842</v>
      </c>
      <c r="Z634" s="28" t="str">
        <f t="shared" ca="1" si="108"/>
        <v>Upcoming</v>
      </c>
      <c r="AA634" s="5" t="str" cm="1">
        <f t="array" ref="AA634">_xlfn.IFS(W634&gt;10,"Veteran",W634&gt;=6,"Experienced",W634&gt;=2,"Developing",W634&gt;=0,"New")</f>
        <v>Developing</v>
      </c>
      <c r="AB634" s="5" t="str" cm="1">
        <f t="array" ref="AB634">_xlfn.IFS(G634=1,"Junior",G634=2,"Mid-Level",G634=3,"Senior",G634=4,"Lead",G634=5,"Principal")&amp;" "&amp;TRIM(PROPER(H634))</f>
        <v>Junior Research Scientist</v>
      </c>
      <c r="AC634" s="19" t="str">
        <f t="shared" ca="1" si="109"/>
        <v>Re-Res-2024-633 is a Junior Research Scientist in the Research &amp; Development department, aged 42, single and has been with the Company for 2years</v>
      </c>
    </row>
    <row r="635" spans="1:29">
      <c r="A635" s="18" t="str">
        <f t="shared" ca="1" si="99"/>
        <v>Hu-Hum-2021-634</v>
      </c>
      <c r="B635" s="5">
        <v>36</v>
      </c>
      <c r="C635" s="5" t="str">
        <f t="shared" si="100"/>
        <v>30-39</v>
      </c>
      <c r="D635" s="5" t="s">
        <v>43</v>
      </c>
      <c r="E635" s="5" t="s">
        <v>61</v>
      </c>
      <c r="F635" s="5" t="s">
        <v>46</v>
      </c>
      <c r="G635" s="5">
        <v>1</v>
      </c>
      <c r="H635" s="5" t="s">
        <v>61</v>
      </c>
      <c r="I635" s="5" t="s">
        <v>48</v>
      </c>
      <c r="J635" s="7">
        <v>2342</v>
      </c>
      <c r="K635" s="7">
        <f t="shared" si="101"/>
        <v>163.94000000000003</v>
      </c>
      <c r="L635" s="7">
        <f t="shared" si="102"/>
        <v>2178.06</v>
      </c>
      <c r="M635" s="7">
        <v>8635</v>
      </c>
      <c r="N635" s="5" t="s">
        <v>43</v>
      </c>
      <c r="O635" s="5">
        <v>21</v>
      </c>
      <c r="P635" s="7">
        <f t="shared" si="103"/>
        <v>2833.8199999999997</v>
      </c>
      <c r="Q635" s="7">
        <f t="shared" si="104"/>
        <v>5901.8399999999965</v>
      </c>
      <c r="R635" s="7" t="str">
        <f t="shared" si="105"/>
        <v>Normal</v>
      </c>
      <c r="S635" s="5">
        <v>4</v>
      </c>
      <c r="T635" s="5">
        <v>3</v>
      </c>
      <c r="U635" s="5" t="str" cm="1">
        <f t="array" ref="U635">_xlfn.IFS(T635=1,"Poor",T635=2,"Fair",T635=3,"Good",T635=4,"Excellent")</f>
        <v>Good</v>
      </c>
      <c r="V635" s="5" t="s">
        <v>43</v>
      </c>
      <c r="W635" s="5">
        <v>5</v>
      </c>
      <c r="X635" s="28">
        <f t="shared" ca="1" si="106"/>
        <v>44285</v>
      </c>
      <c r="Y635" s="28">
        <f t="shared" ca="1" si="107"/>
        <v>46476</v>
      </c>
      <c r="Z635" s="28" t="str">
        <f t="shared" ca="1" si="108"/>
        <v>Due Soon</v>
      </c>
      <c r="AA635" s="5" t="str" cm="1">
        <f t="array" ref="AA635">_xlfn.IFS(W635&gt;10,"Veteran",W635&gt;=6,"Experienced",W635&gt;=2,"Developing",W635&gt;=0,"New")</f>
        <v>Developing</v>
      </c>
      <c r="AB635" s="5" t="str" cm="1">
        <f t="array" ref="AB635">_xlfn.IFS(G635=1,"Junior",G635=2,"Mid-Level",G635=3,"Senior",G635=4,"Lead",G635=5,"Principal")&amp;" "&amp;TRIM(PROPER(H635))</f>
        <v>Junior Human Resources</v>
      </c>
      <c r="AC635" s="19" t="str">
        <f t="shared" ca="1" si="109"/>
        <v>Hu-Hum-2021-634 is a Junior Human Resources in the Human Resources department, aged 36, married and has been with the Company for 5years</v>
      </c>
    </row>
    <row r="636" spans="1:29">
      <c r="A636" s="18" t="str">
        <f t="shared" ca="1" si="99"/>
        <v>Sa-Sal-2021-635</v>
      </c>
      <c r="B636" s="5">
        <v>25</v>
      </c>
      <c r="C636" s="5" t="str">
        <f t="shared" si="100"/>
        <v>20-29</v>
      </c>
      <c r="D636" s="5" t="s">
        <v>43</v>
      </c>
      <c r="E636" s="5" t="s">
        <v>37</v>
      </c>
      <c r="F636" s="5" t="s">
        <v>46</v>
      </c>
      <c r="G636" s="5">
        <v>2</v>
      </c>
      <c r="H636" s="5" t="s">
        <v>40</v>
      </c>
      <c r="I636" s="5" t="s">
        <v>48</v>
      </c>
      <c r="J636" s="7">
        <v>4194</v>
      </c>
      <c r="K636" s="7">
        <f t="shared" si="101"/>
        <v>629.1</v>
      </c>
      <c r="L636" s="7">
        <f t="shared" si="102"/>
        <v>3564.9</v>
      </c>
      <c r="M636" s="7">
        <v>14363</v>
      </c>
      <c r="N636" s="5" t="s">
        <v>35</v>
      </c>
      <c r="O636" s="5">
        <v>18</v>
      </c>
      <c r="P636" s="7">
        <f t="shared" si="103"/>
        <v>4948.92</v>
      </c>
      <c r="Q636" s="7">
        <f t="shared" si="104"/>
        <v>9059.0400000000009</v>
      </c>
      <c r="R636" s="7" t="str">
        <f t="shared" si="105"/>
        <v>Normal</v>
      </c>
      <c r="S636" s="5">
        <v>3</v>
      </c>
      <c r="T636" s="5">
        <v>3</v>
      </c>
      <c r="U636" s="5" t="str" cm="1">
        <f t="array" ref="U636">_xlfn.IFS(T636=1,"Poor",T636=2,"Fair",T636=3,"Good",T636=4,"Excellent")</f>
        <v>Good</v>
      </c>
      <c r="V636" s="5" t="s">
        <v>35</v>
      </c>
      <c r="W636" s="5">
        <v>5</v>
      </c>
      <c r="X636" s="28">
        <f t="shared" ca="1" si="106"/>
        <v>44285</v>
      </c>
      <c r="Y636" s="28">
        <f t="shared" ca="1" si="107"/>
        <v>46476</v>
      </c>
      <c r="Z636" s="28" t="str">
        <f t="shared" ca="1" si="108"/>
        <v>Due Soon</v>
      </c>
      <c r="AA636" s="5" t="str" cm="1">
        <f t="array" ref="AA636">_xlfn.IFS(W636&gt;10,"Veteran",W636&gt;=6,"Experienced",W636&gt;=2,"Developing",W636&gt;=0,"New")</f>
        <v>Developing</v>
      </c>
      <c r="AB636" s="5" t="str" cm="1">
        <f t="array" ref="AB636">_xlfn.IFS(G636=1,"Junior",G636=2,"Mid-Level",G636=3,"Senior",G636=4,"Lead",G636=5,"Principal")&amp;" "&amp;TRIM(PROPER(H636))</f>
        <v>Mid-Level Sales Executive</v>
      </c>
      <c r="AC636" s="19" t="str">
        <f t="shared" ca="1" si="109"/>
        <v>Sa-Sal-2021-635 is a Mid-Level Sales Executive in the Sales department, aged 25, married and has been with the Company for 5years</v>
      </c>
    </row>
    <row r="637" spans="1:29">
      <c r="A637" s="18" t="str">
        <f t="shared" ca="1" si="99"/>
        <v>Ma-Res-2009-636</v>
      </c>
      <c r="B637" s="5">
        <v>35</v>
      </c>
      <c r="C637" s="5" t="str">
        <f t="shared" si="100"/>
        <v>30-39</v>
      </c>
      <c r="D637" s="5" t="s">
        <v>43</v>
      </c>
      <c r="E637" s="5" t="s">
        <v>45</v>
      </c>
      <c r="F637" s="5" t="s">
        <v>39</v>
      </c>
      <c r="G637" s="5">
        <v>3</v>
      </c>
      <c r="H637" s="5" t="s">
        <v>53</v>
      </c>
      <c r="I637" s="5" t="s">
        <v>48</v>
      </c>
      <c r="J637" s="7">
        <v>10685</v>
      </c>
      <c r="K637" s="7">
        <f t="shared" si="101"/>
        <v>2350.6999999999998</v>
      </c>
      <c r="L637" s="7">
        <f t="shared" si="102"/>
        <v>8334.2999999999993</v>
      </c>
      <c r="M637" s="7">
        <v>23457</v>
      </c>
      <c r="N637" s="5" t="s">
        <v>35</v>
      </c>
      <c r="O637" s="5">
        <v>20</v>
      </c>
      <c r="P637" s="7">
        <f t="shared" si="103"/>
        <v>12822</v>
      </c>
      <c r="Q637" s="7">
        <f t="shared" si="104"/>
        <v>25644</v>
      </c>
      <c r="R637" s="7" t="str">
        <f t="shared" si="105"/>
        <v>Normal</v>
      </c>
      <c r="S637" s="5">
        <v>4</v>
      </c>
      <c r="T637" s="5">
        <v>3</v>
      </c>
      <c r="U637" s="5" t="str" cm="1">
        <f t="array" ref="U637">_xlfn.IFS(T637=1,"Poor",T637=2,"Fair",T637=3,"Good",T637=4,"Excellent")</f>
        <v>Good</v>
      </c>
      <c r="V637" s="5" t="s">
        <v>35</v>
      </c>
      <c r="W637" s="5">
        <v>17</v>
      </c>
      <c r="X637" s="28">
        <f t="shared" ca="1" si="106"/>
        <v>39902</v>
      </c>
      <c r="Y637" s="28">
        <f t="shared" ca="1" si="107"/>
        <v>46476</v>
      </c>
      <c r="Z637" s="28" t="str">
        <f t="shared" ca="1" si="108"/>
        <v>Due Soon</v>
      </c>
      <c r="AA637" s="5" t="str" cm="1">
        <f t="array" ref="AA637">_xlfn.IFS(W637&gt;10,"Veteran",W637&gt;=6,"Experienced",W637&gt;=2,"Developing",W637&gt;=0,"New")</f>
        <v>Veteran</v>
      </c>
      <c r="AB637" s="5" t="str" cm="1">
        <f t="array" ref="AB637">_xlfn.IFS(G637=1,"Junior",G637=2,"Mid-Level",G637=3,"Senior",G637=4,"Lead",G637=5,"Principal")&amp;" "&amp;TRIM(PROPER(H637))</f>
        <v>Senior Manufacturing Director</v>
      </c>
      <c r="AC637" s="19" t="str">
        <f t="shared" ca="1" si="109"/>
        <v>Ma-Res-2009-636 is a Senior Manufacturing Director in the Research &amp; Development department, aged 35, married and has been with the Company for 17years</v>
      </c>
    </row>
    <row r="638" spans="1:29">
      <c r="A638" s="18" t="str">
        <f t="shared" ca="1" si="99"/>
        <v>Re-Res-2016-637</v>
      </c>
      <c r="B638" s="5">
        <v>35</v>
      </c>
      <c r="C638" s="5" t="str">
        <f t="shared" si="100"/>
        <v>30-39</v>
      </c>
      <c r="D638" s="5" t="s">
        <v>35</v>
      </c>
      <c r="E638" s="5" t="s">
        <v>45</v>
      </c>
      <c r="F638" s="5" t="s">
        <v>39</v>
      </c>
      <c r="G638" s="5">
        <v>1</v>
      </c>
      <c r="H638" s="5" t="s">
        <v>47</v>
      </c>
      <c r="I638" s="5" t="s">
        <v>52</v>
      </c>
      <c r="J638" s="7">
        <v>2022</v>
      </c>
      <c r="K638" s="7">
        <f t="shared" si="101"/>
        <v>141.54000000000002</v>
      </c>
      <c r="L638" s="7">
        <f t="shared" si="102"/>
        <v>1880.46</v>
      </c>
      <c r="M638" s="7">
        <v>16612</v>
      </c>
      <c r="N638" s="5" t="s">
        <v>35</v>
      </c>
      <c r="O638" s="5">
        <v>19</v>
      </c>
      <c r="P638" s="7">
        <f t="shared" si="103"/>
        <v>2406.1799999999998</v>
      </c>
      <c r="Q638" s="7">
        <f t="shared" si="104"/>
        <v>4610.159999999998</v>
      </c>
      <c r="R638" s="7" t="str">
        <f t="shared" si="105"/>
        <v>Normal</v>
      </c>
      <c r="S638" s="5">
        <v>3</v>
      </c>
      <c r="T638" s="5">
        <v>2</v>
      </c>
      <c r="U638" s="5" t="str" cm="1">
        <f t="array" ref="U638">_xlfn.IFS(T638=1,"Poor",T638=2,"Fair",T638=3,"Good",T638=4,"Excellent")</f>
        <v>Fair</v>
      </c>
      <c r="V638" s="5" t="s">
        <v>35</v>
      </c>
      <c r="W638" s="5">
        <v>10</v>
      </c>
      <c r="X638" s="28">
        <f t="shared" ca="1" si="106"/>
        <v>42459</v>
      </c>
      <c r="Y638" s="28">
        <f t="shared" ca="1" si="107"/>
        <v>46842</v>
      </c>
      <c r="Z638" s="28" t="str">
        <f t="shared" ca="1" si="108"/>
        <v>Upcoming</v>
      </c>
      <c r="AA638" s="5" t="str" cm="1">
        <f t="array" ref="AA638">_xlfn.IFS(W638&gt;10,"Veteran",W638&gt;=6,"Experienced",W638&gt;=2,"Developing",W638&gt;=0,"New")</f>
        <v>Experienced</v>
      </c>
      <c r="AB638" s="5" t="str" cm="1">
        <f t="array" ref="AB638">_xlfn.IFS(G638=1,"Junior",G638=2,"Mid-Level",G638=3,"Senior",G638=4,"Lead",G638=5,"Principal")&amp;" "&amp;TRIM(PROPER(H638))</f>
        <v>Junior Research Scientist</v>
      </c>
      <c r="AC638" s="19" t="str">
        <f t="shared" ca="1" si="109"/>
        <v>Re-Res-2016-637 is a Junior Research Scientist in the Research &amp; Development department, aged 35, divorced and has been with the Company for 10years</v>
      </c>
    </row>
    <row r="639" spans="1:29">
      <c r="A639" s="18" t="str">
        <f t="shared" ca="1" si="99"/>
        <v>La-Res-2023-638</v>
      </c>
      <c r="B639" s="5">
        <v>32</v>
      </c>
      <c r="C639" s="5" t="str">
        <f t="shared" si="100"/>
        <v>30-39</v>
      </c>
      <c r="D639" s="5" t="s">
        <v>43</v>
      </c>
      <c r="E639" s="5" t="s">
        <v>45</v>
      </c>
      <c r="F639" s="5" t="s">
        <v>46</v>
      </c>
      <c r="G639" s="5">
        <v>1</v>
      </c>
      <c r="H639" s="5" t="s">
        <v>50</v>
      </c>
      <c r="I639" s="5" t="s">
        <v>52</v>
      </c>
      <c r="J639" s="7">
        <v>2314</v>
      </c>
      <c r="K639" s="7">
        <f t="shared" si="101"/>
        <v>161.98000000000002</v>
      </c>
      <c r="L639" s="7">
        <f t="shared" si="102"/>
        <v>2152.02</v>
      </c>
      <c r="M639" s="7">
        <v>9148</v>
      </c>
      <c r="N639" s="5" t="s">
        <v>43</v>
      </c>
      <c r="O639" s="5">
        <v>12</v>
      </c>
      <c r="P639" s="7">
        <f t="shared" si="103"/>
        <v>2591.6800000000003</v>
      </c>
      <c r="Q639" s="7">
        <f t="shared" si="104"/>
        <v>3332.1600000000035</v>
      </c>
      <c r="R639" s="7" t="str">
        <f t="shared" si="105"/>
        <v>Normal</v>
      </c>
      <c r="S639" s="5">
        <v>3</v>
      </c>
      <c r="T639" s="5">
        <v>3</v>
      </c>
      <c r="U639" s="5" t="str" cm="1">
        <f t="array" ref="U639">_xlfn.IFS(T639=1,"Poor",T639=2,"Fair",T639=3,"Good",T639=4,"Excellent")</f>
        <v>Good</v>
      </c>
      <c r="V639" s="5" t="s">
        <v>43</v>
      </c>
      <c r="W639" s="5">
        <v>3</v>
      </c>
      <c r="X639" s="28">
        <f t="shared" ca="1" si="106"/>
        <v>45015</v>
      </c>
      <c r="Y639" s="28">
        <f t="shared" ca="1" si="107"/>
        <v>46476</v>
      </c>
      <c r="Z639" s="28" t="str">
        <f t="shared" ca="1" si="108"/>
        <v>Due Soon</v>
      </c>
      <c r="AA639" s="5" t="str" cm="1">
        <f t="array" ref="AA639">_xlfn.IFS(W639&gt;10,"Veteran",W639&gt;=6,"Experienced",W639&gt;=2,"Developing",W639&gt;=0,"New")</f>
        <v>Developing</v>
      </c>
      <c r="AB639" s="5" t="str" cm="1">
        <f t="array" ref="AB639">_xlfn.IFS(G639=1,"Junior",G639=2,"Mid-Level",G639=3,"Senior",G639=4,"Lead",G639=5,"Principal")&amp;" "&amp;TRIM(PROPER(H639))</f>
        <v>Junior Laboratory Technician</v>
      </c>
      <c r="AC639" s="19" t="str">
        <f t="shared" ca="1" si="109"/>
        <v>La-Res-2023-638 is a Junior Laboratory Technician in the Research &amp; Development department, aged 32, divorced and has been with the Company for 3years</v>
      </c>
    </row>
    <row r="640" spans="1:29">
      <c r="A640" s="18" t="str">
        <f t="shared" ca="1" si="99"/>
        <v>Sa-Sal-2021-639</v>
      </c>
      <c r="B640" s="5">
        <v>25</v>
      </c>
      <c r="C640" s="5" t="str">
        <f t="shared" si="100"/>
        <v>20-29</v>
      </c>
      <c r="D640" s="5" t="s">
        <v>43</v>
      </c>
      <c r="E640" s="5" t="s">
        <v>37</v>
      </c>
      <c r="F640" s="5" t="s">
        <v>46</v>
      </c>
      <c r="G640" s="5">
        <v>2</v>
      </c>
      <c r="H640" s="5" t="s">
        <v>40</v>
      </c>
      <c r="I640" s="5" t="s">
        <v>48</v>
      </c>
      <c r="J640" s="7">
        <v>4256</v>
      </c>
      <c r="K640" s="7">
        <f t="shared" si="101"/>
        <v>638.4</v>
      </c>
      <c r="L640" s="7">
        <f t="shared" si="102"/>
        <v>3617.6</v>
      </c>
      <c r="M640" s="7">
        <v>18154</v>
      </c>
      <c r="N640" s="5" t="s">
        <v>43</v>
      </c>
      <c r="O640" s="5">
        <v>12</v>
      </c>
      <c r="P640" s="7">
        <f t="shared" si="103"/>
        <v>4766.72</v>
      </c>
      <c r="Q640" s="7">
        <f t="shared" si="104"/>
        <v>6128.6400000000031</v>
      </c>
      <c r="R640" s="7" t="str">
        <f t="shared" si="105"/>
        <v>Normal</v>
      </c>
      <c r="S640" s="5">
        <v>3</v>
      </c>
      <c r="T640" s="5">
        <v>4</v>
      </c>
      <c r="U640" s="5" t="str" cm="1">
        <f t="array" ref="U640">_xlfn.IFS(T640=1,"Poor",T640=2,"Fair",T640=3,"Good",T640=4,"Excellent")</f>
        <v>Excellent</v>
      </c>
      <c r="V640" s="5" t="s">
        <v>43</v>
      </c>
      <c r="W640" s="5">
        <v>5</v>
      </c>
      <c r="X640" s="28">
        <f t="shared" ca="1" si="106"/>
        <v>44285</v>
      </c>
      <c r="Y640" s="28">
        <f t="shared" ca="1" si="107"/>
        <v>46476</v>
      </c>
      <c r="Z640" s="28" t="str">
        <f t="shared" ca="1" si="108"/>
        <v>Due Soon</v>
      </c>
      <c r="AA640" s="5" t="str" cm="1">
        <f t="array" ref="AA640">_xlfn.IFS(W640&gt;10,"Veteran",W640&gt;=6,"Experienced",W640&gt;=2,"Developing",W640&gt;=0,"New")</f>
        <v>Developing</v>
      </c>
      <c r="AB640" s="5" t="str" cm="1">
        <f t="array" ref="AB640">_xlfn.IFS(G640=1,"Junior",G640=2,"Mid-Level",G640=3,"Senior",G640=4,"Lead",G640=5,"Principal")&amp;" "&amp;TRIM(PROPER(H640))</f>
        <v>Mid-Level Sales Executive</v>
      </c>
      <c r="AC640" s="19" t="str">
        <f t="shared" ca="1" si="109"/>
        <v>Sa-Sal-2021-639 is a Mid-Level Sales Executive in the Sales department, aged 25, married and has been with the Company for 5years</v>
      </c>
    </row>
    <row r="641" spans="1:29">
      <c r="A641" s="18" t="str">
        <f t="shared" ca="1" si="99"/>
        <v>Re-Res-2022-640</v>
      </c>
      <c r="B641" s="5">
        <v>49</v>
      </c>
      <c r="C641" s="5" t="str">
        <f t="shared" si="100"/>
        <v>40-49</v>
      </c>
      <c r="D641" s="5" t="s">
        <v>43</v>
      </c>
      <c r="E641" s="5" t="s">
        <v>45</v>
      </c>
      <c r="F641" s="5" t="s">
        <v>39</v>
      </c>
      <c r="G641" s="5">
        <v>1</v>
      </c>
      <c r="H641" s="5" t="s">
        <v>47</v>
      </c>
      <c r="I641" s="5" t="s">
        <v>48</v>
      </c>
      <c r="J641" s="7">
        <v>3580</v>
      </c>
      <c r="K641" s="7">
        <f t="shared" si="101"/>
        <v>537</v>
      </c>
      <c r="L641" s="7">
        <f t="shared" si="102"/>
        <v>3043</v>
      </c>
      <c r="M641" s="7">
        <v>10554</v>
      </c>
      <c r="N641" s="5" t="s">
        <v>43</v>
      </c>
      <c r="O641" s="5">
        <v>16</v>
      </c>
      <c r="P641" s="7">
        <f t="shared" si="103"/>
        <v>4152.7999999999993</v>
      </c>
      <c r="Q641" s="7">
        <f t="shared" si="104"/>
        <v>6873.5999999999913</v>
      </c>
      <c r="R641" s="7" t="str">
        <f t="shared" si="105"/>
        <v>Normal</v>
      </c>
      <c r="S641" s="5">
        <v>3</v>
      </c>
      <c r="T641" s="5">
        <v>3</v>
      </c>
      <c r="U641" s="5" t="str" cm="1">
        <f t="array" ref="U641">_xlfn.IFS(T641=1,"Poor",T641=2,"Fair",T641=3,"Good",T641=4,"Excellent")</f>
        <v>Good</v>
      </c>
      <c r="V641" s="5" t="s">
        <v>43</v>
      </c>
      <c r="W641" s="5">
        <v>4</v>
      </c>
      <c r="X641" s="28">
        <f t="shared" ca="1" si="106"/>
        <v>44650</v>
      </c>
      <c r="Y641" s="28">
        <f t="shared" ca="1" si="107"/>
        <v>46842</v>
      </c>
      <c r="Z641" s="28" t="str">
        <f t="shared" ca="1" si="108"/>
        <v>Upcoming</v>
      </c>
      <c r="AA641" s="5" t="str" cm="1">
        <f t="array" ref="AA641">_xlfn.IFS(W641&gt;10,"Veteran",W641&gt;=6,"Experienced",W641&gt;=2,"Developing",W641&gt;=0,"New")</f>
        <v>Developing</v>
      </c>
      <c r="AB641" s="5" t="str" cm="1">
        <f t="array" ref="AB641">_xlfn.IFS(G641=1,"Junior",G641=2,"Mid-Level",G641=3,"Senior",G641=4,"Lead",G641=5,"Principal")&amp;" "&amp;TRIM(PROPER(H641))</f>
        <v>Junior Research Scientist</v>
      </c>
      <c r="AC641" s="19" t="str">
        <f t="shared" ca="1" si="109"/>
        <v>Re-Res-2022-640 is a Junior Research Scientist in the Research &amp; Development department, aged 49, married and has been with the Company for 4years</v>
      </c>
    </row>
    <row r="642" spans="1:29">
      <c r="A642" s="18" t="str">
        <f t="shared" ca="1" si="99"/>
        <v>La-Res-2021-641</v>
      </c>
      <c r="B642" s="5">
        <v>24</v>
      </c>
      <c r="C642" s="5" t="str">
        <f t="shared" si="100"/>
        <v>20-29</v>
      </c>
      <c r="D642" s="5" t="s">
        <v>43</v>
      </c>
      <c r="E642" s="5" t="s">
        <v>45</v>
      </c>
      <c r="F642" s="5" t="s">
        <v>46</v>
      </c>
      <c r="G642" s="5">
        <v>1</v>
      </c>
      <c r="H642" s="5" t="s">
        <v>50</v>
      </c>
      <c r="I642" s="5" t="s">
        <v>48</v>
      </c>
      <c r="J642" s="7">
        <v>3162</v>
      </c>
      <c r="K642" s="7">
        <f t="shared" si="101"/>
        <v>474.29999999999995</v>
      </c>
      <c r="L642" s="7">
        <f t="shared" si="102"/>
        <v>2687.7</v>
      </c>
      <c r="M642" s="7">
        <v>10778</v>
      </c>
      <c r="N642" s="5" t="s">
        <v>43</v>
      </c>
      <c r="O642" s="5">
        <v>17</v>
      </c>
      <c r="P642" s="7">
        <f t="shared" si="103"/>
        <v>3699.54</v>
      </c>
      <c r="Q642" s="7">
        <f t="shared" si="104"/>
        <v>6450.48</v>
      </c>
      <c r="R642" s="7" t="str">
        <f t="shared" si="105"/>
        <v>Normal</v>
      </c>
      <c r="S642" s="5">
        <v>3</v>
      </c>
      <c r="T642" s="5">
        <v>2</v>
      </c>
      <c r="U642" s="5" t="str" cm="1">
        <f t="array" ref="U642">_xlfn.IFS(T642=1,"Poor",T642=2,"Fair",T642=3,"Good",T642=4,"Excellent")</f>
        <v>Fair</v>
      </c>
      <c r="V642" s="5" t="s">
        <v>43</v>
      </c>
      <c r="W642" s="5">
        <v>5</v>
      </c>
      <c r="X642" s="28">
        <f t="shared" ca="1" si="106"/>
        <v>44285</v>
      </c>
      <c r="Y642" s="28">
        <f t="shared" ca="1" si="107"/>
        <v>46476</v>
      </c>
      <c r="Z642" s="28" t="str">
        <f t="shared" ca="1" si="108"/>
        <v>Due Soon</v>
      </c>
      <c r="AA642" s="5" t="str" cm="1">
        <f t="array" ref="AA642">_xlfn.IFS(W642&gt;10,"Veteran",W642&gt;=6,"Experienced",W642&gt;=2,"Developing",W642&gt;=0,"New")</f>
        <v>Developing</v>
      </c>
      <c r="AB642" s="5" t="str" cm="1">
        <f t="array" ref="AB642">_xlfn.IFS(G642=1,"Junior",G642=2,"Mid-Level",G642=3,"Senior",G642=4,"Lead",G642=5,"Principal")&amp;" "&amp;TRIM(PROPER(H642))</f>
        <v>Junior Laboratory Technician</v>
      </c>
      <c r="AC642" s="19" t="str">
        <f t="shared" ca="1" si="109"/>
        <v>La-Res-2021-641 is a Junior Laboratory Technician in the Research &amp; Development department, aged 24, married and has been with the Company for 5years</v>
      </c>
    </row>
    <row r="643" spans="1:29">
      <c r="A643" s="18" t="str">
        <f t="shared" ref="A643:A706" ca="1" si="110">LEFT(H643,2)&amp;"-"&amp;LEFT(E643,3)&amp;"-"&amp;YEAR(TODAY())-W643&amp;"-"&amp;TEXT(ROW()-1,"000")</f>
        <v>Sa-Sal-2016-642</v>
      </c>
      <c r="B643" s="5">
        <v>32</v>
      </c>
      <c r="C643" s="5" t="str">
        <f t="shared" ref="C643:C706" si="111">IF(B643&lt;=29,"20-29",IF(B643&lt;=39,"30-39",IF(B643&lt;=49,"40-49","50+")))</f>
        <v>30-39</v>
      </c>
      <c r="D643" s="5" t="s">
        <v>43</v>
      </c>
      <c r="E643" s="5" t="s">
        <v>37</v>
      </c>
      <c r="F643" s="5" t="s">
        <v>46</v>
      </c>
      <c r="G643" s="5">
        <v>2</v>
      </c>
      <c r="H643" s="5" t="s">
        <v>40</v>
      </c>
      <c r="I643" s="5" t="s">
        <v>48</v>
      </c>
      <c r="J643" s="7">
        <v>6524</v>
      </c>
      <c r="K643" s="7">
        <f t="shared" ref="K643:K706" si="112">IF(J643&gt;13000,J643*30%,IF(J643&gt;7000,J643*22%,IF(J643&gt;3000,J643*15%,J643*7%)))</f>
        <v>978.59999999999991</v>
      </c>
      <c r="L643" s="7">
        <f t="shared" ref="L643:L706" si="113">J643-K643</f>
        <v>5545.4</v>
      </c>
      <c r="M643" s="7">
        <v>8891</v>
      </c>
      <c r="N643" s="5" t="s">
        <v>43</v>
      </c>
      <c r="O643" s="5">
        <v>14</v>
      </c>
      <c r="P643" s="7">
        <f t="shared" ref="P643:P706" si="114">J643*(1+(O643/100))</f>
        <v>7437.3600000000006</v>
      </c>
      <c r="Q643" s="7">
        <f t="shared" ref="Q643:Q706" si="115">(P643-J643)*12</f>
        <v>10960.320000000007</v>
      </c>
      <c r="R643" s="7" t="str">
        <f t="shared" ref="R643:R706" si="116">IF(AND(O643&lt;12,S643=4),"UnderPaid","Normal")</f>
        <v>Normal</v>
      </c>
      <c r="S643" s="5">
        <v>3</v>
      </c>
      <c r="T643" s="5">
        <v>3</v>
      </c>
      <c r="U643" s="5" t="str" cm="1">
        <f t="array" ref="U643">_xlfn.IFS(T643=1,"Poor",T643=2,"Fair",T643=3,"Good",T643=4,"Excellent")</f>
        <v>Good</v>
      </c>
      <c r="V643" s="5" t="s">
        <v>43</v>
      </c>
      <c r="W643" s="5">
        <v>10</v>
      </c>
      <c r="X643" s="28">
        <f t="shared" ref="X643:X706" ca="1" si="117">EDATE(TODAY(),-W643*12)</f>
        <v>42459</v>
      </c>
      <c r="Y643" s="28">
        <f t="shared" ref="Y643:Y706" ca="1" si="118">EDATE(X643,(INT(W643/2)+1)*24)</f>
        <v>46842</v>
      </c>
      <c r="Z643" s="28" t="str">
        <f t="shared" ref="Z643:Z706" ca="1" si="119">IF(Y643&lt;=EDATE(TODAY(),12),"Due Soon","Upcoming")</f>
        <v>Upcoming</v>
      </c>
      <c r="AA643" s="5" t="str" cm="1">
        <f t="array" ref="AA643">_xlfn.IFS(W643&gt;10,"Veteran",W643&gt;=6,"Experienced",W643&gt;=2,"Developing",W643&gt;=0,"New")</f>
        <v>Experienced</v>
      </c>
      <c r="AB643" s="5" t="str" cm="1">
        <f t="array" ref="AB643">_xlfn.IFS(G643=1,"Junior",G643=2,"Mid-Level",G643=3,"Senior",G643=4,"Lead",G643=5,"Principal")&amp;" "&amp;TRIM(PROPER(H643))</f>
        <v>Mid-Level Sales Executive</v>
      </c>
      <c r="AC643" s="19" t="str">
        <f t="shared" ref="AC643:AC706" ca="1" si="120">A643&amp;" is a "&amp;AB643&amp;" in the "&amp;E643&amp;" department, aged "&amp;B643&amp;", "&amp;LOWER(I643)&amp;" and has been with the Company for "&amp;W643&amp;"years"</f>
        <v>Sa-Sal-2016-642 is a Mid-Level Sales Executive in the Sales department, aged 32, married and has been with the Company for 10years</v>
      </c>
    </row>
    <row r="644" spans="1:29">
      <c r="A644" s="18" t="str">
        <f t="shared" ca="1" si="110"/>
        <v>Sa-Sal-2024-643</v>
      </c>
      <c r="B644" s="5">
        <v>38</v>
      </c>
      <c r="C644" s="5" t="str">
        <f t="shared" si="111"/>
        <v>30-39</v>
      </c>
      <c r="D644" s="5" t="s">
        <v>43</v>
      </c>
      <c r="E644" s="5" t="s">
        <v>37</v>
      </c>
      <c r="F644" s="5" t="s">
        <v>46</v>
      </c>
      <c r="G644" s="5">
        <v>1</v>
      </c>
      <c r="H644" s="5" t="s">
        <v>57</v>
      </c>
      <c r="I644" s="5" t="s">
        <v>48</v>
      </c>
      <c r="J644" s="7">
        <v>2899</v>
      </c>
      <c r="K644" s="7">
        <f t="shared" si="112"/>
        <v>202.93</v>
      </c>
      <c r="L644" s="7">
        <f t="shared" si="113"/>
        <v>2696.07</v>
      </c>
      <c r="M644" s="7">
        <v>12102</v>
      </c>
      <c r="N644" s="5" t="s">
        <v>43</v>
      </c>
      <c r="O644" s="5">
        <v>19</v>
      </c>
      <c r="P644" s="7">
        <f t="shared" si="114"/>
        <v>3449.81</v>
      </c>
      <c r="Q644" s="7">
        <f t="shared" si="115"/>
        <v>6609.7199999999993</v>
      </c>
      <c r="R644" s="7" t="str">
        <f t="shared" si="116"/>
        <v>Normal</v>
      </c>
      <c r="S644" s="5">
        <v>3</v>
      </c>
      <c r="T644" s="5">
        <v>3</v>
      </c>
      <c r="U644" s="5" t="str" cm="1">
        <f t="array" ref="U644">_xlfn.IFS(T644=1,"Poor",T644=2,"Fair",T644=3,"Good",T644=4,"Excellent")</f>
        <v>Good</v>
      </c>
      <c r="V644" s="5" t="s">
        <v>43</v>
      </c>
      <c r="W644" s="5">
        <v>2</v>
      </c>
      <c r="X644" s="28">
        <f t="shared" ca="1" si="117"/>
        <v>45381</v>
      </c>
      <c r="Y644" s="28">
        <f t="shared" ca="1" si="118"/>
        <v>46842</v>
      </c>
      <c r="Z644" s="28" t="str">
        <f t="shared" ca="1" si="119"/>
        <v>Upcoming</v>
      </c>
      <c r="AA644" s="5" t="str" cm="1">
        <f t="array" ref="AA644">_xlfn.IFS(W644&gt;10,"Veteran",W644&gt;=6,"Experienced",W644&gt;=2,"Developing",W644&gt;=0,"New")</f>
        <v>Developing</v>
      </c>
      <c r="AB644" s="5" t="str" cm="1">
        <f t="array" ref="AB644">_xlfn.IFS(G644=1,"Junior",G644=2,"Mid-Level",G644=3,"Senior",G644=4,"Lead",G644=5,"Principal")&amp;" "&amp;TRIM(PROPER(H644))</f>
        <v>Junior Sales Representative</v>
      </c>
      <c r="AC644" s="19" t="str">
        <f t="shared" ca="1" si="120"/>
        <v>Sa-Sal-2024-643 is a Junior Sales Representative in the Sales department, aged 38, married and has been with the Company for 2years</v>
      </c>
    </row>
    <row r="645" spans="1:29">
      <c r="A645" s="18" t="str">
        <f t="shared" ca="1" si="110"/>
        <v>La-Res-2021-644</v>
      </c>
      <c r="B645" s="5">
        <v>42</v>
      </c>
      <c r="C645" s="5" t="str">
        <f t="shared" si="111"/>
        <v>40-49</v>
      </c>
      <c r="D645" s="5" t="s">
        <v>43</v>
      </c>
      <c r="E645" s="5" t="s">
        <v>45</v>
      </c>
      <c r="F645" s="5" t="s">
        <v>39</v>
      </c>
      <c r="G645" s="5">
        <v>2</v>
      </c>
      <c r="H645" s="5" t="s">
        <v>50</v>
      </c>
      <c r="I645" s="5" t="s">
        <v>48</v>
      </c>
      <c r="J645" s="7">
        <v>5231</v>
      </c>
      <c r="K645" s="7">
        <f t="shared" si="112"/>
        <v>784.65</v>
      </c>
      <c r="L645" s="7">
        <f t="shared" si="113"/>
        <v>4446.3500000000004</v>
      </c>
      <c r="M645" s="7">
        <v>23726</v>
      </c>
      <c r="N645" s="5" t="s">
        <v>35</v>
      </c>
      <c r="O645" s="5">
        <v>13</v>
      </c>
      <c r="P645" s="7">
        <f t="shared" si="114"/>
        <v>5911.03</v>
      </c>
      <c r="Q645" s="7">
        <f t="shared" si="115"/>
        <v>8160.3599999999969</v>
      </c>
      <c r="R645" s="7" t="str">
        <f t="shared" si="116"/>
        <v>Normal</v>
      </c>
      <c r="S645" s="5">
        <v>3</v>
      </c>
      <c r="T645" s="5">
        <v>2</v>
      </c>
      <c r="U645" s="5" t="str" cm="1">
        <f t="array" ref="U645">_xlfn.IFS(T645=1,"Poor",T645=2,"Fair",T645=3,"Good",T645=4,"Excellent")</f>
        <v>Fair</v>
      </c>
      <c r="V645" s="5" t="s">
        <v>35</v>
      </c>
      <c r="W645" s="5">
        <v>5</v>
      </c>
      <c r="X645" s="28">
        <f t="shared" ca="1" si="117"/>
        <v>44285</v>
      </c>
      <c r="Y645" s="28">
        <f t="shared" ca="1" si="118"/>
        <v>46476</v>
      </c>
      <c r="Z645" s="28" t="str">
        <f t="shared" ca="1" si="119"/>
        <v>Due Soon</v>
      </c>
      <c r="AA645" s="5" t="str" cm="1">
        <f t="array" ref="AA645">_xlfn.IFS(W645&gt;10,"Veteran",W645&gt;=6,"Experienced",W645&gt;=2,"Developing",W645&gt;=0,"New")</f>
        <v>Developing</v>
      </c>
      <c r="AB645" s="5" t="str" cm="1">
        <f t="array" ref="AB645">_xlfn.IFS(G645=1,"Junior",G645=2,"Mid-Level",G645=3,"Senior",G645=4,"Lead",G645=5,"Principal")&amp;" "&amp;TRIM(PROPER(H645))</f>
        <v>Mid-Level Laboratory Technician</v>
      </c>
      <c r="AC645" s="19" t="str">
        <f t="shared" ca="1" si="120"/>
        <v>La-Res-2021-644 is a Mid-Level Laboratory Technician in the Research &amp; Development department, aged 42, married and has been with the Company for 5years</v>
      </c>
    </row>
    <row r="646" spans="1:29">
      <c r="A646" s="18" t="str">
        <f t="shared" ca="1" si="110"/>
        <v>Re-Res-2020-645</v>
      </c>
      <c r="B646" s="5">
        <v>31</v>
      </c>
      <c r="C646" s="5" t="str">
        <f t="shared" si="111"/>
        <v>30-39</v>
      </c>
      <c r="D646" s="5" t="s">
        <v>43</v>
      </c>
      <c r="E646" s="5" t="s">
        <v>45</v>
      </c>
      <c r="F646" s="5" t="s">
        <v>46</v>
      </c>
      <c r="G646" s="5">
        <v>1</v>
      </c>
      <c r="H646" s="5" t="s">
        <v>47</v>
      </c>
      <c r="I646" s="5" t="s">
        <v>48</v>
      </c>
      <c r="J646" s="7">
        <v>2356</v>
      </c>
      <c r="K646" s="7">
        <f t="shared" si="112"/>
        <v>164.92000000000002</v>
      </c>
      <c r="L646" s="7">
        <f t="shared" si="113"/>
        <v>2191.08</v>
      </c>
      <c r="M646" s="7">
        <v>14871</v>
      </c>
      <c r="N646" s="5" t="s">
        <v>35</v>
      </c>
      <c r="O646" s="5">
        <v>19</v>
      </c>
      <c r="P646" s="7">
        <f t="shared" si="114"/>
        <v>2803.64</v>
      </c>
      <c r="Q646" s="7">
        <f t="shared" si="115"/>
        <v>5371.6799999999985</v>
      </c>
      <c r="R646" s="7" t="str">
        <f t="shared" si="116"/>
        <v>Normal</v>
      </c>
      <c r="S646" s="5">
        <v>3</v>
      </c>
      <c r="T646" s="5">
        <v>3</v>
      </c>
      <c r="U646" s="5" t="str" cm="1">
        <f t="array" ref="U646">_xlfn.IFS(T646=1,"Poor",T646=2,"Fair",T646=3,"Good",T646=4,"Excellent")</f>
        <v>Good</v>
      </c>
      <c r="V646" s="5" t="s">
        <v>35</v>
      </c>
      <c r="W646" s="5">
        <v>6</v>
      </c>
      <c r="X646" s="28">
        <f t="shared" ca="1" si="117"/>
        <v>43920</v>
      </c>
      <c r="Y646" s="28">
        <f t="shared" ca="1" si="118"/>
        <v>46842</v>
      </c>
      <c r="Z646" s="28" t="str">
        <f t="shared" ca="1" si="119"/>
        <v>Upcoming</v>
      </c>
      <c r="AA646" s="5" t="str" cm="1">
        <f t="array" ref="AA646">_xlfn.IFS(W646&gt;10,"Veteran",W646&gt;=6,"Experienced",W646&gt;=2,"Developing",W646&gt;=0,"New")</f>
        <v>Experienced</v>
      </c>
      <c r="AB646" s="5" t="str" cm="1">
        <f t="array" ref="AB646">_xlfn.IFS(G646=1,"Junior",G646=2,"Mid-Level",G646=3,"Senior",G646=4,"Lead",G646=5,"Principal")&amp;" "&amp;TRIM(PROPER(H646))</f>
        <v>Junior Research Scientist</v>
      </c>
      <c r="AC646" s="19" t="str">
        <f t="shared" ca="1" si="120"/>
        <v>Re-Res-2020-645 is a Junior Research Scientist in the Research &amp; Development department, aged 31, married and has been with the Company for 6years</v>
      </c>
    </row>
    <row r="647" spans="1:29">
      <c r="A647" s="18" t="str">
        <f t="shared" ca="1" si="110"/>
        <v>Sa-Sal-2023-646</v>
      </c>
      <c r="B647" s="5">
        <v>29</v>
      </c>
      <c r="C647" s="5" t="str">
        <f t="shared" si="111"/>
        <v>20-29</v>
      </c>
      <c r="D647" s="5" t="s">
        <v>35</v>
      </c>
      <c r="E647" s="5" t="s">
        <v>37</v>
      </c>
      <c r="F647" s="5" t="s">
        <v>39</v>
      </c>
      <c r="G647" s="5">
        <v>1</v>
      </c>
      <c r="H647" s="5" t="s">
        <v>57</v>
      </c>
      <c r="I647" s="5" t="s">
        <v>52</v>
      </c>
      <c r="J647" s="7">
        <v>2800</v>
      </c>
      <c r="K647" s="7">
        <f t="shared" si="112"/>
        <v>196.00000000000003</v>
      </c>
      <c r="L647" s="7">
        <f t="shared" si="113"/>
        <v>2604</v>
      </c>
      <c r="M647" s="7">
        <v>23522</v>
      </c>
      <c r="N647" s="5" t="s">
        <v>35</v>
      </c>
      <c r="O647" s="5">
        <v>19</v>
      </c>
      <c r="P647" s="7">
        <f t="shared" si="114"/>
        <v>3332</v>
      </c>
      <c r="Q647" s="7">
        <f t="shared" si="115"/>
        <v>6384</v>
      </c>
      <c r="R647" s="7" t="str">
        <f t="shared" si="116"/>
        <v>Normal</v>
      </c>
      <c r="S647" s="5">
        <v>3</v>
      </c>
      <c r="T647" s="5">
        <v>3</v>
      </c>
      <c r="U647" s="5" t="str" cm="1">
        <f t="array" ref="U647">_xlfn.IFS(T647=1,"Poor",T647=2,"Fair",T647=3,"Good",T647=4,"Excellent")</f>
        <v>Good</v>
      </c>
      <c r="V647" s="5" t="s">
        <v>35</v>
      </c>
      <c r="W647" s="5">
        <v>3</v>
      </c>
      <c r="X647" s="28">
        <f t="shared" ca="1" si="117"/>
        <v>45015</v>
      </c>
      <c r="Y647" s="28">
        <f t="shared" ca="1" si="118"/>
        <v>46476</v>
      </c>
      <c r="Z647" s="28" t="str">
        <f t="shared" ca="1" si="119"/>
        <v>Due Soon</v>
      </c>
      <c r="AA647" s="5" t="str" cm="1">
        <f t="array" ref="AA647">_xlfn.IFS(W647&gt;10,"Veteran",W647&gt;=6,"Experienced",W647&gt;=2,"Developing",W647&gt;=0,"New")</f>
        <v>Developing</v>
      </c>
      <c r="AB647" s="5" t="str" cm="1">
        <f t="array" ref="AB647">_xlfn.IFS(G647=1,"Junior",G647=2,"Mid-Level",G647=3,"Senior",G647=4,"Lead",G647=5,"Principal")&amp;" "&amp;TRIM(PROPER(H647))</f>
        <v>Junior Sales Representative</v>
      </c>
      <c r="AC647" s="19" t="str">
        <f t="shared" ca="1" si="120"/>
        <v>Sa-Sal-2023-646 is a Junior Sales Representative in the Sales department, aged 29, divorced and has been with the Company for 3years</v>
      </c>
    </row>
    <row r="648" spans="1:29">
      <c r="A648" s="18" t="str">
        <f t="shared" ca="1" si="110"/>
        <v>Sa-Sal-2024-647</v>
      </c>
      <c r="B648" s="5">
        <v>53</v>
      </c>
      <c r="C648" s="5" t="str">
        <f t="shared" si="111"/>
        <v>50+</v>
      </c>
      <c r="D648" s="5" t="s">
        <v>43</v>
      </c>
      <c r="E648" s="5" t="s">
        <v>37</v>
      </c>
      <c r="F648" s="5" t="s">
        <v>46</v>
      </c>
      <c r="G648" s="5">
        <v>4</v>
      </c>
      <c r="H648" s="5" t="s">
        <v>40</v>
      </c>
      <c r="I648" s="5" t="s">
        <v>48</v>
      </c>
      <c r="J648" s="7">
        <v>11836</v>
      </c>
      <c r="K648" s="7">
        <f t="shared" si="112"/>
        <v>2603.92</v>
      </c>
      <c r="L648" s="7">
        <f t="shared" si="113"/>
        <v>9232.08</v>
      </c>
      <c r="M648" s="7">
        <v>22789</v>
      </c>
      <c r="N648" s="5" t="s">
        <v>43</v>
      </c>
      <c r="O648" s="5">
        <v>14</v>
      </c>
      <c r="P648" s="7">
        <f t="shared" si="114"/>
        <v>13493.04</v>
      </c>
      <c r="Q648" s="7">
        <f t="shared" si="115"/>
        <v>19884.48000000001</v>
      </c>
      <c r="R648" s="7" t="str">
        <f t="shared" si="116"/>
        <v>Normal</v>
      </c>
      <c r="S648" s="5">
        <v>3</v>
      </c>
      <c r="T648" s="5">
        <v>3</v>
      </c>
      <c r="U648" s="5" t="str" cm="1">
        <f t="array" ref="U648">_xlfn.IFS(T648=1,"Poor",T648=2,"Fair",T648=3,"Good",T648=4,"Excellent")</f>
        <v>Good</v>
      </c>
      <c r="V648" s="5" t="s">
        <v>43</v>
      </c>
      <c r="W648" s="5">
        <v>2</v>
      </c>
      <c r="X648" s="28">
        <f t="shared" ca="1" si="117"/>
        <v>45381</v>
      </c>
      <c r="Y648" s="28">
        <f t="shared" ca="1" si="118"/>
        <v>46842</v>
      </c>
      <c r="Z648" s="28" t="str">
        <f t="shared" ca="1" si="119"/>
        <v>Upcoming</v>
      </c>
      <c r="AA648" s="5" t="str" cm="1">
        <f t="array" ref="AA648">_xlfn.IFS(W648&gt;10,"Veteran",W648&gt;=6,"Experienced",W648&gt;=2,"Developing",W648&gt;=0,"New")</f>
        <v>Developing</v>
      </c>
      <c r="AB648" s="5" t="str" cm="1">
        <f t="array" ref="AB648">_xlfn.IFS(G648=1,"Junior",G648=2,"Mid-Level",G648=3,"Senior",G648=4,"Lead",G648=5,"Principal")&amp;" "&amp;TRIM(PROPER(H648))</f>
        <v>Lead Sales Executive</v>
      </c>
      <c r="AC648" s="19" t="str">
        <f t="shared" ca="1" si="120"/>
        <v>Sa-Sal-2024-647 is a Lead Sales Executive in the Sales department, aged 53, married and has been with the Company for 2years</v>
      </c>
    </row>
    <row r="649" spans="1:29">
      <c r="A649" s="18" t="str">
        <f t="shared" ca="1" si="110"/>
        <v>Ma-Res-2013-648</v>
      </c>
      <c r="B649" s="5">
        <v>35</v>
      </c>
      <c r="C649" s="5" t="str">
        <f t="shared" si="111"/>
        <v>30-39</v>
      </c>
      <c r="D649" s="5" t="s">
        <v>43</v>
      </c>
      <c r="E649" s="5" t="s">
        <v>45</v>
      </c>
      <c r="F649" s="5" t="s">
        <v>46</v>
      </c>
      <c r="G649" s="5">
        <v>3</v>
      </c>
      <c r="H649" s="5" t="s">
        <v>53</v>
      </c>
      <c r="I649" s="5" t="s">
        <v>48</v>
      </c>
      <c r="J649" s="7">
        <v>10903</v>
      </c>
      <c r="K649" s="7">
        <f t="shared" si="112"/>
        <v>2398.66</v>
      </c>
      <c r="L649" s="7">
        <f t="shared" si="113"/>
        <v>8504.34</v>
      </c>
      <c r="M649" s="7">
        <v>9129</v>
      </c>
      <c r="N649" s="5" t="s">
        <v>43</v>
      </c>
      <c r="O649" s="5">
        <v>16</v>
      </c>
      <c r="P649" s="7">
        <f t="shared" si="114"/>
        <v>12647.48</v>
      </c>
      <c r="Q649" s="7">
        <f t="shared" si="115"/>
        <v>20933.759999999995</v>
      </c>
      <c r="R649" s="7" t="str">
        <f t="shared" si="116"/>
        <v>Normal</v>
      </c>
      <c r="S649" s="5">
        <v>3</v>
      </c>
      <c r="T649" s="5">
        <v>3</v>
      </c>
      <c r="U649" s="5" t="str" cm="1">
        <f t="array" ref="U649">_xlfn.IFS(T649=1,"Poor",T649=2,"Fair",T649=3,"Good",T649=4,"Excellent")</f>
        <v>Good</v>
      </c>
      <c r="V649" s="5" t="s">
        <v>43</v>
      </c>
      <c r="W649" s="5">
        <v>13</v>
      </c>
      <c r="X649" s="28">
        <f t="shared" ca="1" si="117"/>
        <v>41363</v>
      </c>
      <c r="Y649" s="28">
        <f t="shared" ca="1" si="118"/>
        <v>46476</v>
      </c>
      <c r="Z649" s="28" t="str">
        <f t="shared" ca="1" si="119"/>
        <v>Due Soon</v>
      </c>
      <c r="AA649" s="5" t="str" cm="1">
        <f t="array" ref="AA649">_xlfn.IFS(W649&gt;10,"Veteran",W649&gt;=6,"Experienced",W649&gt;=2,"Developing",W649&gt;=0,"New")</f>
        <v>Veteran</v>
      </c>
      <c r="AB649" s="5" t="str" cm="1">
        <f t="array" ref="AB649">_xlfn.IFS(G649=1,"Junior",G649=2,"Mid-Level",G649=3,"Senior",G649=4,"Lead",G649=5,"Principal")&amp;" "&amp;TRIM(PROPER(H649))</f>
        <v>Senior Manufacturing Director</v>
      </c>
      <c r="AC649" s="19" t="str">
        <f t="shared" ca="1" si="120"/>
        <v>Ma-Res-2013-648 is a Senior Manufacturing Director in the Research &amp; Development department, aged 35, married and has been with the Company for 13years</v>
      </c>
    </row>
    <row r="650" spans="1:29">
      <c r="A650" s="18" t="str">
        <f t="shared" ca="1" si="110"/>
        <v>Sa-Sal-2021-649</v>
      </c>
      <c r="B650" s="5">
        <v>37</v>
      </c>
      <c r="C650" s="5" t="str">
        <f t="shared" si="111"/>
        <v>30-39</v>
      </c>
      <c r="D650" s="5" t="s">
        <v>43</v>
      </c>
      <c r="E650" s="5" t="s">
        <v>37</v>
      </c>
      <c r="F650" s="5" t="s">
        <v>39</v>
      </c>
      <c r="G650" s="5">
        <v>1</v>
      </c>
      <c r="H650" s="5" t="s">
        <v>57</v>
      </c>
      <c r="I650" s="5" t="s">
        <v>48</v>
      </c>
      <c r="J650" s="7">
        <v>2973</v>
      </c>
      <c r="K650" s="7">
        <f t="shared" si="112"/>
        <v>208.11</v>
      </c>
      <c r="L650" s="7">
        <f t="shared" si="113"/>
        <v>2764.89</v>
      </c>
      <c r="M650" s="7">
        <v>21222</v>
      </c>
      <c r="N650" s="5" t="s">
        <v>43</v>
      </c>
      <c r="O650" s="5">
        <v>15</v>
      </c>
      <c r="P650" s="7">
        <f t="shared" si="114"/>
        <v>3418.95</v>
      </c>
      <c r="Q650" s="7">
        <f t="shared" si="115"/>
        <v>5351.3999999999978</v>
      </c>
      <c r="R650" s="7" t="str">
        <f t="shared" si="116"/>
        <v>Normal</v>
      </c>
      <c r="S650" s="5">
        <v>3</v>
      </c>
      <c r="T650" s="5">
        <v>3</v>
      </c>
      <c r="U650" s="5" t="str" cm="1">
        <f t="array" ref="U650">_xlfn.IFS(T650=1,"Poor",T650=2,"Fair",T650=3,"Good",T650=4,"Excellent")</f>
        <v>Good</v>
      </c>
      <c r="V650" s="5" t="s">
        <v>43</v>
      </c>
      <c r="W650" s="5">
        <v>5</v>
      </c>
      <c r="X650" s="28">
        <f t="shared" ca="1" si="117"/>
        <v>44285</v>
      </c>
      <c r="Y650" s="28">
        <f t="shared" ca="1" si="118"/>
        <v>46476</v>
      </c>
      <c r="Z650" s="28" t="str">
        <f t="shared" ca="1" si="119"/>
        <v>Due Soon</v>
      </c>
      <c r="AA650" s="5" t="str" cm="1">
        <f t="array" ref="AA650">_xlfn.IFS(W650&gt;10,"Veteran",W650&gt;=6,"Experienced",W650&gt;=2,"Developing",W650&gt;=0,"New")</f>
        <v>Developing</v>
      </c>
      <c r="AB650" s="5" t="str" cm="1">
        <f t="array" ref="AB650">_xlfn.IFS(G650=1,"Junior",G650=2,"Mid-Level",G650=3,"Senior",G650=4,"Lead",G650=5,"Principal")&amp;" "&amp;TRIM(PROPER(H650))</f>
        <v>Junior Sales Representative</v>
      </c>
      <c r="AC650" s="19" t="str">
        <f t="shared" ca="1" si="120"/>
        <v>Sa-Sal-2021-649 is a Junior Sales Representative in the Sales department, aged 37, married and has been with the Company for 5years</v>
      </c>
    </row>
    <row r="651" spans="1:29">
      <c r="A651" s="18" t="str">
        <f t="shared" ca="1" si="110"/>
        <v>Re-Res-2014-650</v>
      </c>
      <c r="B651" s="5">
        <v>53</v>
      </c>
      <c r="C651" s="5" t="str">
        <f t="shared" si="111"/>
        <v>50+</v>
      </c>
      <c r="D651" s="5" t="s">
        <v>43</v>
      </c>
      <c r="E651" s="5" t="s">
        <v>45</v>
      </c>
      <c r="F651" s="5" t="s">
        <v>39</v>
      </c>
      <c r="G651" s="5">
        <v>4</v>
      </c>
      <c r="H651" s="5" t="s">
        <v>58</v>
      </c>
      <c r="I651" s="5" t="s">
        <v>41</v>
      </c>
      <c r="J651" s="7">
        <v>14275</v>
      </c>
      <c r="K651" s="7">
        <f t="shared" si="112"/>
        <v>4282.5</v>
      </c>
      <c r="L651" s="7">
        <f t="shared" si="113"/>
        <v>9992.5</v>
      </c>
      <c r="M651" s="7">
        <v>20206</v>
      </c>
      <c r="N651" s="5" t="s">
        <v>43</v>
      </c>
      <c r="O651" s="5">
        <v>18</v>
      </c>
      <c r="P651" s="7">
        <f t="shared" si="114"/>
        <v>16844.5</v>
      </c>
      <c r="Q651" s="7">
        <f t="shared" si="115"/>
        <v>30834</v>
      </c>
      <c r="R651" s="7" t="str">
        <f t="shared" si="116"/>
        <v>Normal</v>
      </c>
      <c r="S651" s="5">
        <v>3</v>
      </c>
      <c r="T651" s="5">
        <v>3</v>
      </c>
      <c r="U651" s="5" t="str" cm="1">
        <f t="array" ref="U651">_xlfn.IFS(T651=1,"Poor",T651=2,"Fair",T651=3,"Good",T651=4,"Excellent")</f>
        <v>Good</v>
      </c>
      <c r="V651" s="5" t="s">
        <v>43</v>
      </c>
      <c r="W651" s="5">
        <v>12</v>
      </c>
      <c r="X651" s="28">
        <f t="shared" ca="1" si="117"/>
        <v>41728</v>
      </c>
      <c r="Y651" s="28">
        <f t="shared" ca="1" si="118"/>
        <v>46842</v>
      </c>
      <c r="Z651" s="28" t="str">
        <f t="shared" ca="1" si="119"/>
        <v>Upcoming</v>
      </c>
      <c r="AA651" s="5" t="str" cm="1">
        <f t="array" ref="AA651">_xlfn.IFS(W651&gt;10,"Veteran",W651&gt;=6,"Experienced",W651&gt;=2,"Developing",W651&gt;=0,"New")</f>
        <v>Veteran</v>
      </c>
      <c r="AB651" s="5" t="str" cm="1">
        <f t="array" ref="AB651">_xlfn.IFS(G651=1,"Junior",G651=2,"Mid-Level",G651=3,"Senior",G651=4,"Lead",G651=5,"Principal")&amp;" "&amp;TRIM(PROPER(H651))</f>
        <v>Lead Research Director</v>
      </c>
      <c r="AC651" s="19" t="str">
        <f t="shared" ca="1" si="120"/>
        <v>Re-Res-2014-650 is a Lead Research Director in the Research &amp; Development department, aged 53, single and has been with the Company for 12years</v>
      </c>
    </row>
    <row r="652" spans="1:29">
      <c r="A652" s="18" t="str">
        <f t="shared" ca="1" si="110"/>
        <v>He-Res-2021-651</v>
      </c>
      <c r="B652" s="5">
        <v>43</v>
      </c>
      <c r="C652" s="5" t="str">
        <f t="shared" si="111"/>
        <v>40-49</v>
      </c>
      <c r="D652" s="5" t="s">
        <v>43</v>
      </c>
      <c r="E652" s="5" t="s">
        <v>45</v>
      </c>
      <c r="F652" s="5" t="s">
        <v>39</v>
      </c>
      <c r="G652" s="5">
        <v>2</v>
      </c>
      <c r="H652" s="5" t="s">
        <v>54</v>
      </c>
      <c r="I652" s="5" t="s">
        <v>48</v>
      </c>
      <c r="J652" s="7">
        <v>5562</v>
      </c>
      <c r="K652" s="7">
        <f t="shared" si="112"/>
        <v>834.3</v>
      </c>
      <c r="L652" s="7">
        <f t="shared" si="113"/>
        <v>4727.7</v>
      </c>
      <c r="M652" s="7">
        <v>21782</v>
      </c>
      <c r="N652" s="5" t="s">
        <v>43</v>
      </c>
      <c r="O652" s="5">
        <v>13</v>
      </c>
      <c r="P652" s="7">
        <f t="shared" si="114"/>
        <v>6285.0599999999995</v>
      </c>
      <c r="Q652" s="7">
        <f t="shared" si="115"/>
        <v>8676.7199999999939</v>
      </c>
      <c r="R652" s="7" t="str">
        <f t="shared" si="116"/>
        <v>Normal</v>
      </c>
      <c r="S652" s="5">
        <v>3</v>
      </c>
      <c r="T652" s="5">
        <v>2</v>
      </c>
      <c r="U652" s="5" t="str" cm="1">
        <f t="array" ref="U652">_xlfn.IFS(T652=1,"Poor",T652=2,"Fair",T652=3,"Good",T652=4,"Excellent")</f>
        <v>Fair</v>
      </c>
      <c r="V652" s="5" t="s">
        <v>43</v>
      </c>
      <c r="W652" s="5">
        <v>5</v>
      </c>
      <c r="X652" s="28">
        <f t="shared" ca="1" si="117"/>
        <v>44285</v>
      </c>
      <c r="Y652" s="28">
        <f t="shared" ca="1" si="118"/>
        <v>46476</v>
      </c>
      <c r="Z652" s="28" t="str">
        <f t="shared" ca="1" si="119"/>
        <v>Due Soon</v>
      </c>
      <c r="AA652" s="5" t="str" cm="1">
        <f t="array" ref="AA652">_xlfn.IFS(W652&gt;10,"Veteran",W652&gt;=6,"Experienced",W652&gt;=2,"Developing",W652&gt;=0,"New")</f>
        <v>Developing</v>
      </c>
      <c r="AB652" s="5" t="str" cm="1">
        <f t="array" ref="AB652">_xlfn.IFS(G652=1,"Junior",G652=2,"Mid-Level",G652=3,"Senior",G652=4,"Lead",G652=5,"Principal")&amp;" "&amp;TRIM(PROPER(H652))</f>
        <v>Mid-Level Healthcare Representative</v>
      </c>
      <c r="AC652" s="19" t="str">
        <f t="shared" ca="1" si="120"/>
        <v>He-Res-2021-651 is a Mid-Level Healthcare Representative in the Research &amp; Development department, aged 43, married and has been with the Company for 5years</v>
      </c>
    </row>
    <row r="653" spans="1:29">
      <c r="A653" s="18" t="str">
        <f t="shared" ca="1" si="110"/>
        <v>Sa-Sal-2019-652</v>
      </c>
      <c r="B653" s="5">
        <v>47</v>
      </c>
      <c r="C653" s="5" t="str">
        <f t="shared" si="111"/>
        <v>40-49</v>
      </c>
      <c r="D653" s="5" t="s">
        <v>43</v>
      </c>
      <c r="E653" s="5" t="s">
        <v>37</v>
      </c>
      <c r="F653" s="5" t="s">
        <v>39</v>
      </c>
      <c r="G653" s="5">
        <v>2</v>
      </c>
      <c r="H653" s="5" t="s">
        <v>40</v>
      </c>
      <c r="I653" s="5" t="s">
        <v>48</v>
      </c>
      <c r="J653" s="7">
        <v>4537</v>
      </c>
      <c r="K653" s="7">
        <f t="shared" si="112"/>
        <v>680.55</v>
      </c>
      <c r="L653" s="7">
        <f t="shared" si="113"/>
        <v>3856.45</v>
      </c>
      <c r="M653" s="7">
        <v>17783</v>
      </c>
      <c r="N653" s="5" t="s">
        <v>35</v>
      </c>
      <c r="O653" s="5">
        <v>22</v>
      </c>
      <c r="P653" s="7">
        <f t="shared" si="114"/>
        <v>5535.14</v>
      </c>
      <c r="Q653" s="7">
        <f t="shared" si="115"/>
        <v>11977.680000000004</v>
      </c>
      <c r="R653" s="7" t="str">
        <f t="shared" si="116"/>
        <v>Normal</v>
      </c>
      <c r="S653" s="5">
        <v>4</v>
      </c>
      <c r="T653" s="5">
        <v>3</v>
      </c>
      <c r="U653" s="5" t="str" cm="1">
        <f t="array" ref="U653">_xlfn.IFS(T653=1,"Poor",T653=2,"Fair",T653=3,"Good",T653=4,"Excellent")</f>
        <v>Good</v>
      </c>
      <c r="V653" s="5" t="s">
        <v>35</v>
      </c>
      <c r="W653" s="5">
        <v>7</v>
      </c>
      <c r="X653" s="28">
        <f t="shared" ca="1" si="117"/>
        <v>43554</v>
      </c>
      <c r="Y653" s="28">
        <f t="shared" ca="1" si="118"/>
        <v>46476</v>
      </c>
      <c r="Z653" s="28" t="str">
        <f t="shared" ca="1" si="119"/>
        <v>Due Soon</v>
      </c>
      <c r="AA653" s="5" t="str" cm="1">
        <f t="array" ref="AA653">_xlfn.IFS(W653&gt;10,"Veteran",W653&gt;=6,"Experienced",W653&gt;=2,"Developing",W653&gt;=0,"New")</f>
        <v>Experienced</v>
      </c>
      <c r="AB653" s="5" t="str" cm="1">
        <f t="array" ref="AB653">_xlfn.IFS(G653=1,"Junior",G653=2,"Mid-Level",G653=3,"Senior",G653=4,"Lead",G653=5,"Principal")&amp;" "&amp;TRIM(PROPER(H653))</f>
        <v>Mid-Level Sales Executive</v>
      </c>
      <c r="AC653" s="19" t="str">
        <f t="shared" ca="1" si="120"/>
        <v>Sa-Sal-2019-652 is a Mid-Level Sales Executive in the Sales department, aged 47, married and has been with the Company for 7years</v>
      </c>
    </row>
    <row r="654" spans="1:29">
      <c r="A654" s="18" t="str">
        <f t="shared" ca="1" si="110"/>
        <v>Sa-Sal-2016-653</v>
      </c>
      <c r="B654" s="5">
        <v>37</v>
      </c>
      <c r="C654" s="5" t="str">
        <f t="shared" si="111"/>
        <v>30-39</v>
      </c>
      <c r="D654" s="5" t="s">
        <v>43</v>
      </c>
      <c r="E654" s="5" t="s">
        <v>37</v>
      </c>
      <c r="F654" s="5" t="s">
        <v>46</v>
      </c>
      <c r="G654" s="5">
        <v>3</v>
      </c>
      <c r="H654" s="5" t="s">
        <v>40</v>
      </c>
      <c r="I654" s="5" t="s">
        <v>41</v>
      </c>
      <c r="J654" s="7">
        <v>7642</v>
      </c>
      <c r="K654" s="7">
        <f t="shared" si="112"/>
        <v>1681.24</v>
      </c>
      <c r="L654" s="7">
        <f t="shared" si="113"/>
        <v>5960.76</v>
      </c>
      <c r="M654" s="7">
        <v>4814</v>
      </c>
      <c r="N654" s="5" t="s">
        <v>35</v>
      </c>
      <c r="O654" s="5">
        <v>13</v>
      </c>
      <c r="P654" s="7">
        <f t="shared" si="114"/>
        <v>8635.4599999999991</v>
      </c>
      <c r="Q654" s="7">
        <f t="shared" si="115"/>
        <v>11921.51999999999</v>
      </c>
      <c r="R654" s="7" t="str">
        <f t="shared" si="116"/>
        <v>Normal</v>
      </c>
      <c r="S654" s="5">
        <v>3</v>
      </c>
      <c r="T654" s="5">
        <v>3</v>
      </c>
      <c r="U654" s="5" t="str" cm="1">
        <f t="array" ref="U654">_xlfn.IFS(T654=1,"Poor",T654=2,"Fair",T654=3,"Good",T654=4,"Excellent")</f>
        <v>Good</v>
      </c>
      <c r="V654" s="5" t="s">
        <v>35</v>
      </c>
      <c r="W654" s="5">
        <v>10</v>
      </c>
      <c r="X654" s="28">
        <f t="shared" ca="1" si="117"/>
        <v>42459</v>
      </c>
      <c r="Y654" s="28">
        <f t="shared" ca="1" si="118"/>
        <v>46842</v>
      </c>
      <c r="Z654" s="28" t="str">
        <f t="shared" ca="1" si="119"/>
        <v>Upcoming</v>
      </c>
      <c r="AA654" s="5" t="str" cm="1">
        <f t="array" ref="AA654">_xlfn.IFS(W654&gt;10,"Veteran",W654&gt;=6,"Experienced",W654&gt;=2,"Developing",W654&gt;=0,"New")</f>
        <v>Experienced</v>
      </c>
      <c r="AB654" s="5" t="str" cm="1">
        <f t="array" ref="AB654">_xlfn.IFS(G654=1,"Junior",G654=2,"Mid-Level",G654=3,"Senior",G654=4,"Lead",G654=5,"Principal")&amp;" "&amp;TRIM(PROPER(H654))</f>
        <v>Senior Sales Executive</v>
      </c>
      <c r="AC654" s="19" t="str">
        <f t="shared" ca="1" si="120"/>
        <v>Sa-Sal-2016-653 is a Senior Sales Executive in the Sales department, aged 37, single and has been with the Company for 10years</v>
      </c>
    </row>
    <row r="655" spans="1:29">
      <c r="A655" s="18" t="str">
        <f t="shared" ca="1" si="110"/>
        <v>Ma-Res-1995-654</v>
      </c>
      <c r="B655" s="5">
        <v>50</v>
      </c>
      <c r="C655" s="5" t="str">
        <f t="shared" si="111"/>
        <v>50+</v>
      </c>
      <c r="D655" s="5" t="s">
        <v>43</v>
      </c>
      <c r="E655" s="5" t="s">
        <v>45</v>
      </c>
      <c r="F655" s="5" t="s">
        <v>46</v>
      </c>
      <c r="G655" s="5">
        <v>4</v>
      </c>
      <c r="H655" s="5" t="s">
        <v>56</v>
      </c>
      <c r="I655" s="5" t="s">
        <v>52</v>
      </c>
      <c r="J655" s="7">
        <v>17924</v>
      </c>
      <c r="K655" s="7">
        <f t="shared" si="112"/>
        <v>5377.2</v>
      </c>
      <c r="L655" s="7">
        <f t="shared" si="113"/>
        <v>12546.8</v>
      </c>
      <c r="M655" s="7">
        <v>4544</v>
      </c>
      <c r="N655" s="5" t="s">
        <v>43</v>
      </c>
      <c r="O655" s="5">
        <v>11</v>
      </c>
      <c r="P655" s="7">
        <f t="shared" si="114"/>
        <v>19895.640000000003</v>
      </c>
      <c r="Q655" s="7">
        <f t="shared" si="115"/>
        <v>23659.680000000037</v>
      </c>
      <c r="R655" s="7" t="str">
        <f t="shared" si="116"/>
        <v>Normal</v>
      </c>
      <c r="S655" s="5">
        <v>3</v>
      </c>
      <c r="T655" s="5">
        <v>3</v>
      </c>
      <c r="U655" s="5" t="str" cm="1">
        <f t="array" ref="U655">_xlfn.IFS(T655=1,"Poor",T655=2,"Fair",T655=3,"Good",T655=4,"Excellent")</f>
        <v>Good</v>
      </c>
      <c r="V655" s="5" t="s">
        <v>43</v>
      </c>
      <c r="W655" s="5">
        <v>31</v>
      </c>
      <c r="X655" s="28">
        <f t="shared" ca="1" si="117"/>
        <v>34788</v>
      </c>
      <c r="Y655" s="28">
        <f t="shared" ca="1" si="118"/>
        <v>46476</v>
      </c>
      <c r="Z655" s="28" t="str">
        <f t="shared" ca="1" si="119"/>
        <v>Due Soon</v>
      </c>
      <c r="AA655" s="5" t="str" cm="1">
        <f t="array" ref="AA655">_xlfn.IFS(W655&gt;10,"Veteran",W655&gt;=6,"Experienced",W655&gt;=2,"Developing",W655&gt;=0,"New")</f>
        <v>Veteran</v>
      </c>
      <c r="AB655" s="5" t="str" cm="1">
        <f t="array" ref="AB655">_xlfn.IFS(G655=1,"Junior",G655=2,"Mid-Level",G655=3,"Senior",G655=4,"Lead",G655=5,"Principal")&amp;" "&amp;TRIM(PROPER(H655))</f>
        <v>Lead Manager</v>
      </c>
      <c r="AC655" s="19" t="str">
        <f t="shared" ca="1" si="120"/>
        <v>Ma-Res-1995-654 is a Lead Manager in the Research &amp; Development department, aged 50, divorced and has been with the Company for 31years</v>
      </c>
    </row>
    <row r="656" spans="1:29">
      <c r="A656" s="18" t="str">
        <f t="shared" ca="1" si="110"/>
        <v>Hu-Hum-2021-655</v>
      </c>
      <c r="B656" s="5">
        <v>39</v>
      </c>
      <c r="C656" s="5" t="str">
        <f t="shared" si="111"/>
        <v>30-39</v>
      </c>
      <c r="D656" s="5" t="s">
        <v>43</v>
      </c>
      <c r="E656" s="5" t="s">
        <v>61</v>
      </c>
      <c r="F656" s="5" t="s">
        <v>39</v>
      </c>
      <c r="G656" s="5">
        <v>2</v>
      </c>
      <c r="H656" s="5" t="s">
        <v>61</v>
      </c>
      <c r="I656" s="5" t="s">
        <v>48</v>
      </c>
      <c r="J656" s="7">
        <v>5204</v>
      </c>
      <c r="K656" s="7">
        <f t="shared" si="112"/>
        <v>780.6</v>
      </c>
      <c r="L656" s="7">
        <f t="shared" si="113"/>
        <v>4423.3999999999996</v>
      </c>
      <c r="M656" s="7">
        <v>7790</v>
      </c>
      <c r="N656" s="5" t="s">
        <v>43</v>
      </c>
      <c r="O656" s="5">
        <v>11</v>
      </c>
      <c r="P656" s="7">
        <f t="shared" si="114"/>
        <v>5776.4400000000005</v>
      </c>
      <c r="Q656" s="7">
        <f t="shared" si="115"/>
        <v>6869.2800000000061</v>
      </c>
      <c r="R656" s="7" t="str">
        <f t="shared" si="116"/>
        <v>Normal</v>
      </c>
      <c r="S656" s="5">
        <v>3</v>
      </c>
      <c r="T656" s="5">
        <v>3</v>
      </c>
      <c r="U656" s="5" t="str" cm="1">
        <f t="array" ref="U656">_xlfn.IFS(T656=1,"Poor",T656=2,"Fair",T656=3,"Good",T656=4,"Excellent")</f>
        <v>Good</v>
      </c>
      <c r="V656" s="5" t="s">
        <v>43</v>
      </c>
      <c r="W656" s="5">
        <v>5</v>
      </c>
      <c r="X656" s="28">
        <f t="shared" ca="1" si="117"/>
        <v>44285</v>
      </c>
      <c r="Y656" s="28">
        <f t="shared" ca="1" si="118"/>
        <v>46476</v>
      </c>
      <c r="Z656" s="28" t="str">
        <f t="shared" ca="1" si="119"/>
        <v>Due Soon</v>
      </c>
      <c r="AA656" s="5" t="str" cm="1">
        <f t="array" ref="AA656">_xlfn.IFS(W656&gt;10,"Veteran",W656&gt;=6,"Experienced",W656&gt;=2,"Developing",W656&gt;=0,"New")</f>
        <v>Developing</v>
      </c>
      <c r="AB656" s="5" t="str" cm="1">
        <f t="array" ref="AB656">_xlfn.IFS(G656=1,"Junior",G656=2,"Mid-Level",G656=3,"Senior",G656=4,"Lead",G656=5,"Principal")&amp;" "&amp;TRIM(PROPER(H656))</f>
        <v>Mid-Level Human Resources</v>
      </c>
      <c r="AC656" s="19" t="str">
        <f t="shared" ca="1" si="120"/>
        <v>Hu-Hum-2021-655 is a Mid-Level Human Resources in the Human Resources department, aged 39, married and has been with the Company for 5years</v>
      </c>
    </row>
    <row r="657" spans="1:29">
      <c r="A657" s="18" t="str">
        <f t="shared" ca="1" si="110"/>
        <v>Hu-Hum-2022-656</v>
      </c>
      <c r="B657" s="5">
        <v>33</v>
      </c>
      <c r="C657" s="5" t="str">
        <f t="shared" si="111"/>
        <v>30-39</v>
      </c>
      <c r="D657" s="5" t="s">
        <v>43</v>
      </c>
      <c r="E657" s="5" t="s">
        <v>61</v>
      </c>
      <c r="F657" s="5" t="s">
        <v>46</v>
      </c>
      <c r="G657" s="5">
        <v>1</v>
      </c>
      <c r="H657" s="5" t="s">
        <v>61</v>
      </c>
      <c r="I657" s="5" t="s">
        <v>52</v>
      </c>
      <c r="J657" s="7">
        <v>2277</v>
      </c>
      <c r="K657" s="7">
        <f t="shared" si="112"/>
        <v>159.39000000000001</v>
      </c>
      <c r="L657" s="7">
        <f t="shared" si="113"/>
        <v>2117.61</v>
      </c>
      <c r="M657" s="7">
        <v>22650</v>
      </c>
      <c r="N657" s="5" t="s">
        <v>35</v>
      </c>
      <c r="O657" s="5">
        <v>11</v>
      </c>
      <c r="P657" s="7">
        <f t="shared" si="114"/>
        <v>2527.4700000000003</v>
      </c>
      <c r="Q657" s="7">
        <f t="shared" si="115"/>
        <v>3005.6400000000031</v>
      </c>
      <c r="R657" s="7" t="str">
        <f t="shared" si="116"/>
        <v>Normal</v>
      </c>
      <c r="S657" s="5">
        <v>3</v>
      </c>
      <c r="T657" s="5">
        <v>4</v>
      </c>
      <c r="U657" s="5" t="str" cm="1">
        <f t="array" ref="U657">_xlfn.IFS(T657=1,"Poor",T657=2,"Fair",T657=3,"Good",T657=4,"Excellent")</f>
        <v>Excellent</v>
      </c>
      <c r="V657" s="5" t="s">
        <v>35</v>
      </c>
      <c r="W657" s="5">
        <v>4</v>
      </c>
      <c r="X657" s="28">
        <f t="shared" ca="1" si="117"/>
        <v>44650</v>
      </c>
      <c r="Y657" s="28">
        <f t="shared" ca="1" si="118"/>
        <v>46842</v>
      </c>
      <c r="Z657" s="28" t="str">
        <f t="shared" ca="1" si="119"/>
        <v>Upcoming</v>
      </c>
      <c r="AA657" s="5" t="str" cm="1">
        <f t="array" ref="AA657">_xlfn.IFS(W657&gt;10,"Veteran",W657&gt;=6,"Experienced",W657&gt;=2,"Developing",W657&gt;=0,"New")</f>
        <v>Developing</v>
      </c>
      <c r="AB657" s="5" t="str" cm="1">
        <f t="array" ref="AB657">_xlfn.IFS(G657=1,"Junior",G657=2,"Mid-Level",G657=3,"Senior",G657=4,"Lead",G657=5,"Principal")&amp;" "&amp;TRIM(PROPER(H657))</f>
        <v>Junior Human Resources</v>
      </c>
      <c r="AC657" s="19" t="str">
        <f t="shared" ca="1" si="120"/>
        <v>Hu-Hum-2022-656 is a Junior Human Resources in the Human Resources department, aged 33, divorced and has been with the Company for 4years</v>
      </c>
    </row>
    <row r="658" spans="1:29">
      <c r="A658" s="18" t="str">
        <f t="shared" ca="1" si="110"/>
        <v>La-Res-2025-657</v>
      </c>
      <c r="B658" s="5">
        <v>32</v>
      </c>
      <c r="C658" s="5" t="str">
        <f t="shared" si="111"/>
        <v>30-39</v>
      </c>
      <c r="D658" s="5" t="s">
        <v>35</v>
      </c>
      <c r="E658" s="5" t="s">
        <v>45</v>
      </c>
      <c r="F658" s="5" t="s">
        <v>46</v>
      </c>
      <c r="G658" s="5">
        <v>1</v>
      </c>
      <c r="H658" s="5" t="s">
        <v>50</v>
      </c>
      <c r="I658" s="5" t="s">
        <v>41</v>
      </c>
      <c r="J658" s="7">
        <v>2795</v>
      </c>
      <c r="K658" s="7">
        <f t="shared" si="112"/>
        <v>195.65</v>
      </c>
      <c r="L658" s="7">
        <f t="shared" si="113"/>
        <v>2599.35</v>
      </c>
      <c r="M658" s="7">
        <v>18016</v>
      </c>
      <c r="N658" s="5" t="s">
        <v>35</v>
      </c>
      <c r="O658" s="5">
        <v>24</v>
      </c>
      <c r="P658" s="7">
        <f t="shared" si="114"/>
        <v>3465.8</v>
      </c>
      <c r="Q658" s="7">
        <f t="shared" si="115"/>
        <v>8049.6000000000022</v>
      </c>
      <c r="R658" s="7" t="str">
        <f t="shared" si="116"/>
        <v>Normal</v>
      </c>
      <c r="S658" s="5">
        <v>4</v>
      </c>
      <c r="T658" s="5">
        <v>1</v>
      </c>
      <c r="U658" s="5" t="str" cm="1">
        <f t="array" ref="U658">_xlfn.IFS(T658=1,"Poor",T658=2,"Fair",T658=3,"Good",T658=4,"Excellent")</f>
        <v>Poor</v>
      </c>
      <c r="V658" s="5" t="s">
        <v>35</v>
      </c>
      <c r="W658" s="5">
        <v>1</v>
      </c>
      <c r="X658" s="28">
        <f t="shared" ca="1" si="117"/>
        <v>45746</v>
      </c>
      <c r="Y658" s="28">
        <f t="shared" ca="1" si="118"/>
        <v>46476</v>
      </c>
      <c r="Z658" s="28" t="str">
        <f t="shared" ca="1" si="119"/>
        <v>Due Soon</v>
      </c>
      <c r="AA658" s="5" t="str" cm="1">
        <f t="array" ref="AA658">_xlfn.IFS(W658&gt;10,"Veteran",W658&gt;=6,"Experienced",W658&gt;=2,"Developing",W658&gt;=0,"New")</f>
        <v>New</v>
      </c>
      <c r="AB658" s="5" t="str" cm="1">
        <f t="array" ref="AB658">_xlfn.IFS(G658=1,"Junior",G658=2,"Mid-Level",G658=3,"Senior",G658=4,"Lead",G658=5,"Principal")&amp;" "&amp;TRIM(PROPER(H658))</f>
        <v>Junior Laboratory Technician</v>
      </c>
      <c r="AC658" s="19" t="str">
        <f t="shared" ca="1" si="120"/>
        <v>La-Res-2025-657 is a Junior Laboratory Technician in the Research &amp; Development department, aged 32, single and has been with the Company for 1years</v>
      </c>
    </row>
    <row r="659" spans="1:29">
      <c r="A659" s="18" t="str">
        <f t="shared" ca="1" si="110"/>
        <v>La-Res-2022-658</v>
      </c>
      <c r="B659" s="5">
        <v>29</v>
      </c>
      <c r="C659" s="5" t="str">
        <f t="shared" si="111"/>
        <v>20-29</v>
      </c>
      <c r="D659" s="5" t="s">
        <v>43</v>
      </c>
      <c r="E659" s="5" t="s">
        <v>45</v>
      </c>
      <c r="F659" s="5" t="s">
        <v>39</v>
      </c>
      <c r="G659" s="5">
        <v>1</v>
      </c>
      <c r="H659" s="5" t="s">
        <v>50</v>
      </c>
      <c r="I659" s="5" t="s">
        <v>52</v>
      </c>
      <c r="J659" s="7">
        <v>2532</v>
      </c>
      <c r="K659" s="7">
        <f t="shared" si="112"/>
        <v>177.24</v>
      </c>
      <c r="L659" s="7">
        <f t="shared" si="113"/>
        <v>2354.7600000000002</v>
      </c>
      <c r="M659" s="7">
        <v>6054</v>
      </c>
      <c r="N659" s="5" t="s">
        <v>43</v>
      </c>
      <c r="O659" s="5">
        <v>14</v>
      </c>
      <c r="P659" s="7">
        <f t="shared" si="114"/>
        <v>2886.4800000000005</v>
      </c>
      <c r="Q659" s="7">
        <f t="shared" si="115"/>
        <v>4253.7600000000057</v>
      </c>
      <c r="R659" s="7" t="str">
        <f t="shared" si="116"/>
        <v>Normal</v>
      </c>
      <c r="S659" s="5">
        <v>3</v>
      </c>
      <c r="T659" s="5">
        <v>3</v>
      </c>
      <c r="U659" s="5" t="str" cm="1">
        <f t="array" ref="U659">_xlfn.IFS(T659=1,"Poor",T659=2,"Fair",T659=3,"Good",T659=4,"Excellent")</f>
        <v>Good</v>
      </c>
      <c r="V659" s="5" t="s">
        <v>43</v>
      </c>
      <c r="W659" s="5">
        <v>4</v>
      </c>
      <c r="X659" s="28">
        <f t="shared" ca="1" si="117"/>
        <v>44650</v>
      </c>
      <c r="Y659" s="28">
        <f t="shared" ca="1" si="118"/>
        <v>46842</v>
      </c>
      <c r="Z659" s="28" t="str">
        <f t="shared" ca="1" si="119"/>
        <v>Upcoming</v>
      </c>
      <c r="AA659" s="5" t="str" cm="1">
        <f t="array" ref="AA659">_xlfn.IFS(W659&gt;10,"Veteran",W659&gt;=6,"Experienced",W659&gt;=2,"Developing",W659&gt;=0,"New")</f>
        <v>Developing</v>
      </c>
      <c r="AB659" s="5" t="str" cm="1">
        <f t="array" ref="AB659">_xlfn.IFS(G659=1,"Junior",G659=2,"Mid-Level",G659=3,"Senior",G659=4,"Lead",G659=5,"Principal")&amp;" "&amp;TRIM(PROPER(H659))</f>
        <v>Junior Laboratory Technician</v>
      </c>
      <c r="AC659" s="19" t="str">
        <f t="shared" ca="1" si="120"/>
        <v>La-Res-2022-658 is a Junior Laboratory Technician in the Research &amp; Development department, aged 29, divorced and has been with the Company for 4years</v>
      </c>
    </row>
    <row r="660" spans="1:29">
      <c r="A660" s="18" t="str">
        <f t="shared" ca="1" si="110"/>
        <v>Re-Res-2018-659</v>
      </c>
      <c r="B660" s="5">
        <v>44</v>
      </c>
      <c r="C660" s="5" t="str">
        <f t="shared" si="111"/>
        <v>40-49</v>
      </c>
      <c r="D660" s="5" t="s">
        <v>43</v>
      </c>
      <c r="E660" s="5" t="s">
        <v>45</v>
      </c>
      <c r="F660" s="5" t="s">
        <v>46</v>
      </c>
      <c r="G660" s="5">
        <v>1</v>
      </c>
      <c r="H660" s="5" t="s">
        <v>47</v>
      </c>
      <c r="I660" s="5" t="s">
        <v>48</v>
      </c>
      <c r="J660" s="7">
        <v>2559</v>
      </c>
      <c r="K660" s="7">
        <f t="shared" si="112"/>
        <v>179.13000000000002</v>
      </c>
      <c r="L660" s="7">
        <f t="shared" si="113"/>
        <v>2379.87</v>
      </c>
      <c r="M660" s="7">
        <v>7508</v>
      </c>
      <c r="N660" s="5" t="s">
        <v>35</v>
      </c>
      <c r="O660" s="5">
        <v>13</v>
      </c>
      <c r="P660" s="7">
        <f t="shared" si="114"/>
        <v>2891.6699999999996</v>
      </c>
      <c r="Q660" s="7">
        <f t="shared" si="115"/>
        <v>3992.0399999999954</v>
      </c>
      <c r="R660" s="7" t="str">
        <f t="shared" si="116"/>
        <v>Normal</v>
      </c>
      <c r="S660" s="5">
        <v>3</v>
      </c>
      <c r="T660" s="5">
        <v>3</v>
      </c>
      <c r="U660" s="5" t="str" cm="1">
        <f t="array" ref="U660">_xlfn.IFS(T660=1,"Poor",T660=2,"Fair",T660=3,"Good",T660=4,"Excellent")</f>
        <v>Good</v>
      </c>
      <c r="V660" s="5" t="s">
        <v>35</v>
      </c>
      <c r="W660" s="5">
        <v>8</v>
      </c>
      <c r="X660" s="28">
        <f t="shared" ca="1" si="117"/>
        <v>43189</v>
      </c>
      <c r="Y660" s="28">
        <f t="shared" ca="1" si="118"/>
        <v>46842</v>
      </c>
      <c r="Z660" s="28" t="str">
        <f t="shared" ca="1" si="119"/>
        <v>Upcoming</v>
      </c>
      <c r="AA660" s="5" t="str" cm="1">
        <f t="array" ref="AA660">_xlfn.IFS(W660&gt;10,"Veteran",W660&gt;=6,"Experienced",W660&gt;=2,"Developing",W660&gt;=0,"New")</f>
        <v>Experienced</v>
      </c>
      <c r="AB660" s="5" t="str" cm="1">
        <f t="array" ref="AB660">_xlfn.IFS(G660=1,"Junior",G660=2,"Mid-Level",G660=3,"Senior",G660=4,"Lead",G660=5,"Principal")&amp;" "&amp;TRIM(PROPER(H660))</f>
        <v>Junior Research Scientist</v>
      </c>
      <c r="AC660" s="19" t="str">
        <f t="shared" ca="1" si="120"/>
        <v>Re-Res-2018-659 is a Junior Research Scientist in the Research &amp; Development department, aged 44, married and has been with the Company for 8years</v>
      </c>
    </row>
    <row r="661" spans="1:29">
      <c r="A661" s="18" t="str">
        <f t="shared" ca="1" si="110"/>
        <v>Sa-Sal-2022-660</v>
      </c>
      <c r="B661" s="5">
        <v>28</v>
      </c>
      <c r="C661" s="5" t="str">
        <f t="shared" si="111"/>
        <v>20-29</v>
      </c>
      <c r="D661" s="5" t="s">
        <v>43</v>
      </c>
      <c r="E661" s="5" t="s">
        <v>37</v>
      </c>
      <c r="F661" s="5" t="s">
        <v>46</v>
      </c>
      <c r="G661" s="5">
        <v>2</v>
      </c>
      <c r="H661" s="5" t="s">
        <v>40</v>
      </c>
      <c r="I661" s="5" t="s">
        <v>41</v>
      </c>
      <c r="J661" s="7">
        <v>4908</v>
      </c>
      <c r="K661" s="7">
        <f t="shared" si="112"/>
        <v>736.19999999999993</v>
      </c>
      <c r="L661" s="7">
        <f t="shared" si="113"/>
        <v>4171.8</v>
      </c>
      <c r="M661" s="7">
        <v>24252</v>
      </c>
      <c r="N661" s="5" t="s">
        <v>43</v>
      </c>
      <c r="O661" s="5">
        <v>14</v>
      </c>
      <c r="P661" s="7">
        <f t="shared" si="114"/>
        <v>5595.1200000000008</v>
      </c>
      <c r="Q661" s="7">
        <f t="shared" si="115"/>
        <v>8245.4400000000096</v>
      </c>
      <c r="R661" s="7" t="str">
        <f t="shared" si="116"/>
        <v>Normal</v>
      </c>
      <c r="S661" s="5">
        <v>3</v>
      </c>
      <c r="T661" s="5">
        <v>3</v>
      </c>
      <c r="U661" s="5" t="str" cm="1">
        <f t="array" ref="U661">_xlfn.IFS(T661=1,"Poor",T661=2,"Fair",T661=3,"Good",T661=4,"Excellent")</f>
        <v>Good</v>
      </c>
      <c r="V661" s="5" t="s">
        <v>43</v>
      </c>
      <c r="W661" s="5">
        <v>4</v>
      </c>
      <c r="X661" s="28">
        <f t="shared" ca="1" si="117"/>
        <v>44650</v>
      </c>
      <c r="Y661" s="28">
        <f t="shared" ca="1" si="118"/>
        <v>46842</v>
      </c>
      <c r="Z661" s="28" t="str">
        <f t="shared" ca="1" si="119"/>
        <v>Upcoming</v>
      </c>
      <c r="AA661" s="5" t="str" cm="1">
        <f t="array" ref="AA661">_xlfn.IFS(W661&gt;10,"Veteran",W661&gt;=6,"Experienced",W661&gt;=2,"Developing",W661&gt;=0,"New")</f>
        <v>Developing</v>
      </c>
      <c r="AB661" s="5" t="str" cm="1">
        <f t="array" ref="AB661">_xlfn.IFS(G661=1,"Junior",G661=2,"Mid-Level",G661=3,"Senior",G661=4,"Lead",G661=5,"Principal")&amp;" "&amp;TRIM(PROPER(H661))</f>
        <v>Mid-Level Sales Executive</v>
      </c>
      <c r="AC661" s="19" t="str">
        <f t="shared" ca="1" si="120"/>
        <v>Sa-Sal-2022-660 is a Mid-Level Sales Executive in the Sales department, aged 28, single and has been with the Company for 4years</v>
      </c>
    </row>
    <row r="662" spans="1:29">
      <c r="A662" s="18" t="str">
        <f t="shared" ca="1" si="110"/>
        <v>La-Res-2025-661</v>
      </c>
      <c r="B662" s="5">
        <v>58</v>
      </c>
      <c r="C662" s="5" t="str">
        <f t="shared" si="111"/>
        <v>50+</v>
      </c>
      <c r="D662" s="5" t="s">
        <v>35</v>
      </c>
      <c r="E662" s="5" t="s">
        <v>45</v>
      </c>
      <c r="F662" s="5" t="s">
        <v>46</v>
      </c>
      <c r="G662" s="5">
        <v>1</v>
      </c>
      <c r="H662" s="5" t="s">
        <v>50</v>
      </c>
      <c r="I662" s="5" t="s">
        <v>52</v>
      </c>
      <c r="J662" s="7">
        <v>2380</v>
      </c>
      <c r="K662" s="7">
        <f t="shared" si="112"/>
        <v>166.60000000000002</v>
      </c>
      <c r="L662" s="7">
        <f t="shared" si="113"/>
        <v>2213.4</v>
      </c>
      <c r="M662" s="7">
        <v>13384</v>
      </c>
      <c r="N662" s="5" t="s">
        <v>35</v>
      </c>
      <c r="O662" s="5">
        <v>14</v>
      </c>
      <c r="P662" s="7">
        <f t="shared" si="114"/>
        <v>2713.2000000000003</v>
      </c>
      <c r="Q662" s="7">
        <f t="shared" si="115"/>
        <v>3998.4000000000033</v>
      </c>
      <c r="R662" s="7" t="str">
        <f t="shared" si="116"/>
        <v>Normal</v>
      </c>
      <c r="S662" s="5">
        <v>3</v>
      </c>
      <c r="T662" s="5">
        <v>2</v>
      </c>
      <c r="U662" s="5" t="str" cm="1">
        <f t="array" ref="U662">_xlfn.IFS(T662=1,"Poor",T662=2,"Fair",T662=3,"Good",T662=4,"Excellent")</f>
        <v>Fair</v>
      </c>
      <c r="V662" s="5" t="s">
        <v>35</v>
      </c>
      <c r="W662" s="5">
        <v>1</v>
      </c>
      <c r="X662" s="28">
        <f t="shared" ca="1" si="117"/>
        <v>45746</v>
      </c>
      <c r="Y662" s="28">
        <f t="shared" ca="1" si="118"/>
        <v>46476</v>
      </c>
      <c r="Z662" s="28" t="str">
        <f t="shared" ca="1" si="119"/>
        <v>Due Soon</v>
      </c>
      <c r="AA662" s="5" t="str" cm="1">
        <f t="array" ref="AA662">_xlfn.IFS(W662&gt;10,"Veteran",W662&gt;=6,"Experienced",W662&gt;=2,"Developing",W662&gt;=0,"New")</f>
        <v>New</v>
      </c>
      <c r="AB662" s="5" t="str" cm="1">
        <f t="array" ref="AB662">_xlfn.IFS(G662=1,"Junior",G662=2,"Mid-Level",G662=3,"Senior",G662=4,"Lead",G662=5,"Principal")&amp;" "&amp;TRIM(PROPER(H662))</f>
        <v>Junior Laboratory Technician</v>
      </c>
      <c r="AC662" s="19" t="str">
        <f t="shared" ca="1" si="120"/>
        <v>La-Res-2025-661 is a Junior Laboratory Technician in the Research &amp; Development department, aged 58, divorced and has been with the Company for 1years</v>
      </c>
    </row>
    <row r="663" spans="1:29">
      <c r="A663" s="18" t="str">
        <f t="shared" ca="1" si="110"/>
        <v>Ma-Res-2025-662</v>
      </c>
      <c r="B663" s="5">
        <v>43</v>
      </c>
      <c r="C663" s="5" t="str">
        <f t="shared" si="111"/>
        <v>40-49</v>
      </c>
      <c r="D663" s="5" t="s">
        <v>43</v>
      </c>
      <c r="E663" s="5" t="s">
        <v>45</v>
      </c>
      <c r="F663" s="5" t="s">
        <v>39</v>
      </c>
      <c r="G663" s="5">
        <v>2</v>
      </c>
      <c r="H663" s="5" t="s">
        <v>53</v>
      </c>
      <c r="I663" s="5" t="s">
        <v>52</v>
      </c>
      <c r="J663" s="7">
        <v>4765</v>
      </c>
      <c r="K663" s="7">
        <f t="shared" si="112"/>
        <v>714.75</v>
      </c>
      <c r="L663" s="7">
        <f t="shared" si="113"/>
        <v>4050.25</v>
      </c>
      <c r="M663" s="7">
        <v>23814</v>
      </c>
      <c r="N663" s="5" t="s">
        <v>43</v>
      </c>
      <c r="O663" s="5">
        <v>21</v>
      </c>
      <c r="P663" s="7">
        <f t="shared" si="114"/>
        <v>5765.65</v>
      </c>
      <c r="Q663" s="7">
        <f t="shared" si="115"/>
        <v>12007.799999999996</v>
      </c>
      <c r="R663" s="7" t="str">
        <f t="shared" si="116"/>
        <v>Normal</v>
      </c>
      <c r="S663" s="5">
        <v>4</v>
      </c>
      <c r="T663" s="5">
        <v>4</v>
      </c>
      <c r="U663" s="5" t="str" cm="1">
        <f t="array" ref="U663">_xlfn.IFS(T663=1,"Poor",T663=2,"Fair",T663=3,"Good",T663=4,"Excellent")</f>
        <v>Excellent</v>
      </c>
      <c r="V663" s="5" t="s">
        <v>43</v>
      </c>
      <c r="W663" s="5">
        <v>1</v>
      </c>
      <c r="X663" s="28">
        <f t="shared" ca="1" si="117"/>
        <v>45746</v>
      </c>
      <c r="Y663" s="28">
        <f t="shared" ca="1" si="118"/>
        <v>46476</v>
      </c>
      <c r="Z663" s="28" t="str">
        <f t="shared" ca="1" si="119"/>
        <v>Due Soon</v>
      </c>
      <c r="AA663" s="5" t="str" cm="1">
        <f t="array" ref="AA663">_xlfn.IFS(W663&gt;10,"Veteran",W663&gt;=6,"Experienced",W663&gt;=2,"Developing",W663&gt;=0,"New")</f>
        <v>New</v>
      </c>
      <c r="AB663" s="5" t="str" cm="1">
        <f t="array" ref="AB663">_xlfn.IFS(G663=1,"Junior",G663=2,"Mid-Level",G663=3,"Senior",G663=4,"Lead",G663=5,"Principal")&amp;" "&amp;TRIM(PROPER(H663))</f>
        <v>Mid-Level Manufacturing Director</v>
      </c>
      <c r="AC663" s="19" t="str">
        <f t="shared" ca="1" si="120"/>
        <v>Ma-Res-2025-662 is a Mid-Level Manufacturing Director in the Research &amp; Development department, aged 43, divorced and has been with the Company for 1years</v>
      </c>
    </row>
    <row r="664" spans="1:29">
      <c r="A664" s="18" t="str">
        <f t="shared" ca="1" si="110"/>
        <v>Sa-Sal-2024-663</v>
      </c>
      <c r="B664" s="5">
        <v>20</v>
      </c>
      <c r="C664" s="5" t="str">
        <f t="shared" si="111"/>
        <v>20-29</v>
      </c>
      <c r="D664" s="5" t="s">
        <v>35</v>
      </c>
      <c r="E664" s="5" t="s">
        <v>37</v>
      </c>
      <c r="F664" s="5" t="s">
        <v>39</v>
      </c>
      <c r="G664" s="5">
        <v>1</v>
      </c>
      <c r="H664" s="5" t="s">
        <v>57</v>
      </c>
      <c r="I664" s="5" t="s">
        <v>41</v>
      </c>
      <c r="J664" s="7">
        <v>2044</v>
      </c>
      <c r="K664" s="7">
        <f t="shared" si="112"/>
        <v>143.08000000000001</v>
      </c>
      <c r="L664" s="7">
        <f t="shared" si="113"/>
        <v>1900.92</v>
      </c>
      <c r="M664" s="7">
        <v>22052</v>
      </c>
      <c r="N664" s="5" t="s">
        <v>43</v>
      </c>
      <c r="O664" s="5">
        <v>13</v>
      </c>
      <c r="P664" s="7">
        <f t="shared" si="114"/>
        <v>2309.7199999999998</v>
      </c>
      <c r="Q664" s="7">
        <f t="shared" si="115"/>
        <v>3188.6399999999976</v>
      </c>
      <c r="R664" s="7" t="str">
        <f t="shared" si="116"/>
        <v>Normal</v>
      </c>
      <c r="S664" s="5">
        <v>3</v>
      </c>
      <c r="T664" s="5">
        <v>2</v>
      </c>
      <c r="U664" s="5" t="str" cm="1">
        <f t="array" ref="U664">_xlfn.IFS(T664=1,"Poor",T664=2,"Fair",T664=3,"Good",T664=4,"Excellent")</f>
        <v>Fair</v>
      </c>
      <c r="V664" s="5" t="s">
        <v>43</v>
      </c>
      <c r="W664" s="5">
        <v>2</v>
      </c>
      <c r="X664" s="28">
        <f t="shared" ca="1" si="117"/>
        <v>45381</v>
      </c>
      <c r="Y664" s="28">
        <f t="shared" ca="1" si="118"/>
        <v>46842</v>
      </c>
      <c r="Z664" s="28" t="str">
        <f t="shared" ca="1" si="119"/>
        <v>Upcoming</v>
      </c>
      <c r="AA664" s="5" t="str" cm="1">
        <f t="array" ref="AA664">_xlfn.IFS(W664&gt;10,"Veteran",W664&gt;=6,"Experienced",W664&gt;=2,"Developing",W664&gt;=0,"New")</f>
        <v>Developing</v>
      </c>
      <c r="AB664" s="5" t="str" cm="1">
        <f t="array" ref="AB664">_xlfn.IFS(G664=1,"Junior",G664=2,"Mid-Level",G664=3,"Senior",G664=4,"Lead",G664=5,"Principal")&amp;" "&amp;TRIM(PROPER(H664))</f>
        <v>Junior Sales Representative</v>
      </c>
      <c r="AC664" s="19" t="str">
        <f t="shared" ca="1" si="120"/>
        <v>Sa-Sal-2024-663 is a Junior Sales Representative in the Sales department, aged 20, single and has been with the Company for 2years</v>
      </c>
    </row>
    <row r="665" spans="1:29">
      <c r="A665" s="18" t="str">
        <f t="shared" ca="1" si="110"/>
        <v>Re-Res-2025-664</v>
      </c>
      <c r="B665" s="5">
        <v>21</v>
      </c>
      <c r="C665" s="5" t="str">
        <f t="shared" si="111"/>
        <v>20-29</v>
      </c>
      <c r="D665" s="5" t="s">
        <v>35</v>
      </c>
      <c r="E665" s="5" t="s">
        <v>45</v>
      </c>
      <c r="F665" s="5" t="s">
        <v>39</v>
      </c>
      <c r="G665" s="5">
        <v>1</v>
      </c>
      <c r="H665" s="5" t="s">
        <v>47</v>
      </c>
      <c r="I665" s="5" t="s">
        <v>41</v>
      </c>
      <c r="J665" s="7">
        <v>2693</v>
      </c>
      <c r="K665" s="7">
        <f t="shared" si="112"/>
        <v>188.51000000000002</v>
      </c>
      <c r="L665" s="7">
        <f t="shared" si="113"/>
        <v>2504.4899999999998</v>
      </c>
      <c r="M665" s="7">
        <v>8870</v>
      </c>
      <c r="N665" s="5" t="s">
        <v>43</v>
      </c>
      <c r="O665" s="5">
        <v>19</v>
      </c>
      <c r="P665" s="7">
        <f t="shared" si="114"/>
        <v>3204.67</v>
      </c>
      <c r="Q665" s="7">
        <f t="shared" si="115"/>
        <v>6140.0400000000009</v>
      </c>
      <c r="R665" s="7" t="str">
        <f t="shared" si="116"/>
        <v>Normal</v>
      </c>
      <c r="S665" s="5">
        <v>3</v>
      </c>
      <c r="T665" s="5">
        <v>2</v>
      </c>
      <c r="U665" s="5" t="str" cm="1">
        <f t="array" ref="U665">_xlfn.IFS(T665=1,"Poor",T665=2,"Fair",T665=3,"Good",T665=4,"Excellent")</f>
        <v>Fair</v>
      </c>
      <c r="V665" s="5" t="s">
        <v>43</v>
      </c>
      <c r="W665" s="5">
        <v>1</v>
      </c>
      <c r="X665" s="28">
        <f t="shared" ca="1" si="117"/>
        <v>45746</v>
      </c>
      <c r="Y665" s="28">
        <f t="shared" ca="1" si="118"/>
        <v>46476</v>
      </c>
      <c r="Z665" s="28" t="str">
        <f t="shared" ca="1" si="119"/>
        <v>Due Soon</v>
      </c>
      <c r="AA665" s="5" t="str" cm="1">
        <f t="array" ref="AA665">_xlfn.IFS(W665&gt;10,"Veteran",W665&gt;=6,"Experienced",W665&gt;=2,"Developing",W665&gt;=0,"New")</f>
        <v>New</v>
      </c>
      <c r="AB665" s="5" t="str" cm="1">
        <f t="array" ref="AB665">_xlfn.IFS(G665=1,"Junior",G665=2,"Mid-Level",G665=3,"Senior",G665=4,"Lead",G665=5,"Principal")&amp;" "&amp;TRIM(PROPER(H665))</f>
        <v>Junior Research Scientist</v>
      </c>
      <c r="AC665" s="19" t="str">
        <f t="shared" ca="1" si="120"/>
        <v>Re-Res-2025-664 is a Junior Research Scientist in the Research &amp; Development department, aged 21, single and has been with the Company for 1years</v>
      </c>
    </row>
    <row r="666" spans="1:29">
      <c r="A666" s="18" t="str">
        <f t="shared" ca="1" si="110"/>
        <v>He-Res-2010-665</v>
      </c>
      <c r="B666" s="5">
        <v>36</v>
      </c>
      <c r="C666" s="5" t="str">
        <f t="shared" si="111"/>
        <v>30-39</v>
      </c>
      <c r="D666" s="5" t="s">
        <v>43</v>
      </c>
      <c r="E666" s="5" t="s">
        <v>45</v>
      </c>
      <c r="F666" s="5" t="s">
        <v>46</v>
      </c>
      <c r="G666" s="5">
        <v>2</v>
      </c>
      <c r="H666" s="5" t="s">
        <v>54</v>
      </c>
      <c r="I666" s="5" t="s">
        <v>48</v>
      </c>
      <c r="J666" s="7">
        <v>6586</v>
      </c>
      <c r="K666" s="7">
        <f t="shared" si="112"/>
        <v>987.9</v>
      </c>
      <c r="L666" s="7">
        <f t="shared" si="113"/>
        <v>5598.1</v>
      </c>
      <c r="M666" s="7">
        <v>4821</v>
      </c>
      <c r="N666" s="5" t="s">
        <v>35</v>
      </c>
      <c r="O666" s="5">
        <v>17</v>
      </c>
      <c r="P666" s="7">
        <f t="shared" si="114"/>
        <v>7705.62</v>
      </c>
      <c r="Q666" s="7">
        <f t="shared" si="115"/>
        <v>13435.439999999999</v>
      </c>
      <c r="R666" s="7" t="str">
        <f t="shared" si="116"/>
        <v>Normal</v>
      </c>
      <c r="S666" s="5">
        <v>3</v>
      </c>
      <c r="T666" s="5">
        <v>2</v>
      </c>
      <c r="U666" s="5" t="str" cm="1">
        <f t="array" ref="U666">_xlfn.IFS(T666=1,"Poor",T666=2,"Fair",T666=3,"Good",T666=4,"Excellent")</f>
        <v>Fair</v>
      </c>
      <c r="V666" s="5" t="s">
        <v>35</v>
      </c>
      <c r="W666" s="5">
        <v>16</v>
      </c>
      <c r="X666" s="28">
        <f t="shared" ca="1" si="117"/>
        <v>40267</v>
      </c>
      <c r="Y666" s="28">
        <f t="shared" ca="1" si="118"/>
        <v>46842</v>
      </c>
      <c r="Z666" s="28" t="str">
        <f t="shared" ca="1" si="119"/>
        <v>Upcoming</v>
      </c>
      <c r="AA666" s="5" t="str" cm="1">
        <f t="array" ref="AA666">_xlfn.IFS(W666&gt;10,"Veteran",W666&gt;=6,"Experienced",W666&gt;=2,"Developing",W666&gt;=0,"New")</f>
        <v>Veteran</v>
      </c>
      <c r="AB666" s="5" t="str" cm="1">
        <f t="array" ref="AB666">_xlfn.IFS(G666=1,"Junior",G666=2,"Mid-Level",G666=3,"Senior",G666=4,"Lead",G666=5,"Principal")&amp;" "&amp;TRIM(PROPER(H666))</f>
        <v>Mid-Level Healthcare Representative</v>
      </c>
      <c r="AC666" s="19" t="str">
        <f t="shared" ca="1" si="120"/>
        <v>He-Res-2010-665 is a Mid-Level Healthcare Representative in the Research &amp; Development department, aged 36, married and has been with the Company for 16years</v>
      </c>
    </row>
    <row r="667" spans="1:29">
      <c r="A667" s="18" t="str">
        <f t="shared" ca="1" si="110"/>
        <v>Sa-Sal-2023-666</v>
      </c>
      <c r="B667" s="5">
        <v>47</v>
      </c>
      <c r="C667" s="5" t="str">
        <f t="shared" si="111"/>
        <v>40-49</v>
      </c>
      <c r="D667" s="5" t="s">
        <v>43</v>
      </c>
      <c r="E667" s="5" t="s">
        <v>37</v>
      </c>
      <c r="F667" s="5" t="s">
        <v>39</v>
      </c>
      <c r="G667" s="5">
        <v>1</v>
      </c>
      <c r="H667" s="5" t="s">
        <v>57</v>
      </c>
      <c r="I667" s="5" t="s">
        <v>41</v>
      </c>
      <c r="J667" s="7">
        <v>3294</v>
      </c>
      <c r="K667" s="7">
        <f t="shared" si="112"/>
        <v>494.09999999999997</v>
      </c>
      <c r="L667" s="7">
        <f t="shared" si="113"/>
        <v>2799.9</v>
      </c>
      <c r="M667" s="7">
        <v>13137</v>
      </c>
      <c r="N667" s="5" t="s">
        <v>35</v>
      </c>
      <c r="O667" s="5">
        <v>18</v>
      </c>
      <c r="P667" s="7">
        <f t="shared" si="114"/>
        <v>3886.9199999999996</v>
      </c>
      <c r="Q667" s="7">
        <f t="shared" si="115"/>
        <v>7115.0399999999954</v>
      </c>
      <c r="R667" s="7" t="str">
        <f t="shared" si="116"/>
        <v>Normal</v>
      </c>
      <c r="S667" s="5">
        <v>3</v>
      </c>
      <c r="T667" s="5">
        <v>2</v>
      </c>
      <c r="U667" s="5" t="str" cm="1">
        <f t="array" ref="U667">_xlfn.IFS(T667=1,"Poor",T667=2,"Fair",T667=3,"Good",T667=4,"Excellent")</f>
        <v>Fair</v>
      </c>
      <c r="V667" s="5" t="s">
        <v>35</v>
      </c>
      <c r="W667" s="5">
        <v>3</v>
      </c>
      <c r="X667" s="28">
        <f t="shared" ca="1" si="117"/>
        <v>45015</v>
      </c>
      <c r="Y667" s="28">
        <f t="shared" ca="1" si="118"/>
        <v>46476</v>
      </c>
      <c r="Z667" s="28" t="str">
        <f t="shared" ca="1" si="119"/>
        <v>Due Soon</v>
      </c>
      <c r="AA667" s="5" t="str" cm="1">
        <f t="array" ref="AA667">_xlfn.IFS(W667&gt;10,"Veteran",W667&gt;=6,"Experienced",W667&gt;=2,"Developing",W667&gt;=0,"New")</f>
        <v>Developing</v>
      </c>
      <c r="AB667" s="5" t="str" cm="1">
        <f t="array" ref="AB667">_xlfn.IFS(G667=1,"Junior",G667=2,"Mid-Level",G667=3,"Senior",G667=4,"Lead",G667=5,"Principal")&amp;" "&amp;TRIM(PROPER(H667))</f>
        <v>Junior Sales Representative</v>
      </c>
      <c r="AC667" s="19" t="str">
        <f t="shared" ca="1" si="120"/>
        <v>Sa-Sal-2023-666 is a Junior Sales Representative in the Sales department, aged 47, single and has been with the Company for 3years</v>
      </c>
    </row>
    <row r="668" spans="1:29">
      <c r="A668" s="18" t="str">
        <f t="shared" ca="1" si="110"/>
        <v>Ma-Res-2023-667</v>
      </c>
      <c r="B668" s="5">
        <v>22</v>
      </c>
      <c r="C668" s="5" t="str">
        <f t="shared" si="111"/>
        <v>20-29</v>
      </c>
      <c r="D668" s="5" t="s">
        <v>35</v>
      </c>
      <c r="E668" s="5" t="s">
        <v>45</v>
      </c>
      <c r="F668" s="5" t="s">
        <v>39</v>
      </c>
      <c r="G668" s="5">
        <v>2</v>
      </c>
      <c r="H668" s="5" t="s">
        <v>53</v>
      </c>
      <c r="I668" s="5" t="s">
        <v>48</v>
      </c>
      <c r="J668" s="7">
        <v>4171</v>
      </c>
      <c r="K668" s="7">
        <f t="shared" si="112"/>
        <v>625.65</v>
      </c>
      <c r="L668" s="7">
        <f t="shared" si="113"/>
        <v>3545.35</v>
      </c>
      <c r="M668" s="7">
        <v>10022</v>
      </c>
      <c r="N668" s="5" t="s">
        <v>35</v>
      </c>
      <c r="O668" s="5">
        <v>19</v>
      </c>
      <c r="P668" s="7">
        <f t="shared" si="114"/>
        <v>4963.49</v>
      </c>
      <c r="Q668" s="7">
        <f t="shared" si="115"/>
        <v>9509.8799999999974</v>
      </c>
      <c r="R668" s="7" t="str">
        <f t="shared" si="116"/>
        <v>Normal</v>
      </c>
      <c r="S668" s="5">
        <v>3</v>
      </c>
      <c r="T668" s="5">
        <v>4</v>
      </c>
      <c r="U668" s="5" t="str" cm="1">
        <f t="array" ref="U668">_xlfn.IFS(T668=1,"Poor",T668=2,"Fair",T668=3,"Good",T668=4,"Excellent")</f>
        <v>Excellent</v>
      </c>
      <c r="V668" s="5" t="s">
        <v>35</v>
      </c>
      <c r="W668" s="5">
        <v>3</v>
      </c>
      <c r="X668" s="28">
        <f t="shared" ca="1" si="117"/>
        <v>45015</v>
      </c>
      <c r="Y668" s="28">
        <f t="shared" ca="1" si="118"/>
        <v>46476</v>
      </c>
      <c r="Z668" s="28" t="str">
        <f t="shared" ca="1" si="119"/>
        <v>Due Soon</v>
      </c>
      <c r="AA668" s="5" t="str" cm="1">
        <f t="array" ref="AA668">_xlfn.IFS(W668&gt;10,"Veteran",W668&gt;=6,"Experienced",W668&gt;=2,"Developing",W668&gt;=0,"New")</f>
        <v>Developing</v>
      </c>
      <c r="AB668" s="5" t="str" cm="1">
        <f t="array" ref="AB668">_xlfn.IFS(G668=1,"Junior",G668=2,"Mid-Level",G668=3,"Senior",G668=4,"Lead",G668=5,"Principal")&amp;" "&amp;TRIM(PROPER(H668))</f>
        <v>Mid-Level Manufacturing Director</v>
      </c>
      <c r="AC668" s="19" t="str">
        <f t="shared" ca="1" si="120"/>
        <v>Ma-Res-2023-667 is a Mid-Level Manufacturing Director in the Research &amp; Development department, aged 22, married and has been with the Company for 3years</v>
      </c>
    </row>
    <row r="669" spans="1:29">
      <c r="A669" s="18" t="str">
        <f t="shared" ca="1" si="110"/>
        <v>La-Res-2019-668</v>
      </c>
      <c r="B669" s="5">
        <v>41</v>
      </c>
      <c r="C669" s="5" t="str">
        <f t="shared" si="111"/>
        <v>40-49</v>
      </c>
      <c r="D669" s="5" t="s">
        <v>35</v>
      </c>
      <c r="E669" s="5" t="s">
        <v>45</v>
      </c>
      <c r="F669" s="5" t="s">
        <v>39</v>
      </c>
      <c r="G669" s="5">
        <v>1</v>
      </c>
      <c r="H669" s="5" t="s">
        <v>50</v>
      </c>
      <c r="I669" s="5" t="s">
        <v>52</v>
      </c>
      <c r="J669" s="7">
        <v>2778</v>
      </c>
      <c r="K669" s="7">
        <f t="shared" si="112"/>
        <v>194.46</v>
      </c>
      <c r="L669" s="7">
        <f t="shared" si="113"/>
        <v>2583.54</v>
      </c>
      <c r="M669" s="7">
        <v>17725</v>
      </c>
      <c r="N669" s="5" t="s">
        <v>35</v>
      </c>
      <c r="O669" s="5">
        <v>13</v>
      </c>
      <c r="P669" s="7">
        <f t="shared" si="114"/>
        <v>3139.14</v>
      </c>
      <c r="Q669" s="7">
        <f t="shared" si="115"/>
        <v>4333.6799999999985</v>
      </c>
      <c r="R669" s="7" t="str">
        <f t="shared" si="116"/>
        <v>Normal</v>
      </c>
      <c r="S669" s="5">
        <v>3</v>
      </c>
      <c r="T669" s="5">
        <v>2</v>
      </c>
      <c r="U669" s="5" t="str" cm="1">
        <f t="array" ref="U669">_xlfn.IFS(T669=1,"Poor",T669=2,"Fair",T669=3,"Good",T669=4,"Excellent")</f>
        <v>Fair</v>
      </c>
      <c r="V669" s="5" t="s">
        <v>35</v>
      </c>
      <c r="W669" s="5">
        <v>7</v>
      </c>
      <c r="X669" s="28">
        <f t="shared" ca="1" si="117"/>
        <v>43554</v>
      </c>
      <c r="Y669" s="28">
        <f t="shared" ca="1" si="118"/>
        <v>46476</v>
      </c>
      <c r="Z669" s="28" t="str">
        <f t="shared" ca="1" si="119"/>
        <v>Due Soon</v>
      </c>
      <c r="AA669" s="5" t="str" cm="1">
        <f t="array" ref="AA669">_xlfn.IFS(W669&gt;10,"Veteran",W669&gt;=6,"Experienced",W669&gt;=2,"Developing",W669&gt;=0,"New")</f>
        <v>Experienced</v>
      </c>
      <c r="AB669" s="5" t="str" cm="1">
        <f t="array" ref="AB669">_xlfn.IFS(G669=1,"Junior",G669=2,"Mid-Level",G669=3,"Senior",G669=4,"Lead",G669=5,"Principal")&amp;" "&amp;TRIM(PROPER(H669))</f>
        <v>Junior Laboratory Technician</v>
      </c>
      <c r="AC669" s="19" t="str">
        <f t="shared" ca="1" si="120"/>
        <v>La-Res-2019-668 is a Junior Laboratory Technician in the Research &amp; Development department, aged 41, divorced and has been with the Company for 7years</v>
      </c>
    </row>
    <row r="670" spans="1:29">
      <c r="A670" s="18" t="str">
        <f t="shared" ca="1" si="110"/>
        <v>Re-Res-2024-669</v>
      </c>
      <c r="B670" s="5">
        <v>28</v>
      </c>
      <c r="C670" s="5" t="str">
        <f t="shared" si="111"/>
        <v>20-29</v>
      </c>
      <c r="D670" s="5" t="s">
        <v>43</v>
      </c>
      <c r="E670" s="5" t="s">
        <v>45</v>
      </c>
      <c r="F670" s="5" t="s">
        <v>39</v>
      </c>
      <c r="G670" s="5">
        <v>1</v>
      </c>
      <c r="H670" s="5" t="s">
        <v>47</v>
      </c>
      <c r="I670" s="5" t="s">
        <v>52</v>
      </c>
      <c r="J670" s="7">
        <v>2377</v>
      </c>
      <c r="K670" s="7">
        <f t="shared" si="112"/>
        <v>166.39000000000001</v>
      </c>
      <c r="L670" s="7">
        <f t="shared" si="113"/>
        <v>2210.61</v>
      </c>
      <c r="M670" s="7">
        <v>9834</v>
      </c>
      <c r="N670" s="5" t="s">
        <v>43</v>
      </c>
      <c r="O670" s="5">
        <v>18</v>
      </c>
      <c r="P670" s="7">
        <f t="shared" si="114"/>
        <v>2804.8599999999997</v>
      </c>
      <c r="Q670" s="7">
        <f t="shared" si="115"/>
        <v>5134.3199999999961</v>
      </c>
      <c r="R670" s="7" t="str">
        <f t="shared" si="116"/>
        <v>Normal</v>
      </c>
      <c r="S670" s="5">
        <v>3</v>
      </c>
      <c r="T670" s="5">
        <v>3</v>
      </c>
      <c r="U670" s="5" t="str" cm="1">
        <f t="array" ref="U670">_xlfn.IFS(T670=1,"Poor",T670=2,"Fair",T670=3,"Good",T670=4,"Excellent")</f>
        <v>Good</v>
      </c>
      <c r="V670" s="5" t="s">
        <v>43</v>
      </c>
      <c r="W670" s="5">
        <v>2</v>
      </c>
      <c r="X670" s="28">
        <f t="shared" ca="1" si="117"/>
        <v>45381</v>
      </c>
      <c r="Y670" s="28">
        <f t="shared" ca="1" si="118"/>
        <v>46842</v>
      </c>
      <c r="Z670" s="28" t="str">
        <f t="shared" ca="1" si="119"/>
        <v>Upcoming</v>
      </c>
      <c r="AA670" s="5" t="str" cm="1">
        <f t="array" ref="AA670">_xlfn.IFS(W670&gt;10,"Veteran",W670&gt;=6,"Experienced",W670&gt;=2,"Developing",W670&gt;=0,"New")</f>
        <v>Developing</v>
      </c>
      <c r="AB670" s="5" t="str" cm="1">
        <f t="array" ref="AB670">_xlfn.IFS(G670=1,"Junior",G670=2,"Mid-Level",G670=3,"Senior",G670=4,"Lead",G670=5,"Principal")&amp;" "&amp;TRIM(PROPER(H670))</f>
        <v>Junior Research Scientist</v>
      </c>
      <c r="AC670" s="19" t="str">
        <f t="shared" ca="1" si="120"/>
        <v>Re-Res-2024-669 is a Junior Research Scientist in the Research &amp; Development department, aged 28, divorced and has been with the Company for 2years</v>
      </c>
    </row>
    <row r="671" spans="1:29">
      <c r="A671" s="18" t="str">
        <f t="shared" ca="1" si="110"/>
        <v>La-Res-2024-670</v>
      </c>
      <c r="B671" s="5">
        <v>39</v>
      </c>
      <c r="C671" s="5" t="str">
        <f t="shared" si="111"/>
        <v>30-39</v>
      </c>
      <c r="D671" s="5" t="s">
        <v>35</v>
      </c>
      <c r="E671" s="5" t="s">
        <v>45</v>
      </c>
      <c r="F671" s="5" t="s">
        <v>46</v>
      </c>
      <c r="G671" s="5">
        <v>1</v>
      </c>
      <c r="H671" s="5" t="s">
        <v>50</v>
      </c>
      <c r="I671" s="5" t="s">
        <v>48</v>
      </c>
      <c r="J671" s="7">
        <v>2404</v>
      </c>
      <c r="K671" s="7">
        <f t="shared" si="112"/>
        <v>168.28000000000003</v>
      </c>
      <c r="L671" s="7">
        <f t="shared" si="113"/>
        <v>2235.7199999999998</v>
      </c>
      <c r="M671" s="7">
        <v>4303</v>
      </c>
      <c r="N671" s="5" t="s">
        <v>35</v>
      </c>
      <c r="O671" s="5">
        <v>21</v>
      </c>
      <c r="P671" s="7">
        <f t="shared" si="114"/>
        <v>2908.8399999999997</v>
      </c>
      <c r="Q671" s="7">
        <f t="shared" si="115"/>
        <v>6058.0799999999963</v>
      </c>
      <c r="R671" s="7" t="str">
        <f t="shared" si="116"/>
        <v>Normal</v>
      </c>
      <c r="S671" s="5">
        <v>4</v>
      </c>
      <c r="T671" s="5">
        <v>1</v>
      </c>
      <c r="U671" s="5" t="str" cm="1">
        <f t="array" ref="U671">_xlfn.IFS(T671=1,"Poor",T671=2,"Fair",T671=3,"Good",T671=4,"Excellent")</f>
        <v>Poor</v>
      </c>
      <c r="V671" s="5" t="s">
        <v>35</v>
      </c>
      <c r="W671" s="5">
        <v>2</v>
      </c>
      <c r="X671" s="28">
        <f t="shared" ca="1" si="117"/>
        <v>45381</v>
      </c>
      <c r="Y671" s="28">
        <f t="shared" ca="1" si="118"/>
        <v>46842</v>
      </c>
      <c r="Z671" s="28" t="str">
        <f t="shared" ca="1" si="119"/>
        <v>Upcoming</v>
      </c>
      <c r="AA671" s="5" t="str" cm="1">
        <f t="array" ref="AA671">_xlfn.IFS(W671&gt;10,"Veteran",W671&gt;=6,"Experienced",W671&gt;=2,"Developing",W671&gt;=0,"New")</f>
        <v>Developing</v>
      </c>
      <c r="AB671" s="5" t="str" cm="1">
        <f t="array" ref="AB671">_xlfn.IFS(G671=1,"Junior",G671=2,"Mid-Level",G671=3,"Senior",G671=4,"Lead",G671=5,"Principal")&amp;" "&amp;TRIM(PROPER(H671))</f>
        <v>Junior Laboratory Technician</v>
      </c>
      <c r="AC671" s="19" t="str">
        <f t="shared" ca="1" si="120"/>
        <v>La-Res-2024-670 is a Junior Laboratory Technician in the Research &amp; Development department, aged 39, married and has been with the Company for 2years</v>
      </c>
    </row>
    <row r="672" spans="1:29">
      <c r="A672" s="18" t="str">
        <f t="shared" ca="1" si="110"/>
        <v>Re-Res-2025-671</v>
      </c>
      <c r="B672" s="5">
        <v>27</v>
      </c>
      <c r="C672" s="5" t="str">
        <f t="shared" si="111"/>
        <v>20-29</v>
      </c>
      <c r="D672" s="5" t="s">
        <v>43</v>
      </c>
      <c r="E672" s="5" t="s">
        <v>45</v>
      </c>
      <c r="F672" s="5" t="s">
        <v>39</v>
      </c>
      <c r="G672" s="5">
        <v>1</v>
      </c>
      <c r="H672" s="5" t="s">
        <v>47</v>
      </c>
      <c r="I672" s="5" t="s">
        <v>41</v>
      </c>
      <c r="J672" s="7">
        <v>2318</v>
      </c>
      <c r="K672" s="7">
        <f t="shared" si="112"/>
        <v>162.26000000000002</v>
      </c>
      <c r="L672" s="7">
        <f t="shared" si="113"/>
        <v>2155.7399999999998</v>
      </c>
      <c r="M672" s="7">
        <v>17808</v>
      </c>
      <c r="N672" s="5" t="s">
        <v>43</v>
      </c>
      <c r="O672" s="5">
        <v>19</v>
      </c>
      <c r="P672" s="7">
        <f t="shared" si="114"/>
        <v>2758.42</v>
      </c>
      <c r="Q672" s="7">
        <f t="shared" si="115"/>
        <v>5285.0400000000009</v>
      </c>
      <c r="R672" s="7" t="str">
        <f t="shared" si="116"/>
        <v>Normal</v>
      </c>
      <c r="S672" s="5">
        <v>3</v>
      </c>
      <c r="T672" s="5">
        <v>3</v>
      </c>
      <c r="U672" s="5" t="str" cm="1">
        <f t="array" ref="U672">_xlfn.IFS(T672=1,"Poor",T672=2,"Fair",T672=3,"Good",T672=4,"Excellent")</f>
        <v>Good</v>
      </c>
      <c r="V672" s="5" t="s">
        <v>43</v>
      </c>
      <c r="W672" s="5">
        <v>1</v>
      </c>
      <c r="X672" s="28">
        <f t="shared" ca="1" si="117"/>
        <v>45746</v>
      </c>
      <c r="Y672" s="28">
        <f t="shared" ca="1" si="118"/>
        <v>46476</v>
      </c>
      <c r="Z672" s="28" t="str">
        <f t="shared" ca="1" si="119"/>
        <v>Due Soon</v>
      </c>
      <c r="AA672" s="5" t="str" cm="1">
        <f t="array" ref="AA672">_xlfn.IFS(W672&gt;10,"Veteran",W672&gt;=6,"Experienced",W672&gt;=2,"Developing",W672&gt;=0,"New")</f>
        <v>New</v>
      </c>
      <c r="AB672" s="5" t="str" cm="1">
        <f t="array" ref="AB672">_xlfn.IFS(G672=1,"Junior",G672=2,"Mid-Level",G672=3,"Senior",G672=4,"Lead",G672=5,"Principal")&amp;" "&amp;TRIM(PROPER(H672))</f>
        <v>Junior Research Scientist</v>
      </c>
      <c r="AC672" s="19" t="str">
        <f t="shared" ca="1" si="120"/>
        <v>Re-Res-2025-671 is a Junior Research Scientist in the Research &amp; Development department, aged 27, single and has been with the Company for 1years</v>
      </c>
    </row>
    <row r="673" spans="1:29">
      <c r="A673" s="18" t="str">
        <f t="shared" ca="1" si="110"/>
        <v>La-Res-2025-672</v>
      </c>
      <c r="B673" s="5">
        <v>34</v>
      </c>
      <c r="C673" s="5" t="str">
        <f t="shared" si="111"/>
        <v>30-39</v>
      </c>
      <c r="D673" s="5" t="s">
        <v>43</v>
      </c>
      <c r="E673" s="5" t="s">
        <v>45</v>
      </c>
      <c r="F673" s="5" t="s">
        <v>46</v>
      </c>
      <c r="G673" s="5">
        <v>1</v>
      </c>
      <c r="H673" s="5" t="s">
        <v>50</v>
      </c>
      <c r="I673" s="5" t="s">
        <v>52</v>
      </c>
      <c r="J673" s="7">
        <v>2008</v>
      </c>
      <c r="K673" s="7">
        <f t="shared" si="112"/>
        <v>140.56</v>
      </c>
      <c r="L673" s="7">
        <f t="shared" si="113"/>
        <v>1867.44</v>
      </c>
      <c r="M673" s="7">
        <v>6896</v>
      </c>
      <c r="N673" s="5" t="s">
        <v>43</v>
      </c>
      <c r="O673" s="5">
        <v>14</v>
      </c>
      <c r="P673" s="7">
        <f t="shared" si="114"/>
        <v>2289.1200000000003</v>
      </c>
      <c r="Q673" s="7">
        <f t="shared" si="115"/>
        <v>3373.4400000000041</v>
      </c>
      <c r="R673" s="7" t="str">
        <f t="shared" si="116"/>
        <v>Normal</v>
      </c>
      <c r="S673" s="5">
        <v>3</v>
      </c>
      <c r="T673" s="5">
        <v>3</v>
      </c>
      <c r="U673" s="5" t="str" cm="1">
        <f t="array" ref="U673">_xlfn.IFS(T673=1,"Poor",T673=2,"Fair",T673=3,"Good",T673=4,"Excellent")</f>
        <v>Good</v>
      </c>
      <c r="V673" s="5" t="s">
        <v>43</v>
      </c>
      <c r="W673" s="5">
        <v>1</v>
      </c>
      <c r="X673" s="28">
        <f t="shared" ca="1" si="117"/>
        <v>45746</v>
      </c>
      <c r="Y673" s="28">
        <f t="shared" ca="1" si="118"/>
        <v>46476</v>
      </c>
      <c r="Z673" s="28" t="str">
        <f t="shared" ca="1" si="119"/>
        <v>Due Soon</v>
      </c>
      <c r="AA673" s="5" t="str" cm="1">
        <f t="array" ref="AA673">_xlfn.IFS(W673&gt;10,"Veteran",W673&gt;=6,"Experienced",W673&gt;=2,"Developing",W673&gt;=0,"New")</f>
        <v>New</v>
      </c>
      <c r="AB673" s="5" t="str" cm="1">
        <f t="array" ref="AB673">_xlfn.IFS(G673=1,"Junior",G673=2,"Mid-Level",G673=3,"Senior",G673=4,"Lead",G673=5,"Principal")&amp;" "&amp;TRIM(PROPER(H673))</f>
        <v>Junior Laboratory Technician</v>
      </c>
      <c r="AC673" s="19" t="str">
        <f t="shared" ca="1" si="120"/>
        <v>La-Res-2025-672 is a Junior Laboratory Technician in the Research &amp; Development department, aged 34, divorced and has been with the Company for 1years</v>
      </c>
    </row>
    <row r="674" spans="1:29">
      <c r="A674" s="18" t="str">
        <f t="shared" ca="1" si="110"/>
        <v>Sa-Sal-2021-673</v>
      </c>
      <c r="B674" s="5">
        <v>42</v>
      </c>
      <c r="C674" s="5" t="str">
        <f t="shared" si="111"/>
        <v>40-49</v>
      </c>
      <c r="D674" s="5" t="s">
        <v>43</v>
      </c>
      <c r="E674" s="5" t="s">
        <v>37</v>
      </c>
      <c r="F674" s="5" t="s">
        <v>39</v>
      </c>
      <c r="G674" s="5">
        <v>2</v>
      </c>
      <c r="H674" s="5" t="s">
        <v>40</v>
      </c>
      <c r="I674" s="5" t="s">
        <v>41</v>
      </c>
      <c r="J674" s="7">
        <v>6244</v>
      </c>
      <c r="K674" s="7">
        <f t="shared" si="112"/>
        <v>936.59999999999991</v>
      </c>
      <c r="L674" s="7">
        <f t="shared" si="113"/>
        <v>5307.4</v>
      </c>
      <c r="M674" s="7">
        <v>7824</v>
      </c>
      <c r="N674" s="5" t="s">
        <v>43</v>
      </c>
      <c r="O674" s="5">
        <v>17</v>
      </c>
      <c r="P674" s="7">
        <f t="shared" si="114"/>
        <v>7305.48</v>
      </c>
      <c r="Q674" s="7">
        <f t="shared" si="115"/>
        <v>12737.759999999995</v>
      </c>
      <c r="R674" s="7" t="str">
        <f t="shared" si="116"/>
        <v>Normal</v>
      </c>
      <c r="S674" s="5">
        <v>3</v>
      </c>
      <c r="T674" s="5">
        <v>3</v>
      </c>
      <c r="U674" s="5" t="str" cm="1">
        <f t="array" ref="U674">_xlfn.IFS(T674=1,"Poor",T674=2,"Fair",T674=3,"Good",T674=4,"Excellent")</f>
        <v>Good</v>
      </c>
      <c r="V674" s="5" t="s">
        <v>43</v>
      </c>
      <c r="W674" s="5">
        <v>5</v>
      </c>
      <c r="X674" s="28">
        <f t="shared" ca="1" si="117"/>
        <v>44285</v>
      </c>
      <c r="Y674" s="28">
        <f t="shared" ca="1" si="118"/>
        <v>46476</v>
      </c>
      <c r="Z674" s="28" t="str">
        <f t="shared" ca="1" si="119"/>
        <v>Due Soon</v>
      </c>
      <c r="AA674" s="5" t="str" cm="1">
        <f t="array" ref="AA674">_xlfn.IFS(W674&gt;10,"Veteran",W674&gt;=6,"Experienced",W674&gt;=2,"Developing",W674&gt;=0,"New")</f>
        <v>Developing</v>
      </c>
      <c r="AB674" s="5" t="str" cm="1">
        <f t="array" ref="AB674">_xlfn.IFS(G674=1,"Junior",G674=2,"Mid-Level",G674=3,"Senior",G674=4,"Lead",G674=5,"Principal")&amp;" "&amp;TRIM(PROPER(H674))</f>
        <v>Mid-Level Sales Executive</v>
      </c>
      <c r="AC674" s="19" t="str">
        <f t="shared" ca="1" si="120"/>
        <v>Sa-Sal-2021-673 is a Mid-Level Sales Executive in the Sales department, aged 42, single and has been with the Company for 5years</v>
      </c>
    </row>
    <row r="675" spans="1:29">
      <c r="A675" s="18" t="str">
        <f t="shared" ca="1" si="110"/>
        <v>Re-Res-2023-674</v>
      </c>
      <c r="B675" s="5">
        <v>33</v>
      </c>
      <c r="C675" s="5" t="str">
        <f t="shared" si="111"/>
        <v>30-39</v>
      </c>
      <c r="D675" s="5" t="s">
        <v>43</v>
      </c>
      <c r="E675" s="5" t="s">
        <v>45</v>
      </c>
      <c r="F675" s="5" t="s">
        <v>46</v>
      </c>
      <c r="G675" s="5">
        <v>1</v>
      </c>
      <c r="H675" s="5" t="s">
        <v>47</v>
      </c>
      <c r="I675" s="5" t="s">
        <v>41</v>
      </c>
      <c r="J675" s="7">
        <v>2799</v>
      </c>
      <c r="K675" s="7">
        <f t="shared" si="112"/>
        <v>195.93</v>
      </c>
      <c r="L675" s="7">
        <f t="shared" si="113"/>
        <v>2603.0700000000002</v>
      </c>
      <c r="M675" s="7">
        <v>3339</v>
      </c>
      <c r="N675" s="5" t="s">
        <v>35</v>
      </c>
      <c r="O675" s="5">
        <v>11</v>
      </c>
      <c r="P675" s="7">
        <f t="shared" si="114"/>
        <v>3106.8900000000003</v>
      </c>
      <c r="Q675" s="7">
        <f t="shared" si="115"/>
        <v>3694.6800000000039</v>
      </c>
      <c r="R675" s="7" t="str">
        <f t="shared" si="116"/>
        <v>Normal</v>
      </c>
      <c r="S675" s="5">
        <v>3</v>
      </c>
      <c r="T675" s="5">
        <v>3</v>
      </c>
      <c r="U675" s="5" t="str" cm="1">
        <f t="array" ref="U675">_xlfn.IFS(T675=1,"Poor",T675=2,"Fair",T675=3,"Good",T675=4,"Excellent")</f>
        <v>Good</v>
      </c>
      <c r="V675" s="5" t="s">
        <v>35</v>
      </c>
      <c r="W675" s="5">
        <v>3</v>
      </c>
      <c r="X675" s="28">
        <f t="shared" ca="1" si="117"/>
        <v>45015</v>
      </c>
      <c r="Y675" s="28">
        <f t="shared" ca="1" si="118"/>
        <v>46476</v>
      </c>
      <c r="Z675" s="28" t="str">
        <f t="shared" ca="1" si="119"/>
        <v>Due Soon</v>
      </c>
      <c r="AA675" s="5" t="str" cm="1">
        <f t="array" ref="AA675">_xlfn.IFS(W675&gt;10,"Veteran",W675&gt;=6,"Experienced",W675&gt;=2,"Developing",W675&gt;=0,"New")</f>
        <v>Developing</v>
      </c>
      <c r="AB675" s="5" t="str" cm="1">
        <f t="array" ref="AB675">_xlfn.IFS(G675=1,"Junior",G675=2,"Mid-Level",G675=3,"Senior",G675=4,"Lead",G675=5,"Principal")&amp;" "&amp;TRIM(PROPER(H675))</f>
        <v>Junior Research Scientist</v>
      </c>
      <c r="AC675" s="19" t="str">
        <f t="shared" ca="1" si="120"/>
        <v>Re-Res-2023-674 is a Junior Research Scientist in the Research &amp; Development department, aged 33, single and has been with the Company for 3years</v>
      </c>
    </row>
    <row r="676" spans="1:29">
      <c r="A676" s="18" t="str">
        <f t="shared" ca="1" si="110"/>
        <v>He-Res-2020-675</v>
      </c>
      <c r="B676" s="5">
        <v>58</v>
      </c>
      <c r="C676" s="5" t="str">
        <f t="shared" si="111"/>
        <v>50+</v>
      </c>
      <c r="D676" s="5" t="s">
        <v>43</v>
      </c>
      <c r="E676" s="5" t="s">
        <v>45</v>
      </c>
      <c r="F676" s="5" t="s">
        <v>39</v>
      </c>
      <c r="G676" s="5">
        <v>3</v>
      </c>
      <c r="H676" s="5" t="s">
        <v>54</v>
      </c>
      <c r="I676" s="5" t="s">
        <v>52</v>
      </c>
      <c r="J676" s="7">
        <v>10552</v>
      </c>
      <c r="K676" s="7">
        <f t="shared" si="112"/>
        <v>2321.44</v>
      </c>
      <c r="L676" s="7">
        <f t="shared" si="113"/>
        <v>8230.56</v>
      </c>
      <c r="M676" s="7">
        <v>9255</v>
      </c>
      <c r="N676" s="5" t="s">
        <v>35</v>
      </c>
      <c r="O676" s="5">
        <v>13</v>
      </c>
      <c r="P676" s="7">
        <f t="shared" si="114"/>
        <v>11923.759999999998</v>
      </c>
      <c r="Q676" s="7">
        <f t="shared" si="115"/>
        <v>16461.119999999981</v>
      </c>
      <c r="R676" s="7" t="str">
        <f t="shared" si="116"/>
        <v>Normal</v>
      </c>
      <c r="S676" s="5">
        <v>3</v>
      </c>
      <c r="T676" s="5">
        <v>3</v>
      </c>
      <c r="U676" s="5" t="str" cm="1">
        <f t="array" ref="U676">_xlfn.IFS(T676=1,"Poor",T676=2,"Fair",T676=3,"Good",T676=4,"Excellent")</f>
        <v>Good</v>
      </c>
      <c r="V676" s="5" t="s">
        <v>35</v>
      </c>
      <c r="W676" s="5">
        <v>6</v>
      </c>
      <c r="X676" s="28">
        <f t="shared" ca="1" si="117"/>
        <v>43920</v>
      </c>
      <c r="Y676" s="28">
        <f t="shared" ca="1" si="118"/>
        <v>46842</v>
      </c>
      <c r="Z676" s="28" t="str">
        <f t="shared" ca="1" si="119"/>
        <v>Upcoming</v>
      </c>
      <c r="AA676" s="5" t="str" cm="1">
        <f t="array" ref="AA676">_xlfn.IFS(W676&gt;10,"Veteran",W676&gt;=6,"Experienced",W676&gt;=2,"Developing",W676&gt;=0,"New")</f>
        <v>Experienced</v>
      </c>
      <c r="AB676" s="5" t="str" cm="1">
        <f t="array" ref="AB676">_xlfn.IFS(G676=1,"Junior",G676=2,"Mid-Level",G676=3,"Senior",G676=4,"Lead",G676=5,"Principal")&amp;" "&amp;TRIM(PROPER(H676))</f>
        <v>Senior Healthcare Representative</v>
      </c>
      <c r="AC676" s="19" t="str">
        <f t="shared" ca="1" si="120"/>
        <v>He-Res-2020-675 is a Senior Healthcare Representative in the Research &amp; Development department, aged 58, divorced and has been with the Company for 6years</v>
      </c>
    </row>
    <row r="677" spans="1:29">
      <c r="A677" s="18" t="str">
        <f t="shared" ca="1" si="110"/>
        <v>Sa-Sal-2019-676</v>
      </c>
      <c r="B677" s="5">
        <v>31</v>
      </c>
      <c r="C677" s="5" t="str">
        <f t="shared" si="111"/>
        <v>30-39</v>
      </c>
      <c r="D677" s="5" t="s">
        <v>43</v>
      </c>
      <c r="E677" s="5" t="s">
        <v>37</v>
      </c>
      <c r="F677" s="5" t="s">
        <v>46</v>
      </c>
      <c r="G677" s="5">
        <v>1</v>
      </c>
      <c r="H677" s="5" t="s">
        <v>57</v>
      </c>
      <c r="I677" s="5" t="s">
        <v>48</v>
      </c>
      <c r="J677" s="7">
        <v>2329</v>
      </c>
      <c r="K677" s="7">
        <f t="shared" si="112"/>
        <v>163.03000000000003</v>
      </c>
      <c r="L677" s="7">
        <f t="shared" si="113"/>
        <v>2165.9699999999998</v>
      </c>
      <c r="M677" s="7">
        <v>11737</v>
      </c>
      <c r="N677" s="5" t="s">
        <v>43</v>
      </c>
      <c r="O677" s="5">
        <v>15</v>
      </c>
      <c r="P677" s="7">
        <f t="shared" si="114"/>
        <v>2678.35</v>
      </c>
      <c r="Q677" s="7">
        <f t="shared" si="115"/>
        <v>4192.1999999999989</v>
      </c>
      <c r="R677" s="7" t="str">
        <f t="shared" si="116"/>
        <v>Normal</v>
      </c>
      <c r="S677" s="5">
        <v>3</v>
      </c>
      <c r="T677" s="5">
        <v>4</v>
      </c>
      <c r="U677" s="5" t="str" cm="1">
        <f t="array" ref="U677">_xlfn.IFS(T677=1,"Poor",T677=2,"Fair",T677=3,"Good",T677=4,"Excellent")</f>
        <v>Excellent</v>
      </c>
      <c r="V677" s="5" t="s">
        <v>43</v>
      </c>
      <c r="W677" s="5">
        <v>7</v>
      </c>
      <c r="X677" s="28">
        <f t="shared" ca="1" si="117"/>
        <v>43554</v>
      </c>
      <c r="Y677" s="28">
        <f t="shared" ca="1" si="118"/>
        <v>46476</v>
      </c>
      <c r="Z677" s="28" t="str">
        <f t="shared" ca="1" si="119"/>
        <v>Due Soon</v>
      </c>
      <c r="AA677" s="5" t="str" cm="1">
        <f t="array" ref="AA677">_xlfn.IFS(W677&gt;10,"Veteran",W677&gt;=6,"Experienced",W677&gt;=2,"Developing",W677&gt;=0,"New")</f>
        <v>Experienced</v>
      </c>
      <c r="AB677" s="5" t="str" cm="1">
        <f t="array" ref="AB677">_xlfn.IFS(G677=1,"Junior",G677=2,"Mid-Level",G677=3,"Senior",G677=4,"Lead",G677=5,"Principal")&amp;" "&amp;TRIM(PROPER(H677))</f>
        <v>Junior Sales Representative</v>
      </c>
      <c r="AC677" s="19" t="str">
        <f t="shared" ca="1" si="120"/>
        <v>Sa-Sal-2019-676 is a Junior Sales Representative in the Sales department, aged 31, married and has been with the Company for 7years</v>
      </c>
    </row>
    <row r="678" spans="1:29">
      <c r="A678" s="18" t="str">
        <f t="shared" ca="1" si="110"/>
        <v>He-Res-2016-677</v>
      </c>
      <c r="B678" s="5">
        <v>35</v>
      </c>
      <c r="C678" s="5" t="str">
        <f t="shared" si="111"/>
        <v>30-39</v>
      </c>
      <c r="D678" s="5" t="s">
        <v>43</v>
      </c>
      <c r="E678" s="5" t="s">
        <v>45</v>
      </c>
      <c r="F678" s="5" t="s">
        <v>39</v>
      </c>
      <c r="G678" s="5">
        <v>2</v>
      </c>
      <c r="H678" s="5" t="s">
        <v>54</v>
      </c>
      <c r="I678" s="5" t="s">
        <v>48</v>
      </c>
      <c r="J678" s="7">
        <v>4014</v>
      </c>
      <c r="K678" s="7">
        <f t="shared" si="112"/>
        <v>602.1</v>
      </c>
      <c r="L678" s="7">
        <f t="shared" si="113"/>
        <v>3411.9</v>
      </c>
      <c r="M678" s="7">
        <v>19170</v>
      </c>
      <c r="N678" s="5" t="s">
        <v>35</v>
      </c>
      <c r="O678" s="5">
        <v>25</v>
      </c>
      <c r="P678" s="7">
        <f t="shared" si="114"/>
        <v>5017.5</v>
      </c>
      <c r="Q678" s="7">
        <f t="shared" si="115"/>
        <v>12042</v>
      </c>
      <c r="R678" s="7" t="str">
        <f t="shared" si="116"/>
        <v>Normal</v>
      </c>
      <c r="S678" s="5">
        <v>4</v>
      </c>
      <c r="T678" s="5">
        <v>1</v>
      </c>
      <c r="U678" s="5" t="str" cm="1">
        <f t="array" ref="U678">_xlfn.IFS(T678=1,"Poor",T678=2,"Fair",T678=3,"Good",T678=4,"Excellent")</f>
        <v>Poor</v>
      </c>
      <c r="V678" s="5" t="s">
        <v>35</v>
      </c>
      <c r="W678" s="5">
        <v>10</v>
      </c>
      <c r="X678" s="28">
        <f t="shared" ca="1" si="117"/>
        <v>42459</v>
      </c>
      <c r="Y678" s="28">
        <f t="shared" ca="1" si="118"/>
        <v>46842</v>
      </c>
      <c r="Z678" s="28" t="str">
        <f t="shared" ca="1" si="119"/>
        <v>Upcoming</v>
      </c>
      <c r="AA678" s="5" t="str" cm="1">
        <f t="array" ref="AA678">_xlfn.IFS(W678&gt;10,"Veteran",W678&gt;=6,"Experienced",W678&gt;=2,"Developing",W678&gt;=0,"New")</f>
        <v>Experienced</v>
      </c>
      <c r="AB678" s="5" t="str" cm="1">
        <f t="array" ref="AB678">_xlfn.IFS(G678=1,"Junior",G678=2,"Mid-Level",G678=3,"Senior",G678=4,"Lead",G678=5,"Principal")&amp;" "&amp;TRIM(PROPER(H678))</f>
        <v>Mid-Level Healthcare Representative</v>
      </c>
      <c r="AC678" s="19" t="str">
        <f t="shared" ca="1" si="120"/>
        <v>He-Res-2016-677 is a Mid-Level Healthcare Representative in the Research &amp; Development department, aged 35, married and has been with the Company for 10years</v>
      </c>
    </row>
    <row r="679" spans="1:29">
      <c r="A679" s="18" t="str">
        <f t="shared" ca="1" si="110"/>
        <v>La-Res-2000-678</v>
      </c>
      <c r="B679" s="5">
        <v>49</v>
      </c>
      <c r="C679" s="5" t="str">
        <f t="shared" si="111"/>
        <v>40-49</v>
      </c>
      <c r="D679" s="5" t="s">
        <v>43</v>
      </c>
      <c r="E679" s="5" t="s">
        <v>45</v>
      </c>
      <c r="F679" s="5" t="s">
        <v>39</v>
      </c>
      <c r="G679" s="5">
        <v>3</v>
      </c>
      <c r="H679" s="5" t="s">
        <v>50</v>
      </c>
      <c r="I679" s="5" t="s">
        <v>48</v>
      </c>
      <c r="J679" s="7">
        <v>7403</v>
      </c>
      <c r="K679" s="7">
        <f t="shared" si="112"/>
        <v>1628.66</v>
      </c>
      <c r="L679" s="7">
        <f t="shared" si="113"/>
        <v>5774.34</v>
      </c>
      <c r="M679" s="7">
        <v>22477</v>
      </c>
      <c r="N679" s="5" t="s">
        <v>43</v>
      </c>
      <c r="O679" s="5">
        <v>11</v>
      </c>
      <c r="P679" s="7">
        <f t="shared" si="114"/>
        <v>8217.33</v>
      </c>
      <c r="Q679" s="7">
        <f t="shared" si="115"/>
        <v>9771.9599999999991</v>
      </c>
      <c r="R679" s="7" t="str">
        <f t="shared" si="116"/>
        <v>Normal</v>
      </c>
      <c r="S679" s="5">
        <v>3</v>
      </c>
      <c r="T679" s="5">
        <v>2</v>
      </c>
      <c r="U679" s="5" t="str" cm="1">
        <f t="array" ref="U679">_xlfn.IFS(T679=1,"Poor",T679=2,"Fair",T679=3,"Good",T679=4,"Excellent")</f>
        <v>Fair</v>
      </c>
      <c r="V679" s="5" t="s">
        <v>43</v>
      </c>
      <c r="W679" s="5">
        <v>26</v>
      </c>
      <c r="X679" s="28">
        <f t="shared" ca="1" si="117"/>
        <v>36615</v>
      </c>
      <c r="Y679" s="28">
        <f t="shared" ca="1" si="118"/>
        <v>46842</v>
      </c>
      <c r="Z679" s="28" t="str">
        <f t="shared" ca="1" si="119"/>
        <v>Upcoming</v>
      </c>
      <c r="AA679" s="5" t="str" cm="1">
        <f t="array" ref="AA679">_xlfn.IFS(W679&gt;10,"Veteran",W679&gt;=6,"Experienced",W679&gt;=2,"Developing",W679&gt;=0,"New")</f>
        <v>Veteran</v>
      </c>
      <c r="AB679" s="5" t="str" cm="1">
        <f t="array" ref="AB679">_xlfn.IFS(G679=1,"Junior",G679=2,"Mid-Level",G679=3,"Senior",G679=4,"Lead",G679=5,"Principal")&amp;" "&amp;TRIM(PROPER(H679))</f>
        <v>Senior Laboratory Technician</v>
      </c>
      <c r="AC679" s="19" t="str">
        <f t="shared" ca="1" si="120"/>
        <v>La-Res-2000-678 is a Senior Laboratory Technician in the Research &amp; Development department, aged 49, married and has been with the Company for 26years</v>
      </c>
    </row>
    <row r="680" spans="1:29">
      <c r="A680" s="18" t="str">
        <f t="shared" ca="1" si="110"/>
        <v>Re-Res-2026-679</v>
      </c>
      <c r="B680" s="5">
        <v>48</v>
      </c>
      <c r="C680" s="5" t="str">
        <f t="shared" si="111"/>
        <v>40-49</v>
      </c>
      <c r="D680" s="5" t="s">
        <v>43</v>
      </c>
      <c r="E680" s="5" t="s">
        <v>45</v>
      </c>
      <c r="F680" s="5" t="s">
        <v>46</v>
      </c>
      <c r="G680" s="5">
        <v>1</v>
      </c>
      <c r="H680" s="5" t="s">
        <v>47</v>
      </c>
      <c r="I680" s="5" t="s">
        <v>48</v>
      </c>
      <c r="J680" s="7">
        <v>2259</v>
      </c>
      <c r="K680" s="7">
        <f t="shared" si="112"/>
        <v>158.13000000000002</v>
      </c>
      <c r="L680" s="7">
        <f t="shared" si="113"/>
        <v>2100.87</v>
      </c>
      <c r="M680" s="7">
        <v>5543</v>
      </c>
      <c r="N680" s="5" t="s">
        <v>43</v>
      </c>
      <c r="O680" s="5">
        <v>17</v>
      </c>
      <c r="P680" s="7">
        <f t="shared" si="114"/>
        <v>2643.0299999999997</v>
      </c>
      <c r="Q680" s="7">
        <f t="shared" si="115"/>
        <v>4608.3599999999969</v>
      </c>
      <c r="R680" s="7" t="str">
        <f t="shared" si="116"/>
        <v>Normal</v>
      </c>
      <c r="S680" s="5">
        <v>3</v>
      </c>
      <c r="T680" s="5">
        <v>2</v>
      </c>
      <c r="U680" s="5" t="str" cm="1">
        <f t="array" ref="U680">_xlfn.IFS(T680=1,"Poor",T680=2,"Fair",T680=3,"Good",T680=4,"Excellent")</f>
        <v>Fair</v>
      </c>
      <c r="V680" s="5" t="s">
        <v>43</v>
      </c>
      <c r="W680" s="5">
        <v>0</v>
      </c>
      <c r="X680" s="28">
        <f t="shared" ca="1" si="117"/>
        <v>46111</v>
      </c>
      <c r="Y680" s="28">
        <f t="shared" ca="1" si="118"/>
        <v>46842</v>
      </c>
      <c r="Z680" s="28" t="str">
        <f t="shared" ca="1" si="119"/>
        <v>Upcoming</v>
      </c>
      <c r="AA680" s="5" t="str" cm="1">
        <f t="array" ref="AA680">_xlfn.IFS(W680&gt;10,"Veteran",W680&gt;=6,"Experienced",W680&gt;=2,"Developing",W680&gt;=0,"New")</f>
        <v>New</v>
      </c>
      <c r="AB680" s="5" t="str" cm="1">
        <f t="array" ref="AB680">_xlfn.IFS(G680=1,"Junior",G680=2,"Mid-Level",G680=3,"Senior",G680=4,"Lead",G680=5,"Principal")&amp;" "&amp;TRIM(PROPER(H680))</f>
        <v>Junior Research Scientist</v>
      </c>
      <c r="AC680" s="19" t="str">
        <f t="shared" ca="1" si="120"/>
        <v>Re-Res-2026-679 is a Junior Research Scientist in the Research &amp; Development department, aged 48, married and has been with the Company for 0years</v>
      </c>
    </row>
    <row r="681" spans="1:29">
      <c r="A681" s="18" t="str">
        <f t="shared" ca="1" si="110"/>
        <v>Sa-Sal-2017-680</v>
      </c>
      <c r="B681" s="5">
        <v>31</v>
      </c>
      <c r="C681" s="5" t="str">
        <f t="shared" si="111"/>
        <v>30-39</v>
      </c>
      <c r="D681" s="5" t="s">
        <v>43</v>
      </c>
      <c r="E681" s="5" t="s">
        <v>37</v>
      </c>
      <c r="F681" s="5" t="s">
        <v>39</v>
      </c>
      <c r="G681" s="5">
        <v>2</v>
      </c>
      <c r="H681" s="5" t="s">
        <v>40</v>
      </c>
      <c r="I681" s="5" t="s">
        <v>48</v>
      </c>
      <c r="J681" s="7">
        <v>6932</v>
      </c>
      <c r="K681" s="7">
        <f t="shared" si="112"/>
        <v>1039.8</v>
      </c>
      <c r="L681" s="7">
        <f t="shared" si="113"/>
        <v>5892.2</v>
      </c>
      <c r="M681" s="7">
        <v>24406</v>
      </c>
      <c r="N681" s="5" t="s">
        <v>43</v>
      </c>
      <c r="O681" s="5">
        <v>13</v>
      </c>
      <c r="P681" s="7">
        <f t="shared" si="114"/>
        <v>7833.1599999999989</v>
      </c>
      <c r="Q681" s="7">
        <f t="shared" si="115"/>
        <v>10813.919999999987</v>
      </c>
      <c r="R681" s="7" t="str">
        <f t="shared" si="116"/>
        <v>Normal</v>
      </c>
      <c r="S681" s="5">
        <v>3</v>
      </c>
      <c r="T681" s="5">
        <v>2</v>
      </c>
      <c r="U681" s="5" t="str" cm="1">
        <f t="array" ref="U681">_xlfn.IFS(T681=1,"Poor",T681=2,"Fair",T681=3,"Good",T681=4,"Excellent")</f>
        <v>Fair</v>
      </c>
      <c r="V681" s="5" t="s">
        <v>43</v>
      </c>
      <c r="W681" s="5">
        <v>9</v>
      </c>
      <c r="X681" s="28">
        <f t="shared" ca="1" si="117"/>
        <v>42824</v>
      </c>
      <c r="Y681" s="28">
        <f t="shared" ca="1" si="118"/>
        <v>46476</v>
      </c>
      <c r="Z681" s="28" t="str">
        <f t="shared" ca="1" si="119"/>
        <v>Due Soon</v>
      </c>
      <c r="AA681" s="5" t="str" cm="1">
        <f t="array" ref="AA681">_xlfn.IFS(W681&gt;10,"Veteran",W681&gt;=6,"Experienced",W681&gt;=2,"Developing",W681&gt;=0,"New")</f>
        <v>Experienced</v>
      </c>
      <c r="AB681" s="5" t="str" cm="1">
        <f t="array" ref="AB681">_xlfn.IFS(G681=1,"Junior",G681=2,"Mid-Level",G681=3,"Senior",G681=4,"Lead",G681=5,"Principal")&amp;" "&amp;TRIM(PROPER(H681))</f>
        <v>Mid-Level Sales Executive</v>
      </c>
      <c r="AC681" s="19" t="str">
        <f t="shared" ca="1" si="120"/>
        <v>Sa-Sal-2017-680 is a Mid-Level Sales Executive in the Sales department, aged 31, married and has been with the Company for 9years</v>
      </c>
    </row>
    <row r="682" spans="1:29">
      <c r="A682" s="18" t="str">
        <f t="shared" ca="1" si="110"/>
        <v>Re-Res-2020-681</v>
      </c>
      <c r="B682" s="5">
        <v>36</v>
      </c>
      <c r="C682" s="5" t="str">
        <f t="shared" si="111"/>
        <v>30-39</v>
      </c>
      <c r="D682" s="5" t="s">
        <v>43</v>
      </c>
      <c r="E682" s="5" t="s">
        <v>45</v>
      </c>
      <c r="F682" s="5" t="s">
        <v>46</v>
      </c>
      <c r="G682" s="5">
        <v>1</v>
      </c>
      <c r="H682" s="5" t="s">
        <v>47</v>
      </c>
      <c r="I682" s="5" t="s">
        <v>41</v>
      </c>
      <c r="J682" s="7">
        <v>4678</v>
      </c>
      <c r="K682" s="7">
        <f t="shared" si="112"/>
        <v>701.69999999999993</v>
      </c>
      <c r="L682" s="7">
        <f t="shared" si="113"/>
        <v>3976.3</v>
      </c>
      <c r="M682" s="7">
        <v>23293</v>
      </c>
      <c r="N682" s="5" t="s">
        <v>43</v>
      </c>
      <c r="O682" s="5">
        <v>18</v>
      </c>
      <c r="P682" s="7">
        <f t="shared" si="114"/>
        <v>5520.04</v>
      </c>
      <c r="Q682" s="7">
        <f t="shared" si="115"/>
        <v>10104.48</v>
      </c>
      <c r="R682" s="7" t="str">
        <f t="shared" si="116"/>
        <v>Normal</v>
      </c>
      <c r="S682" s="5">
        <v>3</v>
      </c>
      <c r="T682" s="5">
        <v>3</v>
      </c>
      <c r="U682" s="5" t="str" cm="1">
        <f t="array" ref="U682">_xlfn.IFS(T682=1,"Poor",T682=2,"Fair",T682=3,"Good",T682=4,"Excellent")</f>
        <v>Good</v>
      </c>
      <c r="V682" s="5" t="s">
        <v>43</v>
      </c>
      <c r="W682" s="5">
        <v>6</v>
      </c>
      <c r="X682" s="28">
        <f t="shared" ca="1" si="117"/>
        <v>43920</v>
      </c>
      <c r="Y682" s="28">
        <f t="shared" ca="1" si="118"/>
        <v>46842</v>
      </c>
      <c r="Z682" s="28" t="str">
        <f t="shared" ca="1" si="119"/>
        <v>Upcoming</v>
      </c>
      <c r="AA682" s="5" t="str" cm="1">
        <f t="array" ref="AA682">_xlfn.IFS(W682&gt;10,"Veteran",W682&gt;=6,"Experienced",W682&gt;=2,"Developing",W682&gt;=0,"New")</f>
        <v>Experienced</v>
      </c>
      <c r="AB682" s="5" t="str" cm="1">
        <f t="array" ref="AB682">_xlfn.IFS(G682=1,"Junior",G682=2,"Mid-Level",G682=3,"Senior",G682=4,"Lead",G682=5,"Principal")&amp;" "&amp;TRIM(PROPER(H682))</f>
        <v>Junior Research Scientist</v>
      </c>
      <c r="AC682" s="19" t="str">
        <f t="shared" ca="1" si="120"/>
        <v>Re-Res-2020-681 is a Junior Research Scientist in the Research &amp; Development department, aged 36, single and has been with the Company for 6years</v>
      </c>
    </row>
    <row r="683" spans="1:29">
      <c r="A683" s="18" t="str">
        <f t="shared" ca="1" si="110"/>
        <v>Re-Res-2011-682</v>
      </c>
      <c r="B683" s="5">
        <v>38</v>
      </c>
      <c r="C683" s="5" t="str">
        <f t="shared" si="111"/>
        <v>30-39</v>
      </c>
      <c r="D683" s="5" t="s">
        <v>43</v>
      </c>
      <c r="E683" s="5" t="s">
        <v>45</v>
      </c>
      <c r="F683" s="5" t="s">
        <v>39</v>
      </c>
      <c r="G683" s="5">
        <v>3</v>
      </c>
      <c r="H683" s="5" t="s">
        <v>58</v>
      </c>
      <c r="I683" s="5" t="s">
        <v>48</v>
      </c>
      <c r="J683" s="7">
        <v>13582</v>
      </c>
      <c r="K683" s="7">
        <f t="shared" si="112"/>
        <v>4074.6</v>
      </c>
      <c r="L683" s="7">
        <f t="shared" si="113"/>
        <v>9507.4</v>
      </c>
      <c r="M683" s="7">
        <v>16292</v>
      </c>
      <c r="N683" s="5" t="s">
        <v>43</v>
      </c>
      <c r="O683" s="5">
        <v>13</v>
      </c>
      <c r="P683" s="7">
        <f t="shared" si="114"/>
        <v>15347.659999999998</v>
      </c>
      <c r="Q683" s="7">
        <f t="shared" si="115"/>
        <v>21187.919999999976</v>
      </c>
      <c r="R683" s="7" t="str">
        <f t="shared" si="116"/>
        <v>Normal</v>
      </c>
      <c r="S683" s="5">
        <v>3</v>
      </c>
      <c r="T683" s="5">
        <v>3</v>
      </c>
      <c r="U683" s="5" t="str" cm="1">
        <f t="array" ref="U683">_xlfn.IFS(T683=1,"Poor",T683=2,"Fair",T683=3,"Good",T683=4,"Excellent")</f>
        <v>Good</v>
      </c>
      <c r="V683" s="5" t="s">
        <v>43</v>
      </c>
      <c r="W683" s="5">
        <v>15</v>
      </c>
      <c r="X683" s="28">
        <f t="shared" ca="1" si="117"/>
        <v>40632</v>
      </c>
      <c r="Y683" s="28">
        <f t="shared" ca="1" si="118"/>
        <v>46476</v>
      </c>
      <c r="Z683" s="28" t="str">
        <f t="shared" ca="1" si="119"/>
        <v>Due Soon</v>
      </c>
      <c r="AA683" s="5" t="str" cm="1">
        <f t="array" ref="AA683">_xlfn.IFS(W683&gt;10,"Veteran",W683&gt;=6,"Experienced",W683&gt;=2,"Developing",W683&gt;=0,"New")</f>
        <v>Veteran</v>
      </c>
      <c r="AB683" s="5" t="str" cm="1">
        <f t="array" ref="AB683">_xlfn.IFS(G683=1,"Junior",G683=2,"Mid-Level",G683=3,"Senior",G683=4,"Lead",G683=5,"Principal")&amp;" "&amp;TRIM(PROPER(H683))</f>
        <v>Senior Research Director</v>
      </c>
      <c r="AC683" s="19" t="str">
        <f t="shared" ca="1" si="120"/>
        <v>Re-Res-2011-682 is a Senior Research Director in the Research &amp; Development department, aged 38, married and has been with the Company for 15years</v>
      </c>
    </row>
    <row r="684" spans="1:29">
      <c r="A684" s="18" t="str">
        <f t="shared" ca="1" si="110"/>
        <v>La-Res-2023-683</v>
      </c>
      <c r="B684" s="5">
        <v>32</v>
      </c>
      <c r="C684" s="5" t="str">
        <f t="shared" si="111"/>
        <v>30-39</v>
      </c>
      <c r="D684" s="5" t="s">
        <v>43</v>
      </c>
      <c r="E684" s="5" t="s">
        <v>45</v>
      </c>
      <c r="F684" s="5" t="s">
        <v>39</v>
      </c>
      <c r="G684" s="5">
        <v>1</v>
      </c>
      <c r="H684" s="5" t="s">
        <v>50</v>
      </c>
      <c r="I684" s="5" t="s">
        <v>48</v>
      </c>
      <c r="J684" s="7">
        <v>2332</v>
      </c>
      <c r="K684" s="7">
        <f t="shared" si="112"/>
        <v>163.24</v>
      </c>
      <c r="L684" s="7">
        <f t="shared" si="113"/>
        <v>2168.7600000000002</v>
      </c>
      <c r="M684" s="7">
        <v>3974</v>
      </c>
      <c r="N684" s="5" t="s">
        <v>43</v>
      </c>
      <c r="O684" s="5">
        <v>20</v>
      </c>
      <c r="P684" s="7">
        <f t="shared" si="114"/>
        <v>2798.4</v>
      </c>
      <c r="Q684" s="7">
        <f t="shared" si="115"/>
        <v>5596.8000000000011</v>
      </c>
      <c r="R684" s="7" t="str">
        <f t="shared" si="116"/>
        <v>Normal</v>
      </c>
      <c r="S684" s="5">
        <v>4</v>
      </c>
      <c r="T684" s="5">
        <v>3</v>
      </c>
      <c r="U684" s="5" t="str" cm="1">
        <f t="array" ref="U684">_xlfn.IFS(T684=1,"Poor",T684=2,"Fair",T684=3,"Good",T684=4,"Excellent")</f>
        <v>Good</v>
      </c>
      <c r="V684" s="5" t="s">
        <v>43</v>
      </c>
      <c r="W684" s="5">
        <v>3</v>
      </c>
      <c r="X684" s="28">
        <f t="shared" ca="1" si="117"/>
        <v>45015</v>
      </c>
      <c r="Y684" s="28">
        <f t="shared" ca="1" si="118"/>
        <v>46476</v>
      </c>
      <c r="Z684" s="28" t="str">
        <f t="shared" ca="1" si="119"/>
        <v>Due Soon</v>
      </c>
      <c r="AA684" s="5" t="str" cm="1">
        <f t="array" ref="AA684">_xlfn.IFS(W684&gt;10,"Veteran",W684&gt;=6,"Experienced",W684&gt;=2,"Developing",W684&gt;=0,"New")</f>
        <v>Developing</v>
      </c>
      <c r="AB684" s="5" t="str" cm="1">
        <f t="array" ref="AB684">_xlfn.IFS(G684=1,"Junior",G684=2,"Mid-Level",G684=3,"Senior",G684=4,"Lead",G684=5,"Principal")&amp;" "&amp;TRIM(PROPER(H684))</f>
        <v>Junior Laboratory Technician</v>
      </c>
      <c r="AC684" s="19" t="str">
        <f t="shared" ca="1" si="120"/>
        <v>La-Res-2023-683 is a Junior Laboratory Technician in the Research &amp; Development department, aged 32, married and has been with the Company for 3years</v>
      </c>
    </row>
    <row r="685" spans="1:29">
      <c r="A685" s="18" t="str">
        <f t="shared" ca="1" si="110"/>
        <v>Sa-Sal-2025-684</v>
      </c>
      <c r="B685" s="5">
        <v>25</v>
      </c>
      <c r="C685" s="5" t="str">
        <f t="shared" si="111"/>
        <v>20-29</v>
      </c>
      <c r="D685" s="5" t="s">
        <v>35</v>
      </c>
      <c r="E685" s="5" t="s">
        <v>37</v>
      </c>
      <c r="F685" s="5" t="s">
        <v>46</v>
      </c>
      <c r="G685" s="5">
        <v>1</v>
      </c>
      <c r="H685" s="5" t="s">
        <v>57</v>
      </c>
      <c r="I685" s="5" t="s">
        <v>48</v>
      </c>
      <c r="J685" s="7">
        <v>2413</v>
      </c>
      <c r="K685" s="7">
        <f t="shared" si="112"/>
        <v>168.91000000000003</v>
      </c>
      <c r="L685" s="7">
        <f t="shared" si="113"/>
        <v>2244.09</v>
      </c>
      <c r="M685" s="7">
        <v>18798</v>
      </c>
      <c r="N685" s="5" t="s">
        <v>35</v>
      </c>
      <c r="O685" s="5">
        <v>18</v>
      </c>
      <c r="P685" s="7">
        <f t="shared" si="114"/>
        <v>2847.3399999999997</v>
      </c>
      <c r="Q685" s="7">
        <f t="shared" si="115"/>
        <v>5212.0799999999963</v>
      </c>
      <c r="R685" s="7" t="str">
        <f t="shared" si="116"/>
        <v>Normal</v>
      </c>
      <c r="S685" s="5">
        <v>3</v>
      </c>
      <c r="T685" s="5">
        <v>3</v>
      </c>
      <c r="U685" s="5" t="str" cm="1">
        <f t="array" ref="U685">_xlfn.IFS(T685=1,"Poor",T685=2,"Fair",T685=3,"Good",T685=4,"Excellent")</f>
        <v>Good</v>
      </c>
      <c r="V685" s="5" t="s">
        <v>35</v>
      </c>
      <c r="W685" s="5">
        <v>1</v>
      </c>
      <c r="X685" s="28">
        <f t="shared" ca="1" si="117"/>
        <v>45746</v>
      </c>
      <c r="Y685" s="28">
        <f t="shared" ca="1" si="118"/>
        <v>46476</v>
      </c>
      <c r="Z685" s="28" t="str">
        <f t="shared" ca="1" si="119"/>
        <v>Due Soon</v>
      </c>
      <c r="AA685" s="5" t="str" cm="1">
        <f t="array" ref="AA685">_xlfn.IFS(W685&gt;10,"Veteran",W685&gt;=6,"Experienced",W685&gt;=2,"Developing",W685&gt;=0,"New")</f>
        <v>New</v>
      </c>
      <c r="AB685" s="5" t="str" cm="1">
        <f t="array" ref="AB685">_xlfn.IFS(G685=1,"Junior",G685=2,"Mid-Level",G685=3,"Senior",G685=4,"Lead",G685=5,"Principal")&amp;" "&amp;TRIM(PROPER(H685))</f>
        <v>Junior Sales Representative</v>
      </c>
      <c r="AC685" s="19" t="str">
        <f t="shared" ca="1" si="120"/>
        <v>Sa-Sal-2025-684 is a Junior Sales Representative in the Sales department, aged 25, married and has been with the Company for 1years</v>
      </c>
    </row>
    <row r="686" spans="1:29">
      <c r="A686" s="18" t="str">
        <f t="shared" ca="1" si="110"/>
        <v>Sa-Sal-2025-685</v>
      </c>
      <c r="B686" s="5">
        <v>40</v>
      </c>
      <c r="C686" s="5" t="str">
        <f t="shared" si="111"/>
        <v>40-49</v>
      </c>
      <c r="D686" s="5" t="s">
        <v>43</v>
      </c>
      <c r="E686" s="5" t="s">
        <v>37</v>
      </c>
      <c r="F686" s="5" t="s">
        <v>46</v>
      </c>
      <c r="G686" s="5">
        <v>3</v>
      </c>
      <c r="H686" s="5" t="s">
        <v>40</v>
      </c>
      <c r="I686" s="5" t="s">
        <v>52</v>
      </c>
      <c r="J686" s="7">
        <v>9705</v>
      </c>
      <c r="K686" s="7">
        <f t="shared" si="112"/>
        <v>2135.1</v>
      </c>
      <c r="L686" s="7">
        <f t="shared" si="113"/>
        <v>7569.9</v>
      </c>
      <c r="M686" s="7">
        <v>20652</v>
      </c>
      <c r="N686" s="5" t="s">
        <v>43</v>
      </c>
      <c r="O686" s="5">
        <v>12</v>
      </c>
      <c r="P686" s="7">
        <f t="shared" si="114"/>
        <v>10869.6</v>
      </c>
      <c r="Q686" s="7">
        <f t="shared" si="115"/>
        <v>13975.200000000004</v>
      </c>
      <c r="R686" s="7" t="str">
        <f t="shared" si="116"/>
        <v>Normal</v>
      </c>
      <c r="S686" s="5">
        <v>3</v>
      </c>
      <c r="T686" s="5">
        <v>2</v>
      </c>
      <c r="U686" s="5" t="str" cm="1">
        <f t="array" ref="U686">_xlfn.IFS(T686=1,"Poor",T686=2,"Fair",T686=3,"Good",T686=4,"Excellent")</f>
        <v>Fair</v>
      </c>
      <c r="V686" s="5" t="s">
        <v>43</v>
      </c>
      <c r="W686" s="5">
        <v>1</v>
      </c>
      <c r="X686" s="28">
        <f t="shared" ca="1" si="117"/>
        <v>45746</v>
      </c>
      <c r="Y686" s="28">
        <f t="shared" ca="1" si="118"/>
        <v>46476</v>
      </c>
      <c r="Z686" s="28" t="str">
        <f t="shared" ca="1" si="119"/>
        <v>Due Soon</v>
      </c>
      <c r="AA686" s="5" t="str" cm="1">
        <f t="array" ref="AA686">_xlfn.IFS(W686&gt;10,"Veteran",W686&gt;=6,"Experienced",W686&gt;=2,"Developing",W686&gt;=0,"New")</f>
        <v>New</v>
      </c>
      <c r="AB686" s="5" t="str" cm="1">
        <f t="array" ref="AB686">_xlfn.IFS(G686=1,"Junior",G686=2,"Mid-Level",G686=3,"Senior",G686=4,"Lead",G686=5,"Principal")&amp;" "&amp;TRIM(PROPER(H686))</f>
        <v>Senior Sales Executive</v>
      </c>
      <c r="AC686" s="19" t="str">
        <f t="shared" ca="1" si="120"/>
        <v>Sa-Sal-2025-685 is a Senior Sales Executive in the Sales department, aged 40, divorced and has been with the Company for 1years</v>
      </c>
    </row>
    <row r="687" spans="1:29">
      <c r="A687" s="18" t="str">
        <f t="shared" ca="1" si="110"/>
        <v>Sa-Sal-2019-686</v>
      </c>
      <c r="B687" s="5">
        <v>26</v>
      </c>
      <c r="C687" s="5" t="str">
        <f t="shared" si="111"/>
        <v>20-29</v>
      </c>
      <c r="D687" s="5" t="s">
        <v>43</v>
      </c>
      <c r="E687" s="5" t="s">
        <v>37</v>
      </c>
      <c r="F687" s="5" t="s">
        <v>46</v>
      </c>
      <c r="G687" s="5">
        <v>2</v>
      </c>
      <c r="H687" s="5" t="s">
        <v>40</v>
      </c>
      <c r="I687" s="5" t="s">
        <v>41</v>
      </c>
      <c r="J687" s="7">
        <v>4294</v>
      </c>
      <c r="K687" s="7">
        <f t="shared" si="112"/>
        <v>644.1</v>
      </c>
      <c r="L687" s="7">
        <f t="shared" si="113"/>
        <v>3649.9</v>
      </c>
      <c r="M687" s="7">
        <v>11148</v>
      </c>
      <c r="N687" s="5" t="s">
        <v>43</v>
      </c>
      <c r="O687" s="5">
        <v>12</v>
      </c>
      <c r="P687" s="7">
        <f t="shared" si="114"/>
        <v>4809.2800000000007</v>
      </c>
      <c r="Q687" s="7">
        <f t="shared" si="115"/>
        <v>6183.3600000000079</v>
      </c>
      <c r="R687" s="7" t="str">
        <f t="shared" si="116"/>
        <v>Normal</v>
      </c>
      <c r="S687" s="5">
        <v>3</v>
      </c>
      <c r="T687" s="5">
        <v>3</v>
      </c>
      <c r="U687" s="5" t="str" cm="1">
        <f t="array" ref="U687">_xlfn.IFS(T687=1,"Poor",T687=2,"Fair",T687=3,"Good",T687=4,"Excellent")</f>
        <v>Good</v>
      </c>
      <c r="V687" s="5" t="s">
        <v>43</v>
      </c>
      <c r="W687" s="5">
        <v>7</v>
      </c>
      <c r="X687" s="28">
        <f t="shared" ca="1" si="117"/>
        <v>43554</v>
      </c>
      <c r="Y687" s="28">
        <f t="shared" ca="1" si="118"/>
        <v>46476</v>
      </c>
      <c r="Z687" s="28" t="str">
        <f t="shared" ca="1" si="119"/>
        <v>Due Soon</v>
      </c>
      <c r="AA687" s="5" t="str" cm="1">
        <f t="array" ref="AA687">_xlfn.IFS(W687&gt;10,"Veteran",W687&gt;=6,"Experienced",W687&gt;=2,"Developing",W687&gt;=0,"New")</f>
        <v>Experienced</v>
      </c>
      <c r="AB687" s="5" t="str" cm="1">
        <f t="array" ref="AB687">_xlfn.IFS(G687=1,"Junior",G687=2,"Mid-Level",G687=3,"Senior",G687=4,"Lead",G687=5,"Principal")&amp;" "&amp;TRIM(PROPER(H687))</f>
        <v>Mid-Level Sales Executive</v>
      </c>
      <c r="AC687" s="19" t="str">
        <f t="shared" ca="1" si="120"/>
        <v>Sa-Sal-2019-686 is a Mid-Level Sales Executive in the Sales department, aged 26, single and has been with the Company for 7years</v>
      </c>
    </row>
    <row r="688" spans="1:29">
      <c r="A688" s="18" t="str">
        <f t="shared" ca="1" si="110"/>
        <v>La-Res-2008-687</v>
      </c>
      <c r="B688" s="5">
        <v>41</v>
      </c>
      <c r="C688" s="5" t="str">
        <f t="shared" si="111"/>
        <v>40-49</v>
      </c>
      <c r="D688" s="5" t="s">
        <v>43</v>
      </c>
      <c r="E688" s="5" t="s">
        <v>45</v>
      </c>
      <c r="F688" s="5" t="s">
        <v>46</v>
      </c>
      <c r="G688" s="5">
        <v>1</v>
      </c>
      <c r="H688" s="5" t="s">
        <v>50</v>
      </c>
      <c r="I688" s="5" t="s">
        <v>41</v>
      </c>
      <c r="J688" s="7">
        <v>4721</v>
      </c>
      <c r="K688" s="7">
        <f t="shared" si="112"/>
        <v>708.15</v>
      </c>
      <c r="L688" s="7">
        <f t="shared" si="113"/>
        <v>4012.85</v>
      </c>
      <c r="M688" s="7">
        <v>3119</v>
      </c>
      <c r="N688" s="5" t="s">
        <v>35</v>
      </c>
      <c r="O688" s="5">
        <v>13</v>
      </c>
      <c r="P688" s="7">
        <f t="shared" si="114"/>
        <v>5334.73</v>
      </c>
      <c r="Q688" s="7">
        <f t="shared" si="115"/>
        <v>7364.7599999999948</v>
      </c>
      <c r="R688" s="7" t="str">
        <f t="shared" si="116"/>
        <v>Normal</v>
      </c>
      <c r="S688" s="5">
        <v>3</v>
      </c>
      <c r="T688" s="5">
        <v>3</v>
      </c>
      <c r="U688" s="5" t="str" cm="1">
        <f t="array" ref="U688">_xlfn.IFS(T688=1,"Poor",T688=2,"Fair",T688=3,"Good",T688=4,"Excellent")</f>
        <v>Good</v>
      </c>
      <c r="V688" s="5" t="s">
        <v>35</v>
      </c>
      <c r="W688" s="5">
        <v>18</v>
      </c>
      <c r="X688" s="28">
        <f t="shared" ca="1" si="117"/>
        <v>39537</v>
      </c>
      <c r="Y688" s="28">
        <f t="shared" ca="1" si="118"/>
        <v>46842</v>
      </c>
      <c r="Z688" s="28" t="str">
        <f t="shared" ca="1" si="119"/>
        <v>Upcoming</v>
      </c>
      <c r="AA688" s="5" t="str" cm="1">
        <f t="array" ref="AA688">_xlfn.IFS(W688&gt;10,"Veteran",W688&gt;=6,"Experienced",W688&gt;=2,"Developing",W688&gt;=0,"New")</f>
        <v>Veteran</v>
      </c>
      <c r="AB688" s="5" t="str" cm="1">
        <f t="array" ref="AB688">_xlfn.IFS(G688=1,"Junior",G688=2,"Mid-Level",G688=3,"Senior",G688=4,"Lead",G688=5,"Principal")&amp;" "&amp;TRIM(PROPER(H688))</f>
        <v>Junior Laboratory Technician</v>
      </c>
      <c r="AC688" s="19" t="str">
        <f t="shared" ca="1" si="120"/>
        <v>La-Res-2008-687 is a Junior Laboratory Technician in the Research &amp; Development department, aged 41, single and has been with the Company for 18years</v>
      </c>
    </row>
    <row r="689" spans="1:29">
      <c r="A689" s="18" t="str">
        <f t="shared" ca="1" si="110"/>
        <v>La-Res-2015-688</v>
      </c>
      <c r="B689" s="5">
        <v>36</v>
      </c>
      <c r="C689" s="5" t="str">
        <f t="shared" si="111"/>
        <v>30-39</v>
      </c>
      <c r="D689" s="5" t="s">
        <v>43</v>
      </c>
      <c r="E689" s="5" t="s">
        <v>45</v>
      </c>
      <c r="F689" s="5" t="s">
        <v>46</v>
      </c>
      <c r="G689" s="5">
        <v>1</v>
      </c>
      <c r="H689" s="5" t="s">
        <v>50</v>
      </c>
      <c r="I689" s="5" t="s">
        <v>41</v>
      </c>
      <c r="J689" s="7">
        <v>2519</v>
      </c>
      <c r="K689" s="7">
        <f t="shared" si="112"/>
        <v>176.33</v>
      </c>
      <c r="L689" s="7">
        <f t="shared" si="113"/>
        <v>2342.67</v>
      </c>
      <c r="M689" s="7">
        <v>12287</v>
      </c>
      <c r="N689" s="5" t="s">
        <v>43</v>
      </c>
      <c r="O689" s="5">
        <v>21</v>
      </c>
      <c r="P689" s="7">
        <f t="shared" si="114"/>
        <v>3047.99</v>
      </c>
      <c r="Q689" s="7">
        <f t="shared" si="115"/>
        <v>6347.8799999999974</v>
      </c>
      <c r="R689" s="7" t="str">
        <f t="shared" si="116"/>
        <v>Normal</v>
      </c>
      <c r="S689" s="5">
        <v>4</v>
      </c>
      <c r="T689" s="5">
        <v>3</v>
      </c>
      <c r="U689" s="5" t="str" cm="1">
        <f t="array" ref="U689">_xlfn.IFS(T689=1,"Poor",T689=2,"Fair",T689=3,"Good",T689=4,"Excellent")</f>
        <v>Good</v>
      </c>
      <c r="V689" s="5" t="s">
        <v>43</v>
      </c>
      <c r="W689" s="5">
        <v>11</v>
      </c>
      <c r="X689" s="28">
        <f t="shared" ca="1" si="117"/>
        <v>42093</v>
      </c>
      <c r="Y689" s="28">
        <f t="shared" ca="1" si="118"/>
        <v>46476</v>
      </c>
      <c r="Z689" s="28" t="str">
        <f t="shared" ca="1" si="119"/>
        <v>Due Soon</v>
      </c>
      <c r="AA689" s="5" t="str" cm="1">
        <f t="array" ref="AA689">_xlfn.IFS(W689&gt;10,"Veteran",W689&gt;=6,"Experienced",W689&gt;=2,"Developing",W689&gt;=0,"New")</f>
        <v>Veteran</v>
      </c>
      <c r="AB689" s="5" t="str" cm="1">
        <f t="array" ref="AB689">_xlfn.IFS(G689=1,"Junior",G689=2,"Mid-Level",G689=3,"Senior",G689=4,"Lead",G689=5,"Principal")&amp;" "&amp;TRIM(PROPER(H689))</f>
        <v>Junior Laboratory Technician</v>
      </c>
      <c r="AC689" s="19" t="str">
        <f t="shared" ca="1" si="120"/>
        <v>La-Res-2015-688 is a Junior Laboratory Technician in the Research &amp; Development department, aged 36, single and has been with the Company for 11years</v>
      </c>
    </row>
    <row r="690" spans="1:29">
      <c r="A690" s="18" t="str">
        <f t="shared" ca="1" si="110"/>
        <v>Sa-Sal-2025-689</v>
      </c>
      <c r="B690" s="5">
        <v>19</v>
      </c>
      <c r="C690" s="5" t="str">
        <f t="shared" si="111"/>
        <v>20-29</v>
      </c>
      <c r="D690" s="5" t="s">
        <v>35</v>
      </c>
      <c r="E690" s="5" t="s">
        <v>37</v>
      </c>
      <c r="F690" s="5" t="s">
        <v>46</v>
      </c>
      <c r="G690" s="5">
        <v>1</v>
      </c>
      <c r="H690" s="5" t="s">
        <v>57</v>
      </c>
      <c r="I690" s="5" t="s">
        <v>41</v>
      </c>
      <c r="J690" s="7">
        <v>2121</v>
      </c>
      <c r="K690" s="7">
        <f t="shared" si="112"/>
        <v>148.47000000000003</v>
      </c>
      <c r="L690" s="7">
        <f t="shared" si="113"/>
        <v>1972.53</v>
      </c>
      <c r="M690" s="7">
        <v>9947</v>
      </c>
      <c r="N690" s="5" t="s">
        <v>35</v>
      </c>
      <c r="O690" s="5">
        <v>13</v>
      </c>
      <c r="P690" s="7">
        <f t="shared" si="114"/>
        <v>2396.7299999999996</v>
      </c>
      <c r="Q690" s="7">
        <f t="shared" si="115"/>
        <v>3308.7599999999948</v>
      </c>
      <c r="R690" s="7" t="str">
        <f t="shared" si="116"/>
        <v>Normal</v>
      </c>
      <c r="S690" s="5">
        <v>3</v>
      </c>
      <c r="T690" s="5">
        <v>4</v>
      </c>
      <c r="U690" s="5" t="str" cm="1">
        <f t="array" ref="U690">_xlfn.IFS(T690=1,"Poor",T690=2,"Fair",T690=3,"Good",T690=4,"Excellent")</f>
        <v>Excellent</v>
      </c>
      <c r="V690" s="5" t="s">
        <v>35</v>
      </c>
      <c r="W690" s="5">
        <v>1</v>
      </c>
      <c r="X690" s="28">
        <f t="shared" ca="1" si="117"/>
        <v>45746</v>
      </c>
      <c r="Y690" s="28">
        <f t="shared" ca="1" si="118"/>
        <v>46476</v>
      </c>
      <c r="Z690" s="28" t="str">
        <f t="shared" ca="1" si="119"/>
        <v>Due Soon</v>
      </c>
      <c r="AA690" s="5" t="str" cm="1">
        <f t="array" ref="AA690">_xlfn.IFS(W690&gt;10,"Veteran",W690&gt;=6,"Experienced",W690&gt;=2,"Developing",W690&gt;=0,"New")</f>
        <v>New</v>
      </c>
      <c r="AB690" s="5" t="str" cm="1">
        <f t="array" ref="AB690">_xlfn.IFS(G690=1,"Junior",G690=2,"Mid-Level",G690=3,"Senior",G690=4,"Lead",G690=5,"Principal")&amp;" "&amp;TRIM(PROPER(H690))</f>
        <v>Junior Sales Representative</v>
      </c>
      <c r="AC690" s="19" t="str">
        <f t="shared" ca="1" si="120"/>
        <v>Sa-Sal-2025-689 is a Junior Sales Representative in the Sales department, aged 19, single and has been with the Company for 1years</v>
      </c>
    </row>
    <row r="691" spans="1:29">
      <c r="A691" s="18" t="str">
        <f t="shared" ca="1" si="110"/>
        <v>La-Res-2025-690</v>
      </c>
      <c r="B691" s="5">
        <v>20</v>
      </c>
      <c r="C691" s="5" t="str">
        <f t="shared" si="111"/>
        <v>20-29</v>
      </c>
      <c r="D691" s="5" t="s">
        <v>35</v>
      </c>
      <c r="E691" s="5" t="s">
        <v>45</v>
      </c>
      <c r="F691" s="5" t="s">
        <v>46</v>
      </c>
      <c r="G691" s="5">
        <v>1</v>
      </c>
      <c r="H691" s="5" t="s">
        <v>50</v>
      </c>
      <c r="I691" s="5" t="s">
        <v>41</v>
      </c>
      <c r="J691" s="7">
        <v>2973</v>
      </c>
      <c r="K691" s="7">
        <f t="shared" si="112"/>
        <v>208.11</v>
      </c>
      <c r="L691" s="7">
        <f t="shared" si="113"/>
        <v>2764.89</v>
      </c>
      <c r="M691" s="7">
        <v>13008</v>
      </c>
      <c r="N691" s="5" t="s">
        <v>43</v>
      </c>
      <c r="O691" s="5">
        <v>19</v>
      </c>
      <c r="P691" s="7">
        <f t="shared" si="114"/>
        <v>3537.87</v>
      </c>
      <c r="Q691" s="7">
        <f t="shared" si="115"/>
        <v>6778.4399999999987</v>
      </c>
      <c r="R691" s="7" t="str">
        <f t="shared" si="116"/>
        <v>Normal</v>
      </c>
      <c r="S691" s="5">
        <v>3</v>
      </c>
      <c r="T691" s="5">
        <v>3</v>
      </c>
      <c r="U691" s="5" t="str" cm="1">
        <f t="array" ref="U691">_xlfn.IFS(T691=1,"Poor",T691=2,"Fair",T691=3,"Good",T691=4,"Excellent")</f>
        <v>Good</v>
      </c>
      <c r="V691" s="5" t="s">
        <v>43</v>
      </c>
      <c r="W691" s="5">
        <v>1</v>
      </c>
      <c r="X691" s="28">
        <f t="shared" ca="1" si="117"/>
        <v>45746</v>
      </c>
      <c r="Y691" s="28">
        <f t="shared" ca="1" si="118"/>
        <v>46476</v>
      </c>
      <c r="Z691" s="28" t="str">
        <f t="shared" ca="1" si="119"/>
        <v>Due Soon</v>
      </c>
      <c r="AA691" s="5" t="str" cm="1">
        <f t="array" ref="AA691">_xlfn.IFS(W691&gt;10,"Veteran",W691&gt;=6,"Experienced",W691&gt;=2,"Developing",W691&gt;=0,"New")</f>
        <v>New</v>
      </c>
      <c r="AB691" s="5" t="str" cm="1">
        <f t="array" ref="AB691">_xlfn.IFS(G691=1,"Junior",G691=2,"Mid-Level",G691=3,"Senior",G691=4,"Lead",G691=5,"Principal")&amp;" "&amp;TRIM(PROPER(H691))</f>
        <v>Junior Laboratory Technician</v>
      </c>
      <c r="AC691" s="19" t="str">
        <f t="shared" ca="1" si="120"/>
        <v>La-Res-2025-690 is a Junior Laboratory Technician in the Research &amp; Development department, aged 20, single and has been with the Company for 1years</v>
      </c>
    </row>
    <row r="692" spans="1:29">
      <c r="A692" s="18" t="str">
        <f t="shared" ca="1" si="110"/>
        <v>He-Res-2017-691</v>
      </c>
      <c r="B692" s="5">
        <v>31</v>
      </c>
      <c r="C692" s="5" t="str">
        <f t="shared" si="111"/>
        <v>30-39</v>
      </c>
      <c r="D692" s="5" t="s">
        <v>43</v>
      </c>
      <c r="E692" s="5" t="s">
        <v>45</v>
      </c>
      <c r="F692" s="5" t="s">
        <v>39</v>
      </c>
      <c r="G692" s="5">
        <v>2</v>
      </c>
      <c r="H692" s="5" t="s">
        <v>54</v>
      </c>
      <c r="I692" s="5" t="s">
        <v>48</v>
      </c>
      <c r="J692" s="7">
        <v>5855</v>
      </c>
      <c r="K692" s="7">
        <f t="shared" si="112"/>
        <v>878.25</v>
      </c>
      <c r="L692" s="7">
        <f t="shared" si="113"/>
        <v>4976.75</v>
      </c>
      <c r="M692" s="7">
        <v>17369</v>
      </c>
      <c r="N692" s="5" t="s">
        <v>35</v>
      </c>
      <c r="O692" s="5">
        <v>11</v>
      </c>
      <c r="P692" s="7">
        <f t="shared" si="114"/>
        <v>6499.05</v>
      </c>
      <c r="Q692" s="7">
        <f t="shared" si="115"/>
        <v>7728.6000000000022</v>
      </c>
      <c r="R692" s="7" t="str">
        <f t="shared" si="116"/>
        <v>Normal</v>
      </c>
      <c r="S692" s="5">
        <v>3</v>
      </c>
      <c r="T692" s="5">
        <v>1</v>
      </c>
      <c r="U692" s="5" t="str" cm="1">
        <f t="array" ref="U692">_xlfn.IFS(T692=1,"Poor",T692=2,"Fair",T692=3,"Good",T692=4,"Excellent")</f>
        <v>Poor</v>
      </c>
      <c r="V692" s="5" t="s">
        <v>35</v>
      </c>
      <c r="W692" s="5">
        <v>9</v>
      </c>
      <c r="X692" s="28">
        <f t="shared" ca="1" si="117"/>
        <v>42824</v>
      </c>
      <c r="Y692" s="28">
        <f t="shared" ca="1" si="118"/>
        <v>46476</v>
      </c>
      <c r="Z692" s="28" t="str">
        <f t="shared" ca="1" si="119"/>
        <v>Due Soon</v>
      </c>
      <c r="AA692" s="5" t="str" cm="1">
        <f t="array" ref="AA692">_xlfn.IFS(W692&gt;10,"Veteran",W692&gt;=6,"Experienced",W692&gt;=2,"Developing",W692&gt;=0,"New")</f>
        <v>Experienced</v>
      </c>
      <c r="AB692" s="5" t="str" cm="1">
        <f t="array" ref="AB692">_xlfn.IFS(G692=1,"Junior",G692=2,"Mid-Level",G692=3,"Senior",G692=4,"Lead",G692=5,"Principal")&amp;" "&amp;TRIM(PROPER(H692))</f>
        <v>Mid-Level Healthcare Representative</v>
      </c>
      <c r="AC692" s="19" t="str">
        <f t="shared" ca="1" si="120"/>
        <v>He-Res-2017-691 is a Mid-Level Healthcare Representative in the Research &amp; Development department, aged 31, married and has been with the Company for 9years</v>
      </c>
    </row>
    <row r="693" spans="1:29">
      <c r="A693" s="18" t="str">
        <f t="shared" ca="1" si="110"/>
        <v>Re-Res-2025-692</v>
      </c>
      <c r="B693" s="5">
        <v>40</v>
      </c>
      <c r="C693" s="5" t="str">
        <f t="shared" si="111"/>
        <v>40-49</v>
      </c>
      <c r="D693" s="5" t="s">
        <v>43</v>
      </c>
      <c r="E693" s="5" t="s">
        <v>45</v>
      </c>
      <c r="F693" s="5" t="s">
        <v>46</v>
      </c>
      <c r="G693" s="5">
        <v>1</v>
      </c>
      <c r="H693" s="5" t="s">
        <v>47</v>
      </c>
      <c r="I693" s="5" t="s">
        <v>52</v>
      </c>
      <c r="J693" s="7">
        <v>3617</v>
      </c>
      <c r="K693" s="7">
        <f t="shared" si="112"/>
        <v>542.54999999999995</v>
      </c>
      <c r="L693" s="7">
        <f t="shared" si="113"/>
        <v>3074.45</v>
      </c>
      <c r="M693" s="7">
        <v>25063</v>
      </c>
      <c r="N693" s="5" t="s">
        <v>35</v>
      </c>
      <c r="O693" s="5">
        <v>14</v>
      </c>
      <c r="P693" s="7">
        <f t="shared" si="114"/>
        <v>4123.38</v>
      </c>
      <c r="Q693" s="7">
        <f t="shared" si="115"/>
        <v>6076.5600000000013</v>
      </c>
      <c r="R693" s="7" t="str">
        <f t="shared" si="116"/>
        <v>Normal</v>
      </c>
      <c r="S693" s="5">
        <v>3</v>
      </c>
      <c r="T693" s="5">
        <v>3</v>
      </c>
      <c r="U693" s="5" t="str" cm="1">
        <f t="array" ref="U693">_xlfn.IFS(T693=1,"Poor",T693=2,"Fair",T693=3,"Good",T693=4,"Excellent")</f>
        <v>Good</v>
      </c>
      <c r="V693" s="5" t="s">
        <v>35</v>
      </c>
      <c r="W693" s="5">
        <v>1</v>
      </c>
      <c r="X693" s="28">
        <f t="shared" ca="1" si="117"/>
        <v>45746</v>
      </c>
      <c r="Y693" s="28">
        <f t="shared" ca="1" si="118"/>
        <v>46476</v>
      </c>
      <c r="Z693" s="28" t="str">
        <f t="shared" ca="1" si="119"/>
        <v>Due Soon</v>
      </c>
      <c r="AA693" s="5" t="str" cm="1">
        <f t="array" ref="AA693">_xlfn.IFS(W693&gt;10,"Veteran",W693&gt;=6,"Experienced",W693&gt;=2,"Developing",W693&gt;=0,"New")</f>
        <v>New</v>
      </c>
      <c r="AB693" s="5" t="str" cm="1">
        <f t="array" ref="AB693">_xlfn.IFS(G693=1,"Junior",G693=2,"Mid-Level",G693=3,"Senior",G693=4,"Lead",G693=5,"Principal")&amp;" "&amp;TRIM(PROPER(H693))</f>
        <v>Junior Research Scientist</v>
      </c>
      <c r="AC693" s="19" t="str">
        <f t="shared" ca="1" si="120"/>
        <v>Re-Res-2025-692 is a Junior Research Scientist in the Research &amp; Development department, aged 40, divorced and has been with the Company for 1years</v>
      </c>
    </row>
    <row r="694" spans="1:29">
      <c r="A694" s="18" t="str">
        <f t="shared" ca="1" si="110"/>
        <v>Ma-Res-2018-693</v>
      </c>
      <c r="B694" s="5">
        <v>32</v>
      </c>
      <c r="C694" s="5" t="str">
        <f t="shared" si="111"/>
        <v>30-39</v>
      </c>
      <c r="D694" s="5" t="s">
        <v>43</v>
      </c>
      <c r="E694" s="5" t="s">
        <v>45</v>
      </c>
      <c r="F694" s="5" t="s">
        <v>39</v>
      </c>
      <c r="G694" s="5">
        <v>2</v>
      </c>
      <c r="H694" s="5" t="s">
        <v>53</v>
      </c>
      <c r="I694" s="5" t="s">
        <v>48</v>
      </c>
      <c r="J694" s="7">
        <v>6725</v>
      </c>
      <c r="K694" s="7">
        <f t="shared" si="112"/>
        <v>1008.75</v>
      </c>
      <c r="L694" s="7">
        <f t="shared" si="113"/>
        <v>5716.25</v>
      </c>
      <c r="M694" s="7">
        <v>13554</v>
      </c>
      <c r="N694" s="5" t="s">
        <v>43</v>
      </c>
      <c r="O694" s="5">
        <v>12</v>
      </c>
      <c r="P694" s="7">
        <f t="shared" si="114"/>
        <v>7532.0000000000009</v>
      </c>
      <c r="Q694" s="7">
        <f t="shared" si="115"/>
        <v>9684.0000000000109</v>
      </c>
      <c r="R694" s="7" t="str">
        <f t="shared" si="116"/>
        <v>Normal</v>
      </c>
      <c r="S694" s="5">
        <v>3</v>
      </c>
      <c r="T694" s="5">
        <v>4</v>
      </c>
      <c r="U694" s="5" t="str" cm="1">
        <f t="array" ref="U694">_xlfn.IFS(T694=1,"Poor",T694=2,"Fair",T694=3,"Good",T694=4,"Excellent")</f>
        <v>Excellent</v>
      </c>
      <c r="V694" s="5" t="s">
        <v>43</v>
      </c>
      <c r="W694" s="5">
        <v>8</v>
      </c>
      <c r="X694" s="28">
        <f t="shared" ca="1" si="117"/>
        <v>43189</v>
      </c>
      <c r="Y694" s="28">
        <f t="shared" ca="1" si="118"/>
        <v>46842</v>
      </c>
      <c r="Z694" s="28" t="str">
        <f t="shared" ca="1" si="119"/>
        <v>Upcoming</v>
      </c>
      <c r="AA694" s="5" t="str" cm="1">
        <f t="array" ref="AA694">_xlfn.IFS(W694&gt;10,"Veteran",W694&gt;=6,"Experienced",W694&gt;=2,"Developing",W694&gt;=0,"New")</f>
        <v>Experienced</v>
      </c>
      <c r="AB694" s="5" t="str" cm="1">
        <f t="array" ref="AB694">_xlfn.IFS(G694=1,"Junior",G694=2,"Mid-Level",G694=3,"Senior",G694=4,"Lead",G694=5,"Principal")&amp;" "&amp;TRIM(PROPER(H694))</f>
        <v>Mid-Level Manufacturing Director</v>
      </c>
      <c r="AC694" s="19" t="str">
        <f t="shared" ca="1" si="120"/>
        <v>Ma-Res-2018-693 is a Mid-Level Manufacturing Director in the Research &amp; Development department, aged 32, married and has been with the Company for 8years</v>
      </c>
    </row>
    <row r="695" spans="1:29">
      <c r="A695" s="18" t="str">
        <f t="shared" ca="1" si="110"/>
        <v>Sa-Sal-2010-694</v>
      </c>
      <c r="B695" s="5">
        <v>36</v>
      </c>
      <c r="C695" s="5" t="str">
        <f t="shared" si="111"/>
        <v>30-39</v>
      </c>
      <c r="D695" s="5" t="s">
        <v>35</v>
      </c>
      <c r="E695" s="5" t="s">
        <v>37</v>
      </c>
      <c r="F695" s="5" t="s">
        <v>46</v>
      </c>
      <c r="G695" s="5">
        <v>3</v>
      </c>
      <c r="H695" s="5" t="s">
        <v>40</v>
      </c>
      <c r="I695" s="5" t="s">
        <v>48</v>
      </c>
      <c r="J695" s="7">
        <v>10325</v>
      </c>
      <c r="K695" s="7">
        <f t="shared" si="112"/>
        <v>2271.5</v>
      </c>
      <c r="L695" s="7">
        <f t="shared" si="113"/>
        <v>8053.5</v>
      </c>
      <c r="M695" s="7">
        <v>5518</v>
      </c>
      <c r="N695" s="5" t="s">
        <v>35</v>
      </c>
      <c r="O695" s="5">
        <v>11</v>
      </c>
      <c r="P695" s="7">
        <f t="shared" si="114"/>
        <v>11460.750000000002</v>
      </c>
      <c r="Q695" s="7">
        <f t="shared" si="115"/>
        <v>13629.000000000022</v>
      </c>
      <c r="R695" s="7" t="str">
        <f t="shared" si="116"/>
        <v>Normal</v>
      </c>
      <c r="S695" s="5">
        <v>3</v>
      </c>
      <c r="T695" s="5">
        <v>3</v>
      </c>
      <c r="U695" s="5" t="str" cm="1">
        <f t="array" ref="U695">_xlfn.IFS(T695=1,"Poor",T695=2,"Fair",T695=3,"Good",T695=4,"Excellent")</f>
        <v>Good</v>
      </c>
      <c r="V695" s="5" t="s">
        <v>35</v>
      </c>
      <c r="W695" s="5">
        <v>16</v>
      </c>
      <c r="X695" s="28">
        <f t="shared" ca="1" si="117"/>
        <v>40267</v>
      </c>
      <c r="Y695" s="28">
        <f t="shared" ca="1" si="118"/>
        <v>46842</v>
      </c>
      <c r="Z695" s="28" t="str">
        <f t="shared" ca="1" si="119"/>
        <v>Upcoming</v>
      </c>
      <c r="AA695" s="5" t="str" cm="1">
        <f t="array" ref="AA695">_xlfn.IFS(W695&gt;10,"Veteran",W695&gt;=6,"Experienced",W695&gt;=2,"Developing",W695&gt;=0,"New")</f>
        <v>Veteran</v>
      </c>
      <c r="AB695" s="5" t="str" cm="1">
        <f t="array" ref="AB695">_xlfn.IFS(G695=1,"Junior",G695=2,"Mid-Level",G695=3,"Senior",G695=4,"Lead",G695=5,"Principal")&amp;" "&amp;TRIM(PROPER(H695))</f>
        <v>Senior Sales Executive</v>
      </c>
      <c r="AC695" s="19" t="str">
        <f t="shared" ca="1" si="120"/>
        <v>Sa-Sal-2010-694 is a Senior Sales Executive in the Sales department, aged 36, married and has been with the Company for 16years</v>
      </c>
    </row>
    <row r="696" spans="1:29">
      <c r="A696" s="18" t="str">
        <f t="shared" ca="1" si="110"/>
        <v>He-Res-2021-695</v>
      </c>
      <c r="B696" s="5">
        <v>33</v>
      </c>
      <c r="C696" s="5" t="str">
        <f t="shared" si="111"/>
        <v>30-39</v>
      </c>
      <c r="D696" s="5" t="s">
        <v>43</v>
      </c>
      <c r="E696" s="5" t="s">
        <v>45</v>
      </c>
      <c r="F696" s="5" t="s">
        <v>39</v>
      </c>
      <c r="G696" s="5">
        <v>2</v>
      </c>
      <c r="H696" s="5" t="s">
        <v>54</v>
      </c>
      <c r="I696" s="5" t="s">
        <v>41</v>
      </c>
      <c r="J696" s="7">
        <v>6949</v>
      </c>
      <c r="K696" s="7">
        <f t="shared" si="112"/>
        <v>1042.3499999999999</v>
      </c>
      <c r="L696" s="7">
        <f t="shared" si="113"/>
        <v>5906.65</v>
      </c>
      <c r="M696" s="7">
        <v>12291</v>
      </c>
      <c r="N696" s="5" t="s">
        <v>43</v>
      </c>
      <c r="O696" s="5">
        <v>14</v>
      </c>
      <c r="P696" s="7">
        <f t="shared" si="114"/>
        <v>7921.8600000000006</v>
      </c>
      <c r="Q696" s="7">
        <f t="shared" si="115"/>
        <v>11674.320000000007</v>
      </c>
      <c r="R696" s="7" t="str">
        <f t="shared" si="116"/>
        <v>Normal</v>
      </c>
      <c r="S696" s="5">
        <v>3</v>
      </c>
      <c r="T696" s="5">
        <v>3</v>
      </c>
      <c r="U696" s="5" t="str" cm="1">
        <f t="array" ref="U696">_xlfn.IFS(T696=1,"Poor",T696=2,"Fair",T696=3,"Good",T696=4,"Excellent")</f>
        <v>Good</v>
      </c>
      <c r="V696" s="5" t="s">
        <v>43</v>
      </c>
      <c r="W696" s="5">
        <v>5</v>
      </c>
      <c r="X696" s="28">
        <f t="shared" ca="1" si="117"/>
        <v>44285</v>
      </c>
      <c r="Y696" s="28">
        <f t="shared" ca="1" si="118"/>
        <v>46476</v>
      </c>
      <c r="Z696" s="28" t="str">
        <f t="shared" ca="1" si="119"/>
        <v>Due Soon</v>
      </c>
      <c r="AA696" s="5" t="str" cm="1">
        <f t="array" ref="AA696">_xlfn.IFS(W696&gt;10,"Veteran",W696&gt;=6,"Experienced",W696&gt;=2,"Developing",W696&gt;=0,"New")</f>
        <v>Developing</v>
      </c>
      <c r="AB696" s="5" t="str" cm="1">
        <f t="array" ref="AB696">_xlfn.IFS(G696=1,"Junior",G696=2,"Mid-Level",G696=3,"Senior",G696=4,"Lead",G696=5,"Principal")&amp;" "&amp;TRIM(PROPER(H696))</f>
        <v>Mid-Level Healthcare Representative</v>
      </c>
      <c r="AC696" s="19" t="str">
        <f t="shared" ca="1" si="120"/>
        <v>He-Res-2021-695 is a Mid-Level Healthcare Representative in the Research &amp; Development department, aged 33, single and has been with the Company for 5years</v>
      </c>
    </row>
    <row r="697" spans="1:29">
      <c r="A697" s="18" t="str">
        <f t="shared" ca="1" si="110"/>
        <v>Sa-Sal-2012-696</v>
      </c>
      <c r="B697" s="5">
        <v>37</v>
      </c>
      <c r="C697" s="5" t="str">
        <f t="shared" si="111"/>
        <v>30-39</v>
      </c>
      <c r="D697" s="5" t="s">
        <v>35</v>
      </c>
      <c r="E697" s="5" t="s">
        <v>37</v>
      </c>
      <c r="F697" s="5" t="s">
        <v>46</v>
      </c>
      <c r="G697" s="5">
        <v>3</v>
      </c>
      <c r="H697" s="5" t="s">
        <v>40</v>
      </c>
      <c r="I697" s="5" t="s">
        <v>48</v>
      </c>
      <c r="J697" s="7">
        <v>10609</v>
      </c>
      <c r="K697" s="7">
        <f t="shared" si="112"/>
        <v>2333.98</v>
      </c>
      <c r="L697" s="7">
        <f t="shared" si="113"/>
        <v>8275.02</v>
      </c>
      <c r="M697" s="7">
        <v>14922</v>
      </c>
      <c r="N697" s="5" t="s">
        <v>43</v>
      </c>
      <c r="O697" s="5">
        <v>11</v>
      </c>
      <c r="P697" s="7">
        <f t="shared" si="114"/>
        <v>11775.990000000002</v>
      </c>
      <c r="Q697" s="7">
        <f t="shared" si="115"/>
        <v>14003.880000000019</v>
      </c>
      <c r="R697" s="7" t="str">
        <f t="shared" si="116"/>
        <v>Normal</v>
      </c>
      <c r="S697" s="5">
        <v>3</v>
      </c>
      <c r="T697" s="5">
        <v>1</v>
      </c>
      <c r="U697" s="5" t="str" cm="1">
        <f t="array" ref="U697">_xlfn.IFS(T697=1,"Poor",T697=2,"Fair",T697=3,"Good",T697=4,"Excellent")</f>
        <v>Poor</v>
      </c>
      <c r="V697" s="5" t="s">
        <v>43</v>
      </c>
      <c r="W697" s="5">
        <v>14</v>
      </c>
      <c r="X697" s="28">
        <f t="shared" ca="1" si="117"/>
        <v>40998</v>
      </c>
      <c r="Y697" s="28">
        <f t="shared" ca="1" si="118"/>
        <v>46842</v>
      </c>
      <c r="Z697" s="28" t="str">
        <f t="shared" ca="1" si="119"/>
        <v>Upcoming</v>
      </c>
      <c r="AA697" s="5" t="str" cm="1">
        <f t="array" ref="AA697">_xlfn.IFS(W697&gt;10,"Veteran",W697&gt;=6,"Experienced",W697&gt;=2,"Developing",W697&gt;=0,"New")</f>
        <v>Veteran</v>
      </c>
      <c r="AB697" s="5" t="str" cm="1">
        <f t="array" ref="AB697">_xlfn.IFS(G697=1,"Junior",G697=2,"Mid-Level",G697=3,"Senior",G697=4,"Lead",G697=5,"Principal")&amp;" "&amp;TRIM(PROPER(H697))</f>
        <v>Senior Sales Executive</v>
      </c>
      <c r="AC697" s="19" t="str">
        <f t="shared" ca="1" si="120"/>
        <v>Sa-Sal-2012-696 is a Senior Sales Executive in the Sales department, aged 37, married and has been with the Company for 14years</v>
      </c>
    </row>
    <row r="698" spans="1:29">
      <c r="A698" s="18" t="str">
        <f t="shared" ca="1" si="110"/>
        <v>La-Res-2017-697</v>
      </c>
      <c r="B698" s="5">
        <v>45</v>
      </c>
      <c r="C698" s="5" t="str">
        <f t="shared" si="111"/>
        <v>40-49</v>
      </c>
      <c r="D698" s="5" t="s">
        <v>43</v>
      </c>
      <c r="E698" s="5" t="s">
        <v>45</v>
      </c>
      <c r="F698" s="5" t="s">
        <v>46</v>
      </c>
      <c r="G698" s="5">
        <v>2</v>
      </c>
      <c r="H698" s="5" t="s">
        <v>50</v>
      </c>
      <c r="I698" s="5" t="s">
        <v>48</v>
      </c>
      <c r="J698" s="7">
        <v>4447</v>
      </c>
      <c r="K698" s="7">
        <f t="shared" si="112"/>
        <v>667.05</v>
      </c>
      <c r="L698" s="7">
        <f t="shared" si="113"/>
        <v>3779.95</v>
      </c>
      <c r="M698" s="7">
        <v>23163</v>
      </c>
      <c r="N698" s="5" t="s">
        <v>43</v>
      </c>
      <c r="O698" s="5">
        <v>12</v>
      </c>
      <c r="P698" s="7">
        <f t="shared" si="114"/>
        <v>4980.6400000000003</v>
      </c>
      <c r="Q698" s="7">
        <f t="shared" si="115"/>
        <v>6403.6800000000039</v>
      </c>
      <c r="R698" s="7" t="str">
        <f t="shared" si="116"/>
        <v>Normal</v>
      </c>
      <c r="S698" s="5">
        <v>3</v>
      </c>
      <c r="T698" s="5">
        <v>2</v>
      </c>
      <c r="U698" s="5" t="str" cm="1">
        <f t="array" ref="U698">_xlfn.IFS(T698=1,"Poor",T698=2,"Fair",T698=3,"Good",T698=4,"Excellent")</f>
        <v>Fair</v>
      </c>
      <c r="V698" s="5" t="s">
        <v>43</v>
      </c>
      <c r="W698" s="5">
        <v>9</v>
      </c>
      <c r="X698" s="28">
        <f t="shared" ca="1" si="117"/>
        <v>42824</v>
      </c>
      <c r="Y698" s="28">
        <f t="shared" ca="1" si="118"/>
        <v>46476</v>
      </c>
      <c r="Z698" s="28" t="str">
        <f t="shared" ca="1" si="119"/>
        <v>Due Soon</v>
      </c>
      <c r="AA698" s="5" t="str" cm="1">
        <f t="array" ref="AA698">_xlfn.IFS(W698&gt;10,"Veteran",W698&gt;=6,"Experienced",W698&gt;=2,"Developing",W698&gt;=0,"New")</f>
        <v>Experienced</v>
      </c>
      <c r="AB698" s="5" t="str" cm="1">
        <f t="array" ref="AB698">_xlfn.IFS(G698=1,"Junior",G698=2,"Mid-Level",G698=3,"Senior",G698=4,"Lead",G698=5,"Principal")&amp;" "&amp;TRIM(PROPER(H698))</f>
        <v>Mid-Level Laboratory Technician</v>
      </c>
      <c r="AC698" s="19" t="str">
        <f t="shared" ca="1" si="120"/>
        <v>La-Res-2017-697 is a Mid-Level Laboratory Technician in the Research &amp; Development department, aged 45, married and has been with the Company for 9years</v>
      </c>
    </row>
    <row r="699" spans="1:29">
      <c r="A699" s="18" t="str">
        <f t="shared" ca="1" si="110"/>
        <v>Sa-Sal-2023-698</v>
      </c>
      <c r="B699" s="5">
        <v>29</v>
      </c>
      <c r="C699" s="5" t="str">
        <f t="shared" si="111"/>
        <v>20-29</v>
      </c>
      <c r="D699" s="5" t="s">
        <v>43</v>
      </c>
      <c r="E699" s="5" t="s">
        <v>37</v>
      </c>
      <c r="F699" s="5" t="s">
        <v>39</v>
      </c>
      <c r="G699" s="5">
        <v>1</v>
      </c>
      <c r="H699" s="5" t="s">
        <v>57</v>
      </c>
      <c r="I699" s="5" t="s">
        <v>48</v>
      </c>
      <c r="J699" s="7">
        <v>2157</v>
      </c>
      <c r="K699" s="7">
        <f t="shared" si="112"/>
        <v>150.99</v>
      </c>
      <c r="L699" s="7">
        <f t="shared" si="113"/>
        <v>2006.01</v>
      </c>
      <c r="M699" s="7">
        <v>18203</v>
      </c>
      <c r="N699" s="5" t="s">
        <v>43</v>
      </c>
      <c r="O699" s="5">
        <v>15</v>
      </c>
      <c r="P699" s="7">
        <f t="shared" si="114"/>
        <v>2480.5499999999997</v>
      </c>
      <c r="Q699" s="7">
        <f t="shared" si="115"/>
        <v>3882.5999999999967</v>
      </c>
      <c r="R699" s="7" t="str">
        <f t="shared" si="116"/>
        <v>Normal</v>
      </c>
      <c r="S699" s="5">
        <v>3</v>
      </c>
      <c r="T699" s="5">
        <v>3</v>
      </c>
      <c r="U699" s="5" t="str" cm="1">
        <f t="array" ref="U699">_xlfn.IFS(T699=1,"Poor",T699=2,"Fair",T699=3,"Good",T699=4,"Excellent")</f>
        <v>Good</v>
      </c>
      <c r="V699" s="5" t="s">
        <v>43</v>
      </c>
      <c r="W699" s="5">
        <v>3</v>
      </c>
      <c r="X699" s="28">
        <f t="shared" ca="1" si="117"/>
        <v>45015</v>
      </c>
      <c r="Y699" s="28">
        <f t="shared" ca="1" si="118"/>
        <v>46476</v>
      </c>
      <c r="Z699" s="28" t="str">
        <f t="shared" ca="1" si="119"/>
        <v>Due Soon</v>
      </c>
      <c r="AA699" s="5" t="str" cm="1">
        <f t="array" ref="AA699">_xlfn.IFS(W699&gt;10,"Veteran",W699&gt;=6,"Experienced",W699&gt;=2,"Developing",W699&gt;=0,"New")</f>
        <v>Developing</v>
      </c>
      <c r="AB699" s="5" t="str" cm="1">
        <f t="array" ref="AB699">_xlfn.IFS(G699=1,"Junior",G699=2,"Mid-Level",G699=3,"Senior",G699=4,"Lead",G699=5,"Principal")&amp;" "&amp;TRIM(PROPER(H699))</f>
        <v>Junior Sales Representative</v>
      </c>
      <c r="AC699" s="19" t="str">
        <f t="shared" ca="1" si="120"/>
        <v>Sa-Sal-2023-698 is a Junior Sales Representative in the Sales department, aged 29, married and has been with the Company for 3years</v>
      </c>
    </row>
    <row r="700" spans="1:29">
      <c r="A700" s="18" t="str">
        <f t="shared" ca="1" si="110"/>
        <v>Sa-Sal-2021-699</v>
      </c>
      <c r="B700" s="5">
        <v>35</v>
      </c>
      <c r="C700" s="5" t="str">
        <f t="shared" si="111"/>
        <v>30-39</v>
      </c>
      <c r="D700" s="5" t="s">
        <v>43</v>
      </c>
      <c r="E700" s="5" t="s">
        <v>37</v>
      </c>
      <c r="F700" s="5" t="s">
        <v>39</v>
      </c>
      <c r="G700" s="5">
        <v>2</v>
      </c>
      <c r="H700" s="5" t="s">
        <v>40</v>
      </c>
      <c r="I700" s="5" t="s">
        <v>48</v>
      </c>
      <c r="J700" s="7">
        <v>4601</v>
      </c>
      <c r="K700" s="7">
        <f t="shared" si="112"/>
        <v>690.15</v>
      </c>
      <c r="L700" s="7">
        <f t="shared" si="113"/>
        <v>3910.85</v>
      </c>
      <c r="M700" s="7">
        <v>6179</v>
      </c>
      <c r="N700" s="5" t="s">
        <v>43</v>
      </c>
      <c r="O700" s="5">
        <v>16</v>
      </c>
      <c r="P700" s="7">
        <f t="shared" si="114"/>
        <v>5337.16</v>
      </c>
      <c r="Q700" s="7">
        <f t="shared" si="115"/>
        <v>8833.9199999999983</v>
      </c>
      <c r="R700" s="7" t="str">
        <f t="shared" si="116"/>
        <v>Normal</v>
      </c>
      <c r="S700" s="5">
        <v>3</v>
      </c>
      <c r="T700" s="5">
        <v>3</v>
      </c>
      <c r="U700" s="5" t="str" cm="1">
        <f t="array" ref="U700">_xlfn.IFS(T700=1,"Poor",T700=2,"Fair",T700=3,"Good",T700=4,"Excellent")</f>
        <v>Good</v>
      </c>
      <c r="V700" s="5" t="s">
        <v>43</v>
      </c>
      <c r="W700" s="5">
        <v>5</v>
      </c>
      <c r="X700" s="28">
        <f t="shared" ca="1" si="117"/>
        <v>44285</v>
      </c>
      <c r="Y700" s="28">
        <f t="shared" ca="1" si="118"/>
        <v>46476</v>
      </c>
      <c r="Z700" s="28" t="str">
        <f t="shared" ca="1" si="119"/>
        <v>Due Soon</v>
      </c>
      <c r="AA700" s="5" t="str" cm="1">
        <f t="array" ref="AA700">_xlfn.IFS(W700&gt;10,"Veteran",W700&gt;=6,"Experienced",W700&gt;=2,"Developing",W700&gt;=0,"New")</f>
        <v>Developing</v>
      </c>
      <c r="AB700" s="5" t="str" cm="1">
        <f t="array" ref="AB700">_xlfn.IFS(G700=1,"Junior",G700=2,"Mid-Level",G700=3,"Senior",G700=4,"Lead",G700=5,"Principal")&amp;" "&amp;TRIM(PROPER(H700))</f>
        <v>Mid-Level Sales Executive</v>
      </c>
      <c r="AC700" s="19" t="str">
        <f t="shared" ca="1" si="120"/>
        <v>Sa-Sal-2021-699 is a Mid-Level Sales Executive in the Sales department, aged 35, married and has been with the Company for 5years</v>
      </c>
    </row>
    <row r="701" spans="1:29">
      <c r="A701" s="18" t="str">
        <f t="shared" ca="1" si="110"/>
        <v>Ma-Res-2017-700</v>
      </c>
      <c r="B701" s="5">
        <v>52</v>
      </c>
      <c r="C701" s="5" t="str">
        <f t="shared" si="111"/>
        <v>50+</v>
      </c>
      <c r="D701" s="5" t="s">
        <v>43</v>
      </c>
      <c r="E701" s="5" t="s">
        <v>45</v>
      </c>
      <c r="F701" s="5" t="s">
        <v>46</v>
      </c>
      <c r="G701" s="5">
        <v>4</v>
      </c>
      <c r="H701" s="5" t="s">
        <v>56</v>
      </c>
      <c r="I701" s="5" t="s">
        <v>48</v>
      </c>
      <c r="J701" s="7">
        <v>17099</v>
      </c>
      <c r="K701" s="7">
        <f t="shared" si="112"/>
        <v>5129.7</v>
      </c>
      <c r="L701" s="7">
        <f t="shared" si="113"/>
        <v>11969.3</v>
      </c>
      <c r="M701" s="7">
        <v>13829</v>
      </c>
      <c r="N701" s="5" t="s">
        <v>43</v>
      </c>
      <c r="O701" s="5">
        <v>15</v>
      </c>
      <c r="P701" s="7">
        <f t="shared" si="114"/>
        <v>19663.849999999999</v>
      </c>
      <c r="Q701" s="7">
        <f t="shared" si="115"/>
        <v>30778.199999999983</v>
      </c>
      <c r="R701" s="7" t="str">
        <f t="shared" si="116"/>
        <v>Normal</v>
      </c>
      <c r="S701" s="5">
        <v>3</v>
      </c>
      <c r="T701" s="5">
        <v>2</v>
      </c>
      <c r="U701" s="5" t="str" cm="1">
        <f t="array" ref="U701">_xlfn.IFS(T701=1,"Poor",T701=2,"Fair",T701=3,"Good",T701=4,"Excellent")</f>
        <v>Fair</v>
      </c>
      <c r="V701" s="5" t="s">
        <v>43</v>
      </c>
      <c r="W701" s="5">
        <v>9</v>
      </c>
      <c r="X701" s="28">
        <f t="shared" ca="1" si="117"/>
        <v>42824</v>
      </c>
      <c r="Y701" s="28">
        <f t="shared" ca="1" si="118"/>
        <v>46476</v>
      </c>
      <c r="Z701" s="28" t="str">
        <f t="shared" ca="1" si="119"/>
        <v>Due Soon</v>
      </c>
      <c r="AA701" s="5" t="str" cm="1">
        <f t="array" ref="AA701">_xlfn.IFS(W701&gt;10,"Veteran",W701&gt;=6,"Experienced",W701&gt;=2,"Developing",W701&gt;=0,"New")</f>
        <v>Experienced</v>
      </c>
      <c r="AB701" s="5" t="str" cm="1">
        <f t="array" ref="AB701">_xlfn.IFS(G701=1,"Junior",G701=2,"Mid-Level",G701=3,"Senior",G701=4,"Lead",G701=5,"Principal")&amp;" "&amp;TRIM(PROPER(H701))</f>
        <v>Lead Manager</v>
      </c>
      <c r="AC701" s="19" t="str">
        <f t="shared" ca="1" si="120"/>
        <v>Ma-Res-2017-700 is a Lead Manager in the Research &amp; Development department, aged 52, married and has been with the Company for 9years</v>
      </c>
    </row>
    <row r="702" spans="1:29">
      <c r="A702" s="18" t="str">
        <f t="shared" ca="1" si="110"/>
        <v>Re-Res-2025-701</v>
      </c>
      <c r="B702" s="5">
        <v>58</v>
      </c>
      <c r="C702" s="5" t="str">
        <f t="shared" si="111"/>
        <v>50+</v>
      </c>
      <c r="D702" s="5" t="s">
        <v>35</v>
      </c>
      <c r="E702" s="5" t="s">
        <v>45</v>
      </c>
      <c r="F702" s="5" t="s">
        <v>46</v>
      </c>
      <c r="G702" s="5">
        <v>1</v>
      </c>
      <c r="H702" s="5" t="s">
        <v>47</v>
      </c>
      <c r="I702" s="5" t="s">
        <v>41</v>
      </c>
      <c r="J702" s="7">
        <v>2479</v>
      </c>
      <c r="K702" s="7">
        <f t="shared" si="112"/>
        <v>173.53000000000003</v>
      </c>
      <c r="L702" s="7">
        <f t="shared" si="113"/>
        <v>2305.4699999999998</v>
      </c>
      <c r="M702" s="7">
        <v>26227</v>
      </c>
      <c r="N702" s="5" t="s">
        <v>43</v>
      </c>
      <c r="O702" s="5">
        <v>24</v>
      </c>
      <c r="P702" s="7">
        <f t="shared" si="114"/>
        <v>3073.96</v>
      </c>
      <c r="Q702" s="7">
        <f t="shared" si="115"/>
        <v>7139.52</v>
      </c>
      <c r="R702" s="7" t="str">
        <f t="shared" si="116"/>
        <v>Normal</v>
      </c>
      <c r="S702" s="5">
        <v>4</v>
      </c>
      <c r="T702" s="5">
        <v>3</v>
      </c>
      <c r="U702" s="5" t="str" cm="1">
        <f t="array" ref="U702">_xlfn.IFS(T702=1,"Poor",T702=2,"Fair",T702=3,"Good",T702=4,"Excellent")</f>
        <v>Good</v>
      </c>
      <c r="V702" s="5" t="s">
        <v>43</v>
      </c>
      <c r="W702" s="5">
        <v>1</v>
      </c>
      <c r="X702" s="28">
        <f t="shared" ca="1" si="117"/>
        <v>45746</v>
      </c>
      <c r="Y702" s="28">
        <f t="shared" ca="1" si="118"/>
        <v>46476</v>
      </c>
      <c r="Z702" s="28" t="str">
        <f t="shared" ca="1" si="119"/>
        <v>Due Soon</v>
      </c>
      <c r="AA702" s="5" t="str" cm="1">
        <f t="array" ref="AA702">_xlfn.IFS(W702&gt;10,"Veteran",W702&gt;=6,"Experienced",W702&gt;=2,"Developing",W702&gt;=0,"New")</f>
        <v>New</v>
      </c>
      <c r="AB702" s="5" t="str" cm="1">
        <f t="array" ref="AB702">_xlfn.IFS(G702=1,"Junior",G702=2,"Mid-Level",G702=3,"Senior",G702=4,"Lead",G702=5,"Principal")&amp;" "&amp;TRIM(PROPER(H702))</f>
        <v>Junior Research Scientist</v>
      </c>
      <c r="AC702" s="19" t="str">
        <f t="shared" ca="1" si="120"/>
        <v>Re-Res-2025-701 is a Junior Research Scientist in the Research &amp; Development department, aged 58, single and has been with the Company for 1years</v>
      </c>
    </row>
    <row r="703" spans="1:29">
      <c r="A703" s="18" t="str">
        <f t="shared" ca="1" si="110"/>
        <v>Ma-Sal-2009-702</v>
      </c>
      <c r="B703" s="5">
        <v>53</v>
      </c>
      <c r="C703" s="5" t="str">
        <f t="shared" si="111"/>
        <v>50+</v>
      </c>
      <c r="D703" s="5" t="s">
        <v>43</v>
      </c>
      <c r="E703" s="5" t="s">
        <v>37</v>
      </c>
      <c r="F703" s="5" t="s">
        <v>46</v>
      </c>
      <c r="G703" s="5">
        <v>4</v>
      </c>
      <c r="H703" s="5" t="s">
        <v>56</v>
      </c>
      <c r="I703" s="5" t="s">
        <v>52</v>
      </c>
      <c r="J703" s="7">
        <v>14852</v>
      </c>
      <c r="K703" s="7">
        <f t="shared" si="112"/>
        <v>4455.5999999999995</v>
      </c>
      <c r="L703" s="7">
        <f t="shared" si="113"/>
        <v>10396.400000000001</v>
      </c>
      <c r="M703" s="7">
        <v>13938</v>
      </c>
      <c r="N703" s="5" t="s">
        <v>43</v>
      </c>
      <c r="O703" s="5">
        <v>13</v>
      </c>
      <c r="P703" s="7">
        <f t="shared" si="114"/>
        <v>16782.759999999998</v>
      </c>
      <c r="Q703" s="7">
        <f t="shared" si="115"/>
        <v>23169.119999999981</v>
      </c>
      <c r="R703" s="7" t="str">
        <f t="shared" si="116"/>
        <v>Normal</v>
      </c>
      <c r="S703" s="5">
        <v>3</v>
      </c>
      <c r="T703" s="5">
        <v>4</v>
      </c>
      <c r="U703" s="5" t="str" cm="1">
        <f t="array" ref="U703">_xlfn.IFS(T703=1,"Poor",T703=2,"Fair",T703=3,"Good",T703=4,"Excellent")</f>
        <v>Excellent</v>
      </c>
      <c r="V703" s="5" t="s">
        <v>43</v>
      </c>
      <c r="W703" s="5">
        <v>17</v>
      </c>
      <c r="X703" s="28">
        <f t="shared" ca="1" si="117"/>
        <v>39902</v>
      </c>
      <c r="Y703" s="28">
        <f t="shared" ca="1" si="118"/>
        <v>46476</v>
      </c>
      <c r="Z703" s="28" t="str">
        <f t="shared" ca="1" si="119"/>
        <v>Due Soon</v>
      </c>
      <c r="AA703" s="5" t="str" cm="1">
        <f t="array" ref="AA703">_xlfn.IFS(W703&gt;10,"Veteran",W703&gt;=6,"Experienced",W703&gt;=2,"Developing",W703&gt;=0,"New")</f>
        <v>Veteran</v>
      </c>
      <c r="AB703" s="5" t="str" cm="1">
        <f t="array" ref="AB703">_xlfn.IFS(G703=1,"Junior",G703=2,"Mid-Level",G703=3,"Senior",G703=4,"Lead",G703=5,"Principal")&amp;" "&amp;TRIM(PROPER(H703))</f>
        <v>Lead Manager</v>
      </c>
      <c r="AC703" s="19" t="str">
        <f t="shared" ca="1" si="120"/>
        <v>Ma-Sal-2009-702 is a Lead Manager in the Sales department, aged 53, divorced and has been with the Company for 17years</v>
      </c>
    </row>
    <row r="704" spans="1:29">
      <c r="A704" s="18" t="str">
        <f t="shared" ca="1" si="110"/>
        <v>Sa-Sal-2018-703</v>
      </c>
      <c r="B704" s="5">
        <v>30</v>
      </c>
      <c r="C704" s="5" t="str">
        <f t="shared" si="111"/>
        <v>30-39</v>
      </c>
      <c r="D704" s="5" t="s">
        <v>43</v>
      </c>
      <c r="E704" s="5" t="s">
        <v>37</v>
      </c>
      <c r="F704" s="5" t="s">
        <v>46</v>
      </c>
      <c r="G704" s="5">
        <v>3</v>
      </c>
      <c r="H704" s="5" t="s">
        <v>40</v>
      </c>
      <c r="I704" s="5" t="s">
        <v>52</v>
      </c>
      <c r="J704" s="7">
        <v>7264</v>
      </c>
      <c r="K704" s="7">
        <f t="shared" si="112"/>
        <v>1598.08</v>
      </c>
      <c r="L704" s="7">
        <f t="shared" si="113"/>
        <v>5665.92</v>
      </c>
      <c r="M704" s="7">
        <v>9977</v>
      </c>
      <c r="N704" s="5" t="s">
        <v>43</v>
      </c>
      <c r="O704" s="5">
        <v>11</v>
      </c>
      <c r="P704" s="7">
        <f t="shared" si="114"/>
        <v>8063.0400000000009</v>
      </c>
      <c r="Q704" s="7">
        <f t="shared" si="115"/>
        <v>9588.4800000000105</v>
      </c>
      <c r="R704" s="7" t="str">
        <f t="shared" si="116"/>
        <v>Normal</v>
      </c>
      <c r="S704" s="5">
        <v>3</v>
      </c>
      <c r="T704" s="5">
        <v>4</v>
      </c>
      <c r="U704" s="5" t="str" cm="1">
        <f t="array" ref="U704">_xlfn.IFS(T704=1,"Poor",T704=2,"Fair",T704=3,"Good",T704=4,"Excellent")</f>
        <v>Excellent</v>
      </c>
      <c r="V704" s="5" t="s">
        <v>43</v>
      </c>
      <c r="W704" s="5">
        <v>8</v>
      </c>
      <c r="X704" s="28">
        <f t="shared" ca="1" si="117"/>
        <v>43189</v>
      </c>
      <c r="Y704" s="28">
        <f t="shared" ca="1" si="118"/>
        <v>46842</v>
      </c>
      <c r="Z704" s="28" t="str">
        <f t="shared" ca="1" si="119"/>
        <v>Upcoming</v>
      </c>
      <c r="AA704" s="5" t="str" cm="1">
        <f t="array" ref="AA704">_xlfn.IFS(W704&gt;10,"Veteran",W704&gt;=6,"Experienced",W704&gt;=2,"Developing",W704&gt;=0,"New")</f>
        <v>Experienced</v>
      </c>
      <c r="AB704" s="5" t="str" cm="1">
        <f t="array" ref="AB704">_xlfn.IFS(G704=1,"Junior",G704=2,"Mid-Level",G704=3,"Senior",G704=4,"Lead",G704=5,"Principal")&amp;" "&amp;TRIM(PROPER(H704))</f>
        <v>Senior Sales Executive</v>
      </c>
      <c r="AC704" s="19" t="str">
        <f t="shared" ca="1" si="120"/>
        <v>Sa-Sal-2018-703 is a Senior Sales Executive in the Sales department, aged 30, divorced and has been with the Company for 8years</v>
      </c>
    </row>
    <row r="705" spans="1:29">
      <c r="A705" s="18" t="str">
        <f t="shared" ca="1" si="110"/>
        <v>Sa-Sal-2021-704</v>
      </c>
      <c r="B705" s="5">
        <v>38</v>
      </c>
      <c r="C705" s="5" t="str">
        <f t="shared" si="111"/>
        <v>30-39</v>
      </c>
      <c r="D705" s="5" t="s">
        <v>43</v>
      </c>
      <c r="E705" s="5" t="s">
        <v>37</v>
      </c>
      <c r="F705" s="5" t="s">
        <v>39</v>
      </c>
      <c r="G705" s="5">
        <v>2</v>
      </c>
      <c r="H705" s="5" t="s">
        <v>40</v>
      </c>
      <c r="I705" s="5" t="s">
        <v>41</v>
      </c>
      <c r="J705" s="7">
        <v>5666</v>
      </c>
      <c r="K705" s="7">
        <f t="shared" si="112"/>
        <v>849.9</v>
      </c>
      <c r="L705" s="7">
        <f t="shared" si="113"/>
        <v>4816.1000000000004</v>
      </c>
      <c r="M705" s="7">
        <v>19899</v>
      </c>
      <c r="N705" s="5" t="s">
        <v>35</v>
      </c>
      <c r="O705" s="5">
        <v>13</v>
      </c>
      <c r="P705" s="7">
        <f t="shared" si="114"/>
        <v>6402.579999999999</v>
      </c>
      <c r="Q705" s="7">
        <f t="shared" si="115"/>
        <v>8838.9599999999882</v>
      </c>
      <c r="R705" s="7" t="str">
        <f t="shared" si="116"/>
        <v>Normal</v>
      </c>
      <c r="S705" s="5">
        <v>3</v>
      </c>
      <c r="T705" s="5">
        <v>3</v>
      </c>
      <c r="U705" s="5" t="str" cm="1">
        <f t="array" ref="U705">_xlfn.IFS(T705=1,"Poor",T705=2,"Fair",T705=3,"Good",T705=4,"Excellent")</f>
        <v>Good</v>
      </c>
      <c r="V705" s="5" t="s">
        <v>35</v>
      </c>
      <c r="W705" s="5">
        <v>5</v>
      </c>
      <c r="X705" s="28">
        <f t="shared" ca="1" si="117"/>
        <v>44285</v>
      </c>
      <c r="Y705" s="28">
        <f t="shared" ca="1" si="118"/>
        <v>46476</v>
      </c>
      <c r="Z705" s="28" t="str">
        <f t="shared" ca="1" si="119"/>
        <v>Due Soon</v>
      </c>
      <c r="AA705" s="5" t="str" cm="1">
        <f t="array" ref="AA705">_xlfn.IFS(W705&gt;10,"Veteran",W705&gt;=6,"Experienced",W705&gt;=2,"Developing",W705&gt;=0,"New")</f>
        <v>Developing</v>
      </c>
      <c r="AB705" s="5" t="str" cm="1">
        <f t="array" ref="AB705">_xlfn.IFS(G705=1,"Junior",G705=2,"Mid-Level",G705=3,"Senior",G705=4,"Lead",G705=5,"Principal")&amp;" "&amp;TRIM(PROPER(H705))</f>
        <v>Mid-Level Sales Executive</v>
      </c>
      <c r="AC705" s="19" t="str">
        <f t="shared" ca="1" si="120"/>
        <v>Sa-Sal-2021-704 is a Mid-Level Sales Executive in the Sales department, aged 38, single and has been with the Company for 5years</v>
      </c>
    </row>
    <row r="706" spans="1:29">
      <c r="A706" s="18" t="str">
        <f t="shared" ca="1" si="110"/>
        <v>Sa-Sal-2016-705</v>
      </c>
      <c r="B706" s="5">
        <v>35</v>
      </c>
      <c r="C706" s="5" t="str">
        <f t="shared" si="111"/>
        <v>30-39</v>
      </c>
      <c r="D706" s="5" t="s">
        <v>43</v>
      </c>
      <c r="E706" s="5" t="s">
        <v>37</v>
      </c>
      <c r="F706" s="5" t="s">
        <v>46</v>
      </c>
      <c r="G706" s="5">
        <v>3</v>
      </c>
      <c r="H706" s="5" t="s">
        <v>40</v>
      </c>
      <c r="I706" s="5" t="s">
        <v>52</v>
      </c>
      <c r="J706" s="7">
        <v>7823</v>
      </c>
      <c r="K706" s="7">
        <f t="shared" si="112"/>
        <v>1721.06</v>
      </c>
      <c r="L706" s="7">
        <f t="shared" si="113"/>
        <v>6101.9400000000005</v>
      </c>
      <c r="M706" s="7">
        <v>6812</v>
      </c>
      <c r="N706" s="5" t="s">
        <v>43</v>
      </c>
      <c r="O706" s="5">
        <v>13</v>
      </c>
      <c r="P706" s="7">
        <f t="shared" si="114"/>
        <v>8839.99</v>
      </c>
      <c r="Q706" s="7">
        <f t="shared" si="115"/>
        <v>12203.879999999997</v>
      </c>
      <c r="R706" s="7" t="str">
        <f t="shared" si="116"/>
        <v>Normal</v>
      </c>
      <c r="S706" s="5">
        <v>3</v>
      </c>
      <c r="T706" s="5">
        <v>3</v>
      </c>
      <c r="U706" s="5" t="str" cm="1">
        <f t="array" ref="U706">_xlfn.IFS(T706=1,"Poor",T706=2,"Fair",T706=3,"Good",T706=4,"Excellent")</f>
        <v>Good</v>
      </c>
      <c r="V706" s="5" t="s">
        <v>43</v>
      </c>
      <c r="W706" s="5">
        <v>10</v>
      </c>
      <c r="X706" s="28">
        <f t="shared" ca="1" si="117"/>
        <v>42459</v>
      </c>
      <c r="Y706" s="28">
        <f t="shared" ca="1" si="118"/>
        <v>46842</v>
      </c>
      <c r="Z706" s="28" t="str">
        <f t="shared" ca="1" si="119"/>
        <v>Upcoming</v>
      </c>
      <c r="AA706" s="5" t="str" cm="1">
        <f t="array" ref="AA706">_xlfn.IFS(W706&gt;10,"Veteran",W706&gt;=6,"Experienced",W706&gt;=2,"Developing",W706&gt;=0,"New")</f>
        <v>Experienced</v>
      </c>
      <c r="AB706" s="5" t="str" cm="1">
        <f t="array" ref="AB706">_xlfn.IFS(G706=1,"Junior",G706=2,"Mid-Level",G706=3,"Senior",G706=4,"Lead",G706=5,"Principal")&amp;" "&amp;TRIM(PROPER(H706))</f>
        <v>Senior Sales Executive</v>
      </c>
      <c r="AC706" s="19" t="str">
        <f t="shared" ca="1" si="120"/>
        <v>Sa-Sal-2016-705 is a Senior Sales Executive in the Sales department, aged 35, divorced and has been with the Company for 10years</v>
      </c>
    </row>
    <row r="707" spans="1:29">
      <c r="A707" s="18" t="str">
        <f t="shared" ref="A707:A770" ca="1" si="121">LEFT(H707,2)&amp;"-"&amp;LEFT(E707,3)&amp;"-"&amp;YEAR(TODAY())-W707&amp;"-"&amp;TEXT(ROW()-1,"000")</f>
        <v>Sa-Sal-2018-706</v>
      </c>
      <c r="B707" s="5">
        <v>39</v>
      </c>
      <c r="C707" s="5" t="str">
        <f t="shared" ref="C707:C770" si="122">IF(B707&lt;=29,"20-29",IF(B707&lt;=39,"30-39",IF(B707&lt;=49,"40-49","50+")))</f>
        <v>30-39</v>
      </c>
      <c r="D707" s="5" t="s">
        <v>43</v>
      </c>
      <c r="E707" s="5" t="s">
        <v>37</v>
      </c>
      <c r="F707" s="5" t="s">
        <v>46</v>
      </c>
      <c r="G707" s="5">
        <v>3</v>
      </c>
      <c r="H707" s="5" t="s">
        <v>40</v>
      </c>
      <c r="I707" s="5" t="s">
        <v>41</v>
      </c>
      <c r="J707" s="7">
        <v>7880</v>
      </c>
      <c r="K707" s="7">
        <f t="shared" ref="K707:K770" si="123">IF(J707&gt;13000,J707*30%,IF(J707&gt;7000,J707*22%,IF(J707&gt;3000,J707*15%,J707*7%)))</f>
        <v>1733.6</v>
      </c>
      <c r="L707" s="7">
        <f t="shared" ref="L707:L770" si="124">J707-K707</f>
        <v>6146.4</v>
      </c>
      <c r="M707" s="7">
        <v>2560</v>
      </c>
      <c r="N707" s="5" t="s">
        <v>43</v>
      </c>
      <c r="O707" s="5">
        <v>18</v>
      </c>
      <c r="P707" s="7">
        <f t="shared" ref="P707:P770" si="125">J707*(1+(O707/100))</f>
        <v>9298.4</v>
      </c>
      <c r="Q707" s="7">
        <f t="shared" ref="Q707:Q770" si="126">(P707-J707)*12</f>
        <v>17020.799999999996</v>
      </c>
      <c r="R707" s="7" t="str">
        <f t="shared" ref="R707:R770" si="127">IF(AND(O707&lt;12,S707=4),"UnderPaid","Normal")</f>
        <v>Normal</v>
      </c>
      <c r="S707" s="5">
        <v>3</v>
      </c>
      <c r="T707" s="5">
        <v>3</v>
      </c>
      <c r="U707" s="5" t="str" cm="1">
        <f t="array" ref="U707">_xlfn.IFS(T707=1,"Poor",T707=2,"Fair",T707=3,"Good",T707=4,"Excellent")</f>
        <v>Good</v>
      </c>
      <c r="V707" s="5" t="s">
        <v>43</v>
      </c>
      <c r="W707" s="5">
        <v>8</v>
      </c>
      <c r="X707" s="28">
        <f t="shared" ref="X707:X770" ca="1" si="128">EDATE(TODAY(),-W707*12)</f>
        <v>43189</v>
      </c>
      <c r="Y707" s="28">
        <f t="shared" ref="Y707:Y770" ca="1" si="129">EDATE(X707,(INT(W707/2)+1)*24)</f>
        <v>46842</v>
      </c>
      <c r="Z707" s="28" t="str">
        <f t="shared" ref="Z707:Z770" ca="1" si="130">IF(Y707&lt;=EDATE(TODAY(),12),"Due Soon","Upcoming")</f>
        <v>Upcoming</v>
      </c>
      <c r="AA707" s="5" t="str" cm="1">
        <f t="array" ref="AA707">_xlfn.IFS(W707&gt;10,"Veteran",W707&gt;=6,"Experienced",W707&gt;=2,"Developing",W707&gt;=0,"New")</f>
        <v>Experienced</v>
      </c>
      <c r="AB707" s="5" t="str" cm="1">
        <f t="array" ref="AB707">_xlfn.IFS(G707=1,"Junior",G707=2,"Mid-Level",G707=3,"Senior",G707=4,"Lead",G707=5,"Principal")&amp;" "&amp;TRIM(PROPER(H707))</f>
        <v>Senior Sales Executive</v>
      </c>
      <c r="AC707" s="19" t="str">
        <f t="shared" ref="AC707:AC770" ca="1" si="131">A707&amp;" is a "&amp;AB707&amp;" in the "&amp;E707&amp;" department, aged "&amp;B707&amp;", "&amp;LOWER(I707)&amp;" and has been with the Company for "&amp;W707&amp;"years"</f>
        <v>Sa-Sal-2018-706 is a Senior Sales Executive in the Sales department, aged 39, single and has been with the Company for 8years</v>
      </c>
    </row>
    <row r="708" spans="1:29">
      <c r="A708" s="18" t="str">
        <f t="shared" ca="1" si="121"/>
        <v>Sa-Sal-2025-707</v>
      </c>
      <c r="B708" s="5">
        <v>40</v>
      </c>
      <c r="C708" s="5" t="str">
        <f t="shared" si="122"/>
        <v>40-49</v>
      </c>
      <c r="D708" s="5" t="s">
        <v>35</v>
      </c>
      <c r="E708" s="5" t="s">
        <v>37</v>
      </c>
      <c r="F708" s="5" t="s">
        <v>39</v>
      </c>
      <c r="G708" s="5">
        <v>4</v>
      </c>
      <c r="H708" s="5" t="s">
        <v>40</v>
      </c>
      <c r="I708" s="5" t="s">
        <v>41</v>
      </c>
      <c r="J708" s="7">
        <v>13194</v>
      </c>
      <c r="K708" s="7">
        <f t="shared" si="123"/>
        <v>3958.2</v>
      </c>
      <c r="L708" s="7">
        <f t="shared" si="124"/>
        <v>9235.7999999999993</v>
      </c>
      <c r="M708" s="7">
        <v>17071</v>
      </c>
      <c r="N708" s="5" t="s">
        <v>35</v>
      </c>
      <c r="O708" s="5">
        <v>16</v>
      </c>
      <c r="P708" s="7">
        <f t="shared" si="125"/>
        <v>15305.039999999999</v>
      </c>
      <c r="Q708" s="7">
        <f t="shared" si="126"/>
        <v>25332.479999999989</v>
      </c>
      <c r="R708" s="7" t="str">
        <f t="shared" si="127"/>
        <v>Normal</v>
      </c>
      <c r="S708" s="5">
        <v>3</v>
      </c>
      <c r="T708" s="5">
        <v>2</v>
      </c>
      <c r="U708" s="5" t="str" cm="1">
        <f t="array" ref="U708">_xlfn.IFS(T708=1,"Poor",T708=2,"Fair",T708=3,"Good",T708=4,"Excellent")</f>
        <v>Fair</v>
      </c>
      <c r="V708" s="5" t="s">
        <v>35</v>
      </c>
      <c r="W708" s="5">
        <v>1</v>
      </c>
      <c r="X708" s="28">
        <f t="shared" ca="1" si="128"/>
        <v>45746</v>
      </c>
      <c r="Y708" s="28">
        <f t="shared" ca="1" si="129"/>
        <v>46476</v>
      </c>
      <c r="Z708" s="28" t="str">
        <f t="shared" ca="1" si="130"/>
        <v>Due Soon</v>
      </c>
      <c r="AA708" s="5" t="str" cm="1">
        <f t="array" ref="AA708">_xlfn.IFS(W708&gt;10,"Veteran",W708&gt;=6,"Experienced",W708&gt;=2,"Developing",W708&gt;=0,"New")</f>
        <v>New</v>
      </c>
      <c r="AB708" s="5" t="str" cm="1">
        <f t="array" ref="AB708">_xlfn.IFS(G708=1,"Junior",G708=2,"Mid-Level",G708=3,"Senior",G708=4,"Lead",G708=5,"Principal")&amp;" "&amp;TRIM(PROPER(H708))</f>
        <v>Lead Sales Executive</v>
      </c>
      <c r="AC708" s="19" t="str">
        <f t="shared" ca="1" si="131"/>
        <v>Sa-Sal-2025-707 is a Lead Sales Executive in the Sales department, aged 40, single and has been with the Company for 1years</v>
      </c>
    </row>
    <row r="709" spans="1:29">
      <c r="A709" s="18" t="str">
        <f t="shared" ca="1" si="121"/>
        <v>Ma-Res-2007-708</v>
      </c>
      <c r="B709" s="5">
        <v>47</v>
      </c>
      <c r="C709" s="5" t="str">
        <f t="shared" si="122"/>
        <v>40-49</v>
      </c>
      <c r="D709" s="5" t="s">
        <v>43</v>
      </c>
      <c r="E709" s="5" t="s">
        <v>45</v>
      </c>
      <c r="F709" s="5" t="s">
        <v>46</v>
      </c>
      <c r="G709" s="5">
        <v>2</v>
      </c>
      <c r="H709" s="5" t="s">
        <v>53</v>
      </c>
      <c r="I709" s="5" t="s">
        <v>52</v>
      </c>
      <c r="J709" s="7">
        <v>5067</v>
      </c>
      <c r="K709" s="7">
        <f t="shared" si="123"/>
        <v>760.05</v>
      </c>
      <c r="L709" s="7">
        <f t="shared" si="124"/>
        <v>4306.95</v>
      </c>
      <c r="M709" s="7">
        <v>6759</v>
      </c>
      <c r="N709" s="5" t="s">
        <v>35</v>
      </c>
      <c r="O709" s="5">
        <v>19</v>
      </c>
      <c r="P709" s="7">
        <f t="shared" si="125"/>
        <v>6029.73</v>
      </c>
      <c r="Q709" s="7">
        <f t="shared" si="126"/>
        <v>11552.759999999995</v>
      </c>
      <c r="R709" s="7" t="str">
        <f t="shared" si="127"/>
        <v>Normal</v>
      </c>
      <c r="S709" s="5">
        <v>3</v>
      </c>
      <c r="T709" s="5">
        <v>4</v>
      </c>
      <c r="U709" s="5" t="str" cm="1">
        <f t="array" ref="U709">_xlfn.IFS(T709=1,"Poor",T709=2,"Fair",T709=3,"Good",T709=4,"Excellent")</f>
        <v>Excellent</v>
      </c>
      <c r="V709" s="5" t="s">
        <v>35</v>
      </c>
      <c r="W709" s="5">
        <v>19</v>
      </c>
      <c r="X709" s="28">
        <f t="shared" ca="1" si="128"/>
        <v>39171</v>
      </c>
      <c r="Y709" s="28">
        <f t="shared" ca="1" si="129"/>
        <v>46476</v>
      </c>
      <c r="Z709" s="28" t="str">
        <f t="shared" ca="1" si="130"/>
        <v>Due Soon</v>
      </c>
      <c r="AA709" s="5" t="str" cm="1">
        <f t="array" ref="AA709">_xlfn.IFS(W709&gt;10,"Veteran",W709&gt;=6,"Experienced",W709&gt;=2,"Developing",W709&gt;=0,"New")</f>
        <v>Veteran</v>
      </c>
      <c r="AB709" s="5" t="str" cm="1">
        <f t="array" ref="AB709">_xlfn.IFS(G709=1,"Junior",G709=2,"Mid-Level",G709=3,"Senior",G709=4,"Lead",G709=5,"Principal")&amp;" "&amp;TRIM(PROPER(H709))</f>
        <v>Mid-Level Manufacturing Director</v>
      </c>
      <c r="AC709" s="19" t="str">
        <f t="shared" ca="1" si="131"/>
        <v>Ma-Res-2007-708 is a Mid-Level Manufacturing Director in the Research &amp; Development department, aged 47, divorced and has been with the Company for 19years</v>
      </c>
    </row>
    <row r="710" spans="1:29">
      <c r="A710" s="18" t="str">
        <f t="shared" ca="1" si="121"/>
        <v>Sa-Sal-2019-709</v>
      </c>
      <c r="B710" s="5">
        <v>36</v>
      </c>
      <c r="C710" s="5" t="str">
        <f t="shared" si="122"/>
        <v>30-39</v>
      </c>
      <c r="D710" s="5" t="s">
        <v>43</v>
      </c>
      <c r="E710" s="5" t="s">
        <v>37</v>
      </c>
      <c r="F710" s="5" t="s">
        <v>46</v>
      </c>
      <c r="G710" s="5">
        <v>2</v>
      </c>
      <c r="H710" s="5" t="s">
        <v>40</v>
      </c>
      <c r="I710" s="5" t="s">
        <v>52</v>
      </c>
      <c r="J710" s="7">
        <v>5079</v>
      </c>
      <c r="K710" s="7">
        <f t="shared" si="123"/>
        <v>761.85</v>
      </c>
      <c r="L710" s="7">
        <f t="shared" si="124"/>
        <v>4317.1499999999996</v>
      </c>
      <c r="M710" s="7">
        <v>25952</v>
      </c>
      <c r="N710" s="5" t="s">
        <v>43</v>
      </c>
      <c r="O710" s="5">
        <v>13</v>
      </c>
      <c r="P710" s="7">
        <f t="shared" si="125"/>
        <v>5739.2699999999995</v>
      </c>
      <c r="Q710" s="7">
        <f t="shared" si="126"/>
        <v>7923.2399999999943</v>
      </c>
      <c r="R710" s="7" t="str">
        <f t="shared" si="127"/>
        <v>Normal</v>
      </c>
      <c r="S710" s="5">
        <v>3</v>
      </c>
      <c r="T710" s="5">
        <v>3</v>
      </c>
      <c r="U710" s="5" t="str" cm="1">
        <f t="array" ref="U710">_xlfn.IFS(T710=1,"Poor",T710=2,"Fair",T710=3,"Good",T710=4,"Excellent")</f>
        <v>Good</v>
      </c>
      <c r="V710" s="5" t="s">
        <v>43</v>
      </c>
      <c r="W710" s="5">
        <v>7</v>
      </c>
      <c r="X710" s="28">
        <f t="shared" ca="1" si="128"/>
        <v>43554</v>
      </c>
      <c r="Y710" s="28">
        <f t="shared" ca="1" si="129"/>
        <v>46476</v>
      </c>
      <c r="Z710" s="28" t="str">
        <f t="shared" ca="1" si="130"/>
        <v>Due Soon</v>
      </c>
      <c r="AA710" s="5" t="str" cm="1">
        <f t="array" ref="AA710">_xlfn.IFS(W710&gt;10,"Veteran",W710&gt;=6,"Experienced",W710&gt;=2,"Developing",W710&gt;=0,"New")</f>
        <v>Experienced</v>
      </c>
      <c r="AB710" s="5" t="str" cm="1">
        <f t="array" ref="AB710">_xlfn.IFS(G710=1,"Junior",G710=2,"Mid-Level",G710=3,"Senior",G710=4,"Lead",G710=5,"Principal")&amp;" "&amp;TRIM(PROPER(H710))</f>
        <v>Mid-Level Sales Executive</v>
      </c>
      <c r="AC710" s="19" t="str">
        <f t="shared" ca="1" si="131"/>
        <v>Sa-Sal-2019-709 is a Mid-Level Sales Executive in the Sales department, aged 36, divorced and has been with the Company for 7years</v>
      </c>
    </row>
    <row r="711" spans="1:29">
      <c r="A711" s="18" t="str">
        <f t="shared" ca="1" si="121"/>
        <v>Re-Res-2023-710</v>
      </c>
      <c r="B711" s="5">
        <v>31</v>
      </c>
      <c r="C711" s="5" t="str">
        <f t="shared" si="122"/>
        <v>30-39</v>
      </c>
      <c r="D711" s="5" t="s">
        <v>35</v>
      </c>
      <c r="E711" s="5" t="s">
        <v>45</v>
      </c>
      <c r="F711" s="5" t="s">
        <v>46</v>
      </c>
      <c r="G711" s="5">
        <v>1</v>
      </c>
      <c r="H711" s="5" t="s">
        <v>47</v>
      </c>
      <c r="I711" s="5" t="s">
        <v>41</v>
      </c>
      <c r="J711" s="7">
        <v>2321</v>
      </c>
      <c r="K711" s="7">
        <f t="shared" si="123"/>
        <v>162.47000000000003</v>
      </c>
      <c r="L711" s="7">
        <f t="shared" si="124"/>
        <v>2158.5299999999997</v>
      </c>
      <c r="M711" s="7">
        <v>10322</v>
      </c>
      <c r="N711" s="5" t="s">
        <v>35</v>
      </c>
      <c r="O711" s="5">
        <v>22</v>
      </c>
      <c r="P711" s="7">
        <f t="shared" si="125"/>
        <v>2831.62</v>
      </c>
      <c r="Q711" s="7">
        <f t="shared" si="126"/>
        <v>6127.4399999999987</v>
      </c>
      <c r="R711" s="7" t="str">
        <f t="shared" si="127"/>
        <v>Normal</v>
      </c>
      <c r="S711" s="5">
        <v>4</v>
      </c>
      <c r="T711" s="5">
        <v>3</v>
      </c>
      <c r="U711" s="5" t="str" cm="1">
        <f t="array" ref="U711">_xlfn.IFS(T711=1,"Poor",T711=2,"Fair",T711=3,"Good",T711=4,"Excellent")</f>
        <v>Good</v>
      </c>
      <c r="V711" s="5" t="s">
        <v>35</v>
      </c>
      <c r="W711" s="5">
        <v>3</v>
      </c>
      <c r="X711" s="28">
        <f t="shared" ca="1" si="128"/>
        <v>45015</v>
      </c>
      <c r="Y711" s="28">
        <f t="shared" ca="1" si="129"/>
        <v>46476</v>
      </c>
      <c r="Z711" s="28" t="str">
        <f t="shared" ca="1" si="130"/>
        <v>Due Soon</v>
      </c>
      <c r="AA711" s="5" t="str" cm="1">
        <f t="array" ref="AA711">_xlfn.IFS(W711&gt;10,"Veteran",W711&gt;=6,"Experienced",W711&gt;=2,"Developing",W711&gt;=0,"New")</f>
        <v>Developing</v>
      </c>
      <c r="AB711" s="5" t="str" cm="1">
        <f t="array" ref="AB711">_xlfn.IFS(G711=1,"Junior",G711=2,"Mid-Level",G711=3,"Senior",G711=4,"Lead",G711=5,"Principal")&amp;" "&amp;TRIM(PROPER(H711))</f>
        <v>Junior Research Scientist</v>
      </c>
      <c r="AC711" s="19" t="str">
        <f t="shared" ca="1" si="131"/>
        <v>Re-Res-2023-710 is a Junior Research Scientist in the Research &amp; Development department, aged 31, single and has been with the Company for 3years</v>
      </c>
    </row>
    <row r="712" spans="1:29">
      <c r="A712" s="18" t="str">
        <f t="shared" ca="1" si="121"/>
        <v>Ma-Sal-2016-711</v>
      </c>
      <c r="B712" s="5">
        <v>33</v>
      </c>
      <c r="C712" s="5" t="str">
        <f t="shared" si="122"/>
        <v>30-39</v>
      </c>
      <c r="D712" s="5" t="s">
        <v>43</v>
      </c>
      <c r="E712" s="5" t="s">
        <v>37</v>
      </c>
      <c r="F712" s="5" t="s">
        <v>46</v>
      </c>
      <c r="G712" s="5">
        <v>4</v>
      </c>
      <c r="H712" s="5" t="s">
        <v>56</v>
      </c>
      <c r="I712" s="5" t="s">
        <v>41</v>
      </c>
      <c r="J712" s="7">
        <v>17444</v>
      </c>
      <c r="K712" s="7">
        <f t="shared" si="123"/>
        <v>5233.2</v>
      </c>
      <c r="L712" s="7">
        <f t="shared" si="124"/>
        <v>12210.8</v>
      </c>
      <c r="M712" s="7">
        <v>20489</v>
      </c>
      <c r="N712" s="5" t="s">
        <v>43</v>
      </c>
      <c r="O712" s="5">
        <v>11</v>
      </c>
      <c r="P712" s="7">
        <f t="shared" si="125"/>
        <v>19362.84</v>
      </c>
      <c r="Q712" s="7">
        <f t="shared" si="126"/>
        <v>23026.080000000002</v>
      </c>
      <c r="R712" s="7" t="str">
        <f t="shared" si="127"/>
        <v>Normal</v>
      </c>
      <c r="S712" s="5">
        <v>3</v>
      </c>
      <c r="T712" s="5">
        <v>3</v>
      </c>
      <c r="U712" s="5" t="str" cm="1">
        <f t="array" ref="U712">_xlfn.IFS(T712=1,"Poor",T712=2,"Fair",T712=3,"Good",T712=4,"Excellent")</f>
        <v>Good</v>
      </c>
      <c r="V712" s="5" t="s">
        <v>43</v>
      </c>
      <c r="W712" s="5">
        <v>10</v>
      </c>
      <c r="X712" s="28">
        <f t="shared" ca="1" si="128"/>
        <v>42459</v>
      </c>
      <c r="Y712" s="28">
        <f t="shared" ca="1" si="129"/>
        <v>46842</v>
      </c>
      <c r="Z712" s="28" t="str">
        <f t="shared" ca="1" si="130"/>
        <v>Upcoming</v>
      </c>
      <c r="AA712" s="5" t="str" cm="1">
        <f t="array" ref="AA712">_xlfn.IFS(W712&gt;10,"Veteran",W712&gt;=6,"Experienced",W712&gt;=2,"Developing",W712&gt;=0,"New")</f>
        <v>Experienced</v>
      </c>
      <c r="AB712" s="5" t="str" cm="1">
        <f t="array" ref="AB712">_xlfn.IFS(G712=1,"Junior",G712=2,"Mid-Level",G712=3,"Senior",G712=4,"Lead",G712=5,"Principal")&amp;" "&amp;TRIM(PROPER(H712))</f>
        <v>Lead Manager</v>
      </c>
      <c r="AC712" s="19" t="str">
        <f t="shared" ca="1" si="131"/>
        <v>Ma-Sal-2016-711 is a Lead Manager in the Sales department, aged 33, single and has been with the Company for 10years</v>
      </c>
    </row>
    <row r="713" spans="1:29">
      <c r="A713" s="18" t="str">
        <f t="shared" ca="1" si="121"/>
        <v>Re-Res-2026-712</v>
      </c>
      <c r="B713" s="5">
        <v>29</v>
      </c>
      <c r="C713" s="5" t="str">
        <f t="shared" si="122"/>
        <v>20-29</v>
      </c>
      <c r="D713" s="5" t="s">
        <v>35</v>
      </c>
      <c r="E713" s="5" t="s">
        <v>45</v>
      </c>
      <c r="F713" s="5" t="s">
        <v>39</v>
      </c>
      <c r="G713" s="5">
        <v>1</v>
      </c>
      <c r="H713" s="5" t="s">
        <v>47</v>
      </c>
      <c r="I713" s="5" t="s">
        <v>41</v>
      </c>
      <c r="J713" s="7">
        <v>2404</v>
      </c>
      <c r="K713" s="7">
        <f t="shared" si="123"/>
        <v>168.28000000000003</v>
      </c>
      <c r="L713" s="7">
        <f t="shared" si="124"/>
        <v>2235.7199999999998</v>
      </c>
      <c r="M713" s="7">
        <v>11479</v>
      </c>
      <c r="N713" s="5" t="s">
        <v>35</v>
      </c>
      <c r="O713" s="5">
        <v>20</v>
      </c>
      <c r="P713" s="7">
        <f t="shared" si="125"/>
        <v>2884.7999999999997</v>
      </c>
      <c r="Q713" s="7">
        <f t="shared" si="126"/>
        <v>5769.5999999999967</v>
      </c>
      <c r="R713" s="7" t="str">
        <f t="shared" si="127"/>
        <v>Normal</v>
      </c>
      <c r="S713" s="5">
        <v>4</v>
      </c>
      <c r="T713" s="5">
        <v>3</v>
      </c>
      <c r="U713" s="5" t="str" cm="1">
        <f t="array" ref="U713">_xlfn.IFS(T713=1,"Poor",T713=2,"Fair",T713=3,"Good",T713=4,"Excellent")</f>
        <v>Good</v>
      </c>
      <c r="V713" s="5" t="s">
        <v>35</v>
      </c>
      <c r="W713" s="5">
        <v>0</v>
      </c>
      <c r="X713" s="28">
        <f t="shared" ca="1" si="128"/>
        <v>46111</v>
      </c>
      <c r="Y713" s="28">
        <f t="shared" ca="1" si="129"/>
        <v>46842</v>
      </c>
      <c r="Z713" s="28" t="str">
        <f t="shared" ca="1" si="130"/>
        <v>Upcoming</v>
      </c>
      <c r="AA713" s="5" t="str" cm="1">
        <f t="array" ref="AA713">_xlfn.IFS(W713&gt;10,"Veteran",W713&gt;=6,"Experienced",W713&gt;=2,"Developing",W713&gt;=0,"New")</f>
        <v>New</v>
      </c>
      <c r="AB713" s="5" t="str" cm="1">
        <f t="array" ref="AB713">_xlfn.IFS(G713=1,"Junior",G713=2,"Mid-Level",G713=3,"Senior",G713=4,"Lead",G713=5,"Principal")&amp;" "&amp;TRIM(PROPER(H713))</f>
        <v>Junior Research Scientist</v>
      </c>
      <c r="AC713" s="19" t="str">
        <f t="shared" ca="1" si="131"/>
        <v>Re-Res-2026-712 is a Junior Research Scientist in the Research &amp; Development department, aged 29, single and has been with the Company for 0years</v>
      </c>
    </row>
    <row r="714" spans="1:29">
      <c r="A714" s="18" t="str">
        <f t="shared" ca="1" si="121"/>
        <v>Re-Res-2023-713</v>
      </c>
      <c r="B714" s="5">
        <v>33</v>
      </c>
      <c r="C714" s="5" t="str">
        <f t="shared" si="122"/>
        <v>30-39</v>
      </c>
      <c r="D714" s="5" t="s">
        <v>43</v>
      </c>
      <c r="E714" s="5" t="s">
        <v>45</v>
      </c>
      <c r="F714" s="5" t="s">
        <v>39</v>
      </c>
      <c r="G714" s="5">
        <v>1</v>
      </c>
      <c r="H714" s="5" t="s">
        <v>47</v>
      </c>
      <c r="I714" s="5" t="s">
        <v>41</v>
      </c>
      <c r="J714" s="7">
        <v>3452</v>
      </c>
      <c r="K714" s="7">
        <f t="shared" si="123"/>
        <v>517.79999999999995</v>
      </c>
      <c r="L714" s="7">
        <f t="shared" si="124"/>
        <v>2934.2</v>
      </c>
      <c r="M714" s="7">
        <v>17241</v>
      </c>
      <c r="N714" s="5" t="s">
        <v>43</v>
      </c>
      <c r="O714" s="5">
        <v>18</v>
      </c>
      <c r="P714" s="7">
        <f t="shared" si="125"/>
        <v>4073.3599999999997</v>
      </c>
      <c r="Q714" s="7">
        <f t="shared" si="126"/>
        <v>7456.3199999999961</v>
      </c>
      <c r="R714" s="7" t="str">
        <f t="shared" si="127"/>
        <v>Normal</v>
      </c>
      <c r="S714" s="5">
        <v>3</v>
      </c>
      <c r="T714" s="5">
        <v>3</v>
      </c>
      <c r="U714" s="5" t="str" cm="1">
        <f t="array" ref="U714">_xlfn.IFS(T714=1,"Poor",T714=2,"Fair",T714=3,"Good",T714=4,"Excellent")</f>
        <v>Good</v>
      </c>
      <c r="V714" s="5" t="s">
        <v>43</v>
      </c>
      <c r="W714" s="5">
        <v>3</v>
      </c>
      <c r="X714" s="28">
        <f t="shared" ca="1" si="128"/>
        <v>45015</v>
      </c>
      <c r="Y714" s="28">
        <f t="shared" ca="1" si="129"/>
        <v>46476</v>
      </c>
      <c r="Z714" s="28" t="str">
        <f t="shared" ca="1" si="130"/>
        <v>Due Soon</v>
      </c>
      <c r="AA714" s="5" t="str" cm="1">
        <f t="array" ref="AA714">_xlfn.IFS(W714&gt;10,"Veteran",W714&gt;=6,"Experienced",W714&gt;=2,"Developing",W714&gt;=0,"New")</f>
        <v>Developing</v>
      </c>
      <c r="AB714" s="5" t="str" cm="1">
        <f t="array" ref="AB714">_xlfn.IFS(G714=1,"Junior",G714=2,"Mid-Level",G714=3,"Senior",G714=4,"Lead",G714=5,"Principal")&amp;" "&amp;TRIM(PROPER(H714))</f>
        <v>Junior Research Scientist</v>
      </c>
      <c r="AC714" s="19" t="str">
        <f t="shared" ca="1" si="131"/>
        <v>Re-Res-2023-713 is a Junior Research Scientist in the Research &amp; Development department, aged 33, single and has been with the Company for 3years</v>
      </c>
    </row>
    <row r="715" spans="1:29">
      <c r="A715" s="18" t="str">
        <f t="shared" ca="1" si="121"/>
        <v>La-Res-2021-714</v>
      </c>
      <c r="B715" s="5">
        <v>45</v>
      </c>
      <c r="C715" s="5" t="str">
        <f t="shared" si="122"/>
        <v>40-49</v>
      </c>
      <c r="D715" s="5" t="s">
        <v>43</v>
      </c>
      <c r="E715" s="5" t="s">
        <v>45</v>
      </c>
      <c r="F715" s="5" t="s">
        <v>39</v>
      </c>
      <c r="G715" s="5">
        <v>1</v>
      </c>
      <c r="H715" s="5" t="s">
        <v>50</v>
      </c>
      <c r="I715" s="5" t="s">
        <v>52</v>
      </c>
      <c r="J715" s="7">
        <v>2270</v>
      </c>
      <c r="K715" s="7">
        <f t="shared" si="123"/>
        <v>158.9</v>
      </c>
      <c r="L715" s="7">
        <f t="shared" si="124"/>
        <v>2111.1</v>
      </c>
      <c r="M715" s="7">
        <v>11005</v>
      </c>
      <c r="N715" s="5" t="s">
        <v>43</v>
      </c>
      <c r="O715" s="5">
        <v>14</v>
      </c>
      <c r="P715" s="7">
        <f t="shared" si="125"/>
        <v>2587.8000000000002</v>
      </c>
      <c r="Q715" s="7">
        <f t="shared" si="126"/>
        <v>3813.6000000000022</v>
      </c>
      <c r="R715" s="7" t="str">
        <f t="shared" si="127"/>
        <v>Normal</v>
      </c>
      <c r="S715" s="5">
        <v>3</v>
      </c>
      <c r="T715" s="5">
        <v>3</v>
      </c>
      <c r="U715" s="5" t="str" cm="1">
        <f t="array" ref="U715">_xlfn.IFS(T715=1,"Poor",T715=2,"Fair",T715=3,"Good",T715=4,"Excellent")</f>
        <v>Good</v>
      </c>
      <c r="V715" s="5" t="s">
        <v>43</v>
      </c>
      <c r="W715" s="5">
        <v>5</v>
      </c>
      <c r="X715" s="28">
        <f t="shared" ca="1" si="128"/>
        <v>44285</v>
      </c>
      <c r="Y715" s="28">
        <f t="shared" ca="1" si="129"/>
        <v>46476</v>
      </c>
      <c r="Z715" s="28" t="str">
        <f t="shared" ca="1" si="130"/>
        <v>Due Soon</v>
      </c>
      <c r="AA715" s="5" t="str" cm="1">
        <f t="array" ref="AA715">_xlfn.IFS(W715&gt;10,"Veteran",W715&gt;=6,"Experienced",W715&gt;=2,"Developing",W715&gt;=0,"New")</f>
        <v>Developing</v>
      </c>
      <c r="AB715" s="5" t="str" cm="1">
        <f t="array" ref="AB715">_xlfn.IFS(G715=1,"Junior",G715=2,"Mid-Level",G715=3,"Senior",G715=4,"Lead",G715=5,"Principal")&amp;" "&amp;TRIM(PROPER(H715))</f>
        <v>Junior Laboratory Technician</v>
      </c>
      <c r="AC715" s="19" t="str">
        <f t="shared" ca="1" si="131"/>
        <v>La-Res-2021-714 is a Junior Laboratory Technician in the Research &amp; Development department, aged 45, divorced and has been with the Company for 5years</v>
      </c>
    </row>
    <row r="716" spans="1:29">
      <c r="A716" s="18" t="str">
        <f t="shared" ca="1" si="121"/>
        <v>Re-Res-2021-715</v>
      </c>
      <c r="B716" s="5">
        <v>50</v>
      </c>
      <c r="C716" s="5" t="str">
        <f t="shared" si="122"/>
        <v>50+</v>
      </c>
      <c r="D716" s="5" t="s">
        <v>43</v>
      </c>
      <c r="E716" s="5" t="s">
        <v>45</v>
      </c>
      <c r="F716" s="5" t="s">
        <v>46</v>
      </c>
      <c r="G716" s="5">
        <v>4</v>
      </c>
      <c r="H716" s="5" t="s">
        <v>58</v>
      </c>
      <c r="I716" s="5" t="s">
        <v>52</v>
      </c>
      <c r="J716" s="7">
        <v>17399</v>
      </c>
      <c r="K716" s="7">
        <f t="shared" si="123"/>
        <v>5219.7</v>
      </c>
      <c r="L716" s="7">
        <f t="shared" si="124"/>
        <v>12179.3</v>
      </c>
      <c r="M716" s="7">
        <v>6615</v>
      </c>
      <c r="N716" s="5" t="s">
        <v>43</v>
      </c>
      <c r="O716" s="5">
        <v>22</v>
      </c>
      <c r="P716" s="7">
        <f t="shared" si="125"/>
        <v>21226.78</v>
      </c>
      <c r="Q716" s="7">
        <f t="shared" si="126"/>
        <v>45933.359999999986</v>
      </c>
      <c r="R716" s="7" t="str">
        <f t="shared" si="127"/>
        <v>Normal</v>
      </c>
      <c r="S716" s="5">
        <v>4</v>
      </c>
      <c r="T716" s="5">
        <v>2</v>
      </c>
      <c r="U716" s="5" t="str" cm="1">
        <f t="array" ref="U716">_xlfn.IFS(T716=1,"Poor",T716=2,"Fair",T716=3,"Good",T716=4,"Excellent")</f>
        <v>Fair</v>
      </c>
      <c r="V716" s="5" t="s">
        <v>43</v>
      </c>
      <c r="W716" s="5">
        <v>5</v>
      </c>
      <c r="X716" s="28">
        <f t="shared" ca="1" si="128"/>
        <v>44285</v>
      </c>
      <c r="Y716" s="28">
        <f t="shared" ca="1" si="129"/>
        <v>46476</v>
      </c>
      <c r="Z716" s="28" t="str">
        <f t="shared" ca="1" si="130"/>
        <v>Due Soon</v>
      </c>
      <c r="AA716" s="5" t="str" cm="1">
        <f t="array" ref="AA716">_xlfn.IFS(W716&gt;10,"Veteran",W716&gt;=6,"Experienced",W716&gt;=2,"Developing",W716&gt;=0,"New")</f>
        <v>Developing</v>
      </c>
      <c r="AB716" s="5" t="str" cm="1">
        <f t="array" ref="AB716">_xlfn.IFS(G716=1,"Junior",G716=2,"Mid-Level",G716=3,"Senior",G716=4,"Lead",G716=5,"Principal")&amp;" "&amp;TRIM(PROPER(H716))</f>
        <v>Lead Research Director</v>
      </c>
      <c r="AC716" s="19" t="str">
        <f t="shared" ca="1" si="131"/>
        <v>Re-Res-2021-715 is a Lead Research Director in the Research &amp; Development department, aged 50, divorced and has been with the Company for 5years</v>
      </c>
    </row>
    <row r="717" spans="1:29">
      <c r="A717" s="18" t="str">
        <f t="shared" ca="1" si="121"/>
        <v>He-Res-2020-716</v>
      </c>
      <c r="B717" s="5">
        <v>33</v>
      </c>
      <c r="C717" s="5" t="str">
        <f t="shared" si="122"/>
        <v>30-39</v>
      </c>
      <c r="D717" s="5" t="s">
        <v>43</v>
      </c>
      <c r="E717" s="5" t="s">
        <v>45</v>
      </c>
      <c r="F717" s="5" t="s">
        <v>39</v>
      </c>
      <c r="G717" s="5">
        <v>2</v>
      </c>
      <c r="H717" s="5" t="s">
        <v>54</v>
      </c>
      <c r="I717" s="5" t="s">
        <v>48</v>
      </c>
      <c r="J717" s="7">
        <v>5488</v>
      </c>
      <c r="K717" s="7">
        <f t="shared" si="123"/>
        <v>823.19999999999993</v>
      </c>
      <c r="L717" s="7">
        <f t="shared" si="124"/>
        <v>4664.8</v>
      </c>
      <c r="M717" s="7">
        <v>20161</v>
      </c>
      <c r="N717" s="5" t="s">
        <v>35</v>
      </c>
      <c r="O717" s="5">
        <v>13</v>
      </c>
      <c r="P717" s="7">
        <f t="shared" si="125"/>
        <v>6201.44</v>
      </c>
      <c r="Q717" s="7">
        <f t="shared" si="126"/>
        <v>8561.2799999999952</v>
      </c>
      <c r="R717" s="7" t="str">
        <f t="shared" si="127"/>
        <v>Normal</v>
      </c>
      <c r="S717" s="5">
        <v>3</v>
      </c>
      <c r="T717" s="5">
        <v>3</v>
      </c>
      <c r="U717" s="5" t="str" cm="1">
        <f t="array" ref="U717">_xlfn.IFS(T717=1,"Poor",T717=2,"Fair",T717=3,"Good",T717=4,"Excellent")</f>
        <v>Good</v>
      </c>
      <c r="V717" s="5" t="s">
        <v>35</v>
      </c>
      <c r="W717" s="5">
        <v>6</v>
      </c>
      <c r="X717" s="28">
        <f t="shared" ca="1" si="128"/>
        <v>43920</v>
      </c>
      <c r="Y717" s="28">
        <f t="shared" ca="1" si="129"/>
        <v>46842</v>
      </c>
      <c r="Z717" s="28" t="str">
        <f t="shared" ca="1" si="130"/>
        <v>Upcoming</v>
      </c>
      <c r="AA717" s="5" t="str" cm="1">
        <f t="array" ref="AA717">_xlfn.IFS(W717&gt;10,"Veteran",W717&gt;=6,"Experienced",W717&gt;=2,"Developing",W717&gt;=0,"New")</f>
        <v>Experienced</v>
      </c>
      <c r="AB717" s="5" t="str" cm="1">
        <f t="array" ref="AB717">_xlfn.IFS(G717=1,"Junior",G717=2,"Mid-Level",G717=3,"Senior",G717=4,"Lead",G717=5,"Principal")&amp;" "&amp;TRIM(PROPER(H717))</f>
        <v>Mid-Level Healthcare Representative</v>
      </c>
      <c r="AC717" s="19" t="str">
        <f t="shared" ca="1" si="131"/>
        <v>He-Res-2020-716 is a Mid-Level Healthcare Representative in the Research &amp; Development department, aged 33, married and has been with the Company for 6years</v>
      </c>
    </row>
    <row r="718" spans="1:29">
      <c r="A718" s="18" t="str">
        <f t="shared" ca="1" si="121"/>
        <v>Re-Res-2008-717</v>
      </c>
      <c r="B718" s="5">
        <v>41</v>
      </c>
      <c r="C718" s="5" t="str">
        <f t="shared" si="122"/>
        <v>40-49</v>
      </c>
      <c r="D718" s="5" t="s">
        <v>43</v>
      </c>
      <c r="E718" s="5" t="s">
        <v>45</v>
      </c>
      <c r="F718" s="5" t="s">
        <v>46</v>
      </c>
      <c r="G718" s="5">
        <v>5</v>
      </c>
      <c r="H718" s="5" t="s">
        <v>58</v>
      </c>
      <c r="I718" s="5" t="s">
        <v>52</v>
      </c>
      <c r="J718" s="7">
        <v>19419</v>
      </c>
      <c r="K718" s="7">
        <f t="shared" si="123"/>
        <v>5825.7</v>
      </c>
      <c r="L718" s="7">
        <f t="shared" si="124"/>
        <v>13593.3</v>
      </c>
      <c r="M718" s="7">
        <v>3735</v>
      </c>
      <c r="N718" s="5" t="s">
        <v>43</v>
      </c>
      <c r="O718" s="5">
        <v>17</v>
      </c>
      <c r="P718" s="7">
        <f t="shared" si="125"/>
        <v>22720.23</v>
      </c>
      <c r="Q718" s="7">
        <f t="shared" si="126"/>
        <v>39614.759999999995</v>
      </c>
      <c r="R718" s="7" t="str">
        <f t="shared" si="127"/>
        <v>Normal</v>
      </c>
      <c r="S718" s="5">
        <v>3</v>
      </c>
      <c r="T718" s="5">
        <v>4</v>
      </c>
      <c r="U718" s="5" t="str" cm="1">
        <f t="array" ref="U718">_xlfn.IFS(T718=1,"Poor",T718=2,"Fair",T718=3,"Good",T718=4,"Excellent")</f>
        <v>Excellent</v>
      </c>
      <c r="V718" s="5" t="s">
        <v>43</v>
      </c>
      <c r="W718" s="5">
        <v>18</v>
      </c>
      <c r="X718" s="28">
        <f t="shared" ca="1" si="128"/>
        <v>39537</v>
      </c>
      <c r="Y718" s="28">
        <f t="shared" ca="1" si="129"/>
        <v>46842</v>
      </c>
      <c r="Z718" s="28" t="str">
        <f t="shared" ca="1" si="130"/>
        <v>Upcoming</v>
      </c>
      <c r="AA718" s="5" t="str" cm="1">
        <f t="array" ref="AA718">_xlfn.IFS(W718&gt;10,"Veteran",W718&gt;=6,"Experienced",W718&gt;=2,"Developing",W718&gt;=0,"New")</f>
        <v>Veteran</v>
      </c>
      <c r="AB718" s="5" t="str" cm="1">
        <f t="array" ref="AB718">_xlfn.IFS(G718=1,"Junior",G718=2,"Mid-Level",G718=3,"Senior",G718=4,"Lead",G718=5,"Principal")&amp;" "&amp;TRIM(PROPER(H718))</f>
        <v>Principal Research Director</v>
      </c>
      <c r="AC718" s="19" t="str">
        <f t="shared" ca="1" si="131"/>
        <v>Re-Res-2008-717 is a Principal Research Director in the Research &amp; Development department, aged 41, divorced and has been with the Company for 18years</v>
      </c>
    </row>
    <row r="719" spans="1:29">
      <c r="A719" s="18" t="str">
        <f t="shared" ca="1" si="121"/>
        <v>La-Res-2024-718</v>
      </c>
      <c r="B719" s="5">
        <v>27</v>
      </c>
      <c r="C719" s="5" t="str">
        <f t="shared" si="122"/>
        <v>20-29</v>
      </c>
      <c r="D719" s="5" t="s">
        <v>43</v>
      </c>
      <c r="E719" s="5" t="s">
        <v>45</v>
      </c>
      <c r="F719" s="5" t="s">
        <v>39</v>
      </c>
      <c r="G719" s="5">
        <v>1</v>
      </c>
      <c r="H719" s="5" t="s">
        <v>50</v>
      </c>
      <c r="I719" s="5" t="s">
        <v>48</v>
      </c>
      <c r="J719" s="7">
        <v>2811</v>
      </c>
      <c r="K719" s="7">
        <f t="shared" si="123"/>
        <v>196.77</v>
      </c>
      <c r="L719" s="7">
        <f t="shared" si="124"/>
        <v>2614.23</v>
      </c>
      <c r="M719" s="7">
        <v>12086</v>
      </c>
      <c r="N719" s="5" t="s">
        <v>43</v>
      </c>
      <c r="O719" s="5">
        <v>14</v>
      </c>
      <c r="P719" s="7">
        <f t="shared" si="125"/>
        <v>3204.5400000000004</v>
      </c>
      <c r="Q719" s="7">
        <f t="shared" si="126"/>
        <v>4722.480000000005</v>
      </c>
      <c r="R719" s="7" t="str">
        <f t="shared" si="127"/>
        <v>Normal</v>
      </c>
      <c r="S719" s="5">
        <v>3</v>
      </c>
      <c r="T719" s="5">
        <v>3</v>
      </c>
      <c r="U719" s="5" t="str" cm="1">
        <f t="array" ref="U719">_xlfn.IFS(T719=1,"Poor",T719=2,"Fair",T719=3,"Good",T719=4,"Excellent")</f>
        <v>Good</v>
      </c>
      <c r="V719" s="5" t="s">
        <v>43</v>
      </c>
      <c r="W719" s="5">
        <v>2</v>
      </c>
      <c r="X719" s="28">
        <f t="shared" ca="1" si="128"/>
        <v>45381</v>
      </c>
      <c r="Y719" s="28">
        <f t="shared" ca="1" si="129"/>
        <v>46842</v>
      </c>
      <c r="Z719" s="28" t="str">
        <f t="shared" ca="1" si="130"/>
        <v>Upcoming</v>
      </c>
      <c r="AA719" s="5" t="str" cm="1">
        <f t="array" ref="AA719">_xlfn.IFS(W719&gt;10,"Veteran",W719&gt;=6,"Experienced",W719&gt;=2,"Developing",W719&gt;=0,"New")</f>
        <v>Developing</v>
      </c>
      <c r="AB719" s="5" t="str" cm="1">
        <f t="array" ref="AB719">_xlfn.IFS(G719=1,"Junior",G719=2,"Mid-Level",G719=3,"Senior",G719=4,"Lead",G719=5,"Principal")&amp;" "&amp;TRIM(PROPER(H719))</f>
        <v>Junior Laboratory Technician</v>
      </c>
      <c r="AC719" s="19" t="str">
        <f t="shared" ca="1" si="131"/>
        <v>La-Res-2024-718 is a Junior Laboratory Technician in the Research &amp; Development department, aged 27, married and has been with the Company for 2years</v>
      </c>
    </row>
    <row r="720" spans="1:29">
      <c r="A720" s="18" t="str">
        <f t="shared" ca="1" si="121"/>
        <v>La-Res-2017-719</v>
      </c>
      <c r="B720" s="5">
        <v>45</v>
      </c>
      <c r="C720" s="5" t="str">
        <f t="shared" si="122"/>
        <v>40-49</v>
      </c>
      <c r="D720" s="5" t="s">
        <v>43</v>
      </c>
      <c r="E720" s="5" t="s">
        <v>45</v>
      </c>
      <c r="F720" s="5" t="s">
        <v>46</v>
      </c>
      <c r="G720" s="5">
        <v>2</v>
      </c>
      <c r="H720" s="5" t="s">
        <v>50</v>
      </c>
      <c r="I720" s="5" t="s">
        <v>48</v>
      </c>
      <c r="J720" s="7">
        <v>3633</v>
      </c>
      <c r="K720" s="7">
        <f t="shared" si="123"/>
        <v>544.94999999999993</v>
      </c>
      <c r="L720" s="7">
        <f t="shared" si="124"/>
        <v>3088.05</v>
      </c>
      <c r="M720" s="7">
        <v>14039</v>
      </c>
      <c r="N720" s="5" t="s">
        <v>35</v>
      </c>
      <c r="O720" s="5">
        <v>15</v>
      </c>
      <c r="P720" s="7">
        <f t="shared" si="125"/>
        <v>4177.95</v>
      </c>
      <c r="Q720" s="7">
        <f t="shared" si="126"/>
        <v>6539.3999999999978</v>
      </c>
      <c r="R720" s="7" t="str">
        <f t="shared" si="127"/>
        <v>Normal</v>
      </c>
      <c r="S720" s="5">
        <v>3</v>
      </c>
      <c r="T720" s="5">
        <v>3</v>
      </c>
      <c r="U720" s="5" t="str" cm="1">
        <f t="array" ref="U720">_xlfn.IFS(T720=1,"Poor",T720=2,"Fair",T720=3,"Good",T720=4,"Excellent")</f>
        <v>Good</v>
      </c>
      <c r="V720" s="5" t="s">
        <v>35</v>
      </c>
      <c r="W720" s="5">
        <v>9</v>
      </c>
      <c r="X720" s="28">
        <f t="shared" ca="1" si="128"/>
        <v>42824</v>
      </c>
      <c r="Y720" s="28">
        <f t="shared" ca="1" si="129"/>
        <v>46476</v>
      </c>
      <c r="Z720" s="28" t="str">
        <f t="shared" ca="1" si="130"/>
        <v>Due Soon</v>
      </c>
      <c r="AA720" s="5" t="str" cm="1">
        <f t="array" ref="AA720">_xlfn.IFS(W720&gt;10,"Veteran",W720&gt;=6,"Experienced",W720&gt;=2,"Developing",W720&gt;=0,"New")</f>
        <v>Experienced</v>
      </c>
      <c r="AB720" s="5" t="str" cm="1">
        <f t="array" ref="AB720">_xlfn.IFS(G720=1,"Junior",G720=2,"Mid-Level",G720=3,"Senior",G720=4,"Lead",G720=5,"Principal")&amp;" "&amp;TRIM(PROPER(H720))</f>
        <v>Mid-Level Laboratory Technician</v>
      </c>
      <c r="AC720" s="19" t="str">
        <f t="shared" ca="1" si="131"/>
        <v>La-Res-2017-719 is a Mid-Level Laboratory Technician in the Research &amp; Development department, aged 45, married and has been with the Company for 9years</v>
      </c>
    </row>
    <row r="721" spans="1:29">
      <c r="A721" s="18" t="str">
        <f t="shared" ca="1" si="121"/>
        <v>Sa-Sal-2017-720</v>
      </c>
      <c r="B721" s="5">
        <v>47</v>
      </c>
      <c r="C721" s="5" t="str">
        <f t="shared" si="122"/>
        <v>40-49</v>
      </c>
      <c r="D721" s="5" t="s">
        <v>43</v>
      </c>
      <c r="E721" s="5" t="s">
        <v>37</v>
      </c>
      <c r="F721" s="5" t="s">
        <v>39</v>
      </c>
      <c r="G721" s="5">
        <v>2</v>
      </c>
      <c r="H721" s="5" t="s">
        <v>40</v>
      </c>
      <c r="I721" s="5" t="s">
        <v>41</v>
      </c>
      <c r="J721" s="7">
        <v>4163</v>
      </c>
      <c r="K721" s="7">
        <f t="shared" si="123"/>
        <v>624.44999999999993</v>
      </c>
      <c r="L721" s="7">
        <f t="shared" si="124"/>
        <v>3538.55</v>
      </c>
      <c r="M721" s="7">
        <v>8571</v>
      </c>
      <c r="N721" s="5" t="s">
        <v>35</v>
      </c>
      <c r="O721" s="5">
        <v>17</v>
      </c>
      <c r="P721" s="7">
        <f t="shared" si="125"/>
        <v>4870.71</v>
      </c>
      <c r="Q721" s="7">
        <f t="shared" si="126"/>
        <v>8492.52</v>
      </c>
      <c r="R721" s="7" t="str">
        <f t="shared" si="127"/>
        <v>Normal</v>
      </c>
      <c r="S721" s="5">
        <v>3</v>
      </c>
      <c r="T721" s="5">
        <v>3</v>
      </c>
      <c r="U721" s="5" t="str" cm="1">
        <f t="array" ref="U721">_xlfn.IFS(T721=1,"Poor",T721=2,"Fair",T721=3,"Good",T721=4,"Excellent")</f>
        <v>Good</v>
      </c>
      <c r="V721" s="5" t="s">
        <v>35</v>
      </c>
      <c r="W721" s="5">
        <v>9</v>
      </c>
      <c r="X721" s="28">
        <f t="shared" ca="1" si="128"/>
        <v>42824</v>
      </c>
      <c r="Y721" s="28">
        <f t="shared" ca="1" si="129"/>
        <v>46476</v>
      </c>
      <c r="Z721" s="28" t="str">
        <f t="shared" ca="1" si="130"/>
        <v>Due Soon</v>
      </c>
      <c r="AA721" s="5" t="str" cm="1">
        <f t="array" ref="AA721">_xlfn.IFS(W721&gt;10,"Veteran",W721&gt;=6,"Experienced",W721&gt;=2,"Developing",W721&gt;=0,"New")</f>
        <v>Experienced</v>
      </c>
      <c r="AB721" s="5" t="str" cm="1">
        <f t="array" ref="AB721">_xlfn.IFS(G721=1,"Junior",G721=2,"Mid-Level",G721=3,"Senior",G721=4,"Lead",G721=5,"Principal")&amp;" "&amp;TRIM(PROPER(H721))</f>
        <v>Mid-Level Sales Executive</v>
      </c>
      <c r="AC721" s="19" t="str">
        <f t="shared" ca="1" si="131"/>
        <v>Sa-Sal-2017-720 is a Mid-Level Sales Executive in the Sales department, aged 47, single and has been with the Company for 9years</v>
      </c>
    </row>
    <row r="722" spans="1:29">
      <c r="A722" s="18" t="str">
        <f t="shared" ca="1" si="121"/>
        <v>Re-Res-2021-721</v>
      </c>
      <c r="B722" s="5">
        <v>30</v>
      </c>
      <c r="C722" s="5" t="str">
        <f t="shared" si="122"/>
        <v>30-39</v>
      </c>
      <c r="D722" s="5" t="s">
        <v>35</v>
      </c>
      <c r="E722" s="5" t="s">
        <v>45</v>
      </c>
      <c r="F722" s="5" t="s">
        <v>39</v>
      </c>
      <c r="G722" s="5">
        <v>1</v>
      </c>
      <c r="H722" s="5" t="s">
        <v>47</v>
      </c>
      <c r="I722" s="5" t="s">
        <v>48</v>
      </c>
      <c r="J722" s="7">
        <v>2132</v>
      </c>
      <c r="K722" s="7">
        <f t="shared" si="123"/>
        <v>149.24</v>
      </c>
      <c r="L722" s="7">
        <f t="shared" si="124"/>
        <v>1982.76</v>
      </c>
      <c r="M722" s="7">
        <v>11539</v>
      </c>
      <c r="N722" s="5" t="s">
        <v>35</v>
      </c>
      <c r="O722" s="5">
        <v>11</v>
      </c>
      <c r="P722" s="7">
        <f t="shared" si="125"/>
        <v>2366.52</v>
      </c>
      <c r="Q722" s="7">
        <f t="shared" si="126"/>
        <v>2814.24</v>
      </c>
      <c r="R722" s="7" t="str">
        <f t="shared" si="127"/>
        <v>Normal</v>
      </c>
      <c r="S722" s="5">
        <v>3</v>
      </c>
      <c r="T722" s="5">
        <v>3</v>
      </c>
      <c r="U722" s="5" t="str" cm="1">
        <f t="array" ref="U722">_xlfn.IFS(T722=1,"Poor",T722=2,"Fair",T722=3,"Good",T722=4,"Excellent")</f>
        <v>Good</v>
      </c>
      <c r="V722" s="5" t="s">
        <v>35</v>
      </c>
      <c r="W722" s="5">
        <v>5</v>
      </c>
      <c r="X722" s="28">
        <f t="shared" ca="1" si="128"/>
        <v>44285</v>
      </c>
      <c r="Y722" s="28">
        <f t="shared" ca="1" si="129"/>
        <v>46476</v>
      </c>
      <c r="Z722" s="28" t="str">
        <f t="shared" ca="1" si="130"/>
        <v>Due Soon</v>
      </c>
      <c r="AA722" s="5" t="str" cm="1">
        <f t="array" ref="AA722">_xlfn.IFS(W722&gt;10,"Veteran",W722&gt;=6,"Experienced",W722&gt;=2,"Developing",W722&gt;=0,"New")</f>
        <v>Developing</v>
      </c>
      <c r="AB722" s="5" t="str" cm="1">
        <f t="array" ref="AB722">_xlfn.IFS(G722=1,"Junior",G722=2,"Mid-Level",G722=3,"Senior",G722=4,"Lead",G722=5,"Principal")&amp;" "&amp;TRIM(PROPER(H722))</f>
        <v>Junior Research Scientist</v>
      </c>
      <c r="AC722" s="19" t="str">
        <f t="shared" ca="1" si="131"/>
        <v>Re-Res-2021-721 is a Junior Research Scientist in the Research &amp; Development department, aged 30, married and has been with the Company for 5years</v>
      </c>
    </row>
    <row r="723" spans="1:29">
      <c r="A723" s="18" t="str">
        <f t="shared" ca="1" si="121"/>
        <v>Ma-Res-2014-722</v>
      </c>
      <c r="B723" s="5">
        <v>50</v>
      </c>
      <c r="C723" s="5" t="str">
        <f t="shared" si="122"/>
        <v>50+</v>
      </c>
      <c r="D723" s="5" t="s">
        <v>43</v>
      </c>
      <c r="E723" s="5" t="s">
        <v>45</v>
      </c>
      <c r="F723" s="5" t="s">
        <v>46</v>
      </c>
      <c r="G723" s="5">
        <v>4</v>
      </c>
      <c r="H723" s="5" t="s">
        <v>53</v>
      </c>
      <c r="I723" s="5" t="s">
        <v>48</v>
      </c>
      <c r="J723" s="7">
        <v>13973</v>
      </c>
      <c r="K723" s="7">
        <f t="shared" si="123"/>
        <v>4191.8999999999996</v>
      </c>
      <c r="L723" s="7">
        <f t="shared" si="124"/>
        <v>9781.1</v>
      </c>
      <c r="M723" s="7">
        <v>4161</v>
      </c>
      <c r="N723" s="5" t="s">
        <v>35</v>
      </c>
      <c r="O723" s="5">
        <v>18</v>
      </c>
      <c r="P723" s="7">
        <f t="shared" si="125"/>
        <v>16488.14</v>
      </c>
      <c r="Q723" s="7">
        <f t="shared" si="126"/>
        <v>30181.679999999993</v>
      </c>
      <c r="R723" s="7" t="str">
        <f t="shared" si="127"/>
        <v>Normal</v>
      </c>
      <c r="S723" s="5">
        <v>3</v>
      </c>
      <c r="T723" s="5">
        <v>3</v>
      </c>
      <c r="U723" s="5" t="str" cm="1">
        <f t="array" ref="U723">_xlfn.IFS(T723=1,"Poor",T723=2,"Fair",T723=3,"Good",T723=4,"Excellent")</f>
        <v>Good</v>
      </c>
      <c r="V723" s="5" t="s">
        <v>35</v>
      </c>
      <c r="W723" s="5">
        <v>12</v>
      </c>
      <c r="X723" s="28">
        <f t="shared" ca="1" si="128"/>
        <v>41728</v>
      </c>
      <c r="Y723" s="28">
        <f t="shared" ca="1" si="129"/>
        <v>46842</v>
      </c>
      <c r="Z723" s="28" t="str">
        <f t="shared" ca="1" si="130"/>
        <v>Upcoming</v>
      </c>
      <c r="AA723" s="5" t="str" cm="1">
        <f t="array" ref="AA723">_xlfn.IFS(W723&gt;10,"Veteran",W723&gt;=6,"Experienced",W723&gt;=2,"Developing",W723&gt;=0,"New")</f>
        <v>Veteran</v>
      </c>
      <c r="AB723" s="5" t="str" cm="1">
        <f t="array" ref="AB723">_xlfn.IFS(G723=1,"Junior",G723=2,"Mid-Level",G723=3,"Senior",G723=4,"Lead",G723=5,"Principal")&amp;" "&amp;TRIM(PROPER(H723))</f>
        <v>Lead Manufacturing Director</v>
      </c>
      <c r="AC723" s="19" t="str">
        <f t="shared" ca="1" si="131"/>
        <v>Ma-Res-2014-722 is a Lead Manufacturing Director in the Research &amp; Development department, aged 50, married and has been with the Company for 12years</v>
      </c>
    </row>
    <row r="724" spans="1:29">
      <c r="A724" s="18" t="str">
        <f t="shared" ca="1" si="121"/>
        <v>Re-Res-2024-723</v>
      </c>
      <c r="B724" s="5">
        <v>38</v>
      </c>
      <c r="C724" s="5" t="str">
        <f t="shared" si="122"/>
        <v>30-39</v>
      </c>
      <c r="D724" s="5" t="s">
        <v>43</v>
      </c>
      <c r="E724" s="5" t="s">
        <v>45</v>
      </c>
      <c r="F724" s="5" t="s">
        <v>46</v>
      </c>
      <c r="G724" s="5">
        <v>1</v>
      </c>
      <c r="H724" s="5" t="s">
        <v>47</v>
      </c>
      <c r="I724" s="5" t="s">
        <v>48</v>
      </c>
      <c r="J724" s="7">
        <v>2684</v>
      </c>
      <c r="K724" s="7">
        <f t="shared" si="123"/>
        <v>187.88000000000002</v>
      </c>
      <c r="L724" s="7">
        <f t="shared" si="124"/>
        <v>2496.12</v>
      </c>
      <c r="M724" s="7">
        <v>12127</v>
      </c>
      <c r="N724" s="5" t="s">
        <v>43</v>
      </c>
      <c r="O724" s="5">
        <v>17</v>
      </c>
      <c r="P724" s="7">
        <f t="shared" si="125"/>
        <v>3140.2799999999997</v>
      </c>
      <c r="Q724" s="7">
        <f t="shared" si="126"/>
        <v>5475.3599999999969</v>
      </c>
      <c r="R724" s="7" t="str">
        <f t="shared" si="127"/>
        <v>Normal</v>
      </c>
      <c r="S724" s="5">
        <v>3</v>
      </c>
      <c r="T724" s="5">
        <v>2</v>
      </c>
      <c r="U724" s="5" t="str" cm="1">
        <f t="array" ref="U724">_xlfn.IFS(T724=1,"Poor",T724=2,"Fair",T724=3,"Good",T724=4,"Excellent")</f>
        <v>Fair</v>
      </c>
      <c r="V724" s="5" t="s">
        <v>43</v>
      </c>
      <c r="W724" s="5">
        <v>2</v>
      </c>
      <c r="X724" s="28">
        <f t="shared" ca="1" si="128"/>
        <v>45381</v>
      </c>
      <c r="Y724" s="28">
        <f t="shared" ca="1" si="129"/>
        <v>46842</v>
      </c>
      <c r="Z724" s="28" t="str">
        <f t="shared" ca="1" si="130"/>
        <v>Upcoming</v>
      </c>
      <c r="AA724" s="5" t="str" cm="1">
        <f t="array" ref="AA724">_xlfn.IFS(W724&gt;10,"Veteran",W724&gt;=6,"Experienced",W724&gt;=2,"Developing",W724&gt;=0,"New")</f>
        <v>Developing</v>
      </c>
      <c r="AB724" s="5" t="str" cm="1">
        <f t="array" ref="AB724">_xlfn.IFS(G724=1,"Junior",G724=2,"Mid-Level",G724=3,"Senior",G724=4,"Lead",G724=5,"Principal")&amp;" "&amp;TRIM(PROPER(H724))</f>
        <v>Junior Research Scientist</v>
      </c>
      <c r="AC724" s="19" t="str">
        <f t="shared" ca="1" si="131"/>
        <v>Re-Res-2024-723 is a Junior Research Scientist in the Research &amp; Development department, aged 38, married and has been with the Company for 2years</v>
      </c>
    </row>
    <row r="725" spans="1:29">
      <c r="A725" s="18" t="str">
        <f t="shared" ca="1" si="121"/>
        <v>Ma-Res-2018-724</v>
      </c>
      <c r="B725" s="5">
        <v>46</v>
      </c>
      <c r="C725" s="5" t="str">
        <f t="shared" si="122"/>
        <v>40-49</v>
      </c>
      <c r="D725" s="5" t="s">
        <v>43</v>
      </c>
      <c r="E725" s="5" t="s">
        <v>45</v>
      </c>
      <c r="F725" s="5" t="s">
        <v>46</v>
      </c>
      <c r="G725" s="5">
        <v>3</v>
      </c>
      <c r="H725" s="5" t="s">
        <v>53</v>
      </c>
      <c r="I725" s="5" t="s">
        <v>52</v>
      </c>
      <c r="J725" s="7">
        <v>10845</v>
      </c>
      <c r="K725" s="7">
        <f t="shared" si="123"/>
        <v>2385.9</v>
      </c>
      <c r="L725" s="7">
        <f t="shared" si="124"/>
        <v>8459.1</v>
      </c>
      <c r="M725" s="7">
        <v>24208</v>
      </c>
      <c r="N725" s="5" t="s">
        <v>43</v>
      </c>
      <c r="O725" s="5">
        <v>13</v>
      </c>
      <c r="P725" s="7">
        <f t="shared" si="125"/>
        <v>12254.849999999999</v>
      </c>
      <c r="Q725" s="7">
        <f t="shared" si="126"/>
        <v>16918.199999999983</v>
      </c>
      <c r="R725" s="7" t="str">
        <f t="shared" si="127"/>
        <v>Normal</v>
      </c>
      <c r="S725" s="5">
        <v>3</v>
      </c>
      <c r="T725" s="5">
        <v>3</v>
      </c>
      <c r="U725" s="5" t="str" cm="1">
        <f t="array" ref="U725">_xlfn.IFS(T725=1,"Poor",T725=2,"Fair",T725=3,"Good",T725=4,"Excellent")</f>
        <v>Good</v>
      </c>
      <c r="V725" s="5" t="s">
        <v>43</v>
      </c>
      <c r="W725" s="5">
        <v>8</v>
      </c>
      <c r="X725" s="28">
        <f t="shared" ca="1" si="128"/>
        <v>43189</v>
      </c>
      <c r="Y725" s="28">
        <f t="shared" ca="1" si="129"/>
        <v>46842</v>
      </c>
      <c r="Z725" s="28" t="str">
        <f t="shared" ca="1" si="130"/>
        <v>Upcoming</v>
      </c>
      <c r="AA725" s="5" t="str" cm="1">
        <f t="array" ref="AA725">_xlfn.IFS(W725&gt;10,"Veteran",W725&gt;=6,"Experienced",W725&gt;=2,"Developing",W725&gt;=0,"New")</f>
        <v>Experienced</v>
      </c>
      <c r="AB725" s="5" t="str" cm="1">
        <f t="array" ref="AB725">_xlfn.IFS(G725=1,"Junior",G725=2,"Mid-Level",G725=3,"Senior",G725=4,"Lead",G725=5,"Principal")&amp;" "&amp;TRIM(PROPER(H725))</f>
        <v>Senior Manufacturing Director</v>
      </c>
      <c r="AC725" s="19" t="str">
        <f t="shared" ca="1" si="131"/>
        <v>Ma-Res-2018-724 is a Senior Manufacturing Director in the Research &amp; Development department, aged 46, divorced and has been with the Company for 8years</v>
      </c>
    </row>
    <row r="726" spans="1:29">
      <c r="A726" s="18" t="str">
        <f t="shared" ca="1" si="121"/>
        <v>Ma-Res-2022-725</v>
      </c>
      <c r="B726" s="5">
        <v>24</v>
      </c>
      <c r="C726" s="5" t="str">
        <f t="shared" si="122"/>
        <v>20-29</v>
      </c>
      <c r="D726" s="5" t="s">
        <v>43</v>
      </c>
      <c r="E726" s="5" t="s">
        <v>45</v>
      </c>
      <c r="F726" s="5" t="s">
        <v>39</v>
      </c>
      <c r="G726" s="5">
        <v>2</v>
      </c>
      <c r="H726" s="5" t="s">
        <v>53</v>
      </c>
      <c r="I726" s="5" t="s">
        <v>52</v>
      </c>
      <c r="J726" s="7">
        <v>4377</v>
      </c>
      <c r="K726" s="7">
        <f t="shared" si="123"/>
        <v>656.55</v>
      </c>
      <c r="L726" s="7">
        <f t="shared" si="124"/>
        <v>3720.45</v>
      </c>
      <c r="M726" s="7">
        <v>24117</v>
      </c>
      <c r="N726" s="5" t="s">
        <v>43</v>
      </c>
      <c r="O726" s="5">
        <v>15</v>
      </c>
      <c r="P726" s="7">
        <f t="shared" si="125"/>
        <v>5033.5499999999993</v>
      </c>
      <c r="Q726" s="7">
        <f t="shared" si="126"/>
        <v>7878.5999999999913</v>
      </c>
      <c r="R726" s="7" t="str">
        <f t="shared" si="127"/>
        <v>Normal</v>
      </c>
      <c r="S726" s="5">
        <v>3</v>
      </c>
      <c r="T726" s="5">
        <v>3</v>
      </c>
      <c r="U726" s="5" t="str" cm="1">
        <f t="array" ref="U726">_xlfn.IFS(T726=1,"Poor",T726=2,"Fair",T726=3,"Good",T726=4,"Excellent")</f>
        <v>Good</v>
      </c>
      <c r="V726" s="5" t="s">
        <v>43</v>
      </c>
      <c r="W726" s="5">
        <v>4</v>
      </c>
      <c r="X726" s="28">
        <f t="shared" ca="1" si="128"/>
        <v>44650</v>
      </c>
      <c r="Y726" s="28">
        <f t="shared" ca="1" si="129"/>
        <v>46842</v>
      </c>
      <c r="Z726" s="28" t="str">
        <f t="shared" ca="1" si="130"/>
        <v>Upcoming</v>
      </c>
      <c r="AA726" s="5" t="str" cm="1">
        <f t="array" ref="AA726">_xlfn.IFS(W726&gt;10,"Veteran",W726&gt;=6,"Experienced",W726&gt;=2,"Developing",W726&gt;=0,"New")</f>
        <v>Developing</v>
      </c>
      <c r="AB726" s="5" t="str" cm="1">
        <f t="array" ref="AB726">_xlfn.IFS(G726=1,"Junior",G726=2,"Mid-Level",G726=3,"Senior",G726=4,"Lead",G726=5,"Principal")&amp;" "&amp;TRIM(PROPER(H726))</f>
        <v>Mid-Level Manufacturing Director</v>
      </c>
      <c r="AC726" s="19" t="str">
        <f t="shared" ca="1" si="131"/>
        <v>Ma-Res-2022-725 is a Mid-Level Manufacturing Director in the Research &amp; Development department, aged 24, divorced and has been with the Company for 4years</v>
      </c>
    </row>
    <row r="727" spans="1:29">
      <c r="A727" s="18" t="str">
        <f t="shared" ca="1" si="121"/>
        <v>La-Res-2022-726</v>
      </c>
      <c r="B727" s="5">
        <v>35</v>
      </c>
      <c r="C727" s="5" t="str">
        <f t="shared" si="122"/>
        <v>30-39</v>
      </c>
      <c r="D727" s="5" t="s">
        <v>35</v>
      </c>
      <c r="E727" s="5" t="s">
        <v>45</v>
      </c>
      <c r="F727" s="5" t="s">
        <v>46</v>
      </c>
      <c r="G727" s="5">
        <v>1</v>
      </c>
      <c r="H727" s="5" t="s">
        <v>50</v>
      </c>
      <c r="I727" s="5" t="s">
        <v>52</v>
      </c>
      <c r="J727" s="7">
        <v>3743</v>
      </c>
      <c r="K727" s="7">
        <f t="shared" si="123"/>
        <v>561.44999999999993</v>
      </c>
      <c r="L727" s="7">
        <f t="shared" si="124"/>
        <v>3181.55</v>
      </c>
      <c r="M727" s="7">
        <v>10074</v>
      </c>
      <c r="N727" s="5" t="s">
        <v>35</v>
      </c>
      <c r="O727" s="5">
        <v>24</v>
      </c>
      <c r="P727" s="7">
        <f t="shared" si="125"/>
        <v>4641.32</v>
      </c>
      <c r="Q727" s="7">
        <f t="shared" si="126"/>
        <v>10779.839999999997</v>
      </c>
      <c r="R727" s="7" t="str">
        <f t="shared" si="127"/>
        <v>Normal</v>
      </c>
      <c r="S727" s="5">
        <v>4</v>
      </c>
      <c r="T727" s="5">
        <v>1</v>
      </c>
      <c r="U727" s="5" t="str" cm="1">
        <f t="array" ref="U727">_xlfn.IFS(T727=1,"Poor",T727=2,"Fair",T727=3,"Good",T727=4,"Excellent")</f>
        <v>Poor</v>
      </c>
      <c r="V727" s="5" t="s">
        <v>35</v>
      </c>
      <c r="W727" s="5">
        <v>4</v>
      </c>
      <c r="X727" s="28">
        <f t="shared" ca="1" si="128"/>
        <v>44650</v>
      </c>
      <c r="Y727" s="28">
        <f t="shared" ca="1" si="129"/>
        <v>46842</v>
      </c>
      <c r="Z727" s="28" t="str">
        <f t="shared" ca="1" si="130"/>
        <v>Upcoming</v>
      </c>
      <c r="AA727" s="5" t="str" cm="1">
        <f t="array" ref="AA727">_xlfn.IFS(W727&gt;10,"Veteran",W727&gt;=6,"Experienced",W727&gt;=2,"Developing",W727&gt;=0,"New")</f>
        <v>Developing</v>
      </c>
      <c r="AB727" s="5" t="str" cm="1">
        <f t="array" ref="AB727">_xlfn.IFS(G727=1,"Junior",G727=2,"Mid-Level",G727=3,"Senior",G727=4,"Lead",G727=5,"Principal")&amp;" "&amp;TRIM(PROPER(H727))</f>
        <v>Junior Laboratory Technician</v>
      </c>
      <c r="AC727" s="19" t="str">
        <f t="shared" ca="1" si="131"/>
        <v>La-Res-2022-726 is a Junior Laboratory Technician in the Research &amp; Development department, aged 35, divorced and has been with the Company for 4years</v>
      </c>
    </row>
    <row r="728" spans="1:29">
      <c r="A728" s="18" t="str">
        <f t="shared" ca="1" si="121"/>
        <v>Ma-Res-2022-727</v>
      </c>
      <c r="B728" s="5">
        <v>31</v>
      </c>
      <c r="C728" s="5" t="str">
        <f t="shared" si="122"/>
        <v>30-39</v>
      </c>
      <c r="D728" s="5" t="s">
        <v>43</v>
      </c>
      <c r="E728" s="5" t="s">
        <v>45</v>
      </c>
      <c r="F728" s="5" t="s">
        <v>39</v>
      </c>
      <c r="G728" s="5">
        <v>2</v>
      </c>
      <c r="H728" s="5" t="s">
        <v>53</v>
      </c>
      <c r="I728" s="5" t="s">
        <v>48</v>
      </c>
      <c r="J728" s="7">
        <v>4148</v>
      </c>
      <c r="K728" s="7">
        <f t="shared" si="123"/>
        <v>622.19999999999993</v>
      </c>
      <c r="L728" s="7">
        <f t="shared" si="124"/>
        <v>3525.8</v>
      </c>
      <c r="M728" s="7">
        <v>11275</v>
      </c>
      <c r="N728" s="5" t="s">
        <v>43</v>
      </c>
      <c r="O728" s="5">
        <v>12</v>
      </c>
      <c r="P728" s="7">
        <f t="shared" si="125"/>
        <v>4645.76</v>
      </c>
      <c r="Q728" s="7">
        <f t="shared" si="126"/>
        <v>5973.1200000000026</v>
      </c>
      <c r="R728" s="7" t="str">
        <f t="shared" si="127"/>
        <v>Normal</v>
      </c>
      <c r="S728" s="5">
        <v>3</v>
      </c>
      <c r="T728" s="5">
        <v>3</v>
      </c>
      <c r="U728" s="5" t="str" cm="1">
        <f t="array" ref="U728">_xlfn.IFS(T728=1,"Poor",T728=2,"Fair",T728=3,"Good",T728=4,"Excellent")</f>
        <v>Good</v>
      </c>
      <c r="V728" s="5" t="s">
        <v>43</v>
      </c>
      <c r="W728" s="5">
        <v>4</v>
      </c>
      <c r="X728" s="28">
        <f t="shared" ca="1" si="128"/>
        <v>44650</v>
      </c>
      <c r="Y728" s="28">
        <f t="shared" ca="1" si="129"/>
        <v>46842</v>
      </c>
      <c r="Z728" s="28" t="str">
        <f t="shared" ca="1" si="130"/>
        <v>Upcoming</v>
      </c>
      <c r="AA728" s="5" t="str" cm="1">
        <f t="array" ref="AA728">_xlfn.IFS(W728&gt;10,"Veteran",W728&gt;=6,"Experienced",W728&gt;=2,"Developing",W728&gt;=0,"New")</f>
        <v>Developing</v>
      </c>
      <c r="AB728" s="5" t="str" cm="1">
        <f t="array" ref="AB728">_xlfn.IFS(G728=1,"Junior",G728=2,"Mid-Level",G728=3,"Senior",G728=4,"Lead",G728=5,"Principal")&amp;" "&amp;TRIM(PROPER(H728))</f>
        <v>Mid-Level Manufacturing Director</v>
      </c>
      <c r="AC728" s="19" t="str">
        <f t="shared" ca="1" si="131"/>
        <v>Ma-Res-2022-727 is a Mid-Level Manufacturing Director in the Research &amp; Development department, aged 31, married and has been with the Company for 4years</v>
      </c>
    </row>
    <row r="729" spans="1:29">
      <c r="A729" s="18" t="str">
        <f t="shared" ca="1" si="121"/>
        <v>Re-Res-2026-728</v>
      </c>
      <c r="B729" s="5">
        <v>18</v>
      </c>
      <c r="C729" s="5" t="str">
        <f t="shared" si="122"/>
        <v>20-29</v>
      </c>
      <c r="D729" s="5" t="s">
        <v>43</v>
      </c>
      <c r="E729" s="5" t="s">
        <v>45</v>
      </c>
      <c r="F729" s="5" t="s">
        <v>46</v>
      </c>
      <c r="G729" s="5">
        <v>1</v>
      </c>
      <c r="H729" s="5" t="s">
        <v>47</v>
      </c>
      <c r="I729" s="5" t="s">
        <v>41</v>
      </c>
      <c r="J729" s="7">
        <v>1051</v>
      </c>
      <c r="K729" s="7">
        <f t="shared" si="123"/>
        <v>73.570000000000007</v>
      </c>
      <c r="L729" s="7">
        <f t="shared" si="124"/>
        <v>977.43</v>
      </c>
      <c r="M729" s="7">
        <v>13493</v>
      </c>
      <c r="N729" s="5" t="s">
        <v>43</v>
      </c>
      <c r="O729" s="5">
        <v>15</v>
      </c>
      <c r="P729" s="7">
        <f t="shared" si="125"/>
        <v>1208.6499999999999</v>
      </c>
      <c r="Q729" s="7">
        <f t="shared" si="126"/>
        <v>1891.7999999999984</v>
      </c>
      <c r="R729" s="7" t="str">
        <f t="shared" si="127"/>
        <v>Normal</v>
      </c>
      <c r="S729" s="5">
        <v>3</v>
      </c>
      <c r="T729" s="5">
        <v>3</v>
      </c>
      <c r="U729" s="5" t="str" cm="1">
        <f t="array" ref="U729">_xlfn.IFS(T729=1,"Poor",T729=2,"Fair",T729=3,"Good",T729=4,"Excellent")</f>
        <v>Good</v>
      </c>
      <c r="V729" s="5" t="s">
        <v>43</v>
      </c>
      <c r="W729" s="5">
        <v>0</v>
      </c>
      <c r="X729" s="28">
        <f t="shared" ca="1" si="128"/>
        <v>46111</v>
      </c>
      <c r="Y729" s="28">
        <f t="shared" ca="1" si="129"/>
        <v>46842</v>
      </c>
      <c r="Z729" s="28" t="str">
        <f t="shared" ca="1" si="130"/>
        <v>Upcoming</v>
      </c>
      <c r="AA729" s="5" t="str" cm="1">
        <f t="array" ref="AA729">_xlfn.IFS(W729&gt;10,"Veteran",W729&gt;=6,"Experienced",W729&gt;=2,"Developing",W729&gt;=0,"New")</f>
        <v>New</v>
      </c>
      <c r="AB729" s="5" t="str" cm="1">
        <f t="array" ref="AB729">_xlfn.IFS(G729=1,"Junior",G729=2,"Mid-Level",G729=3,"Senior",G729=4,"Lead",G729=5,"Principal")&amp;" "&amp;TRIM(PROPER(H729))</f>
        <v>Junior Research Scientist</v>
      </c>
      <c r="AC729" s="19" t="str">
        <f t="shared" ca="1" si="131"/>
        <v>Re-Res-2026-728 is a Junior Research Scientist in the Research &amp; Development department, aged 18, single and has been with the Company for 0years</v>
      </c>
    </row>
    <row r="730" spans="1:29">
      <c r="A730" s="18" t="str">
        <f t="shared" ca="1" si="121"/>
        <v>Ma-Res-2016-729</v>
      </c>
      <c r="B730" s="5">
        <v>54</v>
      </c>
      <c r="C730" s="5" t="str">
        <f t="shared" si="122"/>
        <v>50+</v>
      </c>
      <c r="D730" s="5" t="s">
        <v>43</v>
      </c>
      <c r="E730" s="5" t="s">
        <v>45</v>
      </c>
      <c r="F730" s="5" t="s">
        <v>39</v>
      </c>
      <c r="G730" s="5">
        <v>3</v>
      </c>
      <c r="H730" s="5" t="s">
        <v>53</v>
      </c>
      <c r="I730" s="5" t="s">
        <v>48</v>
      </c>
      <c r="J730" s="7">
        <v>10739</v>
      </c>
      <c r="K730" s="7">
        <f t="shared" si="123"/>
        <v>2362.58</v>
      </c>
      <c r="L730" s="7">
        <f t="shared" si="124"/>
        <v>8376.42</v>
      </c>
      <c r="M730" s="7">
        <v>13943</v>
      </c>
      <c r="N730" s="5" t="s">
        <v>43</v>
      </c>
      <c r="O730" s="5">
        <v>11</v>
      </c>
      <c r="P730" s="7">
        <f t="shared" si="125"/>
        <v>11920.29</v>
      </c>
      <c r="Q730" s="7">
        <f t="shared" si="126"/>
        <v>14175.48000000001</v>
      </c>
      <c r="R730" s="7" t="str">
        <f t="shared" si="127"/>
        <v>Normal</v>
      </c>
      <c r="S730" s="5">
        <v>3</v>
      </c>
      <c r="T730" s="5">
        <v>3</v>
      </c>
      <c r="U730" s="5" t="str" cm="1">
        <f t="array" ref="U730">_xlfn.IFS(T730=1,"Poor",T730=2,"Fair",T730=3,"Good",T730=4,"Excellent")</f>
        <v>Good</v>
      </c>
      <c r="V730" s="5" t="s">
        <v>43</v>
      </c>
      <c r="W730" s="5">
        <v>10</v>
      </c>
      <c r="X730" s="28">
        <f t="shared" ca="1" si="128"/>
        <v>42459</v>
      </c>
      <c r="Y730" s="28">
        <f t="shared" ca="1" si="129"/>
        <v>46842</v>
      </c>
      <c r="Z730" s="28" t="str">
        <f t="shared" ca="1" si="130"/>
        <v>Upcoming</v>
      </c>
      <c r="AA730" s="5" t="str" cm="1">
        <f t="array" ref="AA730">_xlfn.IFS(W730&gt;10,"Veteran",W730&gt;=6,"Experienced",W730&gt;=2,"Developing",W730&gt;=0,"New")</f>
        <v>Experienced</v>
      </c>
      <c r="AB730" s="5" t="str" cm="1">
        <f t="array" ref="AB730">_xlfn.IFS(G730=1,"Junior",G730=2,"Mid-Level",G730=3,"Senior",G730=4,"Lead",G730=5,"Principal")&amp;" "&amp;TRIM(PROPER(H730))</f>
        <v>Senior Manufacturing Director</v>
      </c>
      <c r="AC730" s="19" t="str">
        <f t="shared" ca="1" si="131"/>
        <v>Ma-Res-2016-729 is a Senior Manufacturing Director in the Research &amp; Development department, aged 54, married and has been with the Company for 10years</v>
      </c>
    </row>
    <row r="731" spans="1:29">
      <c r="A731" s="18" t="str">
        <f t="shared" ca="1" si="121"/>
        <v>He-Res-2010-730</v>
      </c>
      <c r="B731" s="5">
        <v>35</v>
      </c>
      <c r="C731" s="5" t="str">
        <f t="shared" si="122"/>
        <v>30-39</v>
      </c>
      <c r="D731" s="5" t="s">
        <v>43</v>
      </c>
      <c r="E731" s="5" t="s">
        <v>45</v>
      </c>
      <c r="F731" s="5" t="s">
        <v>39</v>
      </c>
      <c r="G731" s="5">
        <v>3</v>
      </c>
      <c r="H731" s="5" t="s">
        <v>54</v>
      </c>
      <c r="I731" s="5" t="s">
        <v>52</v>
      </c>
      <c r="J731" s="7">
        <v>10388</v>
      </c>
      <c r="K731" s="7">
        <f t="shared" si="123"/>
        <v>2285.36</v>
      </c>
      <c r="L731" s="7">
        <f t="shared" si="124"/>
        <v>8102.6399999999994</v>
      </c>
      <c r="M731" s="7">
        <v>6975</v>
      </c>
      <c r="N731" s="5" t="s">
        <v>35</v>
      </c>
      <c r="O731" s="5">
        <v>11</v>
      </c>
      <c r="P731" s="7">
        <f t="shared" si="125"/>
        <v>11530.68</v>
      </c>
      <c r="Q731" s="7">
        <f t="shared" si="126"/>
        <v>13712.160000000003</v>
      </c>
      <c r="R731" s="7" t="str">
        <f t="shared" si="127"/>
        <v>Normal</v>
      </c>
      <c r="S731" s="5">
        <v>3</v>
      </c>
      <c r="T731" s="5">
        <v>2</v>
      </c>
      <c r="U731" s="5" t="str" cm="1">
        <f t="array" ref="U731">_xlfn.IFS(T731=1,"Poor",T731=2,"Fair",T731=3,"Good",T731=4,"Excellent")</f>
        <v>Fair</v>
      </c>
      <c r="V731" s="5" t="s">
        <v>35</v>
      </c>
      <c r="W731" s="5">
        <v>16</v>
      </c>
      <c r="X731" s="28">
        <f t="shared" ca="1" si="128"/>
        <v>40267</v>
      </c>
      <c r="Y731" s="28">
        <f t="shared" ca="1" si="129"/>
        <v>46842</v>
      </c>
      <c r="Z731" s="28" t="str">
        <f t="shared" ca="1" si="130"/>
        <v>Upcoming</v>
      </c>
      <c r="AA731" s="5" t="str" cm="1">
        <f t="array" ref="AA731">_xlfn.IFS(W731&gt;10,"Veteran",W731&gt;=6,"Experienced",W731&gt;=2,"Developing",W731&gt;=0,"New")</f>
        <v>Veteran</v>
      </c>
      <c r="AB731" s="5" t="str" cm="1">
        <f t="array" ref="AB731">_xlfn.IFS(G731=1,"Junior",G731=2,"Mid-Level",G731=3,"Senior",G731=4,"Lead",G731=5,"Principal")&amp;" "&amp;TRIM(PROPER(H731))</f>
        <v>Senior Healthcare Representative</v>
      </c>
      <c r="AC731" s="19" t="str">
        <f t="shared" ca="1" si="131"/>
        <v>He-Res-2010-730 is a Senior Healthcare Representative in the Research &amp; Development department, aged 35, divorced and has been with the Company for 16years</v>
      </c>
    </row>
    <row r="732" spans="1:29">
      <c r="A732" s="18" t="str">
        <f t="shared" ca="1" si="121"/>
        <v>Re-Res-2018-731</v>
      </c>
      <c r="B732" s="5">
        <v>30</v>
      </c>
      <c r="C732" s="5" t="str">
        <f t="shared" si="122"/>
        <v>30-39</v>
      </c>
      <c r="D732" s="5" t="s">
        <v>43</v>
      </c>
      <c r="E732" s="5" t="s">
        <v>45</v>
      </c>
      <c r="F732" s="5" t="s">
        <v>39</v>
      </c>
      <c r="G732" s="5">
        <v>3</v>
      </c>
      <c r="H732" s="5" t="s">
        <v>58</v>
      </c>
      <c r="I732" s="5" t="s">
        <v>48</v>
      </c>
      <c r="J732" s="7">
        <v>11416</v>
      </c>
      <c r="K732" s="7">
        <f t="shared" si="123"/>
        <v>2511.52</v>
      </c>
      <c r="L732" s="7">
        <f t="shared" si="124"/>
        <v>8904.48</v>
      </c>
      <c r="M732" s="7">
        <v>17802</v>
      </c>
      <c r="N732" s="5" t="s">
        <v>35</v>
      </c>
      <c r="O732" s="5">
        <v>12</v>
      </c>
      <c r="P732" s="7">
        <f t="shared" si="125"/>
        <v>12785.920000000002</v>
      </c>
      <c r="Q732" s="7">
        <f t="shared" si="126"/>
        <v>16439.040000000023</v>
      </c>
      <c r="R732" s="7" t="str">
        <f t="shared" si="127"/>
        <v>Normal</v>
      </c>
      <c r="S732" s="5">
        <v>3</v>
      </c>
      <c r="T732" s="5">
        <v>2</v>
      </c>
      <c r="U732" s="5" t="str" cm="1">
        <f t="array" ref="U732">_xlfn.IFS(T732=1,"Poor",T732=2,"Fair",T732=3,"Good",T732=4,"Excellent")</f>
        <v>Fair</v>
      </c>
      <c r="V732" s="5" t="s">
        <v>35</v>
      </c>
      <c r="W732" s="5">
        <v>8</v>
      </c>
      <c r="X732" s="28">
        <f t="shared" ca="1" si="128"/>
        <v>43189</v>
      </c>
      <c r="Y732" s="28">
        <f t="shared" ca="1" si="129"/>
        <v>46842</v>
      </c>
      <c r="Z732" s="28" t="str">
        <f t="shared" ca="1" si="130"/>
        <v>Upcoming</v>
      </c>
      <c r="AA732" s="5" t="str" cm="1">
        <f t="array" ref="AA732">_xlfn.IFS(W732&gt;10,"Veteran",W732&gt;=6,"Experienced",W732&gt;=2,"Developing",W732&gt;=0,"New")</f>
        <v>Experienced</v>
      </c>
      <c r="AB732" s="5" t="str" cm="1">
        <f t="array" ref="AB732">_xlfn.IFS(G732=1,"Junior",G732=2,"Mid-Level",G732=3,"Senior",G732=4,"Lead",G732=5,"Principal")&amp;" "&amp;TRIM(PROPER(H732))</f>
        <v>Senior Research Director</v>
      </c>
      <c r="AC732" s="19" t="str">
        <f t="shared" ca="1" si="131"/>
        <v>Re-Res-2018-731 is a Senior Research Director in the Research &amp; Development department, aged 30, married and has been with the Company for 8years</v>
      </c>
    </row>
    <row r="733" spans="1:29">
      <c r="A733" s="18" t="str">
        <f t="shared" ca="1" si="121"/>
        <v>Re-Res-2025-732</v>
      </c>
      <c r="B733" s="5">
        <v>20</v>
      </c>
      <c r="C733" s="5" t="str">
        <f t="shared" si="122"/>
        <v>20-29</v>
      </c>
      <c r="D733" s="5" t="s">
        <v>35</v>
      </c>
      <c r="E733" s="5" t="s">
        <v>45</v>
      </c>
      <c r="F733" s="5" t="s">
        <v>39</v>
      </c>
      <c r="G733" s="5">
        <v>1</v>
      </c>
      <c r="H733" s="5" t="s">
        <v>47</v>
      </c>
      <c r="I733" s="5" t="s">
        <v>41</v>
      </c>
      <c r="J733" s="7">
        <v>2600</v>
      </c>
      <c r="K733" s="7">
        <f t="shared" si="123"/>
        <v>182.00000000000003</v>
      </c>
      <c r="L733" s="7">
        <f t="shared" si="124"/>
        <v>2418</v>
      </c>
      <c r="M733" s="7">
        <v>18275</v>
      </c>
      <c r="N733" s="5" t="s">
        <v>35</v>
      </c>
      <c r="O733" s="5">
        <v>15</v>
      </c>
      <c r="P733" s="7">
        <f t="shared" si="125"/>
        <v>2989.9999999999995</v>
      </c>
      <c r="Q733" s="7">
        <f t="shared" si="126"/>
        <v>4679.9999999999945</v>
      </c>
      <c r="R733" s="7" t="str">
        <f t="shared" si="127"/>
        <v>Normal</v>
      </c>
      <c r="S733" s="5">
        <v>3</v>
      </c>
      <c r="T733" s="5">
        <v>3</v>
      </c>
      <c r="U733" s="5" t="str" cm="1">
        <f t="array" ref="U733">_xlfn.IFS(T733=1,"Poor",T733=2,"Fair",T733=3,"Good",T733=4,"Excellent")</f>
        <v>Good</v>
      </c>
      <c r="V733" s="5" t="s">
        <v>35</v>
      </c>
      <c r="W733" s="5">
        <v>1</v>
      </c>
      <c r="X733" s="28">
        <f t="shared" ca="1" si="128"/>
        <v>45746</v>
      </c>
      <c r="Y733" s="28">
        <f t="shared" ca="1" si="129"/>
        <v>46476</v>
      </c>
      <c r="Z733" s="28" t="str">
        <f t="shared" ca="1" si="130"/>
        <v>Due Soon</v>
      </c>
      <c r="AA733" s="5" t="str" cm="1">
        <f t="array" ref="AA733">_xlfn.IFS(W733&gt;10,"Veteran",W733&gt;=6,"Experienced",W733&gt;=2,"Developing",W733&gt;=0,"New")</f>
        <v>New</v>
      </c>
      <c r="AB733" s="5" t="str" cm="1">
        <f t="array" ref="AB733">_xlfn.IFS(G733=1,"Junior",G733=2,"Mid-Level",G733=3,"Senior",G733=4,"Lead",G733=5,"Principal")&amp;" "&amp;TRIM(PROPER(H733))</f>
        <v>Junior Research Scientist</v>
      </c>
      <c r="AC733" s="19" t="str">
        <f t="shared" ca="1" si="131"/>
        <v>Re-Res-2025-732 is a Junior Research Scientist in the Research &amp; Development department, aged 20, single and has been with the Company for 1years</v>
      </c>
    </row>
    <row r="734" spans="1:29">
      <c r="A734" s="18" t="str">
        <f t="shared" ca="1" si="121"/>
        <v>La-Res-2023-733</v>
      </c>
      <c r="B734" s="5">
        <v>30</v>
      </c>
      <c r="C734" s="5" t="str">
        <f t="shared" si="122"/>
        <v>30-39</v>
      </c>
      <c r="D734" s="5" t="s">
        <v>35</v>
      </c>
      <c r="E734" s="5" t="s">
        <v>45</v>
      </c>
      <c r="F734" s="5" t="s">
        <v>39</v>
      </c>
      <c r="G734" s="5">
        <v>1</v>
      </c>
      <c r="H734" s="5" t="s">
        <v>50</v>
      </c>
      <c r="I734" s="5" t="s">
        <v>41</v>
      </c>
      <c r="J734" s="7">
        <v>2422</v>
      </c>
      <c r="K734" s="7">
        <f t="shared" si="123"/>
        <v>169.54000000000002</v>
      </c>
      <c r="L734" s="7">
        <f t="shared" si="124"/>
        <v>2252.46</v>
      </c>
      <c r="M734" s="7">
        <v>25725</v>
      </c>
      <c r="N734" s="5" t="s">
        <v>43</v>
      </c>
      <c r="O734" s="5">
        <v>17</v>
      </c>
      <c r="P734" s="7">
        <f t="shared" si="125"/>
        <v>2833.74</v>
      </c>
      <c r="Q734" s="7">
        <f t="shared" si="126"/>
        <v>4940.8799999999974</v>
      </c>
      <c r="R734" s="7" t="str">
        <f t="shared" si="127"/>
        <v>Normal</v>
      </c>
      <c r="S734" s="5">
        <v>3</v>
      </c>
      <c r="T734" s="5">
        <v>3</v>
      </c>
      <c r="U734" s="5" t="str" cm="1">
        <f t="array" ref="U734">_xlfn.IFS(T734=1,"Poor",T734=2,"Fair",T734=3,"Good",T734=4,"Excellent")</f>
        <v>Good</v>
      </c>
      <c r="V734" s="5" t="s">
        <v>43</v>
      </c>
      <c r="W734" s="5">
        <v>3</v>
      </c>
      <c r="X734" s="28">
        <f t="shared" ca="1" si="128"/>
        <v>45015</v>
      </c>
      <c r="Y734" s="28">
        <f t="shared" ca="1" si="129"/>
        <v>46476</v>
      </c>
      <c r="Z734" s="28" t="str">
        <f t="shared" ca="1" si="130"/>
        <v>Due Soon</v>
      </c>
      <c r="AA734" s="5" t="str" cm="1">
        <f t="array" ref="AA734">_xlfn.IFS(W734&gt;10,"Veteran",W734&gt;=6,"Experienced",W734&gt;=2,"Developing",W734&gt;=0,"New")</f>
        <v>Developing</v>
      </c>
      <c r="AB734" s="5" t="str" cm="1">
        <f t="array" ref="AB734">_xlfn.IFS(G734=1,"Junior",G734=2,"Mid-Level",G734=3,"Senior",G734=4,"Lead",G734=5,"Principal")&amp;" "&amp;TRIM(PROPER(H734))</f>
        <v>Junior Laboratory Technician</v>
      </c>
      <c r="AC734" s="19" t="str">
        <f t="shared" ca="1" si="131"/>
        <v>La-Res-2023-733 is a Junior Laboratory Technician in the Research &amp; Development department, aged 30, single and has been with the Company for 3years</v>
      </c>
    </row>
    <row r="735" spans="1:29">
      <c r="A735" s="18" t="str">
        <f t="shared" ca="1" si="121"/>
        <v>Ma-Res-2018-734</v>
      </c>
      <c r="B735" s="5">
        <v>26</v>
      </c>
      <c r="C735" s="5" t="str">
        <f t="shared" si="122"/>
        <v>20-29</v>
      </c>
      <c r="D735" s="5" t="s">
        <v>43</v>
      </c>
      <c r="E735" s="5" t="s">
        <v>45</v>
      </c>
      <c r="F735" s="5" t="s">
        <v>46</v>
      </c>
      <c r="G735" s="5">
        <v>2</v>
      </c>
      <c r="H735" s="5" t="s">
        <v>53</v>
      </c>
      <c r="I735" s="5" t="s">
        <v>48</v>
      </c>
      <c r="J735" s="7">
        <v>5472</v>
      </c>
      <c r="K735" s="7">
        <f t="shared" si="123"/>
        <v>820.8</v>
      </c>
      <c r="L735" s="7">
        <f t="shared" si="124"/>
        <v>4651.2</v>
      </c>
      <c r="M735" s="7">
        <v>3334</v>
      </c>
      <c r="N735" s="5" t="s">
        <v>43</v>
      </c>
      <c r="O735" s="5">
        <v>12</v>
      </c>
      <c r="P735" s="7">
        <f t="shared" si="125"/>
        <v>6128.64</v>
      </c>
      <c r="Q735" s="7">
        <f t="shared" si="126"/>
        <v>7879.6800000000039</v>
      </c>
      <c r="R735" s="7" t="str">
        <f t="shared" si="127"/>
        <v>Normal</v>
      </c>
      <c r="S735" s="5">
        <v>3</v>
      </c>
      <c r="T735" s="5">
        <v>3</v>
      </c>
      <c r="U735" s="5" t="str" cm="1">
        <f t="array" ref="U735">_xlfn.IFS(T735=1,"Poor",T735=2,"Fair",T735=3,"Good",T735=4,"Excellent")</f>
        <v>Good</v>
      </c>
      <c r="V735" s="5" t="s">
        <v>43</v>
      </c>
      <c r="W735" s="5">
        <v>8</v>
      </c>
      <c r="X735" s="28">
        <f t="shared" ca="1" si="128"/>
        <v>43189</v>
      </c>
      <c r="Y735" s="28">
        <f t="shared" ca="1" si="129"/>
        <v>46842</v>
      </c>
      <c r="Z735" s="28" t="str">
        <f t="shared" ca="1" si="130"/>
        <v>Upcoming</v>
      </c>
      <c r="AA735" s="5" t="str" cm="1">
        <f t="array" ref="AA735">_xlfn.IFS(W735&gt;10,"Veteran",W735&gt;=6,"Experienced",W735&gt;=2,"Developing",W735&gt;=0,"New")</f>
        <v>Experienced</v>
      </c>
      <c r="AB735" s="5" t="str" cm="1">
        <f t="array" ref="AB735">_xlfn.IFS(G735=1,"Junior",G735=2,"Mid-Level",G735=3,"Senior",G735=4,"Lead",G735=5,"Principal")&amp;" "&amp;TRIM(PROPER(H735))</f>
        <v>Mid-Level Manufacturing Director</v>
      </c>
      <c r="AC735" s="19" t="str">
        <f t="shared" ca="1" si="131"/>
        <v>Ma-Res-2018-734 is a Mid-Level Manufacturing Director in the Research &amp; Development department, aged 26, married and has been with the Company for 8years</v>
      </c>
    </row>
    <row r="736" spans="1:29">
      <c r="A736" s="18" t="str">
        <f t="shared" ca="1" si="121"/>
        <v>La-Res-2022-735</v>
      </c>
      <c r="B736" s="5">
        <v>22</v>
      </c>
      <c r="C736" s="5" t="str">
        <f t="shared" si="122"/>
        <v>20-29</v>
      </c>
      <c r="D736" s="5" t="s">
        <v>43</v>
      </c>
      <c r="E736" s="5" t="s">
        <v>45</v>
      </c>
      <c r="F736" s="5" t="s">
        <v>46</v>
      </c>
      <c r="G736" s="5">
        <v>1</v>
      </c>
      <c r="H736" s="5" t="s">
        <v>50</v>
      </c>
      <c r="I736" s="5" t="s">
        <v>48</v>
      </c>
      <c r="J736" s="7">
        <v>2451</v>
      </c>
      <c r="K736" s="7">
        <f t="shared" si="123"/>
        <v>171.57000000000002</v>
      </c>
      <c r="L736" s="7">
        <f t="shared" si="124"/>
        <v>2279.4299999999998</v>
      </c>
      <c r="M736" s="7">
        <v>6881</v>
      </c>
      <c r="N736" s="5" t="s">
        <v>43</v>
      </c>
      <c r="O736" s="5">
        <v>15</v>
      </c>
      <c r="P736" s="7">
        <f t="shared" si="125"/>
        <v>2818.6499999999996</v>
      </c>
      <c r="Q736" s="7">
        <f t="shared" si="126"/>
        <v>4411.7999999999956</v>
      </c>
      <c r="R736" s="7" t="str">
        <f t="shared" si="127"/>
        <v>Normal</v>
      </c>
      <c r="S736" s="5">
        <v>3</v>
      </c>
      <c r="T736" s="5">
        <v>2</v>
      </c>
      <c r="U736" s="5" t="str" cm="1">
        <f t="array" ref="U736">_xlfn.IFS(T736=1,"Poor",T736=2,"Fair",T736=3,"Good",T736=4,"Excellent")</f>
        <v>Fair</v>
      </c>
      <c r="V736" s="5" t="s">
        <v>43</v>
      </c>
      <c r="W736" s="5">
        <v>4</v>
      </c>
      <c r="X736" s="28">
        <f t="shared" ca="1" si="128"/>
        <v>44650</v>
      </c>
      <c r="Y736" s="28">
        <f t="shared" ca="1" si="129"/>
        <v>46842</v>
      </c>
      <c r="Z736" s="28" t="str">
        <f t="shared" ca="1" si="130"/>
        <v>Upcoming</v>
      </c>
      <c r="AA736" s="5" t="str" cm="1">
        <f t="array" ref="AA736">_xlfn.IFS(W736&gt;10,"Veteran",W736&gt;=6,"Experienced",W736&gt;=2,"Developing",W736&gt;=0,"New")</f>
        <v>Developing</v>
      </c>
      <c r="AB736" s="5" t="str" cm="1">
        <f t="array" ref="AB736">_xlfn.IFS(G736=1,"Junior",G736=2,"Mid-Level",G736=3,"Senior",G736=4,"Lead",G736=5,"Principal")&amp;" "&amp;TRIM(PROPER(H736))</f>
        <v>Junior Laboratory Technician</v>
      </c>
      <c r="AC736" s="19" t="str">
        <f t="shared" ca="1" si="131"/>
        <v>La-Res-2022-735 is a Junior Laboratory Technician in the Research &amp; Development department, aged 22, married and has been with the Company for 4years</v>
      </c>
    </row>
    <row r="737" spans="1:29">
      <c r="A737" s="18" t="str">
        <f t="shared" ca="1" si="121"/>
        <v>He-Res-2024-736</v>
      </c>
      <c r="B737" s="5">
        <v>48</v>
      </c>
      <c r="C737" s="5" t="str">
        <f t="shared" si="122"/>
        <v>40-49</v>
      </c>
      <c r="D737" s="5" t="s">
        <v>43</v>
      </c>
      <c r="E737" s="5" t="s">
        <v>45</v>
      </c>
      <c r="F737" s="5" t="s">
        <v>46</v>
      </c>
      <c r="G737" s="5">
        <v>2</v>
      </c>
      <c r="H737" s="5" t="s">
        <v>54</v>
      </c>
      <c r="I737" s="5" t="s">
        <v>41</v>
      </c>
      <c r="J737" s="7">
        <v>4240</v>
      </c>
      <c r="K737" s="7">
        <f t="shared" si="123"/>
        <v>636</v>
      </c>
      <c r="L737" s="7">
        <f t="shared" si="124"/>
        <v>3604</v>
      </c>
      <c r="M737" s="7">
        <v>13119</v>
      </c>
      <c r="N737" s="5" t="s">
        <v>43</v>
      </c>
      <c r="O737" s="5">
        <v>13</v>
      </c>
      <c r="P737" s="7">
        <f t="shared" si="125"/>
        <v>4791.2</v>
      </c>
      <c r="Q737" s="7">
        <f t="shared" si="126"/>
        <v>6614.3999999999978</v>
      </c>
      <c r="R737" s="7" t="str">
        <f t="shared" si="127"/>
        <v>Normal</v>
      </c>
      <c r="S737" s="5">
        <v>3</v>
      </c>
      <c r="T737" s="5">
        <v>3</v>
      </c>
      <c r="U737" s="5" t="str" cm="1">
        <f t="array" ref="U737">_xlfn.IFS(T737=1,"Poor",T737=2,"Fair",T737=3,"Good",T737=4,"Excellent")</f>
        <v>Good</v>
      </c>
      <c r="V737" s="5" t="s">
        <v>43</v>
      </c>
      <c r="W737" s="5">
        <v>2</v>
      </c>
      <c r="X737" s="28">
        <f t="shared" ca="1" si="128"/>
        <v>45381</v>
      </c>
      <c r="Y737" s="28">
        <f t="shared" ca="1" si="129"/>
        <v>46842</v>
      </c>
      <c r="Z737" s="28" t="str">
        <f t="shared" ca="1" si="130"/>
        <v>Upcoming</v>
      </c>
      <c r="AA737" s="5" t="str" cm="1">
        <f t="array" ref="AA737">_xlfn.IFS(W737&gt;10,"Veteran",W737&gt;=6,"Experienced",W737&gt;=2,"Developing",W737&gt;=0,"New")</f>
        <v>Developing</v>
      </c>
      <c r="AB737" s="5" t="str" cm="1">
        <f t="array" ref="AB737">_xlfn.IFS(G737=1,"Junior",G737=2,"Mid-Level",G737=3,"Senior",G737=4,"Lead",G737=5,"Principal")&amp;" "&amp;TRIM(PROPER(H737))</f>
        <v>Mid-Level Healthcare Representative</v>
      </c>
      <c r="AC737" s="19" t="str">
        <f t="shared" ca="1" si="131"/>
        <v>He-Res-2024-736 is a Mid-Level Healthcare Representative in the Research &amp; Development department, aged 48, single and has been with the Company for 2years</v>
      </c>
    </row>
    <row r="738" spans="1:29">
      <c r="A738" s="18" t="str">
        <f t="shared" ca="1" si="121"/>
        <v>He-Res-2011-737</v>
      </c>
      <c r="B738" s="5">
        <v>48</v>
      </c>
      <c r="C738" s="5" t="str">
        <f t="shared" si="122"/>
        <v>40-49</v>
      </c>
      <c r="D738" s="5" t="s">
        <v>43</v>
      </c>
      <c r="E738" s="5" t="s">
        <v>45</v>
      </c>
      <c r="F738" s="5" t="s">
        <v>46</v>
      </c>
      <c r="G738" s="5">
        <v>3</v>
      </c>
      <c r="H738" s="5" t="s">
        <v>54</v>
      </c>
      <c r="I738" s="5" t="s">
        <v>41</v>
      </c>
      <c r="J738" s="7">
        <v>10999</v>
      </c>
      <c r="K738" s="7">
        <f t="shared" si="123"/>
        <v>2419.7800000000002</v>
      </c>
      <c r="L738" s="7">
        <f t="shared" si="124"/>
        <v>8579.2199999999993</v>
      </c>
      <c r="M738" s="7">
        <v>22245</v>
      </c>
      <c r="N738" s="5" t="s">
        <v>43</v>
      </c>
      <c r="O738" s="5">
        <v>14</v>
      </c>
      <c r="P738" s="7">
        <f t="shared" si="125"/>
        <v>12538.86</v>
      </c>
      <c r="Q738" s="7">
        <f t="shared" si="126"/>
        <v>18478.320000000007</v>
      </c>
      <c r="R738" s="7" t="str">
        <f t="shared" si="127"/>
        <v>Normal</v>
      </c>
      <c r="S738" s="5">
        <v>3</v>
      </c>
      <c r="T738" s="5">
        <v>3</v>
      </c>
      <c r="U738" s="5" t="str" cm="1">
        <f t="array" ref="U738">_xlfn.IFS(T738=1,"Poor",T738=2,"Fair",T738=3,"Good",T738=4,"Excellent")</f>
        <v>Good</v>
      </c>
      <c r="V738" s="5" t="s">
        <v>43</v>
      </c>
      <c r="W738" s="5">
        <v>15</v>
      </c>
      <c r="X738" s="28">
        <f t="shared" ca="1" si="128"/>
        <v>40632</v>
      </c>
      <c r="Y738" s="28">
        <f t="shared" ca="1" si="129"/>
        <v>46476</v>
      </c>
      <c r="Z738" s="28" t="str">
        <f t="shared" ca="1" si="130"/>
        <v>Due Soon</v>
      </c>
      <c r="AA738" s="5" t="str" cm="1">
        <f t="array" ref="AA738">_xlfn.IFS(W738&gt;10,"Veteran",W738&gt;=6,"Experienced",W738&gt;=2,"Developing",W738&gt;=0,"New")</f>
        <v>Veteran</v>
      </c>
      <c r="AB738" s="5" t="str" cm="1">
        <f t="array" ref="AB738">_xlfn.IFS(G738=1,"Junior",G738=2,"Mid-Level",G738=3,"Senior",G738=4,"Lead",G738=5,"Principal")&amp;" "&amp;TRIM(PROPER(H738))</f>
        <v>Senior Healthcare Representative</v>
      </c>
      <c r="AC738" s="19" t="str">
        <f t="shared" ca="1" si="131"/>
        <v>He-Res-2011-737 is a Senior Healthcare Representative in the Research &amp; Development department, aged 48, single and has been with the Company for 15years</v>
      </c>
    </row>
    <row r="739" spans="1:29">
      <c r="A739" s="18" t="str">
        <f t="shared" ca="1" si="121"/>
        <v>Ma-Res-2024-738</v>
      </c>
      <c r="B739" s="5">
        <v>41</v>
      </c>
      <c r="C739" s="5" t="str">
        <f t="shared" si="122"/>
        <v>40-49</v>
      </c>
      <c r="D739" s="5" t="s">
        <v>43</v>
      </c>
      <c r="E739" s="5" t="s">
        <v>45</v>
      </c>
      <c r="F739" s="5" t="s">
        <v>39</v>
      </c>
      <c r="G739" s="5">
        <v>2</v>
      </c>
      <c r="H739" s="5" t="s">
        <v>53</v>
      </c>
      <c r="I739" s="5" t="s">
        <v>41</v>
      </c>
      <c r="J739" s="7">
        <v>5003</v>
      </c>
      <c r="K739" s="7">
        <f t="shared" si="123"/>
        <v>750.44999999999993</v>
      </c>
      <c r="L739" s="7">
        <f t="shared" si="124"/>
        <v>4252.55</v>
      </c>
      <c r="M739" s="7">
        <v>23371</v>
      </c>
      <c r="N739" s="5" t="s">
        <v>43</v>
      </c>
      <c r="O739" s="5">
        <v>14</v>
      </c>
      <c r="P739" s="7">
        <f t="shared" si="125"/>
        <v>5703.420000000001</v>
      </c>
      <c r="Q739" s="7">
        <f t="shared" si="126"/>
        <v>8405.0400000000118</v>
      </c>
      <c r="R739" s="7" t="str">
        <f t="shared" si="127"/>
        <v>Normal</v>
      </c>
      <c r="S739" s="5">
        <v>3</v>
      </c>
      <c r="T739" s="5">
        <v>3</v>
      </c>
      <c r="U739" s="5" t="str" cm="1">
        <f t="array" ref="U739">_xlfn.IFS(T739=1,"Poor",T739=2,"Fair",T739=3,"Good",T739=4,"Excellent")</f>
        <v>Good</v>
      </c>
      <c r="V739" s="5" t="s">
        <v>43</v>
      </c>
      <c r="W739" s="5">
        <v>2</v>
      </c>
      <c r="X739" s="28">
        <f t="shared" ca="1" si="128"/>
        <v>45381</v>
      </c>
      <c r="Y739" s="28">
        <f t="shared" ca="1" si="129"/>
        <v>46842</v>
      </c>
      <c r="Z739" s="28" t="str">
        <f t="shared" ca="1" si="130"/>
        <v>Upcoming</v>
      </c>
      <c r="AA739" s="5" t="str" cm="1">
        <f t="array" ref="AA739">_xlfn.IFS(W739&gt;10,"Veteran",W739&gt;=6,"Experienced",W739&gt;=2,"Developing",W739&gt;=0,"New")</f>
        <v>Developing</v>
      </c>
      <c r="AB739" s="5" t="str" cm="1">
        <f t="array" ref="AB739">_xlfn.IFS(G739=1,"Junior",G739=2,"Mid-Level",G739=3,"Senior",G739=4,"Lead",G739=5,"Principal")&amp;" "&amp;TRIM(PROPER(H739))</f>
        <v>Mid-Level Manufacturing Director</v>
      </c>
      <c r="AC739" s="19" t="str">
        <f t="shared" ca="1" si="131"/>
        <v>Ma-Res-2024-738 is a Mid-Level Manufacturing Director in the Research &amp; Development department, aged 41, single and has been with the Company for 2years</v>
      </c>
    </row>
    <row r="740" spans="1:29">
      <c r="A740" s="18" t="str">
        <f t="shared" ca="1" si="121"/>
        <v>Ma-Res-2005-739</v>
      </c>
      <c r="B740" s="5">
        <v>39</v>
      </c>
      <c r="C740" s="5" t="str">
        <f t="shared" si="122"/>
        <v>30-39</v>
      </c>
      <c r="D740" s="5" t="s">
        <v>43</v>
      </c>
      <c r="E740" s="5" t="s">
        <v>45</v>
      </c>
      <c r="F740" s="5" t="s">
        <v>39</v>
      </c>
      <c r="G740" s="5">
        <v>4</v>
      </c>
      <c r="H740" s="5" t="s">
        <v>53</v>
      </c>
      <c r="I740" s="5" t="s">
        <v>48</v>
      </c>
      <c r="J740" s="7">
        <v>12742</v>
      </c>
      <c r="K740" s="7">
        <f t="shared" si="123"/>
        <v>2803.2400000000002</v>
      </c>
      <c r="L740" s="7">
        <f t="shared" si="124"/>
        <v>9938.76</v>
      </c>
      <c r="M740" s="7">
        <v>7060</v>
      </c>
      <c r="N740" s="5" t="s">
        <v>43</v>
      </c>
      <c r="O740" s="5">
        <v>16</v>
      </c>
      <c r="P740" s="7">
        <f t="shared" si="125"/>
        <v>14780.72</v>
      </c>
      <c r="Q740" s="7">
        <f t="shared" si="126"/>
        <v>24464.639999999992</v>
      </c>
      <c r="R740" s="7" t="str">
        <f t="shared" si="127"/>
        <v>Normal</v>
      </c>
      <c r="S740" s="5">
        <v>3</v>
      </c>
      <c r="T740" s="5">
        <v>3</v>
      </c>
      <c r="U740" s="5" t="str" cm="1">
        <f t="array" ref="U740">_xlfn.IFS(T740=1,"Poor",T740=2,"Fair",T740=3,"Good",T740=4,"Excellent")</f>
        <v>Good</v>
      </c>
      <c r="V740" s="5" t="s">
        <v>43</v>
      </c>
      <c r="W740" s="5">
        <v>21</v>
      </c>
      <c r="X740" s="28">
        <f t="shared" ca="1" si="128"/>
        <v>38441</v>
      </c>
      <c r="Y740" s="28">
        <f t="shared" ca="1" si="129"/>
        <v>46476</v>
      </c>
      <c r="Z740" s="28" t="str">
        <f t="shared" ca="1" si="130"/>
        <v>Due Soon</v>
      </c>
      <c r="AA740" s="5" t="str" cm="1">
        <f t="array" ref="AA740">_xlfn.IFS(W740&gt;10,"Veteran",W740&gt;=6,"Experienced",W740&gt;=2,"Developing",W740&gt;=0,"New")</f>
        <v>Veteran</v>
      </c>
      <c r="AB740" s="5" t="str" cm="1">
        <f t="array" ref="AB740">_xlfn.IFS(G740=1,"Junior",G740=2,"Mid-Level",G740=3,"Senior",G740=4,"Lead",G740=5,"Principal")&amp;" "&amp;TRIM(PROPER(H740))</f>
        <v>Lead Manufacturing Director</v>
      </c>
      <c r="AC740" s="19" t="str">
        <f t="shared" ca="1" si="131"/>
        <v>Ma-Res-2005-739 is a Lead Manufacturing Director in the Research &amp; Development department, aged 39, married and has been with the Company for 21years</v>
      </c>
    </row>
    <row r="741" spans="1:29">
      <c r="A741" s="18" t="str">
        <f t="shared" ca="1" si="121"/>
        <v>Ma-Res-2023-740</v>
      </c>
      <c r="B741" s="5">
        <v>27</v>
      </c>
      <c r="C741" s="5" t="str">
        <f t="shared" si="122"/>
        <v>20-29</v>
      </c>
      <c r="D741" s="5" t="s">
        <v>43</v>
      </c>
      <c r="E741" s="5" t="s">
        <v>45</v>
      </c>
      <c r="F741" s="5" t="s">
        <v>39</v>
      </c>
      <c r="G741" s="5">
        <v>2</v>
      </c>
      <c r="H741" s="5" t="s">
        <v>53</v>
      </c>
      <c r="I741" s="5" t="s">
        <v>48</v>
      </c>
      <c r="J741" s="7">
        <v>4227</v>
      </c>
      <c r="K741" s="7">
        <f t="shared" si="123"/>
        <v>634.04999999999995</v>
      </c>
      <c r="L741" s="7">
        <f t="shared" si="124"/>
        <v>3592.95</v>
      </c>
      <c r="M741" s="7">
        <v>4658</v>
      </c>
      <c r="N741" s="5" t="s">
        <v>43</v>
      </c>
      <c r="O741" s="5">
        <v>18</v>
      </c>
      <c r="P741" s="7">
        <f t="shared" si="125"/>
        <v>4987.8599999999997</v>
      </c>
      <c r="Q741" s="7">
        <f t="shared" si="126"/>
        <v>9130.3199999999961</v>
      </c>
      <c r="R741" s="7" t="str">
        <f t="shared" si="127"/>
        <v>Normal</v>
      </c>
      <c r="S741" s="5">
        <v>3</v>
      </c>
      <c r="T741" s="5">
        <v>3</v>
      </c>
      <c r="U741" s="5" t="str" cm="1">
        <f t="array" ref="U741">_xlfn.IFS(T741=1,"Poor",T741=2,"Fair",T741=3,"Good",T741=4,"Excellent")</f>
        <v>Good</v>
      </c>
      <c r="V741" s="5" t="s">
        <v>43</v>
      </c>
      <c r="W741" s="5">
        <v>3</v>
      </c>
      <c r="X741" s="28">
        <f t="shared" ca="1" si="128"/>
        <v>45015</v>
      </c>
      <c r="Y741" s="28">
        <f t="shared" ca="1" si="129"/>
        <v>46476</v>
      </c>
      <c r="Z741" s="28" t="str">
        <f t="shared" ca="1" si="130"/>
        <v>Due Soon</v>
      </c>
      <c r="AA741" s="5" t="str" cm="1">
        <f t="array" ref="AA741">_xlfn.IFS(W741&gt;10,"Veteran",W741&gt;=6,"Experienced",W741&gt;=2,"Developing",W741&gt;=0,"New")</f>
        <v>Developing</v>
      </c>
      <c r="AB741" s="5" t="str" cm="1">
        <f t="array" ref="AB741">_xlfn.IFS(G741=1,"Junior",G741=2,"Mid-Level",G741=3,"Senior",G741=4,"Lead",G741=5,"Principal")&amp;" "&amp;TRIM(PROPER(H741))</f>
        <v>Mid-Level Manufacturing Director</v>
      </c>
      <c r="AC741" s="19" t="str">
        <f t="shared" ca="1" si="131"/>
        <v>Ma-Res-2023-740 is a Mid-Level Manufacturing Director in the Research &amp; Development department, aged 27, married and has been with the Company for 3years</v>
      </c>
    </row>
    <row r="742" spans="1:29">
      <c r="A742" s="18" t="str">
        <f t="shared" ca="1" si="121"/>
        <v>La-Res-2023-741</v>
      </c>
      <c r="B742" s="5">
        <v>35</v>
      </c>
      <c r="C742" s="5" t="str">
        <f t="shared" si="122"/>
        <v>30-39</v>
      </c>
      <c r="D742" s="5" t="s">
        <v>43</v>
      </c>
      <c r="E742" s="5" t="s">
        <v>45</v>
      </c>
      <c r="F742" s="5" t="s">
        <v>46</v>
      </c>
      <c r="G742" s="5">
        <v>1</v>
      </c>
      <c r="H742" s="5" t="s">
        <v>50</v>
      </c>
      <c r="I742" s="5" t="s">
        <v>52</v>
      </c>
      <c r="J742" s="7">
        <v>3917</v>
      </c>
      <c r="K742" s="7">
        <f t="shared" si="123"/>
        <v>587.54999999999995</v>
      </c>
      <c r="L742" s="7">
        <f t="shared" si="124"/>
        <v>3329.45</v>
      </c>
      <c r="M742" s="7">
        <v>9541</v>
      </c>
      <c r="N742" s="5" t="s">
        <v>43</v>
      </c>
      <c r="O742" s="5">
        <v>20</v>
      </c>
      <c r="P742" s="7">
        <f t="shared" si="125"/>
        <v>4700.3999999999996</v>
      </c>
      <c r="Q742" s="7">
        <f t="shared" si="126"/>
        <v>9400.7999999999956</v>
      </c>
      <c r="R742" s="7" t="str">
        <f t="shared" si="127"/>
        <v>Normal</v>
      </c>
      <c r="S742" s="5">
        <v>4</v>
      </c>
      <c r="T742" s="5">
        <v>2</v>
      </c>
      <c r="U742" s="5" t="str" cm="1">
        <f t="array" ref="U742">_xlfn.IFS(T742=1,"Poor",T742=2,"Fair",T742=3,"Good",T742=4,"Excellent")</f>
        <v>Fair</v>
      </c>
      <c r="V742" s="5" t="s">
        <v>43</v>
      </c>
      <c r="W742" s="5">
        <v>3</v>
      </c>
      <c r="X742" s="28">
        <f t="shared" ca="1" si="128"/>
        <v>45015</v>
      </c>
      <c r="Y742" s="28">
        <f t="shared" ca="1" si="129"/>
        <v>46476</v>
      </c>
      <c r="Z742" s="28" t="str">
        <f t="shared" ca="1" si="130"/>
        <v>Due Soon</v>
      </c>
      <c r="AA742" s="5" t="str" cm="1">
        <f t="array" ref="AA742">_xlfn.IFS(W742&gt;10,"Veteran",W742&gt;=6,"Experienced",W742&gt;=2,"Developing",W742&gt;=0,"New")</f>
        <v>Developing</v>
      </c>
      <c r="AB742" s="5" t="str" cm="1">
        <f t="array" ref="AB742">_xlfn.IFS(G742=1,"Junior",G742=2,"Mid-Level",G742=3,"Senior",G742=4,"Lead",G742=5,"Principal")&amp;" "&amp;TRIM(PROPER(H742))</f>
        <v>Junior Laboratory Technician</v>
      </c>
      <c r="AC742" s="19" t="str">
        <f t="shared" ca="1" si="131"/>
        <v>La-Res-2023-741 is a Junior Laboratory Technician in the Research &amp; Development department, aged 35, divorced and has been with the Company for 3years</v>
      </c>
    </row>
    <row r="743" spans="1:29">
      <c r="A743" s="18" t="str">
        <f t="shared" ca="1" si="121"/>
        <v>Ma-Sal-2025-742</v>
      </c>
      <c r="B743" s="5">
        <v>42</v>
      </c>
      <c r="C743" s="5" t="str">
        <f t="shared" si="122"/>
        <v>40-49</v>
      </c>
      <c r="D743" s="5" t="s">
        <v>43</v>
      </c>
      <c r="E743" s="5" t="s">
        <v>37</v>
      </c>
      <c r="F743" s="5" t="s">
        <v>46</v>
      </c>
      <c r="G743" s="5">
        <v>5</v>
      </c>
      <c r="H743" s="5" t="s">
        <v>56</v>
      </c>
      <c r="I743" s="5" t="s">
        <v>48</v>
      </c>
      <c r="J743" s="7">
        <v>18303</v>
      </c>
      <c r="K743" s="7">
        <f t="shared" si="123"/>
        <v>5490.9</v>
      </c>
      <c r="L743" s="7">
        <f t="shared" si="124"/>
        <v>12812.1</v>
      </c>
      <c r="M743" s="7">
        <v>7770</v>
      </c>
      <c r="N743" s="5" t="s">
        <v>43</v>
      </c>
      <c r="O743" s="5">
        <v>13</v>
      </c>
      <c r="P743" s="7">
        <f t="shared" si="125"/>
        <v>20682.39</v>
      </c>
      <c r="Q743" s="7">
        <f t="shared" si="126"/>
        <v>28552.679999999993</v>
      </c>
      <c r="R743" s="7" t="str">
        <f t="shared" si="127"/>
        <v>Normal</v>
      </c>
      <c r="S743" s="5">
        <v>3</v>
      </c>
      <c r="T743" s="5">
        <v>4</v>
      </c>
      <c r="U743" s="5" t="str" cm="1">
        <f t="array" ref="U743">_xlfn.IFS(T743=1,"Poor",T743=2,"Fair",T743=3,"Good",T743=4,"Excellent")</f>
        <v>Excellent</v>
      </c>
      <c r="V743" s="5" t="s">
        <v>43</v>
      </c>
      <c r="W743" s="5">
        <v>1</v>
      </c>
      <c r="X743" s="28">
        <f t="shared" ca="1" si="128"/>
        <v>45746</v>
      </c>
      <c r="Y743" s="28">
        <f t="shared" ca="1" si="129"/>
        <v>46476</v>
      </c>
      <c r="Z743" s="28" t="str">
        <f t="shared" ca="1" si="130"/>
        <v>Due Soon</v>
      </c>
      <c r="AA743" s="5" t="str" cm="1">
        <f t="array" ref="AA743">_xlfn.IFS(W743&gt;10,"Veteran",W743&gt;=6,"Experienced",W743&gt;=2,"Developing",W743&gt;=0,"New")</f>
        <v>New</v>
      </c>
      <c r="AB743" s="5" t="str" cm="1">
        <f t="array" ref="AB743">_xlfn.IFS(G743=1,"Junior",G743=2,"Mid-Level",G743=3,"Senior",G743=4,"Lead",G743=5,"Principal")&amp;" "&amp;TRIM(PROPER(H743))</f>
        <v>Principal Manager</v>
      </c>
      <c r="AC743" s="19" t="str">
        <f t="shared" ca="1" si="131"/>
        <v>Ma-Sal-2025-742 is a Principal Manager in the Sales department, aged 42, married and has been with the Company for 1years</v>
      </c>
    </row>
    <row r="744" spans="1:29">
      <c r="A744" s="18" t="str">
        <f t="shared" ca="1" si="121"/>
        <v>La-Res-2025-743</v>
      </c>
      <c r="B744" s="5">
        <v>50</v>
      </c>
      <c r="C744" s="5" t="str">
        <f t="shared" si="122"/>
        <v>50+</v>
      </c>
      <c r="D744" s="5" t="s">
        <v>43</v>
      </c>
      <c r="E744" s="5" t="s">
        <v>45</v>
      </c>
      <c r="F744" s="5" t="s">
        <v>46</v>
      </c>
      <c r="G744" s="5">
        <v>1</v>
      </c>
      <c r="H744" s="5" t="s">
        <v>50</v>
      </c>
      <c r="I744" s="5" t="s">
        <v>48</v>
      </c>
      <c r="J744" s="7">
        <v>2380</v>
      </c>
      <c r="K744" s="7">
        <f t="shared" si="123"/>
        <v>166.60000000000002</v>
      </c>
      <c r="L744" s="7">
        <f t="shared" si="124"/>
        <v>2213.4</v>
      </c>
      <c r="M744" s="7">
        <v>20165</v>
      </c>
      <c r="N744" s="5" t="s">
        <v>43</v>
      </c>
      <c r="O744" s="5">
        <v>18</v>
      </c>
      <c r="P744" s="7">
        <f t="shared" si="125"/>
        <v>2808.3999999999996</v>
      </c>
      <c r="Q744" s="7">
        <f t="shared" si="126"/>
        <v>5140.7999999999956</v>
      </c>
      <c r="R744" s="7" t="str">
        <f t="shared" si="127"/>
        <v>Normal</v>
      </c>
      <c r="S744" s="5">
        <v>3</v>
      </c>
      <c r="T744" s="5">
        <v>3</v>
      </c>
      <c r="U744" s="5" t="str" cm="1">
        <f t="array" ref="U744">_xlfn.IFS(T744=1,"Poor",T744=2,"Fair",T744=3,"Good",T744=4,"Excellent")</f>
        <v>Good</v>
      </c>
      <c r="V744" s="5" t="s">
        <v>43</v>
      </c>
      <c r="W744" s="5">
        <v>1</v>
      </c>
      <c r="X744" s="28">
        <f t="shared" ca="1" si="128"/>
        <v>45746</v>
      </c>
      <c r="Y744" s="28">
        <f t="shared" ca="1" si="129"/>
        <v>46476</v>
      </c>
      <c r="Z744" s="28" t="str">
        <f t="shared" ca="1" si="130"/>
        <v>Due Soon</v>
      </c>
      <c r="AA744" s="5" t="str" cm="1">
        <f t="array" ref="AA744">_xlfn.IFS(W744&gt;10,"Veteran",W744&gt;=6,"Experienced",W744&gt;=2,"Developing",W744&gt;=0,"New")</f>
        <v>New</v>
      </c>
      <c r="AB744" s="5" t="str" cm="1">
        <f t="array" ref="AB744">_xlfn.IFS(G744=1,"Junior",G744=2,"Mid-Level",G744=3,"Senior",G744=4,"Lead",G744=5,"Principal")&amp;" "&amp;TRIM(PROPER(H744))</f>
        <v>Junior Laboratory Technician</v>
      </c>
      <c r="AC744" s="19" t="str">
        <f t="shared" ca="1" si="131"/>
        <v>La-Res-2025-743 is a Junior Laboratory Technician in the Research &amp; Development department, aged 50, married and has been with the Company for 1years</v>
      </c>
    </row>
    <row r="745" spans="1:29">
      <c r="A745" s="18" t="str">
        <f t="shared" ca="1" si="121"/>
        <v>Ma-Res-2021-744</v>
      </c>
      <c r="B745" s="5">
        <v>59</v>
      </c>
      <c r="C745" s="5" t="str">
        <f t="shared" si="122"/>
        <v>50+</v>
      </c>
      <c r="D745" s="5" t="s">
        <v>43</v>
      </c>
      <c r="E745" s="5" t="s">
        <v>45</v>
      </c>
      <c r="F745" s="5" t="s">
        <v>39</v>
      </c>
      <c r="G745" s="5">
        <v>4</v>
      </c>
      <c r="H745" s="5" t="s">
        <v>53</v>
      </c>
      <c r="I745" s="5" t="s">
        <v>41</v>
      </c>
      <c r="J745" s="7">
        <v>13726</v>
      </c>
      <c r="K745" s="7">
        <f t="shared" si="123"/>
        <v>4117.8</v>
      </c>
      <c r="L745" s="7">
        <f t="shared" si="124"/>
        <v>9608.2000000000007</v>
      </c>
      <c r="M745" s="7">
        <v>21829</v>
      </c>
      <c r="N745" s="5" t="s">
        <v>35</v>
      </c>
      <c r="O745" s="5">
        <v>13</v>
      </c>
      <c r="P745" s="7">
        <f t="shared" si="125"/>
        <v>15510.38</v>
      </c>
      <c r="Q745" s="7">
        <f t="shared" si="126"/>
        <v>21412.55999999999</v>
      </c>
      <c r="R745" s="7" t="str">
        <f t="shared" si="127"/>
        <v>Normal</v>
      </c>
      <c r="S745" s="5">
        <v>3</v>
      </c>
      <c r="T745" s="5">
        <v>3</v>
      </c>
      <c r="U745" s="5" t="str" cm="1">
        <f t="array" ref="U745">_xlfn.IFS(T745=1,"Poor",T745=2,"Fair",T745=3,"Good",T745=4,"Excellent")</f>
        <v>Good</v>
      </c>
      <c r="V745" s="5" t="s">
        <v>35</v>
      </c>
      <c r="W745" s="5">
        <v>5</v>
      </c>
      <c r="X745" s="28">
        <f t="shared" ca="1" si="128"/>
        <v>44285</v>
      </c>
      <c r="Y745" s="28">
        <f t="shared" ca="1" si="129"/>
        <v>46476</v>
      </c>
      <c r="Z745" s="28" t="str">
        <f t="shared" ca="1" si="130"/>
        <v>Due Soon</v>
      </c>
      <c r="AA745" s="5" t="str" cm="1">
        <f t="array" ref="AA745">_xlfn.IFS(W745&gt;10,"Veteran",W745&gt;=6,"Experienced",W745&gt;=2,"Developing",W745&gt;=0,"New")</f>
        <v>Developing</v>
      </c>
      <c r="AB745" s="5" t="str" cm="1">
        <f t="array" ref="AB745">_xlfn.IFS(G745=1,"Junior",G745=2,"Mid-Level",G745=3,"Senior",G745=4,"Lead",G745=5,"Principal")&amp;" "&amp;TRIM(PROPER(H745))</f>
        <v>Lead Manufacturing Director</v>
      </c>
      <c r="AC745" s="19" t="str">
        <f t="shared" ca="1" si="131"/>
        <v>Ma-Res-2021-744 is a Lead Manufacturing Director in the Research &amp; Development department, aged 59, single and has been with the Company for 5years</v>
      </c>
    </row>
    <row r="746" spans="1:29">
      <c r="A746" s="18" t="str">
        <f t="shared" ca="1" si="121"/>
        <v>He-Res-2025-745</v>
      </c>
      <c r="B746" s="5">
        <v>37</v>
      </c>
      <c r="C746" s="5" t="str">
        <f t="shared" si="122"/>
        <v>30-39</v>
      </c>
      <c r="D746" s="5" t="s">
        <v>35</v>
      </c>
      <c r="E746" s="5" t="s">
        <v>45</v>
      </c>
      <c r="F746" s="5" t="s">
        <v>39</v>
      </c>
      <c r="G746" s="5">
        <v>2</v>
      </c>
      <c r="H746" s="5" t="s">
        <v>54</v>
      </c>
      <c r="I746" s="5" t="s">
        <v>48</v>
      </c>
      <c r="J746" s="7">
        <v>4777</v>
      </c>
      <c r="K746" s="7">
        <f t="shared" si="123"/>
        <v>716.55</v>
      </c>
      <c r="L746" s="7">
        <f t="shared" si="124"/>
        <v>4060.45</v>
      </c>
      <c r="M746" s="7">
        <v>14382</v>
      </c>
      <c r="N746" s="5" t="s">
        <v>43</v>
      </c>
      <c r="O746" s="5">
        <v>15</v>
      </c>
      <c r="P746" s="7">
        <f t="shared" si="125"/>
        <v>5493.5499999999993</v>
      </c>
      <c r="Q746" s="7">
        <f t="shared" si="126"/>
        <v>8598.5999999999913</v>
      </c>
      <c r="R746" s="7" t="str">
        <f t="shared" si="127"/>
        <v>Normal</v>
      </c>
      <c r="S746" s="5">
        <v>3</v>
      </c>
      <c r="T746" s="5">
        <v>1</v>
      </c>
      <c r="U746" s="5" t="str" cm="1">
        <f t="array" ref="U746">_xlfn.IFS(T746=1,"Poor",T746=2,"Fair",T746=3,"Good",T746=4,"Excellent")</f>
        <v>Poor</v>
      </c>
      <c r="V746" s="5" t="s">
        <v>43</v>
      </c>
      <c r="W746" s="5">
        <v>1</v>
      </c>
      <c r="X746" s="28">
        <f t="shared" ca="1" si="128"/>
        <v>45746</v>
      </c>
      <c r="Y746" s="28">
        <f t="shared" ca="1" si="129"/>
        <v>46476</v>
      </c>
      <c r="Z746" s="28" t="str">
        <f t="shared" ca="1" si="130"/>
        <v>Due Soon</v>
      </c>
      <c r="AA746" s="5" t="str" cm="1">
        <f t="array" ref="AA746">_xlfn.IFS(W746&gt;10,"Veteran",W746&gt;=6,"Experienced",W746&gt;=2,"Developing",W746&gt;=0,"New")</f>
        <v>New</v>
      </c>
      <c r="AB746" s="5" t="str" cm="1">
        <f t="array" ref="AB746">_xlfn.IFS(G746=1,"Junior",G746=2,"Mid-Level",G746=3,"Senior",G746=4,"Lead",G746=5,"Principal")&amp;" "&amp;TRIM(PROPER(H746))</f>
        <v>Mid-Level Healthcare Representative</v>
      </c>
      <c r="AC746" s="19" t="str">
        <f t="shared" ca="1" si="131"/>
        <v>He-Res-2025-745 is a Mid-Level Healthcare Representative in the Research &amp; Development department, aged 37, married and has been with the Company for 1years</v>
      </c>
    </row>
    <row r="747" spans="1:29">
      <c r="A747" s="18" t="str">
        <f t="shared" ca="1" si="121"/>
        <v>He-Res-2018-746</v>
      </c>
      <c r="B747" s="5">
        <v>55</v>
      </c>
      <c r="C747" s="5" t="str">
        <f t="shared" si="122"/>
        <v>50+</v>
      </c>
      <c r="D747" s="5" t="s">
        <v>43</v>
      </c>
      <c r="E747" s="5" t="s">
        <v>45</v>
      </c>
      <c r="F747" s="5" t="s">
        <v>46</v>
      </c>
      <c r="G747" s="5">
        <v>2</v>
      </c>
      <c r="H747" s="5" t="s">
        <v>54</v>
      </c>
      <c r="I747" s="5" t="s">
        <v>48</v>
      </c>
      <c r="J747" s="7">
        <v>6385</v>
      </c>
      <c r="K747" s="7">
        <f t="shared" si="123"/>
        <v>957.75</v>
      </c>
      <c r="L747" s="7">
        <f t="shared" si="124"/>
        <v>5427.25</v>
      </c>
      <c r="M747" s="7">
        <v>12992</v>
      </c>
      <c r="N747" s="5" t="s">
        <v>35</v>
      </c>
      <c r="O747" s="5">
        <v>14</v>
      </c>
      <c r="P747" s="7">
        <f t="shared" si="125"/>
        <v>7278.9000000000005</v>
      </c>
      <c r="Q747" s="7">
        <f t="shared" si="126"/>
        <v>10726.800000000007</v>
      </c>
      <c r="R747" s="7" t="str">
        <f t="shared" si="127"/>
        <v>Normal</v>
      </c>
      <c r="S747" s="5">
        <v>3</v>
      </c>
      <c r="T747" s="5">
        <v>3</v>
      </c>
      <c r="U747" s="5" t="str" cm="1">
        <f t="array" ref="U747">_xlfn.IFS(T747=1,"Poor",T747=2,"Fair",T747=3,"Good",T747=4,"Excellent")</f>
        <v>Good</v>
      </c>
      <c r="V747" s="5" t="s">
        <v>35</v>
      </c>
      <c r="W747" s="5">
        <v>8</v>
      </c>
      <c r="X747" s="28">
        <f t="shared" ca="1" si="128"/>
        <v>43189</v>
      </c>
      <c r="Y747" s="28">
        <f t="shared" ca="1" si="129"/>
        <v>46842</v>
      </c>
      <c r="Z747" s="28" t="str">
        <f t="shared" ca="1" si="130"/>
        <v>Upcoming</v>
      </c>
      <c r="AA747" s="5" t="str" cm="1">
        <f t="array" ref="AA747">_xlfn.IFS(W747&gt;10,"Veteran",W747&gt;=6,"Experienced",W747&gt;=2,"Developing",W747&gt;=0,"New")</f>
        <v>Experienced</v>
      </c>
      <c r="AB747" s="5" t="str" cm="1">
        <f t="array" ref="AB747">_xlfn.IFS(G747=1,"Junior",G747=2,"Mid-Level",G747=3,"Senior",G747=4,"Lead",G747=5,"Principal")&amp;" "&amp;TRIM(PROPER(H747))</f>
        <v>Mid-Level Healthcare Representative</v>
      </c>
      <c r="AC747" s="19" t="str">
        <f t="shared" ca="1" si="131"/>
        <v>He-Res-2018-746 is a Mid-Level Healthcare Representative in the Research &amp; Development department, aged 55, married and has been with the Company for 8years</v>
      </c>
    </row>
    <row r="748" spans="1:29">
      <c r="A748" s="18" t="str">
        <f t="shared" ca="1" si="121"/>
        <v>Re-Res-2005-747</v>
      </c>
      <c r="B748" s="5">
        <v>41</v>
      </c>
      <c r="C748" s="5" t="str">
        <f t="shared" si="122"/>
        <v>40-49</v>
      </c>
      <c r="D748" s="5" t="s">
        <v>43</v>
      </c>
      <c r="E748" s="5" t="s">
        <v>45</v>
      </c>
      <c r="F748" s="5" t="s">
        <v>39</v>
      </c>
      <c r="G748" s="5">
        <v>5</v>
      </c>
      <c r="H748" s="5" t="s">
        <v>58</v>
      </c>
      <c r="I748" s="5" t="s">
        <v>52</v>
      </c>
      <c r="J748" s="7">
        <v>19973</v>
      </c>
      <c r="K748" s="7">
        <f t="shared" si="123"/>
        <v>5991.9</v>
      </c>
      <c r="L748" s="7">
        <f t="shared" si="124"/>
        <v>13981.1</v>
      </c>
      <c r="M748" s="7">
        <v>20284</v>
      </c>
      <c r="N748" s="5" t="s">
        <v>43</v>
      </c>
      <c r="O748" s="5">
        <v>22</v>
      </c>
      <c r="P748" s="7">
        <f t="shared" si="125"/>
        <v>24367.059999999998</v>
      </c>
      <c r="Q748" s="7">
        <f t="shared" si="126"/>
        <v>52728.719999999972</v>
      </c>
      <c r="R748" s="7" t="str">
        <f t="shared" si="127"/>
        <v>Normal</v>
      </c>
      <c r="S748" s="5">
        <v>4</v>
      </c>
      <c r="T748" s="5">
        <v>3</v>
      </c>
      <c r="U748" s="5" t="str" cm="1">
        <f t="array" ref="U748">_xlfn.IFS(T748=1,"Poor",T748=2,"Fair",T748=3,"Good",T748=4,"Excellent")</f>
        <v>Good</v>
      </c>
      <c r="V748" s="5" t="s">
        <v>43</v>
      </c>
      <c r="W748" s="5">
        <v>21</v>
      </c>
      <c r="X748" s="28">
        <f t="shared" ca="1" si="128"/>
        <v>38441</v>
      </c>
      <c r="Y748" s="28">
        <f t="shared" ca="1" si="129"/>
        <v>46476</v>
      </c>
      <c r="Z748" s="28" t="str">
        <f t="shared" ca="1" si="130"/>
        <v>Due Soon</v>
      </c>
      <c r="AA748" s="5" t="str" cm="1">
        <f t="array" ref="AA748">_xlfn.IFS(W748&gt;10,"Veteran",W748&gt;=6,"Experienced",W748&gt;=2,"Developing",W748&gt;=0,"New")</f>
        <v>Veteran</v>
      </c>
      <c r="AB748" s="5" t="str" cm="1">
        <f t="array" ref="AB748">_xlfn.IFS(G748=1,"Junior",G748=2,"Mid-Level",G748=3,"Senior",G748=4,"Lead",G748=5,"Principal")&amp;" "&amp;TRIM(PROPER(H748))</f>
        <v>Principal Research Director</v>
      </c>
      <c r="AC748" s="19" t="str">
        <f t="shared" ca="1" si="131"/>
        <v>Re-Res-2005-747 is a Principal Research Director in the Research &amp; Development department, aged 41, divorced and has been with the Company for 21years</v>
      </c>
    </row>
    <row r="749" spans="1:29">
      <c r="A749" s="18" t="str">
        <f t="shared" ca="1" si="121"/>
        <v>Sa-Sal-2025-748</v>
      </c>
      <c r="B749" s="5">
        <v>38</v>
      </c>
      <c r="C749" s="5" t="str">
        <f t="shared" si="122"/>
        <v>30-39</v>
      </c>
      <c r="D749" s="5" t="s">
        <v>43</v>
      </c>
      <c r="E749" s="5" t="s">
        <v>37</v>
      </c>
      <c r="F749" s="5" t="s">
        <v>46</v>
      </c>
      <c r="G749" s="5">
        <v>2</v>
      </c>
      <c r="H749" s="5" t="s">
        <v>40</v>
      </c>
      <c r="I749" s="5" t="s">
        <v>41</v>
      </c>
      <c r="J749" s="7">
        <v>6861</v>
      </c>
      <c r="K749" s="7">
        <f t="shared" si="123"/>
        <v>1029.1499999999999</v>
      </c>
      <c r="L749" s="7">
        <f t="shared" si="124"/>
        <v>5831.85</v>
      </c>
      <c r="M749" s="7">
        <v>4981</v>
      </c>
      <c r="N749" s="5" t="s">
        <v>35</v>
      </c>
      <c r="O749" s="5">
        <v>12</v>
      </c>
      <c r="P749" s="7">
        <f t="shared" si="125"/>
        <v>7684.3200000000006</v>
      </c>
      <c r="Q749" s="7">
        <f t="shared" si="126"/>
        <v>9879.8400000000074</v>
      </c>
      <c r="R749" s="7" t="str">
        <f t="shared" si="127"/>
        <v>Normal</v>
      </c>
      <c r="S749" s="5">
        <v>3</v>
      </c>
      <c r="T749" s="5">
        <v>3</v>
      </c>
      <c r="U749" s="5" t="str" cm="1">
        <f t="array" ref="U749">_xlfn.IFS(T749=1,"Poor",T749=2,"Fair",T749=3,"Good",T749=4,"Excellent")</f>
        <v>Good</v>
      </c>
      <c r="V749" s="5" t="s">
        <v>35</v>
      </c>
      <c r="W749" s="5">
        <v>1</v>
      </c>
      <c r="X749" s="28">
        <f t="shared" ca="1" si="128"/>
        <v>45746</v>
      </c>
      <c r="Y749" s="28">
        <f t="shared" ca="1" si="129"/>
        <v>46476</v>
      </c>
      <c r="Z749" s="28" t="str">
        <f t="shared" ca="1" si="130"/>
        <v>Due Soon</v>
      </c>
      <c r="AA749" s="5" t="str" cm="1">
        <f t="array" ref="AA749">_xlfn.IFS(W749&gt;10,"Veteran",W749&gt;=6,"Experienced",W749&gt;=2,"Developing",W749&gt;=0,"New")</f>
        <v>New</v>
      </c>
      <c r="AB749" s="5" t="str" cm="1">
        <f t="array" ref="AB749">_xlfn.IFS(G749=1,"Junior",G749=2,"Mid-Level",G749=3,"Senior",G749=4,"Lead",G749=5,"Principal")&amp;" "&amp;TRIM(PROPER(H749))</f>
        <v>Mid-Level Sales Executive</v>
      </c>
      <c r="AC749" s="19" t="str">
        <f t="shared" ca="1" si="131"/>
        <v>Sa-Sal-2025-748 is a Mid-Level Sales Executive in the Sales department, aged 38, single and has been with the Company for 1years</v>
      </c>
    </row>
    <row r="750" spans="1:29">
      <c r="A750" s="18" t="str">
        <f t="shared" ca="1" si="121"/>
        <v>Sa-Sal-2024-749</v>
      </c>
      <c r="B750" s="5">
        <v>26</v>
      </c>
      <c r="C750" s="5" t="str">
        <f t="shared" si="122"/>
        <v>20-29</v>
      </c>
      <c r="D750" s="5" t="s">
        <v>35</v>
      </c>
      <c r="E750" s="5" t="s">
        <v>37</v>
      </c>
      <c r="F750" s="5" t="s">
        <v>46</v>
      </c>
      <c r="G750" s="5">
        <v>2</v>
      </c>
      <c r="H750" s="5" t="s">
        <v>40</v>
      </c>
      <c r="I750" s="5" t="s">
        <v>41</v>
      </c>
      <c r="J750" s="7">
        <v>4969</v>
      </c>
      <c r="K750" s="7">
        <f t="shared" si="123"/>
        <v>745.35</v>
      </c>
      <c r="L750" s="7">
        <f t="shared" si="124"/>
        <v>4223.6499999999996</v>
      </c>
      <c r="M750" s="7">
        <v>21813</v>
      </c>
      <c r="N750" s="5" t="s">
        <v>43</v>
      </c>
      <c r="O750" s="5">
        <v>18</v>
      </c>
      <c r="P750" s="7">
        <f t="shared" si="125"/>
        <v>5863.42</v>
      </c>
      <c r="Q750" s="7">
        <f t="shared" si="126"/>
        <v>10733.04</v>
      </c>
      <c r="R750" s="7" t="str">
        <f t="shared" si="127"/>
        <v>Normal</v>
      </c>
      <c r="S750" s="5">
        <v>3</v>
      </c>
      <c r="T750" s="5">
        <v>3</v>
      </c>
      <c r="U750" s="5" t="str" cm="1">
        <f t="array" ref="U750">_xlfn.IFS(T750=1,"Poor",T750=2,"Fair",T750=3,"Good",T750=4,"Excellent")</f>
        <v>Good</v>
      </c>
      <c r="V750" s="5" t="s">
        <v>43</v>
      </c>
      <c r="W750" s="5">
        <v>2</v>
      </c>
      <c r="X750" s="28">
        <f t="shared" ca="1" si="128"/>
        <v>45381</v>
      </c>
      <c r="Y750" s="28">
        <f t="shared" ca="1" si="129"/>
        <v>46842</v>
      </c>
      <c r="Z750" s="28" t="str">
        <f t="shared" ca="1" si="130"/>
        <v>Upcoming</v>
      </c>
      <c r="AA750" s="5" t="str" cm="1">
        <f t="array" ref="AA750">_xlfn.IFS(W750&gt;10,"Veteran",W750&gt;=6,"Experienced",W750&gt;=2,"Developing",W750&gt;=0,"New")</f>
        <v>Developing</v>
      </c>
      <c r="AB750" s="5" t="str" cm="1">
        <f t="array" ref="AB750">_xlfn.IFS(G750=1,"Junior",G750=2,"Mid-Level",G750=3,"Senior",G750=4,"Lead",G750=5,"Principal")&amp;" "&amp;TRIM(PROPER(H750))</f>
        <v>Mid-Level Sales Executive</v>
      </c>
      <c r="AC750" s="19" t="str">
        <f t="shared" ca="1" si="131"/>
        <v>Sa-Sal-2024-749 is a Mid-Level Sales Executive in the Sales department, aged 26, single and has been with the Company for 2years</v>
      </c>
    </row>
    <row r="751" spans="1:29">
      <c r="A751" s="18" t="str">
        <f t="shared" ca="1" si="121"/>
        <v>Ma-Sal-1994-750</v>
      </c>
      <c r="B751" s="5">
        <v>52</v>
      </c>
      <c r="C751" s="5" t="str">
        <f t="shared" si="122"/>
        <v>50+</v>
      </c>
      <c r="D751" s="5" t="s">
        <v>35</v>
      </c>
      <c r="E751" s="5" t="s">
        <v>37</v>
      </c>
      <c r="F751" s="5" t="s">
        <v>39</v>
      </c>
      <c r="G751" s="5">
        <v>5</v>
      </c>
      <c r="H751" s="5" t="s">
        <v>56</v>
      </c>
      <c r="I751" s="5" t="s">
        <v>48</v>
      </c>
      <c r="J751" s="7">
        <v>19845</v>
      </c>
      <c r="K751" s="7">
        <f t="shared" si="123"/>
        <v>5953.5</v>
      </c>
      <c r="L751" s="7">
        <f t="shared" si="124"/>
        <v>13891.5</v>
      </c>
      <c r="M751" s="7">
        <v>25846</v>
      </c>
      <c r="N751" s="5" t="s">
        <v>43</v>
      </c>
      <c r="O751" s="5">
        <v>15</v>
      </c>
      <c r="P751" s="7">
        <f t="shared" si="125"/>
        <v>22821.75</v>
      </c>
      <c r="Q751" s="7">
        <f t="shared" si="126"/>
        <v>35721</v>
      </c>
      <c r="R751" s="7" t="str">
        <f t="shared" si="127"/>
        <v>Normal</v>
      </c>
      <c r="S751" s="5">
        <v>3</v>
      </c>
      <c r="T751" s="5">
        <v>3</v>
      </c>
      <c r="U751" s="5" t="str" cm="1">
        <f t="array" ref="U751">_xlfn.IFS(T751=1,"Poor",T751=2,"Fair",T751=3,"Good",T751=4,"Excellent")</f>
        <v>Good</v>
      </c>
      <c r="V751" s="5" t="s">
        <v>43</v>
      </c>
      <c r="W751" s="5">
        <v>32</v>
      </c>
      <c r="X751" s="28">
        <f t="shared" ca="1" si="128"/>
        <v>34423</v>
      </c>
      <c r="Y751" s="28">
        <f t="shared" ca="1" si="129"/>
        <v>46842</v>
      </c>
      <c r="Z751" s="28" t="str">
        <f t="shared" ca="1" si="130"/>
        <v>Upcoming</v>
      </c>
      <c r="AA751" s="5" t="str" cm="1">
        <f t="array" ref="AA751">_xlfn.IFS(W751&gt;10,"Veteran",W751&gt;=6,"Experienced",W751&gt;=2,"Developing",W751&gt;=0,"New")</f>
        <v>Veteran</v>
      </c>
      <c r="AB751" s="5" t="str" cm="1">
        <f t="array" ref="AB751">_xlfn.IFS(G751=1,"Junior",G751=2,"Mid-Level",G751=3,"Senior",G751=4,"Lead",G751=5,"Principal")&amp;" "&amp;TRIM(PROPER(H751))</f>
        <v>Principal Manager</v>
      </c>
      <c r="AC751" s="19" t="str">
        <f t="shared" ca="1" si="131"/>
        <v>Ma-Sal-1994-750 is a Principal Manager in the Sales department, aged 52, married and has been with the Company for 32years</v>
      </c>
    </row>
    <row r="752" spans="1:29">
      <c r="A752" s="18" t="str">
        <f t="shared" ca="1" si="121"/>
        <v>Sa-Sal-2014-751</v>
      </c>
      <c r="B752" s="5">
        <v>44</v>
      </c>
      <c r="C752" s="5" t="str">
        <f t="shared" si="122"/>
        <v>40-49</v>
      </c>
      <c r="D752" s="5" t="s">
        <v>43</v>
      </c>
      <c r="E752" s="5" t="s">
        <v>37</v>
      </c>
      <c r="F752" s="5" t="s">
        <v>39</v>
      </c>
      <c r="G752" s="5">
        <v>4</v>
      </c>
      <c r="H752" s="5" t="s">
        <v>40</v>
      </c>
      <c r="I752" s="5" t="s">
        <v>48</v>
      </c>
      <c r="J752" s="7">
        <v>13320</v>
      </c>
      <c r="K752" s="7">
        <f t="shared" si="123"/>
        <v>3996</v>
      </c>
      <c r="L752" s="7">
        <f t="shared" si="124"/>
        <v>9324</v>
      </c>
      <c r="M752" s="7">
        <v>11737</v>
      </c>
      <c r="N752" s="5" t="s">
        <v>35</v>
      </c>
      <c r="O752" s="5">
        <v>18</v>
      </c>
      <c r="P752" s="7">
        <f t="shared" si="125"/>
        <v>15717.599999999999</v>
      </c>
      <c r="Q752" s="7">
        <f t="shared" si="126"/>
        <v>28771.199999999983</v>
      </c>
      <c r="R752" s="7" t="str">
        <f t="shared" si="127"/>
        <v>Normal</v>
      </c>
      <c r="S752" s="5">
        <v>3</v>
      </c>
      <c r="T752" s="5">
        <v>3</v>
      </c>
      <c r="U752" s="5" t="str" cm="1">
        <f t="array" ref="U752">_xlfn.IFS(T752=1,"Poor",T752=2,"Fair",T752=3,"Good",T752=4,"Excellent")</f>
        <v>Good</v>
      </c>
      <c r="V752" s="5" t="s">
        <v>35</v>
      </c>
      <c r="W752" s="5">
        <v>12</v>
      </c>
      <c r="X752" s="28">
        <f t="shared" ca="1" si="128"/>
        <v>41728</v>
      </c>
      <c r="Y752" s="28">
        <f t="shared" ca="1" si="129"/>
        <v>46842</v>
      </c>
      <c r="Z752" s="28" t="str">
        <f t="shared" ca="1" si="130"/>
        <v>Upcoming</v>
      </c>
      <c r="AA752" s="5" t="str" cm="1">
        <f t="array" ref="AA752">_xlfn.IFS(W752&gt;10,"Veteran",W752&gt;=6,"Experienced",W752&gt;=2,"Developing",W752&gt;=0,"New")</f>
        <v>Veteran</v>
      </c>
      <c r="AB752" s="5" t="str" cm="1">
        <f t="array" ref="AB752">_xlfn.IFS(G752=1,"Junior",G752=2,"Mid-Level",G752=3,"Senior",G752=4,"Lead",G752=5,"Principal")&amp;" "&amp;TRIM(PROPER(H752))</f>
        <v>Lead Sales Executive</v>
      </c>
      <c r="AC752" s="19" t="str">
        <f t="shared" ca="1" si="131"/>
        <v>Sa-Sal-2014-751 is a Lead Sales Executive in the Sales department, aged 44, married and has been with the Company for 12years</v>
      </c>
    </row>
    <row r="753" spans="1:29">
      <c r="A753" s="18" t="str">
        <f t="shared" ca="1" si="121"/>
        <v>Sa-Sal-2008-752</v>
      </c>
      <c r="B753" s="5">
        <v>50</v>
      </c>
      <c r="C753" s="5" t="str">
        <f t="shared" si="122"/>
        <v>50+</v>
      </c>
      <c r="D753" s="5" t="s">
        <v>43</v>
      </c>
      <c r="E753" s="5" t="s">
        <v>37</v>
      </c>
      <c r="F753" s="5" t="s">
        <v>39</v>
      </c>
      <c r="G753" s="5">
        <v>2</v>
      </c>
      <c r="H753" s="5" t="s">
        <v>40</v>
      </c>
      <c r="I753" s="5" t="s">
        <v>48</v>
      </c>
      <c r="J753" s="7">
        <v>6347</v>
      </c>
      <c r="K753" s="7">
        <f t="shared" si="123"/>
        <v>952.05</v>
      </c>
      <c r="L753" s="7">
        <f t="shared" si="124"/>
        <v>5394.95</v>
      </c>
      <c r="M753" s="7">
        <v>24920</v>
      </c>
      <c r="N753" s="5" t="s">
        <v>43</v>
      </c>
      <c r="O753" s="5">
        <v>12</v>
      </c>
      <c r="P753" s="7">
        <f t="shared" si="125"/>
        <v>7108.64</v>
      </c>
      <c r="Q753" s="7">
        <f t="shared" si="126"/>
        <v>9139.6800000000039</v>
      </c>
      <c r="R753" s="7" t="str">
        <f t="shared" si="127"/>
        <v>Normal</v>
      </c>
      <c r="S753" s="5">
        <v>3</v>
      </c>
      <c r="T753" s="5">
        <v>3</v>
      </c>
      <c r="U753" s="5" t="str" cm="1">
        <f t="array" ref="U753">_xlfn.IFS(T753=1,"Poor",T753=2,"Fair",T753=3,"Good",T753=4,"Excellent")</f>
        <v>Good</v>
      </c>
      <c r="V753" s="5" t="s">
        <v>43</v>
      </c>
      <c r="W753" s="5">
        <v>18</v>
      </c>
      <c r="X753" s="28">
        <f t="shared" ca="1" si="128"/>
        <v>39537</v>
      </c>
      <c r="Y753" s="28">
        <f t="shared" ca="1" si="129"/>
        <v>46842</v>
      </c>
      <c r="Z753" s="28" t="str">
        <f t="shared" ca="1" si="130"/>
        <v>Upcoming</v>
      </c>
      <c r="AA753" s="5" t="str" cm="1">
        <f t="array" ref="AA753">_xlfn.IFS(W753&gt;10,"Veteran",W753&gt;=6,"Experienced",W753&gt;=2,"Developing",W753&gt;=0,"New")</f>
        <v>Veteran</v>
      </c>
      <c r="AB753" s="5" t="str" cm="1">
        <f t="array" ref="AB753">_xlfn.IFS(G753=1,"Junior",G753=2,"Mid-Level",G753=3,"Senior",G753=4,"Lead",G753=5,"Principal")&amp;" "&amp;TRIM(PROPER(H753))</f>
        <v>Mid-Level Sales Executive</v>
      </c>
      <c r="AC753" s="19" t="str">
        <f t="shared" ca="1" si="131"/>
        <v>Sa-Sal-2008-752 is a Mid-Level Sales Executive in the Sales department, aged 50, married and has been with the Company for 18years</v>
      </c>
    </row>
    <row r="754" spans="1:29">
      <c r="A754" s="18" t="str">
        <f t="shared" ca="1" si="121"/>
        <v>La-Res-2009-753</v>
      </c>
      <c r="B754" s="5">
        <v>36</v>
      </c>
      <c r="C754" s="5" t="str">
        <f t="shared" si="122"/>
        <v>30-39</v>
      </c>
      <c r="D754" s="5" t="s">
        <v>35</v>
      </c>
      <c r="E754" s="5" t="s">
        <v>45</v>
      </c>
      <c r="F754" s="5" t="s">
        <v>39</v>
      </c>
      <c r="G754" s="5">
        <v>1</v>
      </c>
      <c r="H754" s="5" t="s">
        <v>50</v>
      </c>
      <c r="I754" s="5" t="s">
        <v>41</v>
      </c>
      <c r="J754" s="7">
        <v>2743</v>
      </c>
      <c r="K754" s="7">
        <f t="shared" si="123"/>
        <v>192.01000000000002</v>
      </c>
      <c r="L754" s="7">
        <f t="shared" si="124"/>
        <v>2550.9899999999998</v>
      </c>
      <c r="M754" s="7">
        <v>8269</v>
      </c>
      <c r="N754" s="5" t="s">
        <v>43</v>
      </c>
      <c r="O754" s="5">
        <v>16</v>
      </c>
      <c r="P754" s="7">
        <f t="shared" si="125"/>
        <v>3181.8799999999997</v>
      </c>
      <c r="Q754" s="7">
        <f t="shared" si="126"/>
        <v>5266.5599999999959</v>
      </c>
      <c r="R754" s="7" t="str">
        <f t="shared" si="127"/>
        <v>Normal</v>
      </c>
      <c r="S754" s="5">
        <v>3</v>
      </c>
      <c r="T754" s="5">
        <v>3</v>
      </c>
      <c r="U754" s="5" t="str" cm="1">
        <f t="array" ref="U754">_xlfn.IFS(T754=1,"Poor",T754=2,"Fair",T754=3,"Good",T754=4,"Excellent")</f>
        <v>Good</v>
      </c>
      <c r="V754" s="5" t="s">
        <v>43</v>
      </c>
      <c r="W754" s="5">
        <v>17</v>
      </c>
      <c r="X754" s="28">
        <f t="shared" ca="1" si="128"/>
        <v>39902</v>
      </c>
      <c r="Y754" s="28">
        <f t="shared" ca="1" si="129"/>
        <v>46476</v>
      </c>
      <c r="Z754" s="28" t="str">
        <f t="shared" ca="1" si="130"/>
        <v>Due Soon</v>
      </c>
      <c r="AA754" s="5" t="str" cm="1">
        <f t="array" ref="AA754">_xlfn.IFS(W754&gt;10,"Veteran",W754&gt;=6,"Experienced",W754&gt;=2,"Developing",W754&gt;=0,"New")</f>
        <v>Veteran</v>
      </c>
      <c r="AB754" s="5" t="str" cm="1">
        <f t="array" ref="AB754">_xlfn.IFS(G754=1,"Junior",G754=2,"Mid-Level",G754=3,"Senior",G754=4,"Lead",G754=5,"Principal")&amp;" "&amp;TRIM(PROPER(H754))</f>
        <v>Junior Laboratory Technician</v>
      </c>
      <c r="AC754" s="19" t="str">
        <f t="shared" ca="1" si="131"/>
        <v>La-Res-2009-753 is a Junior Laboratory Technician in the Research &amp; Development department, aged 36, single and has been with the Company for 17years</v>
      </c>
    </row>
    <row r="755" spans="1:29">
      <c r="A755" s="18" t="str">
        <f t="shared" ca="1" si="121"/>
        <v>Ma-Res-2005-754</v>
      </c>
      <c r="B755" s="5">
        <v>39</v>
      </c>
      <c r="C755" s="5" t="str">
        <f t="shared" si="122"/>
        <v>30-39</v>
      </c>
      <c r="D755" s="5" t="s">
        <v>43</v>
      </c>
      <c r="E755" s="5" t="s">
        <v>45</v>
      </c>
      <c r="F755" s="5" t="s">
        <v>39</v>
      </c>
      <c r="G755" s="5">
        <v>3</v>
      </c>
      <c r="H755" s="5" t="s">
        <v>53</v>
      </c>
      <c r="I755" s="5" t="s">
        <v>41</v>
      </c>
      <c r="J755" s="7">
        <v>10880</v>
      </c>
      <c r="K755" s="7">
        <f t="shared" si="123"/>
        <v>2393.6</v>
      </c>
      <c r="L755" s="7">
        <f t="shared" si="124"/>
        <v>8486.4</v>
      </c>
      <c r="M755" s="7">
        <v>5083</v>
      </c>
      <c r="N755" s="5" t="s">
        <v>35</v>
      </c>
      <c r="O755" s="5">
        <v>13</v>
      </c>
      <c r="P755" s="7">
        <f t="shared" si="125"/>
        <v>12294.4</v>
      </c>
      <c r="Q755" s="7">
        <f t="shared" si="126"/>
        <v>16972.799999999996</v>
      </c>
      <c r="R755" s="7" t="str">
        <f t="shared" si="127"/>
        <v>Normal</v>
      </c>
      <c r="S755" s="5">
        <v>3</v>
      </c>
      <c r="T755" s="5">
        <v>3</v>
      </c>
      <c r="U755" s="5" t="str" cm="1">
        <f t="array" ref="U755">_xlfn.IFS(T755=1,"Poor",T755=2,"Fair",T755=3,"Good",T755=4,"Excellent")</f>
        <v>Good</v>
      </c>
      <c r="V755" s="5" t="s">
        <v>35</v>
      </c>
      <c r="W755" s="5">
        <v>21</v>
      </c>
      <c r="X755" s="28">
        <f t="shared" ca="1" si="128"/>
        <v>38441</v>
      </c>
      <c r="Y755" s="28">
        <f t="shared" ca="1" si="129"/>
        <v>46476</v>
      </c>
      <c r="Z755" s="28" t="str">
        <f t="shared" ca="1" si="130"/>
        <v>Due Soon</v>
      </c>
      <c r="AA755" s="5" t="str" cm="1">
        <f t="array" ref="AA755">_xlfn.IFS(W755&gt;10,"Veteran",W755&gt;=6,"Experienced",W755&gt;=2,"Developing",W755&gt;=0,"New")</f>
        <v>Veteran</v>
      </c>
      <c r="AB755" s="5" t="str" cm="1">
        <f t="array" ref="AB755">_xlfn.IFS(G755=1,"Junior",G755=2,"Mid-Level",G755=3,"Senior",G755=4,"Lead",G755=5,"Principal")&amp;" "&amp;TRIM(PROPER(H755))</f>
        <v>Senior Manufacturing Director</v>
      </c>
      <c r="AC755" s="19" t="str">
        <f t="shared" ca="1" si="131"/>
        <v>Ma-Res-2005-754 is a Senior Manufacturing Director in the Research &amp; Development department, aged 39, single and has been with the Company for 21years</v>
      </c>
    </row>
    <row r="756" spans="1:29">
      <c r="A756" s="18" t="str">
        <f t="shared" ca="1" si="121"/>
        <v>Sa-Sal-2024-755</v>
      </c>
      <c r="B756" s="5">
        <v>33</v>
      </c>
      <c r="C756" s="5" t="str">
        <f t="shared" si="122"/>
        <v>30-39</v>
      </c>
      <c r="D756" s="5" t="s">
        <v>43</v>
      </c>
      <c r="E756" s="5" t="s">
        <v>37</v>
      </c>
      <c r="F756" s="5" t="s">
        <v>39</v>
      </c>
      <c r="G756" s="5">
        <v>1</v>
      </c>
      <c r="H756" s="5" t="s">
        <v>57</v>
      </c>
      <c r="I756" s="5" t="s">
        <v>41</v>
      </c>
      <c r="J756" s="7">
        <v>2342</v>
      </c>
      <c r="K756" s="7">
        <f t="shared" si="123"/>
        <v>163.94000000000003</v>
      </c>
      <c r="L756" s="7">
        <f t="shared" si="124"/>
        <v>2178.06</v>
      </c>
      <c r="M756" s="7">
        <v>21437</v>
      </c>
      <c r="N756" s="5" t="s">
        <v>43</v>
      </c>
      <c r="O756" s="5">
        <v>19</v>
      </c>
      <c r="P756" s="7">
        <f t="shared" si="125"/>
        <v>2786.98</v>
      </c>
      <c r="Q756" s="7">
        <f t="shared" si="126"/>
        <v>5339.76</v>
      </c>
      <c r="R756" s="7" t="str">
        <f t="shared" si="127"/>
        <v>Normal</v>
      </c>
      <c r="S756" s="5">
        <v>3</v>
      </c>
      <c r="T756" s="5">
        <v>2</v>
      </c>
      <c r="U756" s="5" t="str" cm="1">
        <f t="array" ref="U756">_xlfn.IFS(T756=1,"Poor",T756=2,"Fair",T756=3,"Good",T756=4,"Excellent")</f>
        <v>Fair</v>
      </c>
      <c r="V756" s="5" t="s">
        <v>43</v>
      </c>
      <c r="W756" s="5">
        <v>2</v>
      </c>
      <c r="X756" s="28">
        <f t="shared" ca="1" si="128"/>
        <v>45381</v>
      </c>
      <c r="Y756" s="28">
        <f t="shared" ca="1" si="129"/>
        <v>46842</v>
      </c>
      <c r="Z756" s="28" t="str">
        <f t="shared" ca="1" si="130"/>
        <v>Upcoming</v>
      </c>
      <c r="AA756" s="5" t="str" cm="1">
        <f t="array" ref="AA756">_xlfn.IFS(W756&gt;10,"Veteran",W756&gt;=6,"Experienced",W756&gt;=2,"Developing",W756&gt;=0,"New")</f>
        <v>Developing</v>
      </c>
      <c r="AB756" s="5" t="str" cm="1">
        <f t="array" ref="AB756">_xlfn.IFS(G756=1,"Junior",G756=2,"Mid-Level",G756=3,"Senior",G756=4,"Lead",G756=5,"Principal")&amp;" "&amp;TRIM(PROPER(H756))</f>
        <v>Junior Sales Representative</v>
      </c>
      <c r="AC756" s="19" t="str">
        <f t="shared" ca="1" si="131"/>
        <v>Sa-Sal-2024-755 is a Junior Sales Representative in the Sales department, aged 33, single and has been with the Company for 2years</v>
      </c>
    </row>
    <row r="757" spans="1:29">
      <c r="A757" s="18" t="str">
        <f t="shared" ca="1" si="121"/>
        <v>Ma-Sal-2017-756</v>
      </c>
      <c r="B757" s="5">
        <v>45</v>
      </c>
      <c r="C757" s="5" t="str">
        <f t="shared" si="122"/>
        <v>40-49</v>
      </c>
      <c r="D757" s="5" t="s">
        <v>43</v>
      </c>
      <c r="E757" s="5" t="s">
        <v>37</v>
      </c>
      <c r="F757" s="5" t="s">
        <v>39</v>
      </c>
      <c r="G757" s="5">
        <v>4</v>
      </c>
      <c r="H757" s="5" t="s">
        <v>56</v>
      </c>
      <c r="I757" s="5" t="s">
        <v>48</v>
      </c>
      <c r="J757" s="7">
        <v>17650</v>
      </c>
      <c r="K757" s="7">
        <f t="shared" si="123"/>
        <v>5295</v>
      </c>
      <c r="L757" s="7">
        <f t="shared" si="124"/>
        <v>12355</v>
      </c>
      <c r="M757" s="7">
        <v>5404</v>
      </c>
      <c r="N757" s="5" t="s">
        <v>43</v>
      </c>
      <c r="O757" s="5">
        <v>13</v>
      </c>
      <c r="P757" s="7">
        <f t="shared" si="125"/>
        <v>19944.499999999996</v>
      </c>
      <c r="Q757" s="7">
        <f t="shared" si="126"/>
        <v>27533.999999999956</v>
      </c>
      <c r="R757" s="7" t="str">
        <f t="shared" si="127"/>
        <v>Normal</v>
      </c>
      <c r="S757" s="5">
        <v>3</v>
      </c>
      <c r="T757" s="5">
        <v>4</v>
      </c>
      <c r="U757" s="5" t="str" cm="1">
        <f t="array" ref="U757">_xlfn.IFS(T757=1,"Poor",T757=2,"Fair",T757=3,"Good",T757=4,"Excellent")</f>
        <v>Excellent</v>
      </c>
      <c r="V757" s="5" t="s">
        <v>43</v>
      </c>
      <c r="W757" s="5">
        <v>9</v>
      </c>
      <c r="X757" s="28">
        <f t="shared" ca="1" si="128"/>
        <v>42824</v>
      </c>
      <c r="Y757" s="28">
        <f t="shared" ca="1" si="129"/>
        <v>46476</v>
      </c>
      <c r="Z757" s="28" t="str">
        <f t="shared" ca="1" si="130"/>
        <v>Due Soon</v>
      </c>
      <c r="AA757" s="5" t="str" cm="1">
        <f t="array" ref="AA757">_xlfn.IFS(W757&gt;10,"Veteran",W757&gt;=6,"Experienced",W757&gt;=2,"Developing",W757&gt;=0,"New")</f>
        <v>Experienced</v>
      </c>
      <c r="AB757" s="5" t="str" cm="1">
        <f t="array" ref="AB757">_xlfn.IFS(G757=1,"Junior",G757=2,"Mid-Level",G757=3,"Senior",G757=4,"Lead",G757=5,"Principal")&amp;" "&amp;TRIM(PROPER(H757))</f>
        <v>Lead Manager</v>
      </c>
      <c r="AC757" s="19" t="str">
        <f t="shared" ca="1" si="131"/>
        <v>Ma-Sal-2017-756 is a Lead Manager in the Sales department, aged 45, married and has been with the Company for 9years</v>
      </c>
    </row>
    <row r="758" spans="1:29">
      <c r="A758" s="18" t="str">
        <f t="shared" ca="1" si="121"/>
        <v>La-Res-2018-757</v>
      </c>
      <c r="B758" s="5">
        <v>32</v>
      </c>
      <c r="C758" s="5" t="str">
        <f t="shared" si="122"/>
        <v>30-39</v>
      </c>
      <c r="D758" s="5" t="s">
        <v>43</v>
      </c>
      <c r="E758" s="5" t="s">
        <v>45</v>
      </c>
      <c r="F758" s="5" t="s">
        <v>39</v>
      </c>
      <c r="G758" s="5">
        <v>1</v>
      </c>
      <c r="H758" s="5" t="s">
        <v>50</v>
      </c>
      <c r="I758" s="5" t="s">
        <v>41</v>
      </c>
      <c r="J758" s="7">
        <v>4025</v>
      </c>
      <c r="K758" s="7">
        <f t="shared" si="123"/>
        <v>603.75</v>
      </c>
      <c r="L758" s="7">
        <f t="shared" si="124"/>
        <v>3421.25</v>
      </c>
      <c r="M758" s="7">
        <v>11135</v>
      </c>
      <c r="N758" s="5" t="s">
        <v>43</v>
      </c>
      <c r="O758" s="5">
        <v>12</v>
      </c>
      <c r="P758" s="7">
        <f t="shared" si="125"/>
        <v>4508</v>
      </c>
      <c r="Q758" s="7">
        <f t="shared" si="126"/>
        <v>5796</v>
      </c>
      <c r="R758" s="7" t="str">
        <f t="shared" si="127"/>
        <v>Normal</v>
      </c>
      <c r="S758" s="5">
        <v>3</v>
      </c>
      <c r="T758" s="5">
        <v>3</v>
      </c>
      <c r="U758" s="5" t="str" cm="1">
        <f t="array" ref="U758">_xlfn.IFS(T758=1,"Poor",T758=2,"Fair",T758=3,"Good",T758=4,"Excellent")</f>
        <v>Good</v>
      </c>
      <c r="V758" s="5" t="s">
        <v>43</v>
      </c>
      <c r="W758" s="5">
        <v>8</v>
      </c>
      <c r="X758" s="28">
        <f t="shared" ca="1" si="128"/>
        <v>43189</v>
      </c>
      <c r="Y758" s="28">
        <f t="shared" ca="1" si="129"/>
        <v>46842</v>
      </c>
      <c r="Z758" s="28" t="str">
        <f t="shared" ca="1" si="130"/>
        <v>Upcoming</v>
      </c>
      <c r="AA758" s="5" t="str" cm="1">
        <f t="array" ref="AA758">_xlfn.IFS(W758&gt;10,"Veteran",W758&gt;=6,"Experienced",W758&gt;=2,"Developing",W758&gt;=0,"New")</f>
        <v>Experienced</v>
      </c>
      <c r="AB758" s="5" t="str" cm="1">
        <f t="array" ref="AB758">_xlfn.IFS(G758=1,"Junior",G758=2,"Mid-Level",G758=3,"Senior",G758=4,"Lead",G758=5,"Principal")&amp;" "&amp;TRIM(PROPER(H758))</f>
        <v>Junior Laboratory Technician</v>
      </c>
      <c r="AC758" s="19" t="str">
        <f t="shared" ca="1" si="131"/>
        <v>La-Res-2018-757 is a Junior Laboratory Technician in the Research &amp; Development department, aged 32, single and has been with the Company for 8years</v>
      </c>
    </row>
    <row r="759" spans="1:29">
      <c r="A759" s="18" t="str">
        <f t="shared" ca="1" si="121"/>
        <v>Sa-Sal-2011-758</v>
      </c>
      <c r="B759" s="5">
        <v>34</v>
      </c>
      <c r="C759" s="5" t="str">
        <f t="shared" si="122"/>
        <v>30-39</v>
      </c>
      <c r="D759" s="5" t="s">
        <v>43</v>
      </c>
      <c r="E759" s="5" t="s">
        <v>37</v>
      </c>
      <c r="F759" s="5" t="s">
        <v>46</v>
      </c>
      <c r="G759" s="5">
        <v>2</v>
      </c>
      <c r="H759" s="5" t="s">
        <v>40</v>
      </c>
      <c r="I759" s="5" t="s">
        <v>52</v>
      </c>
      <c r="J759" s="7">
        <v>9725</v>
      </c>
      <c r="K759" s="7">
        <f t="shared" si="123"/>
        <v>2139.5</v>
      </c>
      <c r="L759" s="7">
        <f t="shared" si="124"/>
        <v>7585.5</v>
      </c>
      <c r="M759" s="7">
        <v>12278</v>
      </c>
      <c r="N759" s="5" t="s">
        <v>43</v>
      </c>
      <c r="O759" s="5">
        <v>11</v>
      </c>
      <c r="P759" s="7">
        <f t="shared" si="125"/>
        <v>10794.750000000002</v>
      </c>
      <c r="Q759" s="7">
        <f t="shared" si="126"/>
        <v>12837.000000000022</v>
      </c>
      <c r="R759" s="7" t="str">
        <f t="shared" si="127"/>
        <v>Normal</v>
      </c>
      <c r="S759" s="5">
        <v>3</v>
      </c>
      <c r="T759" s="5">
        <v>2</v>
      </c>
      <c r="U759" s="5" t="str" cm="1">
        <f t="array" ref="U759">_xlfn.IFS(T759=1,"Poor",T759=2,"Fair",T759=3,"Good",T759=4,"Excellent")</f>
        <v>Fair</v>
      </c>
      <c r="V759" s="5" t="s">
        <v>43</v>
      </c>
      <c r="W759" s="5">
        <v>15</v>
      </c>
      <c r="X759" s="28">
        <f t="shared" ca="1" si="128"/>
        <v>40632</v>
      </c>
      <c r="Y759" s="28">
        <f t="shared" ca="1" si="129"/>
        <v>46476</v>
      </c>
      <c r="Z759" s="28" t="str">
        <f t="shared" ca="1" si="130"/>
        <v>Due Soon</v>
      </c>
      <c r="AA759" s="5" t="str" cm="1">
        <f t="array" ref="AA759">_xlfn.IFS(W759&gt;10,"Veteran",W759&gt;=6,"Experienced",W759&gt;=2,"Developing",W759&gt;=0,"New")</f>
        <v>Veteran</v>
      </c>
      <c r="AB759" s="5" t="str" cm="1">
        <f t="array" ref="AB759">_xlfn.IFS(G759=1,"Junior",G759=2,"Mid-Level",G759=3,"Senior",G759=4,"Lead",G759=5,"Principal")&amp;" "&amp;TRIM(PROPER(H759))</f>
        <v>Mid-Level Sales Executive</v>
      </c>
      <c r="AC759" s="19" t="str">
        <f t="shared" ca="1" si="131"/>
        <v>Sa-Sal-2011-758 is a Mid-Level Sales Executive in the Sales department, aged 34, divorced and has been with the Company for 15years</v>
      </c>
    </row>
    <row r="760" spans="1:29">
      <c r="A760" s="18" t="str">
        <f t="shared" ca="1" si="121"/>
        <v>Ma-Sal-2020-759</v>
      </c>
      <c r="B760" s="5">
        <v>59</v>
      </c>
      <c r="C760" s="5" t="str">
        <f t="shared" si="122"/>
        <v>50+</v>
      </c>
      <c r="D760" s="5" t="s">
        <v>43</v>
      </c>
      <c r="E760" s="5" t="s">
        <v>37</v>
      </c>
      <c r="F760" s="5" t="s">
        <v>46</v>
      </c>
      <c r="G760" s="5">
        <v>3</v>
      </c>
      <c r="H760" s="5" t="s">
        <v>56</v>
      </c>
      <c r="I760" s="5" t="s">
        <v>48</v>
      </c>
      <c r="J760" s="7">
        <v>11904</v>
      </c>
      <c r="K760" s="7">
        <f t="shared" si="123"/>
        <v>2618.88</v>
      </c>
      <c r="L760" s="7">
        <f t="shared" si="124"/>
        <v>9285.119999999999</v>
      </c>
      <c r="M760" s="7">
        <v>11038</v>
      </c>
      <c r="N760" s="5" t="s">
        <v>35</v>
      </c>
      <c r="O760" s="5">
        <v>14</v>
      </c>
      <c r="P760" s="7">
        <f t="shared" si="125"/>
        <v>13570.560000000001</v>
      </c>
      <c r="Q760" s="7">
        <f t="shared" si="126"/>
        <v>19998.720000000016</v>
      </c>
      <c r="R760" s="7" t="str">
        <f t="shared" si="127"/>
        <v>Normal</v>
      </c>
      <c r="S760" s="5">
        <v>3</v>
      </c>
      <c r="T760" s="5">
        <v>1</v>
      </c>
      <c r="U760" s="5" t="str" cm="1">
        <f t="array" ref="U760">_xlfn.IFS(T760=1,"Poor",T760=2,"Fair",T760=3,"Good",T760=4,"Excellent")</f>
        <v>Poor</v>
      </c>
      <c r="V760" s="5" t="s">
        <v>35</v>
      </c>
      <c r="W760" s="5">
        <v>6</v>
      </c>
      <c r="X760" s="28">
        <f t="shared" ca="1" si="128"/>
        <v>43920</v>
      </c>
      <c r="Y760" s="28">
        <f t="shared" ca="1" si="129"/>
        <v>46842</v>
      </c>
      <c r="Z760" s="28" t="str">
        <f t="shared" ca="1" si="130"/>
        <v>Upcoming</v>
      </c>
      <c r="AA760" s="5" t="str" cm="1">
        <f t="array" ref="AA760">_xlfn.IFS(W760&gt;10,"Veteran",W760&gt;=6,"Experienced",W760&gt;=2,"Developing",W760&gt;=0,"New")</f>
        <v>Experienced</v>
      </c>
      <c r="AB760" s="5" t="str" cm="1">
        <f t="array" ref="AB760">_xlfn.IFS(G760=1,"Junior",G760=2,"Mid-Level",G760=3,"Senior",G760=4,"Lead",G760=5,"Principal")&amp;" "&amp;TRIM(PROPER(H760))</f>
        <v>Senior Manager</v>
      </c>
      <c r="AC760" s="19" t="str">
        <f t="shared" ca="1" si="131"/>
        <v>Ma-Sal-2020-759 is a Senior Manager in the Sales department, aged 59, married and has been with the Company for 6years</v>
      </c>
    </row>
    <row r="761" spans="1:29">
      <c r="A761" s="18" t="str">
        <f t="shared" ca="1" si="121"/>
        <v>Hu-Hum-2020-760</v>
      </c>
      <c r="B761" s="5">
        <v>45</v>
      </c>
      <c r="C761" s="5" t="str">
        <f t="shared" si="122"/>
        <v>40-49</v>
      </c>
      <c r="D761" s="5" t="s">
        <v>43</v>
      </c>
      <c r="E761" s="5" t="s">
        <v>61</v>
      </c>
      <c r="F761" s="5" t="s">
        <v>46</v>
      </c>
      <c r="G761" s="5">
        <v>1</v>
      </c>
      <c r="H761" s="5" t="s">
        <v>61</v>
      </c>
      <c r="I761" s="5" t="s">
        <v>41</v>
      </c>
      <c r="J761" s="7">
        <v>2177</v>
      </c>
      <c r="K761" s="7">
        <f t="shared" si="123"/>
        <v>152.39000000000001</v>
      </c>
      <c r="L761" s="7">
        <f t="shared" si="124"/>
        <v>2024.61</v>
      </c>
      <c r="M761" s="7">
        <v>8318</v>
      </c>
      <c r="N761" s="5" t="s">
        <v>43</v>
      </c>
      <c r="O761" s="5">
        <v>16</v>
      </c>
      <c r="P761" s="7">
        <f t="shared" si="125"/>
        <v>2525.3199999999997</v>
      </c>
      <c r="Q761" s="7">
        <f t="shared" si="126"/>
        <v>4179.8399999999965</v>
      </c>
      <c r="R761" s="7" t="str">
        <f t="shared" si="127"/>
        <v>Normal</v>
      </c>
      <c r="S761" s="5">
        <v>3</v>
      </c>
      <c r="T761" s="5">
        <v>3</v>
      </c>
      <c r="U761" s="5" t="str" cm="1">
        <f t="array" ref="U761">_xlfn.IFS(T761=1,"Poor",T761=2,"Fair",T761=3,"Good",T761=4,"Excellent")</f>
        <v>Good</v>
      </c>
      <c r="V761" s="5" t="s">
        <v>43</v>
      </c>
      <c r="W761" s="5">
        <v>6</v>
      </c>
      <c r="X761" s="28">
        <f t="shared" ca="1" si="128"/>
        <v>43920</v>
      </c>
      <c r="Y761" s="28">
        <f t="shared" ca="1" si="129"/>
        <v>46842</v>
      </c>
      <c r="Z761" s="28" t="str">
        <f t="shared" ca="1" si="130"/>
        <v>Upcoming</v>
      </c>
      <c r="AA761" s="5" t="str" cm="1">
        <f t="array" ref="AA761">_xlfn.IFS(W761&gt;10,"Veteran",W761&gt;=6,"Experienced",W761&gt;=2,"Developing",W761&gt;=0,"New")</f>
        <v>Experienced</v>
      </c>
      <c r="AB761" s="5" t="str" cm="1">
        <f t="array" ref="AB761">_xlfn.IFS(G761=1,"Junior",G761=2,"Mid-Level",G761=3,"Senior",G761=4,"Lead",G761=5,"Principal")&amp;" "&amp;TRIM(PROPER(H761))</f>
        <v>Junior Human Resources</v>
      </c>
      <c r="AC761" s="19" t="str">
        <f t="shared" ca="1" si="131"/>
        <v>Hu-Hum-2020-760 is a Junior Human Resources in the Human Resources department, aged 45, single and has been with the Company for 6years</v>
      </c>
    </row>
    <row r="762" spans="1:29">
      <c r="A762" s="18" t="str">
        <f t="shared" ca="1" si="121"/>
        <v>Sa-Sal-2011-761</v>
      </c>
      <c r="B762" s="5">
        <v>53</v>
      </c>
      <c r="C762" s="5" t="str">
        <f t="shared" si="122"/>
        <v>50+</v>
      </c>
      <c r="D762" s="5" t="s">
        <v>43</v>
      </c>
      <c r="E762" s="5" t="s">
        <v>37</v>
      </c>
      <c r="F762" s="5" t="s">
        <v>39</v>
      </c>
      <c r="G762" s="5">
        <v>3</v>
      </c>
      <c r="H762" s="5" t="s">
        <v>40</v>
      </c>
      <c r="I762" s="5" t="s">
        <v>48</v>
      </c>
      <c r="J762" s="7">
        <v>7525</v>
      </c>
      <c r="K762" s="7">
        <f t="shared" si="123"/>
        <v>1655.5</v>
      </c>
      <c r="L762" s="7">
        <f t="shared" si="124"/>
        <v>5869.5</v>
      </c>
      <c r="M762" s="7">
        <v>23537</v>
      </c>
      <c r="N762" s="5" t="s">
        <v>43</v>
      </c>
      <c r="O762" s="5">
        <v>12</v>
      </c>
      <c r="P762" s="7">
        <f t="shared" si="125"/>
        <v>8428</v>
      </c>
      <c r="Q762" s="7">
        <f t="shared" si="126"/>
        <v>10836</v>
      </c>
      <c r="R762" s="7" t="str">
        <f t="shared" si="127"/>
        <v>Normal</v>
      </c>
      <c r="S762" s="5">
        <v>3</v>
      </c>
      <c r="T762" s="5">
        <v>3</v>
      </c>
      <c r="U762" s="5" t="str" cm="1">
        <f t="array" ref="U762">_xlfn.IFS(T762=1,"Poor",T762=2,"Fair",T762=3,"Good",T762=4,"Excellent")</f>
        <v>Good</v>
      </c>
      <c r="V762" s="5" t="s">
        <v>43</v>
      </c>
      <c r="W762" s="5">
        <v>15</v>
      </c>
      <c r="X762" s="28">
        <f t="shared" ca="1" si="128"/>
        <v>40632</v>
      </c>
      <c r="Y762" s="28">
        <f t="shared" ca="1" si="129"/>
        <v>46476</v>
      </c>
      <c r="Z762" s="28" t="str">
        <f t="shared" ca="1" si="130"/>
        <v>Due Soon</v>
      </c>
      <c r="AA762" s="5" t="str" cm="1">
        <f t="array" ref="AA762">_xlfn.IFS(W762&gt;10,"Veteran",W762&gt;=6,"Experienced",W762&gt;=2,"Developing",W762&gt;=0,"New")</f>
        <v>Veteran</v>
      </c>
      <c r="AB762" s="5" t="str" cm="1">
        <f t="array" ref="AB762">_xlfn.IFS(G762=1,"Junior",G762=2,"Mid-Level",G762=3,"Senior",G762=4,"Lead",G762=5,"Principal")&amp;" "&amp;TRIM(PROPER(H762))</f>
        <v>Senior Sales Executive</v>
      </c>
      <c r="AC762" s="19" t="str">
        <f t="shared" ca="1" si="131"/>
        <v>Sa-Sal-2011-761 is a Senior Sales Executive in the Sales department, aged 53, married and has been with the Company for 15years</v>
      </c>
    </row>
    <row r="763" spans="1:29">
      <c r="A763" s="18" t="str">
        <f t="shared" ca="1" si="121"/>
        <v>La-Res-2025-762</v>
      </c>
      <c r="B763" s="5">
        <v>36</v>
      </c>
      <c r="C763" s="5" t="str">
        <f t="shared" si="122"/>
        <v>30-39</v>
      </c>
      <c r="D763" s="5" t="s">
        <v>35</v>
      </c>
      <c r="E763" s="5" t="s">
        <v>45</v>
      </c>
      <c r="F763" s="5" t="s">
        <v>46</v>
      </c>
      <c r="G763" s="5">
        <v>2</v>
      </c>
      <c r="H763" s="5" t="s">
        <v>50</v>
      </c>
      <c r="I763" s="5" t="s">
        <v>52</v>
      </c>
      <c r="J763" s="7">
        <v>4834</v>
      </c>
      <c r="K763" s="7">
        <f t="shared" si="123"/>
        <v>725.1</v>
      </c>
      <c r="L763" s="7">
        <f t="shared" si="124"/>
        <v>4108.8999999999996</v>
      </c>
      <c r="M763" s="7">
        <v>7858</v>
      </c>
      <c r="N763" s="5" t="s">
        <v>43</v>
      </c>
      <c r="O763" s="5">
        <v>14</v>
      </c>
      <c r="P763" s="7">
        <f t="shared" si="125"/>
        <v>5510.76</v>
      </c>
      <c r="Q763" s="7">
        <f t="shared" si="126"/>
        <v>8121.1200000000026</v>
      </c>
      <c r="R763" s="7" t="str">
        <f t="shared" si="127"/>
        <v>Normal</v>
      </c>
      <c r="S763" s="5">
        <v>3</v>
      </c>
      <c r="T763" s="5">
        <v>2</v>
      </c>
      <c r="U763" s="5" t="str" cm="1">
        <f t="array" ref="U763">_xlfn.IFS(T763=1,"Poor",T763=2,"Fair",T763=3,"Good",T763=4,"Excellent")</f>
        <v>Fair</v>
      </c>
      <c r="V763" s="5" t="s">
        <v>43</v>
      </c>
      <c r="W763" s="5">
        <v>1</v>
      </c>
      <c r="X763" s="28">
        <f t="shared" ca="1" si="128"/>
        <v>45746</v>
      </c>
      <c r="Y763" s="28">
        <f t="shared" ca="1" si="129"/>
        <v>46476</v>
      </c>
      <c r="Z763" s="28" t="str">
        <f t="shared" ca="1" si="130"/>
        <v>Due Soon</v>
      </c>
      <c r="AA763" s="5" t="str" cm="1">
        <f t="array" ref="AA763">_xlfn.IFS(W763&gt;10,"Veteran",W763&gt;=6,"Experienced",W763&gt;=2,"Developing",W763&gt;=0,"New")</f>
        <v>New</v>
      </c>
      <c r="AB763" s="5" t="str" cm="1">
        <f t="array" ref="AB763">_xlfn.IFS(G763=1,"Junior",G763=2,"Mid-Level",G763=3,"Senior",G763=4,"Lead",G763=5,"Principal")&amp;" "&amp;TRIM(PROPER(H763))</f>
        <v>Mid-Level Laboratory Technician</v>
      </c>
      <c r="AC763" s="19" t="str">
        <f t="shared" ca="1" si="131"/>
        <v>La-Res-2025-762 is a Mid-Level Laboratory Technician in the Research &amp; Development department, aged 36, divorced and has been with the Company for 1years</v>
      </c>
    </row>
    <row r="764" spans="1:29">
      <c r="A764" s="18" t="str">
        <f t="shared" ca="1" si="121"/>
        <v>Re-Res-2023-763</v>
      </c>
      <c r="B764" s="5">
        <v>26</v>
      </c>
      <c r="C764" s="5" t="str">
        <f t="shared" si="122"/>
        <v>20-29</v>
      </c>
      <c r="D764" s="5" t="s">
        <v>35</v>
      </c>
      <c r="E764" s="5" t="s">
        <v>45</v>
      </c>
      <c r="F764" s="5" t="s">
        <v>46</v>
      </c>
      <c r="G764" s="5">
        <v>1</v>
      </c>
      <c r="H764" s="5" t="s">
        <v>47</v>
      </c>
      <c r="I764" s="5" t="s">
        <v>48</v>
      </c>
      <c r="J764" s="7">
        <v>2042</v>
      </c>
      <c r="K764" s="7">
        <f t="shared" si="123"/>
        <v>142.94000000000003</v>
      </c>
      <c r="L764" s="7">
        <f t="shared" si="124"/>
        <v>1899.06</v>
      </c>
      <c r="M764" s="7">
        <v>15346</v>
      </c>
      <c r="N764" s="5" t="s">
        <v>35</v>
      </c>
      <c r="O764" s="5">
        <v>14</v>
      </c>
      <c r="P764" s="7">
        <f t="shared" si="125"/>
        <v>2327.88</v>
      </c>
      <c r="Q764" s="7">
        <f t="shared" si="126"/>
        <v>3430.5600000000013</v>
      </c>
      <c r="R764" s="7" t="str">
        <f t="shared" si="127"/>
        <v>Normal</v>
      </c>
      <c r="S764" s="5">
        <v>3</v>
      </c>
      <c r="T764" s="5">
        <v>3</v>
      </c>
      <c r="U764" s="5" t="str" cm="1">
        <f t="array" ref="U764">_xlfn.IFS(T764=1,"Poor",T764=2,"Fair",T764=3,"Good",T764=4,"Excellent")</f>
        <v>Good</v>
      </c>
      <c r="V764" s="5" t="s">
        <v>35</v>
      </c>
      <c r="W764" s="5">
        <v>3</v>
      </c>
      <c r="X764" s="28">
        <f t="shared" ca="1" si="128"/>
        <v>45015</v>
      </c>
      <c r="Y764" s="28">
        <f t="shared" ca="1" si="129"/>
        <v>46476</v>
      </c>
      <c r="Z764" s="28" t="str">
        <f t="shared" ca="1" si="130"/>
        <v>Due Soon</v>
      </c>
      <c r="AA764" s="5" t="str" cm="1">
        <f t="array" ref="AA764">_xlfn.IFS(W764&gt;10,"Veteran",W764&gt;=6,"Experienced",W764&gt;=2,"Developing",W764&gt;=0,"New")</f>
        <v>Developing</v>
      </c>
      <c r="AB764" s="5" t="str" cm="1">
        <f t="array" ref="AB764">_xlfn.IFS(G764=1,"Junior",G764=2,"Mid-Level",G764=3,"Senior",G764=4,"Lead",G764=5,"Principal")&amp;" "&amp;TRIM(PROPER(H764))</f>
        <v>Junior Research Scientist</v>
      </c>
      <c r="AC764" s="19" t="str">
        <f t="shared" ca="1" si="131"/>
        <v>Re-Res-2023-763 is a Junior Research Scientist in the Research &amp; Development department, aged 26, married and has been with the Company for 3years</v>
      </c>
    </row>
    <row r="765" spans="1:29">
      <c r="A765" s="18" t="str">
        <f t="shared" ca="1" si="121"/>
        <v>Sa-Sal-2025-764</v>
      </c>
      <c r="B765" s="5">
        <v>34</v>
      </c>
      <c r="C765" s="5" t="str">
        <f t="shared" si="122"/>
        <v>30-39</v>
      </c>
      <c r="D765" s="5" t="s">
        <v>43</v>
      </c>
      <c r="E765" s="5" t="s">
        <v>37</v>
      </c>
      <c r="F765" s="5" t="s">
        <v>39</v>
      </c>
      <c r="G765" s="5">
        <v>1</v>
      </c>
      <c r="H765" s="5" t="s">
        <v>57</v>
      </c>
      <c r="I765" s="5" t="s">
        <v>48</v>
      </c>
      <c r="J765" s="7">
        <v>2220</v>
      </c>
      <c r="K765" s="7">
        <f t="shared" si="123"/>
        <v>155.4</v>
      </c>
      <c r="L765" s="7">
        <f t="shared" si="124"/>
        <v>2064.6</v>
      </c>
      <c r="M765" s="7">
        <v>18410</v>
      </c>
      <c r="N765" s="5" t="s">
        <v>35</v>
      </c>
      <c r="O765" s="5">
        <v>19</v>
      </c>
      <c r="P765" s="7">
        <f t="shared" si="125"/>
        <v>2641.7999999999997</v>
      </c>
      <c r="Q765" s="7">
        <f t="shared" si="126"/>
        <v>5061.5999999999967</v>
      </c>
      <c r="R765" s="7" t="str">
        <f t="shared" si="127"/>
        <v>Normal</v>
      </c>
      <c r="S765" s="5">
        <v>3</v>
      </c>
      <c r="T765" s="5">
        <v>3</v>
      </c>
      <c r="U765" s="5" t="str" cm="1">
        <f t="array" ref="U765">_xlfn.IFS(T765=1,"Poor",T765=2,"Fair",T765=3,"Good",T765=4,"Excellent")</f>
        <v>Good</v>
      </c>
      <c r="V765" s="5" t="s">
        <v>35</v>
      </c>
      <c r="W765" s="5">
        <v>1</v>
      </c>
      <c r="X765" s="28">
        <f t="shared" ca="1" si="128"/>
        <v>45746</v>
      </c>
      <c r="Y765" s="28">
        <f t="shared" ca="1" si="129"/>
        <v>46476</v>
      </c>
      <c r="Z765" s="28" t="str">
        <f t="shared" ca="1" si="130"/>
        <v>Due Soon</v>
      </c>
      <c r="AA765" s="5" t="str" cm="1">
        <f t="array" ref="AA765">_xlfn.IFS(W765&gt;10,"Veteran",W765&gt;=6,"Experienced",W765&gt;=2,"Developing",W765&gt;=0,"New")</f>
        <v>New</v>
      </c>
      <c r="AB765" s="5" t="str" cm="1">
        <f t="array" ref="AB765">_xlfn.IFS(G765=1,"Junior",G765=2,"Mid-Level",G765=3,"Senior",G765=4,"Lead",G765=5,"Principal")&amp;" "&amp;TRIM(PROPER(H765))</f>
        <v>Junior Sales Representative</v>
      </c>
      <c r="AC765" s="19" t="str">
        <f t="shared" ca="1" si="131"/>
        <v>Sa-Sal-2025-764 is a Junior Sales Representative in the Sales department, aged 34, married and has been with the Company for 1years</v>
      </c>
    </row>
    <row r="766" spans="1:29">
      <c r="A766" s="18" t="str">
        <f t="shared" ca="1" si="121"/>
        <v>Sa-Sal-2025-765</v>
      </c>
      <c r="B766" s="5">
        <v>28</v>
      </c>
      <c r="C766" s="5" t="str">
        <f t="shared" si="122"/>
        <v>20-29</v>
      </c>
      <c r="D766" s="5" t="s">
        <v>43</v>
      </c>
      <c r="E766" s="5" t="s">
        <v>37</v>
      </c>
      <c r="F766" s="5" t="s">
        <v>46</v>
      </c>
      <c r="G766" s="5">
        <v>1</v>
      </c>
      <c r="H766" s="5" t="s">
        <v>57</v>
      </c>
      <c r="I766" s="5" t="s">
        <v>48</v>
      </c>
      <c r="J766" s="7">
        <v>1052</v>
      </c>
      <c r="K766" s="7">
        <f t="shared" si="123"/>
        <v>73.64</v>
      </c>
      <c r="L766" s="7">
        <f t="shared" si="124"/>
        <v>978.36</v>
      </c>
      <c r="M766" s="7">
        <v>23384</v>
      </c>
      <c r="N766" s="5" t="s">
        <v>43</v>
      </c>
      <c r="O766" s="5">
        <v>22</v>
      </c>
      <c r="P766" s="7">
        <f t="shared" si="125"/>
        <v>1283.44</v>
      </c>
      <c r="Q766" s="7">
        <f t="shared" si="126"/>
        <v>2777.2800000000007</v>
      </c>
      <c r="R766" s="7" t="str">
        <f t="shared" si="127"/>
        <v>Normal</v>
      </c>
      <c r="S766" s="5">
        <v>4</v>
      </c>
      <c r="T766" s="5">
        <v>3</v>
      </c>
      <c r="U766" s="5" t="str" cm="1">
        <f t="array" ref="U766">_xlfn.IFS(T766=1,"Poor",T766=2,"Fair",T766=3,"Good",T766=4,"Excellent")</f>
        <v>Good</v>
      </c>
      <c r="V766" s="5" t="s">
        <v>43</v>
      </c>
      <c r="W766" s="5">
        <v>1</v>
      </c>
      <c r="X766" s="28">
        <f t="shared" ca="1" si="128"/>
        <v>45746</v>
      </c>
      <c r="Y766" s="28">
        <f t="shared" ca="1" si="129"/>
        <v>46476</v>
      </c>
      <c r="Z766" s="28" t="str">
        <f t="shared" ca="1" si="130"/>
        <v>Due Soon</v>
      </c>
      <c r="AA766" s="5" t="str" cm="1">
        <f t="array" ref="AA766">_xlfn.IFS(W766&gt;10,"Veteran",W766&gt;=6,"Experienced",W766&gt;=2,"Developing",W766&gt;=0,"New")</f>
        <v>New</v>
      </c>
      <c r="AB766" s="5" t="str" cm="1">
        <f t="array" ref="AB766">_xlfn.IFS(G766=1,"Junior",G766=2,"Mid-Level",G766=3,"Senior",G766=4,"Lead",G766=5,"Principal")&amp;" "&amp;TRIM(PROPER(H766))</f>
        <v>Junior Sales Representative</v>
      </c>
      <c r="AC766" s="19" t="str">
        <f t="shared" ca="1" si="131"/>
        <v>Sa-Sal-2025-765 is a Junior Sales Representative in the Sales department, aged 28, married and has been with the Company for 1years</v>
      </c>
    </row>
    <row r="767" spans="1:29">
      <c r="A767" s="18" t="str">
        <f t="shared" ca="1" si="121"/>
        <v>Re-Res-2024-766</v>
      </c>
      <c r="B767" s="5">
        <v>38</v>
      </c>
      <c r="C767" s="5" t="str">
        <f t="shared" si="122"/>
        <v>30-39</v>
      </c>
      <c r="D767" s="5" t="s">
        <v>43</v>
      </c>
      <c r="E767" s="5" t="s">
        <v>45</v>
      </c>
      <c r="F767" s="5" t="s">
        <v>46</v>
      </c>
      <c r="G767" s="5">
        <v>1</v>
      </c>
      <c r="H767" s="5" t="s">
        <v>47</v>
      </c>
      <c r="I767" s="5" t="s">
        <v>48</v>
      </c>
      <c r="J767" s="7">
        <v>2821</v>
      </c>
      <c r="K767" s="7">
        <f t="shared" si="123"/>
        <v>197.47000000000003</v>
      </c>
      <c r="L767" s="7">
        <f t="shared" si="124"/>
        <v>2623.5299999999997</v>
      </c>
      <c r="M767" s="7">
        <v>2997</v>
      </c>
      <c r="N767" s="5" t="s">
        <v>43</v>
      </c>
      <c r="O767" s="5">
        <v>16</v>
      </c>
      <c r="P767" s="7">
        <f t="shared" si="125"/>
        <v>3272.3599999999997</v>
      </c>
      <c r="Q767" s="7">
        <f t="shared" si="126"/>
        <v>5416.3199999999961</v>
      </c>
      <c r="R767" s="7" t="str">
        <f t="shared" si="127"/>
        <v>Normal</v>
      </c>
      <c r="S767" s="5">
        <v>3</v>
      </c>
      <c r="T767" s="5">
        <v>3</v>
      </c>
      <c r="U767" s="5" t="str" cm="1">
        <f t="array" ref="U767">_xlfn.IFS(T767=1,"Poor",T767=2,"Fair",T767=3,"Good",T767=4,"Excellent")</f>
        <v>Good</v>
      </c>
      <c r="V767" s="5" t="s">
        <v>43</v>
      </c>
      <c r="W767" s="5">
        <v>2</v>
      </c>
      <c r="X767" s="28">
        <f t="shared" ca="1" si="128"/>
        <v>45381</v>
      </c>
      <c r="Y767" s="28">
        <f t="shared" ca="1" si="129"/>
        <v>46842</v>
      </c>
      <c r="Z767" s="28" t="str">
        <f t="shared" ca="1" si="130"/>
        <v>Upcoming</v>
      </c>
      <c r="AA767" s="5" t="str" cm="1">
        <f t="array" ref="AA767">_xlfn.IFS(W767&gt;10,"Veteran",W767&gt;=6,"Experienced",W767&gt;=2,"Developing",W767&gt;=0,"New")</f>
        <v>Developing</v>
      </c>
      <c r="AB767" s="5" t="str" cm="1">
        <f t="array" ref="AB767">_xlfn.IFS(G767=1,"Junior",G767=2,"Mid-Level",G767=3,"Senior",G767=4,"Lead",G767=5,"Principal")&amp;" "&amp;TRIM(PROPER(H767))</f>
        <v>Junior Research Scientist</v>
      </c>
      <c r="AC767" s="19" t="str">
        <f t="shared" ca="1" si="131"/>
        <v>Re-Res-2024-766 is a Junior Research Scientist in the Research &amp; Development department, aged 38, married and has been with the Company for 2years</v>
      </c>
    </row>
    <row r="768" spans="1:29">
      <c r="A768" s="18" t="str">
        <f t="shared" ca="1" si="121"/>
        <v>Re-Res-2018-767</v>
      </c>
      <c r="B768" s="5">
        <v>50</v>
      </c>
      <c r="C768" s="5" t="str">
        <f t="shared" si="122"/>
        <v>50+</v>
      </c>
      <c r="D768" s="5" t="s">
        <v>43</v>
      </c>
      <c r="E768" s="5" t="s">
        <v>45</v>
      </c>
      <c r="F768" s="5" t="s">
        <v>46</v>
      </c>
      <c r="G768" s="5">
        <v>5</v>
      </c>
      <c r="H768" s="5" t="s">
        <v>58</v>
      </c>
      <c r="I768" s="5" t="s">
        <v>48</v>
      </c>
      <c r="J768" s="7">
        <v>19237</v>
      </c>
      <c r="K768" s="7">
        <f t="shared" si="123"/>
        <v>5771.0999999999995</v>
      </c>
      <c r="L768" s="7">
        <f t="shared" si="124"/>
        <v>13465.900000000001</v>
      </c>
      <c r="M768" s="7">
        <v>12853</v>
      </c>
      <c r="N768" s="5" t="s">
        <v>35</v>
      </c>
      <c r="O768" s="5">
        <v>11</v>
      </c>
      <c r="P768" s="7">
        <f t="shared" si="125"/>
        <v>21353.070000000003</v>
      </c>
      <c r="Q768" s="7">
        <f t="shared" si="126"/>
        <v>25392.84000000004</v>
      </c>
      <c r="R768" s="7" t="str">
        <f t="shared" si="127"/>
        <v>Normal</v>
      </c>
      <c r="S768" s="5">
        <v>3</v>
      </c>
      <c r="T768" s="5">
        <v>2</v>
      </c>
      <c r="U768" s="5" t="str" cm="1">
        <f t="array" ref="U768">_xlfn.IFS(T768=1,"Poor",T768=2,"Fair",T768=3,"Good",T768=4,"Excellent")</f>
        <v>Fair</v>
      </c>
      <c r="V768" s="5" t="s">
        <v>35</v>
      </c>
      <c r="W768" s="5">
        <v>8</v>
      </c>
      <c r="X768" s="28">
        <f t="shared" ca="1" si="128"/>
        <v>43189</v>
      </c>
      <c r="Y768" s="28">
        <f t="shared" ca="1" si="129"/>
        <v>46842</v>
      </c>
      <c r="Z768" s="28" t="str">
        <f t="shared" ca="1" si="130"/>
        <v>Upcoming</v>
      </c>
      <c r="AA768" s="5" t="str" cm="1">
        <f t="array" ref="AA768">_xlfn.IFS(W768&gt;10,"Veteran",W768&gt;=6,"Experienced",W768&gt;=2,"Developing",W768&gt;=0,"New")</f>
        <v>Experienced</v>
      </c>
      <c r="AB768" s="5" t="str" cm="1">
        <f t="array" ref="AB768">_xlfn.IFS(G768=1,"Junior",G768=2,"Mid-Level",G768=3,"Senior",G768=4,"Lead",G768=5,"Principal")&amp;" "&amp;TRIM(PROPER(H768))</f>
        <v>Principal Research Director</v>
      </c>
      <c r="AC768" s="19" t="str">
        <f t="shared" ca="1" si="131"/>
        <v>Re-Res-2018-767 is a Principal Research Director in the Research &amp; Development department, aged 50, married and has been with the Company for 8years</v>
      </c>
    </row>
    <row r="769" spans="1:29">
      <c r="A769" s="18" t="str">
        <f t="shared" ca="1" si="121"/>
        <v>He-Res-2022-768</v>
      </c>
      <c r="B769" s="5">
        <v>37</v>
      </c>
      <c r="C769" s="5" t="str">
        <f t="shared" si="122"/>
        <v>30-39</v>
      </c>
      <c r="D769" s="5" t="s">
        <v>43</v>
      </c>
      <c r="E769" s="5" t="s">
        <v>45</v>
      </c>
      <c r="F769" s="5" t="s">
        <v>39</v>
      </c>
      <c r="G769" s="5">
        <v>2</v>
      </c>
      <c r="H769" s="5" t="s">
        <v>54</v>
      </c>
      <c r="I769" s="5" t="s">
        <v>41</v>
      </c>
      <c r="J769" s="7">
        <v>4107</v>
      </c>
      <c r="K769" s="7">
        <f t="shared" si="123"/>
        <v>616.04999999999995</v>
      </c>
      <c r="L769" s="7">
        <f t="shared" si="124"/>
        <v>3490.95</v>
      </c>
      <c r="M769" s="7">
        <v>13848</v>
      </c>
      <c r="N769" s="5" t="s">
        <v>43</v>
      </c>
      <c r="O769" s="5">
        <v>15</v>
      </c>
      <c r="P769" s="7">
        <f t="shared" si="125"/>
        <v>4723.0499999999993</v>
      </c>
      <c r="Q769" s="7">
        <f t="shared" si="126"/>
        <v>7392.5999999999913</v>
      </c>
      <c r="R769" s="7" t="str">
        <f t="shared" si="127"/>
        <v>Normal</v>
      </c>
      <c r="S769" s="5">
        <v>3</v>
      </c>
      <c r="T769" s="5">
        <v>2</v>
      </c>
      <c r="U769" s="5" t="str" cm="1">
        <f t="array" ref="U769">_xlfn.IFS(T769=1,"Poor",T769=2,"Fair",T769=3,"Good",T769=4,"Excellent")</f>
        <v>Fair</v>
      </c>
      <c r="V769" s="5" t="s">
        <v>43</v>
      </c>
      <c r="W769" s="5">
        <v>4</v>
      </c>
      <c r="X769" s="28">
        <f t="shared" ca="1" si="128"/>
        <v>44650</v>
      </c>
      <c r="Y769" s="28">
        <f t="shared" ca="1" si="129"/>
        <v>46842</v>
      </c>
      <c r="Z769" s="28" t="str">
        <f t="shared" ca="1" si="130"/>
        <v>Upcoming</v>
      </c>
      <c r="AA769" s="5" t="str" cm="1">
        <f t="array" ref="AA769">_xlfn.IFS(W769&gt;10,"Veteran",W769&gt;=6,"Experienced",W769&gt;=2,"Developing",W769&gt;=0,"New")</f>
        <v>Developing</v>
      </c>
      <c r="AB769" s="5" t="str" cm="1">
        <f t="array" ref="AB769">_xlfn.IFS(G769=1,"Junior",G769=2,"Mid-Level",G769=3,"Senior",G769=4,"Lead",G769=5,"Principal")&amp;" "&amp;TRIM(PROPER(H769))</f>
        <v>Mid-Level Healthcare Representative</v>
      </c>
      <c r="AC769" s="19" t="str">
        <f t="shared" ca="1" si="131"/>
        <v>He-Res-2022-768 is a Mid-Level Healthcare Representative in the Research &amp; Development department, aged 37, single and has been with the Company for 4years</v>
      </c>
    </row>
    <row r="770" spans="1:29">
      <c r="A770" s="18" t="str">
        <f t="shared" ca="1" si="121"/>
        <v>Sa-Sal-2019-769</v>
      </c>
      <c r="B770" s="5">
        <v>40</v>
      </c>
      <c r="C770" s="5" t="str">
        <f t="shared" si="122"/>
        <v>40-49</v>
      </c>
      <c r="D770" s="5" t="s">
        <v>43</v>
      </c>
      <c r="E770" s="5" t="s">
        <v>37</v>
      </c>
      <c r="F770" s="5" t="s">
        <v>46</v>
      </c>
      <c r="G770" s="5">
        <v>2</v>
      </c>
      <c r="H770" s="5" t="s">
        <v>40</v>
      </c>
      <c r="I770" s="5" t="s">
        <v>48</v>
      </c>
      <c r="J770" s="7">
        <v>8396</v>
      </c>
      <c r="K770" s="7">
        <f t="shared" si="123"/>
        <v>1847.1200000000001</v>
      </c>
      <c r="L770" s="7">
        <f t="shared" si="124"/>
        <v>6548.88</v>
      </c>
      <c r="M770" s="7">
        <v>22217</v>
      </c>
      <c r="N770" s="5" t="s">
        <v>43</v>
      </c>
      <c r="O770" s="5">
        <v>14</v>
      </c>
      <c r="P770" s="7">
        <f t="shared" si="125"/>
        <v>9571.44</v>
      </c>
      <c r="Q770" s="7">
        <f t="shared" si="126"/>
        <v>14105.280000000006</v>
      </c>
      <c r="R770" s="7" t="str">
        <f t="shared" si="127"/>
        <v>Normal</v>
      </c>
      <c r="S770" s="5">
        <v>3</v>
      </c>
      <c r="T770" s="5">
        <v>2</v>
      </c>
      <c r="U770" s="5" t="str" cm="1">
        <f t="array" ref="U770">_xlfn.IFS(T770=1,"Poor",T770=2,"Fair",T770=3,"Good",T770=4,"Excellent")</f>
        <v>Fair</v>
      </c>
      <c r="V770" s="5" t="s">
        <v>43</v>
      </c>
      <c r="W770" s="5">
        <v>7</v>
      </c>
      <c r="X770" s="28">
        <f t="shared" ca="1" si="128"/>
        <v>43554</v>
      </c>
      <c r="Y770" s="28">
        <f t="shared" ca="1" si="129"/>
        <v>46476</v>
      </c>
      <c r="Z770" s="28" t="str">
        <f t="shared" ca="1" si="130"/>
        <v>Due Soon</v>
      </c>
      <c r="AA770" s="5" t="str" cm="1">
        <f t="array" ref="AA770">_xlfn.IFS(W770&gt;10,"Veteran",W770&gt;=6,"Experienced",W770&gt;=2,"Developing",W770&gt;=0,"New")</f>
        <v>Experienced</v>
      </c>
      <c r="AB770" s="5" t="str" cm="1">
        <f t="array" ref="AB770">_xlfn.IFS(G770=1,"Junior",G770=2,"Mid-Level",G770=3,"Senior",G770=4,"Lead",G770=5,"Principal")&amp;" "&amp;TRIM(PROPER(H770))</f>
        <v>Mid-Level Sales Executive</v>
      </c>
      <c r="AC770" s="19" t="str">
        <f t="shared" ca="1" si="131"/>
        <v>Sa-Sal-2019-769 is a Mid-Level Sales Executive in the Sales department, aged 40, married and has been with the Company for 7years</v>
      </c>
    </row>
    <row r="771" spans="1:29">
      <c r="A771" s="18" t="str">
        <f t="shared" ref="A771:A834" ca="1" si="132">LEFT(H771,2)&amp;"-"&amp;LEFT(E771,3)&amp;"-"&amp;YEAR(TODAY())-W771&amp;"-"&amp;TEXT(ROW()-1,"000")</f>
        <v>Re-Res-2021-770</v>
      </c>
      <c r="B771" s="5">
        <v>26</v>
      </c>
      <c r="C771" s="5" t="str">
        <f t="shared" ref="C771:C834" si="133">IF(B771&lt;=29,"20-29",IF(B771&lt;=39,"30-39",IF(B771&lt;=49,"40-49","50+")))</f>
        <v>20-29</v>
      </c>
      <c r="D771" s="5" t="s">
        <v>43</v>
      </c>
      <c r="E771" s="5" t="s">
        <v>45</v>
      </c>
      <c r="F771" s="5" t="s">
        <v>39</v>
      </c>
      <c r="G771" s="5">
        <v>1</v>
      </c>
      <c r="H771" s="5" t="s">
        <v>47</v>
      </c>
      <c r="I771" s="5" t="s">
        <v>52</v>
      </c>
      <c r="J771" s="7">
        <v>2007</v>
      </c>
      <c r="K771" s="7">
        <f t="shared" ref="K771:K834" si="134">IF(J771&gt;13000,J771*30%,IF(J771&gt;7000,J771*22%,IF(J771&gt;3000,J771*15%,J771*7%)))</f>
        <v>140.49</v>
      </c>
      <c r="L771" s="7">
        <f t="shared" ref="L771:L834" si="135">J771-K771</f>
        <v>1866.51</v>
      </c>
      <c r="M771" s="7">
        <v>25265</v>
      </c>
      <c r="N771" s="5" t="s">
        <v>43</v>
      </c>
      <c r="O771" s="5">
        <v>13</v>
      </c>
      <c r="P771" s="7">
        <f t="shared" ref="P771:P834" si="136">J771*(1+(O771/100))</f>
        <v>2267.91</v>
      </c>
      <c r="Q771" s="7">
        <f t="shared" ref="Q771:Q834" si="137">(P771-J771)*12</f>
        <v>3130.9199999999983</v>
      </c>
      <c r="R771" s="7" t="str">
        <f t="shared" ref="R771:R834" si="138">IF(AND(O771&lt;12,S771=4),"UnderPaid","Normal")</f>
        <v>Normal</v>
      </c>
      <c r="S771" s="5">
        <v>3</v>
      </c>
      <c r="T771" s="5">
        <v>3</v>
      </c>
      <c r="U771" s="5" t="str" cm="1">
        <f t="array" ref="U771">_xlfn.IFS(T771=1,"Poor",T771=2,"Fair",T771=3,"Good",T771=4,"Excellent")</f>
        <v>Good</v>
      </c>
      <c r="V771" s="5" t="s">
        <v>43</v>
      </c>
      <c r="W771" s="5">
        <v>5</v>
      </c>
      <c r="X771" s="28">
        <f t="shared" ref="X771:X834" ca="1" si="139">EDATE(TODAY(),-W771*12)</f>
        <v>44285</v>
      </c>
      <c r="Y771" s="28">
        <f t="shared" ref="Y771:Y834" ca="1" si="140">EDATE(X771,(INT(W771/2)+1)*24)</f>
        <v>46476</v>
      </c>
      <c r="Z771" s="28" t="str">
        <f t="shared" ref="Z771:Z834" ca="1" si="141">IF(Y771&lt;=EDATE(TODAY(),12),"Due Soon","Upcoming")</f>
        <v>Due Soon</v>
      </c>
      <c r="AA771" s="5" t="str" cm="1">
        <f t="array" ref="AA771">_xlfn.IFS(W771&gt;10,"Veteran",W771&gt;=6,"Experienced",W771&gt;=2,"Developing",W771&gt;=0,"New")</f>
        <v>Developing</v>
      </c>
      <c r="AB771" s="5" t="str" cm="1">
        <f t="array" ref="AB771">_xlfn.IFS(G771=1,"Junior",G771=2,"Mid-Level",G771=3,"Senior",G771=4,"Lead",G771=5,"Principal")&amp;" "&amp;TRIM(PROPER(H771))</f>
        <v>Junior Research Scientist</v>
      </c>
      <c r="AC771" s="19" t="str">
        <f t="shared" ref="AC771:AC834" ca="1" si="142">A771&amp;" is a "&amp;AB771&amp;" in the "&amp;E771&amp;" department, aged "&amp;B771&amp;", "&amp;LOWER(I771)&amp;" and has been with the Company for "&amp;W771&amp;"years"</f>
        <v>Re-Res-2021-770 is a Junior Research Scientist in the Research &amp; Development department, aged 26, divorced and has been with the Company for 5years</v>
      </c>
    </row>
    <row r="772" spans="1:29">
      <c r="A772" s="18" t="str">
        <f t="shared" ca="1" si="132"/>
        <v>Re-Res-2024-771</v>
      </c>
      <c r="B772" s="5">
        <v>46</v>
      </c>
      <c r="C772" s="5" t="str">
        <f t="shared" si="133"/>
        <v>40-49</v>
      </c>
      <c r="D772" s="5" t="s">
        <v>43</v>
      </c>
      <c r="E772" s="5" t="s">
        <v>45</v>
      </c>
      <c r="F772" s="5" t="s">
        <v>46</v>
      </c>
      <c r="G772" s="5">
        <v>5</v>
      </c>
      <c r="H772" s="5" t="s">
        <v>58</v>
      </c>
      <c r="I772" s="5" t="s">
        <v>52</v>
      </c>
      <c r="J772" s="7">
        <v>19627</v>
      </c>
      <c r="K772" s="7">
        <f t="shared" si="134"/>
        <v>5888.0999999999995</v>
      </c>
      <c r="L772" s="7">
        <f t="shared" si="135"/>
        <v>13738.900000000001</v>
      </c>
      <c r="M772" s="7">
        <v>21445</v>
      </c>
      <c r="N772" s="5" t="s">
        <v>43</v>
      </c>
      <c r="O772" s="5">
        <v>17</v>
      </c>
      <c r="P772" s="7">
        <f t="shared" si="136"/>
        <v>22963.59</v>
      </c>
      <c r="Q772" s="7">
        <f t="shared" si="137"/>
        <v>40039.08</v>
      </c>
      <c r="R772" s="7" t="str">
        <f t="shared" si="138"/>
        <v>Normal</v>
      </c>
      <c r="S772" s="5">
        <v>3</v>
      </c>
      <c r="T772" s="5">
        <v>3</v>
      </c>
      <c r="U772" s="5" t="str" cm="1">
        <f t="array" ref="U772">_xlfn.IFS(T772=1,"Poor",T772=2,"Fair",T772=3,"Good",T772=4,"Excellent")</f>
        <v>Good</v>
      </c>
      <c r="V772" s="5" t="s">
        <v>43</v>
      </c>
      <c r="W772" s="5">
        <v>2</v>
      </c>
      <c r="X772" s="28">
        <f t="shared" ca="1" si="139"/>
        <v>45381</v>
      </c>
      <c r="Y772" s="28">
        <f t="shared" ca="1" si="140"/>
        <v>46842</v>
      </c>
      <c r="Z772" s="28" t="str">
        <f t="shared" ca="1" si="141"/>
        <v>Upcoming</v>
      </c>
      <c r="AA772" s="5" t="str" cm="1">
        <f t="array" ref="AA772">_xlfn.IFS(W772&gt;10,"Veteran",W772&gt;=6,"Experienced",W772&gt;=2,"Developing",W772&gt;=0,"New")</f>
        <v>Developing</v>
      </c>
      <c r="AB772" s="5" t="str" cm="1">
        <f t="array" ref="AB772">_xlfn.IFS(G772=1,"Junior",G772=2,"Mid-Level",G772=3,"Senior",G772=4,"Lead",G772=5,"Principal")&amp;" "&amp;TRIM(PROPER(H772))</f>
        <v>Principal Research Director</v>
      </c>
      <c r="AC772" s="19" t="str">
        <f t="shared" ca="1" si="142"/>
        <v>Re-Res-2024-771 is a Principal Research Director in the Research &amp; Development department, aged 46, divorced and has been with the Company for 2years</v>
      </c>
    </row>
    <row r="773" spans="1:29">
      <c r="A773" s="18" t="str">
        <f t="shared" ca="1" si="132"/>
        <v>Sa-Sal-2017-772</v>
      </c>
      <c r="B773" s="5">
        <v>54</v>
      </c>
      <c r="C773" s="5" t="str">
        <f t="shared" si="133"/>
        <v>50+</v>
      </c>
      <c r="D773" s="5" t="s">
        <v>43</v>
      </c>
      <c r="E773" s="5" t="s">
        <v>37</v>
      </c>
      <c r="F773" s="5" t="s">
        <v>39</v>
      </c>
      <c r="G773" s="5">
        <v>3</v>
      </c>
      <c r="H773" s="5" t="s">
        <v>40</v>
      </c>
      <c r="I773" s="5" t="s">
        <v>48</v>
      </c>
      <c r="J773" s="7">
        <v>10686</v>
      </c>
      <c r="K773" s="7">
        <f t="shared" si="134"/>
        <v>2350.92</v>
      </c>
      <c r="L773" s="7">
        <f t="shared" si="135"/>
        <v>8335.08</v>
      </c>
      <c r="M773" s="7">
        <v>8392</v>
      </c>
      <c r="N773" s="5" t="s">
        <v>43</v>
      </c>
      <c r="O773" s="5">
        <v>11</v>
      </c>
      <c r="P773" s="7">
        <f t="shared" si="136"/>
        <v>11861.460000000001</v>
      </c>
      <c r="Q773" s="7">
        <f t="shared" si="137"/>
        <v>14105.520000000011</v>
      </c>
      <c r="R773" s="7" t="str">
        <f t="shared" si="138"/>
        <v>Normal</v>
      </c>
      <c r="S773" s="5">
        <v>3</v>
      </c>
      <c r="T773" s="5">
        <v>3</v>
      </c>
      <c r="U773" s="5" t="str" cm="1">
        <f t="array" ref="U773">_xlfn.IFS(T773=1,"Poor",T773=2,"Fair",T773=3,"Good",T773=4,"Excellent")</f>
        <v>Good</v>
      </c>
      <c r="V773" s="5" t="s">
        <v>43</v>
      </c>
      <c r="W773" s="5">
        <v>9</v>
      </c>
      <c r="X773" s="28">
        <f t="shared" ca="1" si="139"/>
        <v>42824</v>
      </c>
      <c r="Y773" s="28">
        <f t="shared" ca="1" si="140"/>
        <v>46476</v>
      </c>
      <c r="Z773" s="28" t="str">
        <f t="shared" ca="1" si="141"/>
        <v>Due Soon</v>
      </c>
      <c r="AA773" s="5" t="str" cm="1">
        <f t="array" ref="AA773">_xlfn.IFS(W773&gt;10,"Veteran",W773&gt;=6,"Experienced",W773&gt;=2,"Developing",W773&gt;=0,"New")</f>
        <v>Experienced</v>
      </c>
      <c r="AB773" s="5" t="str" cm="1">
        <f t="array" ref="AB773">_xlfn.IFS(G773=1,"Junior",G773=2,"Mid-Level",G773=3,"Senior",G773=4,"Lead",G773=5,"Principal")&amp;" "&amp;TRIM(PROPER(H773))</f>
        <v>Senior Sales Executive</v>
      </c>
      <c r="AC773" s="19" t="str">
        <f t="shared" ca="1" si="142"/>
        <v>Sa-Sal-2017-772 is a Senior Sales Executive in the Sales department, aged 54, married and has been with the Company for 9years</v>
      </c>
    </row>
    <row r="774" spans="1:29">
      <c r="A774" s="18" t="str">
        <f t="shared" ca="1" si="132"/>
        <v>Re-Res-2021-773</v>
      </c>
      <c r="B774" s="5">
        <v>56</v>
      </c>
      <c r="C774" s="5" t="str">
        <f t="shared" si="133"/>
        <v>50+</v>
      </c>
      <c r="D774" s="5" t="s">
        <v>43</v>
      </c>
      <c r="E774" s="5" t="s">
        <v>45</v>
      </c>
      <c r="F774" s="5" t="s">
        <v>39</v>
      </c>
      <c r="G774" s="5">
        <v>1</v>
      </c>
      <c r="H774" s="5" t="s">
        <v>47</v>
      </c>
      <c r="I774" s="5" t="s">
        <v>48</v>
      </c>
      <c r="J774" s="7">
        <v>2942</v>
      </c>
      <c r="K774" s="7">
        <f t="shared" si="134"/>
        <v>205.94000000000003</v>
      </c>
      <c r="L774" s="7">
        <f t="shared" si="135"/>
        <v>2736.06</v>
      </c>
      <c r="M774" s="7">
        <v>12154</v>
      </c>
      <c r="N774" s="5" t="s">
        <v>43</v>
      </c>
      <c r="O774" s="5">
        <v>19</v>
      </c>
      <c r="P774" s="7">
        <f t="shared" si="136"/>
        <v>3500.98</v>
      </c>
      <c r="Q774" s="7">
        <f t="shared" si="137"/>
        <v>6707.76</v>
      </c>
      <c r="R774" s="7" t="str">
        <f t="shared" si="138"/>
        <v>Normal</v>
      </c>
      <c r="S774" s="5">
        <v>3</v>
      </c>
      <c r="T774" s="5">
        <v>3</v>
      </c>
      <c r="U774" s="5" t="str" cm="1">
        <f t="array" ref="U774">_xlfn.IFS(T774=1,"Poor",T774=2,"Fair",T774=3,"Good",T774=4,"Excellent")</f>
        <v>Good</v>
      </c>
      <c r="V774" s="5" t="s">
        <v>43</v>
      </c>
      <c r="W774" s="5">
        <v>5</v>
      </c>
      <c r="X774" s="28">
        <f t="shared" ca="1" si="139"/>
        <v>44285</v>
      </c>
      <c r="Y774" s="28">
        <f t="shared" ca="1" si="140"/>
        <v>46476</v>
      </c>
      <c r="Z774" s="28" t="str">
        <f t="shared" ca="1" si="141"/>
        <v>Due Soon</v>
      </c>
      <c r="AA774" s="5" t="str" cm="1">
        <f t="array" ref="AA774">_xlfn.IFS(W774&gt;10,"Veteran",W774&gt;=6,"Experienced",W774&gt;=2,"Developing",W774&gt;=0,"New")</f>
        <v>Developing</v>
      </c>
      <c r="AB774" s="5" t="str" cm="1">
        <f t="array" ref="AB774">_xlfn.IFS(G774=1,"Junior",G774=2,"Mid-Level",G774=3,"Senior",G774=4,"Lead",G774=5,"Principal")&amp;" "&amp;TRIM(PROPER(H774))</f>
        <v>Junior Research Scientist</v>
      </c>
      <c r="AC774" s="19" t="str">
        <f t="shared" ca="1" si="142"/>
        <v>Re-Res-2021-773 is a Junior Research Scientist in the Research &amp; Development department, aged 56, married and has been with the Company for 5years</v>
      </c>
    </row>
    <row r="775" spans="1:29">
      <c r="A775" s="18" t="str">
        <f t="shared" ca="1" si="132"/>
        <v>Ma-Res-2012-774</v>
      </c>
      <c r="B775" s="5">
        <v>36</v>
      </c>
      <c r="C775" s="5" t="str">
        <f t="shared" si="133"/>
        <v>30-39</v>
      </c>
      <c r="D775" s="5" t="s">
        <v>43</v>
      </c>
      <c r="E775" s="5" t="s">
        <v>45</v>
      </c>
      <c r="F775" s="5" t="s">
        <v>39</v>
      </c>
      <c r="G775" s="5">
        <v>3</v>
      </c>
      <c r="H775" s="5" t="s">
        <v>53</v>
      </c>
      <c r="I775" s="5" t="s">
        <v>41</v>
      </c>
      <c r="J775" s="7">
        <v>8858</v>
      </c>
      <c r="K775" s="7">
        <f t="shared" si="134"/>
        <v>1948.76</v>
      </c>
      <c r="L775" s="7">
        <f t="shared" si="135"/>
        <v>6909.24</v>
      </c>
      <c r="M775" s="7">
        <v>15669</v>
      </c>
      <c r="N775" s="5" t="s">
        <v>43</v>
      </c>
      <c r="O775" s="5">
        <v>11</v>
      </c>
      <c r="P775" s="7">
        <f t="shared" si="136"/>
        <v>9832.380000000001</v>
      </c>
      <c r="Q775" s="7">
        <f t="shared" si="137"/>
        <v>11692.560000000012</v>
      </c>
      <c r="R775" s="7" t="str">
        <f t="shared" si="138"/>
        <v>Normal</v>
      </c>
      <c r="S775" s="5">
        <v>3</v>
      </c>
      <c r="T775" s="5">
        <v>2</v>
      </c>
      <c r="U775" s="5" t="str" cm="1">
        <f t="array" ref="U775">_xlfn.IFS(T775=1,"Poor",T775=2,"Fair",T775=3,"Good",T775=4,"Excellent")</f>
        <v>Fair</v>
      </c>
      <c r="V775" s="5" t="s">
        <v>43</v>
      </c>
      <c r="W775" s="5">
        <v>14</v>
      </c>
      <c r="X775" s="28">
        <f t="shared" ca="1" si="139"/>
        <v>40998</v>
      </c>
      <c r="Y775" s="28">
        <f t="shared" ca="1" si="140"/>
        <v>46842</v>
      </c>
      <c r="Z775" s="28" t="str">
        <f t="shared" ca="1" si="141"/>
        <v>Upcoming</v>
      </c>
      <c r="AA775" s="5" t="str" cm="1">
        <f t="array" ref="AA775">_xlfn.IFS(W775&gt;10,"Veteran",W775&gt;=6,"Experienced",W775&gt;=2,"Developing",W775&gt;=0,"New")</f>
        <v>Veteran</v>
      </c>
      <c r="AB775" s="5" t="str" cm="1">
        <f t="array" ref="AB775">_xlfn.IFS(G775=1,"Junior",G775=2,"Mid-Level",G775=3,"Senior",G775=4,"Lead",G775=5,"Principal")&amp;" "&amp;TRIM(PROPER(H775))</f>
        <v>Senior Manufacturing Director</v>
      </c>
      <c r="AC775" s="19" t="str">
        <f t="shared" ca="1" si="142"/>
        <v>Ma-Res-2012-774 is a Senior Manufacturing Director in the Research &amp; Development department, aged 36, single and has been with the Company for 14years</v>
      </c>
    </row>
    <row r="776" spans="1:29">
      <c r="A776" s="18" t="str">
        <f t="shared" ca="1" si="132"/>
        <v>Ma-Res-2017-775</v>
      </c>
      <c r="B776" s="5">
        <v>55</v>
      </c>
      <c r="C776" s="5" t="str">
        <f t="shared" si="133"/>
        <v>50+</v>
      </c>
      <c r="D776" s="5" t="s">
        <v>43</v>
      </c>
      <c r="E776" s="5" t="s">
        <v>45</v>
      </c>
      <c r="F776" s="5" t="s">
        <v>46</v>
      </c>
      <c r="G776" s="5">
        <v>4</v>
      </c>
      <c r="H776" s="5" t="s">
        <v>56</v>
      </c>
      <c r="I776" s="5" t="s">
        <v>41</v>
      </c>
      <c r="J776" s="7">
        <v>16756</v>
      </c>
      <c r="K776" s="7">
        <f t="shared" si="134"/>
        <v>5026.8</v>
      </c>
      <c r="L776" s="7">
        <f t="shared" si="135"/>
        <v>11729.2</v>
      </c>
      <c r="M776" s="7">
        <v>17323</v>
      </c>
      <c r="N776" s="5" t="s">
        <v>43</v>
      </c>
      <c r="O776" s="5">
        <v>15</v>
      </c>
      <c r="P776" s="7">
        <f t="shared" si="136"/>
        <v>19269.399999999998</v>
      </c>
      <c r="Q776" s="7">
        <f t="shared" si="137"/>
        <v>30160.799999999974</v>
      </c>
      <c r="R776" s="7" t="str">
        <f t="shared" si="138"/>
        <v>Normal</v>
      </c>
      <c r="S776" s="5">
        <v>3</v>
      </c>
      <c r="T776" s="5">
        <v>4</v>
      </c>
      <c r="U776" s="5" t="str" cm="1">
        <f t="array" ref="U776">_xlfn.IFS(T776=1,"Poor",T776=2,"Fair",T776=3,"Good",T776=4,"Excellent")</f>
        <v>Excellent</v>
      </c>
      <c r="V776" s="5" t="s">
        <v>43</v>
      </c>
      <c r="W776" s="5">
        <v>9</v>
      </c>
      <c r="X776" s="28">
        <f t="shared" ca="1" si="139"/>
        <v>42824</v>
      </c>
      <c r="Y776" s="28">
        <f t="shared" ca="1" si="140"/>
        <v>46476</v>
      </c>
      <c r="Z776" s="28" t="str">
        <f t="shared" ca="1" si="141"/>
        <v>Due Soon</v>
      </c>
      <c r="AA776" s="5" t="str" cm="1">
        <f t="array" ref="AA776">_xlfn.IFS(W776&gt;10,"Veteran",W776&gt;=6,"Experienced",W776&gt;=2,"Developing",W776&gt;=0,"New")</f>
        <v>Experienced</v>
      </c>
      <c r="AB776" s="5" t="str" cm="1">
        <f t="array" ref="AB776">_xlfn.IFS(G776=1,"Junior",G776=2,"Mid-Level",G776=3,"Senior",G776=4,"Lead",G776=5,"Principal")&amp;" "&amp;TRIM(PROPER(H776))</f>
        <v>Lead Manager</v>
      </c>
      <c r="AC776" s="19" t="str">
        <f t="shared" ca="1" si="142"/>
        <v>Ma-Res-2017-775 is a Lead Manager in the Research &amp; Development department, aged 55, single and has been with the Company for 9years</v>
      </c>
    </row>
    <row r="777" spans="1:29">
      <c r="A777" s="18" t="str">
        <f t="shared" ca="1" si="132"/>
        <v>Sa-Sal-2025-776</v>
      </c>
      <c r="B777" s="5">
        <v>43</v>
      </c>
      <c r="C777" s="5" t="str">
        <f t="shared" si="133"/>
        <v>40-49</v>
      </c>
      <c r="D777" s="5" t="s">
        <v>43</v>
      </c>
      <c r="E777" s="5" t="s">
        <v>37</v>
      </c>
      <c r="F777" s="5" t="s">
        <v>46</v>
      </c>
      <c r="G777" s="5">
        <v>3</v>
      </c>
      <c r="H777" s="5" t="s">
        <v>40</v>
      </c>
      <c r="I777" s="5" t="s">
        <v>52</v>
      </c>
      <c r="J777" s="7">
        <v>10798</v>
      </c>
      <c r="K777" s="7">
        <f t="shared" si="134"/>
        <v>2375.56</v>
      </c>
      <c r="L777" s="7">
        <f t="shared" si="135"/>
        <v>8422.44</v>
      </c>
      <c r="M777" s="7">
        <v>5268</v>
      </c>
      <c r="N777" s="5" t="s">
        <v>43</v>
      </c>
      <c r="O777" s="5">
        <v>13</v>
      </c>
      <c r="P777" s="7">
        <f t="shared" si="136"/>
        <v>12201.739999999998</v>
      </c>
      <c r="Q777" s="7">
        <f t="shared" si="137"/>
        <v>16844.879999999976</v>
      </c>
      <c r="R777" s="7" t="str">
        <f t="shared" si="138"/>
        <v>Normal</v>
      </c>
      <c r="S777" s="5">
        <v>3</v>
      </c>
      <c r="T777" s="5">
        <v>3</v>
      </c>
      <c r="U777" s="5" t="str" cm="1">
        <f t="array" ref="U777">_xlfn.IFS(T777=1,"Poor",T777=2,"Fair",T777=3,"Good",T777=4,"Excellent")</f>
        <v>Good</v>
      </c>
      <c r="V777" s="5" t="s">
        <v>43</v>
      </c>
      <c r="W777" s="5">
        <v>1</v>
      </c>
      <c r="X777" s="28">
        <f t="shared" ca="1" si="139"/>
        <v>45746</v>
      </c>
      <c r="Y777" s="28">
        <f t="shared" ca="1" si="140"/>
        <v>46476</v>
      </c>
      <c r="Z777" s="28" t="str">
        <f t="shared" ca="1" si="141"/>
        <v>Due Soon</v>
      </c>
      <c r="AA777" s="5" t="str" cm="1">
        <f t="array" ref="AA777">_xlfn.IFS(W777&gt;10,"Veteran",W777&gt;=6,"Experienced",W777&gt;=2,"Developing",W777&gt;=0,"New")</f>
        <v>New</v>
      </c>
      <c r="AB777" s="5" t="str" cm="1">
        <f t="array" ref="AB777">_xlfn.IFS(G777=1,"Junior",G777=2,"Mid-Level",G777=3,"Senior",G777=4,"Lead",G777=5,"Principal")&amp;" "&amp;TRIM(PROPER(H777))</f>
        <v>Senior Sales Executive</v>
      </c>
      <c r="AC777" s="19" t="str">
        <f t="shared" ca="1" si="142"/>
        <v>Sa-Sal-2025-776 is a Senior Sales Executive in the Sales department, aged 43, divorced and has been with the Company for 1years</v>
      </c>
    </row>
    <row r="778" spans="1:29">
      <c r="A778" s="18" t="str">
        <f t="shared" ca="1" si="132"/>
        <v>Sa-Sal-2024-777</v>
      </c>
      <c r="B778" s="5">
        <v>20</v>
      </c>
      <c r="C778" s="5" t="str">
        <f t="shared" si="133"/>
        <v>20-29</v>
      </c>
      <c r="D778" s="5" t="s">
        <v>35</v>
      </c>
      <c r="E778" s="5" t="s">
        <v>37</v>
      </c>
      <c r="F778" s="5" t="s">
        <v>39</v>
      </c>
      <c r="G778" s="5">
        <v>1</v>
      </c>
      <c r="H778" s="5" t="s">
        <v>57</v>
      </c>
      <c r="I778" s="5" t="s">
        <v>41</v>
      </c>
      <c r="J778" s="7">
        <v>2323</v>
      </c>
      <c r="K778" s="7">
        <f t="shared" si="134"/>
        <v>162.61000000000001</v>
      </c>
      <c r="L778" s="7">
        <f t="shared" si="135"/>
        <v>2160.39</v>
      </c>
      <c r="M778" s="7">
        <v>17205</v>
      </c>
      <c r="N778" s="5" t="s">
        <v>35</v>
      </c>
      <c r="O778" s="5">
        <v>14</v>
      </c>
      <c r="P778" s="7">
        <f t="shared" si="136"/>
        <v>2648.2200000000003</v>
      </c>
      <c r="Q778" s="7">
        <f t="shared" si="137"/>
        <v>3902.6400000000031</v>
      </c>
      <c r="R778" s="7" t="str">
        <f t="shared" si="138"/>
        <v>Normal</v>
      </c>
      <c r="S778" s="5">
        <v>3</v>
      </c>
      <c r="T778" s="5">
        <v>3</v>
      </c>
      <c r="U778" s="5" t="str" cm="1">
        <f t="array" ref="U778">_xlfn.IFS(T778=1,"Poor",T778=2,"Fair",T778=3,"Good",T778=4,"Excellent")</f>
        <v>Good</v>
      </c>
      <c r="V778" s="5" t="s">
        <v>35</v>
      </c>
      <c r="W778" s="5">
        <v>2</v>
      </c>
      <c r="X778" s="28">
        <f t="shared" ca="1" si="139"/>
        <v>45381</v>
      </c>
      <c r="Y778" s="28">
        <f t="shared" ca="1" si="140"/>
        <v>46842</v>
      </c>
      <c r="Z778" s="28" t="str">
        <f t="shared" ca="1" si="141"/>
        <v>Upcoming</v>
      </c>
      <c r="AA778" s="5" t="str" cm="1">
        <f t="array" ref="AA778">_xlfn.IFS(W778&gt;10,"Veteran",W778&gt;=6,"Experienced",W778&gt;=2,"Developing",W778&gt;=0,"New")</f>
        <v>Developing</v>
      </c>
      <c r="AB778" s="5" t="str" cm="1">
        <f t="array" ref="AB778">_xlfn.IFS(G778=1,"Junior",G778=2,"Mid-Level",G778=3,"Senior",G778=4,"Lead",G778=5,"Principal")&amp;" "&amp;TRIM(PROPER(H778))</f>
        <v>Junior Sales Representative</v>
      </c>
      <c r="AC778" s="19" t="str">
        <f t="shared" ca="1" si="142"/>
        <v>Sa-Sal-2024-777 is a Junior Sales Representative in the Sales department, aged 20, single and has been with the Company for 2years</v>
      </c>
    </row>
    <row r="779" spans="1:29">
      <c r="A779" s="18" t="str">
        <f t="shared" ca="1" si="132"/>
        <v>La-Res-2025-778</v>
      </c>
      <c r="B779" s="5">
        <v>21</v>
      </c>
      <c r="C779" s="5" t="str">
        <f t="shared" si="133"/>
        <v>20-29</v>
      </c>
      <c r="D779" s="5" t="s">
        <v>35</v>
      </c>
      <c r="E779" s="5" t="s">
        <v>45</v>
      </c>
      <c r="F779" s="5" t="s">
        <v>39</v>
      </c>
      <c r="G779" s="5">
        <v>1</v>
      </c>
      <c r="H779" s="5" t="s">
        <v>50</v>
      </c>
      <c r="I779" s="5" t="s">
        <v>41</v>
      </c>
      <c r="J779" s="7">
        <v>1416</v>
      </c>
      <c r="K779" s="7">
        <f t="shared" si="134"/>
        <v>99.12</v>
      </c>
      <c r="L779" s="7">
        <f t="shared" si="135"/>
        <v>1316.88</v>
      </c>
      <c r="M779" s="7">
        <v>17258</v>
      </c>
      <c r="N779" s="5" t="s">
        <v>43</v>
      </c>
      <c r="O779" s="5">
        <v>13</v>
      </c>
      <c r="P779" s="7">
        <f t="shared" si="136"/>
        <v>1600.08</v>
      </c>
      <c r="Q779" s="7">
        <f t="shared" si="137"/>
        <v>2208.9599999999991</v>
      </c>
      <c r="R779" s="7" t="str">
        <f t="shared" si="138"/>
        <v>Normal</v>
      </c>
      <c r="S779" s="5">
        <v>3</v>
      </c>
      <c r="T779" s="5">
        <v>2</v>
      </c>
      <c r="U779" s="5" t="str" cm="1">
        <f t="array" ref="U779">_xlfn.IFS(T779=1,"Poor",T779=2,"Fair",T779=3,"Good",T779=4,"Excellent")</f>
        <v>Fair</v>
      </c>
      <c r="V779" s="5" t="s">
        <v>43</v>
      </c>
      <c r="W779" s="5">
        <v>1</v>
      </c>
      <c r="X779" s="28">
        <f t="shared" ca="1" si="139"/>
        <v>45746</v>
      </c>
      <c r="Y779" s="28">
        <f t="shared" ca="1" si="140"/>
        <v>46476</v>
      </c>
      <c r="Z779" s="28" t="str">
        <f t="shared" ca="1" si="141"/>
        <v>Due Soon</v>
      </c>
      <c r="AA779" s="5" t="str" cm="1">
        <f t="array" ref="AA779">_xlfn.IFS(W779&gt;10,"Veteran",W779&gt;=6,"Experienced",W779&gt;=2,"Developing",W779&gt;=0,"New")</f>
        <v>New</v>
      </c>
      <c r="AB779" s="5" t="str" cm="1">
        <f t="array" ref="AB779">_xlfn.IFS(G779=1,"Junior",G779=2,"Mid-Level",G779=3,"Senior",G779=4,"Lead",G779=5,"Principal")&amp;" "&amp;TRIM(PROPER(H779))</f>
        <v>Junior Laboratory Technician</v>
      </c>
      <c r="AC779" s="19" t="str">
        <f t="shared" ca="1" si="142"/>
        <v>La-Res-2025-778 is a Junior Laboratory Technician in the Research &amp; Development department, aged 21, single and has been with the Company for 1years</v>
      </c>
    </row>
    <row r="780" spans="1:29">
      <c r="A780" s="18" t="str">
        <f t="shared" ca="1" si="132"/>
        <v>Re-Res-2010-779</v>
      </c>
      <c r="B780" s="5">
        <v>46</v>
      </c>
      <c r="C780" s="5" t="str">
        <f t="shared" si="133"/>
        <v>40-49</v>
      </c>
      <c r="D780" s="5" t="s">
        <v>43</v>
      </c>
      <c r="E780" s="5" t="s">
        <v>45</v>
      </c>
      <c r="F780" s="5" t="s">
        <v>39</v>
      </c>
      <c r="G780" s="5">
        <v>2</v>
      </c>
      <c r="H780" s="5" t="s">
        <v>47</v>
      </c>
      <c r="I780" s="5" t="s">
        <v>52</v>
      </c>
      <c r="J780" s="7">
        <v>4615</v>
      </c>
      <c r="K780" s="7">
        <f t="shared" si="134"/>
        <v>692.25</v>
      </c>
      <c r="L780" s="7">
        <f t="shared" si="135"/>
        <v>3922.75</v>
      </c>
      <c r="M780" s="7">
        <v>21029</v>
      </c>
      <c r="N780" s="5" t="s">
        <v>35</v>
      </c>
      <c r="O780" s="5">
        <v>23</v>
      </c>
      <c r="P780" s="7">
        <f t="shared" si="136"/>
        <v>5676.45</v>
      </c>
      <c r="Q780" s="7">
        <f t="shared" si="137"/>
        <v>12737.399999999998</v>
      </c>
      <c r="R780" s="7" t="str">
        <f t="shared" si="138"/>
        <v>Normal</v>
      </c>
      <c r="S780" s="5">
        <v>4</v>
      </c>
      <c r="T780" s="5">
        <v>3</v>
      </c>
      <c r="U780" s="5" t="str" cm="1">
        <f t="array" ref="U780">_xlfn.IFS(T780=1,"Poor",T780=2,"Fair",T780=3,"Good",T780=4,"Excellent")</f>
        <v>Good</v>
      </c>
      <c r="V780" s="5" t="s">
        <v>35</v>
      </c>
      <c r="W780" s="5">
        <v>16</v>
      </c>
      <c r="X780" s="28">
        <f t="shared" ca="1" si="139"/>
        <v>40267</v>
      </c>
      <c r="Y780" s="28">
        <f t="shared" ca="1" si="140"/>
        <v>46842</v>
      </c>
      <c r="Z780" s="28" t="str">
        <f t="shared" ca="1" si="141"/>
        <v>Upcoming</v>
      </c>
      <c r="AA780" s="5" t="str" cm="1">
        <f t="array" ref="AA780">_xlfn.IFS(W780&gt;10,"Veteran",W780&gt;=6,"Experienced",W780&gt;=2,"Developing",W780&gt;=0,"New")</f>
        <v>Veteran</v>
      </c>
      <c r="AB780" s="5" t="str" cm="1">
        <f t="array" ref="AB780">_xlfn.IFS(G780=1,"Junior",G780=2,"Mid-Level",G780=3,"Senior",G780=4,"Lead",G780=5,"Principal")&amp;" "&amp;TRIM(PROPER(H780))</f>
        <v>Mid-Level Research Scientist</v>
      </c>
      <c r="AC780" s="19" t="str">
        <f t="shared" ca="1" si="142"/>
        <v>Re-Res-2010-779 is a Mid-Level Research Scientist in the Research &amp; Development department, aged 46, divorced and has been with the Company for 16years</v>
      </c>
    </row>
    <row r="781" spans="1:29">
      <c r="A781" s="18" t="str">
        <f t="shared" ca="1" si="132"/>
        <v>Re-Res-2016-780</v>
      </c>
      <c r="B781" s="5">
        <v>51</v>
      </c>
      <c r="C781" s="5" t="str">
        <f t="shared" si="133"/>
        <v>50+</v>
      </c>
      <c r="D781" s="5" t="s">
        <v>35</v>
      </c>
      <c r="E781" s="5" t="s">
        <v>45</v>
      </c>
      <c r="F781" s="5" t="s">
        <v>46</v>
      </c>
      <c r="G781" s="5">
        <v>1</v>
      </c>
      <c r="H781" s="5" t="s">
        <v>47</v>
      </c>
      <c r="I781" s="5" t="s">
        <v>48</v>
      </c>
      <c r="J781" s="7">
        <v>2461</v>
      </c>
      <c r="K781" s="7">
        <f t="shared" si="134"/>
        <v>172.27</v>
      </c>
      <c r="L781" s="7">
        <f t="shared" si="135"/>
        <v>2288.73</v>
      </c>
      <c r="M781" s="7">
        <v>10332</v>
      </c>
      <c r="N781" s="5" t="s">
        <v>35</v>
      </c>
      <c r="O781" s="5">
        <v>12</v>
      </c>
      <c r="P781" s="7">
        <f t="shared" si="136"/>
        <v>2756.32</v>
      </c>
      <c r="Q781" s="7">
        <f t="shared" si="137"/>
        <v>3543.840000000002</v>
      </c>
      <c r="R781" s="7" t="str">
        <f t="shared" si="138"/>
        <v>Normal</v>
      </c>
      <c r="S781" s="5">
        <v>3</v>
      </c>
      <c r="T781" s="5">
        <v>4</v>
      </c>
      <c r="U781" s="5" t="str" cm="1">
        <f t="array" ref="U781">_xlfn.IFS(T781=1,"Poor",T781=2,"Fair",T781=3,"Good",T781=4,"Excellent")</f>
        <v>Excellent</v>
      </c>
      <c r="V781" s="5" t="s">
        <v>35</v>
      </c>
      <c r="W781" s="5">
        <v>10</v>
      </c>
      <c r="X781" s="28">
        <f t="shared" ca="1" si="139"/>
        <v>42459</v>
      </c>
      <c r="Y781" s="28">
        <f t="shared" ca="1" si="140"/>
        <v>46842</v>
      </c>
      <c r="Z781" s="28" t="str">
        <f t="shared" ca="1" si="141"/>
        <v>Upcoming</v>
      </c>
      <c r="AA781" s="5" t="str" cm="1">
        <f t="array" ref="AA781">_xlfn.IFS(W781&gt;10,"Veteran",W781&gt;=6,"Experienced",W781&gt;=2,"Developing",W781&gt;=0,"New")</f>
        <v>Experienced</v>
      </c>
      <c r="AB781" s="5" t="str" cm="1">
        <f t="array" ref="AB781">_xlfn.IFS(G781=1,"Junior",G781=2,"Mid-Level",G781=3,"Senior",G781=4,"Lead",G781=5,"Principal")&amp;" "&amp;TRIM(PROPER(H781))</f>
        <v>Junior Research Scientist</v>
      </c>
      <c r="AC781" s="19" t="str">
        <f t="shared" ca="1" si="142"/>
        <v>Re-Res-2016-780 is a Junior Research Scientist in the Research &amp; Development department, aged 51, married and has been with the Company for 10years</v>
      </c>
    </row>
    <row r="782" spans="1:29">
      <c r="A782" s="18" t="str">
        <f t="shared" ca="1" si="132"/>
        <v>He-Res-2016-781</v>
      </c>
      <c r="B782" s="5">
        <v>28</v>
      </c>
      <c r="C782" s="5" t="str">
        <f t="shared" si="133"/>
        <v>20-29</v>
      </c>
      <c r="D782" s="5" t="s">
        <v>35</v>
      </c>
      <c r="E782" s="5" t="s">
        <v>45</v>
      </c>
      <c r="F782" s="5" t="s">
        <v>46</v>
      </c>
      <c r="G782" s="5">
        <v>3</v>
      </c>
      <c r="H782" s="5" t="s">
        <v>54</v>
      </c>
      <c r="I782" s="5" t="s">
        <v>41</v>
      </c>
      <c r="J782" s="7">
        <v>8722</v>
      </c>
      <c r="K782" s="7">
        <f t="shared" si="134"/>
        <v>1918.84</v>
      </c>
      <c r="L782" s="7">
        <f t="shared" si="135"/>
        <v>6803.16</v>
      </c>
      <c r="M782" s="7">
        <v>12355</v>
      </c>
      <c r="N782" s="5" t="s">
        <v>43</v>
      </c>
      <c r="O782" s="5">
        <v>12</v>
      </c>
      <c r="P782" s="7">
        <f t="shared" si="136"/>
        <v>9768.6400000000012</v>
      </c>
      <c r="Q782" s="7">
        <f t="shared" si="137"/>
        <v>12559.680000000015</v>
      </c>
      <c r="R782" s="7" t="str">
        <f t="shared" si="138"/>
        <v>Normal</v>
      </c>
      <c r="S782" s="5">
        <v>3</v>
      </c>
      <c r="T782" s="5">
        <v>2</v>
      </c>
      <c r="U782" s="5" t="str" cm="1">
        <f t="array" ref="U782">_xlfn.IFS(T782=1,"Poor",T782=2,"Fair",T782=3,"Good",T782=4,"Excellent")</f>
        <v>Fair</v>
      </c>
      <c r="V782" s="5" t="s">
        <v>43</v>
      </c>
      <c r="W782" s="5">
        <v>10</v>
      </c>
      <c r="X782" s="28">
        <f t="shared" ca="1" si="139"/>
        <v>42459</v>
      </c>
      <c r="Y782" s="28">
        <f t="shared" ca="1" si="140"/>
        <v>46842</v>
      </c>
      <c r="Z782" s="28" t="str">
        <f t="shared" ca="1" si="141"/>
        <v>Upcoming</v>
      </c>
      <c r="AA782" s="5" t="str" cm="1">
        <f t="array" ref="AA782">_xlfn.IFS(W782&gt;10,"Veteran",W782&gt;=6,"Experienced",W782&gt;=2,"Developing",W782&gt;=0,"New")</f>
        <v>Experienced</v>
      </c>
      <c r="AB782" s="5" t="str" cm="1">
        <f t="array" ref="AB782">_xlfn.IFS(G782=1,"Junior",G782=2,"Mid-Level",G782=3,"Senior",G782=4,"Lead",G782=5,"Principal")&amp;" "&amp;TRIM(PROPER(H782))</f>
        <v>Senior Healthcare Representative</v>
      </c>
      <c r="AC782" s="19" t="str">
        <f t="shared" ca="1" si="142"/>
        <v>He-Res-2016-781 is a Senior Healthcare Representative in the Research &amp; Development department, aged 28, single and has been with the Company for 10years</v>
      </c>
    </row>
    <row r="783" spans="1:29">
      <c r="A783" s="18" t="str">
        <f t="shared" ca="1" si="132"/>
        <v>La-Res-2021-782</v>
      </c>
      <c r="B783" s="5">
        <v>26</v>
      </c>
      <c r="C783" s="5" t="str">
        <f t="shared" si="133"/>
        <v>20-29</v>
      </c>
      <c r="D783" s="5" t="s">
        <v>43</v>
      </c>
      <c r="E783" s="5" t="s">
        <v>45</v>
      </c>
      <c r="F783" s="5" t="s">
        <v>46</v>
      </c>
      <c r="G783" s="5">
        <v>1</v>
      </c>
      <c r="H783" s="5" t="s">
        <v>50</v>
      </c>
      <c r="I783" s="5" t="s">
        <v>48</v>
      </c>
      <c r="J783" s="7">
        <v>3955</v>
      </c>
      <c r="K783" s="7">
        <f t="shared" si="134"/>
        <v>593.25</v>
      </c>
      <c r="L783" s="7">
        <f t="shared" si="135"/>
        <v>3361.75</v>
      </c>
      <c r="M783" s="7">
        <v>11141</v>
      </c>
      <c r="N783" s="5" t="s">
        <v>43</v>
      </c>
      <c r="O783" s="5">
        <v>16</v>
      </c>
      <c r="P783" s="7">
        <f t="shared" si="136"/>
        <v>4587.7999999999993</v>
      </c>
      <c r="Q783" s="7">
        <f t="shared" si="137"/>
        <v>7593.5999999999913</v>
      </c>
      <c r="R783" s="7" t="str">
        <f t="shared" si="138"/>
        <v>Normal</v>
      </c>
      <c r="S783" s="5">
        <v>3</v>
      </c>
      <c r="T783" s="5">
        <v>3</v>
      </c>
      <c r="U783" s="5" t="str" cm="1">
        <f t="array" ref="U783">_xlfn.IFS(T783=1,"Poor",T783=2,"Fair",T783=3,"Good",T783=4,"Excellent")</f>
        <v>Good</v>
      </c>
      <c r="V783" s="5" t="s">
        <v>43</v>
      </c>
      <c r="W783" s="5">
        <v>5</v>
      </c>
      <c r="X783" s="28">
        <f t="shared" ca="1" si="139"/>
        <v>44285</v>
      </c>
      <c r="Y783" s="28">
        <f t="shared" ca="1" si="140"/>
        <v>46476</v>
      </c>
      <c r="Z783" s="28" t="str">
        <f t="shared" ca="1" si="141"/>
        <v>Due Soon</v>
      </c>
      <c r="AA783" s="5" t="str" cm="1">
        <f t="array" ref="AA783">_xlfn.IFS(W783&gt;10,"Veteran",W783&gt;=6,"Experienced",W783&gt;=2,"Developing",W783&gt;=0,"New")</f>
        <v>Developing</v>
      </c>
      <c r="AB783" s="5" t="str" cm="1">
        <f t="array" ref="AB783">_xlfn.IFS(G783=1,"Junior",G783=2,"Mid-Level",G783=3,"Senior",G783=4,"Lead",G783=5,"Principal")&amp;" "&amp;TRIM(PROPER(H783))</f>
        <v>Junior Laboratory Technician</v>
      </c>
      <c r="AC783" s="19" t="str">
        <f t="shared" ca="1" si="142"/>
        <v>La-Res-2021-782 is a Junior Laboratory Technician in the Research &amp; Development department, aged 26, married and has been with the Company for 5years</v>
      </c>
    </row>
    <row r="784" spans="1:29">
      <c r="A784" s="18" t="str">
        <f t="shared" ca="1" si="132"/>
        <v>Ma-Res-2020-783</v>
      </c>
      <c r="B784" s="5">
        <v>30</v>
      </c>
      <c r="C784" s="5" t="str">
        <f t="shared" si="133"/>
        <v>30-39</v>
      </c>
      <c r="D784" s="5" t="s">
        <v>43</v>
      </c>
      <c r="E784" s="5" t="s">
        <v>45</v>
      </c>
      <c r="F784" s="5" t="s">
        <v>46</v>
      </c>
      <c r="G784" s="5">
        <v>2</v>
      </c>
      <c r="H784" s="5" t="s">
        <v>53</v>
      </c>
      <c r="I784" s="5" t="s">
        <v>48</v>
      </c>
      <c r="J784" s="7">
        <v>9957</v>
      </c>
      <c r="K784" s="7">
        <f t="shared" si="134"/>
        <v>2190.54</v>
      </c>
      <c r="L784" s="7">
        <f t="shared" si="135"/>
        <v>7766.46</v>
      </c>
      <c r="M784" s="7">
        <v>9096</v>
      </c>
      <c r="N784" s="5" t="s">
        <v>43</v>
      </c>
      <c r="O784" s="5">
        <v>15</v>
      </c>
      <c r="P784" s="7">
        <f t="shared" si="136"/>
        <v>11450.55</v>
      </c>
      <c r="Q784" s="7">
        <f t="shared" si="137"/>
        <v>17922.599999999991</v>
      </c>
      <c r="R784" s="7" t="str">
        <f t="shared" si="138"/>
        <v>Normal</v>
      </c>
      <c r="S784" s="5">
        <v>3</v>
      </c>
      <c r="T784" s="5">
        <v>2</v>
      </c>
      <c r="U784" s="5" t="str" cm="1">
        <f t="array" ref="U784">_xlfn.IFS(T784=1,"Poor",T784=2,"Fair",T784=3,"Good",T784=4,"Excellent")</f>
        <v>Fair</v>
      </c>
      <c r="V784" s="5" t="s">
        <v>43</v>
      </c>
      <c r="W784" s="5">
        <v>6</v>
      </c>
      <c r="X784" s="28">
        <f t="shared" ca="1" si="139"/>
        <v>43920</v>
      </c>
      <c r="Y784" s="28">
        <f t="shared" ca="1" si="140"/>
        <v>46842</v>
      </c>
      <c r="Z784" s="28" t="str">
        <f t="shared" ca="1" si="141"/>
        <v>Upcoming</v>
      </c>
      <c r="AA784" s="5" t="str" cm="1">
        <f t="array" ref="AA784">_xlfn.IFS(W784&gt;10,"Veteran",W784&gt;=6,"Experienced",W784&gt;=2,"Developing",W784&gt;=0,"New")</f>
        <v>Experienced</v>
      </c>
      <c r="AB784" s="5" t="str" cm="1">
        <f t="array" ref="AB784">_xlfn.IFS(G784=1,"Junior",G784=2,"Mid-Level",G784=3,"Senior",G784=4,"Lead",G784=5,"Principal")&amp;" "&amp;TRIM(PROPER(H784))</f>
        <v>Mid-Level Manufacturing Director</v>
      </c>
      <c r="AC784" s="19" t="str">
        <f t="shared" ca="1" si="142"/>
        <v>Ma-Res-2020-783 is a Mid-Level Manufacturing Director in the Research &amp; Development department, aged 30, married and has been with the Company for 6years</v>
      </c>
    </row>
    <row r="785" spans="1:29">
      <c r="A785" s="18" t="str">
        <f t="shared" ca="1" si="132"/>
        <v>Re-Res-2016-784</v>
      </c>
      <c r="B785" s="5">
        <v>41</v>
      </c>
      <c r="C785" s="5" t="str">
        <f t="shared" si="133"/>
        <v>40-49</v>
      </c>
      <c r="D785" s="5" t="s">
        <v>43</v>
      </c>
      <c r="E785" s="5" t="s">
        <v>45</v>
      </c>
      <c r="F785" s="5" t="s">
        <v>39</v>
      </c>
      <c r="G785" s="5">
        <v>1</v>
      </c>
      <c r="H785" s="5" t="s">
        <v>47</v>
      </c>
      <c r="I785" s="5" t="s">
        <v>48</v>
      </c>
      <c r="J785" s="7">
        <v>3376</v>
      </c>
      <c r="K785" s="7">
        <f t="shared" si="134"/>
        <v>506.4</v>
      </c>
      <c r="L785" s="7">
        <f t="shared" si="135"/>
        <v>2869.6</v>
      </c>
      <c r="M785" s="7">
        <v>18863</v>
      </c>
      <c r="N785" s="5" t="s">
        <v>43</v>
      </c>
      <c r="O785" s="5">
        <v>13</v>
      </c>
      <c r="P785" s="7">
        <f t="shared" si="136"/>
        <v>3814.8799999999997</v>
      </c>
      <c r="Q785" s="7">
        <f t="shared" si="137"/>
        <v>5266.5599999999959</v>
      </c>
      <c r="R785" s="7" t="str">
        <f t="shared" si="138"/>
        <v>Normal</v>
      </c>
      <c r="S785" s="5">
        <v>3</v>
      </c>
      <c r="T785" s="5">
        <v>3</v>
      </c>
      <c r="U785" s="5" t="str" cm="1">
        <f t="array" ref="U785">_xlfn.IFS(T785=1,"Poor",T785=2,"Fair",T785=3,"Good",T785=4,"Excellent")</f>
        <v>Good</v>
      </c>
      <c r="V785" s="5" t="s">
        <v>43</v>
      </c>
      <c r="W785" s="5">
        <v>10</v>
      </c>
      <c r="X785" s="28">
        <f t="shared" ca="1" si="139"/>
        <v>42459</v>
      </c>
      <c r="Y785" s="28">
        <f t="shared" ca="1" si="140"/>
        <v>46842</v>
      </c>
      <c r="Z785" s="28" t="str">
        <f t="shared" ca="1" si="141"/>
        <v>Upcoming</v>
      </c>
      <c r="AA785" s="5" t="str" cm="1">
        <f t="array" ref="AA785">_xlfn.IFS(W785&gt;10,"Veteran",W785&gt;=6,"Experienced",W785&gt;=2,"Developing",W785&gt;=0,"New")</f>
        <v>Experienced</v>
      </c>
      <c r="AB785" s="5" t="str" cm="1">
        <f t="array" ref="AB785">_xlfn.IFS(G785=1,"Junior",G785=2,"Mid-Level",G785=3,"Senior",G785=4,"Lead",G785=5,"Principal")&amp;" "&amp;TRIM(PROPER(H785))</f>
        <v>Junior Research Scientist</v>
      </c>
      <c r="AC785" s="19" t="str">
        <f t="shared" ca="1" si="142"/>
        <v>Re-Res-2016-784 is a Junior Research Scientist in the Research &amp; Development department, aged 41, married and has been with the Company for 10years</v>
      </c>
    </row>
    <row r="786" spans="1:29">
      <c r="A786" s="18" t="str">
        <f t="shared" ca="1" si="132"/>
        <v>He-Res-2007-785</v>
      </c>
      <c r="B786" s="5">
        <v>38</v>
      </c>
      <c r="C786" s="5" t="str">
        <f t="shared" si="133"/>
        <v>30-39</v>
      </c>
      <c r="D786" s="5" t="s">
        <v>43</v>
      </c>
      <c r="E786" s="5" t="s">
        <v>45</v>
      </c>
      <c r="F786" s="5" t="s">
        <v>39</v>
      </c>
      <c r="G786" s="5">
        <v>3</v>
      </c>
      <c r="H786" s="5" t="s">
        <v>54</v>
      </c>
      <c r="I786" s="5" t="s">
        <v>48</v>
      </c>
      <c r="J786" s="7">
        <v>8823</v>
      </c>
      <c r="K786" s="7">
        <f t="shared" si="134"/>
        <v>1941.06</v>
      </c>
      <c r="L786" s="7">
        <f t="shared" si="135"/>
        <v>6881.9400000000005</v>
      </c>
      <c r="M786" s="7">
        <v>24608</v>
      </c>
      <c r="N786" s="5" t="s">
        <v>43</v>
      </c>
      <c r="O786" s="5">
        <v>18</v>
      </c>
      <c r="P786" s="7">
        <f t="shared" si="136"/>
        <v>10411.14</v>
      </c>
      <c r="Q786" s="7">
        <f t="shared" si="137"/>
        <v>19057.679999999993</v>
      </c>
      <c r="R786" s="7" t="str">
        <f t="shared" si="138"/>
        <v>Normal</v>
      </c>
      <c r="S786" s="5">
        <v>3</v>
      </c>
      <c r="T786" s="5">
        <v>2</v>
      </c>
      <c r="U786" s="5" t="str" cm="1">
        <f t="array" ref="U786">_xlfn.IFS(T786=1,"Poor",T786=2,"Fair",T786=3,"Good",T786=4,"Excellent")</f>
        <v>Fair</v>
      </c>
      <c r="V786" s="5" t="s">
        <v>43</v>
      </c>
      <c r="W786" s="5">
        <v>19</v>
      </c>
      <c r="X786" s="28">
        <f t="shared" ca="1" si="139"/>
        <v>39171</v>
      </c>
      <c r="Y786" s="28">
        <f t="shared" ca="1" si="140"/>
        <v>46476</v>
      </c>
      <c r="Z786" s="28" t="str">
        <f t="shared" ca="1" si="141"/>
        <v>Due Soon</v>
      </c>
      <c r="AA786" s="5" t="str" cm="1">
        <f t="array" ref="AA786">_xlfn.IFS(W786&gt;10,"Veteran",W786&gt;=6,"Experienced",W786&gt;=2,"Developing",W786&gt;=0,"New")</f>
        <v>Veteran</v>
      </c>
      <c r="AB786" s="5" t="str" cm="1">
        <f t="array" ref="AB786">_xlfn.IFS(G786=1,"Junior",G786=2,"Mid-Level",G786=3,"Senior",G786=4,"Lead",G786=5,"Principal")&amp;" "&amp;TRIM(PROPER(H786))</f>
        <v>Senior Healthcare Representative</v>
      </c>
      <c r="AC786" s="19" t="str">
        <f t="shared" ca="1" si="142"/>
        <v>He-Res-2007-785 is a Senior Healthcare Representative in the Research &amp; Development department, aged 38, married and has been with the Company for 19years</v>
      </c>
    </row>
    <row r="787" spans="1:29">
      <c r="A787" s="18" t="str">
        <f t="shared" ca="1" si="132"/>
        <v>He-Res-2015-786</v>
      </c>
      <c r="B787" s="5">
        <v>40</v>
      </c>
      <c r="C787" s="5" t="str">
        <f t="shared" si="133"/>
        <v>40-49</v>
      </c>
      <c r="D787" s="5" t="s">
        <v>43</v>
      </c>
      <c r="E787" s="5" t="s">
        <v>45</v>
      </c>
      <c r="F787" s="5" t="s">
        <v>46</v>
      </c>
      <c r="G787" s="5">
        <v>3</v>
      </c>
      <c r="H787" s="5" t="s">
        <v>54</v>
      </c>
      <c r="I787" s="5" t="s">
        <v>48</v>
      </c>
      <c r="J787" s="7">
        <v>10322</v>
      </c>
      <c r="K787" s="7">
        <f t="shared" si="134"/>
        <v>2270.84</v>
      </c>
      <c r="L787" s="7">
        <f t="shared" si="135"/>
        <v>8051.16</v>
      </c>
      <c r="M787" s="7">
        <v>26542</v>
      </c>
      <c r="N787" s="5" t="s">
        <v>43</v>
      </c>
      <c r="O787" s="5">
        <v>20</v>
      </c>
      <c r="P787" s="7">
        <f t="shared" si="136"/>
        <v>12386.4</v>
      </c>
      <c r="Q787" s="7">
        <f t="shared" si="137"/>
        <v>24772.799999999996</v>
      </c>
      <c r="R787" s="7" t="str">
        <f t="shared" si="138"/>
        <v>Normal</v>
      </c>
      <c r="S787" s="5">
        <v>4</v>
      </c>
      <c r="T787" s="5">
        <v>3</v>
      </c>
      <c r="U787" s="5" t="str" cm="1">
        <f t="array" ref="U787">_xlfn.IFS(T787=1,"Poor",T787=2,"Fair",T787=3,"Good",T787=4,"Excellent")</f>
        <v>Good</v>
      </c>
      <c r="V787" s="5" t="s">
        <v>43</v>
      </c>
      <c r="W787" s="5">
        <v>11</v>
      </c>
      <c r="X787" s="28">
        <f t="shared" ca="1" si="139"/>
        <v>42093</v>
      </c>
      <c r="Y787" s="28">
        <f t="shared" ca="1" si="140"/>
        <v>46476</v>
      </c>
      <c r="Z787" s="28" t="str">
        <f t="shared" ca="1" si="141"/>
        <v>Due Soon</v>
      </c>
      <c r="AA787" s="5" t="str" cm="1">
        <f t="array" ref="AA787">_xlfn.IFS(W787&gt;10,"Veteran",W787&gt;=6,"Experienced",W787&gt;=2,"Developing",W787&gt;=0,"New")</f>
        <v>Veteran</v>
      </c>
      <c r="AB787" s="5" t="str" cm="1">
        <f t="array" ref="AB787">_xlfn.IFS(G787=1,"Junior",G787=2,"Mid-Level",G787=3,"Senior",G787=4,"Lead",G787=5,"Principal")&amp;" "&amp;TRIM(PROPER(H787))</f>
        <v>Senior Healthcare Representative</v>
      </c>
      <c r="AC787" s="19" t="str">
        <f t="shared" ca="1" si="142"/>
        <v>He-Res-2015-786 is a Senior Healthcare Representative in the Research &amp; Development department, aged 40, married and has been with the Company for 11years</v>
      </c>
    </row>
    <row r="788" spans="1:29">
      <c r="A788" s="18" t="str">
        <f t="shared" ca="1" si="132"/>
        <v>La-Res-2023-787</v>
      </c>
      <c r="B788" s="5">
        <v>27</v>
      </c>
      <c r="C788" s="5" t="str">
        <f t="shared" si="133"/>
        <v>20-29</v>
      </c>
      <c r="D788" s="5" t="s">
        <v>43</v>
      </c>
      <c r="E788" s="5" t="s">
        <v>45</v>
      </c>
      <c r="F788" s="5" t="s">
        <v>46</v>
      </c>
      <c r="G788" s="5">
        <v>1</v>
      </c>
      <c r="H788" s="5" t="s">
        <v>50</v>
      </c>
      <c r="I788" s="5" t="s">
        <v>48</v>
      </c>
      <c r="J788" s="7">
        <v>4621</v>
      </c>
      <c r="K788" s="7">
        <f t="shared" si="134"/>
        <v>693.15</v>
      </c>
      <c r="L788" s="7">
        <f t="shared" si="135"/>
        <v>3927.85</v>
      </c>
      <c r="M788" s="7">
        <v>5869</v>
      </c>
      <c r="N788" s="5" t="s">
        <v>43</v>
      </c>
      <c r="O788" s="5">
        <v>19</v>
      </c>
      <c r="P788" s="7">
        <f t="shared" si="136"/>
        <v>5498.99</v>
      </c>
      <c r="Q788" s="7">
        <f t="shared" si="137"/>
        <v>10535.879999999997</v>
      </c>
      <c r="R788" s="7" t="str">
        <f t="shared" si="138"/>
        <v>Normal</v>
      </c>
      <c r="S788" s="5">
        <v>3</v>
      </c>
      <c r="T788" s="5">
        <v>3</v>
      </c>
      <c r="U788" s="5" t="str" cm="1">
        <f t="array" ref="U788">_xlfn.IFS(T788=1,"Poor",T788=2,"Fair",T788=3,"Good",T788=4,"Excellent")</f>
        <v>Good</v>
      </c>
      <c r="V788" s="5" t="s">
        <v>43</v>
      </c>
      <c r="W788" s="5">
        <v>3</v>
      </c>
      <c r="X788" s="28">
        <f t="shared" ca="1" si="139"/>
        <v>45015</v>
      </c>
      <c r="Y788" s="28">
        <f t="shared" ca="1" si="140"/>
        <v>46476</v>
      </c>
      <c r="Z788" s="28" t="str">
        <f t="shared" ca="1" si="141"/>
        <v>Due Soon</v>
      </c>
      <c r="AA788" s="5" t="str" cm="1">
        <f t="array" ref="AA788">_xlfn.IFS(W788&gt;10,"Veteran",W788&gt;=6,"Experienced",W788&gt;=2,"Developing",W788&gt;=0,"New")</f>
        <v>Developing</v>
      </c>
      <c r="AB788" s="5" t="str" cm="1">
        <f t="array" ref="AB788">_xlfn.IFS(G788=1,"Junior",G788=2,"Mid-Level",G788=3,"Senior",G788=4,"Lead",G788=5,"Principal")&amp;" "&amp;TRIM(PROPER(H788))</f>
        <v>Junior Laboratory Technician</v>
      </c>
      <c r="AC788" s="19" t="str">
        <f t="shared" ca="1" si="142"/>
        <v>La-Res-2023-787 is a Junior Laboratory Technician in the Research &amp; Development department, aged 27, married and has been with the Company for 3years</v>
      </c>
    </row>
    <row r="789" spans="1:29">
      <c r="A789" s="18" t="str">
        <f t="shared" ca="1" si="132"/>
        <v>Ma-Res-2023-788</v>
      </c>
      <c r="B789" s="5">
        <v>55</v>
      </c>
      <c r="C789" s="5" t="str">
        <f t="shared" si="133"/>
        <v>50+</v>
      </c>
      <c r="D789" s="5" t="s">
        <v>43</v>
      </c>
      <c r="E789" s="5" t="s">
        <v>45</v>
      </c>
      <c r="F789" s="5" t="s">
        <v>46</v>
      </c>
      <c r="G789" s="5">
        <v>3</v>
      </c>
      <c r="H789" s="5" t="s">
        <v>53</v>
      </c>
      <c r="I789" s="5" t="s">
        <v>48</v>
      </c>
      <c r="J789" s="7">
        <v>10976</v>
      </c>
      <c r="K789" s="7">
        <f t="shared" si="134"/>
        <v>2414.7199999999998</v>
      </c>
      <c r="L789" s="7">
        <f t="shared" si="135"/>
        <v>8561.2800000000007</v>
      </c>
      <c r="M789" s="7">
        <v>15813</v>
      </c>
      <c r="N789" s="5" t="s">
        <v>43</v>
      </c>
      <c r="O789" s="5">
        <v>18</v>
      </c>
      <c r="P789" s="7">
        <f t="shared" si="136"/>
        <v>12951.679999999998</v>
      </c>
      <c r="Q789" s="7">
        <f t="shared" si="137"/>
        <v>23708.159999999982</v>
      </c>
      <c r="R789" s="7" t="str">
        <f t="shared" si="138"/>
        <v>Normal</v>
      </c>
      <c r="S789" s="5">
        <v>3</v>
      </c>
      <c r="T789" s="5">
        <v>3</v>
      </c>
      <c r="U789" s="5" t="str" cm="1">
        <f t="array" ref="U789">_xlfn.IFS(T789=1,"Poor",T789=2,"Fair",T789=3,"Good",T789=4,"Excellent")</f>
        <v>Good</v>
      </c>
      <c r="V789" s="5" t="s">
        <v>43</v>
      </c>
      <c r="W789" s="5">
        <v>3</v>
      </c>
      <c r="X789" s="28">
        <f t="shared" ca="1" si="139"/>
        <v>45015</v>
      </c>
      <c r="Y789" s="28">
        <f t="shared" ca="1" si="140"/>
        <v>46476</v>
      </c>
      <c r="Z789" s="28" t="str">
        <f t="shared" ca="1" si="141"/>
        <v>Due Soon</v>
      </c>
      <c r="AA789" s="5" t="str" cm="1">
        <f t="array" ref="AA789">_xlfn.IFS(W789&gt;10,"Veteran",W789&gt;=6,"Experienced",W789&gt;=2,"Developing",W789&gt;=0,"New")</f>
        <v>Developing</v>
      </c>
      <c r="AB789" s="5" t="str" cm="1">
        <f t="array" ref="AB789">_xlfn.IFS(G789=1,"Junior",G789=2,"Mid-Level",G789=3,"Senior",G789=4,"Lead",G789=5,"Principal")&amp;" "&amp;TRIM(PROPER(H789))</f>
        <v>Senior Manufacturing Director</v>
      </c>
      <c r="AC789" s="19" t="str">
        <f t="shared" ca="1" si="142"/>
        <v>Ma-Res-2023-788 is a Senior Manufacturing Director in the Research &amp; Development department, aged 55, married and has been with the Company for 3years</v>
      </c>
    </row>
    <row r="790" spans="1:29">
      <c r="A790" s="18" t="str">
        <f t="shared" ca="1" si="132"/>
        <v>Re-Res-2018-789</v>
      </c>
      <c r="B790" s="5">
        <v>28</v>
      </c>
      <c r="C790" s="5" t="str">
        <f t="shared" si="133"/>
        <v>20-29</v>
      </c>
      <c r="D790" s="5" t="s">
        <v>43</v>
      </c>
      <c r="E790" s="5" t="s">
        <v>45</v>
      </c>
      <c r="F790" s="5" t="s">
        <v>39</v>
      </c>
      <c r="G790" s="5">
        <v>2</v>
      </c>
      <c r="H790" s="5" t="s">
        <v>47</v>
      </c>
      <c r="I790" s="5" t="s">
        <v>41</v>
      </c>
      <c r="J790" s="7">
        <v>3660</v>
      </c>
      <c r="K790" s="7">
        <f t="shared" si="134"/>
        <v>549</v>
      </c>
      <c r="L790" s="7">
        <f t="shared" si="135"/>
        <v>3111</v>
      </c>
      <c r="M790" s="7">
        <v>7909</v>
      </c>
      <c r="N790" s="5" t="s">
        <v>43</v>
      </c>
      <c r="O790" s="5">
        <v>13</v>
      </c>
      <c r="P790" s="7">
        <f t="shared" si="136"/>
        <v>4135.7999999999993</v>
      </c>
      <c r="Q790" s="7">
        <f t="shared" si="137"/>
        <v>5709.5999999999913</v>
      </c>
      <c r="R790" s="7" t="str">
        <f t="shared" si="138"/>
        <v>Normal</v>
      </c>
      <c r="S790" s="5">
        <v>3</v>
      </c>
      <c r="T790" s="5">
        <v>4</v>
      </c>
      <c r="U790" s="5" t="str" cm="1">
        <f t="array" ref="U790">_xlfn.IFS(T790=1,"Poor",T790=2,"Fair",T790=3,"Good",T790=4,"Excellent")</f>
        <v>Excellent</v>
      </c>
      <c r="V790" s="5" t="s">
        <v>43</v>
      </c>
      <c r="W790" s="5">
        <v>8</v>
      </c>
      <c r="X790" s="28">
        <f t="shared" ca="1" si="139"/>
        <v>43189</v>
      </c>
      <c r="Y790" s="28">
        <f t="shared" ca="1" si="140"/>
        <v>46842</v>
      </c>
      <c r="Z790" s="28" t="str">
        <f t="shared" ca="1" si="141"/>
        <v>Upcoming</v>
      </c>
      <c r="AA790" s="5" t="str" cm="1">
        <f t="array" ref="AA790">_xlfn.IFS(W790&gt;10,"Veteran",W790&gt;=6,"Experienced",W790&gt;=2,"Developing",W790&gt;=0,"New")</f>
        <v>Experienced</v>
      </c>
      <c r="AB790" s="5" t="str" cm="1">
        <f t="array" ref="AB790">_xlfn.IFS(G790=1,"Junior",G790=2,"Mid-Level",G790=3,"Senior",G790=4,"Lead",G790=5,"Principal")&amp;" "&amp;TRIM(PROPER(H790))</f>
        <v>Mid-Level Research Scientist</v>
      </c>
      <c r="AC790" s="19" t="str">
        <f t="shared" ca="1" si="142"/>
        <v>Re-Res-2018-789 is a Mid-Level Research Scientist in the Research &amp; Development department, aged 28, single and has been with the Company for 8years</v>
      </c>
    </row>
    <row r="791" spans="1:29">
      <c r="A791" s="18" t="str">
        <f t="shared" ca="1" si="132"/>
        <v>Hu-Hum-2006-790</v>
      </c>
      <c r="B791" s="5">
        <v>44</v>
      </c>
      <c r="C791" s="5" t="str">
        <f t="shared" si="133"/>
        <v>40-49</v>
      </c>
      <c r="D791" s="5" t="s">
        <v>35</v>
      </c>
      <c r="E791" s="5" t="s">
        <v>61</v>
      </c>
      <c r="F791" s="5" t="s">
        <v>46</v>
      </c>
      <c r="G791" s="5">
        <v>3</v>
      </c>
      <c r="H791" s="5" t="s">
        <v>61</v>
      </c>
      <c r="I791" s="5" t="s">
        <v>48</v>
      </c>
      <c r="J791" s="7">
        <v>10482</v>
      </c>
      <c r="K791" s="7">
        <f t="shared" si="134"/>
        <v>2306.04</v>
      </c>
      <c r="L791" s="7">
        <f t="shared" si="135"/>
        <v>8175.96</v>
      </c>
      <c r="M791" s="7">
        <v>2326</v>
      </c>
      <c r="N791" s="5" t="s">
        <v>43</v>
      </c>
      <c r="O791" s="5">
        <v>14</v>
      </c>
      <c r="P791" s="7">
        <f t="shared" si="136"/>
        <v>11949.480000000001</v>
      </c>
      <c r="Q791" s="7">
        <f t="shared" si="137"/>
        <v>17609.760000000017</v>
      </c>
      <c r="R791" s="7" t="str">
        <f t="shared" si="138"/>
        <v>Normal</v>
      </c>
      <c r="S791" s="5">
        <v>3</v>
      </c>
      <c r="T791" s="5">
        <v>3</v>
      </c>
      <c r="U791" s="5" t="str" cm="1">
        <f t="array" ref="U791">_xlfn.IFS(T791=1,"Poor",T791=2,"Fair",T791=3,"Good",T791=4,"Excellent")</f>
        <v>Good</v>
      </c>
      <c r="V791" s="5" t="s">
        <v>43</v>
      </c>
      <c r="W791" s="5">
        <v>20</v>
      </c>
      <c r="X791" s="28">
        <f t="shared" ca="1" si="139"/>
        <v>38806</v>
      </c>
      <c r="Y791" s="28">
        <f t="shared" ca="1" si="140"/>
        <v>46842</v>
      </c>
      <c r="Z791" s="28" t="str">
        <f t="shared" ca="1" si="141"/>
        <v>Upcoming</v>
      </c>
      <c r="AA791" s="5" t="str" cm="1">
        <f t="array" ref="AA791">_xlfn.IFS(W791&gt;10,"Veteran",W791&gt;=6,"Experienced",W791&gt;=2,"Developing",W791&gt;=0,"New")</f>
        <v>Veteran</v>
      </c>
      <c r="AB791" s="5" t="str" cm="1">
        <f t="array" ref="AB791">_xlfn.IFS(G791=1,"Junior",G791=2,"Mid-Level",G791=3,"Senior",G791=4,"Lead",G791=5,"Principal")&amp;" "&amp;TRIM(PROPER(H791))</f>
        <v>Senior Human Resources</v>
      </c>
      <c r="AC791" s="19" t="str">
        <f t="shared" ca="1" si="142"/>
        <v>Hu-Hum-2006-790 is a Senior Human Resources in the Human Resources department, aged 44, married and has been with the Company for 20years</v>
      </c>
    </row>
    <row r="792" spans="1:29">
      <c r="A792" s="18" t="str">
        <f t="shared" ca="1" si="132"/>
        <v>He-Res-2023-791</v>
      </c>
      <c r="B792" s="5">
        <v>33</v>
      </c>
      <c r="C792" s="5" t="str">
        <f t="shared" si="133"/>
        <v>30-39</v>
      </c>
      <c r="D792" s="5" t="s">
        <v>43</v>
      </c>
      <c r="E792" s="5" t="s">
        <v>45</v>
      </c>
      <c r="F792" s="5" t="s">
        <v>46</v>
      </c>
      <c r="G792" s="5">
        <v>3</v>
      </c>
      <c r="H792" s="5" t="s">
        <v>54</v>
      </c>
      <c r="I792" s="5" t="s">
        <v>52</v>
      </c>
      <c r="J792" s="7">
        <v>7119</v>
      </c>
      <c r="K792" s="7">
        <f t="shared" si="134"/>
        <v>1566.18</v>
      </c>
      <c r="L792" s="7">
        <f t="shared" si="135"/>
        <v>5552.82</v>
      </c>
      <c r="M792" s="7">
        <v>21214</v>
      </c>
      <c r="N792" s="5" t="s">
        <v>43</v>
      </c>
      <c r="O792" s="5">
        <v>15</v>
      </c>
      <c r="P792" s="7">
        <f t="shared" si="136"/>
        <v>8186.8499999999995</v>
      </c>
      <c r="Q792" s="7">
        <f t="shared" si="137"/>
        <v>12814.199999999993</v>
      </c>
      <c r="R792" s="7" t="str">
        <f t="shared" si="138"/>
        <v>Normal</v>
      </c>
      <c r="S792" s="5">
        <v>3</v>
      </c>
      <c r="T792" s="5">
        <v>3</v>
      </c>
      <c r="U792" s="5" t="str" cm="1">
        <f t="array" ref="U792">_xlfn.IFS(T792=1,"Poor",T792=2,"Fair",T792=3,"Good",T792=4,"Excellent")</f>
        <v>Good</v>
      </c>
      <c r="V792" s="5" t="s">
        <v>43</v>
      </c>
      <c r="W792" s="5">
        <v>3</v>
      </c>
      <c r="X792" s="28">
        <f t="shared" ca="1" si="139"/>
        <v>45015</v>
      </c>
      <c r="Y792" s="28">
        <f t="shared" ca="1" si="140"/>
        <v>46476</v>
      </c>
      <c r="Z792" s="28" t="str">
        <f t="shared" ca="1" si="141"/>
        <v>Due Soon</v>
      </c>
      <c r="AA792" s="5" t="str" cm="1">
        <f t="array" ref="AA792">_xlfn.IFS(W792&gt;10,"Veteran",W792&gt;=6,"Experienced",W792&gt;=2,"Developing",W792&gt;=0,"New")</f>
        <v>Developing</v>
      </c>
      <c r="AB792" s="5" t="str" cm="1">
        <f t="array" ref="AB792">_xlfn.IFS(G792=1,"Junior",G792=2,"Mid-Level",G792=3,"Senior",G792=4,"Lead",G792=5,"Principal")&amp;" "&amp;TRIM(PROPER(H792))</f>
        <v>Senior Healthcare Representative</v>
      </c>
      <c r="AC792" s="19" t="str">
        <f t="shared" ca="1" si="142"/>
        <v>He-Res-2023-791 is a Senior Healthcare Representative in the Research &amp; Development department, aged 33, divorced and has been with the Company for 3years</v>
      </c>
    </row>
    <row r="793" spans="1:29">
      <c r="A793" s="18" t="str">
        <f t="shared" ca="1" si="132"/>
        <v>Sa-Sal-2018-792</v>
      </c>
      <c r="B793" s="5">
        <v>35</v>
      </c>
      <c r="C793" s="5" t="str">
        <f t="shared" si="133"/>
        <v>30-39</v>
      </c>
      <c r="D793" s="5" t="s">
        <v>35</v>
      </c>
      <c r="E793" s="5" t="s">
        <v>37</v>
      </c>
      <c r="F793" s="5" t="s">
        <v>46</v>
      </c>
      <c r="G793" s="5">
        <v>3</v>
      </c>
      <c r="H793" s="5" t="s">
        <v>40</v>
      </c>
      <c r="I793" s="5" t="s">
        <v>41</v>
      </c>
      <c r="J793" s="7">
        <v>9582</v>
      </c>
      <c r="K793" s="7">
        <f t="shared" si="134"/>
        <v>2108.04</v>
      </c>
      <c r="L793" s="7">
        <f t="shared" si="135"/>
        <v>7473.96</v>
      </c>
      <c r="M793" s="7">
        <v>10333</v>
      </c>
      <c r="N793" s="5" t="s">
        <v>35</v>
      </c>
      <c r="O793" s="5">
        <v>22</v>
      </c>
      <c r="P793" s="7">
        <f t="shared" si="136"/>
        <v>11690.039999999999</v>
      </c>
      <c r="Q793" s="7">
        <f t="shared" si="137"/>
        <v>25296.479999999989</v>
      </c>
      <c r="R793" s="7" t="str">
        <f t="shared" si="138"/>
        <v>Normal</v>
      </c>
      <c r="S793" s="5">
        <v>4</v>
      </c>
      <c r="T793" s="5">
        <v>3</v>
      </c>
      <c r="U793" s="5" t="str" cm="1">
        <f t="array" ref="U793">_xlfn.IFS(T793=1,"Poor",T793=2,"Fair",T793=3,"Good",T793=4,"Excellent")</f>
        <v>Good</v>
      </c>
      <c r="V793" s="5" t="s">
        <v>35</v>
      </c>
      <c r="W793" s="5">
        <v>8</v>
      </c>
      <c r="X793" s="28">
        <f t="shared" ca="1" si="139"/>
        <v>43189</v>
      </c>
      <c r="Y793" s="28">
        <f t="shared" ca="1" si="140"/>
        <v>46842</v>
      </c>
      <c r="Z793" s="28" t="str">
        <f t="shared" ca="1" si="141"/>
        <v>Upcoming</v>
      </c>
      <c r="AA793" s="5" t="str" cm="1">
        <f t="array" ref="AA793">_xlfn.IFS(W793&gt;10,"Veteran",W793&gt;=6,"Experienced",W793&gt;=2,"Developing",W793&gt;=0,"New")</f>
        <v>Experienced</v>
      </c>
      <c r="AB793" s="5" t="str" cm="1">
        <f t="array" ref="AB793">_xlfn.IFS(G793=1,"Junior",G793=2,"Mid-Level",G793=3,"Senior",G793=4,"Lead",G793=5,"Principal")&amp;" "&amp;TRIM(PROPER(H793))</f>
        <v>Senior Sales Executive</v>
      </c>
      <c r="AC793" s="19" t="str">
        <f t="shared" ca="1" si="142"/>
        <v>Sa-Sal-2018-792 is a Senior Sales Executive in the Sales department, aged 35, single and has been with the Company for 8years</v>
      </c>
    </row>
    <row r="794" spans="1:29">
      <c r="A794" s="18" t="str">
        <f t="shared" ca="1" si="132"/>
        <v>Re-Res-2013-793</v>
      </c>
      <c r="B794" s="5">
        <v>33</v>
      </c>
      <c r="C794" s="5" t="str">
        <f t="shared" si="133"/>
        <v>30-39</v>
      </c>
      <c r="D794" s="5" t="s">
        <v>35</v>
      </c>
      <c r="E794" s="5" t="s">
        <v>45</v>
      </c>
      <c r="F794" s="5" t="s">
        <v>39</v>
      </c>
      <c r="G794" s="5">
        <v>2</v>
      </c>
      <c r="H794" s="5" t="s">
        <v>47</v>
      </c>
      <c r="I794" s="5" t="s">
        <v>41</v>
      </c>
      <c r="J794" s="7">
        <v>4508</v>
      </c>
      <c r="K794" s="7">
        <f t="shared" si="134"/>
        <v>676.19999999999993</v>
      </c>
      <c r="L794" s="7">
        <f t="shared" si="135"/>
        <v>3831.8</v>
      </c>
      <c r="M794" s="7">
        <v>3129</v>
      </c>
      <c r="N794" s="5" t="s">
        <v>43</v>
      </c>
      <c r="O794" s="5">
        <v>22</v>
      </c>
      <c r="P794" s="7">
        <f t="shared" si="136"/>
        <v>5499.76</v>
      </c>
      <c r="Q794" s="7">
        <f t="shared" si="137"/>
        <v>11901.120000000003</v>
      </c>
      <c r="R794" s="7" t="str">
        <f t="shared" si="138"/>
        <v>Normal</v>
      </c>
      <c r="S794" s="5">
        <v>4</v>
      </c>
      <c r="T794" s="5">
        <v>3</v>
      </c>
      <c r="U794" s="5" t="str" cm="1">
        <f t="array" ref="U794">_xlfn.IFS(T794=1,"Poor",T794=2,"Fair",T794=3,"Good",T794=4,"Excellent")</f>
        <v>Good</v>
      </c>
      <c r="V794" s="5" t="s">
        <v>43</v>
      </c>
      <c r="W794" s="5">
        <v>13</v>
      </c>
      <c r="X794" s="28">
        <f t="shared" ca="1" si="139"/>
        <v>41363</v>
      </c>
      <c r="Y794" s="28">
        <f t="shared" ca="1" si="140"/>
        <v>46476</v>
      </c>
      <c r="Z794" s="28" t="str">
        <f t="shared" ca="1" si="141"/>
        <v>Due Soon</v>
      </c>
      <c r="AA794" s="5" t="str" cm="1">
        <f t="array" ref="AA794">_xlfn.IFS(W794&gt;10,"Veteran",W794&gt;=6,"Experienced",W794&gt;=2,"Developing",W794&gt;=0,"New")</f>
        <v>Veteran</v>
      </c>
      <c r="AB794" s="5" t="str" cm="1">
        <f t="array" ref="AB794">_xlfn.IFS(G794=1,"Junior",G794=2,"Mid-Level",G794=3,"Senior",G794=4,"Lead",G794=5,"Principal")&amp;" "&amp;TRIM(PROPER(H794))</f>
        <v>Mid-Level Research Scientist</v>
      </c>
      <c r="AC794" s="19" t="str">
        <f t="shared" ca="1" si="142"/>
        <v>Re-Res-2013-793 is a Mid-Level Research Scientist in the Research &amp; Development department, aged 33, single and has been with the Company for 13years</v>
      </c>
    </row>
    <row r="795" spans="1:29">
      <c r="A795" s="18" t="str">
        <f t="shared" ca="1" si="132"/>
        <v>La-Res-2022-794</v>
      </c>
      <c r="B795" s="5">
        <v>28</v>
      </c>
      <c r="C795" s="5" t="str">
        <f t="shared" si="133"/>
        <v>20-29</v>
      </c>
      <c r="D795" s="5" t="s">
        <v>43</v>
      </c>
      <c r="E795" s="5" t="s">
        <v>45</v>
      </c>
      <c r="F795" s="5" t="s">
        <v>46</v>
      </c>
      <c r="G795" s="5">
        <v>1</v>
      </c>
      <c r="H795" s="5" t="s">
        <v>50</v>
      </c>
      <c r="I795" s="5" t="s">
        <v>52</v>
      </c>
      <c r="J795" s="7">
        <v>2207</v>
      </c>
      <c r="K795" s="7">
        <f t="shared" si="134"/>
        <v>154.49</v>
      </c>
      <c r="L795" s="7">
        <f t="shared" si="135"/>
        <v>2052.5100000000002</v>
      </c>
      <c r="M795" s="7">
        <v>22482</v>
      </c>
      <c r="N795" s="5" t="s">
        <v>43</v>
      </c>
      <c r="O795" s="5">
        <v>16</v>
      </c>
      <c r="P795" s="7">
        <f t="shared" si="136"/>
        <v>2560.12</v>
      </c>
      <c r="Q795" s="7">
        <f t="shared" si="137"/>
        <v>4237.4399999999987</v>
      </c>
      <c r="R795" s="7" t="str">
        <f t="shared" si="138"/>
        <v>Normal</v>
      </c>
      <c r="S795" s="5">
        <v>3</v>
      </c>
      <c r="T795" s="5">
        <v>2</v>
      </c>
      <c r="U795" s="5" t="str" cm="1">
        <f t="array" ref="U795">_xlfn.IFS(T795=1,"Poor",T795=2,"Fair",T795=3,"Good",T795=4,"Excellent")</f>
        <v>Fair</v>
      </c>
      <c r="V795" s="5" t="s">
        <v>43</v>
      </c>
      <c r="W795" s="5">
        <v>4</v>
      </c>
      <c r="X795" s="28">
        <f t="shared" ca="1" si="139"/>
        <v>44650</v>
      </c>
      <c r="Y795" s="28">
        <f t="shared" ca="1" si="140"/>
        <v>46842</v>
      </c>
      <c r="Z795" s="28" t="str">
        <f t="shared" ca="1" si="141"/>
        <v>Upcoming</v>
      </c>
      <c r="AA795" s="5" t="str" cm="1">
        <f t="array" ref="AA795">_xlfn.IFS(W795&gt;10,"Veteran",W795&gt;=6,"Experienced",W795&gt;=2,"Developing",W795&gt;=0,"New")</f>
        <v>Developing</v>
      </c>
      <c r="AB795" s="5" t="str" cm="1">
        <f t="array" ref="AB795">_xlfn.IFS(G795=1,"Junior",G795=2,"Mid-Level",G795=3,"Senior",G795=4,"Lead",G795=5,"Principal")&amp;" "&amp;TRIM(PROPER(H795))</f>
        <v>Junior Laboratory Technician</v>
      </c>
      <c r="AC795" s="19" t="str">
        <f t="shared" ca="1" si="142"/>
        <v>La-Res-2022-794 is a Junior Laboratory Technician in the Research &amp; Development department, aged 28, divorced and has been with the Company for 4years</v>
      </c>
    </row>
    <row r="796" spans="1:29">
      <c r="A796" s="18" t="str">
        <f t="shared" ca="1" si="132"/>
        <v>He-Res-2020-795</v>
      </c>
      <c r="B796" s="5">
        <v>34</v>
      </c>
      <c r="C796" s="5" t="str">
        <f t="shared" si="133"/>
        <v>30-39</v>
      </c>
      <c r="D796" s="5" t="s">
        <v>43</v>
      </c>
      <c r="E796" s="5" t="s">
        <v>45</v>
      </c>
      <c r="F796" s="5" t="s">
        <v>46</v>
      </c>
      <c r="G796" s="5">
        <v>2</v>
      </c>
      <c r="H796" s="5" t="s">
        <v>54</v>
      </c>
      <c r="I796" s="5" t="s">
        <v>41</v>
      </c>
      <c r="J796" s="7">
        <v>7756</v>
      </c>
      <c r="K796" s="7">
        <f t="shared" si="134"/>
        <v>1706.32</v>
      </c>
      <c r="L796" s="7">
        <f t="shared" si="135"/>
        <v>6049.68</v>
      </c>
      <c r="M796" s="7">
        <v>22266</v>
      </c>
      <c r="N796" s="5" t="s">
        <v>43</v>
      </c>
      <c r="O796" s="5">
        <v>17</v>
      </c>
      <c r="P796" s="7">
        <f t="shared" si="136"/>
        <v>9074.5199999999986</v>
      </c>
      <c r="Q796" s="7">
        <f t="shared" si="137"/>
        <v>15822.239999999983</v>
      </c>
      <c r="R796" s="7" t="str">
        <f t="shared" si="138"/>
        <v>Normal</v>
      </c>
      <c r="S796" s="5">
        <v>3</v>
      </c>
      <c r="T796" s="5">
        <v>2</v>
      </c>
      <c r="U796" s="5" t="str" cm="1">
        <f t="array" ref="U796">_xlfn.IFS(T796=1,"Poor",T796=2,"Fair",T796=3,"Good",T796=4,"Excellent")</f>
        <v>Fair</v>
      </c>
      <c r="V796" s="5" t="s">
        <v>43</v>
      </c>
      <c r="W796" s="5">
        <v>6</v>
      </c>
      <c r="X796" s="28">
        <f t="shared" ca="1" si="139"/>
        <v>43920</v>
      </c>
      <c r="Y796" s="28">
        <f t="shared" ca="1" si="140"/>
        <v>46842</v>
      </c>
      <c r="Z796" s="28" t="str">
        <f t="shared" ca="1" si="141"/>
        <v>Upcoming</v>
      </c>
      <c r="AA796" s="5" t="str" cm="1">
        <f t="array" ref="AA796">_xlfn.IFS(W796&gt;10,"Veteran",W796&gt;=6,"Experienced",W796&gt;=2,"Developing",W796&gt;=0,"New")</f>
        <v>Experienced</v>
      </c>
      <c r="AB796" s="5" t="str" cm="1">
        <f t="array" ref="AB796">_xlfn.IFS(G796=1,"Junior",G796=2,"Mid-Level",G796=3,"Senior",G796=4,"Lead",G796=5,"Principal")&amp;" "&amp;TRIM(PROPER(H796))</f>
        <v>Mid-Level Healthcare Representative</v>
      </c>
      <c r="AC796" s="19" t="str">
        <f t="shared" ca="1" si="142"/>
        <v>He-Res-2020-795 is a Mid-Level Healthcare Representative in the Research &amp; Development department, aged 34, single and has been with the Company for 6years</v>
      </c>
    </row>
    <row r="797" spans="1:29">
      <c r="A797" s="18" t="str">
        <f t="shared" ca="1" si="132"/>
        <v>Sa-Sal-2025-796</v>
      </c>
      <c r="B797" s="5">
        <v>37</v>
      </c>
      <c r="C797" s="5" t="str">
        <f t="shared" si="133"/>
        <v>30-39</v>
      </c>
      <c r="D797" s="5" t="s">
        <v>43</v>
      </c>
      <c r="E797" s="5" t="s">
        <v>37</v>
      </c>
      <c r="F797" s="5" t="s">
        <v>39</v>
      </c>
      <c r="G797" s="5">
        <v>2</v>
      </c>
      <c r="H797" s="5" t="s">
        <v>40</v>
      </c>
      <c r="I797" s="5" t="s">
        <v>52</v>
      </c>
      <c r="J797" s="7">
        <v>6694</v>
      </c>
      <c r="K797" s="7">
        <f t="shared" si="134"/>
        <v>1004.0999999999999</v>
      </c>
      <c r="L797" s="7">
        <f t="shared" si="135"/>
        <v>5689.9</v>
      </c>
      <c r="M797" s="7">
        <v>24223</v>
      </c>
      <c r="N797" s="5" t="s">
        <v>35</v>
      </c>
      <c r="O797" s="5">
        <v>14</v>
      </c>
      <c r="P797" s="7">
        <f t="shared" si="136"/>
        <v>7631.1600000000008</v>
      </c>
      <c r="Q797" s="7">
        <f t="shared" si="137"/>
        <v>11245.920000000009</v>
      </c>
      <c r="R797" s="7" t="str">
        <f t="shared" si="138"/>
        <v>Normal</v>
      </c>
      <c r="S797" s="5">
        <v>3</v>
      </c>
      <c r="T797" s="5">
        <v>3</v>
      </c>
      <c r="U797" s="5" t="str" cm="1">
        <f t="array" ref="U797">_xlfn.IFS(T797=1,"Poor",T797=2,"Fair",T797=3,"Good",T797=4,"Excellent")</f>
        <v>Good</v>
      </c>
      <c r="V797" s="5" t="s">
        <v>35</v>
      </c>
      <c r="W797" s="5">
        <v>1</v>
      </c>
      <c r="X797" s="28">
        <f t="shared" ca="1" si="139"/>
        <v>45746</v>
      </c>
      <c r="Y797" s="28">
        <f t="shared" ca="1" si="140"/>
        <v>46476</v>
      </c>
      <c r="Z797" s="28" t="str">
        <f t="shared" ca="1" si="141"/>
        <v>Due Soon</v>
      </c>
      <c r="AA797" s="5" t="str" cm="1">
        <f t="array" ref="AA797">_xlfn.IFS(W797&gt;10,"Veteran",W797&gt;=6,"Experienced",W797&gt;=2,"Developing",W797&gt;=0,"New")</f>
        <v>New</v>
      </c>
      <c r="AB797" s="5" t="str" cm="1">
        <f t="array" ref="AB797">_xlfn.IFS(G797=1,"Junior",G797=2,"Mid-Level",G797=3,"Senior",G797=4,"Lead",G797=5,"Principal")&amp;" "&amp;TRIM(PROPER(H797))</f>
        <v>Mid-Level Sales Executive</v>
      </c>
      <c r="AC797" s="19" t="str">
        <f t="shared" ca="1" si="142"/>
        <v>Sa-Sal-2025-796 is a Mid-Level Sales Executive in the Sales department, aged 37, divorced and has been with the Company for 1years</v>
      </c>
    </row>
    <row r="798" spans="1:29">
      <c r="A798" s="18" t="str">
        <f t="shared" ca="1" si="132"/>
        <v>La-Res-2019-797</v>
      </c>
      <c r="B798" s="5">
        <v>25</v>
      </c>
      <c r="C798" s="5" t="str">
        <f t="shared" si="133"/>
        <v>20-29</v>
      </c>
      <c r="D798" s="5" t="s">
        <v>35</v>
      </c>
      <c r="E798" s="5" t="s">
        <v>45</v>
      </c>
      <c r="F798" s="5" t="s">
        <v>46</v>
      </c>
      <c r="G798" s="5">
        <v>1</v>
      </c>
      <c r="H798" s="5" t="s">
        <v>50</v>
      </c>
      <c r="I798" s="5" t="s">
        <v>48</v>
      </c>
      <c r="J798" s="7">
        <v>3691</v>
      </c>
      <c r="K798" s="7">
        <f t="shared" si="134"/>
        <v>553.65</v>
      </c>
      <c r="L798" s="7">
        <f t="shared" si="135"/>
        <v>3137.35</v>
      </c>
      <c r="M798" s="7">
        <v>4605</v>
      </c>
      <c r="N798" s="5" t="s">
        <v>35</v>
      </c>
      <c r="O798" s="5">
        <v>15</v>
      </c>
      <c r="P798" s="7">
        <f t="shared" si="136"/>
        <v>4244.6499999999996</v>
      </c>
      <c r="Q798" s="7">
        <f t="shared" si="137"/>
        <v>6643.7999999999956</v>
      </c>
      <c r="R798" s="7" t="str">
        <f t="shared" si="138"/>
        <v>Normal</v>
      </c>
      <c r="S798" s="5">
        <v>3</v>
      </c>
      <c r="T798" s="5">
        <v>4</v>
      </c>
      <c r="U798" s="5" t="str" cm="1">
        <f t="array" ref="U798">_xlfn.IFS(T798=1,"Poor",T798=2,"Fair",T798=3,"Good",T798=4,"Excellent")</f>
        <v>Excellent</v>
      </c>
      <c r="V798" s="5" t="s">
        <v>35</v>
      </c>
      <c r="W798" s="5">
        <v>7</v>
      </c>
      <c r="X798" s="28">
        <f t="shared" ca="1" si="139"/>
        <v>43554</v>
      </c>
      <c r="Y798" s="28">
        <f t="shared" ca="1" si="140"/>
        <v>46476</v>
      </c>
      <c r="Z798" s="28" t="str">
        <f t="shared" ca="1" si="141"/>
        <v>Due Soon</v>
      </c>
      <c r="AA798" s="5" t="str" cm="1">
        <f t="array" ref="AA798">_xlfn.IFS(W798&gt;10,"Veteran",W798&gt;=6,"Experienced",W798&gt;=2,"Developing",W798&gt;=0,"New")</f>
        <v>Experienced</v>
      </c>
      <c r="AB798" s="5" t="str" cm="1">
        <f t="array" ref="AB798">_xlfn.IFS(G798=1,"Junior",G798=2,"Mid-Level",G798=3,"Senior",G798=4,"Lead",G798=5,"Principal")&amp;" "&amp;TRIM(PROPER(H798))</f>
        <v>Junior Laboratory Technician</v>
      </c>
      <c r="AC798" s="19" t="str">
        <f t="shared" ca="1" si="142"/>
        <v>La-Res-2019-797 is a Junior Laboratory Technician in the Research &amp; Development department, aged 25, married and has been with the Company for 7years</v>
      </c>
    </row>
    <row r="799" spans="1:29">
      <c r="A799" s="18" t="str">
        <f t="shared" ca="1" si="132"/>
        <v>La-Res-2025-798</v>
      </c>
      <c r="B799" s="5">
        <v>26</v>
      </c>
      <c r="C799" s="5" t="str">
        <f t="shared" si="133"/>
        <v>20-29</v>
      </c>
      <c r="D799" s="5" t="s">
        <v>35</v>
      </c>
      <c r="E799" s="5" t="s">
        <v>45</v>
      </c>
      <c r="F799" s="5" t="s">
        <v>46</v>
      </c>
      <c r="G799" s="5">
        <v>1</v>
      </c>
      <c r="H799" s="5" t="s">
        <v>50</v>
      </c>
      <c r="I799" s="5" t="s">
        <v>52</v>
      </c>
      <c r="J799" s="7">
        <v>2377</v>
      </c>
      <c r="K799" s="7">
        <f t="shared" si="134"/>
        <v>166.39000000000001</v>
      </c>
      <c r="L799" s="7">
        <f t="shared" si="135"/>
        <v>2210.61</v>
      </c>
      <c r="M799" s="7">
        <v>19373</v>
      </c>
      <c r="N799" s="5" t="s">
        <v>43</v>
      </c>
      <c r="O799" s="5">
        <v>20</v>
      </c>
      <c r="P799" s="7">
        <f t="shared" si="136"/>
        <v>2852.4</v>
      </c>
      <c r="Q799" s="7">
        <f t="shared" si="137"/>
        <v>5704.8000000000011</v>
      </c>
      <c r="R799" s="7" t="str">
        <f t="shared" si="138"/>
        <v>Normal</v>
      </c>
      <c r="S799" s="5">
        <v>4</v>
      </c>
      <c r="T799" s="5">
        <v>2</v>
      </c>
      <c r="U799" s="5" t="str" cm="1">
        <f t="array" ref="U799">_xlfn.IFS(T799=1,"Poor",T799=2,"Fair",T799=3,"Good",T799=4,"Excellent")</f>
        <v>Fair</v>
      </c>
      <c r="V799" s="5" t="s">
        <v>43</v>
      </c>
      <c r="W799" s="5">
        <v>1</v>
      </c>
      <c r="X799" s="28">
        <f t="shared" ca="1" si="139"/>
        <v>45746</v>
      </c>
      <c r="Y799" s="28">
        <f t="shared" ca="1" si="140"/>
        <v>46476</v>
      </c>
      <c r="Z799" s="28" t="str">
        <f t="shared" ca="1" si="141"/>
        <v>Due Soon</v>
      </c>
      <c r="AA799" s="5" t="str" cm="1">
        <f t="array" ref="AA799">_xlfn.IFS(W799&gt;10,"Veteran",W799&gt;=6,"Experienced",W799&gt;=2,"Developing",W799&gt;=0,"New")</f>
        <v>New</v>
      </c>
      <c r="AB799" s="5" t="str" cm="1">
        <f t="array" ref="AB799">_xlfn.IFS(G799=1,"Junior",G799=2,"Mid-Level",G799=3,"Senior",G799=4,"Lead",G799=5,"Principal")&amp;" "&amp;TRIM(PROPER(H799))</f>
        <v>Junior Laboratory Technician</v>
      </c>
      <c r="AC799" s="19" t="str">
        <f t="shared" ca="1" si="142"/>
        <v>La-Res-2025-798 is a Junior Laboratory Technician in the Research &amp; Development department, aged 26, divorced and has been with the Company for 1years</v>
      </c>
    </row>
    <row r="800" spans="1:29">
      <c r="A800" s="18" t="str">
        <f t="shared" ca="1" si="132"/>
        <v>Re-Res-2024-799</v>
      </c>
      <c r="B800" s="5">
        <v>33</v>
      </c>
      <c r="C800" s="5" t="str">
        <f t="shared" si="133"/>
        <v>30-39</v>
      </c>
      <c r="D800" s="5" t="s">
        <v>35</v>
      </c>
      <c r="E800" s="5" t="s">
        <v>45</v>
      </c>
      <c r="F800" s="5" t="s">
        <v>46</v>
      </c>
      <c r="G800" s="5">
        <v>1</v>
      </c>
      <c r="H800" s="5" t="s">
        <v>47</v>
      </c>
      <c r="I800" s="5" t="s">
        <v>41</v>
      </c>
      <c r="J800" s="7">
        <v>2313</v>
      </c>
      <c r="K800" s="7">
        <f t="shared" si="134"/>
        <v>161.91000000000003</v>
      </c>
      <c r="L800" s="7">
        <f t="shared" si="135"/>
        <v>2151.09</v>
      </c>
      <c r="M800" s="7">
        <v>2993</v>
      </c>
      <c r="N800" s="5" t="s">
        <v>35</v>
      </c>
      <c r="O800" s="5">
        <v>20</v>
      </c>
      <c r="P800" s="7">
        <f t="shared" si="136"/>
        <v>2775.6</v>
      </c>
      <c r="Q800" s="7">
        <f t="shared" si="137"/>
        <v>5551.1999999999989</v>
      </c>
      <c r="R800" s="7" t="str">
        <f t="shared" si="138"/>
        <v>Normal</v>
      </c>
      <c r="S800" s="5">
        <v>4</v>
      </c>
      <c r="T800" s="5">
        <v>3</v>
      </c>
      <c r="U800" s="5" t="str" cm="1">
        <f t="array" ref="U800">_xlfn.IFS(T800=1,"Poor",T800=2,"Fair",T800=3,"Good",T800=4,"Excellent")</f>
        <v>Good</v>
      </c>
      <c r="V800" s="5" t="s">
        <v>35</v>
      </c>
      <c r="W800" s="5">
        <v>2</v>
      </c>
      <c r="X800" s="28">
        <f t="shared" ca="1" si="139"/>
        <v>45381</v>
      </c>
      <c r="Y800" s="28">
        <f t="shared" ca="1" si="140"/>
        <v>46842</v>
      </c>
      <c r="Z800" s="28" t="str">
        <f t="shared" ca="1" si="141"/>
        <v>Upcoming</v>
      </c>
      <c r="AA800" s="5" t="str" cm="1">
        <f t="array" ref="AA800">_xlfn.IFS(W800&gt;10,"Veteran",W800&gt;=6,"Experienced",W800&gt;=2,"Developing",W800&gt;=0,"New")</f>
        <v>Developing</v>
      </c>
      <c r="AB800" s="5" t="str" cm="1">
        <f t="array" ref="AB800">_xlfn.IFS(G800=1,"Junior",G800=2,"Mid-Level",G800=3,"Senior",G800=4,"Lead",G800=5,"Principal")&amp;" "&amp;TRIM(PROPER(H800))</f>
        <v>Junior Research Scientist</v>
      </c>
      <c r="AC800" s="19" t="str">
        <f t="shared" ca="1" si="142"/>
        <v>Re-Res-2024-799 is a Junior Research Scientist in the Research &amp; Development department, aged 33, single and has been with the Company for 2years</v>
      </c>
    </row>
    <row r="801" spans="1:29">
      <c r="A801" s="18" t="str">
        <f t="shared" ca="1" si="132"/>
        <v>Ma-Res-2004-800</v>
      </c>
      <c r="B801" s="5">
        <v>42</v>
      </c>
      <c r="C801" s="5" t="str">
        <f t="shared" si="133"/>
        <v>40-49</v>
      </c>
      <c r="D801" s="5" t="s">
        <v>43</v>
      </c>
      <c r="E801" s="5" t="s">
        <v>45</v>
      </c>
      <c r="F801" s="5" t="s">
        <v>46</v>
      </c>
      <c r="G801" s="5">
        <v>4</v>
      </c>
      <c r="H801" s="5" t="s">
        <v>56</v>
      </c>
      <c r="I801" s="5" t="s">
        <v>48</v>
      </c>
      <c r="J801" s="7">
        <v>17665</v>
      </c>
      <c r="K801" s="7">
        <f t="shared" si="134"/>
        <v>5299.5</v>
      </c>
      <c r="L801" s="7">
        <f t="shared" si="135"/>
        <v>12365.5</v>
      </c>
      <c r="M801" s="7">
        <v>14399</v>
      </c>
      <c r="N801" s="5" t="s">
        <v>43</v>
      </c>
      <c r="O801" s="5">
        <v>17</v>
      </c>
      <c r="P801" s="7">
        <f t="shared" si="136"/>
        <v>20668.05</v>
      </c>
      <c r="Q801" s="7">
        <f t="shared" si="137"/>
        <v>36036.599999999991</v>
      </c>
      <c r="R801" s="7" t="str">
        <f t="shared" si="138"/>
        <v>Normal</v>
      </c>
      <c r="S801" s="5">
        <v>3</v>
      </c>
      <c r="T801" s="5">
        <v>3</v>
      </c>
      <c r="U801" s="5" t="str" cm="1">
        <f t="array" ref="U801">_xlfn.IFS(T801=1,"Poor",T801=2,"Fair",T801=3,"Good",T801=4,"Excellent")</f>
        <v>Good</v>
      </c>
      <c r="V801" s="5" t="s">
        <v>43</v>
      </c>
      <c r="W801" s="5">
        <v>22</v>
      </c>
      <c r="X801" s="28">
        <f t="shared" ca="1" si="139"/>
        <v>38076</v>
      </c>
      <c r="Y801" s="28">
        <f t="shared" ca="1" si="140"/>
        <v>46842</v>
      </c>
      <c r="Z801" s="28" t="str">
        <f t="shared" ca="1" si="141"/>
        <v>Upcoming</v>
      </c>
      <c r="AA801" s="5" t="str" cm="1">
        <f t="array" ref="AA801">_xlfn.IFS(W801&gt;10,"Veteran",W801&gt;=6,"Experienced",W801&gt;=2,"Developing",W801&gt;=0,"New")</f>
        <v>Veteran</v>
      </c>
      <c r="AB801" s="5" t="str" cm="1">
        <f t="array" ref="AB801">_xlfn.IFS(G801=1,"Junior",G801=2,"Mid-Level",G801=3,"Senior",G801=4,"Lead",G801=5,"Principal")&amp;" "&amp;TRIM(PROPER(H801))</f>
        <v>Lead Manager</v>
      </c>
      <c r="AC801" s="19" t="str">
        <f t="shared" ca="1" si="142"/>
        <v>Ma-Res-2004-800 is a Lead Manager in the Research &amp; Development department, aged 42, married and has been with the Company for 22years</v>
      </c>
    </row>
    <row r="802" spans="1:29">
      <c r="A802" s="18" t="str">
        <f t="shared" ca="1" si="132"/>
        <v>La-Res-2025-801</v>
      </c>
      <c r="B802" s="5">
        <v>28</v>
      </c>
      <c r="C802" s="5" t="str">
        <f t="shared" si="133"/>
        <v>20-29</v>
      </c>
      <c r="D802" s="5" t="s">
        <v>35</v>
      </c>
      <c r="E802" s="5" t="s">
        <v>45</v>
      </c>
      <c r="F802" s="5" t="s">
        <v>46</v>
      </c>
      <c r="G802" s="5">
        <v>1</v>
      </c>
      <c r="H802" s="5" t="s">
        <v>50</v>
      </c>
      <c r="I802" s="5" t="s">
        <v>52</v>
      </c>
      <c r="J802" s="7">
        <v>2596</v>
      </c>
      <c r="K802" s="7">
        <f t="shared" si="134"/>
        <v>181.72000000000003</v>
      </c>
      <c r="L802" s="7">
        <f t="shared" si="135"/>
        <v>2414.2799999999997</v>
      </c>
      <c r="M802" s="7">
        <v>7160</v>
      </c>
      <c r="N802" s="5" t="s">
        <v>43</v>
      </c>
      <c r="O802" s="5">
        <v>15</v>
      </c>
      <c r="P802" s="7">
        <f t="shared" si="136"/>
        <v>2985.3999999999996</v>
      </c>
      <c r="Q802" s="7">
        <f t="shared" si="137"/>
        <v>4672.7999999999956</v>
      </c>
      <c r="R802" s="7" t="str">
        <f t="shared" si="138"/>
        <v>Normal</v>
      </c>
      <c r="S802" s="5">
        <v>3</v>
      </c>
      <c r="T802" s="5">
        <v>3</v>
      </c>
      <c r="U802" s="5" t="str" cm="1">
        <f t="array" ref="U802">_xlfn.IFS(T802=1,"Poor",T802=2,"Fair",T802=3,"Good",T802=4,"Excellent")</f>
        <v>Good</v>
      </c>
      <c r="V802" s="5" t="s">
        <v>43</v>
      </c>
      <c r="W802" s="5">
        <v>1</v>
      </c>
      <c r="X802" s="28">
        <f t="shared" ca="1" si="139"/>
        <v>45746</v>
      </c>
      <c r="Y802" s="28">
        <f t="shared" ca="1" si="140"/>
        <v>46476</v>
      </c>
      <c r="Z802" s="28" t="str">
        <f t="shared" ca="1" si="141"/>
        <v>Due Soon</v>
      </c>
      <c r="AA802" s="5" t="str" cm="1">
        <f t="array" ref="AA802">_xlfn.IFS(W802&gt;10,"Veteran",W802&gt;=6,"Experienced",W802&gt;=2,"Developing",W802&gt;=0,"New")</f>
        <v>New</v>
      </c>
      <c r="AB802" s="5" t="str" cm="1">
        <f t="array" ref="AB802">_xlfn.IFS(G802=1,"Junior",G802=2,"Mid-Level",G802=3,"Senior",G802=4,"Lead",G802=5,"Principal")&amp;" "&amp;TRIM(PROPER(H802))</f>
        <v>Junior Laboratory Technician</v>
      </c>
      <c r="AC802" s="19" t="str">
        <f t="shared" ca="1" si="142"/>
        <v>La-Res-2025-801 is a Junior Laboratory Technician in the Research &amp; Development department, aged 28, divorced and has been with the Company for 1years</v>
      </c>
    </row>
    <row r="803" spans="1:29">
      <c r="A803" s="18" t="str">
        <f t="shared" ca="1" si="132"/>
        <v>Sa-Sal-2026-802</v>
      </c>
      <c r="B803" s="5">
        <v>50</v>
      </c>
      <c r="C803" s="5" t="str">
        <f t="shared" si="133"/>
        <v>50+</v>
      </c>
      <c r="D803" s="5" t="s">
        <v>35</v>
      </c>
      <c r="E803" s="5" t="s">
        <v>37</v>
      </c>
      <c r="F803" s="5" t="s">
        <v>46</v>
      </c>
      <c r="G803" s="5">
        <v>2</v>
      </c>
      <c r="H803" s="5" t="s">
        <v>40</v>
      </c>
      <c r="I803" s="5" t="s">
        <v>41</v>
      </c>
      <c r="J803" s="7">
        <v>4728</v>
      </c>
      <c r="K803" s="7">
        <f t="shared" si="134"/>
        <v>709.19999999999993</v>
      </c>
      <c r="L803" s="7">
        <f t="shared" si="135"/>
        <v>4018.8</v>
      </c>
      <c r="M803" s="7">
        <v>17251</v>
      </c>
      <c r="N803" s="5" t="s">
        <v>35</v>
      </c>
      <c r="O803" s="5">
        <v>14</v>
      </c>
      <c r="P803" s="7">
        <f t="shared" si="136"/>
        <v>5389.920000000001</v>
      </c>
      <c r="Q803" s="7">
        <f t="shared" si="137"/>
        <v>7943.0400000000118</v>
      </c>
      <c r="R803" s="7" t="str">
        <f t="shared" si="138"/>
        <v>Normal</v>
      </c>
      <c r="S803" s="5">
        <v>3</v>
      </c>
      <c r="T803" s="5">
        <v>3</v>
      </c>
      <c r="U803" s="5" t="str" cm="1">
        <f t="array" ref="U803">_xlfn.IFS(T803=1,"Poor",T803=2,"Fair",T803=3,"Good",T803=4,"Excellent")</f>
        <v>Good</v>
      </c>
      <c r="V803" s="5" t="s">
        <v>35</v>
      </c>
      <c r="W803" s="5">
        <v>0</v>
      </c>
      <c r="X803" s="28">
        <f t="shared" ca="1" si="139"/>
        <v>46111</v>
      </c>
      <c r="Y803" s="28">
        <f t="shared" ca="1" si="140"/>
        <v>46842</v>
      </c>
      <c r="Z803" s="28" t="str">
        <f t="shared" ca="1" si="141"/>
        <v>Upcoming</v>
      </c>
      <c r="AA803" s="5" t="str" cm="1">
        <f t="array" ref="AA803">_xlfn.IFS(W803&gt;10,"Veteran",W803&gt;=6,"Experienced",W803&gt;=2,"Developing",W803&gt;=0,"New")</f>
        <v>New</v>
      </c>
      <c r="AB803" s="5" t="str" cm="1">
        <f t="array" ref="AB803">_xlfn.IFS(G803=1,"Junior",G803=2,"Mid-Level",G803=3,"Senior",G803=4,"Lead",G803=5,"Principal")&amp;" "&amp;TRIM(PROPER(H803))</f>
        <v>Mid-Level Sales Executive</v>
      </c>
      <c r="AC803" s="19" t="str">
        <f t="shared" ca="1" si="142"/>
        <v>Sa-Sal-2026-802 is a Mid-Level Sales Executive in the Sales department, aged 50, single and has been with the Company for 0years</v>
      </c>
    </row>
    <row r="804" spans="1:29">
      <c r="A804" s="18" t="str">
        <f t="shared" ca="1" si="132"/>
        <v>Sa-Sal-2023-803</v>
      </c>
      <c r="B804" s="5">
        <v>33</v>
      </c>
      <c r="C804" s="5" t="str">
        <f t="shared" si="133"/>
        <v>30-39</v>
      </c>
      <c r="D804" s="5" t="s">
        <v>43</v>
      </c>
      <c r="E804" s="5" t="s">
        <v>37</v>
      </c>
      <c r="F804" s="5" t="s">
        <v>39</v>
      </c>
      <c r="G804" s="5">
        <v>2</v>
      </c>
      <c r="H804" s="5" t="s">
        <v>40</v>
      </c>
      <c r="I804" s="5" t="s">
        <v>48</v>
      </c>
      <c r="J804" s="7">
        <v>4302</v>
      </c>
      <c r="K804" s="7">
        <f t="shared" si="134"/>
        <v>645.29999999999995</v>
      </c>
      <c r="L804" s="7">
        <f t="shared" si="135"/>
        <v>3656.7</v>
      </c>
      <c r="M804" s="7">
        <v>13401</v>
      </c>
      <c r="N804" s="5" t="s">
        <v>43</v>
      </c>
      <c r="O804" s="5">
        <v>17</v>
      </c>
      <c r="P804" s="7">
        <f t="shared" si="136"/>
        <v>5033.34</v>
      </c>
      <c r="Q804" s="7">
        <f t="shared" si="137"/>
        <v>8776.0800000000017</v>
      </c>
      <c r="R804" s="7" t="str">
        <f t="shared" si="138"/>
        <v>Normal</v>
      </c>
      <c r="S804" s="5">
        <v>3</v>
      </c>
      <c r="T804" s="5">
        <v>3</v>
      </c>
      <c r="U804" s="5" t="str" cm="1">
        <f t="array" ref="U804">_xlfn.IFS(T804=1,"Poor",T804=2,"Fair",T804=3,"Good",T804=4,"Excellent")</f>
        <v>Good</v>
      </c>
      <c r="V804" s="5" t="s">
        <v>43</v>
      </c>
      <c r="W804" s="5">
        <v>3</v>
      </c>
      <c r="X804" s="28">
        <f t="shared" ca="1" si="139"/>
        <v>45015</v>
      </c>
      <c r="Y804" s="28">
        <f t="shared" ca="1" si="140"/>
        <v>46476</v>
      </c>
      <c r="Z804" s="28" t="str">
        <f t="shared" ca="1" si="141"/>
        <v>Due Soon</v>
      </c>
      <c r="AA804" s="5" t="str" cm="1">
        <f t="array" ref="AA804">_xlfn.IFS(W804&gt;10,"Veteran",W804&gt;=6,"Experienced",W804&gt;=2,"Developing",W804&gt;=0,"New")</f>
        <v>Developing</v>
      </c>
      <c r="AB804" s="5" t="str" cm="1">
        <f t="array" ref="AB804">_xlfn.IFS(G804=1,"Junior",G804=2,"Mid-Level",G804=3,"Senior",G804=4,"Lead",G804=5,"Principal")&amp;" "&amp;TRIM(PROPER(H804))</f>
        <v>Mid-Level Sales Executive</v>
      </c>
      <c r="AC804" s="19" t="str">
        <f t="shared" ca="1" si="142"/>
        <v>Sa-Sal-2023-803 is a Mid-Level Sales Executive in the Sales department, aged 33, married and has been with the Company for 3years</v>
      </c>
    </row>
    <row r="805" spans="1:29">
      <c r="A805" s="18" t="str">
        <f t="shared" ca="1" si="132"/>
        <v>Re-Res-2026-804</v>
      </c>
      <c r="B805" s="5">
        <v>34</v>
      </c>
      <c r="C805" s="5" t="str">
        <f t="shared" si="133"/>
        <v>30-39</v>
      </c>
      <c r="D805" s="5" t="s">
        <v>43</v>
      </c>
      <c r="E805" s="5" t="s">
        <v>45</v>
      </c>
      <c r="F805" s="5" t="s">
        <v>46</v>
      </c>
      <c r="G805" s="5">
        <v>1</v>
      </c>
      <c r="H805" s="5" t="s">
        <v>47</v>
      </c>
      <c r="I805" s="5" t="s">
        <v>48</v>
      </c>
      <c r="J805" s="7">
        <v>2979</v>
      </c>
      <c r="K805" s="7">
        <f t="shared" si="134"/>
        <v>208.53000000000003</v>
      </c>
      <c r="L805" s="7">
        <f t="shared" si="135"/>
        <v>2770.47</v>
      </c>
      <c r="M805" s="7">
        <v>22478</v>
      </c>
      <c r="N805" s="5" t="s">
        <v>43</v>
      </c>
      <c r="O805" s="5">
        <v>17</v>
      </c>
      <c r="P805" s="7">
        <f t="shared" si="136"/>
        <v>3485.43</v>
      </c>
      <c r="Q805" s="7">
        <f t="shared" si="137"/>
        <v>6077.159999999998</v>
      </c>
      <c r="R805" s="7" t="str">
        <f t="shared" si="138"/>
        <v>Normal</v>
      </c>
      <c r="S805" s="5">
        <v>3</v>
      </c>
      <c r="T805" s="5">
        <v>3</v>
      </c>
      <c r="U805" s="5" t="str" cm="1">
        <f t="array" ref="U805">_xlfn.IFS(T805=1,"Poor",T805=2,"Fair",T805=3,"Good",T805=4,"Excellent")</f>
        <v>Good</v>
      </c>
      <c r="V805" s="5" t="s">
        <v>43</v>
      </c>
      <c r="W805" s="5">
        <v>0</v>
      </c>
      <c r="X805" s="28">
        <f t="shared" ca="1" si="139"/>
        <v>46111</v>
      </c>
      <c r="Y805" s="28">
        <f t="shared" ca="1" si="140"/>
        <v>46842</v>
      </c>
      <c r="Z805" s="28" t="str">
        <f t="shared" ca="1" si="141"/>
        <v>Upcoming</v>
      </c>
      <c r="AA805" s="5" t="str" cm="1">
        <f t="array" ref="AA805">_xlfn.IFS(W805&gt;10,"Veteran",W805&gt;=6,"Experienced",W805&gt;=2,"Developing",W805&gt;=0,"New")</f>
        <v>New</v>
      </c>
      <c r="AB805" s="5" t="str" cm="1">
        <f t="array" ref="AB805">_xlfn.IFS(G805=1,"Junior",G805=2,"Mid-Level",G805=3,"Senior",G805=4,"Lead",G805=5,"Principal")&amp;" "&amp;TRIM(PROPER(H805))</f>
        <v>Junior Research Scientist</v>
      </c>
      <c r="AC805" s="19" t="str">
        <f t="shared" ca="1" si="142"/>
        <v>Re-Res-2026-804 is a Junior Research Scientist in the Research &amp; Development department, aged 34, married and has been with the Company for 0years</v>
      </c>
    </row>
    <row r="806" spans="1:29">
      <c r="A806" s="18" t="str">
        <f t="shared" ca="1" si="132"/>
        <v>Ma-Res-2021-805</v>
      </c>
      <c r="B806" s="5">
        <v>48</v>
      </c>
      <c r="C806" s="5" t="str">
        <f t="shared" si="133"/>
        <v>40-49</v>
      </c>
      <c r="D806" s="5" t="s">
        <v>43</v>
      </c>
      <c r="E806" s="5" t="s">
        <v>45</v>
      </c>
      <c r="F806" s="5" t="s">
        <v>46</v>
      </c>
      <c r="G806" s="5">
        <v>4</v>
      </c>
      <c r="H806" s="5" t="s">
        <v>56</v>
      </c>
      <c r="I806" s="5" t="s">
        <v>41</v>
      </c>
      <c r="J806" s="7">
        <v>16885</v>
      </c>
      <c r="K806" s="7">
        <f t="shared" si="134"/>
        <v>5065.5</v>
      </c>
      <c r="L806" s="7">
        <f t="shared" si="135"/>
        <v>11819.5</v>
      </c>
      <c r="M806" s="7">
        <v>16154</v>
      </c>
      <c r="N806" s="5" t="s">
        <v>43</v>
      </c>
      <c r="O806" s="5">
        <v>22</v>
      </c>
      <c r="P806" s="7">
        <f t="shared" si="136"/>
        <v>20599.7</v>
      </c>
      <c r="Q806" s="7">
        <f t="shared" si="137"/>
        <v>44576.400000000009</v>
      </c>
      <c r="R806" s="7" t="str">
        <f t="shared" si="138"/>
        <v>Normal</v>
      </c>
      <c r="S806" s="5">
        <v>4</v>
      </c>
      <c r="T806" s="5">
        <v>2</v>
      </c>
      <c r="U806" s="5" t="str" cm="1">
        <f t="array" ref="U806">_xlfn.IFS(T806=1,"Poor",T806=2,"Fair",T806=3,"Good",T806=4,"Excellent")</f>
        <v>Fair</v>
      </c>
      <c r="V806" s="5" t="s">
        <v>43</v>
      </c>
      <c r="W806" s="5">
        <v>5</v>
      </c>
      <c r="X806" s="28">
        <f t="shared" ca="1" si="139"/>
        <v>44285</v>
      </c>
      <c r="Y806" s="28">
        <f t="shared" ca="1" si="140"/>
        <v>46476</v>
      </c>
      <c r="Z806" s="28" t="str">
        <f t="shared" ca="1" si="141"/>
        <v>Due Soon</v>
      </c>
      <c r="AA806" s="5" t="str" cm="1">
        <f t="array" ref="AA806">_xlfn.IFS(W806&gt;10,"Veteran",W806&gt;=6,"Experienced",W806&gt;=2,"Developing",W806&gt;=0,"New")</f>
        <v>Developing</v>
      </c>
      <c r="AB806" s="5" t="str" cm="1">
        <f t="array" ref="AB806">_xlfn.IFS(G806=1,"Junior",G806=2,"Mid-Level",G806=3,"Senior",G806=4,"Lead",G806=5,"Principal")&amp;" "&amp;TRIM(PROPER(H806))</f>
        <v>Lead Manager</v>
      </c>
      <c r="AC806" s="19" t="str">
        <f t="shared" ca="1" si="142"/>
        <v>Ma-Res-2021-805 is a Lead Manager in the Research &amp; Development department, aged 48, single and has been with the Company for 5years</v>
      </c>
    </row>
    <row r="807" spans="1:29">
      <c r="A807" s="18" t="str">
        <f t="shared" ca="1" si="132"/>
        <v>Sa-Sal-2011-806</v>
      </c>
      <c r="B807" s="5">
        <v>45</v>
      </c>
      <c r="C807" s="5" t="str">
        <f t="shared" si="133"/>
        <v>40-49</v>
      </c>
      <c r="D807" s="5" t="s">
        <v>43</v>
      </c>
      <c r="E807" s="5" t="s">
        <v>37</v>
      </c>
      <c r="F807" s="5" t="s">
        <v>39</v>
      </c>
      <c r="G807" s="5">
        <v>2</v>
      </c>
      <c r="H807" s="5" t="s">
        <v>40</v>
      </c>
      <c r="I807" s="5" t="s">
        <v>48</v>
      </c>
      <c r="J807" s="7">
        <v>5593</v>
      </c>
      <c r="K807" s="7">
        <f t="shared" si="134"/>
        <v>838.94999999999993</v>
      </c>
      <c r="L807" s="7">
        <f t="shared" si="135"/>
        <v>4754.05</v>
      </c>
      <c r="M807" s="7">
        <v>17970</v>
      </c>
      <c r="N807" s="5" t="s">
        <v>43</v>
      </c>
      <c r="O807" s="5">
        <v>13</v>
      </c>
      <c r="P807" s="7">
        <f t="shared" si="136"/>
        <v>6320.0899999999992</v>
      </c>
      <c r="Q807" s="7">
        <f t="shared" si="137"/>
        <v>8725.0799999999908</v>
      </c>
      <c r="R807" s="7" t="str">
        <f t="shared" si="138"/>
        <v>Normal</v>
      </c>
      <c r="S807" s="5">
        <v>3</v>
      </c>
      <c r="T807" s="5">
        <v>3</v>
      </c>
      <c r="U807" s="5" t="str" cm="1">
        <f t="array" ref="U807">_xlfn.IFS(T807=1,"Poor",T807=2,"Fair",T807=3,"Good",T807=4,"Excellent")</f>
        <v>Good</v>
      </c>
      <c r="V807" s="5" t="s">
        <v>43</v>
      </c>
      <c r="W807" s="5">
        <v>15</v>
      </c>
      <c r="X807" s="28">
        <f t="shared" ca="1" si="139"/>
        <v>40632</v>
      </c>
      <c r="Y807" s="28">
        <f t="shared" ca="1" si="140"/>
        <v>46476</v>
      </c>
      <c r="Z807" s="28" t="str">
        <f t="shared" ca="1" si="141"/>
        <v>Due Soon</v>
      </c>
      <c r="AA807" s="5" t="str" cm="1">
        <f t="array" ref="AA807">_xlfn.IFS(W807&gt;10,"Veteran",W807&gt;=6,"Experienced",W807&gt;=2,"Developing",W807&gt;=0,"New")</f>
        <v>Veteran</v>
      </c>
      <c r="AB807" s="5" t="str" cm="1">
        <f t="array" ref="AB807">_xlfn.IFS(G807=1,"Junior",G807=2,"Mid-Level",G807=3,"Senior",G807=4,"Lead",G807=5,"Principal")&amp;" "&amp;TRIM(PROPER(H807))</f>
        <v>Mid-Level Sales Executive</v>
      </c>
      <c r="AC807" s="19" t="str">
        <f t="shared" ca="1" si="142"/>
        <v>Sa-Sal-2011-806 is a Mid-Level Sales Executive in the Sales department, aged 45, married and has been with the Company for 15years</v>
      </c>
    </row>
    <row r="808" spans="1:29">
      <c r="A808" s="18" t="str">
        <f t="shared" ca="1" si="132"/>
        <v>He-Res-2018-807</v>
      </c>
      <c r="B808" s="5">
        <v>52</v>
      </c>
      <c r="C808" s="5" t="str">
        <f t="shared" si="133"/>
        <v>50+</v>
      </c>
      <c r="D808" s="5" t="s">
        <v>43</v>
      </c>
      <c r="E808" s="5" t="s">
        <v>45</v>
      </c>
      <c r="F808" s="5" t="s">
        <v>46</v>
      </c>
      <c r="G808" s="5">
        <v>3</v>
      </c>
      <c r="H808" s="5" t="s">
        <v>54</v>
      </c>
      <c r="I808" s="5" t="s">
        <v>41</v>
      </c>
      <c r="J808" s="7">
        <v>10445</v>
      </c>
      <c r="K808" s="7">
        <f t="shared" si="134"/>
        <v>2297.9</v>
      </c>
      <c r="L808" s="7">
        <f t="shared" si="135"/>
        <v>8147.1</v>
      </c>
      <c r="M808" s="7">
        <v>15322</v>
      </c>
      <c r="N808" s="5" t="s">
        <v>43</v>
      </c>
      <c r="O808" s="5">
        <v>19</v>
      </c>
      <c r="P808" s="7">
        <f t="shared" si="136"/>
        <v>12429.55</v>
      </c>
      <c r="Q808" s="7">
        <f t="shared" si="137"/>
        <v>23814.599999999991</v>
      </c>
      <c r="R808" s="7" t="str">
        <f t="shared" si="138"/>
        <v>Normal</v>
      </c>
      <c r="S808" s="5">
        <v>3</v>
      </c>
      <c r="T808" s="5">
        <v>3</v>
      </c>
      <c r="U808" s="5" t="str" cm="1">
        <f t="array" ref="U808">_xlfn.IFS(T808=1,"Poor",T808=2,"Fair",T808=3,"Good",T808=4,"Excellent")</f>
        <v>Good</v>
      </c>
      <c r="V808" s="5" t="s">
        <v>43</v>
      </c>
      <c r="W808" s="5">
        <v>8</v>
      </c>
      <c r="X808" s="28">
        <f t="shared" ca="1" si="139"/>
        <v>43189</v>
      </c>
      <c r="Y808" s="28">
        <f t="shared" ca="1" si="140"/>
        <v>46842</v>
      </c>
      <c r="Z808" s="28" t="str">
        <f t="shared" ca="1" si="141"/>
        <v>Upcoming</v>
      </c>
      <c r="AA808" s="5" t="str" cm="1">
        <f t="array" ref="AA808">_xlfn.IFS(W808&gt;10,"Veteran",W808&gt;=6,"Experienced",W808&gt;=2,"Developing",W808&gt;=0,"New")</f>
        <v>Experienced</v>
      </c>
      <c r="AB808" s="5" t="str" cm="1">
        <f t="array" ref="AB808">_xlfn.IFS(G808=1,"Junior",G808=2,"Mid-Level",G808=3,"Senior",G808=4,"Lead",G808=5,"Principal")&amp;" "&amp;TRIM(PROPER(H808))</f>
        <v>Senior Healthcare Representative</v>
      </c>
      <c r="AC808" s="19" t="str">
        <f t="shared" ca="1" si="142"/>
        <v>He-Res-2018-807 is a Senior Healthcare Representative in the Research &amp; Development department, aged 52, single and has been with the Company for 8years</v>
      </c>
    </row>
    <row r="809" spans="1:29">
      <c r="A809" s="18" t="str">
        <f t="shared" ca="1" si="132"/>
        <v>Sa-Sal-2018-808</v>
      </c>
      <c r="B809" s="5">
        <v>38</v>
      </c>
      <c r="C809" s="5" t="str">
        <f t="shared" si="133"/>
        <v>30-39</v>
      </c>
      <c r="D809" s="5" t="s">
        <v>43</v>
      </c>
      <c r="E809" s="5" t="s">
        <v>37</v>
      </c>
      <c r="F809" s="5" t="s">
        <v>46</v>
      </c>
      <c r="G809" s="5">
        <v>3</v>
      </c>
      <c r="H809" s="5" t="s">
        <v>40</v>
      </c>
      <c r="I809" s="5" t="s">
        <v>52</v>
      </c>
      <c r="J809" s="7">
        <v>8740</v>
      </c>
      <c r="K809" s="7">
        <f t="shared" si="134"/>
        <v>1922.8</v>
      </c>
      <c r="L809" s="7">
        <f t="shared" si="135"/>
        <v>6817.2</v>
      </c>
      <c r="M809" s="7">
        <v>5569</v>
      </c>
      <c r="N809" s="5" t="s">
        <v>35</v>
      </c>
      <c r="O809" s="5">
        <v>14</v>
      </c>
      <c r="P809" s="7">
        <f t="shared" si="136"/>
        <v>9963.6</v>
      </c>
      <c r="Q809" s="7">
        <f t="shared" si="137"/>
        <v>14683.200000000004</v>
      </c>
      <c r="R809" s="7" t="str">
        <f t="shared" si="138"/>
        <v>Normal</v>
      </c>
      <c r="S809" s="5">
        <v>3</v>
      </c>
      <c r="T809" s="5">
        <v>3</v>
      </c>
      <c r="U809" s="5" t="str" cm="1">
        <f t="array" ref="U809">_xlfn.IFS(T809=1,"Poor",T809=2,"Fair",T809=3,"Good",T809=4,"Excellent")</f>
        <v>Good</v>
      </c>
      <c r="V809" s="5" t="s">
        <v>35</v>
      </c>
      <c r="W809" s="5">
        <v>8</v>
      </c>
      <c r="X809" s="28">
        <f t="shared" ca="1" si="139"/>
        <v>43189</v>
      </c>
      <c r="Y809" s="28">
        <f t="shared" ca="1" si="140"/>
        <v>46842</v>
      </c>
      <c r="Z809" s="28" t="str">
        <f t="shared" ca="1" si="141"/>
        <v>Upcoming</v>
      </c>
      <c r="AA809" s="5" t="str" cm="1">
        <f t="array" ref="AA809">_xlfn.IFS(W809&gt;10,"Veteran",W809&gt;=6,"Experienced",W809&gt;=2,"Developing",W809&gt;=0,"New")</f>
        <v>Experienced</v>
      </c>
      <c r="AB809" s="5" t="str" cm="1">
        <f t="array" ref="AB809">_xlfn.IFS(G809=1,"Junior",G809=2,"Mid-Level",G809=3,"Senior",G809=4,"Lead",G809=5,"Principal")&amp;" "&amp;TRIM(PROPER(H809))</f>
        <v>Senior Sales Executive</v>
      </c>
      <c r="AC809" s="19" t="str">
        <f t="shared" ca="1" si="142"/>
        <v>Sa-Sal-2018-808 is a Senior Sales Executive in the Sales department, aged 38, divorced and has been with the Company for 8years</v>
      </c>
    </row>
    <row r="810" spans="1:29">
      <c r="A810" s="18" t="str">
        <f t="shared" ca="1" si="132"/>
        <v>Re-Res-2019-809</v>
      </c>
      <c r="B810" s="5">
        <v>29</v>
      </c>
      <c r="C810" s="5" t="str">
        <f t="shared" si="133"/>
        <v>20-29</v>
      </c>
      <c r="D810" s="5" t="s">
        <v>43</v>
      </c>
      <c r="E810" s="5" t="s">
        <v>45</v>
      </c>
      <c r="F810" s="5" t="s">
        <v>39</v>
      </c>
      <c r="G810" s="5">
        <v>1</v>
      </c>
      <c r="H810" s="5" t="s">
        <v>47</v>
      </c>
      <c r="I810" s="5" t="s">
        <v>52</v>
      </c>
      <c r="J810" s="7">
        <v>2514</v>
      </c>
      <c r="K810" s="7">
        <f t="shared" si="134"/>
        <v>175.98000000000002</v>
      </c>
      <c r="L810" s="7">
        <f t="shared" si="135"/>
        <v>2338.02</v>
      </c>
      <c r="M810" s="7">
        <v>26968</v>
      </c>
      <c r="N810" s="5" t="s">
        <v>43</v>
      </c>
      <c r="O810" s="5">
        <v>22</v>
      </c>
      <c r="P810" s="7">
        <f t="shared" si="136"/>
        <v>3067.08</v>
      </c>
      <c r="Q810" s="7">
        <f t="shared" si="137"/>
        <v>6636.9599999999991</v>
      </c>
      <c r="R810" s="7" t="str">
        <f t="shared" si="138"/>
        <v>Normal</v>
      </c>
      <c r="S810" s="5">
        <v>4</v>
      </c>
      <c r="T810" s="5">
        <v>3</v>
      </c>
      <c r="U810" s="5" t="str" cm="1">
        <f t="array" ref="U810">_xlfn.IFS(T810=1,"Poor",T810=2,"Fair",T810=3,"Good",T810=4,"Excellent")</f>
        <v>Good</v>
      </c>
      <c r="V810" s="5" t="s">
        <v>43</v>
      </c>
      <c r="W810" s="5">
        <v>7</v>
      </c>
      <c r="X810" s="28">
        <f t="shared" ca="1" si="139"/>
        <v>43554</v>
      </c>
      <c r="Y810" s="28">
        <f t="shared" ca="1" si="140"/>
        <v>46476</v>
      </c>
      <c r="Z810" s="28" t="str">
        <f t="shared" ca="1" si="141"/>
        <v>Due Soon</v>
      </c>
      <c r="AA810" s="5" t="str" cm="1">
        <f t="array" ref="AA810">_xlfn.IFS(W810&gt;10,"Veteran",W810&gt;=6,"Experienced",W810&gt;=2,"Developing",W810&gt;=0,"New")</f>
        <v>Experienced</v>
      </c>
      <c r="AB810" s="5" t="str" cm="1">
        <f t="array" ref="AB810">_xlfn.IFS(G810=1,"Junior",G810=2,"Mid-Level",G810=3,"Senior",G810=4,"Lead",G810=5,"Principal")&amp;" "&amp;TRIM(PROPER(H810))</f>
        <v>Junior Research Scientist</v>
      </c>
      <c r="AC810" s="19" t="str">
        <f t="shared" ca="1" si="142"/>
        <v>Re-Res-2019-809 is a Junior Research Scientist in the Research &amp; Development department, aged 29, divorced and has been with the Company for 7years</v>
      </c>
    </row>
    <row r="811" spans="1:29">
      <c r="A811" s="18" t="str">
        <f t="shared" ca="1" si="132"/>
        <v>Ma-Res-2017-810</v>
      </c>
      <c r="B811" s="5">
        <v>28</v>
      </c>
      <c r="C811" s="5" t="str">
        <f t="shared" si="133"/>
        <v>20-29</v>
      </c>
      <c r="D811" s="5" t="s">
        <v>43</v>
      </c>
      <c r="E811" s="5" t="s">
        <v>45</v>
      </c>
      <c r="F811" s="5" t="s">
        <v>39</v>
      </c>
      <c r="G811" s="5">
        <v>3</v>
      </c>
      <c r="H811" s="5" t="s">
        <v>53</v>
      </c>
      <c r="I811" s="5" t="s">
        <v>52</v>
      </c>
      <c r="J811" s="7">
        <v>7655</v>
      </c>
      <c r="K811" s="7">
        <f t="shared" si="134"/>
        <v>1684.1</v>
      </c>
      <c r="L811" s="7">
        <f t="shared" si="135"/>
        <v>5970.9</v>
      </c>
      <c r="M811" s="7">
        <v>8039</v>
      </c>
      <c r="N811" s="5" t="s">
        <v>43</v>
      </c>
      <c r="O811" s="5">
        <v>17</v>
      </c>
      <c r="P811" s="7">
        <f t="shared" si="136"/>
        <v>8956.35</v>
      </c>
      <c r="Q811" s="7">
        <f t="shared" si="137"/>
        <v>15616.200000000004</v>
      </c>
      <c r="R811" s="7" t="str">
        <f t="shared" si="138"/>
        <v>Normal</v>
      </c>
      <c r="S811" s="5">
        <v>3</v>
      </c>
      <c r="T811" s="5">
        <v>2</v>
      </c>
      <c r="U811" s="5" t="str" cm="1">
        <f t="array" ref="U811">_xlfn.IFS(T811=1,"Poor",T811=2,"Fair",T811=3,"Good",T811=4,"Excellent")</f>
        <v>Fair</v>
      </c>
      <c r="V811" s="5" t="s">
        <v>43</v>
      </c>
      <c r="W811" s="5">
        <v>9</v>
      </c>
      <c r="X811" s="28">
        <f t="shared" ca="1" si="139"/>
        <v>42824</v>
      </c>
      <c r="Y811" s="28">
        <f t="shared" ca="1" si="140"/>
        <v>46476</v>
      </c>
      <c r="Z811" s="28" t="str">
        <f t="shared" ca="1" si="141"/>
        <v>Due Soon</v>
      </c>
      <c r="AA811" s="5" t="str" cm="1">
        <f t="array" ref="AA811">_xlfn.IFS(W811&gt;10,"Veteran",W811&gt;=6,"Experienced",W811&gt;=2,"Developing",W811&gt;=0,"New")</f>
        <v>Experienced</v>
      </c>
      <c r="AB811" s="5" t="str" cm="1">
        <f t="array" ref="AB811">_xlfn.IFS(G811=1,"Junior",G811=2,"Mid-Level",G811=3,"Senior",G811=4,"Lead",G811=5,"Principal")&amp;" "&amp;TRIM(PROPER(H811))</f>
        <v>Senior Manufacturing Director</v>
      </c>
      <c r="AC811" s="19" t="str">
        <f t="shared" ca="1" si="142"/>
        <v>Ma-Res-2017-810 is a Senior Manufacturing Director in the Research &amp; Development department, aged 28, divorced and has been with the Company for 9years</v>
      </c>
    </row>
    <row r="812" spans="1:29">
      <c r="A812" s="18" t="str">
        <f t="shared" ca="1" si="132"/>
        <v>Ma-Sal-2014-811</v>
      </c>
      <c r="B812" s="5">
        <v>46</v>
      </c>
      <c r="C812" s="5" t="str">
        <f t="shared" si="133"/>
        <v>40-49</v>
      </c>
      <c r="D812" s="5" t="s">
        <v>43</v>
      </c>
      <c r="E812" s="5" t="s">
        <v>37</v>
      </c>
      <c r="F812" s="5" t="s">
        <v>46</v>
      </c>
      <c r="G812" s="5">
        <v>4</v>
      </c>
      <c r="H812" s="5" t="s">
        <v>56</v>
      </c>
      <c r="I812" s="5" t="s">
        <v>48</v>
      </c>
      <c r="J812" s="7">
        <v>17465</v>
      </c>
      <c r="K812" s="7">
        <f t="shared" si="134"/>
        <v>5239.5</v>
      </c>
      <c r="L812" s="7">
        <f t="shared" si="135"/>
        <v>12225.5</v>
      </c>
      <c r="M812" s="7">
        <v>15596</v>
      </c>
      <c r="N812" s="5" t="s">
        <v>43</v>
      </c>
      <c r="O812" s="5">
        <v>12</v>
      </c>
      <c r="P812" s="7">
        <f t="shared" si="136"/>
        <v>19560.800000000003</v>
      </c>
      <c r="Q812" s="7">
        <f t="shared" si="137"/>
        <v>25149.600000000035</v>
      </c>
      <c r="R812" s="7" t="str">
        <f t="shared" si="138"/>
        <v>Normal</v>
      </c>
      <c r="S812" s="5">
        <v>3</v>
      </c>
      <c r="T812" s="5">
        <v>3</v>
      </c>
      <c r="U812" s="5" t="str" cm="1">
        <f t="array" ref="U812">_xlfn.IFS(T812=1,"Poor",T812=2,"Fair",T812=3,"Good",T812=4,"Excellent")</f>
        <v>Good</v>
      </c>
      <c r="V812" s="5" t="s">
        <v>43</v>
      </c>
      <c r="W812" s="5">
        <v>12</v>
      </c>
      <c r="X812" s="28">
        <f t="shared" ca="1" si="139"/>
        <v>41728</v>
      </c>
      <c r="Y812" s="28">
        <f t="shared" ca="1" si="140"/>
        <v>46842</v>
      </c>
      <c r="Z812" s="28" t="str">
        <f t="shared" ca="1" si="141"/>
        <v>Upcoming</v>
      </c>
      <c r="AA812" s="5" t="str" cm="1">
        <f t="array" ref="AA812">_xlfn.IFS(W812&gt;10,"Veteran",W812&gt;=6,"Experienced",W812&gt;=2,"Developing",W812&gt;=0,"New")</f>
        <v>Veteran</v>
      </c>
      <c r="AB812" s="5" t="str" cm="1">
        <f t="array" ref="AB812">_xlfn.IFS(G812=1,"Junior",G812=2,"Mid-Level",G812=3,"Senior",G812=4,"Lead",G812=5,"Principal")&amp;" "&amp;TRIM(PROPER(H812))</f>
        <v>Lead Manager</v>
      </c>
      <c r="AC812" s="19" t="str">
        <f t="shared" ca="1" si="142"/>
        <v>Ma-Sal-2014-811 is a Lead Manager in the Sales department, aged 46, married and has been with the Company for 12years</v>
      </c>
    </row>
    <row r="813" spans="1:29">
      <c r="A813" s="18" t="str">
        <f t="shared" ca="1" si="132"/>
        <v>Sa-Sal-2025-812</v>
      </c>
      <c r="B813" s="5">
        <v>38</v>
      </c>
      <c r="C813" s="5" t="str">
        <f t="shared" si="133"/>
        <v>30-39</v>
      </c>
      <c r="D813" s="5" t="s">
        <v>43</v>
      </c>
      <c r="E813" s="5" t="s">
        <v>37</v>
      </c>
      <c r="F813" s="5" t="s">
        <v>46</v>
      </c>
      <c r="G813" s="5">
        <v>3</v>
      </c>
      <c r="H813" s="5" t="s">
        <v>40</v>
      </c>
      <c r="I813" s="5" t="s">
        <v>41</v>
      </c>
      <c r="J813" s="7">
        <v>7351</v>
      </c>
      <c r="K813" s="7">
        <f t="shared" si="134"/>
        <v>1617.22</v>
      </c>
      <c r="L813" s="7">
        <f t="shared" si="135"/>
        <v>5733.78</v>
      </c>
      <c r="M813" s="7">
        <v>20619</v>
      </c>
      <c r="N813" s="5" t="s">
        <v>43</v>
      </c>
      <c r="O813" s="5">
        <v>16</v>
      </c>
      <c r="P813" s="7">
        <f t="shared" si="136"/>
        <v>8527.16</v>
      </c>
      <c r="Q813" s="7">
        <f t="shared" si="137"/>
        <v>14113.919999999998</v>
      </c>
      <c r="R813" s="7" t="str">
        <f t="shared" si="138"/>
        <v>Normal</v>
      </c>
      <c r="S813" s="5">
        <v>3</v>
      </c>
      <c r="T813" s="5">
        <v>3</v>
      </c>
      <c r="U813" s="5" t="str" cm="1">
        <f t="array" ref="U813">_xlfn.IFS(T813=1,"Poor",T813=2,"Fair",T813=3,"Good",T813=4,"Excellent")</f>
        <v>Good</v>
      </c>
      <c r="V813" s="5" t="s">
        <v>43</v>
      </c>
      <c r="W813" s="5">
        <v>1</v>
      </c>
      <c r="X813" s="28">
        <f t="shared" ca="1" si="139"/>
        <v>45746</v>
      </c>
      <c r="Y813" s="28">
        <f t="shared" ca="1" si="140"/>
        <v>46476</v>
      </c>
      <c r="Z813" s="28" t="str">
        <f t="shared" ca="1" si="141"/>
        <v>Due Soon</v>
      </c>
      <c r="AA813" s="5" t="str" cm="1">
        <f t="array" ref="AA813">_xlfn.IFS(W813&gt;10,"Veteran",W813&gt;=6,"Experienced",W813&gt;=2,"Developing",W813&gt;=0,"New")</f>
        <v>New</v>
      </c>
      <c r="AB813" s="5" t="str" cm="1">
        <f t="array" ref="AB813">_xlfn.IFS(G813=1,"Junior",G813=2,"Mid-Level",G813=3,"Senior",G813=4,"Lead",G813=5,"Principal")&amp;" "&amp;TRIM(PROPER(H813))</f>
        <v>Senior Sales Executive</v>
      </c>
      <c r="AC813" s="19" t="str">
        <f t="shared" ca="1" si="142"/>
        <v>Sa-Sal-2025-812 is a Senior Sales Executive in the Sales department, aged 38, single and has been with the Company for 1years</v>
      </c>
    </row>
    <row r="814" spans="1:29">
      <c r="A814" s="18" t="str">
        <f t="shared" ca="1" si="132"/>
        <v>Ma-Res-2018-813</v>
      </c>
      <c r="B814" s="5">
        <v>43</v>
      </c>
      <c r="C814" s="5" t="str">
        <f t="shared" si="133"/>
        <v>40-49</v>
      </c>
      <c r="D814" s="5" t="s">
        <v>43</v>
      </c>
      <c r="E814" s="5" t="s">
        <v>45</v>
      </c>
      <c r="F814" s="5" t="s">
        <v>39</v>
      </c>
      <c r="G814" s="5">
        <v>3</v>
      </c>
      <c r="H814" s="5" t="s">
        <v>53</v>
      </c>
      <c r="I814" s="5" t="s">
        <v>48</v>
      </c>
      <c r="J814" s="7">
        <v>10820</v>
      </c>
      <c r="K814" s="7">
        <f t="shared" si="134"/>
        <v>2380.4</v>
      </c>
      <c r="L814" s="7">
        <f t="shared" si="135"/>
        <v>8439.6</v>
      </c>
      <c r="M814" s="7">
        <v>11535</v>
      </c>
      <c r="N814" s="5" t="s">
        <v>43</v>
      </c>
      <c r="O814" s="5">
        <v>11</v>
      </c>
      <c r="P814" s="7">
        <f t="shared" si="136"/>
        <v>12010.2</v>
      </c>
      <c r="Q814" s="7">
        <f t="shared" si="137"/>
        <v>14282.400000000009</v>
      </c>
      <c r="R814" s="7" t="str">
        <f t="shared" si="138"/>
        <v>Normal</v>
      </c>
      <c r="S814" s="5">
        <v>3</v>
      </c>
      <c r="T814" s="5">
        <v>3</v>
      </c>
      <c r="U814" s="5" t="str" cm="1">
        <f t="array" ref="U814">_xlfn.IFS(T814=1,"Poor",T814=2,"Fair",T814=3,"Good",T814=4,"Excellent")</f>
        <v>Good</v>
      </c>
      <c r="V814" s="5" t="s">
        <v>43</v>
      </c>
      <c r="W814" s="5">
        <v>8</v>
      </c>
      <c r="X814" s="28">
        <f t="shared" ca="1" si="139"/>
        <v>43189</v>
      </c>
      <c r="Y814" s="28">
        <f t="shared" ca="1" si="140"/>
        <v>46842</v>
      </c>
      <c r="Z814" s="28" t="str">
        <f t="shared" ca="1" si="141"/>
        <v>Upcoming</v>
      </c>
      <c r="AA814" s="5" t="str" cm="1">
        <f t="array" ref="AA814">_xlfn.IFS(W814&gt;10,"Veteran",W814&gt;=6,"Experienced",W814&gt;=2,"Developing",W814&gt;=0,"New")</f>
        <v>Experienced</v>
      </c>
      <c r="AB814" s="5" t="str" cm="1">
        <f t="array" ref="AB814">_xlfn.IFS(G814=1,"Junior",G814=2,"Mid-Level",G814=3,"Senior",G814=4,"Lead",G814=5,"Principal")&amp;" "&amp;TRIM(PROPER(H814))</f>
        <v>Senior Manufacturing Director</v>
      </c>
      <c r="AC814" s="19" t="str">
        <f t="shared" ca="1" si="142"/>
        <v>Ma-Res-2018-813 is a Senior Manufacturing Director in the Research &amp; Development department, aged 43, married and has been with the Company for 8years</v>
      </c>
    </row>
    <row r="815" spans="1:29">
      <c r="A815" s="18" t="str">
        <f t="shared" ca="1" si="132"/>
        <v>He-Res-2008-814</v>
      </c>
      <c r="B815" s="5">
        <v>39</v>
      </c>
      <c r="C815" s="5" t="str">
        <f t="shared" si="133"/>
        <v>30-39</v>
      </c>
      <c r="D815" s="5" t="s">
        <v>35</v>
      </c>
      <c r="E815" s="5" t="s">
        <v>45</v>
      </c>
      <c r="F815" s="5" t="s">
        <v>46</v>
      </c>
      <c r="G815" s="5">
        <v>4</v>
      </c>
      <c r="H815" s="5" t="s">
        <v>54</v>
      </c>
      <c r="I815" s="5" t="s">
        <v>52</v>
      </c>
      <c r="J815" s="7">
        <v>12169</v>
      </c>
      <c r="K815" s="7">
        <f t="shared" si="134"/>
        <v>2677.18</v>
      </c>
      <c r="L815" s="7">
        <f t="shared" si="135"/>
        <v>9491.82</v>
      </c>
      <c r="M815" s="7">
        <v>13547</v>
      </c>
      <c r="N815" s="5" t="s">
        <v>43</v>
      </c>
      <c r="O815" s="5">
        <v>11</v>
      </c>
      <c r="P815" s="7">
        <f t="shared" si="136"/>
        <v>13507.590000000002</v>
      </c>
      <c r="Q815" s="7">
        <f t="shared" si="137"/>
        <v>16063.080000000024</v>
      </c>
      <c r="R815" s="7" t="str">
        <f t="shared" si="138"/>
        <v>Normal</v>
      </c>
      <c r="S815" s="5">
        <v>3</v>
      </c>
      <c r="T815" s="5">
        <v>3</v>
      </c>
      <c r="U815" s="5" t="str" cm="1">
        <f t="array" ref="U815">_xlfn.IFS(T815=1,"Poor",T815=2,"Fair",T815=3,"Good",T815=4,"Excellent")</f>
        <v>Good</v>
      </c>
      <c r="V815" s="5" t="s">
        <v>43</v>
      </c>
      <c r="W815" s="5">
        <v>18</v>
      </c>
      <c r="X815" s="28">
        <f t="shared" ca="1" si="139"/>
        <v>39537</v>
      </c>
      <c r="Y815" s="28">
        <f t="shared" ca="1" si="140"/>
        <v>46842</v>
      </c>
      <c r="Z815" s="28" t="str">
        <f t="shared" ca="1" si="141"/>
        <v>Upcoming</v>
      </c>
      <c r="AA815" s="5" t="str" cm="1">
        <f t="array" ref="AA815">_xlfn.IFS(W815&gt;10,"Veteran",W815&gt;=6,"Experienced",W815&gt;=2,"Developing",W815&gt;=0,"New")</f>
        <v>Veteran</v>
      </c>
      <c r="AB815" s="5" t="str" cm="1">
        <f t="array" ref="AB815">_xlfn.IFS(G815=1,"Junior",G815=2,"Mid-Level",G815=3,"Senior",G815=4,"Lead",G815=5,"Principal")&amp;" "&amp;TRIM(PROPER(H815))</f>
        <v>Lead Healthcare Representative</v>
      </c>
      <c r="AC815" s="19" t="str">
        <f t="shared" ca="1" si="142"/>
        <v>He-Res-2008-814 is a Lead Healthcare Representative in the Research &amp; Development department, aged 39, divorced and has been with the Company for 18years</v>
      </c>
    </row>
    <row r="816" spans="1:29">
      <c r="A816" s="18" t="str">
        <f t="shared" ca="1" si="132"/>
        <v>Re-Res-2006-815</v>
      </c>
      <c r="B816" s="5">
        <v>40</v>
      </c>
      <c r="C816" s="5" t="str">
        <f t="shared" si="133"/>
        <v>40-49</v>
      </c>
      <c r="D816" s="5" t="s">
        <v>43</v>
      </c>
      <c r="E816" s="5" t="s">
        <v>45</v>
      </c>
      <c r="F816" s="5" t="s">
        <v>46</v>
      </c>
      <c r="G816" s="5">
        <v>5</v>
      </c>
      <c r="H816" s="5" t="s">
        <v>58</v>
      </c>
      <c r="I816" s="5" t="s">
        <v>41</v>
      </c>
      <c r="J816" s="7">
        <v>19626</v>
      </c>
      <c r="K816" s="7">
        <f t="shared" si="134"/>
        <v>5887.8</v>
      </c>
      <c r="L816" s="7">
        <f t="shared" si="135"/>
        <v>13738.2</v>
      </c>
      <c r="M816" s="7">
        <v>17544</v>
      </c>
      <c r="N816" s="5" t="s">
        <v>43</v>
      </c>
      <c r="O816" s="5">
        <v>14</v>
      </c>
      <c r="P816" s="7">
        <f t="shared" si="136"/>
        <v>22373.640000000003</v>
      </c>
      <c r="Q816" s="7">
        <f t="shared" si="137"/>
        <v>32971.680000000037</v>
      </c>
      <c r="R816" s="7" t="str">
        <f t="shared" si="138"/>
        <v>Normal</v>
      </c>
      <c r="S816" s="5">
        <v>3</v>
      </c>
      <c r="T816" s="5">
        <v>4</v>
      </c>
      <c r="U816" s="5" t="str" cm="1">
        <f t="array" ref="U816">_xlfn.IFS(T816=1,"Poor",T816=2,"Fair",T816=3,"Good",T816=4,"Excellent")</f>
        <v>Excellent</v>
      </c>
      <c r="V816" s="5" t="s">
        <v>43</v>
      </c>
      <c r="W816" s="5">
        <v>20</v>
      </c>
      <c r="X816" s="28">
        <f t="shared" ca="1" si="139"/>
        <v>38806</v>
      </c>
      <c r="Y816" s="28">
        <f t="shared" ca="1" si="140"/>
        <v>46842</v>
      </c>
      <c r="Z816" s="28" t="str">
        <f t="shared" ca="1" si="141"/>
        <v>Upcoming</v>
      </c>
      <c r="AA816" s="5" t="str" cm="1">
        <f t="array" ref="AA816">_xlfn.IFS(W816&gt;10,"Veteran",W816&gt;=6,"Experienced",W816&gt;=2,"Developing",W816&gt;=0,"New")</f>
        <v>Veteran</v>
      </c>
      <c r="AB816" s="5" t="str" cm="1">
        <f t="array" ref="AB816">_xlfn.IFS(G816=1,"Junior",G816=2,"Mid-Level",G816=3,"Senior",G816=4,"Lead",G816=5,"Principal")&amp;" "&amp;TRIM(PROPER(H816))</f>
        <v>Principal Research Director</v>
      </c>
      <c r="AC816" s="19" t="str">
        <f t="shared" ca="1" si="142"/>
        <v>Re-Res-2006-815 is a Principal Research Director in the Research &amp; Development department, aged 40, single and has been with the Company for 20years</v>
      </c>
    </row>
    <row r="817" spans="1:29">
      <c r="A817" s="18" t="str">
        <f t="shared" ca="1" si="132"/>
        <v>Re-Res-2024-816</v>
      </c>
      <c r="B817" s="5">
        <v>21</v>
      </c>
      <c r="C817" s="5" t="str">
        <f t="shared" si="133"/>
        <v>20-29</v>
      </c>
      <c r="D817" s="5" t="s">
        <v>43</v>
      </c>
      <c r="E817" s="5" t="s">
        <v>45</v>
      </c>
      <c r="F817" s="5" t="s">
        <v>39</v>
      </c>
      <c r="G817" s="5">
        <v>1</v>
      </c>
      <c r="H817" s="5" t="s">
        <v>47</v>
      </c>
      <c r="I817" s="5" t="s">
        <v>41</v>
      </c>
      <c r="J817" s="7">
        <v>2070</v>
      </c>
      <c r="K817" s="7">
        <f t="shared" si="134"/>
        <v>144.9</v>
      </c>
      <c r="L817" s="7">
        <f t="shared" si="135"/>
        <v>1925.1</v>
      </c>
      <c r="M817" s="7">
        <v>25326</v>
      </c>
      <c r="N817" s="5" t="s">
        <v>35</v>
      </c>
      <c r="O817" s="5">
        <v>11</v>
      </c>
      <c r="P817" s="7">
        <f t="shared" si="136"/>
        <v>2297.7000000000003</v>
      </c>
      <c r="Q817" s="7">
        <f t="shared" si="137"/>
        <v>2732.4000000000033</v>
      </c>
      <c r="R817" s="7" t="str">
        <f t="shared" si="138"/>
        <v>Normal</v>
      </c>
      <c r="S817" s="5">
        <v>3</v>
      </c>
      <c r="T817" s="5">
        <v>4</v>
      </c>
      <c r="U817" s="5" t="str" cm="1">
        <f t="array" ref="U817">_xlfn.IFS(T817=1,"Poor",T817=2,"Fair",T817=3,"Good",T817=4,"Excellent")</f>
        <v>Excellent</v>
      </c>
      <c r="V817" s="5" t="s">
        <v>35</v>
      </c>
      <c r="W817" s="5">
        <v>2</v>
      </c>
      <c r="X817" s="28">
        <f t="shared" ca="1" si="139"/>
        <v>45381</v>
      </c>
      <c r="Y817" s="28">
        <f t="shared" ca="1" si="140"/>
        <v>46842</v>
      </c>
      <c r="Z817" s="28" t="str">
        <f t="shared" ca="1" si="141"/>
        <v>Upcoming</v>
      </c>
      <c r="AA817" s="5" t="str" cm="1">
        <f t="array" ref="AA817">_xlfn.IFS(W817&gt;10,"Veteran",W817&gt;=6,"Experienced",W817&gt;=2,"Developing",W817&gt;=0,"New")</f>
        <v>Developing</v>
      </c>
      <c r="AB817" s="5" t="str" cm="1">
        <f t="array" ref="AB817">_xlfn.IFS(G817=1,"Junior",G817=2,"Mid-Level",G817=3,"Senior",G817=4,"Lead",G817=5,"Principal")&amp;" "&amp;TRIM(PROPER(H817))</f>
        <v>Junior Research Scientist</v>
      </c>
      <c r="AC817" s="19" t="str">
        <f t="shared" ca="1" si="142"/>
        <v>Re-Res-2024-816 is a Junior Research Scientist in the Research &amp; Development department, aged 21, single and has been with the Company for 2years</v>
      </c>
    </row>
    <row r="818" spans="1:29">
      <c r="A818" s="18" t="str">
        <f t="shared" ca="1" si="132"/>
        <v>La-Res-2021-817</v>
      </c>
      <c r="B818" s="5">
        <v>39</v>
      </c>
      <c r="C818" s="5" t="str">
        <f t="shared" si="133"/>
        <v>30-39</v>
      </c>
      <c r="D818" s="5" t="s">
        <v>43</v>
      </c>
      <c r="E818" s="5" t="s">
        <v>45</v>
      </c>
      <c r="F818" s="5" t="s">
        <v>46</v>
      </c>
      <c r="G818" s="5">
        <v>2</v>
      </c>
      <c r="H818" s="5" t="s">
        <v>50</v>
      </c>
      <c r="I818" s="5" t="s">
        <v>41</v>
      </c>
      <c r="J818" s="7">
        <v>6782</v>
      </c>
      <c r="K818" s="7">
        <f t="shared" si="134"/>
        <v>1017.3</v>
      </c>
      <c r="L818" s="7">
        <f t="shared" si="135"/>
        <v>5764.7</v>
      </c>
      <c r="M818" s="7">
        <v>8770</v>
      </c>
      <c r="N818" s="5" t="s">
        <v>43</v>
      </c>
      <c r="O818" s="5">
        <v>15</v>
      </c>
      <c r="P818" s="7">
        <f t="shared" si="136"/>
        <v>7799.2999999999993</v>
      </c>
      <c r="Q818" s="7">
        <f t="shared" si="137"/>
        <v>12207.599999999991</v>
      </c>
      <c r="R818" s="7" t="str">
        <f t="shared" si="138"/>
        <v>Normal</v>
      </c>
      <c r="S818" s="5">
        <v>3</v>
      </c>
      <c r="T818" s="5">
        <v>2</v>
      </c>
      <c r="U818" s="5" t="str" cm="1">
        <f t="array" ref="U818">_xlfn.IFS(T818=1,"Poor",T818=2,"Fair",T818=3,"Good",T818=4,"Excellent")</f>
        <v>Fair</v>
      </c>
      <c r="V818" s="5" t="s">
        <v>43</v>
      </c>
      <c r="W818" s="5">
        <v>5</v>
      </c>
      <c r="X818" s="28">
        <f t="shared" ca="1" si="139"/>
        <v>44285</v>
      </c>
      <c r="Y818" s="28">
        <f t="shared" ca="1" si="140"/>
        <v>46476</v>
      </c>
      <c r="Z818" s="28" t="str">
        <f t="shared" ca="1" si="141"/>
        <v>Due Soon</v>
      </c>
      <c r="AA818" s="5" t="str" cm="1">
        <f t="array" ref="AA818">_xlfn.IFS(W818&gt;10,"Veteran",W818&gt;=6,"Experienced",W818&gt;=2,"Developing",W818&gt;=0,"New")</f>
        <v>Developing</v>
      </c>
      <c r="AB818" s="5" t="str" cm="1">
        <f t="array" ref="AB818">_xlfn.IFS(G818=1,"Junior",G818=2,"Mid-Level",G818=3,"Senior",G818=4,"Lead",G818=5,"Principal")&amp;" "&amp;TRIM(PROPER(H818))</f>
        <v>Mid-Level Laboratory Technician</v>
      </c>
      <c r="AC818" s="19" t="str">
        <f t="shared" ca="1" si="142"/>
        <v>La-Res-2021-817 is a Mid-Level Laboratory Technician in the Research &amp; Development department, aged 39, single and has been with the Company for 5years</v>
      </c>
    </row>
    <row r="819" spans="1:29">
      <c r="A819" s="18" t="str">
        <f t="shared" ca="1" si="132"/>
        <v>Ma-Res-2015-818</v>
      </c>
      <c r="B819" s="5">
        <v>36</v>
      </c>
      <c r="C819" s="5" t="str">
        <f t="shared" si="133"/>
        <v>30-39</v>
      </c>
      <c r="D819" s="5" t="s">
        <v>43</v>
      </c>
      <c r="E819" s="5" t="s">
        <v>45</v>
      </c>
      <c r="F819" s="5" t="s">
        <v>46</v>
      </c>
      <c r="G819" s="5">
        <v>2</v>
      </c>
      <c r="H819" s="5" t="s">
        <v>53</v>
      </c>
      <c r="I819" s="5" t="s">
        <v>41</v>
      </c>
      <c r="J819" s="7">
        <v>7779</v>
      </c>
      <c r="K819" s="7">
        <f t="shared" si="134"/>
        <v>1711.38</v>
      </c>
      <c r="L819" s="7">
        <f t="shared" si="135"/>
        <v>6067.62</v>
      </c>
      <c r="M819" s="7">
        <v>23238</v>
      </c>
      <c r="N819" s="5" t="s">
        <v>43</v>
      </c>
      <c r="O819" s="5">
        <v>20</v>
      </c>
      <c r="P819" s="7">
        <f t="shared" si="136"/>
        <v>9334.7999999999993</v>
      </c>
      <c r="Q819" s="7">
        <f t="shared" si="137"/>
        <v>18669.599999999991</v>
      </c>
      <c r="R819" s="7" t="str">
        <f t="shared" si="138"/>
        <v>Normal</v>
      </c>
      <c r="S819" s="5">
        <v>4</v>
      </c>
      <c r="T819" s="5">
        <v>3</v>
      </c>
      <c r="U819" s="5" t="str" cm="1">
        <f t="array" ref="U819">_xlfn.IFS(T819=1,"Poor",T819=2,"Fair",T819=3,"Good",T819=4,"Excellent")</f>
        <v>Good</v>
      </c>
      <c r="V819" s="5" t="s">
        <v>43</v>
      </c>
      <c r="W819" s="5">
        <v>11</v>
      </c>
      <c r="X819" s="28">
        <f t="shared" ca="1" si="139"/>
        <v>42093</v>
      </c>
      <c r="Y819" s="28">
        <f t="shared" ca="1" si="140"/>
        <v>46476</v>
      </c>
      <c r="Z819" s="28" t="str">
        <f t="shared" ca="1" si="141"/>
        <v>Due Soon</v>
      </c>
      <c r="AA819" s="5" t="str" cm="1">
        <f t="array" ref="AA819">_xlfn.IFS(W819&gt;10,"Veteran",W819&gt;=6,"Experienced",W819&gt;=2,"Developing",W819&gt;=0,"New")</f>
        <v>Veteran</v>
      </c>
      <c r="AB819" s="5" t="str" cm="1">
        <f t="array" ref="AB819">_xlfn.IFS(G819=1,"Junior",G819=2,"Mid-Level",G819=3,"Senior",G819=4,"Lead",G819=5,"Principal")&amp;" "&amp;TRIM(PROPER(H819))</f>
        <v>Mid-Level Manufacturing Director</v>
      </c>
      <c r="AC819" s="19" t="str">
        <f t="shared" ca="1" si="142"/>
        <v>Ma-Res-2015-818 is a Mid-Level Manufacturing Director in the Research &amp; Development department, aged 36, single and has been with the Company for 11years</v>
      </c>
    </row>
    <row r="820" spans="1:29">
      <c r="A820" s="18" t="str">
        <f t="shared" ca="1" si="132"/>
        <v>Sa-Sal-2024-819</v>
      </c>
      <c r="B820" s="5">
        <v>31</v>
      </c>
      <c r="C820" s="5" t="str">
        <f t="shared" si="133"/>
        <v>30-39</v>
      </c>
      <c r="D820" s="5" t="s">
        <v>43</v>
      </c>
      <c r="E820" s="5" t="s">
        <v>37</v>
      </c>
      <c r="F820" s="5" t="s">
        <v>46</v>
      </c>
      <c r="G820" s="5">
        <v>1</v>
      </c>
      <c r="H820" s="5" t="s">
        <v>57</v>
      </c>
      <c r="I820" s="5" t="s">
        <v>48</v>
      </c>
      <c r="J820" s="7">
        <v>2791</v>
      </c>
      <c r="K820" s="7">
        <f t="shared" si="134"/>
        <v>195.37</v>
      </c>
      <c r="L820" s="7">
        <f t="shared" si="135"/>
        <v>2595.63</v>
      </c>
      <c r="M820" s="7">
        <v>21981</v>
      </c>
      <c r="N820" s="5" t="s">
        <v>43</v>
      </c>
      <c r="O820" s="5">
        <v>12</v>
      </c>
      <c r="P820" s="7">
        <f t="shared" si="136"/>
        <v>3125.92</v>
      </c>
      <c r="Q820" s="7">
        <f t="shared" si="137"/>
        <v>4019.0400000000009</v>
      </c>
      <c r="R820" s="7" t="str">
        <f t="shared" si="138"/>
        <v>Normal</v>
      </c>
      <c r="S820" s="5">
        <v>3</v>
      </c>
      <c r="T820" s="5">
        <v>3</v>
      </c>
      <c r="U820" s="5" t="str" cm="1">
        <f t="array" ref="U820">_xlfn.IFS(T820=1,"Poor",T820=2,"Fair",T820=3,"Good",T820=4,"Excellent")</f>
        <v>Good</v>
      </c>
      <c r="V820" s="5" t="s">
        <v>43</v>
      </c>
      <c r="W820" s="5">
        <v>2</v>
      </c>
      <c r="X820" s="28">
        <f t="shared" ca="1" si="139"/>
        <v>45381</v>
      </c>
      <c r="Y820" s="28">
        <f t="shared" ca="1" si="140"/>
        <v>46842</v>
      </c>
      <c r="Z820" s="28" t="str">
        <f t="shared" ca="1" si="141"/>
        <v>Upcoming</v>
      </c>
      <c r="AA820" s="5" t="str" cm="1">
        <f t="array" ref="AA820">_xlfn.IFS(W820&gt;10,"Veteran",W820&gt;=6,"Experienced",W820&gt;=2,"Developing",W820&gt;=0,"New")</f>
        <v>Developing</v>
      </c>
      <c r="AB820" s="5" t="str" cm="1">
        <f t="array" ref="AB820">_xlfn.IFS(G820=1,"Junior",G820=2,"Mid-Level",G820=3,"Senior",G820=4,"Lead",G820=5,"Principal")&amp;" "&amp;TRIM(PROPER(H820))</f>
        <v>Junior Sales Representative</v>
      </c>
      <c r="AC820" s="19" t="str">
        <f t="shared" ca="1" si="142"/>
        <v>Sa-Sal-2024-819 is a Junior Sales Representative in the Sales department, aged 31, married and has been with the Company for 2years</v>
      </c>
    </row>
    <row r="821" spans="1:29">
      <c r="A821" s="18" t="str">
        <f t="shared" ca="1" si="132"/>
        <v>Re-Res-2021-820</v>
      </c>
      <c r="B821" s="5">
        <v>28</v>
      </c>
      <c r="C821" s="5" t="str">
        <f t="shared" si="133"/>
        <v>20-29</v>
      </c>
      <c r="D821" s="5" t="s">
        <v>43</v>
      </c>
      <c r="E821" s="5" t="s">
        <v>45</v>
      </c>
      <c r="F821" s="5" t="s">
        <v>46</v>
      </c>
      <c r="G821" s="5">
        <v>1</v>
      </c>
      <c r="H821" s="5" t="s">
        <v>47</v>
      </c>
      <c r="I821" s="5" t="s">
        <v>48</v>
      </c>
      <c r="J821" s="7">
        <v>3201</v>
      </c>
      <c r="K821" s="7">
        <f t="shared" si="134"/>
        <v>480.15</v>
      </c>
      <c r="L821" s="7">
        <f t="shared" si="135"/>
        <v>2720.85</v>
      </c>
      <c r="M821" s="7">
        <v>19911</v>
      </c>
      <c r="N821" s="5" t="s">
        <v>43</v>
      </c>
      <c r="O821" s="5">
        <v>17</v>
      </c>
      <c r="P821" s="7">
        <f t="shared" si="136"/>
        <v>3745.1699999999996</v>
      </c>
      <c r="Q821" s="7">
        <f t="shared" si="137"/>
        <v>6530.0399999999954</v>
      </c>
      <c r="R821" s="7" t="str">
        <f t="shared" si="138"/>
        <v>Normal</v>
      </c>
      <c r="S821" s="5">
        <v>3</v>
      </c>
      <c r="T821" s="5">
        <v>1</v>
      </c>
      <c r="U821" s="5" t="str" cm="1">
        <f t="array" ref="U821">_xlfn.IFS(T821=1,"Poor",T821=2,"Fair",T821=3,"Good",T821=4,"Excellent")</f>
        <v>Poor</v>
      </c>
      <c r="V821" s="5" t="s">
        <v>43</v>
      </c>
      <c r="W821" s="5">
        <v>5</v>
      </c>
      <c r="X821" s="28">
        <f t="shared" ca="1" si="139"/>
        <v>44285</v>
      </c>
      <c r="Y821" s="28">
        <f t="shared" ca="1" si="140"/>
        <v>46476</v>
      </c>
      <c r="Z821" s="28" t="str">
        <f t="shared" ca="1" si="141"/>
        <v>Due Soon</v>
      </c>
      <c r="AA821" s="5" t="str" cm="1">
        <f t="array" ref="AA821">_xlfn.IFS(W821&gt;10,"Veteran",W821&gt;=6,"Experienced",W821&gt;=2,"Developing",W821&gt;=0,"New")</f>
        <v>Developing</v>
      </c>
      <c r="AB821" s="5" t="str" cm="1">
        <f t="array" ref="AB821">_xlfn.IFS(G821=1,"Junior",G821=2,"Mid-Level",G821=3,"Senior",G821=4,"Lead",G821=5,"Principal")&amp;" "&amp;TRIM(PROPER(H821))</f>
        <v>Junior Research Scientist</v>
      </c>
      <c r="AC821" s="19" t="str">
        <f t="shared" ca="1" si="142"/>
        <v>Re-Res-2021-820 is a Junior Research Scientist in the Research &amp; Development department, aged 28, married and has been with the Company for 5years</v>
      </c>
    </row>
    <row r="822" spans="1:29">
      <c r="A822" s="18" t="str">
        <f t="shared" ca="1" si="132"/>
        <v>Sa-Sal-2021-821</v>
      </c>
      <c r="B822" s="5">
        <v>35</v>
      </c>
      <c r="C822" s="5" t="str">
        <f t="shared" si="133"/>
        <v>30-39</v>
      </c>
      <c r="D822" s="5" t="s">
        <v>43</v>
      </c>
      <c r="E822" s="5" t="s">
        <v>37</v>
      </c>
      <c r="F822" s="5" t="s">
        <v>46</v>
      </c>
      <c r="G822" s="5">
        <v>2</v>
      </c>
      <c r="H822" s="5" t="s">
        <v>40</v>
      </c>
      <c r="I822" s="5" t="s">
        <v>52</v>
      </c>
      <c r="J822" s="7">
        <v>4968</v>
      </c>
      <c r="K822" s="7">
        <f t="shared" si="134"/>
        <v>745.19999999999993</v>
      </c>
      <c r="L822" s="7">
        <f t="shared" si="135"/>
        <v>4222.8</v>
      </c>
      <c r="M822" s="7">
        <v>18500</v>
      </c>
      <c r="N822" s="5" t="s">
        <v>43</v>
      </c>
      <c r="O822" s="5">
        <v>11</v>
      </c>
      <c r="P822" s="7">
        <f t="shared" si="136"/>
        <v>5514.4800000000005</v>
      </c>
      <c r="Q822" s="7">
        <f t="shared" si="137"/>
        <v>6557.7600000000057</v>
      </c>
      <c r="R822" s="7" t="str">
        <f t="shared" si="138"/>
        <v>Normal</v>
      </c>
      <c r="S822" s="5">
        <v>3</v>
      </c>
      <c r="T822" s="5">
        <v>3</v>
      </c>
      <c r="U822" s="5" t="str" cm="1">
        <f t="array" ref="U822">_xlfn.IFS(T822=1,"Poor",T822=2,"Fair",T822=3,"Good",T822=4,"Excellent")</f>
        <v>Good</v>
      </c>
      <c r="V822" s="5" t="s">
        <v>43</v>
      </c>
      <c r="W822" s="5">
        <v>5</v>
      </c>
      <c r="X822" s="28">
        <f t="shared" ca="1" si="139"/>
        <v>44285</v>
      </c>
      <c r="Y822" s="28">
        <f t="shared" ca="1" si="140"/>
        <v>46476</v>
      </c>
      <c r="Z822" s="28" t="str">
        <f t="shared" ca="1" si="141"/>
        <v>Due Soon</v>
      </c>
      <c r="AA822" s="5" t="str" cm="1">
        <f t="array" ref="AA822">_xlfn.IFS(W822&gt;10,"Veteran",W822&gt;=6,"Experienced",W822&gt;=2,"Developing",W822&gt;=0,"New")</f>
        <v>Developing</v>
      </c>
      <c r="AB822" s="5" t="str" cm="1">
        <f t="array" ref="AB822">_xlfn.IFS(G822=1,"Junior",G822=2,"Mid-Level",G822=3,"Senior",G822=4,"Lead",G822=5,"Principal")&amp;" "&amp;TRIM(PROPER(H822))</f>
        <v>Mid-Level Sales Executive</v>
      </c>
      <c r="AC822" s="19" t="str">
        <f t="shared" ca="1" si="142"/>
        <v>Sa-Sal-2021-821 is a Mid-Level Sales Executive in the Sales department, aged 35, divorced and has been with the Company for 5years</v>
      </c>
    </row>
    <row r="823" spans="1:29">
      <c r="A823" s="18" t="str">
        <f t="shared" ca="1" si="132"/>
        <v>Sa-Sal-2017-822</v>
      </c>
      <c r="B823" s="5">
        <v>49</v>
      </c>
      <c r="C823" s="5" t="str">
        <f t="shared" si="133"/>
        <v>40-49</v>
      </c>
      <c r="D823" s="5" t="s">
        <v>43</v>
      </c>
      <c r="E823" s="5" t="s">
        <v>37</v>
      </c>
      <c r="F823" s="5" t="s">
        <v>46</v>
      </c>
      <c r="G823" s="5">
        <v>4</v>
      </c>
      <c r="H823" s="5" t="s">
        <v>40</v>
      </c>
      <c r="I823" s="5" t="s">
        <v>48</v>
      </c>
      <c r="J823" s="7">
        <v>13120</v>
      </c>
      <c r="K823" s="7">
        <f t="shared" si="134"/>
        <v>3936</v>
      </c>
      <c r="L823" s="7">
        <f t="shared" si="135"/>
        <v>9184</v>
      </c>
      <c r="M823" s="7">
        <v>11879</v>
      </c>
      <c r="N823" s="5" t="s">
        <v>43</v>
      </c>
      <c r="O823" s="5">
        <v>17</v>
      </c>
      <c r="P823" s="7">
        <f t="shared" si="136"/>
        <v>15350.4</v>
      </c>
      <c r="Q823" s="7">
        <f t="shared" si="137"/>
        <v>26764.799999999996</v>
      </c>
      <c r="R823" s="7" t="str">
        <f t="shared" si="138"/>
        <v>Normal</v>
      </c>
      <c r="S823" s="5">
        <v>3</v>
      </c>
      <c r="T823" s="5">
        <v>3</v>
      </c>
      <c r="U823" s="5" t="str" cm="1">
        <f t="array" ref="U823">_xlfn.IFS(T823=1,"Poor",T823=2,"Fair",T823=3,"Good",T823=4,"Excellent")</f>
        <v>Good</v>
      </c>
      <c r="V823" s="5" t="s">
        <v>43</v>
      </c>
      <c r="W823" s="5">
        <v>9</v>
      </c>
      <c r="X823" s="28">
        <f t="shared" ca="1" si="139"/>
        <v>42824</v>
      </c>
      <c r="Y823" s="28">
        <f t="shared" ca="1" si="140"/>
        <v>46476</v>
      </c>
      <c r="Z823" s="28" t="str">
        <f t="shared" ca="1" si="141"/>
        <v>Due Soon</v>
      </c>
      <c r="AA823" s="5" t="str" cm="1">
        <f t="array" ref="AA823">_xlfn.IFS(W823&gt;10,"Veteran",W823&gt;=6,"Experienced",W823&gt;=2,"Developing",W823&gt;=0,"New")</f>
        <v>Experienced</v>
      </c>
      <c r="AB823" s="5" t="str" cm="1">
        <f t="array" ref="AB823">_xlfn.IFS(G823=1,"Junior",G823=2,"Mid-Level",G823=3,"Senior",G823=4,"Lead",G823=5,"Principal")&amp;" "&amp;TRIM(PROPER(H823))</f>
        <v>Lead Sales Executive</v>
      </c>
      <c r="AC823" s="19" t="str">
        <f t="shared" ca="1" si="142"/>
        <v>Sa-Sal-2017-822 is a Lead Sales Executive in the Sales department, aged 49, married and has been with the Company for 9years</v>
      </c>
    </row>
    <row r="824" spans="1:29">
      <c r="A824" s="18" t="str">
        <f t="shared" ca="1" si="132"/>
        <v>Ma-Res-2023-823</v>
      </c>
      <c r="B824" s="5">
        <v>34</v>
      </c>
      <c r="C824" s="5" t="str">
        <f t="shared" si="133"/>
        <v>30-39</v>
      </c>
      <c r="D824" s="5" t="s">
        <v>43</v>
      </c>
      <c r="E824" s="5" t="s">
        <v>45</v>
      </c>
      <c r="F824" s="5" t="s">
        <v>46</v>
      </c>
      <c r="G824" s="5">
        <v>2</v>
      </c>
      <c r="H824" s="5" t="s">
        <v>53</v>
      </c>
      <c r="I824" s="5" t="s">
        <v>41</v>
      </c>
      <c r="J824" s="7">
        <v>4033</v>
      </c>
      <c r="K824" s="7">
        <f t="shared" si="134"/>
        <v>604.94999999999993</v>
      </c>
      <c r="L824" s="7">
        <f t="shared" si="135"/>
        <v>3428.05</v>
      </c>
      <c r="M824" s="7">
        <v>15834</v>
      </c>
      <c r="N824" s="5" t="s">
        <v>43</v>
      </c>
      <c r="O824" s="5">
        <v>11</v>
      </c>
      <c r="P824" s="7">
        <f t="shared" si="136"/>
        <v>4476.63</v>
      </c>
      <c r="Q824" s="7">
        <f t="shared" si="137"/>
        <v>5323.5600000000013</v>
      </c>
      <c r="R824" s="7" t="str">
        <f t="shared" si="138"/>
        <v>Normal</v>
      </c>
      <c r="S824" s="5">
        <v>3</v>
      </c>
      <c r="T824" s="5">
        <v>2</v>
      </c>
      <c r="U824" s="5" t="str" cm="1">
        <f t="array" ref="U824">_xlfn.IFS(T824=1,"Poor",T824=2,"Fair",T824=3,"Good",T824=4,"Excellent")</f>
        <v>Fair</v>
      </c>
      <c r="V824" s="5" t="s">
        <v>43</v>
      </c>
      <c r="W824" s="5">
        <v>3</v>
      </c>
      <c r="X824" s="28">
        <f t="shared" ca="1" si="139"/>
        <v>45015</v>
      </c>
      <c r="Y824" s="28">
        <f t="shared" ca="1" si="140"/>
        <v>46476</v>
      </c>
      <c r="Z824" s="28" t="str">
        <f t="shared" ca="1" si="141"/>
        <v>Due Soon</v>
      </c>
      <c r="AA824" s="5" t="str" cm="1">
        <f t="array" ref="AA824">_xlfn.IFS(W824&gt;10,"Veteran",W824&gt;=6,"Experienced",W824&gt;=2,"Developing",W824&gt;=0,"New")</f>
        <v>Developing</v>
      </c>
      <c r="AB824" s="5" t="str" cm="1">
        <f t="array" ref="AB824">_xlfn.IFS(G824=1,"Junior",G824=2,"Mid-Level",G824=3,"Senior",G824=4,"Lead",G824=5,"Principal")&amp;" "&amp;TRIM(PROPER(H824))</f>
        <v>Mid-Level Manufacturing Director</v>
      </c>
      <c r="AC824" s="19" t="str">
        <f t="shared" ca="1" si="142"/>
        <v>Ma-Res-2023-823 is a Mid-Level Manufacturing Director in the Research &amp; Development department, aged 34, single and has been with the Company for 3years</v>
      </c>
    </row>
    <row r="825" spans="1:29">
      <c r="A825" s="18" t="str">
        <f t="shared" ca="1" si="132"/>
        <v>Re-Res-2019-824</v>
      </c>
      <c r="B825" s="5">
        <v>29</v>
      </c>
      <c r="C825" s="5" t="str">
        <f t="shared" si="133"/>
        <v>20-29</v>
      </c>
      <c r="D825" s="5" t="s">
        <v>43</v>
      </c>
      <c r="E825" s="5" t="s">
        <v>45</v>
      </c>
      <c r="F825" s="5" t="s">
        <v>39</v>
      </c>
      <c r="G825" s="5">
        <v>1</v>
      </c>
      <c r="H825" s="5" t="s">
        <v>47</v>
      </c>
      <c r="I825" s="5" t="s">
        <v>52</v>
      </c>
      <c r="J825" s="7">
        <v>3291</v>
      </c>
      <c r="K825" s="7">
        <f t="shared" si="134"/>
        <v>493.65</v>
      </c>
      <c r="L825" s="7">
        <f t="shared" si="135"/>
        <v>2797.35</v>
      </c>
      <c r="M825" s="7">
        <v>17940</v>
      </c>
      <c r="N825" s="5" t="s">
        <v>43</v>
      </c>
      <c r="O825" s="5">
        <v>14</v>
      </c>
      <c r="P825" s="7">
        <f t="shared" si="136"/>
        <v>3751.7400000000002</v>
      </c>
      <c r="Q825" s="7">
        <f t="shared" si="137"/>
        <v>5528.8800000000028</v>
      </c>
      <c r="R825" s="7" t="str">
        <f t="shared" si="138"/>
        <v>Normal</v>
      </c>
      <c r="S825" s="5">
        <v>3</v>
      </c>
      <c r="T825" s="5">
        <v>2</v>
      </c>
      <c r="U825" s="5" t="str" cm="1">
        <f t="array" ref="U825">_xlfn.IFS(T825=1,"Poor",T825=2,"Fair",T825=3,"Good",T825=4,"Excellent")</f>
        <v>Fair</v>
      </c>
      <c r="V825" s="5" t="s">
        <v>43</v>
      </c>
      <c r="W825" s="5">
        <v>7</v>
      </c>
      <c r="X825" s="28">
        <f t="shared" ca="1" si="139"/>
        <v>43554</v>
      </c>
      <c r="Y825" s="28">
        <f t="shared" ca="1" si="140"/>
        <v>46476</v>
      </c>
      <c r="Z825" s="28" t="str">
        <f t="shared" ca="1" si="141"/>
        <v>Due Soon</v>
      </c>
      <c r="AA825" s="5" t="str" cm="1">
        <f t="array" ref="AA825">_xlfn.IFS(W825&gt;10,"Veteran",W825&gt;=6,"Experienced",W825&gt;=2,"Developing",W825&gt;=0,"New")</f>
        <v>Experienced</v>
      </c>
      <c r="AB825" s="5" t="str" cm="1">
        <f t="array" ref="AB825">_xlfn.IFS(G825=1,"Junior",G825=2,"Mid-Level",G825=3,"Senior",G825=4,"Lead",G825=5,"Principal")&amp;" "&amp;TRIM(PROPER(H825))</f>
        <v>Junior Research Scientist</v>
      </c>
      <c r="AC825" s="19" t="str">
        <f t="shared" ca="1" si="142"/>
        <v>Re-Res-2019-824 is a Junior Research Scientist in the Research &amp; Development department, aged 29, divorced and has been with the Company for 7years</v>
      </c>
    </row>
    <row r="826" spans="1:29">
      <c r="A826" s="18" t="str">
        <f t="shared" ca="1" si="132"/>
        <v>La-Res-2025-825</v>
      </c>
      <c r="B826" s="5">
        <v>42</v>
      </c>
      <c r="C826" s="5" t="str">
        <f t="shared" si="133"/>
        <v>40-49</v>
      </c>
      <c r="D826" s="5" t="s">
        <v>43</v>
      </c>
      <c r="E826" s="5" t="s">
        <v>45</v>
      </c>
      <c r="F826" s="5" t="s">
        <v>46</v>
      </c>
      <c r="G826" s="5">
        <v>2</v>
      </c>
      <c r="H826" s="5" t="s">
        <v>50</v>
      </c>
      <c r="I826" s="5" t="s">
        <v>41</v>
      </c>
      <c r="J826" s="7">
        <v>4272</v>
      </c>
      <c r="K826" s="7">
        <f t="shared" si="134"/>
        <v>640.79999999999995</v>
      </c>
      <c r="L826" s="7">
        <f t="shared" si="135"/>
        <v>3631.2</v>
      </c>
      <c r="M826" s="7">
        <v>9558</v>
      </c>
      <c r="N826" s="5" t="s">
        <v>43</v>
      </c>
      <c r="O826" s="5">
        <v>19</v>
      </c>
      <c r="P826" s="7">
        <f t="shared" si="136"/>
        <v>5083.6799999999994</v>
      </c>
      <c r="Q826" s="7">
        <f t="shared" si="137"/>
        <v>9740.1599999999926</v>
      </c>
      <c r="R826" s="7" t="str">
        <f t="shared" si="138"/>
        <v>Normal</v>
      </c>
      <c r="S826" s="5">
        <v>3</v>
      </c>
      <c r="T826" s="5">
        <v>3</v>
      </c>
      <c r="U826" s="5" t="str" cm="1">
        <f t="array" ref="U826">_xlfn.IFS(T826=1,"Poor",T826=2,"Fair",T826=3,"Good",T826=4,"Excellent")</f>
        <v>Good</v>
      </c>
      <c r="V826" s="5" t="s">
        <v>43</v>
      </c>
      <c r="W826" s="5">
        <v>1</v>
      </c>
      <c r="X826" s="28">
        <f t="shared" ca="1" si="139"/>
        <v>45746</v>
      </c>
      <c r="Y826" s="28">
        <f t="shared" ca="1" si="140"/>
        <v>46476</v>
      </c>
      <c r="Z826" s="28" t="str">
        <f t="shared" ca="1" si="141"/>
        <v>Due Soon</v>
      </c>
      <c r="AA826" s="5" t="str" cm="1">
        <f t="array" ref="AA826">_xlfn.IFS(W826&gt;10,"Veteran",W826&gt;=6,"Experienced",W826&gt;=2,"Developing",W826&gt;=0,"New")</f>
        <v>New</v>
      </c>
      <c r="AB826" s="5" t="str" cm="1">
        <f t="array" ref="AB826">_xlfn.IFS(G826=1,"Junior",G826=2,"Mid-Level",G826=3,"Senior",G826=4,"Lead",G826=5,"Principal")&amp;" "&amp;TRIM(PROPER(H826))</f>
        <v>Mid-Level Laboratory Technician</v>
      </c>
      <c r="AC826" s="19" t="str">
        <f t="shared" ca="1" si="142"/>
        <v>La-Res-2025-825 is a Mid-Level Laboratory Technician in the Research &amp; Development department, aged 42, single and has been with the Company for 1years</v>
      </c>
    </row>
    <row r="827" spans="1:29">
      <c r="A827" s="18" t="str">
        <f t="shared" ca="1" si="132"/>
        <v>Ma-Res-2016-826</v>
      </c>
      <c r="B827" s="5">
        <v>29</v>
      </c>
      <c r="C827" s="5" t="str">
        <f t="shared" si="133"/>
        <v>20-29</v>
      </c>
      <c r="D827" s="5" t="s">
        <v>43</v>
      </c>
      <c r="E827" s="5" t="s">
        <v>45</v>
      </c>
      <c r="F827" s="5" t="s">
        <v>46</v>
      </c>
      <c r="G827" s="5">
        <v>2</v>
      </c>
      <c r="H827" s="5" t="s">
        <v>53</v>
      </c>
      <c r="I827" s="5" t="s">
        <v>48</v>
      </c>
      <c r="J827" s="7">
        <v>5056</v>
      </c>
      <c r="K827" s="7">
        <f t="shared" si="134"/>
        <v>758.4</v>
      </c>
      <c r="L827" s="7">
        <f t="shared" si="135"/>
        <v>4297.6000000000004</v>
      </c>
      <c r="M827" s="7">
        <v>17689</v>
      </c>
      <c r="N827" s="5" t="s">
        <v>35</v>
      </c>
      <c r="O827" s="5">
        <v>15</v>
      </c>
      <c r="P827" s="7">
        <f t="shared" si="136"/>
        <v>5814.4</v>
      </c>
      <c r="Q827" s="7">
        <f t="shared" si="137"/>
        <v>9100.7999999999956</v>
      </c>
      <c r="R827" s="7" t="str">
        <f t="shared" si="138"/>
        <v>Normal</v>
      </c>
      <c r="S827" s="5">
        <v>3</v>
      </c>
      <c r="T827" s="5">
        <v>2</v>
      </c>
      <c r="U827" s="5" t="str" cm="1">
        <f t="array" ref="U827">_xlfn.IFS(T827=1,"Poor",T827=2,"Fair",T827=3,"Good",T827=4,"Excellent")</f>
        <v>Fair</v>
      </c>
      <c r="V827" s="5" t="s">
        <v>35</v>
      </c>
      <c r="W827" s="5">
        <v>10</v>
      </c>
      <c r="X827" s="28">
        <f t="shared" ca="1" si="139"/>
        <v>42459</v>
      </c>
      <c r="Y827" s="28">
        <f t="shared" ca="1" si="140"/>
        <v>46842</v>
      </c>
      <c r="Z827" s="28" t="str">
        <f t="shared" ca="1" si="141"/>
        <v>Upcoming</v>
      </c>
      <c r="AA827" s="5" t="str" cm="1">
        <f t="array" ref="AA827">_xlfn.IFS(W827&gt;10,"Veteran",W827&gt;=6,"Experienced",W827&gt;=2,"Developing",W827&gt;=0,"New")</f>
        <v>Experienced</v>
      </c>
      <c r="AB827" s="5" t="str" cm="1">
        <f t="array" ref="AB827">_xlfn.IFS(G827=1,"Junior",G827=2,"Mid-Level",G827=3,"Senior",G827=4,"Lead",G827=5,"Principal")&amp;" "&amp;TRIM(PROPER(H827))</f>
        <v>Mid-Level Manufacturing Director</v>
      </c>
      <c r="AC827" s="19" t="str">
        <f t="shared" ca="1" si="142"/>
        <v>Ma-Res-2016-826 is a Mid-Level Manufacturing Director in the Research &amp; Development department, aged 29, married and has been with the Company for 10years</v>
      </c>
    </row>
    <row r="828" spans="1:29">
      <c r="A828" s="18" t="str">
        <f t="shared" ca="1" si="132"/>
        <v>Hu-Hum-2019-827</v>
      </c>
      <c r="B828" s="5">
        <v>38</v>
      </c>
      <c r="C828" s="5" t="str">
        <f t="shared" si="133"/>
        <v>30-39</v>
      </c>
      <c r="D828" s="5" t="s">
        <v>43</v>
      </c>
      <c r="E828" s="5" t="s">
        <v>61</v>
      </c>
      <c r="F828" s="5" t="s">
        <v>46</v>
      </c>
      <c r="G828" s="5">
        <v>1</v>
      </c>
      <c r="H828" s="5" t="s">
        <v>61</v>
      </c>
      <c r="I828" s="5" t="s">
        <v>48</v>
      </c>
      <c r="J828" s="7">
        <v>2844</v>
      </c>
      <c r="K828" s="7">
        <f t="shared" si="134"/>
        <v>199.08</v>
      </c>
      <c r="L828" s="7">
        <f t="shared" si="135"/>
        <v>2644.92</v>
      </c>
      <c r="M828" s="7">
        <v>6004</v>
      </c>
      <c r="N828" s="5" t="s">
        <v>43</v>
      </c>
      <c r="O828" s="5">
        <v>13</v>
      </c>
      <c r="P828" s="7">
        <f t="shared" si="136"/>
        <v>3213.72</v>
      </c>
      <c r="Q828" s="7">
        <f t="shared" si="137"/>
        <v>4436.6399999999976</v>
      </c>
      <c r="R828" s="7" t="str">
        <f t="shared" si="138"/>
        <v>Normal</v>
      </c>
      <c r="S828" s="5">
        <v>3</v>
      </c>
      <c r="T828" s="5">
        <v>4</v>
      </c>
      <c r="U828" s="5" t="str" cm="1">
        <f t="array" ref="U828">_xlfn.IFS(T828=1,"Poor",T828=2,"Fair",T828=3,"Good",T828=4,"Excellent")</f>
        <v>Excellent</v>
      </c>
      <c r="V828" s="5" t="s">
        <v>43</v>
      </c>
      <c r="W828" s="5">
        <v>7</v>
      </c>
      <c r="X828" s="28">
        <f t="shared" ca="1" si="139"/>
        <v>43554</v>
      </c>
      <c r="Y828" s="28">
        <f t="shared" ca="1" si="140"/>
        <v>46476</v>
      </c>
      <c r="Z828" s="28" t="str">
        <f t="shared" ca="1" si="141"/>
        <v>Due Soon</v>
      </c>
      <c r="AA828" s="5" t="str" cm="1">
        <f t="array" ref="AA828">_xlfn.IFS(W828&gt;10,"Veteran",W828&gt;=6,"Experienced",W828&gt;=2,"Developing",W828&gt;=0,"New")</f>
        <v>Experienced</v>
      </c>
      <c r="AB828" s="5" t="str" cm="1">
        <f t="array" ref="AB828">_xlfn.IFS(G828=1,"Junior",G828=2,"Mid-Level",G828=3,"Senior",G828=4,"Lead",G828=5,"Principal")&amp;" "&amp;TRIM(PROPER(H828))</f>
        <v>Junior Human Resources</v>
      </c>
      <c r="AC828" s="19" t="str">
        <f t="shared" ca="1" si="142"/>
        <v>Hu-Hum-2019-827 is a Junior Human Resources in the Human Resources department, aged 38, married and has been with the Company for 7years</v>
      </c>
    </row>
    <row r="829" spans="1:29">
      <c r="A829" s="18" t="str">
        <f t="shared" ca="1" si="132"/>
        <v>Re-Res-2023-828</v>
      </c>
      <c r="B829" s="5">
        <v>28</v>
      </c>
      <c r="C829" s="5" t="str">
        <f t="shared" si="133"/>
        <v>20-29</v>
      </c>
      <c r="D829" s="5" t="s">
        <v>43</v>
      </c>
      <c r="E829" s="5" t="s">
        <v>45</v>
      </c>
      <c r="F829" s="5" t="s">
        <v>46</v>
      </c>
      <c r="G829" s="5">
        <v>1</v>
      </c>
      <c r="H829" s="5" t="s">
        <v>47</v>
      </c>
      <c r="I829" s="5" t="s">
        <v>52</v>
      </c>
      <c r="J829" s="7">
        <v>2703</v>
      </c>
      <c r="K829" s="7">
        <f t="shared" si="134"/>
        <v>189.21</v>
      </c>
      <c r="L829" s="7">
        <f t="shared" si="135"/>
        <v>2513.79</v>
      </c>
      <c r="M829" s="7">
        <v>22088</v>
      </c>
      <c r="N829" s="5" t="s">
        <v>35</v>
      </c>
      <c r="O829" s="5">
        <v>14</v>
      </c>
      <c r="P829" s="7">
        <f t="shared" si="136"/>
        <v>3081.4200000000005</v>
      </c>
      <c r="Q829" s="7">
        <f t="shared" si="137"/>
        <v>4541.0400000000063</v>
      </c>
      <c r="R829" s="7" t="str">
        <f t="shared" si="138"/>
        <v>Normal</v>
      </c>
      <c r="S829" s="5">
        <v>3</v>
      </c>
      <c r="T829" s="5">
        <v>3</v>
      </c>
      <c r="U829" s="5" t="str" cm="1">
        <f t="array" ref="U829">_xlfn.IFS(T829=1,"Poor",T829=2,"Fair",T829=3,"Good",T829=4,"Excellent")</f>
        <v>Good</v>
      </c>
      <c r="V829" s="5" t="s">
        <v>35</v>
      </c>
      <c r="W829" s="5">
        <v>3</v>
      </c>
      <c r="X829" s="28">
        <f t="shared" ca="1" si="139"/>
        <v>45015</v>
      </c>
      <c r="Y829" s="28">
        <f t="shared" ca="1" si="140"/>
        <v>46476</v>
      </c>
      <c r="Z829" s="28" t="str">
        <f t="shared" ca="1" si="141"/>
        <v>Due Soon</v>
      </c>
      <c r="AA829" s="5" t="str" cm="1">
        <f t="array" ref="AA829">_xlfn.IFS(W829&gt;10,"Veteran",W829&gt;=6,"Experienced",W829&gt;=2,"Developing",W829&gt;=0,"New")</f>
        <v>Developing</v>
      </c>
      <c r="AB829" s="5" t="str" cm="1">
        <f t="array" ref="AB829">_xlfn.IFS(G829=1,"Junior",G829=2,"Mid-Level",G829=3,"Senior",G829=4,"Lead",G829=5,"Principal")&amp;" "&amp;TRIM(PROPER(H829))</f>
        <v>Junior Research Scientist</v>
      </c>
      <c r="AC829" s="19" t="str">
        <f t="shared" ca="1" si="142"/>
        <v>Re-Res-2023-828 is a Junior Research Scientist in the Research &amp; Development department, aged 28, divorced and has been with the Company for 3years</v>
      </c>
    </row>
    <row r="830" spans="1:29">
      <c r="A830" s="18" t="str">
        <f t="shared" ca="1" si="132"/>
        <v>La-Res-2026-829</v>
      </c>
      <c r="B830" s="5">
        <v>18</v>
      </c>
      <c r="C830" s="5" t="str">
        <f t="shared" si="133"/>
        <v>20-29</v>
      </c>
      <c r="D830" s="5" t="s">
        <v>35</v>
      </c>
      <c r="E830" s="5" t="s">
        <v>45</v>
      </c>
      <c r="F830" s="5" t="s">
        <v>46</v>
      </c>
      <c r="G830" s="5">
        <v>1</v>
      </c>
      <c r="H830" s="5" t="s">
        <v>50</v>
      </c>
      <c r="I830" s="5" t="s">
        <v>41</v>
      </c>
      <c r="J830" s="7">
        <v>1904</v>
      </c>
      <c r="K830" s="7">
        <f t="shared" si="134"/>
        <v>133.28</v>
      </c>
      <c r="L830" s="7">
        <f t="shared" si="135"/>
        <v>1770.72</v>
      </c>
      <c r="M830" s="7">
        <v>13556</v>
      </c>
      <c r="N830" s="5" t="s">
        <v>43</v>
      </c>
      <c r="O830" s="5">
        <v>12</v>
      </c>
      <c r="P830" s="7">
        <f t="shared" si="136"/>
        <v>2132.48</v>
      </c>
      <c r="Q830" s="7">
        <f t="shared" si="137"/>
        <v>2741.76</v>
      </c>
      <c r="R830" s="7" t="str">
        <f t="shared" si="138"/>
        <v>Normal</v>
      </c>
      <c r="S830" s="5">
        <v>3</v>
      </c>
      <c r="T830" s="5">
        <v>3</v>
      </c>
      <c r="U830" s="5" t="str" cm="1">
        <f t="array" ref="U830">_xlfn.IFS(T830=1,"Poor",T830=2,"Fair",T830=3,"Good",T830=4,"Excellent")</f>
        <v>Good</v>
      </c>
      <c r="V830" s="5" t="s">
        <v>43</v>
      </c>
      <c r="W830" s="5">
        <v>0</v>
      </c>
      <c r="X830" s="28">
        <f t="shared" ca="1" si="139"/>
        <v>46111</v>
      </c>
      <c r="Y830" s="28">
        <f t="shared" ca="1" si="140"/>
        <v>46842</v>
      </c>
      <c r="Z830" s="28" t="str">
        <f t="shared" ca="1" si="141"/>
        <v>Upcoming</v>
      </c>
      <c r="AA830" s="5" t="str" cm="1">
        <f t="array" ref="AA830">_xlfn.IFS(W830&gt;10,"Veteran",W830&gt;=6,"Experienced",W830&gt;=2,"Developing",W830&gt;=0,"New")</f>
        <v>New</v>
      </c>
      <c r="AB830" s="5" t="str" cm="1">
        <f t="array" ref="AB830">_xlfn.IFS(G830=1,"Junior",G830=2,"Mid-Level",G830=3,"Senior",G830=4,"Lead",G830=5,"Principal")&amp;" "&amp;TRIM(PROPER(H830))</f>
        <v>Junior Laboratory Technician</v>
      </c>
      <c r="AC830" s="19" t="str">
        <f t="shared" ca="1" si="142"/>
        <v>La-Res-2026-829 is a Junior Laboratory Technician in the Research &amp; Development department, aged 18, single and has been with the Company for 0years</v>
      </c>
    </row>
    <row r="831" spans="1:29">
      <c r="A831" s="18" t="str">
        <f t="shared" ca="1" si="132"/>
        <v>Sa-Sal-2021-830</v>
      </c>
      <c r="B831" s="5">
        <v>33</v>
      </c>
      <c r="C831" s="5" t="str">
        <f t="shared" si="133"/>
        <v>30-39</v>
      </c>
      <c r="D831" s="5" t="s">
        <v>35</v>
      </c>
      <c r="E831" s="5" t="s">
        <v>37</v>
      </c>
      <c r="F831" s="5" t="s">
        <v>39</v>
      </c>
      <c r="G831" s="5">
        <v>2</v>
      </c>
      <c r="H831" s="5" t="s">
        <v>40</v>
      </c>
      <c r="I831" s="5" t="s">
        <v>41</v>
      </c>
      <c r="J831" s="7">
        <v>8224</v>
      </c>
      <c r="K831" s="7">
        <f t="shared" si="134"/>
        <v>1809.28</v>
      </c>
      <c r="L831" s="7">
        <f t="shared" si="135"/>
        <v>6414.72</v>
      </c>
      <c r="M831" s="7">
        <v>18385</v>
      </c>
      <c r="N831" s="5" t="s">
        <v>35</v>
      </c>
      <c r="O831" s="5">
        <v>17</v>
      </c>
      <c r="P831" s="7">
        <f t="shared" si="136"/>
        <v>9622.08</v>
      </c>
      <c r="Q831" s="7">
        <f t="shared" si="137"/>
        <v>16776.96</v>
      </c>
      <c r="R831" s="7" t="str">
        <f t="shared" si="138"/>
        <v>Normal</v>
      </c>
      <c r="S831" s="5">
        <v>3</v>
      </c>
      <c r="T831" s="5">
        <v>3</v>
      </c>
      <c r="U831" s="5" t="str" cm="1">
        <f t="array" ref="U831">_xlfn.IFS(T831=1,"Poor",T831=2,"Fair",T831=3,"Good",T831=4,"Excellent")</f>
        <v>Good</v>
      </c>
      <c r="V831" s="5" t="s">
        <v>35</v>
      </c>
      <c r="W831" s="5">
        <v>5</v>
      </c>
      <c r="X831" s="28">
        <f t="shared" ca="1" si="139"/>
        <v>44285</v>
      </c>
      <c r="Y831" s="28">
        <f t="shared" ca="1" si="140"/>
        <v>46476</v>
      </c>
      <c r="Z831" s="28" t="str">
        <f t="shared" ca="1" si="141"/>
        <v>Due Soon</v>
      </c>
      <c r="AA831" s="5" t="str" cm="1">
        <f t="array" ref="AA831">_xlfn.IFS(W831&gt;10,"Veteran",W831&gt;=6,"Experienced",W831&gt;=2,"Developing",W831&gt;=0,"New")</f>
        <v>Developing</v>
      </c>
      <c r="AB831" s="5" t="str" cm="1">
        <f t="array" ref="AB831">_xlfn.IFS(G831=1,"Junior",G831=2,"Mid-Level",G831=3,"Senior",G831=4,"Lead",G831=5,"Principal")&amp;" "&amp;TRIM(PROPER(H831))</f>
        <v>Mid-Level Sales Executive</v>
      </c>
      <c r="AC831" s="19" t="str">
        <f t="shared" ca="1" si="142"/>
        <v>Sa-Sal-2021-830 is a Mid-Level Sales Executive in the Sales department, aged 33, single and has been with the Company for 5years</v>
      </c>
    </row>
    <row r="832" spans="1:29">
      <c r="A832" s="18" t="str">
        <f t="shared" ca="1" si="132"/>
        <v>La-Res-2025-831</v>
      </c>
      <c r="B832" s="5">
        <v>41</v>
      </c>
      <c r="C832" s="5" t="str">
        <f t="shared" si="133"/>
        <v>40-49</v>
      </c>
      <c r="D832" s="5" t="s">
        <v>43</v>
      </c>
      <c r="E832" s="5" t="s">
        <v>45</v>
      </c>
      <c r="F832" s="5" t="s">
        <v>46</v>
      </c>
      <c r="G832" s="5">
        <v>1</v>
      </c>
      <c r="H832" s="5" t="s">
        <v>50</v>
      </c>
      <c r="I832" s="5" t="s">
        <v>48</v>
      </c>
      <c r="J832" s="7">
        <v>4766</v>
      </c>
      <c r="K832" s="7">
        <f t="shared" si="134"/>
        <v>714.9</v>
      </c>
      <c r="L832" s="7">
        <f t="shared" si="135"/>
        <v>4051.1</v>
      </c>
      <c r="M832" s="7">
        <v>9051</v>
      </c>
      <c r="N832" s="5" t="s">
        <v>35</v>
      </c>
      <c r="O832" s="5">
        <v>11</v>
      </c>
      <c r="P832" s="7">
        <f t="shared" si="136"/>
        <v>5290.26</v>
      </c>
      <c r="Q832" s="7">
        <f t="shared" si="137"/>
        <v>6291.1200000000026</v>
      </c>
      <c r="R832" s="7" t="str">
        <f t="shared" si="138"/>
        <v>Normal</v>
      </c>
      <c r="S832" s="5">
        <v>3</v>
      </c>
      <c r="T832" s="5">
        <v>3</v>
      </c>
      <c r="U832" s="5" t="str" cm="1">
        <f t="array" ref="U832">_xlfn.IFS(T832=1,"Poor",T832=2,"Fair",T832=3,"Good",T832=4,"Excellent")</f>
        <v>Good</v>
      </c>
      <c r="V832" s="5" t="s">
        <v>35</v>
      </c>
      <c r="W832" s="5">
        <v>1</v>
      </c>
      <c r="X832" s="28">
        <f t="shared" ca="1" si="139"/>
        <v>45746</v>
      </c>
      <c r="Y832" s="28">
        <f t="shared" ca="1" si="140"/>
        <v>46476</v>
      </c>
      <c r="Z832" s="28" t="str">
        <f t="shared" ca="1" si="141"/>
        <v>Due Soon</v>
      </c>
      <c r="AA832" s="5" t="str" cm="1">
        <f t="array" ref="AA832">_xlfn.IFS(W832&gt;10,"Veteran",W832&gt;=6,"Experienced",W832&gt;=2,"Developing",W832&gt;=0,"New")</f>
        <v>New</v>
      </c>
      <c r="AB832" s="5" t="str" cm="1">
        <f t="array" ref="AB832">_xlfn.IFS(G832=1,"Junior",G832=2,"Mid-Level",G832=3,"Senior",G832=4,"Lead",G832=5,"Principal")&amp;" "&amp;TRIM(PROPER(H832))</f>
        <v>Junior Laboratory Technician</v>
      </c>
      <c r="AC832" s="19" t="str">
        <f t="shared" ca="1" si="142"/>
        <v>La-Res-2025-831 is a Junior Laboratory Technician in the Research &amp; Development department, aged 41, married and has been with the Company for 1years</v>
      </c>
    </row>
    <row r="833" spans="1:29">
      <c r="A833" s="18" t="str">
        <f t="shared" ca="1" si="132"/>
        <v>La-Res-2024-832</v>
      </c>
      <c r="B833" s="5">
        <v>31</v>
      </c>
      <c r="C833" s="5" t="str">
        <f t="shared" si="133"/>
        <v>30-39</v>
      </c>
      <c r="D833" s="5" t="s">
        <v>35</v>
      </c>
      <c r="E833" s="5" t="s">
        <v>45</v>
      </c>
      <c r="F833" s="5" t="s">
        <v>46</v>
      </c>
      <c r="G833" s="5">
        <v>1</v>
      </c>
      <c r="H833" s="5" t="s">
        <v>50</v>
      </c>
      <c r="I833" s="5" t="s">
        <v>48</v>
      </c>
      <c r="J833" s="7">
        <v>2610</v>
      </c>
      <c r="K833" s="7">
        <f t="shared" si="134"/>
        <v>182.70000000000002</v>
      </c>
      <c r="L833" s="7">
        <f t="shared" si="135"/>
        <v>2427.3000000000002</v>
      </c>
      <c r="M833" s="7">
        <v>6233</v>
      </c>
      <c r="N833" s="5" t="s">
        <v>43</v>
      </c>
      <c r="O833" s="5">
        <v>12</v>
      </c>
      <c r="P833" s="7">
        <f t="shared" si="136"/>
        <v>2923.2000000000003</v>
      </c>
      <c r="Q833" s="7">
        <f t="shared" si="137"/>
        <v>3758.4000000000033</v>
      </c>
      <c r="R833" s="7" t="str">
        <f t="shared" si="138"/>
        <v>Normal</v>
      </c>
      <c r="S833" s="5">
        <v>3</v>
      </c>
      <c r="T833" s="5">
        <v>2</v>
      </c>
      <c r="U833" s="5" t="str" cm="1">
        <f t="array" ref="U833">_xlfn.IFS(T833=1,"Poor",T833=2,"Fair",T833=3,"Good",T833=4,"Excellent")</f>
        <v>Fair</v>
      </c>
      <c r="V833" s="5" t="s">
        <v>43</v>
      </c>
      <c r="W833" s="5">
        <v>2</v>
      </c>
      <c r="X833" s="28">
        <f t="shared" ca="1" si="139"/>
        <v>45381</v>
      </c>
      <c r="Y833" s="28">
        <f t="shared" ca="1" si="140"/>
        <v>46842</v>
      </c>
      <c r="Z833" s="28" t="str">
        <f t="shared" ca="1" si="141"/>
        <v>Upcoming</v>
      </c>
      <c r="AA833" s="5" t="str" cm="1">
        <f t="array" ref="AA833">_xlfn.IFS(W833&gt;10,"Veteran",W833&gt;=6,"Experienced",W833&gt;=2,"Developing",W833&gt;=0,"New")</f>
        <v>Developing</v>
      </c>
      <c r="AB833" s="5" t="str" cm="1">
        <f t="array" ref="AB833">_xlfn.IFS(G833=1,"Junior",G833=2,"Mid-Level",G833=3,"Senior",G833=4,"Lead",G833=5,"Principal")&amp;" "&amp;TRIM(PROPER(H833))</f>
        <v>Junior Laboratory Technician</v>
      </c>
      <c r="AC833" s="19" t="str">
        <f t="shared" ca="1" si="142"/>
        <v>La-Res-2024-832 is a Junior Laboratory Technician in the Research &amp; Development department, aged 31, married and has been with the Company for 2years</v>
      </c>
    </row>
    <row r="834" spans="1:29">
      <c r="A834" s="18" t="str">
        <f t="shared" ca="1" si="132"/>
        <v>He-Res-2020-833</v>
      </c>
      <c r="B834" s="5">
        <v>37</v>
      </c>
      <c r="C834" s="5" t="str">
        <f t="shared" si="133"/>
        <v>30-39</v>
      </c>
      <c r="D834" s="5" t="s">
        <v>43</v>
      </c>
      <c r="E834" s="5" t="s">
        <v>45</v>
      </c>
      <c r="F834" s="5" t="s">
        <v>39</v>
      </c>
      <c r="G834" s="5">
        <v>2</v>
      </c>
      <c r="H834" s="5" t="s">
        <v>54</v>
      </c>
      <c r="I834" s="5" t="s">
        <v>52</v>
      </c>
      <c r="J834" s="7">
        <v>5731</v>
      </c>
      <c r="K834" s="7">
        <f t="shared" si="134"/>
        <v>859.65</v>
      </c>
      <c r="L834" s="7">
        <f t="shared" si="135"/>
        <v>4871.3500000000004</v>
      </c>
      <c r="M834" s="7">
        <v>17171</v>
      </c>
      <c r="N834" s="5" t="s">
        <v>43</v>
      </c>
      <c r="O834" s="5">
        <v>13</v>
      </c>
      <c r="P834" s="7">
        <f t="shared" si="136"/>
        <v>6476.03</v>
      </c>
      <c r="Q834" s="7">
        <f t="shared" si="137"/>
        <v>8940.3599999999969</v>
      </c>
      <c r="R834" s="7" t="str">
        <f t="shared" si="138"/>
        <v>Normal</v>
      </c>
      <c r="S834" s="5">
        <v>3</v>
      </c>
      <c r="T834" s="5">
        <v>3</v>
      </c>
      <c r="U834" s="5" t="str" cm="1">
        <f t="array" ref="U834">_xlfn.IFS(T834=1,"Poor",T834=2,"Fair",T834=3,"Good",T834=4,"Excellent")</f>
        <v>Good</v>
      </c>
      <c r="V834" s="5" t="s">
        <v>43</v>
      </c>
      <c r="W834" s="5">
        <v>6</v>
      </c>
      <c r="X834" s="28">
        <f t="shared" ca="1" si="139"/>
        <v>43920</v>
      </c>
      <c r="Y834" s="28">
        <f t="shared" ca="1" si="140"/>
        <v>46842</v>
      </c>
      <c r="Z834" s="28" t="str">
        <f t="shared" ca="1" si="141"/>
        <v>Upcoming</v>
      </c>
      <c r="AA834" s="5" t="str" cm="1">
        <f t="array" ref="AA834">_xlfn.IFS(W834&gt;10,"Veteran",W834&gt;=6,"Experienced",W834&gt;=2,"Developing",W834&gt;=0,"New")</f>
        <v>Experienced</v>
      </c>
      <c r="AB834" s="5" t="str" cm="1">
        <f t="array" ref="AB834">_xlfn.IFS(G834=1,"Junior",G834=2,"Mid-Level",G834=3,"Senior",G834=4,"Lead",G834=5,"Principal")&amp;" "&amp;TRIM(PROPER(H834))</f>
        <v>Mid-Level Healthcare Representative</v>
      </c>
      <c r="AC834" s="19" t="str">
        <f t="shared" ca="1" si="142"/>
        <v>He-Res-2020-833 is a Mid-Level Healthcare Representative in the Research &amp; Development department, aged 37, divorced and has been with the Company for 6years</v>
      </c>
    </row>
    <row r="835" spans="1:29">
      <c r="A835" s="18" t="str">
        <f t="shared" ref="A835:A898" ca="1" si="143">LEFT(H835,2)&amp;"-"&amp;LEFT(E835,3)&amp;"-"&amp;YEAR(TODAY())-W835&amp;"-"&amp;TEXT(ROW()-1,"000")</f>
        <v>Re-Res-2022-834</v>
      </c>
      <c r="B835" s="5">
        <v>27</v>
      </c>
      <c r="C835" s="5" t="str">
        <f t="shared" ref="C835:C898" si="144">IF(B835&lt;=29,"20-29",IF(B835&lt;=39,"30-39",IF(B835&lt;=49,"40-49","50+")))</f>
        <v>20-29</v>
      </c>
      <c r="D835" s="5" t="s">
        <v>43</v>
      </c>
      <c r="E835" s="5" t="s">
        <v>45</v>
      </c>
      <c r="F835" s="5" t="s">
        <v>46</v>
      </c>
      <c r="G835" s="5">
        <v>1</v>
      </c>
      <c r="H835" s="5" t="s">
        <v>47</v>
      </c>
      <c r="I835" s="5" t="s">
        <v>48</v>
      </c>
      <c r="J835" s="7">
        <v>2539</v>
      </c>
      <c r="K835" s="7">
        <f t="shared" ref="K835:K898" si="145">IF(J835&gt;13000,J835*30%,IF(J835&gt;7000,J835*22%,IF(J835&gt;3000,J835*15%,J835*7%)))</f>
        <v>177.73000000000002</v>
      </c>
      <c r="L835" s="7">
        <f t="shared" ref="L835:L898" si="146">J835-K835</f>
        <v>2361.27</v>
      </c>
      <c r="M835" s="7">
        <v>7950</v>
      </c>
      <c r="N835" s="5" t="s">
        <v>43</v>
      </c>
      <c r="O835" s="5">
        <v>13</v>
      </c>
      <c r="P835" s="7">
        <f t="shared" ref="P835:P898" si="147">J835*(1+(O835/100))</f>
        <v>2869.0699999999997</v>
      </c>
      <c r="Q835" s="7">
        <f t="shared" ref="Q835:Q898" si="148">(P835-J835)*12</f>
        <v>3960.8399999999965</v>
      </c>
      <c r="R835" s="7" t="str">
        <f t="shared" ref="R835:R898" si="149">IF(AND(O835&lt;12,S835=4),"UnderPaid","Normal")</f>
        <v>Normal</v>
      </c>
      <c r="S835" s="5">
        <v>3</v>
      </c>
      <c r="T835" s="5">
        <v>3</v>
      </c>
      <c r="U835" s="5" t="str" cm="1">
        <f t="array" ref="U835">_xlfn.IFS(T835=1,"Poor",T835=2,"Fair",T835=3,"Good",T835=4,"Excellent")</f>
        <v>Good</v>
      </c>
      <c r="V835" s="5" t="s">
        <v>43</v>
      </c>
      <c r="W835" s="5">
        <v>4</v>
      </c>
      <c r="X835" s="28">
        <f t="shared" ref="X835:X898" ca="1" si="150">EDATE(TODAY(),-W835*12)</f>
        <v>44650</v>
      </c>
      <c r="Y835" s="28">
        <f t="shared" ref="Y835:Y898" ca="1" si="151">EDATE(X835,(INT(W835/2)+1)*24)</f>
        <v>46842</v>
      </c>
      <c r="Z835" s="28" t="str">
        <f t="shared" ref="Z835:Z898" ca="1" si="152">IF(Y835&lt;=EDATE(TODAY(),12),"Due Soon","Upcoming")</f>
        <v>Upcoming</v>
      </c>
      <c r="AA835" s="5" t="str" cm="1">
        <f t="array" ref="AA835">_xlfn.IFS(W835&gt;10,"Veteran",W835&gt;=6,"Experienced",W835&gt;=2,"Developing",W835&gt;=0,"New")</f>
        <v>Developing</v>
      </c>
      <c r="AB835" s="5" t="str" cm="1">
        <f t="array" ref="AB835">_xlfn.IFS(G835=1,"Junior",G835=2,"Mid-Level",G835=3,"Senior",G835=4,"Lead",G835=5,"Principal")&amp;" "&amp;TRIM(PROPER(H835))</f>
        <v>Junior Research Scientist</v>
      </c>
      <c r="AC835" s="19" t="str">
        <f t="shared" ref="AC835:AC898" ca="1" si="153">A835&amp;" is a "&amp;AB835&amp;" in the "&amp;E835&amp;" department, aged "&amp;B835&amp;", "&amp;LOWER(I835)&amp;" and has been with the Company for "&amp;W835&amp;"years"</f>
        <v>Re-Res-2022-834 is a Junior Research Scientist in the Research &amp; Development department, aged 27, married and has been with the Company for 4years</v>
      </c>
    </row>
    <row r="836" spans="1:29">
      <c r="A836" s="18" t="str">
        <f t="shared" ca="1" si="143"/>
        <v>Sa-Sal-2020-835</v>
      </c>
      <c r="B836" s="5">
        <v>34</v>
      </c>
      <c r="C836" s="5" t="str">
        <f t="shared" si="144"/>
        <v>30-39</v>
      </c>
      <c r="D836" s="5" t="s">
        <v>43</v>
      </c>
      <c r="E836" s="5" t="s">
        <v>37</v>
      </c>
      <c r="F836" s="5" t="s">
        <v>39</v>
      </c>
      <c r="G836" s="5">
        <v>2</v>
      </c>
      <c r="H836" s="5" t="s">
        <v>40</v>
      </c>
      <c r="I836" s="5" t="s">
        <v>48</v>
      </c>
      <c r="J836" s="7">
        <v>5714</v>
      </c>
      <c r="K836" s="7">
        <f t="shared" si="145"/>
        <v>857.1</v>
      </c>
      <c r="L836" s="7">
        <f t="shared" si="146"/>
        <v>4856.8999999999996</v>
      </c>
      <c r="M836" s="7">
        <v>5829</v>
      </c>
      <c r="N836" s="5" t="s">
        <v>43</v>
      </c>
      <c r="O836" s="5">
        <v>20</v>
      </c>
      <c r="P836" s="7">
        <f t="shared" si="147"/>
        <v>6856.8</v>
      </c>
      <c r="Q836" s="7">
        <f t="shared" si="148"/>
        <v>13713.600000000002</v>
      </c>
      <c r="R836" s="7" t="str">
        <f t="shared" si="149"/>
        <v>Normal</v>
      </c>
      <c r="S836" s="5">
        <v>4</v>
      </c>
      <c r="T836" s="5">
        <v>2</v>
      </c>
      <c r="U836" s="5" t="str" cm="1">
        <f t="array" ref="U836">_xlfn.IFS(T836=1,"Poor",T836=2,"Fair",T836=3,"Good",T836=4,"Excellent")</f>
        <v>Fair</v>
      </c>
      <c r="V836" s="5" t="s">
        <v>43</v>
      </c>
      <c r="W836" s="5">
        <v>6</v>
      </c>
      <c r="X836" s="28">
        <f t="shared" ca="1" si="150"/>
        <v>43920</v>
      </c>
      <c r="Y836" s="28">
        <f t="shared" ca="1" si="151"/>
        <v>46842</v>
      </c>
      <c r="Z836" s="28" t="str">
        <f t="shared" ca="1" si="152"/>
        <v>Upcoming</v>
      </c>
      <c r="AA836" s="5" t="str" cm="1">
        <f t="array" ref="AA836">_xlfn.IFS(W836&gt;10,"Veteran",W836&gt;=6,"Experienced",W836&gt;=2,"Developing",W836&gt;=0,"New")</f>
        <v>Experienced</v>
      </c>
      <c r="AB836" s="5" t="str" cm="1">
        <f t="array" ref="AB836">_xlfn.IFS(G836=1,"Junior",G836=2,"Mid-Level",G836=3,"Senior",G836=4,"Lead",G836=5,"Principal")&amp;" "&amp;TRIM(PROPER(H836))</f>
        <v>Mid-Level Sales Executive</v>
      </c>
      <c r="AC836" s="19" t="str">
        <f t="shared" ca="1" si="153"/>
        <v>Sa-Sal-2020-835 is a Mid-Level Sales Executive in the Sales department, aged 34, married and has been with the Company for 6years</v>
      </c>
    </row>
    <row r="837" spans="1:29">
      <c r="A837" s="18" t="str">
        <f t="shared" ca="1" si="143"/>
        <v>Hu-Hum-2021-836</v>
      </c>
      <c r="B837" s="5">
        <v>35</v>
      </c>
      <c r="C837" s="5" t="str">
        <f t="shared" si="144"/>
        <v>30-39</v>
      </c>
      <c r="D837" s="5" t="s">
        <v>43</v>
      </c>
      <c r="E837" s="5" t="s">
        <v>61</v>
      </c>
      <c r="F837" s="5" t="s">
        <v>46</v>
      </c>
      <c r="G837" s="5">
        <v>1</v>
      </c>
      <c r="H837" s="5" t="s">
        <v>61</v>
      </c>
      <c r="I837" s="5" t="s">
        <v>41</v>
      </c>
      <c r="J837" s="7">
        <v>4323</v>
      </c>
      <c r="K837" s="7">
        <f t="shared" si="145"/>
        <v>648.44999999999993</v>
      </c>
      <c r="L837" s="7">
        <f t="shared" si="146"/>
        <v>3674.55</v>
      </c>
      <c r="M837" s="7">
        <v>7108</v>
      </c>
      <c r="N837" s="5" t="s">
        <v>43</v>
      </c>
      <c r="O837" s="5">
        <v>17</v>
      </c>
      <c r="P837" s="7">
        <f t="shared" si="147"/>
        <v>5057.91</v>
      </c>
      <c r="Q837" s="7">
        <f t="shared" si="148"/>
        <v>8818.9199999999983</v>
      </c>
      <c r="R837" s="7" t="str">
        <f t="shared" si="149"/>
        <v>Normal</v>
      </c>
      <c r="S837" s="5">
        <v>3</v>
      </c>
      <c r="T837" s="5">
        <v>1</v>
      </c>
      <c r="U837" s="5" t="str" cm="1">
        <f t="array" ref="U837">_xlfn.IFS(T837=1,"Poor",T837=2,"Fair",T837=3,"Good",T837=4,"Excellent")</f>
        <v>Poor</v>
      </c>
      <c r="V837" s="5" t="s">
        <v>43</v>
      </c>
      <c r="W837" s="5">
        <v>5</v>
      </c>
      <c r="X837" s="28">
        <f t="shared" ca="1" si="150"/>
        <v>44285</v>
      </c>
      <c r="Y837" s="28">
        <f t="shared" ca="1" si="151"/>
        <v>46476</v>
      </c>
      <c r="Z837" s="28" t="str">
        <f t="shared" ca="1" si="152"/>
        <v>Due Soon</v>
      </c>
      <c r="AA837" s="5" t="str" cm="1">
        <f t="array" ref="AA837">_xlfn.IFS(W837&gt;10,"Veteran",W837&gt;=6,"Experienced",W837&gt;=2,"Developing",W837&gt;=0,"New")</f>
        <v>Developing</v>
      </c>
      <c r="AB837" s="5" t="str" cm="1">
        <f t="array" ref="AB837">_xlfn.IFS(G837=1,"Junior",G837=2,"Mid-Level",G837=3,"Senior",G837=4,"Lead",G837=5,"Principal")&amp;" "&amp;TRIM(PROPER(H837))</f>
        <v>Junior Human Resources</v>
      </c>
      <c r="AC837" s="19" t="str">
        <f t="shared" ca="1" si="153"/>
        <v>Hu-Hum-2021-836 is a Junior Human Resources in the Human Resources department, aged 35, single and has been with the Company for 5years</v>
      </c>
    </row>
    <row r="838" spans="1:29">
      <c r="A838" s="18" t="str">
        <f t="shared" ca="1" si="143"/>
        <v>Sa-Sal-2015-837</v>
      </c>
      <c r="B838" s="5">
        <v>29</v>
      </c>
      <c r="C838" s="5" t="str">
        <f t="shared" si="144"/>
        <v>20-29</v>
      </c>
      <c r="D838" s="5" t="s">
        <v>35</v>
      </c>
      <c r="E838" s="5" t="s">
        <v>37</v>
      </c>
      <c r="F838" s="5" t="s">
        <v>39</v>
      </c>
      <c r="G838" s="5">
        <v>3</v>
      </c>
      <c r="H838" s="5" t="s">
        <v>40</v>
      </c>
      <c r="I838" s="5" t="s">
        <v>48</v>
      </c>
      <c r="J838" s="7">
        <v>7336</v>
      </c>
      <c r="K838" s="7">
        <f t="shared" si="145"/>
        <v>1613.92</v>
      </c>
      <c r="L838" s="7">
        <f t="shared" si="146"/>
        <v>5722.08</v>
      </c>
      <c r="M838" s="7">
        <v>11162</v>
      </c>
      <c r="N838" s="5" t="s">
        <v>43</v>
      </c>
      <c r="O838" s="5">
        <v>13</v>
      </c>
      <c r="P838" s="7">
        <f t="shared" si="147"/>
        <v>8289.6799999999985</v>
      </c>
      <c r="Q838" s="7">
        <f t="shared" si="148"/>
        <v>11444.159999999982</v>
      </c>
      <c r="R838" s="7" t="str">
        <f t="shared" si="149"/>
        <v>Normal</v>
      </c>
      <c r="S838" s="5">
        <v>3</v>
      </c>
      <c r="T838" s="5">
        <v>1</v>
      </c>
      <c r="U838" s="5" t="str" cm="1">
        <f t="array" ref="U838">_xlfn.IFS(T838=1,"Poor",T838=2,"Fair",T838=3,"Good",T838=4,"Excellent")</f>
        <v>Poor</v>
      </c>
      <c r="V838" s="5" t="s">
        <v>43</v>
      </c>
      <c r="W838" s="5">
        <v>11</v>
      </c>
      <c r="X838" s="28">
        <f t="shared" ca="1" si="150"/>
        <v>42093</v>
      </c>
      <c r="Y838" s="28">
        <f t="shared" ca="1" si="151"/>
        <v>46476</v>
      </c>
      <c r="Z838" s="28" t="str">
        <f t="shared" ca="1" si="152"/>
        <v>Due Soon</v>
      </c>
      <c r="AA838" s="5" t="str" cm="1">
        <f t="array" ref="AA838">_xlfn.IFS(W838&gt;10,"Veteran",W838&gt;=6,"Experienced",W838&gt;=2,"Developing",W838&gt;=0,"New")</f>
        <v>Veteran</v>
      </c>
      <c r="AB838" s="5" t="str" cm="1">
        <f t="array" ref="AB838">_xlfn.IFS(G838=1,"Junior",G838=2,"Mid-Level",G838=3,"Senior",G838=4,"Lead",G838=5,"Principal")&amp;" "&amp;TRIM(PROPER(H838))</f>
        <v>Senior Sales Executive</v>
      </c>
      <c r="AC838" s="19" t="str">
        <f t="shared" ca="1" si="153"/>
        <v>Sa-Sal-2015-837 is a Senior Sales Executive in the Sales department, aged 29, married and has been with the Company for 11years</v>
      </c>
    </row>
    <row r="839" spans="1:29">
      <c r="A839" s="18" t="str">
        <f t="shared" ca="1" si="143"/>
        <v>Re-Res-2008-838</v>
      </c>
      <c r="B839" s="5">
        <v>40</v>
      </c>
      <c r="C839" s="5" t="str">
        <f t="shared" si="144"/>
        <v>40-49</v>
      </c>
      <c r="D839" s="5" t="s">
        <v>43</v>
      </c>
      <c r="E839" s="5" t="s">
        <v>45</v>
      </c>
      <c r="F839" s="5" t="s">
        <v>39</v>
      </c>
      <c r="G839" s="5">
        <v>3</v>
      </c>
      <c r="H839" s="5" t="s">
        <v>58</v>
      </c>
      <c r="I839" s="5" t="s">
        <v>41</v>
      </c>
      <c r="J839" s="7">
        <v>13499</v>
      </c>
      <c r="K839" s="7">
        <f t="shared" si="145"/>
        <v>4049.7</v>
      </c>
      <c r="L839" s="7">
        <f t="shared" si="146"/>
        <v>9449.2999999999993</v>
      </c>
      <c r="M839" s="7">
        <v>13782</v>
      </c>
      <c r="N839" s="5" t="s">
        <v>43</v>
      </c>
      <c r="O839" s="5">
        <v>17</v>
      </c>
      <c r="P839" s="7">
        <f t="shared" si="147"/>
        <v>15793.83</v>
      </c>
      <c r="Q839" s="7">
        <f t="shared" si="148"/>
        <v>27537.96</v>
      </c>
      <c r="R839" s="7" t="str">
        <f t="shared" si="149"/>
        <v>Normal</v>
      </c>
      <c r="S839" s="5">
        <v>3</v>
      </c>
      <c r="T839" s="5">
        <v>2</v>
      </c>
      <c r="U839" s="5" t="str" cm="1">
        <f t="array" ref="U839">_xlfn.IFS(T839=1,"Poor",T839=2,"Fair",T839=3,"Good",T839=4,"Excellent")</f>
        <v>Fair</v>
      </c>
      <c r="V839" s="5" t="s">
        <v>43</v>
      </c>
      <c r="W839" s="5">
        <v>18</v>
      </c>
      <c r="X839" s="28">
        <f t="shared" ca="1" si="150"/>
        <v>39537</v>
      </c>
      <c r="Y839" s="28">
        <f t="shared" ca="1" si="151"/>
        <v>46842</v>
      </c>
      <c r="Z839" s="28" t="str">
        <f t="shared" ca="1" si="152"/>
        <v>Upcoming</v>
      </c>
      <c r="AA839" s="5" t="str" cm="1">
        <f t="array" ref="AA839">_xlfn.IFS(W839&gt;10,"Veteran",W839&gt;=6,"Experienced",W839&gt;=2,"Developing",W839&gt;=0,"New")</f>
        <v>Veteran</v>
      </c>
      <c r="AB839" s="5" t="str" cm="1">
        <f t="array" ref="AB839">_xlfn.IFS(G839=1,"Junior",G839=2,"Mid-Level",G839=3,"Senior",G839=4,"Lead",G839=5,"Principal")&amp;" "&amp;TRIM(PROPER(H839))</f>
        <v>Senior Research Director</v>
      </c>
      <c r="AC839" s="19" t="str">
        <f t="shared" ca="1" si="153"/>
        <v>Re-Res-2008-838 is a Senior Research Director in the Research &amp; Development department, aged 40, single and has been with the Company for 18years</v>
      </c>
    </row>
    <row r="840" spans="1:29">
      <c r="A840" s="18" t="str">
        <f t="shared" ca="1" si="143"/>
        <v>Sa-Sal-2005-839</v>
      </c>
      <c r="B840" s="5">
        <v>42</v>
      </c>
      <c r="C840" s="5" t="str">
        <f t="shared" si="144"/>
        <v>40-49</v>
      </c>
      <c r="D840" s="5" t="s">
        <v>35</v>
      </c>
      <c r="E840" s="5" t="s">
        <v>37</v>
      </c>
      <c r="F840" s="5" t="s">
        <v>46</v>
      </c>
      <c r="G840" s="5">
        <v>4</v>
      </c>
      <c r="H840" s="5" t="s">
        <v>40</v>
      </c>
      <c r="I840" s="5" t="s">
        <v>41</v>
      </c>
      <c r="J840" s="7">
        <v>13758</v>
      </c>
      <c r="K840" s="7">
        <f t="shared" si="145"/>
        <v>4127.3999999999996</v>
      </c>
      <c r="L840" s="7">
        <f t="shared" si="146"/>
        <v>9630.6</v>
      </c>
      <c r="M840" s="7">
        <v>2447</v>
      </c>
      <c r="N840" s="5" t="s">
        <v>35</v>
      </c>
      <c r="O840" s="5">
        <v>12</v>
      </c>
      <c r="P840" s="7">
        <f t="shared" si="147"/>
        <v>15408.960000000001</v>
      </c>
      <c r="Q840" s="7">
        <f t="shared" si="148"/>
        <v>19811.520000000011</v>
      </c>
      <c r="R840" s="7" t="str">
        <f t="shared" si="149"/>
        <v>Normal</v>
      </c>
      <c r="S840" s="5">
        <v>3</v>
      </c>
      <c r="T840" s="5">
        <v>2</v>
      </c>
      <c r="U840" s="5" t="str" cm="1">
        <f t="array" ref="U840">_xlfn.IFS(T840=1,"Poor",T840=2,"Fair",T840=3,"Good",T840=4,"Excellent")</f>
        <v>Fair</v>
      </c>
      <c r="V840" s="5" t="s">
        <v>35</v>
      </c>
      <c r="W840" s="5">
        <v>21</v>
      </c>
      <c r="X840" s="28">
        <f t="shared" ca="1" si="150"/>
        <v>38441</v>
      </c>
      <c r="Y840" s="28">
        <f t="shared" ca="1" si="151"/>
        <v>46476</v>
      </c>
      <c r="Z840" s="28" t="str">
        <f t="shared" ca="1" si="152"/>
        <v>Due Soon</v>
      </c>
      <c r="AA840" s="5" t="str" cm="1">
        <f t="array" ref="AA840">_xlfn.IFS(W840&gt;10,"Veteran",W840&gt;=6,"Experienced",W840&gt;=2,"Developing",W840&gt;=0,"New")</f>
        <v>Veteran</v>
      </c>
      <c r="AB840" s="5" t="str" cm="1">
        <f t="array" ref="AB840">_xlfn.IFS(G840=1,"Junior",G840=2,"Mid-Level",G840=3,"Senior",G840=4,"Lead",G840=5,"Principal")&amp;" "&amp;TRIM(PROPER(H840))</f>
        <v>Lead Sales Executive</v>
      </c>
      <c r="AC840" s="19" t="str">
        <f t="shared" ca="1" si="153"/>
        <v>Sa-Sal-2005-839 is a Lead Sales Executive in the Sales department, aged 42, single and has been with the Company for 21years</v>
      </c>
    </row>
    <row r="841" spans="1:29">
      <c r="A841" s="18" t="str">
        <f t="shared" ca="1" si="143"/>
        <v>Sa-Sal-2020-840</v>
      </c>
      <c r="B841" s="5">
        <v>42</v>
      </c>
      <c r="C841" s="5" t="str">
        <f t="shared" si="144"/>
        <v>40-49</v>
      </c>
      <c r="D841" s="5" t="s">
        <v>43</v>
      </c>
      <c r="E841" s="5" t="s">
        <v>37</v>
      </c>
      <c r="F841" s="5" t="s">
        <v>46</v>
      </c>
      <c r="G841" s="5">
        <v>2</v>
      </c>
      <c r="H841" s="5" t="s">
        <v>40</v>
      </c>
      <c r="I841" s="5" t="s">
        <v>41</v>
      </c>
      <c r="J841" s="7">
        <v>5155</v>
      </c>
      <c r="K841" s="7">
        <f t="shared" si="145"/>
        <v>773.25</v>
      </c>
      <c r="L841" s="7">
        <f t="shared" si="146"/>
        <v>4381.75</v>
      </c>
      <c r="M841" s="7">
        <v>2253</v>
      </c>
      <c r="N841" s="5" t="s">
        <v>43</v>
      </c>
      <c r="O841" s="5">
        <v>13</v>
      </c>
      <c r="P841" s="7">
        <f t="shared" si="147"/>
        <v>5825.15</v>
      </c>
      <c r="Q841" s="7">
        <f t="shared" si="148"/>
        <v>8041.7999999999956</v>
      </c>
      <c r="R841" s="7" t="str">
        <f t="shared" si="149"/>
        <v>Normal</v>
      </c>
      <c r="S841" s="5">
        <v>3</v>
      </c>
      <c r="T841" s="5">
        <v>4</v>
      </c>
      <c r="U841" s="5" t="str" cm="1">
        <f t="array" ref="U841">_xlfn.IFS(T841=1,"Poor",T841=2,"Fair",T841=3,"Good",T841=4,"Excellent")</f>
        <v>Excellent</v>
      </c>
      <c r="V841" s="5" t="s">
        <v>43</v>
      </c>
      <c r="W841" s="5">
        <v>6</v>
      </c>
      <c r="X841" s="28">
        <f t="shared" ca="1" si="150"/>
        <v>43920</v>
      </c>
      <c r="Y841" s="28">
        <f t="shared" ca="1" si="151"/>
        <v>46842</v>
      </c>
      <c r="Z841" s="28" t="str">
        <f t="shared" ca="1" si="152"/>
        <v>Upcoming</v>
      </c>
      <c r="AA841" s="5" t="str" cm="1">
        <f t="array" ref="AA841">_xlfn.IFS(W841&gt;10,"Veteran",W841&gt;=6,"Experienced",W841&gt;=2,"Developing",W841&gt;=0,"New")</f>
        <v>Experienced</v>
      </c>
      <c r="AB841" s="5" t="str" cm="1">
        <f t="array" ref="AB841">_xlfn.IFS(G841=1,"Junior",G841=2,"Mid-Level",G841=3,"Senior",G841=4,"Lead",G841=5,"Principal")&amp;" "&amp;TRIM(PROPER(H841))</f>
        <v>Mid-Level Sales Executive</v>
      </c>
      <c r="AC841" s="19" t="str">
        <f t="shared" ca="1" si="153"/>
        <v>Sa-Sal-2020-840 is a Mid-Level Sales Executive in the Sales department, aged 42, single and has been with the Company for 6years</v>
      </c>
    </row>
    <row r="842" spans="1:29">
      <c r="A842" s="18" t="str">
        <f t="shared" ca="1" si="143"/>
        <v>La-Res-2018-841</v>
      </c>
      <c r="B842" s="5">
        <v>35</v>
      </c>
      <c r="C842" s="5" t="str">
        <f t="shared" si="144"/>
        <v>30-39</v>
      </c>
      <c r="D842" s="5" t="s">
        <v>43</v>
      </c>
      <c r="E842" s="5" t="s">
        <v>45</v>
      </c>
      <c r="F842" s="5" t="s">
        <v>46</v>
      </c>
      <c r="G842" s="5">
        <v>1</v>
      </c>
      <c r="H842" s="5" t="s">
        <v>50</v>
      </c>
      <c r="I842" s="5" t="s">
        <v>48</v>
      </c>
      <c r="J842" s="7">
        <v>2258</v>
      </c>
      <c r="K842" s="7">
        <f t="shared" si="145"/>
        <v>158.06</v>
      </c>
      <c r="L842" s="7">
        <f t="shared" si="146"/>
        <v>2099.94</v>
      </c>
      <c r="M842" s="7">
        <v>16340</v>
      </c>
      <c r="N842" s="5" t="s">
        <v>43</v>
      </c>
      <c r="O842" s="5">
        <v>12</v>
      </c>
      <c r="P842" s="7">
        <f t="shared" si="147"/>
        <v>2528.96</v>
      </c>
      <c r="Q842" s="7">
        <f t="shared" si="148"/>
        <v>3251.5200000000004</v>
      </c>
      <c r="R842" s="7" t="str">
        <f t="shared" si="149"/>
        <v>Normal</v>
      </c>
      <c r="S842" s="5">
        <v>3</v>
      </c>
      <c r="T842" s="5">
        <v>3</v>
      </c>
      <c r="U842" s="5" t="str" cm="1">
        <f t="array" ref="U842">_xlfn.IFS(T842=1,"Poor",T842=2,"Fair",T842=3,"Good",T842=4,"Excellent")</f>
        <v>Good</v>
      </c>
      <c r="V842" s="5" t="s">
        <v>43</v>
      </c>
      <c r="W842" s="5">
        <v>8</v>
      </c>
      <c r="X842" s="28">
        <f t="shared" ca="1" si="150"/>
        <v>43189</v>
      </c>
      <c r="Y842" s="28">
        <f t="shared" ca="1" si="151"/>
        <v>46842</v>
      </c>
      <c r="Z842" s="28" t="str">
        <f t="shared" ca="1" si="152"/>
        <v>Upcoming</v>
      </c>
      <c r="AA842" s="5" t="str" cm="1">
        <f t="array" ref="AA842">_xlfn.IFS(W842&gt;10,"Veteran",W842&gt;=6,"Experienced",W842&gt;=2,"Developing",W842&gt;=0,"New")</f>
        <v>Experienced</v>
      </c>
      <c r="AB842" s="5" t="str" cm="1">
        <f t="array" ref="AB842">_xlfn.IFS(G842=1,"Junior",G842=2,"Mid-Level",G842=3,"Senior",G842=4,"Lead",G842=5,"Principal")&amp;" "&amp;TRIM(PROPER(H842))</f>
        <v>Junior Laboratory Technician</v>
      </c>
      <c r="AC842" s="19" t="str">
        <f t="shared" ca="1" si="153"/>
        <v>La-Res-2018-841 is a Junior Laboratory Technician in the Research &amp; Development department, aged 35, married and has been with the Company for 8years</v>
      </c>
    </row>
    <row r="843" spans="1:29">
      <c r="A843" s="18" t="str">
        <f t="shared" ca="1" si="143"/>
        <v>La-Res-2022-842</v>
      </c>
      <c r="B843" s="5">
        <v>24</v>
      </c>
      <c r="C843" s="5" t="str">
        <f t="shared" si="144"/>
        <v>20-29</v>
      </c>
      <c r="D843" s="5" t="s">
        <v>43</v>
      </c>
      <c r="E843" s="5" t="s">
        <v>45</v>
      </c>
      <c r="F843" s="5" t="s">
        <v>46</v>
      </c>
      <c r="G843" s="5">
        <v>1</v>
      </c>
      <c r="H843" s="5" t="s">
        <v>50</v>
      </c>
      <c r="I843" s="5" t="s">
        <v>41</v>
      </c>
      <c r="J843" s="7">
        <v>3597</v>
      </c>
      <c r="K843" s="7">
        <f t="shared" si="145"/>
        <v>539.54999999999995</v>
      </c>
      <c r="L843" s="7">
        <f t="shared" si="146"/>
        <v>3057.45</v>
      </c>
      <c r="M843" s="7">
        <v>6409</v>
      </c>
      <c r="N843" s="5" t="s">
        <v>43</v>
      </c>
      <c r="O843" s="5">
        <v>22</v>
      </c>
      <c r="P843" s="7">
        <f t="shared" si="147"/>
        <v>4388.34</v>
      </c>
      <c r="Q843" s="7">
        <f t="shared" si="148"/>
        <v>9496.0800000000017</v>
      </c>
      <c r="R843" s="7" t="str">
        <f t="shared" si="149"/>
        <v>Normal</v>
      </c>
      <c r="S843" s="5">
        <v>4</v>
      </c>
      <c r="T843" s="5">
        <v>3</v>
      </c>
      <c r="U843" s="5" t="str" cm="1">
        <f t="array" ref="U843">_xlfn.IFS(T843=1,"Poor",T843=2,"Fair",T843=3,"Good",T843=4,"Excellent")</f>
        <v>Good</v>
      </c>
      <c r="V843" s="5" t="s">
        <v>43</v>
      </c>
      <c r="W843" s="5">
        <v>4</v>
      </c>
      <c r="X843" s="28">
        <f t="shared" ca="1" si="150"/>
        <v>44650</v>
      </c>
      <c r="Y843" s="28">
        <f t="shared" ca="1" si="151"/>
        <v>46842</v>
      </c>
      <c r="Z843" s="28" t="str">
        <f t="shared" ca="1" si="152"/>
        <v>Upcoming</v>
      </c>
      <c r="AA843" s="5" t="str" cm="1">
        <f t="array" ref="AA843">_xlfn.IFS(W843&gt;10,"Veteran",W843&gt;=6,"Experienced",W843&gt;=2,"Developing",W843&gt;=0,"New")</f>
        <v>Developing</v>
      </c>
      <c r="AB843" s="5" t="str" cm="1">
        <f t="array" ref="AB843">_xlfn.IFS(G843=1,"Junior",G843=2,"Mid-Level",G843=3,"Senior",G843=4,"Lead",G843=5,"Principal")&amp;" "&amp;TRIM(PROPER(H843))</f>
        <v>Junior Laboratory Technician</v>
      </c>
      <c r="AC843" s="19" t="str">
        <f t="shared" ca="1" si="153"/>
        <v>La-Res-2022-842 is a Junior Laboratory Technician in the Research &amp; Development department, aged 24, single and has been with the Company for 4years</v>
      </c>
    </row>
    <row r="844" spans="1:29">
      <c r="A844" s="18" t="str">
        <f t="shared" ca="1" si="143"/>
        <v>La-Res-2025-843</v>
      </c>
      <c r="B844" s="5">
        <v>28</v>
      </c>
      <c r="C844" s="5" t="str">
        <f t="shared" si="144"/>
        <v>20-29</v>
      </c>
      <c r="D844" s="5" t="s">
        <v>35</v>
      </c>
      <c r="E844" s="5" t="s">
        <v>45</v>
      </c>
      <c r="F844" s="5" t="s">
        <v>39</v>
      </c>
      <c r="G844" s="5">
        <v>1</v>
      </c>
      <c r="H844" s="5" t="s">
        <v>50</v>
      </c>
      <c r="I844" s="5" t="s">
        <v>48</v>
      </c>
      <c r="J844" s="7">
        <v>2515</v>
      </c>
      <c r="K844" s="7">
        <f t="shared" si="145"/>
        <v>176.05</v>
      </c>
      <c r="L844" s="7">
        <f t="shared" si="146"/>
        <v>2338.9499999999998</v>
      </c>
      <c r="M844" s="7">
        <v>22955</v>
      </c>
      <c r="N844" s="5" t="s">
        <v>35</v>
      </c>
      <c r="O844" s="5">
        <v>11</v>
      </c>
      <c r="P844" s="7">
        <f t="shared" si="147"/>
        <v>2791.65</v>
      </c>
      <c r="Q844" s="7">
        <f t="shared" si="148"/>
        <v>3319.8000000000011</v>
      </c>
      <c r="R844" s="7" t="str">
        <f t="shared" si="149"/>
        <v>Normal</v>
      </c>
      <c r="S844" s="5">
        <v>3</v>
      </c>
      <c r="T844" s="5">
        <v>2</v>
      </c>
      <c r="U844" s="5" t="str" cm="1">
        <f t="array" ref="U844">_xlfn.IFS(T844=1,"Poor",T844=2,"Fair",T844=3,"Good",T844=4,"Excellent")</f>
        <v>Fair</v>
      </c>
      <c r="V844" s="5" t="s">
        <v>35</v>
      </c>
      <c r="W844" s="5">
        <v>1</v>
      </c>
      <c r="X844" s="28">
        <f t="shared" ca="1" si="150"/>
        <v>45746</v>
      </c>
      <c r="Y844" s="28">
        <f t="shared" ca="1" si="151"/>
        <v>46476</v>
      </c>
      <c r="Z844" s="28" t="str">
        <f t="shared" ca="1" si="152"/>
        <v>Due Soon</v>
      </c>
      <c r="AA844" s="5" t="str" cm="1">
        <f t="array" ref="AA844">_xlfn.IFS(W844&gt;10,"Veteran",W844&gt;=6,"Experienced",W844&gt;=2,"Developing",W844&gt;=0,"New")</f>
        <v>New</v>
      </c>
      <c r="AB844" s="5" t="str" cm="1">
        <f t="array" ref="AB844">_xlfn.IFS(G844=1,"Junior",G844=2,"Mid-Level",G844=3,"Senior",G844=4,"Lead",G844=5,"Principal")&amp;" "&amp;TRIM(PROPER(H844))</f>
        <v>Junior Laboratory Technician</v>
      </c>
      <c r="AC844" s="19" t="str">
        <f t="shared" ca="1" si="153"/>
        <v>La-Res-2025-843 is a Junior Laboratory Technician in the Research &amp; Development department, aged 28, married and has been with the Company for 1years</v>
      </c>
    </row>
    <row r="845" spans="1:29">
      <c r="A845" s="18" t="str">
        <f t="shared" ca="1" si="143"/>
        <v>La-Res-2018-844</v>
      </c>
      <c r="B845" s="5">
        <v>26</v>
      </c>
      <c r="C845" s="5" t="str">
        <f t="shared" si="144"/>
        <v>20-29</v>
      </c>
      <c r="D845" s="5" t="s">
        <v>43</v>
      </c>
      <c r="E845" s="5" t="s">
        <v>45</v>
      </c>
      <c r="F845" s="5" t="s">
        <v>46</v>
      </c>
      <c r="G845" s="5">
        <v>1</v>
      </c>
      <c r="H845" s="5" t="s">
        <v>50</v>
      </c>
      <c r="I845" s="5" t="s">
        <v>48</v>
      </c>
      <c r="J845" s="7">
        <v>4420</v>
      </c>
      <c r="K845" s="7">
        <f t="shared" si="145"/>
        <v>663</v>
      </c>
      <c r="L845" s="7">
        <f t="shared" si="146"/>
        <v>3757</v>
      </c>
      <c r="M845" s="7">
        <v>13421</v>
      </c>
      <c r="N845" s="5" t="s">
        <v>43</v>
      </c>
      <c r="O845" s="5">
        <v>22</v>
      </c>
      <c r="P845" s="7">
        <f t="shared" si="147"/>
        <v>5392.4</v>
      </c>
      <c r="Q845" s="7">
        <f t="shared" si="148"/>
        <v>11668.799999999996</v>
      </c>
      <c r="R845" s="7" t="str">
        <f t="shared" si="149"/>
        <v>Normal</v>
      </c>
      <c r="S845" s="5">
        <v>4</v>
      </c>
      <c r="T845" s="5">
        <v>3</v>
      </c>
      <c r="U845" s="5" t="str" cm="1">
        <f t="array" ref="U845">_xlfn.IFS(T845=1,"Poor",T845=2,"Fair",T845=3,"Good",T845=4,"Excellent")</f>
        <v>Good</v>
      </c>
      <c r="V845" s="5" t="s">
        <v>43</v>
      </c>
      <c r="W845" s="5">
        <v>8</v>
      </c>
      <c r="X845" s="28">
        <f t="shared" ca="1" si="150"/>
        <v>43189</v>
      </c>
      <c r="Y845" s="28">
        <f t="shared" ca="1" si="151"/>
        <v>46842</v>
      </c>
      <c r="Z845" s="28" t="str">
        <f t="shared" ca="1" si="152"/>
        <v>Upcoming</v>
      </c>
      <c r="AA845" s="5" t="str" cm="1">
        <f t="array" ref="AA845">_xlfn.IFS(W845&gt;10,"Veteran",W845&gt;=6,"Experienced",W845&gt;=2,"Developing",W845&gt;=0,"New")</f>
        <v>Experienced</v>
      </c>
      <c r="AB845" s="5" t="str" cm="1">
        <f t="array" ref="AB845">_xlfn.IFS(G845=1,"Junior",G845=2,"Mid-Level",G845=3,"Senior",G845=4,"Lead",G845=5,"Principal")&amp;" "&amp;TRIM(PROPER(H845))</f>
        <v>Junior Laboratory Technician</v>
      </c>
      <c r="AC845" s="19" t="str">
        <f t="shared" ca="1" si="153"/>
        <v>La-Res-2018-844 is a Junior Laboratory Technician in the Research &amp; Development department, aged 26, married and has been with the Company for 8years</v>
      </c>
    </row>
    <row r="846" spans="1:29">
      <c r="A846" s="18" t="str">
        <f t="shared" ca="1" si="143"/>
        <v>Sa-Sal-2016-845</v>
      </c>
      <c r="B846" s="5">
        <v>30</v>
      </c>
      <c r="C846" s="5" t="str">
        <f t="shared" si="144"/>
        <v>30-39</v>
      </c>
      <c r="D846" s="5" t="s">
        <v>43</v>
      </c>
      <c r="E846" s="5" t="s">
        <v>37</v>
      </c>
      <c r="F846" s="5" t="s">
        <v>46</v>
      </c>
      <c r="G846" s="5">
        <v>2</v>
      </c>
      <c r="H846" s="5" t="s">
        <v>40</v>
      </c>
      <c r="I846" s="5" t="s">
        <v>48</v>
      </c>
      <c r="J846" s="7">
        <v>6578</v>
      </c>
      <c r="K846" s="7">
        <f t="shared" si="145"/>
        <v>986.69999999999993</v>
      </c>
      <c r="L846" s="7">
        <f t="shared" si="146"/>
        <v>5591.3</v>
      </c>
      <c r="M846" s="7">
        <v>2706</v>
      </c>
      <c r="N846" s="5" t="s">
        <v>43</v>
      </c>
      <c r="O846" s="5">
        <v>18</v>
      </c>
      <c r="P846" s="7">
        <f t="shared" si="147"/>
        <v>7762.04</v>
      </c>
      <c r="Q846" s="7">
        <f t="shared" si="148"/>
        <v>14208.48</v>
      </c>
      <c r="R846" s="7" t="str">
        <f t="shared" si="149"/>
        <v>Normal</v>
      </c>
      <c r="S846" s="5">
        <v>3</v>
      </c>
      <c r="T846" s="5">
        <v>3</v>
      </c>
      <c r="U846" s="5" t="str" cm="1">
        <f t="array" ref="U846">_xlfn.IFS(T846=1,"Poor",T846=2,"Fair",T846=3,"Good",T846=4,"Excellent")</f>
        <v>Good</v>
      </c>
      <c r="V846" s="5" t="s">
        <v>43</v>
      </c>
      <c r="W846" s="5">
        <v>10</v>
      </c>
      <c r="X846" s="28">
        <f t="shared" ca="1" si="150"/>
        <v>42459</v>
      </c>
      <c r="Y846" s="28">
        <f t="shared" ca="1" si="151"/>
        <v>46842</v>
      </c>
      <c r="Z846" s="28" t="str">
        <f t="shared" ca="1" si="152"/>
        <v>Upcoming</v>
      </c>
      <c r="AA846" s="5" t="str" cm="1">
        <f t="array" ref="AA846">_xlfn.IFS(W846&gt;10,"Veteran",W846&gt;=6,"Experienced",W846&gt;=2,"Developing",W846&gt;=0,"New")</f>
        <v>Experienced</v>
      </c>
      <c r="AB846" s="5" t="str" cm="1">
        <f t="array" ref="AB846">_xlfn.IFS(G846=1,"Junior",G846=2,"Mid-Level",G846=3,"Senior",G846=4,"Lead",G846=5,"Principal")&amp;" "&amp;TRIM(PROPER(H846))</f>
        <v>Mid-Level Sales Executive</v>
      </c>
      <c r="AC846" s="19" t="str">
        <f t="shared" ca="1" si="153"/>
        <v>Sa-Sal-2016-845 is a Mid-Level Sales Executive in the Sales department, aged 30, married and has been with the Company for 10years</v>
      </c>
    </row>
    <row r="847" spans="1:29">
      <c r="A847" s="18" t="str">
        <f t="shared" ca="1" si="143"/>
        <v>Re-Res-2025-846</v>
      </c>
      <c r="B847" s="5">
        <v>40</v>
      </c>
      <c r="C847" s="5" t="str">
        <f t="shared" si="144"/>
        <v>40-49</v>
      </c>
      <c r="D847" s="5" t="s">
        <v>43</v>
      </c>
      <c r="E847" s="5" t="s">
        <v>45</v>
      </c>
      <c r="F847" s="5" t="s">
        <v>39</v>
      </c>
      <c r="G847" s="5">
        <v>2</v>
      </c>
      <c r="H847" s="5" t="s">
        <v>47</v>
      </c>
      <c r="I847" s="5" t="s">
        <v>48</v>
      </c>
      <c r="J847" s="7">
        <v>4422</v>
      </c>
      <c r="K847" s="7">
        <f t="shared" si="145"/>
        <v>663.3</v>
      </c>
      <c r="L847" s="7">
        <f t="shared" si="146"/>
        <v>3758.7</v>
      </c>
      <c r="M847" s="7">
        <v>21203</v>
      </c>
      <c r="N847" s="5" t="s">
        <v>35</v>
      </c>
      <c r="O847" s="5">
        <v>13</v>
      </c>
      <c r="P847" s="7">
        <f t="shared" si="147"/>
        <v>4996.8599999999997</v>
      </c>
      <c r="Q847" s="7">
        <f t="shared" si="148"/>
        <v>6898.3199999999961</v>
      </c>
      <c r="R847" s="7" t="str">
        <f t="shared" si="149"/>
        <v>Normal</v>
      </c>
      <c r="S847" s="5">
        <v>3</v>
      </c>
      <c r="T847" s="5">
        <v>1</v>
      </c>
      <c r="U847" s="5" t="str" cm="1">
        <f t="array" ref="U847">_xlfn.IFS(T847=1,"Poor",T847=2,"Fair",T847=3,"Good",T847=4,"Excellent")</f>
        <v>Poor</v>
      </c>
      <c r="V847" s="5" t="s">
        <v>35</v>
      </c>
      <c r="W847" s="5">
        <v>1</v>
      </c>
      <c r="X847" s="28">
        <f t="shared" ca="1" si="150"/>
        <v>45746</v>
      </c>
      <c r="Y847" s="28">
        <f t="shared" ca="1" si="151"/>
        <v>46476</v>
      </c>
      <c r="Z847" s="28" t="str">
        <f t="shared" ca="1" si="152"/>
        <v>Due Soon</v>
      </c>
      <c r="AA847" s="5" t="str" cm="1">
        <f t="array" ref="AA847">_xlfn.IFS(W847&gt;10,"Veteran",W847&gt;=6,"Experienced",W847&gt;=2,"Developing",W847&gt;=0,"New")</f>
        <v>New</v>
      </c>
      <c r="AB847" s="5" t="str" cm="1">
        <f t="array" ref="AB847">_xlfn.IFS(G847=1,"Junior",G847=2,"Mid-Level",G847=3,"Senior",G847=4,"Lead",G847=5,"Principal")&amp;" "&amp;TRIM(PROPER(H847))</f>
        <v>Mid-Level Research Scientist</v>
      </c>
      <c r="AC847" s="19" t="str">
        <f t="shared" ca="1" si="153"/>
        <v>Re-Res-2025-846 is a Mid-Level Research Scientist in the Research &amp; Development department, aged 40, married and has been with the Company for 1years</v>
      </c>
    </row>
    <row r="848" spans="1:29">
      <c r="A848" s="18" t="str">
        <f t="shared" ca="1" si="143"/>
        <v>Ma-Res-2019-847</v>
      </c>
      <c r="B848" s="5">
        <v>35</v>
      </c>
      <c r="C848" s="5" t="str">
        <f t="shared" si="144"/>
        <v>30-39</v>
      </c>
      <c r="D848" s="5" t="s">
        <v>43</v>
      </c>
      <c r="E848" s="5" t="s">
        <v>45</v>
      </c>
      <c r="F848" s="5" t="s">
        <v>46</v>
      </c>
      <c r="G848" s="5">
        <v>3</v>
      </c>
      <c r="H848" s="5" t="s">
        <v>53</v>
      </c>
      <c r="I848" s="5" t="s">
        <v>52</v>
      </c>
      <c r="J848" s="7">
        <v>10274</v>
      </c>
      <c r="K848" s="7">
        <f t="shared" si="145"/>
        <v>2260.2800000000002</v>
      </c>
      <c r="L848" s="7">
        <f t="shared" si="146"/>
        <v>8013.7199999999993</v>
      </c>
      <c r="M848" s="7">
        <v>19588</v>
      </c>
      <c r="N848" s="5" t="s">
        <v>43</v>
      </c>
      <c r="O848" s="5">
        <v>18</v>
      </c>
      <c r="P848" s="7">
        <f t="shared" si="147"/>
        <v>12123.32</v>
      </c>
      <c r="Q848" s="7">
        <f t="shared" si="148"/>
        <v>22191.839999999997</v>
      </c>
      <c r="R848" s="7" t="str">
        <f t="shared" si="149"/>
        <v>Normal</v>
      </c>
      <c r="S848" s="5">
        <v>3</v>
      </c>
      <c r="T848" s="5">
        <v>4</v>
      </c>
      <c r="U848" s="5" t="str" cm="1">
        <f t="array" ref="U848">_xlfn.IFS(T848=1,"Poor",T848=2,"Fair",T848=3,"Good",T848=4,"Excellent")</f>
        <v>Excellent</v>
      </c>
      <c r="V848" s="5" t="s">
        <v>43</v>
      </c>
      <c r="W848" s="5">
        <v>7</v>
      </c>
      <c r="X848" s="28">
        <f t="shared" ca="1" si="150"/>
        <v>43554</v>
      </c>
      <c r="Y848" s="28">
        <f t="shared" ca="1" si="151"/>
        <v>46476</v>
      </c>
      <c r="Z848" s="28" t="str">
        <f t="shared" ca="1" si="152"/>
        <v>Due Soon</v>
      </c>
      <c r="AA848" s="5" t="str" cm="1">
        <f t="array" ref="AA848">_xlfn.IFS(W848&gt;10,"Veteran",W848&gt;=6,"Experienced",W848&gt;=2,"Developing",W848&gt;=0,"New")</f>
        <v>Experienced</v>
      </c>
      <c r="AB848" s="5" t="str" cm="1">
        <f t="array" ref="AB848">_xlfn.IFS(G848=1,"Junior",G848=2,"Mid-Level",G848=3,"Senior",G848=4,"Lead",G848=5,"Principal")&amp;" "&amp;TRIM(PROPER(H848))</f>
        <v>Senior Manufacturing Director</v>
      </c>
      <c r="AC848" s="19" t="str">
        <f t="shared" ca="1" si="153"/>
        <v>Ma-Res-2019-847 is a Senior Manufacturing Director in the Research &amp; Development department, aged 35, divorced and has been with the Company for 7years</v>
      </c>
    </row>
    <row r="849" spans="1:29">
      <c r="A849" s="18" t="str">
        <f t="shared" ca="1" si="143"/>
        <v>He-Res-2013-848</v>
      </c>
      <c r="B849" s="5">
        <v>34</v>
      </c>
      <c r="C849" s="5" t="str">
        <f t="shared" si="144"/>
        <v>30-39</v>
      </c>
      <c r="D849" s="5" t="s">
        <v>43</v>
      </c>
      <c r="E849" s="5" t="s">
        <v>45</v>
      </c>
      <c r="F849" s="5" t="s">
        <v>46</v>
      </c>
      <c r="G849" s="5">
        <v>2</v>
      </c>
      <c r="H849" s="5" t="s">
        <v>54</v>
      </c>
      <c r="I849" s="5" t="s">
        <v>41</v>
      </c>
      <c r="J849" s="7">
        <v>5343</v>
      </c>
      <c r="K849" s="7">
        <f t="shared" si="145"/>
        <v>801.44999999999993</v>
      </c>
      <c r="L849" s="7">
        <f t="shared" si="146"/>
        <v>4541.55</v>
      </c>
      <c r="M849" s="7">
        <v>25755</v>
      </c>
      <c r="N849" s="5" t="s">
        <v>43</v>
      </c>
      <c r="O849" s="5">
        <v>20</v>
      </c>
      <c r="P849" s="7">
        <f t="shared" si="147"/>
        <v>6411.5999999999995</v>
      </c>
      <c r="Q849" s="7">
        <f t="shared" si="148"/>
        <v>12823.199999999993</v>
      </c>
      <c r="R849" s="7" t="str">
        <f t="shared" si="149"/>
        <v>Normal</v>
      </c>
      <c r="S849" s="5">
        <v>4</v>
      </c>
      <c r="T849" s="5">
        <v>3</v>
      </c>
      <c r="U849" s="5" t="str" cm="1">
        <f t="array" ref="U849">_xlfn.IFS(T849=1,"Poor",T849=2,"Fair",T849=3,"Good",T849=4,"Excellent")</f>
        <v>Good</v>
      </c>
      <c r="V849" s="5" t="s">
        <v>43</v>
      </c>
      <c r="W849" s="5">
        <v>13</v>
      </c>
      <c r="X849" s="28">
        <f t="shared" ca="1" si="150"/>
        <v>41363</v>
      </c>
      <c r="Y849" s="28">
        <f t="shared" ca="1" si="151"/>
        <v>46476</v>
      </c>
      <c r="Z849" s="28" t="str">
        <f t="shared" ca="1" si="152"/>
        <v>Due Soon</v>
      </c>
      <c r="AA849" s="5" t="str" cm="1">
        <f t="array" ref="AA849">_xlfn.IFS(W849&gt;10,"Veteran",W849&gt;=6,"Experienced",W849&gt;=2,"Developing",W849&gt;=0,"New")</f>
        <v>Veteran</v>
      </c>
      <c r="AB849" s="5" t="str" cm="1">
        <f t="array" ref="AB849">_xlfn.IFS(G849=1,"Junior",G849=2,"Mid-Level",G849=3,"Senior",G849=4,"Lead",G849=5,"Principal")&amp;" "&amp;TRIM(PROPER(H849))</f>
        <v>Mid-Level Healthcare Representative</v>
      </c>
      <c r="AC849" s="19" t="str">
        <f t="shared" ca="1" si="153"/>
        <v>He-Res-2013-848 is a Mid-Level Healthcare Representative in the Research &amp; Development department, aged 34, single and has been with the Company for 13years</v>
      </c>
    </row>
    <row r="850" spans="1:29">
      <c r="A850" s="18" t="str">
        <f t="shared" ca="1" si="143"/>
        <v>La-Res-2024-849</v>
      </c>
      <c r="B850" s="5">
        <v>35</v>
      </c>
      <c r="C850" s="5" t="str">
        <f t="shared" si="144"/>
        <v>30-39</v>
      </c>
      <c r="D850" s="5" t="s">
        <v>43</v>
      </c>
      <c r="E850" s="5" t="s">
        <v>45</v>
      </c>
      <c r="F850" s="5" t="s">
        <v>46</v>
      </c>
      <c r="G850" s="5">
        <v>1</v>
      </c>
      <c r="H850" s="5" t="s">
        <v>50</v>
      </c>
      <c r="I850" s="5" t="s">
        <v>48</v>
      </c>
      <c r="J850" s="7">
        <v>2376</v>
      </c>
      <c r="K850" s="7">
        <f t="shared" si="145"/>
        <v>166.32000000000002</v>
      </c>
      <c r="L850" s="7">
        <f t="shared" si="146"/>
        <v>2209.6799999999998</v>
      </c>
      <c r="M850" s="7">
        <v>26537</v>
      </c>
      <c r="N850" s="5" t="s">
        <v>43</v>
      </c>
      <c r="O850" s="5">
        <v>13</v>
      </c>
      <c r="P850" s="7">
        <f t="shared" si="147"/>
        <v>2684.8799999999997</v>
      </c>
      <c r="Q850" s="7">
        <f t="shared" si="148"/>
        <v>3706.5599999999959</v>
      </c>
      <c r="R850" s="7" t="str">
        <f t="shared" si="149"/>
        <v>Normal</v>
      </c>
      <c r="S850" s="5">
        <v>3</v>
      </c>
      <c r="T850" s="5">
        <v>4</v>
      </c>
      <c r="U850" s="5" t="str" cm="1">
        <f t="array" ref="U850">_xlfn.IFS(T850=1,"Poor",T850=2,"Fair",T850=3,"Good",T850=4,"Excellent")</f>
        <v>Excellent</v>
      </c>
      <c r="V850" s="5" t="s">
        <v>43</v>
      </c>
      <c r="W850" s="5">
        <v>2</v>
      </c>
      <c r="X850" s="28">
        <f t="shared" ca="1" si="150"/>
        <v>45381</v>
      </c>
      <c r="Y850" s="28">
        <f t="shared" ca="1" si="151"/>
        <v>46842</v>
      </c>
      <c r="Z850" s="28" t="str">
        <f t="shared" ca="1" si="152"/>
        <v>Upcoming</v>
      </c>
      <c r="AA850" s="5" t="str" cm="1">
        <f t="array" ref="AA850">_xlfn.IFS(W850&gt;10,"Veteran",W850&gt;=6,"Experienced",W850&gt;=2,"Developing",W850&gt;=0,"New")</f>
        <v>Developing</v>
      </c>
      <c r="AB850" s="5" t="str" cm="1">
        <f t="array" ref="AB850">_xlfn.IFS(G850=1,"Junior",G850=2,"Mid-Level",G850=3,"Senior",G850=4,"Lead",G850=5,"Principal")&amp;" "&amp;TRIM(PROPER(H850))</f>
        <v>Junior Laboratory Technician</v>
      </c>
      <c r="AC850" s="19" t="str">
        <f t="shared" ca="1" si="153"/>
        <v>La-Res-2024-849 is a Junior Laboratory Technician in the Research &amp; Development department, aged 35, married and has been with the Company for 2years</v>
      </c>
    </row>
    <row r="851" spans="1:29">
      <c r="A851" s="18" t="str">
        <f t="shared" ca="1" si="143"/>
        <v>Sa-Sal-2022-850</v>
      </c>
      <c r="B851" s="5">
        <v>43</v>
      </c>
      <c r="C851" s="5" t="str">
        <f t="shared" si="144"/>
        <v>40-49</v>
      </c>
      <c r="D851" s="5" t="s">
        <v>35</v>
      </c>
      <c r="E851" s="5" t="s">
        <v>37</v>
      </c>
      <c r="F851" s="5" t="s">
        <v>39</v>
      </c>
      <c r="G851" s="5">
        <v>2</v>
      </c>
      <c r="H851" s="5" t="s">
        <v>40</v>
      </c>
      <c r="I851" s="5" t="s">
        <v>41</v>
      </c>
      <c r="J851" s="7">
        <v>5346</v>
      </c>
      <c r="K851" s="7">
        <f t="shared" si="145"/>
        <v>801.9</v>
      </c>
      <c r="L851" s="7">
        <f t="shared" si="146"/>
        <v>4544.1000000000004</v>
      </c>
      <c r="M851" s="7">
        <v>9489</v>
      </c>
      <c r="N851" s="5" t="s">
        <v>43</v>
      </c>
      <c r="O851" s="5">
        <v>13</v>
      </c>
      <c r="P851" s="7">
        <f t="shared" si="147"/>
        <v>6040.98</v>
      </c>
      <c r="Q851" s="7">
        <f t="shared" si="148"/>
        <v>8339.7599999999948</v>
      </c>
      <c r="R851" s="7" t="str">
        <f t="shared" si="149"/>
        <v>Normal</v>
      </c>
      <c r="S851" s="5">
        <v>3</v>
      </c>
      <c r="T851" s="5">
        <v>2</v>
      </c>
      <c r="U851" s="5" t="str" cm="1">
        <f t="array" ref="U851">_xlfn.IFS(T851=1,"Poor",T851=2,"Fair",T851=3,"Good",T851=4,"Excellent")</f>
        <v>Fair</v>
      </c>
      <c r="V851" s="5" t="s">
        <v>43</v>
      </c>
      <c r="W851" s="5">
        <v>4</v>
      </c>
      <c r="X851" s="28">
        <f t="shared" ca="1" si="150"/>
        <v>44650</v>
      </c>
      <c r="Y851" s="28">
        <f t="shared" ca="1" si="151"/>
        <v>46842</v>
      </c>
      <c r="Z851" s="28" t="str">
        <f t="shared" ca="1" si="152"/>
        <v>Upcoming</v>
      </c>
      <c r="AA851" s="5" t="str" cm="1">
        <f t="array" ref="AA851">_xlfn.IFS(W851&gt;10,"Veteran",W851&gt;=6,"Experienced",W851&gt;=2,"Developing",W851&gt;=0,"New")</f>
        <v>Developing</v>
      </c>
      <c r="AB851" s="5" t="str" cm="1">
        <f t="array" ref="AB851">_xlfn.IFS(G851=1,"Junior",G851=2,"Mid-Level",G851=3,"Senior",G851=4,"Lead",G851=5,"Principal")&amp;" "&amp;TRIM(PROPER(H851))</f>
        <v>Mid-Level Sales Executive</v>
      </c>
      <c r="AC851" s="19" t="str">
        <f t="shared" ca="1" si="153"/>
        <v>Sa-Sal-2022-850 is a Mid-Level Sales Executive in the Sales department, aged 43, single and has been with the Company for 4years</v>
      </c>
    </row>
    <row r="852" spans="1:29">
      <c r="A852" s="18" t="str">
        <f t="shared" ca="1" si="143"/>
        <v>Sa-Sal-2025-851</v>
      </c>
      <c r="B852" s="5">
        <v>32</v>
      </c>
      <c r="C852" s="5" t="str">
        <f t="shared" si="144"/>
        <v>30-39</v>
      </c>
      <c r="D852" s="5" t="s">
        <v>43</v>
      </c>
      <c r="E852" s="5" t="s">
        <v>37</v>
      </c>
      <c r="F852" s="5" t="s">
        <v>39</v>
      </c>
      <c r="G852" s="5">
        <v>1</v>
      </c>
      <c r="H852" s="5" t="s">
        <v>57</v>
      </c>
      <c r="I852" s="5" t="s">
        <v>52</v>
      </c>
      <c r="J852" s="7">
        <v>2827</v>
      </c>
      <c r="K852" s="7">
        <f t="shared" si="145"/>
        <v>197.89000000000001</v>
      </c>
      <c r="L852" s="7">
        <f t="shared" si="146"/>
        <v>2629.11</v>
      </c>
      <c r="M852" s="7">
        <v>14947</v>
      </c>
      <c r="N852" s="5" t="s">
        <v>43</v>
      </c>
      <c r="O852" s="5">
        <v>12</v>
      </c>
      <c r="P852" s="7">
        <f t="shared" si="147"/>
        <v>3166.2400000000002</v>
      </c>
      <c r="Q852" s="7">
        <f t="shared" si="148"/>
        <v>4070.8800000000028</v>
      </c>
      <c r="R852" s="7" t="str">
        <f t="shared" si="149"/>
        <v>Normal</v>
      </c>
      <c r="S852" s="5">
        <v>3</v>
      </c>
      <c r="T852" s="5">
        <v>3</v>
      </c>
      <c r="U852" s="5" t="str" cm="1">
        <f t="array" ref="U852">_xlfn.IFS(T852=1,"Poor",T852=2,"Fair",T852=3,"Good",T852=4,"Excellent")</f>
        <v>Good</v>
      </c>
      <c r="V852" s="5" t="s">
        <v>43</v>
      </c>
      <c r="W852" s="5">
        <v>1</v>
      </c>
      <c r="X852" s="28">
        <f t="shared" ca="1" si="150"/>
        <v>45746</v>
      </c>
      <c r="Y852" s="28">
        <f t="shared" ca="1" si="151"/>
        <v>46476</v>
      </c>
      <c r="Z852" s="28" t="str">
        <f t="shared" ca="1" si="152"/>
        <v>Due Soon</v>
      </c>
      <c r="AA852" s="5" t="str" cm="1">
        <f t="array" ref="AA852">_xlfn.IFS(W852&gt;10,"Veteran",W852&gt;=6,"Experienced",W852&gt;=2,"Developing",W852&gt;=0,"New")</f>
        <v>New</v>
      </c>
      <c r="AB852" s="5" t="str" cm="1">
        <f t="array" ref="AB852">_xlfn.IFS(G852=1,"Junior",G852=2,"Mid-Level",G852=3,"Senior",G852=4,"Lead",G852=5,"Principal")&amp;" "&amp;TRIM(PROPER(H852))</f>
        <v>Junior Sales Representative</v>
      </c>
      <c r="AC852" s="19" t="str">
        <f t="shared" ca="1" si="153"/>
        <v>Sa-Sal-2025-851 is a Junior Sales Representative in the Sales department, aged 32, divorced and has been with the Company for 1years</v>
      </c>
    </row>
    <row r="853" spans="1:29">
      <c r="A853" s="18" t="str">
        <f t="shared" ca="1" si="143"/>
        <v>Ma-Res-2021-852</v>
      </c>
      <c r="B853" s="5">
        <v>56</v>
      </c>
      <c r="C853" s="5" t="str">
        <f t="shared" si="144"/>
        <v>50+</v>
      </c>
      <c r="D853" s="5" t="s">
        <v>43</v>
      </c>
      <c r="E853" s="5" t="s">
        <v>45</v>
      </c>
      <c r="F853" s="5" t="s">
        <v>39</v>
      </c>
      <c r="G853" s="5">
        <v>5</v>
      </c>
      <c r="H853" s="5" t="s">
        <v>56</v>
      </c>
      <c r="I853" s="5" t="s">
        <v>52</v>
      </c>
      <c r="J853" s="7">
        <v>19943</v>
      </c>
      <c r="K853" s="7">
        <f t="shared" si="145"/>
        <v>5982.9</v>
      </c>
      <c r="L853" s="7">
        <f t="shared" si="146"/>
        <v>13960.1</v>
      </c>
      <c r="M853" s="7">
        <v>18575</v>
      </c>
      <c r="N853" s="5" t="s">
        <v>43</v>
      </c>
      <c r="O853" s="5">
        <v>13</v>
      </c>
      <c r="P853" s="7">
        <f t="shared" si="147"/>
        <v>22535.589999999997</v>
      </c>
      <c r="Q853" s="7">
        <f t="shared" si="148"/>
        <v>31111.079999999958</v>
      </c>
      <c r="R853" s="7" t="str">
        <f t="shared" si="149"/>
        <v>Normal</v>
      </c>
      <c r="S853" s="5">
        <v>3</v>
      </c>
      <c r="T853" s="5">
        <v>3</v>
      </c>
      <c r="U853" s="5" t="str" cm="1">
        <f t="array" ref="U853">_xlfn.IFS(T853=1,"Poor",T853=2,"Fair",T853=3,"Good",T853=4,"Excellent")</f>
        <v>Good</v>
      </c>
      <c r="V853" s="5" t="s">
        <v>43</v>
      </c>
      <c r="W853" s="5">
        <v>5</v>
      </c>
      <c r="X853" s="28">
        <f t="shared" ca="1" si="150"/>
        <v>44285</v>
      </c>
      <c r="Y853" s="28">
        <f t="shared" ca="1" si="151"/>
        <v>46476</v>
      </c>
      <c r="Z853" s="28" t="str">
        <f t="shared" ca="1" si="152"/>
        <v>Due Soon</v>
      </c>
      <c r="AA853" s="5" t="str" cm="1">
        <f t="array" ref="AA853">_xlfn.IFS(W853&gt;10,"Veteran",W853&gt;=6,"Experienced",W853&gt;=2,"Developing",W853&gt;=0,"New")</f>
        <v>Developing</v>
      </c>
      <c r="AB853" s="5" t="str" cm="1">
        <f t="array" ref="AB853">_xlfn.IFS(G853=1,"Junior",G853=2,"Mid-Level",G853=3,"Senior",G853=4,"Lead",G853=5,"Principal")&amp;" "&amp;TRIM(PROPER(H853))</f>
        <v>Principal Manager</v>
      </c>
      <c r="AC853" s="19" t="str">
        <f t="shared" ca="1" si="153"/>
        <v>Ma-Res-2021-852 is a Principal Manager in the Research &amp; Development department, aged 56, divorced and has been with the Company for 5years</v>
      </c>
    </row>
    <row r="854" spans="1:29">
      <c r="A854" s="18" t="str">
        <f t="shared" ca="1" si="143"/>
        <v>La-Res-2016-853</v>
      </c>
      <c r="B854" s="5">
        <v>29</v>
      </c>
      <c r="C854" s="5" t="str">
        <f t="shared" si="144"/>
        <v>20-29</v>
      </c>
      <c r="D854" s="5" t="s">
        <v>43</v>
      </c>
      <c r="E854" s="5" t="s">
        <v>45</v>
      </c>
      <c r="F854" s="5" t="s">
        <v>39</v>
      </c>
      <c r="G854" s="5">
        <v>1</v>
      </c>
      <c r="H854" s="5" t="s">
        <v>50</v>
      </c>
      <c r="I854" s="5" t="s">
        <v>48</v>
      </c>
      <c r="J854" s="7">
        <v>3131</v>
      </c>
      <c r="K854" s="7">
        <f t="shared" si="145"/>
        <v>469.65</v>
      </c>
      <c r="L854" s="7">
        <f t="shared" si="146"/>
        <v>2661.35</v>
      </c>
      <c r="M854" s="7">
        <v>26342</v>
      </c>
      <c r="N854" s="5" t="s">
        <v>43</v>
      </c>
      <c r="O854" s="5">
        <v>13</v>
      </c>
      <c r="P854" s="7">
        <f t="shared" si="147"/>
        <v>3538.0299999999997</v>
      </c>
      <c r="Q854" s="7">
        <f t="shared" si="148"/>
        <v>4884.3599999999969</v>
      </c>
      <c r="R854" s="7" t="str">
        <f t="shared" si="149"/>
        <v>Normal</v>
      </c>
      <c r="S854" s="5">
        <v>3</v>
      </c>
      <c r="T854" s="5">
        <v>3</v>
      </c>
      <c r="U854" s="5" t="str" cm="1">
        <f t="array" ref="U854">_xlfn.IFS(T854=1,"Poor",T854=2,"Fair",T854=3,"Good",T854=4,"Excellent")</f>
        <v>Good</v>
      </c>
      <c r="V854" s="5" t="s">
        <v>43</v>
      </c>
      <c r="W854" s="5">
        <v>10</v>
      </c>
      <c r="X854" s="28">
        <f t="shared" ca="1" si="150"/>
        <v>42459</v>
      </c>
      <c r="Y854" s="28">
        <f t="shared" ca="1" si="151"/>
        <v>46842</v>
      </c>
      <c r="Z854" s="28" t="str">
        <f t="shared" ca="1" si="152"/>
        <v>Upcoming</v>
      </c>
      <c r="AA854" s="5" t="str" cm="1">
        <f t="array" ref="AA854">_xlfn.IFS(W854&gt;10,"Veteran",W854&gt;=6,"Experienced",W854&gt;=2,"Developing",W854&gt;=0,"New")</f>
        <v>Experienced</v>
      </c>
      <c r="AB854" s="5" t="str" cm="1">
        <f t="array" ref="AB854">_xlfn.IFS(G854=1,"Junior",G854=2,"Mid-Level",G854=3,"Senior",G854=4,"Lead",G854=5,"Principal")&amp;" "&amp;TRIM(PROPER(H854))</f>
        <v>Junior Laboratory Technician</v>
      </c>
      <c r="AC854" s="19" t="str">
        <f t="shared" ca="1" si="153"/>
        <v>La-Res-2016-853 is a Junior Laboratory Technician in the Research &amp; Development department, aged 29, married and has been with the Company for 10years</v>
      </c>
    </row>
    <row r="855" spans="1:29">
      <c r="A855" s="18" t="str">
        <f t="shared" ca="1" si="143"/>
        <v>Re-Res-2025-854</v>
      </c>
      <c r="B855" s="5">
        <v>19</v>
      </c>
      <c r="C855" s="5" t="str">
        <f t="shared" si="144"/>
        <v>20-29</v>
      </c>
      <c r="D855" s="5" t="s">
        <v>43</v>
      </c>
      <c r="E855" s="5" t="s">
        <v>45</v>
      </c>
      <c r="F855" s="5" t="s">
        <v>46</v>
      </c>
      <c r="G855" s="5">
        <v>1</v>
      </c>
      <c r="H855" s="5" t="s">
        <v>47</v>
      </c>
      <c r="I855" s="5" t="s">
        <v>41</v>
      </c>
      <c r="J855" s="7">
        <v>2552</v>
      </c>
      <c r="K855" s="7">
        <f t="shared" si="145"/>
        <v>178.64000000000001</v>
      </c>
      <c r="L855" s="7">
        <f t="shared" si="146"/>
        <v>2373.36</v>
      </c>
      <c r="M855" s="7">
        <v>7172</v>
      </c>
      <c r="N855" s="5" t="s">
        <v>43</v>
      </c>
      <c r="O855" s="5">
        <v>25</v>
      </c>
      <c r="P855" s="7">
        <f t="shared" si="147"/>
        <v>3190</v>
      </c>
      <c r="Q855" s="7">
        <f t="shared" si="148"/>
        <v>7656</v>
      </c>
      <c r="R855" s="7" t="str">
        <f t="shared" si="149"/>
        <v>Normal</v>
      </c>
      <c r="S855" s="5">
        <v>4</v>
      </c>
      <c r="T855" s="5">
        <v>3</v>
      </c>
      <c r="U855" s="5" t="str" cm="1">
        <f t="array" ref="U855">_xlfn.IFS(T855=1,"Poor",T855=2,"Fair",T855=3,"Good",T855=4,"Excellent")</f>
        <v>Good</v>
      </c>
      <c r="V855" s="5" t="s">
        <v>43</v>
      </c>
      <c r="W855" s="5">
        <v>1</v>
      </c>
      <c r="X855" s="28">
        <f t="shared" ca="1" si="150"/>
        <v>45746</v>
      </c>
      <c r="Y855" s="28">
        <f t="shared" ca="1" si="151"/>
        <v>46476</v>
      </c>
      <c r="Z855" s="28" t="str">
        <f t="shared" ca="1" si="152"/>
        <v>Due Soon</v>
      </c>
      <c r="AA855" s="5" t="str" cm="1">
        <f t="array" ref="AA855">_xlfn.IFS(W855&gt;10,"Veteran",W855&gt;=6,"Experienced",W855&gt;=2,"Developing",W855&gt;=0,"New")</f>
        <v>New</v>
      </c>
      <c r="AB855" s="5" t="str" cm="1">
        <f t="array" ref="AB855">_xlfn.IFS(G855=1,"Junior",G855=2,"Mid-Level",G855=3,"Senior",G855=4,"Lead",G855=5,"Principal")&amp;" "&amp;TRIM(PROPER(H855))</f>
        <v>Junior Research Scientist</v>
      </c>
      <c r="AC855" s="19" t="str">
        <f t="shared" ca="1" si="153"/>
        <v>Re-Res-2025-854 is a Junior Research Scientist in the Research &amp; Development department, aged 19, single and has been with the Company for 1years</v>
      </c>
    </row>
    <row r="856" spans="1:29">
      <c r="A856" s="18" t="str">
        <f t="shared" ca="1" si="143"/>
        <v>Re-Res-2023-855</v>
      </c>
      <c r="B856" s="5">
        <v>45</v>
      </c>
      <c r="C856" s="5" t="str">
        <f t="shared" si="144"/>
        <v>40-49</v>
      </c>
      <c r="D856" s="5" t="s">
        <v>43</v>
      </c>
      <c r="E856" s="5" t="s">
        <v>45</v>
      </c>
      <c r="F856" s="5" t="s">
        <v>39</v>
      </c>
      <c r="G856" s="5">
        <v>1</v>
      </c>
      <c r="H856" s="5" t="s">
        <v>47</v>
      </c>
      <c r="I856" s="5" t="s">
        <v>48</v>
      </c>
      <c r="J856" s="7">
        <v>4477</v>
      </c>
      <c r="K856" s="7">
        <f t="shared" si="145"/>
        <v>671.55</v>
      </c>
      <c r="L856" s="7">
        <f t="shared" si="146"/>
        <v>3805.45</v>
      </c>
      <c r="M856" s="7">
        <v>20100</v>
      </c>
      <c r="N856" s="5" t="s">
        <v>35</v>
      </c>
      <c r="O856" s="5">
        <v>19</v>
      </c>
      <c r="P856" s="7">
        <f t="shared" si="147"/>
        <v>5327.63</v>
      </c>
      <c r="Q856" s="7">
        <f t="shared" si="148"/>
        <v>10207.560000000001</v>
      </c>
      <c r="R856" s="7" t="str">
        <f t="shared" si="149"/>
        <v>Normal</v>
      </c>
      <c r="S856" s="5">
        <v>3</v>
      </c>
      <c r="T856" s="5">
        <v>2</v>
      </c>
      <c r="U856" s="5" t="str" cm="1">
        <f t="array" ref="U856">_xlfn.IFS(T856=1,"Poor",T856=2,"Fair",T856=3,"Good",T856=4,"Excellent")</f>
        <v>Fair</v>
      </c>
      <c r="V856" s="5" t="s">
        <v>35</v>
      </c>
      <c r="W856" s="5">
        <v>3</v>
      </c>
      <c r="X856" s="28">
        <f t="shared" ca="1" si="150"/>
        <v>45015</v>
      </c>
      <c r="Y856" s="28">
        <f t="shared" ca="1" si="151"/>
        <v>46476</v>
      </c>
      <c r="Z856" s="28" t="str">
        <f t="shared" ca="1" si="152"/>
        <v>Due Soon</v>
      </c>
      <c r="AA856" s="5" t="str" cm="1">
        <f t="array" ref="AA856">_xlfn.IFS(W856&gt;10,"Veteran",W856&gt;=6,"Experienced",W856&gt;=2,"Developing",W856&gt;=0,"New")</f>
        <v>Developing</v>
      </c>
      <c r="AB856" s="5" t="str" cm="1">
        <f t="array" ref="AB856">_xlfn.IFS(G856=1,"Junior",G856=2,"Mid-Level",G856=3,"Senior",G856=4,"Lead",G856=5,"Principal")&amp;" "&amp;TRIM(PROPER(H856))</f>
        <v>Junior Research Scientist</v>
      </c>
      <c r="AC856" s="19" t="str">
        <f t="shared" ca="1" si="153"/>
        <v>Re-Res-2023-855 is a Junior Research Scientist in the Research &amp; Development department, aged 45, married and has been with the Company for 3years</v>
      </c>
    </row>
    <row r="857" spans="1:29">
      <c r="A857" s="18" t="str">
        <f t="shared" ca="1" si="143"/>
        <v>Ma-Res-2012-856</v>
      </c>
      <c r="B857" s="5">
        <v>37</v>
      </c>
      <c r="C857" s="5" t="str">
        <f t="shared" si="144"/>
        <v>30-39</v>
      </c>
      <c r="D857" s="5" t="s">
        <v>43</v>
      </c>
      <c r="E857" s="5" t="s">
        <v>45</v>
      </c>
      <c r="F857" s="5" t="s">
        <v>39</v>
      </c>
      <c r="G857" s="5">
        <v>2</v>
      </c>
      <c r="H857" s="5" t="s">
        <v>53</v>
      </c>
      <c r="I857" s="5" t="s">
        <v>48</v>
      </c>
      <c r="J857" s="7">
        <v>6474</v>
      </c>
      <c r="K857" s="7">
        <f t="shared" si="145"/>
        <v>971.09999999999991</v>
      </c>
      <c r="L857" s="7">
        <f t="shared" si="146"/>
        <v>5502.9</v>
      </c>
      <c r="M857" s="7">
        <v>9961</v>
      </c>
      <c r="N857" s="5" t="s">
        <v>43</v>
      </c>
      <c r="O857" s="5">
        <v>13</v>
      </c>
      <c r="P857" s="7">
        <f t="shared" si="147"/>
        <v>7315.619999999999</v>
      </c>
      <c r="Q857" s="7">
        <f t="shared" si="148"/>
        <v>10099.439999999988</v>
      </c>
      <c r="R857" s="7" t="str">
        <f t="shared" si="149"/>
        <v>Normal</v>
      </c>
      <c r="S857" s="5">
        <v>3</v>
      </c>
      <c r="T857" s="5">
        <v>2</v>
      </c>
      <c r="U857" s="5" t="str" cm="1">
        <f t="array" ref="U857">_xlfn.IFS(T857=1,"Poor",T857=2,"Fair",T857=3,"Good",T857=4,"Excellent")</f>
        <v>Fair</v>
      </c>
      <c r="V857" s="5" t="s">
        <v>43</v>
      </c>
      <c r="W857" s="5">
        <v>14</v>
      </c>
      <c r="X857" s="28">
        <f t="shared" ca="1" si="150"/>
        <v>40998</v>
      </c>
      <c r="Y857" s="28">
        <f t="shared" ca="1" si="151"/>
        <v>46842</v>
      </c>
      <c r="Z857" s="28" t="str">
        <f t="shared" ca="1" si="152"/>
        <v>Upcoming</v>
      </c>
      <c r="AA857" s="5" t="str" cm="1">
        <f t="array" ref="AA857">_xlfn.IFS(W857&gt;10,"Veteran",W857&gt;=6,"Experienced",W857&gt;=2,"Developing",W857&gt;=0,"New")</f>
        <v>Veteran</v>
      </c>
      <c r="AB857" s="5" t="str" cm="1">
        <f t="array" ref="AB857">_xlfn.IFS(G857=1,"Junior",G857=2,"Mid-Level",G857=3,"Senior",G857=4,"Lead",G857=5,"Principal")&amp;" "&amp;TRIM(PROPER(H857))</f>
        <v>Mid-Level Manufacturing Director</v>
      </c>
      <c r="AC857" s="19" t="str">
        <f t="shared" ca="1" si="153"/>
        <v>Ma-Res-2012-856 is a Mid-Level Manufacturing Director in the Research &amp; Development department, aged 37, married and has been with the Company for 14years</v>
      </c>
    </row>
    <row r="858" spans="1:29">
      <c r="A858" s="18" t="str">
        <f t="shared" ca="1" si="143"/>
        <v>La-Res-2024-857</v>
      </c>
      <c r="B858" s="5">
        <v>20</v>
      </c>
      <c r="C858" s="5" t="str">
        <f t="shared" si="144"/>
        <v>20-29</v>
      </c>
      <c r="D858" s="5" t="s">
        <v>43</v>
      </c>
      <c r="E858" s="5" t="s">
        <v>45</v>
      </c>
      <c r="F858" s="5" t="s">
        <v>46</v>
      </c>
      <c r="G858" s="5">
        <v>1</v>
      </c>
      <c r="H858" s="5" t="s">
        <v>50</v>
      </c>
      <c r="I858" s="5" t="s">
        <v>41</v>
      </c>
      <c r="J858" s="7">
        <v>3033</v>
      </c>
      <c r="K858" s="7">
        <f t="shared" si="145"/>
        <v>454.95</v>
      </c>
      <c r="L858" s="7">
        <f t="shared" si="146"/>
        <v>2578.0500000000002</v>
      </c>
      <c r="M858" s="7">
        <v>12828</v>
      </c>
      <c r="N858" s="5" t="s">
        <v>43</v>
      </c>
      <c r="O858" s="5">
        <v>12</v>
      </c>
      <c r="P858" s="7">
        <f t="shared" si="147"/>
        <v>3396.9600000000005</v>
      </c>
      <c r="Q858" s="7">
        <f t="shared" si="148"/>
        <v>4367.5200000000059</v>
      </c>
      <c r="R858" s="7" t="str">
        <f t="shared" si="149"/>
        <v>Normal</v>
      </c>
      <c r="S858" s="5">
        <v>3</v>
      </c>
      <c r="T858" s="5">
        <v>2</v>
      </c>
      <c r="U858" s="5" t="str" cm="1">
        <f t="array" ref="U858">_xlfn.IFS(T858=1,"Poor",T858=2,"Fair",T858=3,"Good",T858=4,"Excellent")</f>
        <v>Fair</v>
      </c>
      <c r="V858" s="5" t="s">
        <v>43</v>
      </c>
      <c r="W858" s="5">
        <v>2</v>
      </c>
      <c r="X858" s="28">
        <f t="shared" ca="1" si="150"/>
        <v>45381</v>
      </c>
      <c r="Y858" s="28">
        <f t="shared" ca="1" si="151"/>
        <v>46842</v>
      </c>
      <c r="Z858" s="28" t="str">
        <f t="shared" ca="1" si="152"/>
        <v>Upcoming</v>
      </c>
      <c r="AA858" s="5" t="str" cm="1">
        <f t="array" ref="AA858">_xlfn.IFS(W858&gt;10,"Veteran",W858&gt;=6,"Experienced",W858&gt;=2,"Developing",W858&gt;=0,"New")</f>
        <v>Developing</v>
      </c>
      <c r="AB858" s="5" t="str" cm="1">
        <f t="array" ref="AB858">_xlfn.IFS(G858=1,"Junior",G858=2,"Mid-Level",G858=3,"Senior",G858=4,"Lead",G858=5,"Principal")&amp;" "&amp;TRIM(PROPER(H858))</f>
        <v>Junior Laboratory Technician</v>
      </c>
      <c r="AC858" s="19" t="str">
        <f t="shared" ca="1" si="153"/>
        <v>La-Res-2024-857 is a Junior Laboratory Technician in the Research &amp; Development department, aged 20, single and has been with the Company for 2years</v>
      </c>
    </row>
    <row r="859" spans="1:29">
      <c r="A859" s="18" t="str">
        <f t="shared" ca="1" si="143"/>
        <v>Re-Res-2020-858</v>
      </c>
      <c r="B859" s="5">
        <v>44</v>
      </c>
      <c r="C859" s="5" t="str">
        <f t="shared" si="144"/>
        <v>40-49</v>
      </c>
      <c r="D859" s="5" t="s">
        <v>35</v>
      </c>
      <c r="E859" s="5" t="s">
        <v>45</v>
      </c>
      <c r="F859" s="5" t="s">
        <v>46</v>
      </c>
      <c r="G859" s="5">
        <v>1</v>
      </c>
      <c r="H859" s="5" t="s">
        <v>47</v>
      </c>
      <c r="I859" s="5" t="s">
        <v>41</v>
      </c>
      <c r="J859" s="7">
        <v>2936</v>
      </c>
      <c r="K859" s="7">
        <f t="shared" si="145"/>
        <v>205.52</v>
      </c>
      <c r="L859" s="7">
        <f t="shared" si="146"/>
        <v>2730.48</v>
      </c>
      <c r="M859" s="7">
        <v>10826</v>
      </c>
      <c r="N859" s="5" t="s">
        <v>35</v>
      </c>
      <c r="O859" s="5">
        <v>11</v>
      </c>
      <c r="P859" s="7">
        <f t="shared" si="147"/>
        <v>3258.9600000000005</v>
      </c>
      <c r="Q859" s="7">
        <f t="shared" si="148"/>
        <v>3875.5200000000059</v>
      </c>
      <c r="R859" s="7" t="str">
        <f t="shared" si="149"/>
        <v>Normal</v>
      </c>
      <c r="S859" s="5">
        <v>3</v>
      </c>
      <c r="T859" s="5">
        <v>3</v>
      </c>
      <c r="U859" s="5" t="str" cm="1">
        <f t="array" ref="U859">_xlfn.IFS(T859=1,"Poor",T859=2,"Fair",T859=3,"Good",T859=4,"Excellent")</f>
        <v>Good</v>
      </c>
      <c r="V859" s="5" t="s">
        <v>35</v>
      </c>
      <c r="W859" s="5">
        <v>6</v>
      </c>
      <c r="X859" s="28">
        <f t="shared" ca="1" si="150"/>
        <v>43920</v>
      </c>
      <c r="Y859" s="28">
        <f t="shared" ca="1" si="151"/>
        <v>46842</v>
      </c>
      <c r="Z859" s="28" t="str">
        <f t="shared" ca="1" si="152"/>
        <v>Upcoming</v>
      </c>
      <c r="AA859" s="5" t="str" cm="1">
        <f t="array" ref="AA859">_xlfn.IFS(W859&gt;10,"Veteran",W859&gt;=6,"Experienced",W859&gt;=2,"Developing",W859&gt;=0,"New")</f>
        <v>Experienced</v>
      </c>
      <c r="AB859" s="5" t="str" cm="1">
        <f t="array" ref="AB859">_xlfn.IFS(G859=1,"Junior",G859=2,"Mid-Level",G859=3,"Senior",G859=4,"Lead",G859=5,"Principal")&amp;" "&amp;TRIM(PROPER(H859))</f>
        <v>Junior Research Scientist</v>
      </c>
      <c r="AC859" s="19" t="str">
        <f t="shared" ca="1" si="153"/>
        <v>Re-Res-2020-858 is a Junior Research Scientist in the Research &amp; Development department, aged 44, single and has been with the Company for 6years</v>
      </c>
    </row>
    <row r="860" spans="1:29">
      <c r="A860" s="18" t="str">
        <f t="shared" ca="1" si="143"/>
        <v>Ma-Res-2019-859</v>
      </c>
      <c r="B860" s="5">
        <v>53</v>
      </c>
      <c r="C860" s="5" t="str">
        <f t="shared" si="144"/>
        <v>50+</v>
      </c>
      <c r="D860" s="5" t="s">
        <v>43</v>
      </c>
      <c r="E860" s="5" t="s">
        <v>45</v>
      </c>
      <c r="F860" s="5" t="s">
        <v>39</v>
      </c>
      <c r="G860" s="5">
        <v>5</v>
      </c>
      <c r="H860" s="5" t="s">
        <v>56</v>
      </c>
      <c r="I860" s="5" t="s">
        <v>52</v>
      </c>
      <c r="J860" s="7">
        <v>18606</v>
      </c>
      <c r="K860" s="7">
        <f t="shared" si="145"/>
        <v>5581.8</v>
      </c>
      <c r="L860" s="7">
        <f t="shared" si="146"/>
        <v>13024.2</v>
      </c>
      <c r="M860" s="7">
        <v>18640</v>
      </c>
      <c r="N860" s="5" t="s">
        <v>43</v>
      </c>
      <c r="O860" s="5">
        <v>18</v>
      </c>
      <c r="P860" s="7">
        <f t="shared" si="147"/>
        <v>21955.079999999998</v>
      </c>
      <c r="Q860" s="7">
        <f t="shared" si="148"/>
        <v>40188.959999999977</v>
      </c>
      <c r="R860" s="7" t="str">
        <f t="shared" si="149"/>
        <v>Normal</v>
      </c>
      <c r="S860" s="5">
        <v>3</v>
      </c>
      <c r="T860" s="5">
        <v>3</v>
      </c>
      <c r="U860" s="5" t="str" cm="1">
        <f t="array" ref="U860">_xlfn.IFS(T860=1,"Poor",T860=2,"Fair",T860=3,"Good",T860=4,"Excellent")</f>
        <v>Good</v>
      </c>
      <c r="V860" s="5" t="s">
        <v>43</v>
      </c>
      <c r="W860" s="5">
        <v>7</v>
      </c>
      <c r="X860" s="28">
        <f t="shared" ca="1" si="150"/>
        <v>43554</v>
      </c>
      <c r="Y860" s="28">
        <f t="shared" ca="1" si="151"/>
        <v>46476</v>
      </c>
      <c r="Z860" s="28" t="str">
        <f t="shared" ca="1" si="152"/>
        <v>Due Soon</v>
      </c>
      <c r="AA860" s="5" t="str" cm="1">
        <f t="array" ref="AA860">_xlfn.IFS(W860&gt;10,"Veteran",W860&gt;=6,"Experienced",W860&gt;=2,"Developing",W860&gt;=0,"New")</f>
        <v>Experienced</v>
      </c>
      <c r="AB860" s="5" t="str" cm="1">
        <f t="array" ref="AB860">_xlfn.IFS(G860=1,"Junior",G860=2,"Mid-Level",G860=3,"Senior",G860=4,"Lead",G860=5,"Principal")&amp;" "&amp;TRIM(PROPER(H860))</f>
        <v>Principal Manager</v>
      </c>
      <c r="AC860" s="19" t="str">
        <f t="shared" ca="1" si="153"/>
        <v>Ma-Res-2019-859 is a Principal Manager in the Research &amp; Development department, aged 53, divorced and has been with the Company for 7years</v>
      </c>
    </row>
    <row r="861" spans="1:29">
      <c r="A861" s="18" t="str">
        <f t="shared" ca="1" si="143"/>
        <v>Re-Res-2021-860</v>
      </c>
      <c r="B861" s="5">
        <v>29</v>
      </c>
      <c r="C861" s="5" t="str">
        <f t="shared" si="144"/>
        <v>20-29</v>
      </c>
      <c r="D861" s="5" t="s">
        <v>43</v>
      </c>
      <c r="E861" s="5" t="s">
        <v>45</v>
      </c>
      <c r="F861" s="5" t="s">
        <v>39</v>
      </c>
      <c r="G861" s="5">
        <v>1</v>
      </c>
      <c r="H861" s="5" t="s">
        <v>47</v>
      </c>
      <c r="I861" s="5" t="s">
        <v>48</v>
      </c>
      <c r="J861" s="7">
        <v>2168</v>
      </c>
      <c r="K861" s="7">
        <f t="shared" si="145"/>
        <v>151.76000000000002</v>
      </c>
      <c r="L861" s="7">
        <f t="shared" si="146"/>
        <v>2016.24</v>
      </c>
      <c r="M861" s="7">
        <v>26933</v>
      </c>
      <c r="N861" s="5" t="s">
        <v>35</v>
      </c>
      <c r="O861" s="5">
        <v>18</v>
      </c>
      <c r="P861" s="7">
        <f t="shared" si="147"/>
        <v>2558.2399999999998</v>
      </c>
      <c r="Q861" s="7">
        <f t="shared" si="148"/>
        <v>4682.8799999999974</v>
      </c>
      <c r="R861" s="7" t="str">
        <f t="shared" si="149"/>
        <v>Normal</v>
      </c>
      <c r="S861" s="5">
        <v>3</v>
      </c>
      <c r="T861" s="5">
        <v>2</v>
      </c>
      <c r="U861" s="5" t="str" cm="1">
        <f t="array" ref="U861">_xlfn.IFS(T861=1,"Poor",T861=2,"Fair",T861=3,"Good",T861=4,"Excellent")</f>
        <v>Fair</v>
      </c>
      <c r="V861" s="5" t="s">
        <v>35</v>
      </c>
      <c r="W861" s="5">
        <v>5</v>
      </c>
      <c r="X861" s="28">
        <f t="shared" ca="1" si="150"/>
        <v>44285</v>
      </c>
      <c r="Y861" s="28">
        <f t="shared" ca="1" si="151"/>
        <v>46476</v>
      </c>
      <c r="Z861" s="28" t="str">
        <f t="shared" ca="1" si="152"/>
        <v>Due Soon</v>
      </c>
      <c r="AA861" s="5" t="str" cm="1">
        <f t="array" ref="AA861">_xlfn.IFS(W861&gt;10,"Veteran",W861&gt;=6,"Experienced",W861&gt;=2,"Developing",W861&gt;=0,"New")</f>
        <v>Developing</v>
      </c>
      <c r="AB861" s="5" t="str" cm="1">
        <f t="array" ref="AB861">_xlfn.IFS(G861=1,"Junior",G861=2,"Mid-Level",G861=3,"Senior",G861=4,"Lead",G861=5,"Principal")&amp;" "&amp;TRIM(PROPER(H861))</f>
        <v>Junior Research Scientist</v>
      </c>
      <c r="AC861" s="19" t="str">
        <f t="shared" ca="1" si="153"/>
        <v>Re-Res-2021-860 is a Junior Research Scientist in the Research &amp; Development department, aged 29, married and has been with the Company for 5years</v>
      </c>
    </row>
    <row r="862" spans="1:29">
      <c r="A862" s="18" t="str">
        <f t="shared" ca="1" si="143"/>
        <v>Re-Res-2026-861</v>
      </c>
      <c r="B862" s="5">
        <v>22</v>
      </c>
      <c r="C862" s="5" t="str">
        <f t="shared" si="144"/>
        <v>20-29</v>
      </c>
      <c r="D862" s="5" t="s">
        <v>35</v>
      </c>
      <c r="E862" s="5" t="s">
        <v>45</v>
      </c>
      <c r="F862" s="5" t="s">
        <v>46</v>
      </c>
      <c r="G862" s="5">
        <v>1</v>
      </c>
      <c r="H862" s="5" t="s">
        <v>47</v>
      </c>
      <c r="I862" s="5" t="s">
        <v>48</v>
      </c>
      <c r="J862" s="7">
        <v>2853</v>
      </c>
      <c r="K862" s="7">
        <f t="shared" si="145"/>
        <v>199.71</v>
      </c>
      <c r="L862" s="7">
        <f t="shared" si="146"/>
        <v>2653.29</v>
      </c>
      <c r="M862" s="7">
        <v>4223</v>
      </c>
      <c r="N862" s="5" t="s">
        <v>35</v>
      </c>
      <c r="O862" s="5">
        <v>11</v>
      </c>
      <c r="P862" s="7">
        <f t="shared" si="147"/>
        <v>3166.8300000000004</v>
      </c>
      <c r="Q862" s="7">
        <f t="shared" si="148"/>
        <v>3765.9600000000046</v>
      </c>
      <c r="R862" s="7" t="str">
        <f t="shared" si="149"/>
        <v>Normal</v>
      </c>
      <c r="S862" s="5">
        <v>3</v>
      </c>
      <c r="T862" s="5">
        <v>3</v>
      </c>
      <c r="U862" s="5" t="str" cm="1">
        <f t="array" ref="U862">_xlfn.IFS(T862=1,"Poor",T862=2,"Fair",T862=3,"Good",T862=4,"Excellent")</f>
        <v>Good</v>
      </c>
      <c r="V862" s="5" t="s">
        <v>35</v>
      </c>
      <c r="W862" s="5">
        <v>0</v>
      </c>
      <c r="X862" s="28">
        <f t="shared" ca="1" si="150"/>
        <v>46111</v>
      </c>
      <c r="Y862" s="28">
        <f t="shared" ca="1" si="151"/>
        <v>46842</v>
      </c>
      <c r="Z862" s="28" t="str">
        <f t="shared" ca="1" si="152"/>
        <v>Upcoming</v>
      </c>
      <c r="AA862" s="5" t="str" cm="1">
        <f t="array" ref="AA862">_xlfn.IFS(W862&gt;10,"Veteran",W862&gt;=6,"Experienced",W862&gt;=2,"Developing",W862&gt;=0,"New")</f>
        <v>New</v>
      </c>
      <c r="AB862" s="5" t="str" cm="1">
        <f t="array" ref="AB862">_xlfn.IFS(G862=1,"Junior",G862=2,"Mid-Level",G862=3,"Senior",G862=4,"Lead",G862=5,"Principal")&amp;" "&amp;TRIM(PROPER(H862))</f>
        <v>Junior Research Scientist</v>
      </c>
      <c r="AC862" s="19" t="str">
        <f t="shared" ca="1" si="153"/>
        <v>Re-Res-2026-861 is a Junior Research Scientist in the Research &amp; Development department, aged 22, married and has been with the Company for 0years</v>
      </c>
    </row>
    <row r="863" spans="1:29">
      <c r="A863" s="18" t="str">
        <f t="shared" ca="1" si="143"/>
        <v>Ma-Sal-2000-862</v>
      </c>
      <c r="B863" s="5">
        <v>46</v>
      </c>
      <c r="C863" s="5" t="str">
        <f t="shared" si="144"/>
        <v>40-49</v>
      </c>
      <c r="D863" s="5" t="s">
        <v>43</v>
      </c>
      <c r="E863" s="5" t="s">
        <v>37</v>
      </c>
      <c r="F863" s="5" t="s">
        <v>39</v>
      </c>
      <c r="G863" s="5">
        <v>4</v>
      </c>
      <c r="H863" s="5" t="s">
        <v>56</v>
      </c>
      <c r="I863" s="5" t="s">
        <v>48</v>
      </c>
      <c r="J863" s="7">
        <v>17048</v>
      </c>
      <c r="K863" s="7">
        <f t="shared" si="145"/>
        <v>5114.3999999999996</v>
      </c>
      <c r="L863" s="7">
        <f t="shared" si="146"/>
        <v>11933.6</v>
      </c>
      <c r="M863" s="7">
        <v>24097</v>
      </c>
      <c r="N863" s="5" t="s">
        <v>43</v>
      </c>
      <c r="O863" s="5">
        <v>23</v>
      </c>
      <c r="P863" s="7">
        <f t="shared" si="147"/>
        <v>20969.04</v>
      </c>
      <c r="Q863" s="7">
        <f t="shared" si="148"/>
        <v>47052.48000000001</v>
      </c>
      <c r="R863" s="7" t="str">
        <f t="shared" si="149"/>
        <v>Normal</v>
      </c>
      <c r="S863" s="5">
        <v>4</v>
      </c>
      <c r="T863" s="5">
        <v>3</v>
      </c>
      <c r="U863" s="5" t="str" cm="1">
        <f t="array" ref="U863">_xlfn.IFS(T863=1,"Poor",T863=2,"Fair",T863=3,"Good",T863=4,"Excellent")</f>
        <v>Good</v>
      </c>
      <c r="V863" s="5" t="s">
        <v>43</v>
      </c>
      <c r="W863" s="5">
        <v>26</v>
      </c>
      <c r="X863" s="28">
        <f t="shared" ca="1" si="150"/>
        <v>36615</v>
      </c>
      <c r="Y863" s="28">
        <f t="shared" ca="1" si="151"/>
        <v>46842</v>
      </c>
      <c r="Z863" s="28" t="str">
        <f t="shared" ca="1" si="152"/>
        <v>Upcoming</v>
      </c>
      <c r="AA863" s="5" t="str" cm="1">
        <f t="array" ref="AA863">_xlfn.IFS(W863&gt;10,"Veteran",W863&gt;=6,"Experienced",W863&gt;=2,"Developing",W863&gt;=0,"New")</f>
        <v>Veteran</v>
      </c>
      <c r="AB863" s="5" t="str" cm="1">
        <f t="array" ref="AB863">_xlfn.IFS(G863=1,"Junior",G863=2,"Mid-Level",G863=3,"Senior",G863=4,"Lead",G863=5,"Principal")&amp;" "&amp;TRIM(PROPER(H863))</f>
        <v>Lead Manager</v>
      </c>
      <c r="AC863" s="19" t="str">
        <f t="shared" ca="1" si="153"/>
        <v>Ma-Sal-2000-862 is a Lead Manager in the Sales department, aged 46, married and has been with the Company for 26years</v>
      </c>
    </row>
    <row r="864" spans="1:29">
      <c r="A864" s="18" t="str">
        <f t="shared" ca="1" si="143"/>
        <v>Re-Res-2026-863</v>
      </c>
      <c r="B864" s="5">
        <v>44</v>
      </c>
      <c r="C864" s="5" t="str">
        <f t="shared" si="144"/>
        <v>40-49</v>
      </c>
      <c r="D864" s="5" t="s">
        <v>43</v>
      </c>
      <c r="E864" s="5" t="s">
        <v>45</v>
      </c>
      <c r="F864" s="5" t="s">
        <v>46</v>
      </c>
      <c r="G864" s="5">
        <v>1</v>
      </c>
      <c r="H864" s="5" t="s">
        <v>47</v>
      </c>
      <c r="I864" s="5" t="s">
        <v>41</v>
      </c>
      <c r="J864" s="7">
        <v>2290</v>
      </c>
      <c r="K864" s="7">
        <f t="shared" si="145"/>
        <v>160.30000000000001</v>
      </c>
      <c r="L864" s="7">
        <f t="shared" si="146"/>
        <v>2129.6999999999998</v>
      </c>
      <c r="M864" s="7">
        <v>4279</v>
      </c>
      <c r="N864" s="5" t="s">
        <v>43</v>
      </c>
      <c r="O864" s="5">
        <v>13</v>
      </c>
      <c r="P864" s="7">
        <f t="shared" si="147"/>
        <v>2587.6999999999998</v>
      </c>
      <c r="Q864" s="7">
        <f t="shared" si="148"/>
        <v>3572.3999999999978</v>
      </c>
      <c r="R864" s="7" t="str">
        <f t="shared" si="149"/>
        <v>Normal</v>
      </c>
      <c r="S864" s="5">
        <v>3</v>
      </c>
      <c r="T864" s="5">
        <v>3</v>
      </c>
      <c r="U864" s="5" t="str" cm="1">
        <f t="array" ref="U864">_xlfn.IFS(T864=1,"Poor",T864=2,"Fair",T864=3,"Good",T864=4,"Excellent")</f>
        <v>Good</v>
      </c>
      <c r="V864" s="5" t="s">
        <v>43</v>
      </c>
      <c r="W864" s="5">
        <v>0</v>
      </c>
      <c r="X864" s="28">
        <f t="shared" ca="1" si="150"/>
        <v>46111</v>
      </c>
      <c r="Y864" s="28">
        <f t="shared" ca="1" si="151"/>
        <v>46842</v>
      </c>
      <c r="Z864" s="28" t="str">
        <f t="shared" ca="1" si="152"/>
        <v>Upcoming</v>
      </c>
      <c r="AA864" s="5" t="str" cm="1">
        <f t="array" ref="AA864">_xlfn.IFS(W864&gt;10,"Veteran",W864&gt;=6,"Experienced",W864&gt;=2,"Developing",W864&gt;=0,"New")</f>
        <v>New</v>
      </c>
      <c r="AB864" s="5" t="str" cm="1">
        <f t="array" ref="AB864">_xlfn.IFS(G864=1,"Junior",G864=2,"Mid-Level",G864=3,"Senior",G864=4,"Lead",G864=5,"Principal")&amp;" "&amp;TRIM(PROPER(H864))</f>
        <v>Junior Research Scientist</v>
      </c>
      <c r="AC864" s="19" t="str">
        <f t="shared" ca="1" si="153"/>
        <v>Re-Res-2026-863 is a Junior Research Scientist in the Research &amp; Development department, aged 44, single and has been with the Company for 0years</v>
      </c>
    </row>
    <row r="865" spans="1:29">
      <c r="A865" s="18" t="str">
        <f t="shared" ca="1" si="143"/>
        <v>Hu-Hum-2021-864</v>
      </c>
      <c r="B865" s="5">
        <v>33</v>
      </c>
      <c r="C865" s="5" t="str">
        <f t="shared" si="144"/>
        <v>30-39</v>
      </c>
      <c r="D865" s="5" t="s">
        <v>43</v>
      </c>
      <c r="E865" s="5" t="s">
        <v>61</v>
      </c>
      <c r="F865" s="5" t="s">
        <v>46</v>
      </c>
      <c r="G865" s="5">
        <v>1</v>
      </c>
      <c r="H865" s="5" t="s">
        <v>61</v>
      </c>
      <c r="I865" s="5" t="s">
        <v>48</v>
      </c>
      <c r="J865" s="7">
        <v>3600</v>
      </c>
      <c r="K865" s="7">
        <f t="shared" si="145"/>
        <v>540</v>
      </c>
      <c r="L865" s="7">
        <f t="shared" si="146"/>
        <v>3060</v>
      </c>
      <c r="M865" s="7">
        <v>8429</v>
      </c>
      <c r="N865" s="5" t="s">
        <v>43</v>
      </c>
      <c r="O865" s="5">
        <v>13</v>
      </c>
      <c r="P865" s="7">
        <f t="shared" si="147"/>
        <v>4067.9999999999995</v>
      </c>
      <c r="Q865" s="7">
        <f t="shared" si="148"/>
        <v>5615.9999999999945</v>
      </c>
      <c r="R865" s="7" t="str">
        <f t="shared" si="149"/>
        <v>Normal</v>
      </c>
      <c r="S865" s="5">
        <v>3</v>
      </c>
      <c r="T865" s="5">
        <v>3</v>
      </c>
      <c r="U865" s="5" t="str" cm="1">
        <f t="array" ref="U865">_xlfn.IFS(T865=1,"Poor",T865=2,"Fair",T865=3,"Good",T865=4,"Excellent")</f>
        <v>Good</v>
      </c>
      <c r="V865" s="5" t="s">
        <v>43</v>
      </c>
      <c r="W865" s="5">
        <v>5</v>
      </c>
      <c r="X865" s="28">
        <f t="shared" ca="1" si="150"/>
        <v>44285</v>
      </c>
      <c r="Y865" s="28">
        <f t="shared" ca="1" si="151"/>
        <v>46476</v>
      </c>
      <c r="Z865" s="28" t="str">
        <f t="shared" ca="1" si="152"/>
        <v>Due Soon</v>
      </c>
      <c r="AA865" s="5" t="str" cm="1">
        <f t="array" ref="AA865">_xlfn.IFS(W865&gt;10,"Veteran",W865&gt;=6,"Experienced",W865&gt;=2,"Developing",W865&gt;=0,"New")</f>
        <v>Developing</v>
      </c>
      <c r="AB865" s="5" t="str" cm="1">
        <f t="array" ref="AB865">_xlfn.IFS(G865=1,"Junior",G865=2,"Mid-Level",G865=3,"Senior",G865=4,"Lead",G865=5,"Principal")&amp;" "&amp;TRIM(PROPER(H865))</f>
        <v>Junior Human Resources</v>
      </c>
      <c r="AC865" s="19" t="str">
        <f t="shared" ca="1" si="153"/>
        <v>Hu-Hum-2021-864 is a Junior Human Resources in the Human Resources department, aged 33, married and has been with the Company for 5years</v>
      </c>
    </row>
    <row r="866" spans="1:29">
      <c r="A866" s="18" t="str">
        <f t="shared" ca="1" si="143"/>
        <v>Re-Res-2025-865</v>
      </c>
      <c r="B866" s="5">
        <v>41</v>
      </c>
      <c r="C866" s="5" t="str">
        <f t="shared" si="144"/>
        <v>40-49</v>
      </c>
      <c r="D866" s="5" t="s">
        <v>35</v>
      </c>
      <c r="E866" s="5" t="s">
        <v>45</v>
      </c>
      <c r="F866" s="5" t="s">
        <v>46</v>
      </c>
      <c r="G866" s="5">
        <v>1</v>
      </c>
      <c r="H866" s="5" t="s">
        <v>47</v>
      </c>
      <c r="I866" s="5" t="s">
        <v>52</v>
      </c>
      <c r="J866" s="7">
        <v>2107</v>
      </c>
      <c r="K866" s="7">
        <f t="shared" si="145"/>
        <v>147.49</v>
      </c>
      <c r="L866" s="7">
        <f t="shared" si="146"/>
        <v>1959.51</v>
      </c>
      <c r="M866" s="7">
        <v>20293</v>
      </c>
      <c r="N866" s="5" t="s">
        <v>43</v>
      </c>
      <c r="O866" s="5">
        <v>17</v>
      </c>
      <c r="P866" s="7">
        <f t="shared" si="147"/>
        <v>2465.19</v>
      </c>
      <c r="Q866" s="7">
        <f t="shared" si="148"/>
        <v>4298.2800000000007</v>
      </c>
      <c r="R866" s="7" t="str">
        <f t="shared" si="149"/>
        <v>Normal</v>
      </c>
      <c r="S866" s="5">
        <v>3</v>
      </c>
      <c r="T866" s="5">
        <v>1</v>
      </c>
      <c r="U866" s="5" t="str" cm="1">
        <f t="array" ref="U866">_xlfn.IFS(T866=1,"Poor",T866=2,"Fair",T866=3,"Good",T866=4,"Excellent")</f>
        <v>Poor</v>
      </c>
      <c r="V866" s="5" t="s">
        <v>43</v>
      </c>
      <c r="W866" s="5">
        <v>1</v>
      </c>
      <c r="X866" s="28">
        <f t="shared" ca="1" si="150"/>
        <v>45746</v>
      </c>
      <c r="Y866" s="28">
        <f t="shared" ca="1" si="151"/>
        <v>46476</v>
      </c>
      <c r="Z866" s="28" t="str">
        <f t="shared" ca="1" si="152"/>
        <v>Due Soon</v>
      </c>
      <c r="AA866" s="5" t="str" cm="1">
        <f t="array" ref="AA866">_xlfn.IFS(W866&gt;10,"Veteran",W866&gt;=6,"Experienced",W866&gt;=2,"Developing",W866&gt;=0,"New")</f>
        <v>New</v>
      </c>
      <c r="AB866" s="5" t="str" cm="1">
        <f t="array" ref="AB866">_xlfn.IFS(G866=1,"Junior",G866=2,"Mid-Level",G866=3,"Senior",G866=4,"Lead",G866=5,"Principal")&amp;" "&amp;TRIM(PROPER(H866))</f>
        <v>Junior Research Scientist</v>
      </c>
      <c r="AC866" s="19" t="str">
        <f t="shared" ca="1" si="153"/>
        <v>Re-Res-2025-865 is a Junior Research Scientist in the Research &amp; Development department, aged 41, divorced and has been with the Company for 1years</v>
      </c>
    </row>
    <row r="867" spans="1:29">
      <c r="A867" s="18" t="str">
        <f t="shared" ca="1" si="143"/>
        <v>Sa-Sal-2022-866</v>
      </c>
      <c r="B867" s="5">
        <v>30</v>
      </c>
      <c r="C867" s="5" t="str">
        <f t="shared" si="144"/>
        <v>30-39</v>
      </c>
      <c r="D867" s="5" t="s">
        <v>43</v>
      </c>
      <c r="E867" s="5" t="s">
        <v>37</v>
      </c>
      <c r="F867" s="5" t="s">
        <v>46</v>
      </c>
      <c r="G867" s="5">
        <v>2</v>
      </c>
      <c r="H867" s="5" t="s">
        <v>40</v>
      </c>
      <c r="I867" s="5" t="s">
        <v>52</v>
      </c>
      <c r="J867" s="7">
        <v>4115</v>
      </c>
      <c r="K867" s="7">
        <f t="shared" si="145"/>
        <v>617.25</v>
      </c>
      <c r="L867" s="7">
        <f t="shared" si="146"/>
        <v>3497.75</v>
      </c>
      <c r="M867" s="7">
        <v>13192</v>
      </c>
      <c r="N867" s="5" t="s">
        <v>43</v>
      </c>
      <c r="O867" s="5">
        <v>19</v>
      </c>
      <c r="P867" s="7">
        <f t="shared" si="147"/>
        <v>4896.8499999999995</v>
      </c>
      <c r="Q867" s="7">
        <f t="shared" si="148"/>
        <v>9382.1999999999935</v>
      </c>
      <c r="R867" s="7" t="str">
        <f t="shared" si="149"/>
        <v>Normal</v>
      </c>
      <c r="S867" s="5">
        <v>3</v>
      </c>
      <c r="T867" s="5">
        <v>3</v>
      </c>
      <c r="U867" s="5" t="str" cm="1">
        <f t="array" ref="U867">_xlfn.IFS(T867=1,"Poor",T867=2,"Fair",T867=3,"Good",T867=4,"Excellent")</f>
        <v>Good</v>
      </c>
      <c r="V867" s="5" t="s">
        <v>43</v>
      </c>
      <c r="W867" s="5">
        <v>4</v>
      </c>
      <c r="X867" s="28">
        <f t="shared" ca="1" si="150"/>
        <v>44650</v>
      </c>
      <c r="Y867" s="28">
        <f t="shared" ca="1" si="151"/>
        <v>46842</v>
      </c>
      <c r="Z867" s="28" t="str">
        <f t="shared" ca="1" si="152"/>
        <v>Upcoming</v>
      </c>
      <c r="AA867" s="5" t="str" cm="1">
        <f t="array" ref="AA867">_xlfn.IFS(W867&gt;10,"Veteran",W867&gt;=6,"Experienced",W867&gt;=2,"Developing",W867&gt;=0,"New")</f>
        <v>Developing</v>
      </c>
      <c r="AB867" s="5" t="str" cm="1">
        <f t="array" ref="AB867">_xlfn.IFS(G867=1,"Junior",G867=2,"Mid-Level",G867=3,"Senior",G867=4,"Lead",G867=5,"Principal")&amp;" "&amp;TRIM(PROPER(H867))</f>
        <v>Mid-Level Sales Executive</v>
      </c>
      <c r="AC867" s="19" t="str">
        <f t="shared" ca="1" si="153"/>
        <v>Sa-Sal-2022-866 is a Mid-Level Sales Executive in the Sales department, aged 30, divorced and has been with the Company for 4years</v>
      </c>
    </row>
    <row r="868" spans="1:29">
      <c r="A868" s="18" t="str">
        <f t="shared" ca="1" si="143"/>
        <v>Sa-Sal-2026-867</v>
      </c>
      <c r="B868" s="5">
        <v>40</v>
      </c>
      <c r="C868" s="5" t="str">
        <f t="shared" si="144"/>
        <v>40-49</v>
      </c>
      <c r="D868" s="5" t="s">
        <v>43</v>
      </c>
      <c r="E868" s="5" t="s">
        <v>37</v>
      </c>
      <c r="F868" s="5" t="s">
        <v>46</v>
      </c>
      <c r="G868" s="5">
        <v>2</v>
      </c>
      <c r="H868" s="5" t="s">
        <v>40</v>
      </c>
      <c r="I868" s="5" t="s">
        <v>48</v>
      </c>
      <c r="J868" s="7">
        <v>4327</v>
      </c>
      <c r="K868" s="7">
        <f t="shared" si="145"/>
        <v>649.04999999999995</v>
      </c>
      <c r="L868" s="7">
        <f t="shared" si="146"/>
        <v>3677.95</v>
      </c>
      <c r="M868" s="7">
        <v>25440</v>
      </c>
      <c r="N868" s="5" t="s">
        <v>43</v>
      </c>
      <c r="O868" s="5">
        <v>12</v>
      </c>
      <c r="P868" s="7">
        <f t="shared" si="147"/>
        <v>4846.2400000000007</v>
      </c>
      <c r="Q868" s="7">
        <f t="shared" si="148"/>
        <v>6230.8800000000083</v>
      </c>
      <c r="R868" s="7" t="str">
        <f t="shared" si="149"/>
        <v>Normal</v>
      </c>
      <c r="S868" s="5">
        <v>3</v>
      </c>
      <c r="T868" s="5">
        <v>3</v>
      </c>
      <c r="U868" s="5" t="str" cm="1">
        <f t="array" ref="U868">_xlfn.IFS(T868=1,"Poor",T868=2,"Fair",T868=3,"Good",T868=4,"Excellent")</f>
        <v>Good</v>
      </c>
      <c r="V868" s="5" t="s">
        <v>43</v>
      </c>
      <c r="W868" s="5">
        <v>0</v>
      </c>
      <c r="X868" s="28">
        <f t="shared" ca="1" si="150"/>
        <v>46111</v>
      </c>
      <c r="Y868" s="28">
        <f t="shared" ca="1" si="151"/>
        <v>46842</v>
      </c>
      <c r="Z868" s="28" t="str">
        <f t="shared" ca="1" si="152"/>
        <v>Upcoming</v>
      </c>
      <c r="AA868" s="5" t="str" cm="1">
        <f t="array" ref="AA868">_xlfn.IFS(W868&gt;10,"Veteran",W868&gt;=6,"Experienced",W868&gt;=2,"Developing",W868&gt;=0,"New")</f>
        <v>New</v>
      </c>
      <c r="AB868" s="5" t="str" cm="1">
        <f t="array" ref="AB868">_xlfn.IFS(G868=1,"Junior",G868=2,"Mid-Level",G868=3,"Senior",G868=4,"Lead",G868=5,"Principal")&amp;" "&amp;TRIM(PROPER(H868))</f>
        <v>Mid-Level Sales Executive</v>
      </c>
      <c r="AC868" s="19" t="str">
        <f t="shared" ca="1" si="153"/>
        <v>Sa-Sal-2026-867 is a Mid-Level Sales Executive in the Sales department, aged 40, married and has been with the Company for 0years</v>
      </c>
    </row>
    <row r="869" spans="1:29">
      <c r="A869" s="18" t="str">
        <f t="shared" ca="1" si="143"/>
        <v>Ma-Res-2024-868</v>
      </c>
      <c r="B869" s="5">
        <v>50</v>
      </c>
      <c r="C869" s="5" t="str">
        <f t="shared" si="144"/>
        <v>50+</v>
      </c>
      <c r="D869" s="5" t="s">
        <v>43</v>
      </c>
      <c r="E869" s="5" t="s">
        <v>45</v>
      </c>
      <c r="F869" s="5" t="s">
        <v>39</v>
      </c>
      <c r="G869" s="5">
        <v>4</v>
      </c>
      <c r="H869" s="5" t="s">
        <v>56</v>
      </c>
      <c r="I869" s="5" t="s">
        <v>48</v>
      </c>
      <c r="J869" s="7">
        <v>17856</v>
      </c>
      <c r="K869" s="7">
        <f t="shared" si="145"/>
        <v>5356.8</v>
      </c>
      <c r="L869" s="7">
        <f t="shared" si="146"/>
        <v>12499.2</v>
      </c>
      <c r="M869" s="7">
        <v>9490</v>
      </c>
      <c r="N869" s="5" t="s">
        <v>43</v>
      </c>
      <c r="O869" s="5">
        <v>22</v>
      </c>
      <c r="P869" s="7">
        <f t="shared" si="147"/>
        <v>21784.32</v>
      </c>
      <c r="Q869" s="7">
        <f t="shared" si="148"/>
        <v>47139.839999999997</v>
      </c>
      <c r="R869" s="7" t="str">
        <f t="shared" si="149"/>
        <v>Normal</v>
      </c>
      <c r="S869" s="5">
        <v>4</v>
      </c>
      <c r="T869" s="5">
        <v>3</v>
      </c>
      <c r="U869" s="5" t="str" cm="1">
        <f t="array" ref="U869">_xlfn.IFS(T869=1,"Poor",T869=2,"Fair",T869=3,"Good",T869=4,"Excellent")</f>
        <v>Good</v>
      </c>
      <c r="V869" s="5" t="s">
        <v>43</v>
      </c>
      <c r="W869" s="5">
        <v>2</v>
      </c>
      <c r="X869" s="28">
        <f t="shared" ca="1" si="150"/>
        <v>45381</v>
      </c>
      <c r="Y869" s="28">
        <f t="shared" ca="1" si="151"/>
        <v>46842</v>
      </c>
      <c r="Z869" s="28" t="str">
        <f t="shared" ca="1" si="152"/>
        <v>Upcoming</v>
      </c>
      <c r="AA869" s="5" t="str" cm="1">
        <f t="array" ref="AA869">_xlfn.IFS(W869&gt;10,"Veteran",W869&gt;=6,"Experienced",W869&gt;=2,"Developing",W869&gt;=0,"New")</f>
        <v>Developing</v>
      </c>
      <c r="AB869" s="5" t="str" cm="1">
        <f t="array" ref="AB869">_xlfn.IFS(G869=1,"Junior",G869=2,"Mid-Level",G869=3,"Senior",G869=4,"Lead",G869=5,"Principal")&amp;" "&amp;TRIM(PROPER(H869))</f>
        <v>Lead Manager</v>
      </c>
      <c r="AC869" s="19" t="str">
        <f t="shared" ca="1" si="153"/>
        <v>Ma-Res-2024-868 is a Lead Manager in the Research &amp; Development department, aged 50, married and has been with the Company for 2years</v>
      </c>
    </row>
    <row r="870" spans="1:29">
      <c r="A870" s="18" t="str">
        <f t="shared" ca="1" si="143"/>
        <v>La-Res-2020-869</v>
      </c>
      <c r="B870" s="5">
        <v>28</v>
      </c>
      <c r="C870" s="5" t="str">
        <f t="shared" si="144"/>
        <v>20-29</v>
      </c>
      <c r="D870" s="5" t="s">
        <v>43</v>
      </c>
      <c r="E870" s="5" t="s">
        <v>45</v>
      </c>
      <c r="F870" s="5" t="s">
        <v>46</v>
      </c>
      <c r="G870" s="5">
        <v>1</v>
      </c>
      <c r="H870" s="5" t="s">
        <v>50</v>
      </c>
      <c r="I870" s="5" t="s">
        <v>48</v>
      </c>
      <c r="J870" s="7">
        <v>3196</v>
      </c>
      <c r="K870" s="7">
        <f t="shared" si="145"/>
        <v>479.4</v>
      </c>
      <c r="L870" s="7">
        <f t="shared" si="146"/>
        <v>2716.6</v>
      </c>
      <c r="M870" s="7">
        <v>12449</v>
      </c>
      <c r="N870" s="5" t="s">
        <v>43</v>
      </c>
      <c r="O870" s="5">
        <v>12</v>
      </c>
      <c r="P870" s="7">
        <f t="shared" si="147"/>
        <v>3579.5200000000004</v>
      </c>
      <c r="Q870" s="7">
        <f t="shared" si="148"/>
        <v>4602.2400000000052</v>
      </c>
      <c r="R870" s="7" t="str">
        <f t="shared" si="149"/>
        <v>Normal</v>
      </c>
      <c r="S870" s="5">
        <v>3</v>
      </c>
      <c r="T870" s="5">
        <v>3</v>
      </c>
      <c r="U870" s="5" t="str" cm="1">
        <f t="array" ref="U870">_xlfn.IFS(T870=1,"Poor",T870=2,"Fair",T870=3,"Good",T870=4,"Excellent")</f>
        <v>Good</v>
      </c>
      <c r="V870" s="5" t="s">
        <v>43</v>
      </c>
      <c r="W870" s="5">
        <v>6</v>
      </c>
      <c r="X870" s="28">
        <f t="shared" ca="1" si="150"/>
        <v>43920</v>
      </c>
      <c r="Y870" s="28">
        <f t="shared" ca="1" si="151"/>
        <v>46842</v>
      </c>
      <c r="Z870" s="28" t="str">
        <f t="shared" ca="1" si="152"/>
        <v>Upcoming</v>
      </c>
      <c r="AA870" s="5" t="str" cm="1">
        <f t="array" ref="AA870">_xlfn.IFS(W870&gt;10,"Veteran",W870&gt;=6,"Experienced",W870&gt;=2,"Developing",W870&gt;=0,"New")</f>
        <v>Experienced</v>
      </c>
      <c r="AB870" s="5" t="str" cm="1">
        <f t="array" ref="AB870">_xlfn.IFS(G870=1,"Junior",G870=2,"Mid-Level",G870=3,"Senior",G870=4,"Lead",G870=5,"Principal")&amp;" "&amp;TRIM(PROPER(H870))</f>
        <v>Junior Laboratory Technician</v>
      </c>
      <c r="AC870" s="19" t="str">
        <f t="shared" ca="1" si="153"/>
        <v>La-Res-2020-869 is a Junior Laboratory Technician in the Research &amp; Development department, aged 28, married and has been with the Company for 6years</v>
      </c>
    </row>
    <row r="871" spans="1:29">
      <c r="A871" s="18" t="str">
        <f t="shared" ca="1" si="143"/>
        <v>Re-Res-2022-870</v>
      </c>
      <c r="B871" s="5">
        <v>46</v>
      </c>
      <c r="C871" s="5" t="str">
        <f t="shared" si="144"/>
        <v>40-49</v>
      </c>
      <c r="D871" s="5" t="s">
        <v>43</v>
      </c>
      <c r="E871" s="5" t="s">
        <v>45</v>
      </c>
      <c r="F871" s="5" t="s">
        <v>46</v>
      </c>
      <c r="G871" s="5">
        <v>5</v>
      </c>
      <c r="H871" s="5" t="s">
        <v>58</v>
      </c>
      <c r="I871" s="5" t="s">
        <v>48</v>
      </c>
      <c r="J871" s="7">
        <v>19081</v>
      </c>
      <c r="K871" s="7">
        <f t="shared" si="145"/>
        <v>5724.3</v>
      </c>
      <c r="L871" s="7">
        <f t="shared" si="146"/>
        <v>13356.7</v>
      </c>
      <c r="M871" s="7">
        <v>10849</v>
      </c>
      <c r="N871" s="5" t="s">
        <v>43</v>
      </c>
      <c r="O871" s="5">
        <v>11</v>
      </c>
      <c r="P871" s="7">
        <f t="shared" si="147"/>
        <v>21179.910000000003</v>
      </c>
      <c r="Q871" s="7">
        <f t="shared" si="148"/>
        <v>25186.920000000042</v>
      </c>
      <c r="R871" s="7" t="str">
        <f t="shared" si="149"/>
        <v>Normal</v>
      </c>
      <c r="S871" s="5">
        <v>3</v>
      </c>
      <c r="T871" s="5">
        <v>3</v>
      </c>
      <c r="U871" s="5" t="str" cm="1">
        <f t="array" ref="U871">_xlfn.IFS(T871=1,"Poor",T871=2,"Fair",T871=3,"Good",T871=4,"Excellent")</f>
        <v>Good</v>
      </c>
      <c r="V871" s="5" t="s">
        <v>43</v>
      </c>
      <c r="W871" s="5">
        <v>4</v>
      </c>
      <c r="X871" s="28">
        <f t="shared" ca="1" si="150"/>
        <v>44650</v>
      </c>
      <c r="Y871" s="28">
        <f t="shared" ca="1" si="151"/>
        <v>46842</v>
      </c>
      <c r="Z871" s="28" t="str">
        <f t="shared" ca="1" si="152"/>
        <v>Upcoming</v>
      </c>
      <c r="AA871" s="5" t="str" cm="1">
        <f t="array" ref="AA871">_xlfn.IFS(W871&gt;10,"Veteran",W871&gt;=6,"Experienced",W871&gt;=2,"Developing",W871&gt;=0,"New")</f>
        <v>Developing</v>
      </c>
      <c r="AB871" s="5" t="str" cm="1">
        <f t="array" ref="AB871">_xlfn.IFS(G871=1,"Junior",G871=2,"Mid-Level",G871=3,"Senior",G871=4,"Lead",G871=5,"Principal")&amp;" "&amp;TRIM(PROPER(H871))</f>
        <v>Principal Research Director</v>
      </c>
      <c r="AC871" s="19" t="str">
        <f t="shared" ca="1" si="153"/>
        <v>Re-Res-2022-870 is a Principal Research Director in the Research &amp; Development department, aged 46, married and has been with the Company for 4years</v>
      </c>
    </row>
    <row r="872" spans="1:29">
      <c r="A872" s="18" t="str">
        <f t="shared" ca="1" si="143"/>
        <v>Sa-Sal-2019-871</v>
      </c>
      <c r="B872" s="5">
        <v>35</v>
      </c>
      <c r="C872" s="5" t="str">
        <f t="shared" si="144"/>
        <v>30-39</v>
      </c>
      <c r="D872" s="5" t="s">
        <v>43</v>
      </c>
      <c r="E872" s="5" t="s">
        <v>37</v>
      </c>
      <c r="F872" s="5" t="s">
        <v>46</v>
      </c>
      <c r="G872" s="5">
        <v>2</v>
      </c>
      <c r="H872" s="5" t="s">
        <v>40</v>
      </c>
      <c r="I872" s="5" t="s">
        <v>48</v>
      </c>
      <c r="J872" s="7">
        <v>8966</v>
      </c>
      <c r="K872" s="7">
        <f t="shared" si="145"/>
        <v>1972.52</v>
      </c>
      <c r="L872" s="7">
        <f t="shared" si="146"/>
        <v>6993.48</v>
      </c>
      <c r="M872" s="7">
        <v>21026</v>
      </c>
      <c r="N872" s="5" t="s">
        <v>35</v>
      </c>
      <c r="O872" s="5">
        <v>15</v>
      </c>
      <c r="P872" s="7">
        <f t="shared" si="147"/>
        <v>10310.9</v>
      </c>
      <c r="Q872" s="7">
        <f t="shared" si="148"/>
        <v>16138.799999999996</v>
      </c>
      <c r="R872" s="7" t="str">
        <f t="shared" si="149"/>
        <v>Normal</v>
      </c>
      <c r="S872" s="5">
        <v>3</v>
      </c>
      <c r="T872" s="5">
        <v>3</v>
      </c>
      <c r="U872" s="5" t="str" cm="1">
        <f t="array" ref="U872">_xlfn.IFS(T872=1,"Poor",T872=2,"Fair",T872=3,"Good",T872=4,"Excellent")</f>
        <v>Good</v>
      </c>
      <c r="V872" s="5" t="s">
        <v>35</v>
      </c>
      <c r="W872" s="5">
        <v>7</v>
      </c>
      <c r="X872" s="28">
        <f t="shared" ca="1" si="150"/>
        <v>43554</v>
      </c>
      <c r="Y872" s="28">
        <f t="shared" ca="1" si="151"/>
        <v>46476</v>
      </c>
      <c r="Z872" s="28" t="str">
        <f t="shared" ca="1" si="152"/>
        <v>Due Soon</v>
      </c>
      <c r="AA872" s="5" t="str" cm="1">
        <f t="array" ref="AA872">_xlfn.IFS(W872&gt;10,"Veteran",W872&gt;=6,"Experienced",W872&gt;=2,"Developing",W872&gt;=0,"New")</f>
        <v>Experienced</v>
      </c>
      <c r="AB872" s="5" t="str" cm="1">
        <f t="array" ref="AB872">_xlfn.IFS(G872=1,"Junior",G872=2,"Mid-Level",G872=3,"Senior",G872=4,"Lead",G872=5,"Principal")&amp;" "&amp;TRIM(PROPER(H872))</f>
        <v>Mid-Level Sales Executive</v>
      </c>
      <c r="AC872" s="19" t="str">
        <f t="shared" ca="1" si="153"/>
        <v>Sa-Sal-2019-871 is a Mid-Level Sales Executive in the Sales department, aged 35, married and has been with the Company for 7years</v>
      </c>
    </row>
    <row r="873" spans="1:29">
      <c r="A873" s="18" t="str">
        <f t="shared" ca="1" si="143"/>
        <v>La-Res-2025-872</v>
      </c>
      <c r="B873" s="5">
        <v>24</v>
      </c>
      <c r="C873" s="5" t="str">
        <f t="shared" si="144"/>
        <v>20-29</v>
      </c>
      <c r="D873" s="5" t="s">
        <v>35</v>
      </c>
      <c r="E873" s="5" t="s">
        <v>45</v>
      </c>
      <c r="F873" s="5" t="s">
        <v>39</v>
      </c>
      <c r="G873" s="5">
        <v>1</v>
      </c>
      <c r="H873" s="5" t="s">
        <v>50</v>
      </c>
      <c r="I873" s="5" t="s">
        <v>48</v>
      </c>
      <c r="J873" s="7">
        <v>2210</v>
      </c>
      <c r="K873" s="7">
        <f t="shared" si="145"/>
        <v>154.70000000000002</v>
      </c>
      <c r="L873" s="7">
        <f t="shared" si="146"/>
        <v>2055.3000000000002</v>
      </c>
      <c r="M873" s="7">
        <v>3372</v>
      </c>
      <c r="N873" s="5" t="s">
        <v>43</v>
      </c>
      <c r="O873" s="5">
        <v>13</v>
      </c>
      <c r="P873" s="7">
        <f t="shared" si="147"/>
        <v>2497.2999999999997</v>
      </c>
      <c r="Q873" s="7">
        <f t="shared" si="148"/>
        <v>3447.5999999999967</v>
      </c>
      <c r="R873" s="7" t="str">
        <f t="shared" si="149"/>
        <v>Normal</v>
      </c>
      <c r="S873" s="5">
        <v>3</v>
      </c>
      <c r="T873" s="5">
        <v>1</v>
      </c>
      <c r="U873" s="5" t="str" cm="1">
        <f t="array" ref="U873">_xlfn.IFS(T873=1,"Poor",T873=2,"Fair",T873=3,"Good",T873=4,"Excellent")</f>
        <v>Poor</v>
      </c>
      <c r="V873" s="5" t="s">
        <v>43</v>
      </c>
      <c r="W873" s="5">
        <v>1</v>
      </c>
      <c r="X873" s="28">
        <f t="shared" ca="1" si="150"/>
        <v>45746</v>
      </c>
      <c r="Y873" s="28">
        <f t="shared" ca="1" si="151"/>
        <v>46476</v>
      </c>
      <c r="Z873" s="28" t="str">
        <f t="shared" ca="1" si="152"/>
        <v>Due Soon</v>
      </c>
      <c r="AA873" s="5" t="str" cm="1">
        <f t="array" ref="AA873">_xlfn.IFS(W873&gt;10,"Veteran",W873&gt;=6,"Experienced",W873&gt;=2,"Developing",W873&gt;=0,"New")</f>
        <v>New</v>
      </c>
      <c r="AB873" s="5" t="str" cm="1">
        <f t="array" ref="AB873">_xlfn.IFS(G873=1,"Junior",G873=2,"Mid-Level",G873=3,"Senior",G873=4,"Lead",G873=5,"Principal")&amp;" "&amp;TRIM(PROPER(H873))</f>
        <v>Junior Laboratory Technician</v>
      </c>
      <c r="AC873" s="19" t="str">
        <f t="shared" ca="1" si="153"/>
        <v>La-Res-2025-872 is a Junior Laboratory Technician in the Research &amp; Development department, aged 24, married and has been with the Company for 1years</v>
      </c>
    </row>
    <row r="874" spans="1:29">
      <c r="A874" s="18" t="str">
        <f t="shared" ca="1" si="143"/>
        <v>Sa-Sal-2016-873</v>
      </c>
      <c r="B874" s="5">
        <v>33</v>
      </c>
      <c r="C874" s="5" t="str">
        <f t="shared" si="144"/>
        <v>30-39</v>
      </c>
      <c r="D874" s="5" t="s">
        <v>43</v>
      </c>
      <c r="E874" s="5" t="s">
        <v>37</v>
      </c>
      <c r="F874" s="5" t="s">
        <v>39</v>
      </c>
      <c r="G874" s="5">
        <v>2</v>
      </c>
      <c r="H874" s="5" t="s">
        <v>40</v>
      </c>
      <c r="I874" s="5" t="s">
        <v>48</v>
      </c>
      <c r="J874" s="7">
        <v>4539</v>
      </c>
      <c r="K874" s="7">
        <f t="shared" si="145"/>
        <v>680.85</v>
      </c>
      <c r="L874" s="7">
        <f t="shared" si="146"/>
        <v>3858.15</v>
      </c>
      <c r="M874" s="7">
        <v>4905</v>
      </c>
      <c r="N874" s="5" t="s">
        <v>43</v>
      </c>
      <c r="O874" s="5">
        <v>12</v>
      </c>
      <c r="P874" s="7">
        <f t="shared" si="147"/>
        <v>5083.68</v>
      </c>
      <c r="Q874" s="7">
        <f t="shared" si="148"/>
        <v>6536.1600000000035</v>
      </c>
      <c r="R874" s="7" t="str">
        <f t="shared" si="149"/>
        <v>Normal</v>
      </c>
      <c r="S874" s="5">
        <v>3</v>
      </c>
      <c r="T874" s="5">
        <v>2</v>
      </c>
      <c r="U874" s="5" t="str" cm="1">
        <f t="array" ref="U874">_xlfn.IFS(T874=1,"Poor",T874=2,"Fair",T874=3,"Good",T874=4,"Excellent")</f>
        <v>Fair</v>
      </c>
      <c r="V874" s="5" t="s">
        <v>43</v>
      </c>
      <c r="W874" s="5">
        <v>10</v>
      </c>
      <c r="X874" s="28">
        <f t="shared" ca="1" si="150"/>
        <v>42459</v>
      </c>
      <c r="Y874" s="28">
        <f t="shared" ca="1" si="151"/>
        <v>46842</v>
      </c>
      <c r="Z874" s="28" t="str">
        <f t="shared" ca="1" si="152"/>
        <v>Upcoming</v>
      </c>
      <c r="AA874" s="5" t="str" cm="1">
        <f t="array" ref="AA874">_xlfn.IFS(W874&gt;10,"Veteran",W874&gt;=6,"Experienced",W874&gt;=2,"Developing",W874&gt;=0,"New")</f>
        <v>Experienced</v>
      </c>
      <c r="AB874" s="5" t="str" cm="1">
        <f t="array" ref="AB874">_xlfn.IFS(G874=1,"Junior",G874=2,"Mid-Level",G874=3,"Senior",G874=4,"Lead",G874=5,"Principal")&amp;" "&amp;TRIM(PROPER(H874))</f>
        <v>Mid-Level Sales Executive</v>
      </c>
      <c r="AC874" s="19" t="str">
        <f t="shared" ca="1" si="153"/>
        <v>Sa-Sal-2016-873 is a Mid-Level Sales Executive in the Sales department, aged 33, married and has been with the Company for 10years</v>
      </c>
    </row>
    <row r="875" spans="1:29">
      <c r="A875" s="18" t="str">
        <f t="shared" ca="1" si="143"/>
        <v>La-Res-2019-874</v>
      </c>
      <c r="B875" s="5">
        <v>36</v>
      </c>
      <c r="C875" s="5" t="str">
        <f t="shared" si="144"/>
        <v>30-39</v>
      </c>
      <c r="D875" s="5" t="s">
        <v>43</v>
      </c>
      <c r="E875" s="5" t="s">
        <v>45</v>
      </c>
      <c r="F875" s="5" t="s">
        <v>46</v>
      </c>
      <c r="G875" s="5">
        <v>1</v>
      </c>
      <c r="H875" s="5" t="s">
        <v>50</v>
      </c>
      <c r="I875" s="5" t="s">
        <v>52</v>
      </c>
      <c r="J875" s="7">
        <v>2741</v>
      </c>
      <c r="K875" s="7">
        <f t="shared" si="145"/>
        <v>191.87</v>
      </c>
      <c r="L875" s="7">
        <f t="shared" si="146"/>
        <v>2549.13</v>
      </c>
      <c r="M875" s="7">
        <v>6865</v>
      </c>
      <c r="N875" s="5" t="s">
        <v>43</v>
      </c>
      <c r="O875" s="5">
        <v>14</v>
      </c>
      <c r="P875" s="7">
        <f t="shared" si="147"/>
        <v>3124.7400000000002</v>
      </c>
      <c r="Q875" s="7">
        <f t="shared" si="148"/>
        <v>4604.8800000000028</v>
      </c>
      <c r="R875" s="7" t="str">
        <f t="shared" si="149"/>
        <v>Normal</v>
      </c>
      <c r="S875" s="5">
        <v>3</v>
      </c>
      <c r="T875" s="5">
        <v>3</v>
      </c>
      <c r="U875" s="5" t="str" cm="1">
        <f t="array" ref="U875">_xlfn.IFS(T875=1,"Poor",T875=2,"Fair",T875=3,"Good",T875=4,"Excellent")</f>
        <v>Good</v>
      </c>
      <c r="V875" s="5" t="s">
        <v>43</v>
      </c>
      <c r="W875" s="5">
        <v>7</v>
      </c>
      <c r="X875" s="28">
        <f t="shared" ca="1" si="150"/>
        <v>43554</v>
      </c>
      <c r="Y875" s="28">
        <f t="shared" ca="1" si="151"/>
        <v>46476</v>
      </c>
      <c r="Z875" s="28" t="str">
        <f t="shared" ca="1" si="152"/>
        <v>Due Soon</v>
      </c>
      <c r="AA875" s="5" t="str" cm="1">
        <f t="array" ref="AA875">_xlfn.IFS(W875&gt;10,"Veteran",W875&gt;=6,"Experienced",W875&gt;=2,"Developing",W875&gt;=0,"New")</f>
        <v>Experienced</v>
      </c>
      <c r="AB875" s="5" t="str" cm="1">
        <f t="array" ref="AB875">_xlfn.IFS(G875=1,"Junior",G875=2,"Mid-Level",G875=3,"Senior",G875=4,"Lead",G875=5,"Principal")&amp;" "&amp;TRIM(PROPER(H875))</f>
        <v>Junior Laboratory Technician</v>
      </c>
      <c r="AC875" s="19" t="str">
        <f t="shared" ca="1" si="153"/>
        <v>La-Res-2019-874 is a Junior Laboratory Technician in the Research &amp; Development department, aged 36, divorced and has been with the Company for 7years</v>
      </c>
    </row>
    <row r="876" spans="1:29">
      <c r="A876" s="18" t="str">
        <f t="shared" ca="1" si="143"/>
        <v>La-Res-2016-875</v>
      </c>
      <c r="B876" s="5">
        <v>30</v>
      </c>
      <c r="C876" s="5" t="str">
        <f t="shared" si="144"/>
        <v>30-39</v>
      </c>
      <c r="D876" s="5" t="s">
        <v>43</v>
      </c>
      <c r="E876" s="5" t="s">
        <v>45</v>
      </c>
      <c r="F876" s="5" t="s">
        <v>46</v>
      </c>
      <c r="G876" s="5">
        <v>2</v>
      </c>
      <c r="H876" s="5" t="s">
        <v>50</v>
      </c>
      <c r="I876" s="5" t="s">
        <v>52</v>
      </c>
      <c r="J876" s="7">
        <v>3491</v>
      </c>
      <c r="K876" s="7">
        <f t="shared" si="145"/>
        <v>523.65</v>
      </c>
      <c r="L876" s="7">
        <f t="shared" si="146"/>
        <v>2967.35</v>
      </c>
      <c r="M876" s="7">
        <v>11309</v>
      </c>
      <c r="N876" s="5" t="s">
        <v>43</v>
      </c>
      <c r="O876" s="5">
        <v>13</v>
      </c>
      <c r="P876" s="7">
        <f t="shared" si="147"/>
        <v>3944.8299999999995</v>
      </c>
      <c r="Q876" s="7">
        <f t="shared" si="148"/>
        <v>5445.9599999999937</v>
      </c>
      <c r="R876" s="7" t="str">
        <f t="shared" si="149"/>
        <v>Normal</v>
      </c>
      <c r="S876" s="5">
        <v>3</v>
      </c>
      <c r="T876" s="5">
        <v>2</v>
      </c>
      <c r="U876" s="5" t="str" cm="1">
        <f t="array" ref="U876">_xlfn.IFS(T876=1,"Poor",T876=2,"Fair",T876=3,"Good",T876=4,"Excellent")</f>
        <v>Fair</v>
      </c>
      <c r="V876" s="5" t="s">
        <v>43</v>
      </c>
      <c r="W876" s="5">
        <v>10</v>
      </c>
      <c r="X876" s="28">
        <f t="shared" ca="1" si="150"/>
        <v>42459</v>
      </c>
      <c r="Y876" s="28">
        <f t="shared" ca="1" si="151"/>
        <v>46842</v>
      </c>
      <c r="Z876" s="28" t="str">
        <f t="shared" ca="1" si="152"/>
        <v>Upcoming</v>
      </c>
      <c r="AA876" s="5" t="str" cm="1">
        <f t="array" ref="AA876">_xlfn.IFS(W876&gt;10,"Veteran",W876&gt;=6,"Experienced",W876&gt;=2,"Developing",W876&gt;=0,"New")</f>
        <v>Experienced</v>
      </c>
      <c r="AB876" s="5" t="str" cm="1">
        <f t="array" ref="AB876">_xlfn.IFS(G876=1,"Junior",G876=2,"Mid-Level",G876=3,"Senior",G876=4,"Lead",G876=5,"Principal")&amp;" "&amp;TRIM(PROPER(H876))</f>
        <v>Mid-Level Laboratory Technician</v>
      </c>
      <c r="AC876" s="19" t="str">
        <f t="shared" ca="1" si="153"/>
        <v>La-Res-2016-875 is a Mid-Level Laboratory Technician in the Research &amp; Development department, aged 30, divorced and has been with the Company for 10years</v>
      </c>
    </row>
    <row r="877" spans="1:29">
      <c r="A877" s="18" t="str">
        <f t="shared" ca="1" si="143"/>
        <v>Re-Res-2006-876</v>
      </c>
      <c r="B877" s="5">
        <v>44</v>
      </c>
      <c r="C877" s="5" t="str">
        <f t="shared" si="144"/>
        <v>40-49</v>
      </c>
      <c r="D877" s="5" t="s">
        <v>43</v>
      </c>
      <c r="E877" s="5" t="s">
        <v>45</v>
      </c>
      <c r="F877" s="5" t="s">
        <v>46</v>
      </c>
      <c r="G877" s="5">
        <v>2</v>
      </c>
      <c r="H877" s="5" t="s">
        <v>47</v>
      </c>
      <c r="I877" s="5" t="s">
        <v>41</v>
      </c>
      <c r="J877" s="7">
        <v>4541</v>
      </c>
      <c r="K877" s="7">
        <f t="shared" si="145"/>
        <v>681.15</v>
      </c>
      <c r="L877" s="7">
        <f t="shared" si="146"/>
        <v>3859.85</v>
      </c>
      <c r="M877" s="7">
        <v>7744</v>
      </c>
      <c r="N877" s="5" t="s">
        <v>43</v>
      </c>
      <c r="O877" s="5">
        <v>25</v>
      </c>
      <c r="P877" s="7">
        <f t="shared" si="147"/>
        <v>5676.25</v>
      </c>
      <c r="Q877" s="7">
        <f t="shared" si="148"/>
        <v>13623</v>
      </c>
      <c r="R877" s="7" t="str">
        <f t="shared" si="149"/>
        <v>Normal</v>
      </c>
      <c r="S877" s="5">
        <v>4</v>
      </c>
      <c r="T877" s="5">
        <v>3</v>
      </c>
      <c r="U877" s="5" t="str" cm="1">
        <f t="array" ref="U877">_xlfn.IFS(T877=1,"Poor",T877=2,"Fair",T877=3,"Good",T877=4,"Excellent")</f>
        <v>Good</v>
      </c>
      <c r="V877" s="5" t="s">
        <v>43</v>
      </c>
      <c r="W877" s="5">
        <v>20</v>
      </c>
      <c r="X877" s="28">
        <f t="shared" ca="1" si="150"/>
        <v>38806</v>
      </c>
      <c r="Y877" s="28">
        <f t="shared" ca="1" si="151"/>
        <v>46842</v>
      </c>
      <c r="Z877" s="28" t="str">
        <f t="shared" ca="1" si="152"/>
        <v>Upcoming</v>
      </c>
      <c r="AA877" s="5" t="str" cm="1">
        <f t="array" ref="AA877">_xlfn.IFS(W877&gt;10,"Veteran",W877&gt;=6,"Experienced",W877&gt;=2,"Developing",W877&gt;=0,"New")</f>
        <v>Veteran</v>
      </c>
      <c r="AB877" s="5" t="str" cm="1">
        <f t="array" ref="AB877">_xlfn.IFS(G877=1,"Junior",G877=2,"Mid-Level",G877=3,"Senior",G877=4,"Lead",G877=5,"Principal")&amp;" "&amp;TRIM(PROPER(H877))</f>
        <v>Mid-Level Research Scientist</v>
      </c>
      <c r="AC877" s="19" t="str">
        <f t="shared" ca="1" si="153"/>
        <v>Re-Res-2006-876 is a Mid-Level Research Scientist in the Research &amp; Development department, aged 44, single and has been with the Company for 20years</v>
      </c>
    </row>
    <row r="878" spans="1:29">
      <c r="A878" s="18" t="str">
        <f t="shared" ca="1" si="143"/>
        <v>Sa-Sal-2024-877</v>
      </c>
      <c r="B878" s="5">
        <v>20</v>
      </c>
      <c r="C878" s="5" t="str">
        <f t="shared" si="144"/>
        <v>20-29</v>
      </c>
      <c r="D878" s="5" t="s">
        <v>43</v>
      </c>
      <c r="E878" s="5" t="s">
        <v>37</v>
      </c>
      <c r="F878" s="5" t="s">
        <v>46</v>
      </c>
      <c r="G878" s="5">
        <v>1</v>
      </c>
      <c r="H878" s="5" t="s">
        <v>57</v>
      </c>
      <c r="I878" s="5" t="s">
        <v>41</v>
      </c>
      <c r="J878" s="7">
        <v>2678</v>
      </c>
      <c r="K878" s="7">
        <f t="shared" si="145"/>
        <v>187.46</v>
      </c>
      <c r="L878" s="7">
        <f t="shared" si="146"/>
        <v>2490.54</v>
      </c>
      <c r="M878" s="7">
        <v>5050</v>
      </c>
      <c r="N878" s="5" t="s">
        <v>43</v>
      </c>
      <c r="O878" s="5">
        <v>17</v>
      </c>
      <c r="P878" s="7">
        <f t="shared" si="147"/>
        <v>3133.2599999999998</v>
      </c>
      <c r="Q878" s="7">
        <f t="shared" si="148"/>
        <v>5463.1199999999972</v>
      </c>
      <c r="R878" s="7" t="str">
        <f t="shared" si="149"/>
        <v>Normal</v>
      </c>
      <c r="S878" s="5">
        <v>3</v>
      </c>
      <c r="T878" s="5">
        <v>3</v>
      </c>
      <c r="U878" s="5" t="str" cm="1">
        <f t="array" ref="U878">_xlfn.IFS(T878=1,"Poor",T878=2,"Fair",T878=3,"Good",T878=4,"Excellent")</f>
        <v>Good</v>
      </c>
      <c r="V878" s="5" t="s">
        <v>43</v>
      </c>
      <c r="W878" s="5">
        <v>2</v>
      </c>
      <c r="X878" s="28">
        <f t="shared" ca="1" si="150"/>
        <v>45381</v>
      </c>
      <c r="Y878" s="28">
        <f t="shared" ca="1" si="151"/>
        <v>46842</v>
      </c>
      <c r="Z878" s="28" t="str">
        <f t="shared" ca="1" si="152"/>
        <v>Upcoming</v>
      </c>
      <c r="AA878" s="5" t="str" cm="1">
        <f t="array" ref="AA878">_xlfn.IFS(W878&gt;10,"Veteran",W878&gt;=6,"Experienced",W878&gt;=2,"Developing",W878&gt;=0,"New")</f>
        <v>Developing</v>
      </c>
      <c r="AB878" s="5" t="str" cm="1">
        <f t="array" ref="AB878">_xlfn.IFS(G878=1,"Junior",G878=2,"Mid-Level",G878=3,"Senior",G878=4,"Lead",G878=5,"Principal")&amp;" "&amp;TRIM(PROPER(H878))</f>
        <v>Junior Sales Representative</v>
      </c>
      <c r="AC878" s="19" t="str">
        <f t="shared" ca="1" si="153"/>
        <v>Sa-Sal-2024-877 is a Junior Sales Representative in the Sales department, aged 20, single and has been with the Company for 2years</v>
      </c>
    </row>
    <row r="879" spans="1:29">
      <c r="A879" s="18" t="str">
        <f t="shared" ca="1" si="143"/>
        <v>Ma-Res-2020-878</v>
      </c>
      <c r="B879" s="5">
        <v>46</v>
      </c>
      <c r="C879" s="5" t="str">
        <f t="shared" si="144"/>
        <v>40-49</v>
      </c>
      <c r="D879" s="5" t="s">
        <v>43</v>
      </c>
      <c r="E879" s="5" t="s">
        <v>45</v>
      </c>
      <c r="F879" s="5" t="s">
        <v>46</v>
      </c>
      <c r="G879" s="5">
        <v>2</v>
      </c>
      <c r="H879" s="5" t="s">
        <v>53</v>
      </c>
      <c r="I879" s="5" t="s">
        <v>52</v>
      </c>
      <c r="J879" s="7">
        <v>7379</v>
      </c>
      <c r="K879" s="7">
        <f t="shared" si="145"/>
        <v>1623.38</v>
      </c>
      <c r="L879" s="7">
        <f t="shared" si="146"/>
        <v>5755.62</v>
      </c>
      <c r="M879" s="7">
        <v>17433</v>
      </c>
      <c r="N879" s="5" t="s">
        <v>43</v>
      </c>
      <c r="O879" s="5">
        <v>11</v>
      </c>
      <c r="P879" s="7">
        <f t="shared" si="147"/>
        <v>8190.6900000000005</v>
      </c>
      <c r="Q879" s="7">
        <f t="shared" si="148"/>
        <v>9740.2800000000061</v>
      </c>
      <c r="R879" s="7" t="str">
        <f t="shared" si="149"/>
        <v>Normal</v>
      </c>
      <c r="S879" s="5">
        <v>3</v>
      </c>
      <c r="T879" s="5">
        <v>2</v>
      </c>
      <c r="U879" s="5" t="str" cm="1">
        <f t="array" ref="U879">_xlfn.IFS(T879=1,"Poor",T879=2,"Fair",T879=3,"Good",T879=4,"Excellent")</f>
        <v>Fair</v>
      </c>
      <c r="V879" s="5" t="s">
        <v>43</v>
      </c>
      <c r="W879" s="5">
        <v>6</v>
      </c>
      <c r="X879" s="28">
        <f t="shared" ca="1" si="150"/>
        <v>43920</v>
      </c>
      <c r="Y879" s="28">
        <f t="shared" ca="1" si="151"/>
        <v>46842</v>
      </c>
      <c r="Z879" s="28" t="str">
        <f t="shared" ca="1" si="152"/>
        <v>Upcoming</v>
      </c>
      <c r="AA879" s="5" t="str" cm="1">
        <f t="array" ref="AA879">_xlfn.IFS(W879&gt;10,"Veteran",W879&gt;=6,"Experienced",W879&gt;=2,"Developing",W879&gt;=0,"New")</f>
        <v>Experienced</v>
      </c>
      <c r="AB879" s="5" t="str" cm="1">
        <f t="array" ref="AB879">_xlfn.IFS(G879=1,"Junior",G879=2,"Mid-Level",G879=3,"Senior",G879=4,"Lead",G879=5,"Principal")&amp;" "&amp;TRIM(PROPER(H879))</f>
        <v>Mid-Level Manufacturing Director</v>
      </c>
      <c r="AC879" s="19" t="str">
        <f t="shared" ca="1" si="153"/>
        <v>Ma-Res-2020-878 is a Mid-Level Manufacturing Director in the Research &amp; Development department, aged 46, divorced and has been with the Company for 6years</v>
      </c>
    </row>
    <row r="880" spans="1:29">
      <c r="A880" s="18" t="str">
        <f t="shared" ca="1" si="143"/>
        <v>Hu-Hum-2022-879</v>
      </c>
      <c r="B880" s="5">
        <v>42</v>
      </c>
      <c r="C880" s="5" t="str">
        <f t="shared" si="144"/>
        <v>40-49</v>
      </c>
      <c r="D880" s="5" t="s">
        <v>43</v>
      </c>
      <c r="E880" s="5" t="s">
        <v>61</v>
      </c>
      <c r="F880" s="5" t="s">
        <v>46</v>
      </c>
      <c r="G880" s="5">
        <v>2</v>
      </c>
      <c r="H880" s="5" t="s">
        <v>61</v>
      </c>
      <c r="I880" s="5" t="s">
        <v>48</v>
      </c>
      <c r="J880" s="7">
        <v>6272</v>
      </c>
      <c r="K880" s="7">
        <f t="shared" si="145"/>
        <v>940.8</v>
      </c>
      <c r="L880" s="7">
        <f t="shared" si="146"/>
        <v>5331.2</v>
      </c>
      <c r="M880" s="7">
        <v>12858</v>
      </c>
      <c r="N880" s="5" t="s">
        <v>43</v>
      </c>
      <c r="O880" s="5">
        <v>16</v>
      </c>
      <c r="P880" s="7">
        <f t="shared" si="147"/>
        <v>7275.5199999999995</v>
      </c>
      <c r="Q880" s="7">
        <f t="shared" si="148"/>
        <v>12042.239999999994</v>
      </c>
      <c r="R880" s="7" t="str">
        <f t="shared" si="149"/>
        <v>Normal</v>
      </c>
      <c r="S880" s="5">
        <v>3</v>
      </c>
      <c r="T880" s="5">
        <v>4</v>
      </c>
      <c r="U880" s="5" t="str" cm="1">
        <f t="array" ref="U880">_xlfn.IFS(T880=1,"Poor",T880=2,"Fair",T880=3,"Good",T880=4,"Excellent")</f>
        <v>Excellent</v>
      </c>
      <c r="V880" s="5" t="s">
        <v>43</v>
      </c>
      <c r="W880" s="5">
        <v>4</v>
      </c>
      <c r="X880" s="28">
        <f t="shared" ca="1" si="150"/>
        <v>44650</v>
      </c>
      <c r="Y880" s="28">
        <f t="shared" ca="1" si="151"/>
        <v>46842</v>
      </c>
      <c r="Z880" s="28" t="str">
        <f t="shared" ca="1" si="152"/>
        <v>Upcoming</v>
      </c>
      <c r="AA880" s="5" t="str" cm="1">
        <f t="array" ref="AA880">_xlfn.IFS(W880&gt;10,"Veteran",W880&gt;=6,"Experienced",W880&gt;=2,"Developing",W880&gt;=0,"New")</f>
        <v>Developing</v>
      </c>
      <c r="AB880" s="5" t="str" cm="1">
        <f t="array" ref="AB880">_xlfn.IFS(G880=1,"Junior",G880=2,"Mid-Level",G880=3,"Senior",G880=4,"Lead",G880=5,"Principal")&amp;" "&amp;TRIM(PROPER(H880))</f>
        <v>Mid-Level Human Resources</v>
      </c>
      <c r="AC880" s="19" t="str">
        <f t="shared" ca="1" si="153"/>
        <v>Hu-Hum-2022-879 is a Mid-Level Human Resources in the Human Resources department, aged 42, married and has been with the Company for 4years</v>
      </c>
    </row>
    <row r="881" spans="1:29">
      <c r="A881" s="18" t="str">
        <f t="shared" ca="1" si="143"/>
        <v>Sa-Sal-2015-880</v>
      </c>
      <c r="B881" s="5">
        <v>60</v>
      </c>
      <c r="C881" s="5" t="str">
        <f t="shared" si="144"/>
        <v>50+</v>
      </c>
      <c r="D881" s="5" t="s">
        <v>43</v>
      </c>
      <c r="E881" s="5" t="s">
        <v>37</v>
      </c>
      <c r="F881" s="5" t="s">
        <v>46</v>
      </c>
      <c r="G881" s="5">
        <v>2</v>
      </c>
      <c r="H881" s="5" t="s">
        <v>40</v>
      </c>
      <c r="I881" s="5" t="s">
        <v>52</v>
      </c>
      <c r="J881" s="7">
        <v>5220</v>
      </c>
      <c r="K881" s="7">
        <f t="shared" si="145"/>
        <v>783</v>
      </c>
      <c r="L881" s="7">
        <f t="shared" si="146"/>
        <v>4437</v>
      </c>
      <c r="M881" s="7">
        <v>10893</v>
      </c>
      <c r="N881" s="5" t="s">
        <v>35</v>
      </c>
      <c r="O881" s="5">
        <v>18</v>
      </c>
      <c r="P881" s="7">
        <f t="shared" si="147"/>
        <v>6159.5999999999995</v>
      </c>
      <c r="Q881" s="7">
        <f t="shared" si="148"/>
        <v>11275.199999999993</v>
      </c>
      <c r="R881" s="7" t="str">
        <f t="shared" si="149"/>
        <v>Normal</v>
      </c>
      <c r="S881" s="5">
        <v>3</v>
      </c>
      <c r="T881" s="5">
        <v>3</v>
      </c>
      <c r="U881" s="5" t="str" cm="1">
        <f t="array" ref="U881">_xlfn.IFS(T881=1,"Poor",T881=2,"Fair",T881=3,"Good",T881=4,"Excellent")</f>
        <v>Good</v>
      </c>
      <c r="V881" s="5" t="s">
        <v>35</v>
      </c>
      <c r="W881" s="5">
        <v>11</v>
      </c>
      <c r="X881" s="28">
        <f t="shared" ca="1" si="150"/>
        <v>42093</v>
      </c>
      <c r="Y881" s="28">
        <f t="shared" ca="1" si="151"/>
        <v>46476</v>
      </c>
      <c r="Z881" s="28" t="str">
        <f t="shared" ca="1" si="152"/>
        <v>Due Soon</v>
      </c>
      <c r="AA881" s="5" t="str" cm="1">
        <f t="array" ref="AA881">_xlfn.IFS(W881&gt;10,"Veteran",W881&gt;=6,"Experienced",W881&gt;=2,"Developing",W881&gt;=0,"New")</f>
        <v>Veteran</v>
      </c>
      <c r="AB881" s="5" t="str" cm="1">
        <f t="array" ref="AB881">_xlfn.IFS(G881=1,"Junior",G881=2,"Mid-Level",G881=3,"Senior",G881=4,"Lead",G881=5,"Principal")&amp;" "&amp;TRIM(PROPER(H881))</f>
        <v>Mid-Level Sales Executive</v>
      </c>
      <c r="AC881" s="19" t="str">
        <f t="shared" ca="1" si="153"/>
        <v>Sa-Sal-2015-880 is a Mid-Level Sales Executive in the Sales department, aged 60, divorced and has been with the Company for 11years</v>
      </c>
    </row>
    <row r="882" spans="1:29">
      <c r="A882" s="18" t="str">
        <f t="shared" ca="1" si="143"/>
        <v>La-Res-2024-881</v>
      </c>
      <c r="B882" s="5">
        <v>32</v>
      </c>
      <c r="C882" s="5" t="str">
        <f t="shared" si="144"/>
        <v>30-39</v>
      </c>
      <c r="D882" s="5" t="s">
        <v>43</v>
      </c>
      <c r="E882" s="5" t="s">
        <v>45</v>
      </c>
      <c r="F882" s="5" t="s">
        <v>39</v>
      </c>
      <c r="G882" s="5">
        <v>1</v>
      </c>
      <c r="H882" s="5" t="s">
        <v>50</v>
      </c>
      <c r="I882" s="5" t="s">
        <v>48</v>
      </c>
      <c r="J882" s="7">
        <v>2743</v>
      </c>
      <c r="K882" s="7">
        <f t="shared" si="145"/>
        <v>192.01000000000002</v>
      </c>
      <c r="L882" s="7">
        <f t="shared" si="146"/>
        <v>2550.9899999999998</v>
      </c>
      <c r="M882" s="7">
        <v>7331</v>
      </c>
      <c r="N882" s="5" t="s">
        <v>43</v>
      </c>
      <c r="O882" s="5">
        <v>20</v>
      </c>
      <c r="P882" s="7">
        <f t="shared" si="147"/>
        <v>3291.6</v>
      </c>
      <c r="Q882" s="7">
        <f t="shared" si="148"/>
        <v>6583.1999999999989</v>
      </c>
      <c r="R882" s="7" t="str">
        <f t="shared" si="149"/>
        <v>Normal</v>
      </c>
      <c r="S882" s="5">
        <v>4</v>
      </c>
      <c r="T882" s="5">
        <v>3</v>
      </c>
      <c r="U882" s="5" t="str" cm="1">
        <f t="array" ref="U882">_xlfn.IFS(T882=1,"Poor",T882=2,"Fair",T882=3,"Good",T882=4,"Excellent")</f>
        <v>Good</v>
      </c>
      <c r="V882" s="5" t="s">
        <v>43</v>
      </c>
      <c r="W882" s="5">
        <v>2</v>
      </c>
      <c r="X882" s="28">
        <f t="shared" ca="1" si="150"/>
        <v>45381</v>
      </c>
      <c r="Y882" s="28">
        <f t="shared" ca="1" si="151"/>
        <v>46842</v>
      </c>
      <c r="Z882" s="28" t="str">
        <f t="shared" ca="1" si="152"/>
        <v>Upcoming</v>
      </c>
      <c r="AA882" s="5" t="str" cm="1">
        <f t="array" ref="AA882">_xlfn.IFS(W882&gt;10,"Veteran",W882&gt;=6,"Experienced",W882&gt;=2,"Developing",W882&gt;=0,"New")</f>
        <v>Developing</v>
      </c>
      <c r="AB882" s="5" t="str" cm="1">
        <f t="array" ref="AB882">_xlfn.IFS(G882=1,"Junior",G882=2,"Mid-Level",G882=3,"Senior",G882=4,"Lead",G882=5,"Principal")&amp;" "&amp;TRIM(PROPER(H882))</f>
        <v>Junior Laboratory Technician</v>
      </c>
      <c r="AC882" s="19" t="str">
        <f t="shared" ca="1" si="153"/>
        <v>La-Res-2024-881 is a Junior Laboratory Technician in the Research &amp; Development department, aged 32, married and has been with the Company for 2years</v>
      </c>
    </row>
    <row r="883" spans="1:29">
      <c r="A883" s="18" t="str">
        <f t="shared" ca="1" si="143"/>
        <v>Re-Res-2018-882</v>
      </c>
      <c r="B883" s="5">
        <v>32</v>
      </c>
      <c r="C883" s="5" t="str">
        <f t="shared" si="144"/>
        <v>30-39</v>
      </c>
      <c r="D883" s="5" t="s">
        <v>43</v>
      </c>
      <c r="E883" s="5" t="s">
        <v>45</v>
      </c>
      <c r="F883" s="5" t="s">
        <v>39</v>
      </c>
      <c r="G883" s="5">
        <v>2</v>
      </c>
      <c r="H883" s="5" t="s">
        <v>47</v>
      </c>
      <c r="I883" s="5" t="s">
        <v>41</v>
      </c>
      <c r="J883" s="7">
        <v>4998</v>
      </c>
      <c r="K883" s="7">
        <f t="shared" si="145"/>
        <v>749.69999999999993</v>
      </c>
      <c r="L883" s="7">
        <f t="shared" si="146"/>
        <v>4248.3</v>
      </c>
      <c r="M883" s="7">
        <v>2338</v>
      </c>
      <c r="N883" s="5" t="s">
        <v>35</v>
      </c>
      <c r="O883" s="5">
        <v>14</v>
      </c>
      <c r="P883" s="7">
        <f t="shared" si="147"/>
        <v>5697.72</v>
      </c>
      <c r="Q883" s="7">
        <f t="shared" si="148"/>
        <v>8396.6400000000031</v>
      </c>
      <c r="R883" s="7" t="str">
        <f t="shared" si="149"/>
        <v>Normal</v>
      </c>
      <c r="S883" s="5">
        <v>3</v>
      </c>
      <c r="T883" s="5">
        <v>3</v>
      </c>
      <c r="U883" s="5" t="str" cm="1">
        <f t="array" ref="U883">_xlfn.IFS(T883=1,"Poor",T883=2,"Fair",T883=3,"Good",T883=4,"Excellent")</f>
        <v>Good</v>
      </c>
      <c r="V883" s="5" t="s">
        <v>35</v>
      </c>
      <c r="W883" s="5">
        <v>8</v>
      </c>
      <c r="X883" s="28">
        <f t="shared" ca="1" si="150"/>
        <v>43189</v>
      </c>
      <c r="Y883" s="28">
        <f t="shared" ca="1" si="151"/>
        <v>46842</v>
      </c>
      <c r="Z883" s="28" t="str">
        <f t="shared" ca="1" si="152"/>
        <v>Upcoming</v>
      </c>
      <c r="AA883" s="5" t="str" cm="1">
        <f t="array" ref="AA883">_xlfn.IFS(W883&gt;10,"Veteran",W883&gt;=6,"Experienced",W883&gt;=2,"Developing",W883&gt;=0,"New")</f>
        <v>Experienced</v>
      </c>
      <c r="AB883" s="5" t="str" cm="1">
        <f t="array" ref="AB883">_xlfn.IFS(G883=1,"Junior",G883=2,"Mid-Level",G883=3,"Senior",G883=4,"Lead",G883=5,"Principal")&amp;" "&amp;TRIM(PROPER(H883))</f>
        <v>Mid-Level Research Scientist</v>
      </c>
      <c r="AC883" s="19" t="str">
        <f t="shared" ca="1" si="153"/>
        <v>Re-Res-2018-882 is a Mid-Level Research Scientist in the Research &amp; Development department, aged 32, single and has been with the Company for 8years</v>
      </c>
    </row>
    <row r="884" spans="1:29">
      <c r="A884" s="18" t="str">
        <f t="shared" ca="1" si="143"/>
        <v>Ma-Res-2019-883</v>
      </c>
      <c r="B884" s="5">
        <v>36</v>
      </c>
      <c r="C884" s="5" t="str">
        <f t="shared" si="144"/>
        <v>30-39</v>
      </c>
      <c r="D884" s="5" t="s">
        <v>43</v>
      </c>
      <c r="E884" s="5" t="s">
        <v>45</v>
      </c>
      <c r="F884" s="5" t="s">
        <v>39</v>
      </c>
      <c r="G884" s="5">
        <v>3</v>
      </c>
      <c r="H884" s="5" t="s">
        <v>53</v>
      </c>
      <c r="I884" s="5" t="s">
        <v>52</v>
      </c>
      <c r="J884" s="7">
        <v>10252</v>
      </c>
      <c r="K884" s="7">
        <f t="shared" si="145"/>
        <v>2255.44</v>
      </c>
      <c r="L884" s="7">
        <f t="shared" si="146"/>
        <v>7996.5599999999995</v>
      </c>
      <c r="M884" s="7">
        <v>4235</v>
      </c>
      <c r="N884" s="5" t="s">
        <v>35</v>
      </c>
      <c r="O884" s="5">
        <v>21</v>
      </c>
      <c r="P884" s="7">
        <f t="shared" si="147"/>
        <v>12404.92</v>
      </c>
      <c r="Q884" s="7">
        <f t="shared" si="148"/>
        <v>25835.040000000001</v>
      </c>
      <c r="R884" s="7" t="str">
        <f t="shared" si="149"/>
        <v>Normal</v>
      </c>
      <c r="S884" s="5">
        <v>4</v>
      </c>
      <c r="T884" s="5">
        <v>3</v>
      </c>
      <c r="U884" s="5" t="str" cm="1">
        <f t="array" ref="U884">_xlfn.IFS(T884=1,"Poor",T884=2,"Fair",T884=3,"Good",T884=4,"Excellent")</f>
        <v>Good</v>
      </c>
      <c r="V884" s="5" t="s">
        <v>35</v>
      </c>
      <c r="W884" s="5">
        <v>7</v>
      </c>
      <c r="X884" s="28">
        <f t="shared" ca="1" si="150"/>
        <v>43554</v>
      </c>
      <c r="Y884" s="28">
        <f t="shared" ca="1" si="151"/>
        <v>46476</v>
      </c>
      <c r="Z884" s="28" t="str">
        <f t="shared" ca="1" si="152"/>
        <v>Due Soon</v>
      </c>
      <c r="AA884" s="5" t="str" cm="1">
        <f t="array" ref="AA884">_xlfn.IFS(W884&gt;10,"Veteran",W884&gt;=6,"Experienced",W884&gt;=2,"Developing",W884&gt;=0,"New")</f>
        <v>Experienced</v>
      </c>
      <c r="AB884" s="5" t="str" cm="1">
        <f t="array" ref="AB884">_xlfn.IFS(G884=1,"Junior",G884=2,"Mid-Level",G884=3,"Senior",G884=4,"Lead",G884=5,"Principal")&amp;" "&amp;TRIM(PROPER(H884))</f>
        <v>Senior Manufacturing Director</v>
      </c>
      <c r="AC884" s="19" t="str">
        <f t="shared" ca="1" si="153"/>
        <v>Ma-Res-2019-883 is a Senior Manufacturing Director in the Research &amp; Development department, aged 36, divorced and has been with the Company for 7years</v>
      </c>
    </row>
    <row r="885" spans="1:29">
      <c r="A885" s="18" t="str">
        <f t="shared" ca="1" si="143"/>
        <v>Re-Res-2012-884</v>
      </c>
      <c r="B885" s="5">
        <v>33</v>
      </c>
      <c r="C885" s="5" t="str">
        <f t="shared" si="144"/>
        <v>30-39</v>
      </c>
      <c r="D885" s="5" t="s">
        <v>43</v>
      </c>
      <c r="E885" s="5" t="s">
        <v>45</v>
      </c>
      <c r="F885" s="5" t="s">
        <v>46</v>
      </c>
      <c r="G885" s="5">
        <v>1</v>
      </c>
      <c r="H885" s="5" t="s">
        <v>47</v>
      </c>
      <c r="I885" s="5" t="s">
        <v>48</v>
      </c>
      <c r="J885" s="7">
        <v>2781</v>
      </c>
      <c r="K885" s="7">
        <f t="shared" si="145"/>
        <v>194.67000000000002</v>
      </c>
      <c r="L885" s="7">
        <f t="shared" si="146"/>
        <v>2586.33</v>
      </c>
      <c r="M885" s="7">
        <v>6311</v>
      </c>
      <c r="N885" s="5" t="s">
        <v>43</v>
      </c>
      <c r="O885" s="5">
        <v>13</v>
      </c>
      <c r="P885" s="7">
        <f t="shared" si="147"/>
        <v>3142.5299999999997</v>
      </c>
      <c r="Q885" s="7">
        <f t="shared" si="148"/>
        <v>4338.3599999999969</v>
      </c>
      <c r="R885" s="7" t="str">
        <f t="shared" si="149"/>
        <v>Normal</v>
      </c>
      <c r="S885" s="5">
        <v>3</v>
      </c>
      <c r="T885" s="5">
        <v>3</v>
      </c>
      <c r="U885" s="5" t="str" cm="1">
        <f t="array" ref="U885">_xlfn.IFS(T885=1,"Poor",T885=2,"Fair",T885=3,"Good",T885=4,"Excellent")</f>
        <v>Good</v>
      </c>
      <c r="V885" s="5" t="s">
        <v>43</v>
      </c>
      <c r="W885" s="5">
        <v>14</v>
      </c>
      <c r="X885" s="28">
        <f t="shared" ca="1" si="150"/>
        <v>40998</v>
      </c>
      <c r="Y885" s="28">
        <f t="shared" ca="1" si="151"/>
        <v>46842</v>
      </c>
      <c r="Z885" s="28" t="str">
        <f t="shared" ca="1" si="152"/>
        <v>Upcoming</v>
      </c>
      <c r="AA885" s="5" t="str" cm="1">
        <f t="array" ref="AA885">_xlfn.IFS(W885&gt;10,"Veteran",W885&gt;=6,"Experienced",W885&gt;=2,"Developing",W885&gt;=0,"New")</f>
        <v>Veteran</v>
      </c>
      <c r="AB885" s="5" t="str" cm="1">
        <f t="array" ref="AB885">_xlfn.IFS(G885=1,"Junior",G885=2,"Mid-Level",G885=3,"Senior",G885=4,"Lead",G885=5,"Principal")&amp;" "&amp;TRIM(PROPER(H885))</f>
        <v>Junior Research Scientist</v>
      </c>
      <c r="AC885" s="19" t="str">
        <f t="shared" ca="1" si="153"/>
        <v>Re-Res-2012-884 is a Junior Research Scientist in the Research &amp; Development department, aged 33, married and has been with the Company for 14years</v>
      </c>
    </row>
    <row r="886" spans="1:29">
      <c r="A886" s="18" t="str">
        <f t="shared" ca="1" si="143"/>
        <v>Sa-Sal-2021-885</v>
      </c>
      <c r="B886" s="5">
        <v>40</v>
      </c>
      <c r="C886" s="5" t="str">
        <f t="shared" si="144"/>
        <v>40-49</v>
      </c>
      <c r="D886" s="5" t="s">
        <v>43</v>
      </c>
      <c r="E886" s="5" t="s">
        <v>37</v>
      </c>
      <c r="F886" s="5" t="s">
        <v>39</v>
      </c>
      <c r="G886" s="5">
        <v>2</v>
      </c>
      <c r="H886" s="5" t="s">
        <v>40</v>
      </c>
      <c r="I886" s="5" t="s">
        <v>52</v>
      </c>
      <c r="J886" s="7">
        <v>6852</v>
      </c>
      <c r="K886" s="7">
        <f t="shared" si="145"/>
        <v>1027.8</v>
      </c>
      <c r="L886" s="7">
        <f t="shared" si="146"/>
        <v>5824.2</v>
      </c>
      <c r="M886" s="7">
        <v>11591</v>
      </c>
      <c r="N886" s="5" t="s">
        <v>43</v>
      </c>
      <c r="O886" s="5">
        <v>12</v>
      </c>
      <c r="P886" s="7">
        <f t="shared" si="147"/>
        <v>7674.2400000000007</v>
      </c>
      <c r="Q886" s="7">
        <f t="shared" si="148"/>
        <v>9866.8800000000083</v>
      </c>
      <c r="R886" s="7" t="str">
        <f t="shared" si="149"/>
        <v>Normal</v>
      </c>
      <c r="S886" s="5">
        <v>3</v>
      </c>
      <c r="T886" s="5">
        <v>4</v>
      </c>
      <c r="U886" s="5" t="str" cm="1">
        <f t="array" ref="U886">_xlfn.IFS(T886=1,"Poor",T886=2,"Fair",T886=3,"Good",T886=4,"Excellent")</f>
        <v>Excellent</v>
      </c>
      <c r="V886" s="5" t="s">
        <v>43</v>
      </c>
      <c r="W886" s="5">
        <v>5</v>
      </c>
      <c r="X886" s="28">
        <f t="shared" ca="1" si="150"/>
        <v>44285</v>
      </c>
      <c r="Y886" s="28">
        <f t="shared" ca="1" si="151"/>
        <v>46476</v>
      </c>
      <c r="Z886" s="28" t="str">
        <f t="shared" ca="1" si="152"/>
        <v>Due Soon</v>
      </c>
      <c r="AA886" s="5" t="str" cm="1">
        <f t="array" ref="AA886">_xlfn.IFS(W886&gt;10,"Veteran",W886&gt;=6,"Experienced",W886&gt;=2,"Developing",W886&gt;=0,"New")</f>
        <v>Developing</v>
      </c>
      <c r="AB886" s="5" t="str" cm="1">
        <f t="array" ref="AB886">_xlfn.IFS(G886=1,"Junior",G886=2,"Mid-Level",G886=3,"Senior",G886=4,"Lead",G886=5,"Principal")&amp;" "&amp;TRIM(PROPER(H886))</f>
        <v>Mid-Level Sales Executive</v>
      </c>
      <c r="AC886" s="19" t="str">
        <f t="shared" ca="1" si="153"/>
        <v>Sa-Sal-2021-885 is a Mid-Level Sales Executive in the Sales department, aged 40, divorced and has been with the Company for 5years</v>
      </c>
    </row>
    <row r="887" spans="1:29">
      <c r="A887" s="18" t="str">
        <f t="shared" ca="1" si="143"/>
        <v>Sa-Sal-2022-886</v>
      </c>
      <c r="B887" s="5">
        <v>25</v>
      </c>
      <c r="C887" s="5" t="str">
        <f t="shared" si="144"/>
        <v>20-29</v>
      </c>
      <c r="D887" s="5" t="s">
        <v>43</v>
      </c>
      <c r="E887" s="5" t="s">
        <v>37</v>
      </c>
      <c r="F887" s="5" t="s">
        <v>46</v>
      </c>
      <c r="G887" s="5">
        <v>2</v>
      </c>
      <c r="H887" s="5" t="s">
        <v>40</v>
      </c>
      <c r="I887" s="5" t="s">
        <v>41</v>
      </c>
      <c r="J887" s="7">
        <v>4950</v>
      </c>
      <c r="K887" s="7">
        <f t="shared" si="145"/>
        <v>742.5</v>
      </c>
      <c r="L887" s="7">
        <f t="shared" si="146"/>
        <v>4207.5</v>
      </c>
      <c r="M887" s="7">
        <v>20623</v>
      </c>
      <c r="N887" s="5" t="s">
        <v>43</v>
      </c>
      <c r="O887" s="5">
        <v>14</v>
      </c>
      <c r="P887" s="7">
        <f t="shared" si="147"/>
        <v>5643.0000000000009</v>
      </c>
      <c r="Q887" s="7">
        <f t="shared" si="148"/>
        <v>8316.0000000000109</v>
      </c>
      <c r="R887" s="7" t="str">
        <f t="shared" si="149"/>
        <v>Normal</v>
      </c>
      <c r="S887" s="5">
        <v>3</v>
      </c>
      <c r="T887" s="5">
        <v>3</v>
      </c>
      <c r="U887" s="5" t="str" cm="1">
        <f t="array" ref="U887">_xlfn.IFS(T887=1,"Poor",T887=2,"Fair",T887=3,"Good",T887=4,"Excellent")</f>
        <v>Good</v>
      </c>
      <c r="V887" s="5" t="s">
        <v>43</v>
      </c>
      <c r="W887" s="5">
        <v>4</v>
      </c>
      <c r="X887" s="28">
        <f t="shared" ca="1" si="150"/>
        <v>44650</v>
      </c>
      <c r="Y887" s="28">
        <f t="shared" ca="1" si="151"/>
        <v>46842</v>
      </c>
      <c r="Z887" s="28" t="str">
        <f t="shared" ca="1" si="152"/>
        <v>Upcoming</v>
      </c>
      <c r="AA887" s="5" t="str" cm="1">
        <f t="array" ref="AA887">_xlfn.IFS(W887&gt;10,"Veteran",W887&gt;=6,"Experienced",W887&gt;=2,"Developing",W887&gt;=0,"New")</f>
        <v>Developing</v>
      </c>
      <c r="AB887" s="5" t="str" cm="1">
        <f t="array" ref="AB887">_xlfn.IFS(G887=1,"Junior",G887=2,"Mid-Level",G887=3,"Senior",G887=4,"Lead",G887=5,"Principal")&amp;" "&amp;TRIM(PROPER(H887))</f>
        <v>Mid-Level Sales Executive</v>
      </c>
      <c r="AC887" s="19" t="str">
        <f t="shared" ca="1" si="153"/>
        <v>Sa-Sal-2022-886 is a Mid-Level Sales Executive in the Sales department, aged 25, single and has been with the Company for 4years</v>
      </c>
    </row>
    <row r="888" spans="1:29">
      <c r="A888" s="18" t="str">
        <f t="shared" ca="1" si="143"/>
        <v>Re-Res-2015-887</v>
      </c>
      <c r="B888" s="5">
        <v>30</v>
      </c>
      <c r="C888" s="5" t="str">
        <f t="shared" si="144"/>
        <v>30-39</v>
      </c>
      <c r="D888" s="5" t="s">
        <v>43</v>
      </c>
      <c r="E888" s="5" t="s">
        <v>45</v>
      </c>
      <c r="F888" s="5" t="s">
        <v>46</v>
      </c>
      <c r="G888" s="5">
        <v>1</v>
      </c>
      <c r="H888" s="5" t="s">
        <v>47</v>
      </c>
      <c r="I888" s="5" t="s">
        <v>48</v>
      </c>
      <c r="J888" s="7">
        <v>3579</v>
      </c>
      <c r="K888" s="7">
        <f t="shared" si="145"/>
        <v>536.85</v>
      </c>
      <c r="L888" s="7">
        <f t="shared" si="146"/>
        <v>3042.15</v>
      </c>
      <c r="M888" s="7">
        <v>9369</v>
      </c>
      <c r="N888" s="5" t="s">
        <v>35</v>
      </c>
      <c r="O888" s="5">
        <v>21</v>
      </c>
      <c r="P888" s="7">
        <f t="shared" si="147"/>
        <v>4330.59</v>
      </c>
      <c r="Q888" s="7">
        <f t="shared" si="148"/>
        <v>9019.0800000000017</v>
      </c>
      <c r="R888" s="7" t="str">
        <f t="shared" si="149"/>
        <v>Normal</v>
      </c>
      <c r="S888" s="5">
        <v>4</v>
      </c>
      <c r="T888" s="5">
        <v>3</v>
      </c>
      <c r="U888" s="5" t="str" cm="1">
        <f t="array" ref="U888">_xlfn.IFS(T888=1,"Poor",T888=2,"Fair",T888=3,"Good",T888=4,"Excellent")</f>
        <v>Good</v>
      </c>
      <c r="V888" s="5" t="s">
        <v>35</v>
      </c>
      <c r="W888" s="5">
        <v>11</v>
      </c>
      <c r="X888" s="28">
        <f t="shared" ca="1" si="150"/>
        <v>42093</v>
      </c>
      <c r="Y888" s="28">
        <f t="shared" ca="1" si="151"/>
        <v>46476</v>
      </c>
      <c r="Z888" s="28" t="str">
        <f t="shared" ca="1" si="152"/>
        <v>Due Soon</v>
      </c>
      <c r="AA888" s="5" t="str" cm="1">
        <f t="array" ref="AA888">_xlfn.IFS(W888&gt;10,"Veteran",W888&gt;=6,"Experienced",W888&gt;=2,"Developing",W888&gt;=0,"New")</f>
        <v>Veteran</v>
      </c>
      <c r="AB888" s="5" t="str" cm="1">
        <f t="array" ref="AB888">_xlfn.IFS(G888=1,"Junior",G888=2,"Mid-Level",G888=3,"Senior",G888=4,"Lead",G888=5,"Principal")&amp;" "&amp;TRIM(PROPER(H888))</f>
        <v>Junior Research Scientist</v>
      </c>
      <c r="AC888" s="19" t="str">
        <f t="shared" ca="1" si="153"/>
        <v>Re-Res-2015-887 is a Junior Research Scientist in the Research &amp; Development department, aged 30, married and has been with the Company for 11years</v>
      </c>
    </row>
    <row r="889" spans="1:29">
      <c r="A889" s="18" t="str">
        <f t="shared" ca="1" si="143"/>
        <v>Re-Res-2025-888</v>
      </c>
      <c r="B889" s="5">
        <v>42</v>
      </c>
      <c r="C889" s="5" t="str">
        <f t="shared" si="144"/>
        <v>40-49</v>
      </c>
      <c r="D889" s="5" t="s">
        <v>43</v>
      </c>
      <c r="E889" s="5" t="s">
        <v>45</v>
      </c>
      <c r="F889" s="5" t="s">
        <v>39</v>
      </c>
      <c r="G889" s="5">
        <v>3</v>
      </c>
      <c r="H889" s="5" t="s">
        <v>58</v>
      </c>
      <c r="I889" s="5" t="s">
        <v>48</v>
      </c>
      <c r="J889" s="7">
        <v>13191</v>
      </c>
      <c r="K889" s="7">
        <f t="shared" si="145"/>
        <v>3957.2999999999997</v>
      </c>
      <c r="L889" s="7">
        <f t="shared" si="146"/>
        <v>9233.7000000000007</v>
      </c>
      <c r="M889" s="7">
        <v>23281</v>
      </c>
      <c r="N889" s="5" t="s">
        <v>35</v>
      </c>
      <c r="O889" s="5">
        <v>17</v>
      </c>
      <c r="P889" s="7">
        <f t="shared" si="147"/>
        <v>15433.47</v>
      </c>
      <c r="Q889" s="7">
        <f t="shared" si="148"/>
        <v>26909.639999999992</v>
      </c>
      <c r="R889" s="7" t="str">
        <f t="shared" si="149"/>
        <v>Normal</v>
      </c>
      <c r="S889" s="5">
        <v>3</v>
      </c>
      <c r="T889" s="5">
        <v>3</v>
      </c>
      <c r="U889" s="5" t="str" cm="1">
        <f t="array" ref="U889">_xlfn.IFS(T889=1,"Poor",T889=2,"Fair",T889=3,"Good",T889=4,"Excellent")</f>
        <v>Good</v>
      </c>
      <c r="V889" s="5" t="s">
        <v>35</v>
      </c>
      <c r="W889" s="5">
        <v>1</v>
      </c>
      <c r="X889" s="28">
        <f t="shared" ca="1" si="150"/>
        <v>45746</v>
      </c>
      <c r="Y889" s="28">
        <f t="shared" ca="1" si="151"/>
        <v>46476</v>
      </c>
      <c r="Z889" s="28" t="str">
        <f t="shared" ca="1" si="152"/>
        <v>Due Soon</v>
      </c>
      <c r="AA889" s="5" t="str" cm="1">
        <f t="array" ref="AA889">_xlfn.IFS(W889&gt;10,"Veteran",W889&gt;=6,"Experienced",W889&gt;=2,"Developing",W889&gt;=0,"New")</f>
        <v>New</v>
      </c>
      <c r="AB889" s="5" t="str" cm="1">
        <f t="array" ref="AB889">_xlfn.IFS(G889=1,"Junior",G889=2,"Mid-Level",G889=3,"Senior",G889=4,"Lead",G889=5,"Principal")&amp;" "&amp;TRIM(PROPER(H889))</f>
        <v>Senior Research Director</v>
      </c>
      <c r="AC889" s="19" t="str">
        <f t="shared" ca="1" si="153"/>
        <v>Re-Res-2025-888 is a Senior Research Director in the Research &amp; Development department, aged 42, married and has been with the Company for 1years</v>
      </c>
    </row>
    <row r="890" spans="1:29">
      <c r="A890" s="18" t="str">
        <f t="shared" ca="1" si="143"/>
        <v>Sa-Sal-2013-889</v>
      </c>
      <c r="B890" s="5">
        <v>35</v>
      </c>
      <c r="C890" s="5" t="str">
        <f t="shared" si="144"/>
        <v>30-39</v>
      </c>
      <c r="D890" s="5" t="s">
        <v>43</v>
      </c>
      <c r="E890" s="5" t="s">
        <v>37</v>
      </c>
      <c r="F890" s="5" t="s">
        <v>39</v>
      </c>
      <c r="G890" s="5">
        <v>3</v>
      </c>
      <c r="H890" s="5" t="s">
        <v>40</v>
      </c>
      <c r="I890" s="5" t="s">
        <v>48</v>
      </c>
      <c r="J890" s="7">
        <v>10377</v>
      </c>
      <c r="K890" s="7">
        <f t="shared" si="145"/>
        <v>2282.94</v>
      </c>
      <c r="L890" s="7">
        <f t="shared" si="146"/>
        <v>8094.0599999999995</v>
      </c>
      <c r="M890" s="7">
        <v>13755</v>
      </c>
      <c r="N890" s="5" t="s">
        <v>35</v>
      </c>
      <c r="O890" s="5">
        <v>11</v>
      </c>
      <c r="P890" s="7">
        <f t="shared" si="147"/>
        <v>11518.470000000001</v>
      </c>
      <c r="Q890" s="7">
        <f t="shared" si="148"/>
        <v>13697.640000000014</v>
      </c>
      <c r="R890" s="7" t="str">
        <f t="shared" si="149"/>
        <v>Normal</v>
      </c>
      <c r="S890" s="5">
        <v>3</v>
      </c>
      <c r="T890" s="5">
        <v>2</v>
      </c>
      <c r="U890" s="5" t="str" cm="1">
        <f t="array" ref="U890">_xlfn.IFS(T890=1,"Poor",T890=2,"Fair",T890=3,"Good",T890=4,"Excellent")</f>
        <v>Fair</v>
      </c>
      <c r="V890" s="5" t="s">
        <v>35</v>
      </c>
      <c r="W890" s="5">
        <v>13</v>
      </c>
      <c r="X890" s="28">
        <f t="shared" ca="1" si="150"/>
        <v>41363</v>
      </c>
      <c r="Y890" s="28">
        <f t="shared" ca="1" si="151"/>
        <v>46476</v>
      </c>
      <c r="Z890" s="28" t="str">
        <f t="shared" ca="1" si="152"/>
        <v>Due Soon</v>
      </c>
      <c r="AA890" s="5" t="str" cm="1">
        <f t="array" ref="AA890">_xlfn.IFS(W890&gt;10,"Veteran",W890&gt;=6,"Experienced",W890&gt;=2,"Developing",W890&gt;=0,"New")</f>
        <v>Veteran</v>
      </c>
      <c r="AB890" s="5" t="str" cm="1">
        <f t="array" ref="AB890">_xlfn.IFS(G890=1,"Junior",G890=2,"Mid-Level",G890=3,"Senior",G890=4,"Lead",G890=5,"Principal")&amp;" "&amp;TRIM(PROPER(H890))</f>
        <v>Senior Sales Executive</v>
      </c>
      <c r="AC890" s="19" t="str">
        <f t="shared" ca="1" si="153"/>
        <v>Sa-Sal-2013-889 is a Senior Sales Executive in the Sales department, aged 35, married and has been with the Company for 13years</v>
      </c>
    </row>
    <row r="891" spans="1:29">
      <c r="A891" s="18" t="str">
        <f t="shared" ca="1" si="143"/>
        <v>Re-Res-2017-890</v>
      </c>
      <c r="B891" s="5">
        <v>27</v>
      </c>
      <c r="C891" s="5" t="str">
        <f t="shared" si="144"/>
        <v>20-29</v>
      </c>
      <c r="D891" s="5" t="s">
        <v>43</v>
      </c>
      <c r="E891" s="5" t="s">
        <v>45</v>
      </c>
      <c r="F891" s="5" t="s">
        <v>46</v>
      </c>
      <c r="G891" s="5">
        <v>1</v>
      </c>
      <c r="H891" s="5" t="s">
        <v>47</v>
      </c>
      <c r="I891" s="5" t="s">
        <v>48</v>
      </c>
      <c r="J891" s="7">
        <v>2235</v>
      </c>
      <c r="K891" s="7">
        <f t="shared" si="145"/>
        <v>156.45000000000002</v>
      </c>
      <c r="L891" s="7">
        <f t="shared" si="146"/>
        <v>2078.5500000000002</v>
      </c>
      <c r="M891" s="7">
        <v>14377</v>
      </c>
      <c r="N891" s="5" t="s">
        <v>35</v>
      </c>
      <c r="O891" s="5">
        <v>14</v>
      </c>
      <c r="P891" s="7">
        <f t="shared" si="147"/>
        <v>2547.9</v>
      </c>
      <c r="Q891" s="7">
        <f t="shared" si="148"/>
        <v>3754.8000000000011</v>
      </c>
      <c r="R891" s="7" t="str">
        <f t="shared" si="149"/>
        <v>Normal</v>
      </c>
      <c r="S891" s="5">
        <v>3</v>
      </c>
      <c r="T891" s="5">
        <v>2</v>
      </c>
      <c r="U891" s="5" t="str" cm="1">
        <f t="array" ref="U891">_xlfn.IFS(T891=1,"Poor",T891=2,"Fair",T891=3,"Good",T891=4,"Excellent")</f>
        <v>Fair</v>
      </c>
      <c r="V891" s="5" t="s">
        <v>35</v>
      </c>
      <c r="W891" s="5">
        <v>9</v>
      </c>
      <c r="X891" s="28">
        <f t="shared" ca="1" si="150"/>
        <v>42824</v>
      </c>
      <c r="Y891" s="28">
        <f t="shared" ca="1" si="151"/>
        <v>46476</v>
      </c>
      <c r="Z891" s="28" t="str">
        <f t="shared" ca="1" si="152"/>
        <v>Due Soon</v>
      </c>
      <c r="AA891" s="5" t="str" cm="1">
        <f t="array" ref="AA891">_xlfn.IFS(W891&gt;10,"Veteran",W891&gt;=6,"Experienced",W891&gt;=2,"Developing",W891&gt;=0,"New")</f>
        <v>Experienced</v>
      </c>
      <c r="AB891" s="5" t="str" cm="1">
        <f t="array" ref="AB891">_xlfn.IFS(G891=1,"Junior",G891=2,"Mid-Level",G891=3,"Senior",G891=4,"Lead",G891=5,"Principal")&amp;" "&amp;TRIM(PROPER(H891))</f>
        <v>Junior Research Scientist</v>
      </c>
      <c r="AC891" s="19" t="str">
        <f t="shared" ca="1" si="153"/>
        <v>Re-Res-2017-890 is a Junior Research Scientist in the Research &amp; Development department, aged 27, married and has been with the Company for 9years</v>
      </c>
    </row>
    <row r="892" spans="1:29">
      <c r="A892" s="18" t="str">
        <f t="shared" ca="1" si="143"/>
        <v>Ma-Res-2021-891</v>
      </c>
      <c r="B892" s="5">
        <v>54</v>
      </c>
      <c r="C892" s="5" t="str">
        <f t="shared" si="144"/>
        <v>50+</v>
      </c>
      <c r="D892" s="5" t="s">
        <v>43</v>
      </c>
      <c r="E892" s="5" t="s">
        <v>45</v>
      </c>
      <c r="F892" s="5" t="s">
        <v>39</v>
      </c>
      <c r="G892" s="5">
        <v>3</v>
      </c>
      <c r="H892" s="5" t="s">
        <v>53</v>
      </c>
      <c r="I892" s="5" t="s">
        <v>52</v>
      </c>
      <c r="J892" s="7">
        <v>10502</v>
      </c>
      <c r="K892" s="7">
        <f t="shared" si="145"/>
        <v>2310.44</v>
      </c>
      <c r="L892" s="7">
        <f t="shared" si="146"/>
        <v>8191.5599999999995</v>
      </c>
      <c r="M892" s="7">
        <v>9659</v>
      </c>
      <c r="N892" s="5" t="s">
        <v>43</v>
      </c>
      <c r="O892" s="5">
        <v>17</v>
      </c>
      <c r="P892" s="7">
        <f t="shared" si="147"/>
        <v>12287.34</v>
      </c>
      <c r="Q892" s="7">
        <f t="shared" si="148"/>
        <v>21424.080000000002</v>
      </c>
      <c r="R892" s="7" t="str">
        <f t="shared" si="149"/>
        <v>Normal</v>
      </c>
      <c r="S892" s="5">
        <v>3</v>
      </c>
      <c r="T892" s="5">
        <v>1</v>
      </c>
      <c r="U892" s="5" t="str" cm="1">
        <f t="array" ref="U892">_xlfn.IFS(T892=1,"Poor",T892=2,"Fair",T892=3,"Good",T892=4,"Excellent")</f>
        <v>Poor</v>
      </c>
      <c r="V892" s="5" t="s">
        <v>43</v>
      </c>
      <c r="W892" s="5">
        <v>5</v>
      </c>
      <c r="X892" s="28">
        <f t="shared" ca="1" si="150"/>
        <v>44285</v>
      </c>
      <c r="Y892" s="28">
        <f t="shared" ca="1" si="151"/>
        <v>46476</v>
      </c>
      <c r="Z892" s="28" t="str">
        <f t="shared" ca="1" si="152"/>
        <v>Due Soon</v>
      </c>
      <c r="AA892" s="5" t="str" cm="1">
        <f t="array" ref="AA892">_xlfn.IFS(W892&gt;10,"Veteran",W892&gt;=6,"Experienced",W892&gt;=2,"Developing",W892&gt;=0,"New")</f>
        <v>Developing</v>
      </c>
      <c r="AB892" s="5" t="str" cm="1">
        <f t="array" ref="AB892">_xlfn.IFS(G892=1,"Junior",G892=2,"Mid-Level",G892=3,"Senior",G892=4,"Lead",G892=5,"Principal")&amp;" "&amp;TRIM(PROPER(H892))</f>
        <v>Senior Manufacturing Director</v>
      </c>
      <c r="AC892" s="19" t="str">
        <f t="shared" ca="1" si="153"/>
        <v>Ma-Res-2021-891 is a Senior Manufacturing Director in the Research &amp; Development department, aged 54, divorced and has been with the Company for 5years</v>
      </c>
    </row>
    <row r="893" spans="1:29">
      <c r="A893" s="18" t="str">
        <f t="shared" ca="1" si="143"/>
        <v>Re-Res-2016-892</v>
      </c>
      <c r="B893" s="5">
        <v>44</v>
      </c>
      <c r="C893" s="5" t="str">
        <f t="shared" si="144"/>
        <v>40-49</v>
      </c>
      <c r="D893" s="5" t="s">
        <v>43</v>
      </c>
      <c r="E893" s="5" t="s">
        <v>45</v>
      </c>
      <c r="F893" s="5" t="s">
        <v>39</v>
      </c>
      <c r="G893" s="5">
        <v>1</v>
      </c>
      <c r="H893" s="5" t="s">
        <v>47</v>
      </c>
      <c r="I893" s="5" t="s">
        <v>48</v>
      </c>
      <c r="J893" s="7">
        <v>2011</v>
      </c>
      <c r="K893" s="7">
        <f t="shared" si="145"/>
        <v>140.77000000000001</v>
      </c>
      <c r="L893" s="7">
        <f t="shared" si="146"/>
        <v>1870.23</v>
      </c>
      <c r="M893" s="7">
        <v>19982</v>
      </c>
      <c r="N893" s="5" t="s">
        <v>43</v>
      </c>
      <c r="O893" s="5">
        <v>13</v>
      </c>
      <c r="P893" s="7">
        <f t="shared" si="147"/>
        <v>2272.4299999999998</v>
      </c>
      <c r="Q893" s="7">
        <f t="shared" si="148"/>
        <v>3137.159999999998</v>
      </c>
      <c r="R893" s="7" t="str">
        <f t="shared" si="149"/>
        <v>Normal</v>
      </c>
      <c r="S893" s="5">
        <v>3</v>
      </c>
      <c r="T893" s="5">
        <v>3</v>
      </c>
      <c r="U893" s="5" t="str" cm="1">
        <f t="array" ref="U893">_xlfn.IFS(T893=1,"Poor",T893=2,"Fair",T893=3,"Good",T893=4,"Excellent")</f>
        <v>Good</v>
      </c>
      <c r="V893" s="5" t="s">
        <v>43</v>
      </c>
      <c r="W893" s="5">
        <v>10</v>
      </c>
      <c r="X893" s="28">
        <f t="shared" ca="1" si="150"/>
        <v>42459</v>
      </c>
      <c r="Y893" s="28">
        <f t="shared" ca="1" si="151"/>
        <v>46842</v>
      </c>
      <c r="Z893" s="28" t="str">
        <f t="shared" ca="1" si="152"/>
        <v>Upcoming</v>
      </c>
      <c r="AA893" s="5" t="str" cm="1">
        <f t="array" ref="AA893">_xlfn.IFS(W893&gt;10,"Veteran",W893&gt;=6,"Experienced",W893&gt;=2,"Developing",W893&gt;=0,"New")</f>
        <v>Experienced</v>
      </c>
      <c r="AB893" s="5" t="str" cm="1">
        <f t="array" ref="AB893">_xlfn.IFS(G893=1,"Junior",G893=2,"Mid-Level",G893=3,"Senior",G893=4,"Lead",G893=5,"Principal")&amp;" "&amp;TRIM(PROPER(H893))</f>
        <v>Junior Research Scientist</v>
      </c>
      <c r="AC893" s="19" t="str">
        <f t="shared" ca="1" si="153"/>
        <v>Re-Res-2016-892 is a Junior Research Scientist in the Research &amp; Development department, aged 44, married and has been with the Company for 10years</v>
      </c>
    </row>
    <row r="894" spans="1:29">
      <c r="A894" s="18" t="str">
        <f t="shared" ca="1" si="143"/>
        <v>Re-Res-2025-893</v>
      </c>
      <c r="B894" s="5">
        <v>19</v>
      </c>
      <c r="C894" s="5" t="str">
        <f t="shared" si="144"/>
        <v>20-29</v>
      </c>
      <c r="D894" s="5" t="s">
        <v>35</v>
      </c>
      <c r="E894" s="5" t="s">
        <v>45</v>
      </c>
      <c r="F894" s="5" t="s">
        <v>39</v>
      </c>
      <c r="G894" s="5">
        <v>1</v>
      </c>
      <c r="H894" s="5" t="s">
        <v>47</v>
      </c>
      <c r="I894" s="5" t="s">
        <v>41</v>
      </c>
      <c r="J894" s="7">
        <v>1859</v>
      </c>
      <c r="K894" s="7">
        <f t="shared" si="145"/>
        <v>130.13000000000002</v>
      </c>
      <c r="L894" s="7">
        <f t="shared" si="146"/>
        <v>1728.87</v>
      </c>
      <c r="M894" s="7">
        <v>6148</v>
      </c>
      <c r="N894" s="5" t="s">
        <v>35</v>
      </c>
      <c r="O894" s="5">
        <v>25</v>
      </c>
      <c r="P894" s="7">
        <f t="shared" si="147"/>
        <v>2323.75</v>
      </c>
      <c r="Q894" s="7">
        <f t="shared" si="148"/>
        <v>5577</v>
      </c>
      <c r="R894" s="7" t="str">
        <f t="shared" si="149"/>
        <v>Normal</v>
      </c>
      <c r="S894" s="5">
        <v>4</v>
      </c>
      <c r="T894" s="5">
        <v>4</v>
      </c>
      <c r="U894" s="5" t="str" cm="1">
        <f t="array" ref="U894">_xlfn.IFS(T894=1,"Poor",T894=2,"Fair",T894=3,"Good",T894=4,"Excellent")</f>
        <v>Excellent</v>
      </c>
      <c r="V894" s="5" t="s">
        <v>35</v>
      </c>
      <c r="W894" s="5">
        <v>1</v>
      </c>
      <c r="X894" s="28">
        <f t="shared" ca="1" si="150"/>
        <v>45746</v>
      </c>
      <c r="Y894" s="28">
        <f t="shared" ca="1" si="151"/>
        <v>46476</v>
      </c>
      <c r="Z894" s="28" t="str">
        <f t="shared" ca="1" si="152"/>
        <v>Due Soon</v>
      </c>
      <c r="AA894" s="5" t="str" cm="1">
        <f t="array" ref="AA894">_xlfn.IFS(W894&gt;10,"Veteran",W894&gt;=6,"Experienced",W894&gt;=2,"Developing",W894&gt;=0,"New")</f>
        <v>New</v>
      </c>
      <c r="AB894" s="5" t="str" cm="1">
        <f t="array" ref="AB894">_xlfn.IFS(G894=1,"Junior",G894=2,"Mid-Level",G894=3,"Senior",G894=4,"Lead",G894=5,"Principal")&amp;" "&amp;TRIM(PROPER(H894))</f>
        <v>Junior Research Scientist</v>
      </c>
      <c r="AC894" s="19" t="str">
        <f t="shared" ca="1" si="153"/>
        <v>Re-Res-2025-893 is a Junior Research Scientist in the Research &amp; Development department, aged 19, single and has been with the Company for 1years</v>
      </c>
    </row>
    <row r="895" spans="1:29">
      <c r="A895" s="18" t="str">
        <f t="shared" ca="1" si="143"/>
        <v>Re-Res-2023-894</v>
      </c>
      <c r="B895" s="5">
        <v>29</v>
      </c>
      <c r="C895" s="5" t="str">
        <f t="shared" si="144"/>
        <v>20-29</v>
      </c>
      <c r="D895" s="5" t="s">
        <v>43</v>
      </c>
      <c r="E895" s="5" t="s">
        <v>45</v>
      </c>
      <c r="F895" s="5" t="s">
        <v>39</v>
      </c>
      <c r="G895" s="5">
        <v>1</v>
      </c>
      <c r="H895" s="5" t="s">
        <v>47</v>
      </c>
      <c r="I895" s="5" t="s">
        <v>52</v>
      </c>
      <c r="J895" s="7">
        <v>3760</v>
      </c>
      <c r="K895" s="7">
        <f t="shared" si="145"/>
        <v>564</v>
      </c>
      <c r="L895" s="7">
        <f t="shared" si="146"/>
        <v>3196</v>
      </c>
      <c r="M895" s="7">
        <v>5598</v>
      </c>
      <c r="N895" s="5" t="s">
        <v>43</v>
      </c>
      <c r="O895" s="5">
        <v>15</v>
      </c>
      <c r="P895" s="7">
        <f t="shared" si="147"/>
        <v>4324</v>
      </c>
      <c r="Q895" s="7">
        <f t="shared" si="148"/>
        <v>6768</v>
      </c>
      <c r="R895" s="7" t="str">
        <f t="shared" si="149"/>
        <v>Normal</v>
      </c>
      <c r="S895" s="5">
        <v>3</v>
      </c>
      <c r="T895" s="5">
        <v>3</v>
      </c>
      <c r="U895" s="5" t="str" cm="1">
        <f t="array" ref="U895">_xlfn.IFS(T895=1,"Poor",T895=2,"Fair",T895=3,"Good",T895=4,"Excellent")</f>
        <v>Good</v>
      </c>
      <c r="V895" s="5" t="s">
        <v>43</v>
      </c>
      <c r="W895" s="5">
        <v>3</v>
      </c>
      <c r="X895" s="28">
        <f t="shared" ca="1" si="150"/>
        <v>45015</v>
      </c>
      <c r="Y895" s="28">
        <f t="shared" ca="1" si="151"/>
        <v>46476</v>
      </c>
      <c r="Z895" s="28" t="str">
        <f t="shared" ca="1" si="152"/>
        <v>Due Soon</v>
      </c>
      <c r="AA895" s="5" t="str" cm="1">
        <f t="array" ref="AA895">_xlfn.IFS(W895&gt;10,"Veteran",W895&gt;=6,"Experienced",W895&gt;=2,"Developing",W895&gt;=0,"New")</f>
        <v>Developing</v>
      </c>
      <c r="AB895" s="5" t="str" cm="1">
        <f t="array" ref="AB895">_xlfn.IFS(G895=1,"Junior",G895=2,"Mid-Level",G895=3,"Senior",G895=4,"Lead",G895=5,"Principal")&amp;" "&amp;TRIM(PROPER(H895))</f>
        <v>Junior Research Scientist</v>
      </c>
      <c r="AC895" s="19" t="str">
        <f t="shared" ca="1" si="153"/>
        <v>Re-Res-2023-894 is a Junior Research Scientist in the Research &amp; Development department, aged 29, divorced and has been with the Company for 3years</v>
      </c>
    </row>
    <row r="896" spans="1:29">
      <c r="A896" s="18" t="str">
        <f t="shared" ca="1" si="143"/>
        <v>Re-Res-2016-895</v>
      </c>
      <c r="B896" s="5">
        <v>54</v>
      </c>
      <c r="C896" s="5" t="str">
        <f t="shared" si="144"/>
        <v>50+</v>
      </c>
      <c r="D896" s="5" t="s">
        <v>43</v>
      </c>
      <c r="E896" s="5" t="s">
        <v>45</v>
      </c>
      <c r="F896" s="5" t="s">
        <v>46</v>
      </c>
      <c r="G896" s="5">
        <v>4</v>
      </c>
      <c r="H896" s="5" t="s">
        <v>58</v>
      </c>
      <c r="I896" s="5" t="s">
        <v>48</v>
      </c>
      <c r="J896" s="7">
        <v>17779</v>
      </c>
      <c r="K896" s="7">
        <f t="shared" si="145"/>
        <v>5333.7</v>
      </c>
      <c r="L896" s="7">
        <f t="shared" si="146"/>
        <v>12445.3</v>
      </c>
      <c r="M896" s="7">
        <v>23474</v>
      </c>
      <c r="N896" s="5" t="s">
        <v>43</v>
      </c>
      <c r="O896" s="5">
        <v>14</v>
      </c>
      <c r="P896" s="7">
        <f t="shared" si="147"/>
        <v>20268.060000000001</v>
      </c>
      <c r="Q896" s="7">
        <f t="shared" si="148"/>
        <v>29868.720000000016</v>
      </c>
      <c r="R896" s="7" t="str">
        <f t="shared" si="149"/>
        <v>Normal</v>
      </c>
      <c r="S896" s="5">
        <v>3</v>
      </c>
      <c r="T896" s="5">
        <v>3</v>
      </c>
      <c r="U896" s="5" t="str" cm="1">
        <f t="array" ref="U896">_xlfn.IFS(T896=1,"Poor",T896=2,"Fair",T896=3,"Good",T896=4,"Excellent")</f>
        <v>Good</v>
      </c>
      <c r="V896" s="5" t="s">
        <v>43</v>
      </c>
      <c r="W896" s="5">
        <v>10</v>
      </c>
      <c r="X896" s="28">
        <f t="shared" ca="1" si="150"/>
        <v>42459</v>
      </c>
      <c r="Y896" s="28">
        <f t="shared" ca="1" si="151"/>
        <v>46842</v>
      </c>
      <c r="Z896" s="28" t="str">
        <f t="shared" ca="1" si="152"/>
        <v>Upcoming</v>
      </c>
      <c r="AA896" s="5" t="str" cm="1">
        <f t="array" ref="AA896">_xlfn.IFS(W896&gt;10,"Veteran",W896&gt;=6,"Experienced",W896&gt;=2,"Developing",W896&gt;=0,"New")</f>
        <v>Experienced</v>
      </c>
      <c r="AB896" s="5" t="str" cm="1">
        <f t="array" ref="AB896">_xlfn.IFS(G896=1,"Junior",G896=2,"Mid-Level",G896=3,"Senior",G896=4,"Lead",G896=5,"Principal")&amp;" "&amp;TRIM(PROPER(H896))</f>
        <v>Lead Research Director</v>
      </c>
      <c r="AC896" s="19" t="str">
        <f t="shared" ca="1" si="153"/>
        <v>Re-Res-2016-895 is a Lead Research Director in the Research &amp; Development department, aged 54, married and has been with the Company for 10years</v>
      </c>
    </row>
    <row r="897" spans="1:29">
      <c r="A897" s="18" t="str">
        <f t="shared" ca="1" si="143"/>
        <v>He-Res-2020-896</v>
      </c>
      <c r="B897" s="5">
        <v>31</v>
      </c>
      <c r="C897" s="5" t="str">
        <f t="shared" si="144"/>
        <v>30-39</v>
      </c>
      <c r="D897" s="5" t="s">
        <v>43</v>
      </c>
      <c r="E897" s="5" t="s">
        <v>45</v>
      </c>
      <c r="F897" s="5" t="s">
        <v>46</v>
      </c>
      <c r="G897" s="5">
        <v>2</v>
      </c>
      <c r="H897" s="5" t="s">
        <v>54</v>
      </c>
      <c r="I897" s="5" t="s">
        <v>48</v>
      </c>
      <c r="J897" s="7">
        <v>6833</v>
      </c>
      <c r="K897" s="7">
        <f t="shared" si="145"/>
        <v>1024.95</v>
      </c>
      <c r="L897" s="7">
        <f t="shared" si="146"/>
        <v>5808.05</v>
      </c>
      <c r="M897" s="7">
        <v>17089</v>
      </c>
      <c r="N897" s="5" t="s">
        <v>35</v>
      </c>
      <c r="O897" s="5">
        <v>12</v>
      </c>
      <c r="P897" s="7">
        <f t="shared" si="147"/>
        <v>7652.9600000000009</v>
      </c>
      <c r="Q897" s="7">
        <f t="shared" si="148"/>
        <v>9839.5200000000114</v>
      </c>
      <c r="R897" s="7" t="str">
        <f t="shared" si="149"/>
        <v>Normal</v>
      </c>
      <c r="S897" s="5">
        <v>3</v>
      </c>
      <c r="T897" s="5">
        <v>2</v>
      </c>
      <c r="U897" s="5" t="str" cm="1">
        <f t="array" ref="U897">_xlfn.IFS(T897=1,"Poor",T897=2,"Fair",T897=3,"Good",T897=4,"Excellent")</f>
        <v>Fair</v>
      </c>
      <c r="V897" s="5" t="s">
        <v>35</v>
      </c>
      <c r="W897" s="5">
        <v>6</v>
      </c>
      <c r="X897" s="28">
        <f t="shared" ca="1" si="150"/>
        <v>43920</v>
      </c>
      <c r="Y897" s="28">
        <f t="shared" ca="1" si="151"/>
        <v>46842</v>
      </c>
      <c r="Z897" s="28" t="str">
        <f t="shared" ca="1" si="152"/>
        <v>Upcoming</v>
      </c>
      <c r="AA897" s="5" t="str" cm="1">
        <f t="array" ref="AA897">_xlfn.IFS(W897&gt;10,"Veteran",W897&gt;=6,"Experienced",W897&gt;=2,"Developing",W897&gt;=0,"New")</f>
        <v>Experienced</v>
      </c>
      <c r="AB897" s="5" t="str" cm="1">
        <f t="array" ref="AB897">_xlfn.IFS(G897=1,"Junior",G897=2,"Mid-Level",G897=3,"Senior",G897=4,"Lead",G897=5,"Principal")&amp;" "&amp;TRIM(PROPER(H897))</f>
        <v>Mid-Level Healthcare Representative</v>
      </c>
      <c r="AC897" s="19" t="str">
        <f t="shared" ca="1" si="153"/>
        <v>He-Res-2020-896 is a Mid-Level Healthcare Representative in the Research &amp; Development department, aged 31, married and has been with the Company for 6years</v>
      </c>
    </row>
    <row r="898" spans="1:29">
      <c r="A898" s="18" t="str">
        <f t="shared" ca="1" si="143"/>
        <v>He-Res-2016-897</v>
      </c>
      <c r="B898" s="5">
        <v>31</v>
      </c>
      <c r="C898" s="5" t="str">
        <f t="shared" si="144"/>
        <v>30-39</v>
      </c>
      <c r="D898" s="5" t="s">
        <v>43</v>
      </c>
      <c r="E898" s="5" t="s">
        <v>45</v>
      </c>
      <c r="F898" s="5" t="s">
        <v>39</v>
      </c>
      <c r="G898" s="5">
        <v>2</v>
      </c>
      <c r="H898" s="5" t="s">
        <v>54</v>
      </c>
      <c r="I898" s="5" t="s">
        <v>41</v>
      </c>
      <c r="J898" s="7">
        <v>6812</v>
      </c>
      <c r="K898" s="7">
        <f t="shared" si="145"/>
        <v>1021.8</v>
      </c>
      <c r="L898" s="7">
        <f t="shared" si="146"/>
        <v>5790.2</v>
      </c>
      <c r="M898" s="7">
        <v>17198</v>
      </c>
      <c r="N898" s="5" t="s">
        <v>43</v>
      </c>
      <c r="O898" s="5">
        <v>19</v>
      </c>
      <c r="P898" s="7">
        <f t="shared" si="147"/>
        <v>8106.28</v>
      </c>
      <c r="Q898" s="7">
        <f t="shared" si="148"/>
        <v>15531.359999999997</v>
      </c>
      <c r="R898" s="7" t="str">
        <f t="shared" si="149"/>
        <v>Normal</v>
      </c>
      <c r="S898" s="5">
        <v>3</v>
      </c>
      <c r="T898" s="5">
        <v>3</v>
      </c>
      <c r="U898" s="5" t="str" cm="1">
        <f t="array" ref="U898">_xlfn.IFS(T898=1,"Poor",T898=2,"Fair",T898=3,"Good",T898=4,"Excellent")</f>
        <v>Good</v>
      </c>
      <c r="V898" s="5" t="s">
        <v>43</v>
      </c>
      <c r="W898" s="5">
        <v>10</v>
      </c>
      <c r="X898" s="28">
        <f t="shared" ca="1" si="150"/>
        <v>42459</v>
      </c>
      <c r="Y898" s="28">
        <f t="shared" ca="1" si="151"/>
        <v>46842</v>
      </c>
      <c r="Z898" s="28" t="str">
        <f t="shared" ca="1" si="152"/>
        <v>Upcoming</v>
      </c>
      <c r="AA898" s="5" t="str" cm="1">
        <f t="array" ref="AA898">_xlfn.IFS(W898&gt;10,"Veteran",W898&gt;=6,"Experienced",W898&gt;=2,"Developing",W898&gt;=0,"New")</f>
        <v>Experienced</v>
      </c>
      <c r="AB898" s="5" t="str" cm="1">
        <f t="array" ref="AB898">_xlfn.IFS(G898=1,"Junior",G898=2,"Mid-Level",G898=3,"Senior",G898=4,"Lead",G898=5,"Principal")&amp;" "&amp;TRIM(PROPER(H898))</f>
        <v>Mid-Level Healthcare Representative</v>
      </c>
      <c r="AC898" s="19" t="str">
        <f t="shared" ca="1" si="153"/>
        <v>He-Res-2016-897 is a Mid-Level Healthcare Representative in the Research &amp; Development department, aged 31, single and has been with the Company for 10years</v>
      </c>
    </row>
    <row r="899" spans="1:29">
      <c r="A899" s="18" t="str">
        <f t="shared" ref="A899:A962" ca="1" si="154">LEFT(H899,2)&amp;"-"&amp;LEFT(E899,3)&amp;"-"&amp;YEAR(TODAY())-W899&amp;"-"&amp;TEXT(ROW()-1,"000")</f>
        <v>Sa-Sal-2020-898</v>
      </c>
      <c r="B899" s="5">
        <v>59</v>
      </c>
      <c r="C899" s="5" t="str">
        <f t="shared" ref="C899:C962" si="155">IF(B899&lt;=29,"20-29",IF(B899&lt;=39,"30-39",IF(B899&lt;=49,"40-49","50+")))</f>
        <v>50+</v>
      </c>
      <c r="D899" s="5" t="s">
        <v>43</v>
      </c>
      <c r="E899" s="5" t="s">
        <v>37</v>
      </c>
      <c r="F899" s="5" t="s">
        <v>39</v>
      </c>
      <c r="G899" s="5">
        <v>2</v>
      </c>
      <c r="H899" s="5" t="s">
        <v>40</v>
      </c>
      <c r="I899" s="5" t="s">
        <v>41</v>
      </c>
      <c r="J899" s="7">
        <v>5171</v>
      </c>
      <c r="K899" s="7">
        <f t="shared" ref="K899:K962" si="156">IF(J899&gt;13000,J899*30%,IF(J899&gt;7000,J899*22%,IF(J899&gt;3000,J899*15%,J899*7%)))</f>
        <v>775.65</v>
      </c>
      <c r="L899" s="7">
        <f t="shared" ref="L899:L962" si="157">J899-K899</f>
        <v>4395.3500000000004</v>
      </c>
      <c r="M899" s="7">
        <v>16490</v>
      </c>
      <c r="N899" s="5" t="s">
        <v>43</v>
      </c>
      <c r="O899" s="5">
        <v>17</v>
      </c>
      <c r="P899" s="7">
        <f t="shared" ref="P899:P962" si="158">J899*(1+(O899/100))</f>
        <v>6050.07</v>
      </c>
      <c r="Q899" s="7">
        <f t="shared" ref="Q899:Q962" si="159">(P899-J899)*12</f>
        <v>10548.839999999997</v>
      </c>
      <c r="R899" s="7" t="str">
        <f t="shared" ref="R899:R962" si="160">IF(AND(O899&lt;12,S899=4),"UnderPaid","Normal")</f>
        <v>Normal</v>
      </c>
      <c r="S899" s="5">
        <v>3</v>
      </c>
      <c r="T899" s="5">
        <v>3</v>
      </c>
      <c r="U899" s="5" t="str" cm="1">
        <f t="array" ref="U899">_xlfn.IFS(T899=1,"Poor",T899=2,"Fair",T899=3,"Good",T899=4,"Excellent")</f>
        <v>Good</v>
      </c>
      <c r="V899" s="5" t="s">
        <v>43</v>
      </c>
      <c r="W899" s="5">
        <v>6</v>
      </c>
      <c r="X899" s="28">
        <f t="shared" ref="X899:X962" ca="1" si="161">EDATE(TODAY(),-W899*12)</f>
        <v>43920</v>
      </c>
      <c r="Y899" s="28">
        <f t="shared" ref="Y899:Y962" ca="1" si="162">EDATE(X899,(INT(W899/2)+1)*24)</f>
        <v>46842</v>
      </c>
      <c r="Z899" s="28" t="str">
        <f t="shared" ref="Z899:Z962" ca="1" si="163">IF(Y899&lt;=EDATE(TODAY(),12),"Due Soon","Upcoming")</f>
        <v>Upcoming</v>
      </c>
      <c r="AA899" s="5" t="str" cm="1">
        <f t="array" ref="AA899">_xlfn.IFS(W899&gt;10,"Veteran",W899&gt;=6,"Experienced",W899&gt;=2,"Developing",W899&gt;=0,"New")</f>
        <v>Experienced</v>
      </c>
      <c r="AB899" s="5" t="str" cm="1">
        <f t="array" ref="AB899">_xlfn.IFS(G899=1,"Junior",G899=2,"Mid-Level",G899=3,"Senior",G899=4,"Lead",G899=5,"Principal")&amp;" "&amp;TRIM(PROPER(H899))</f>
        <v>Mid-Level Sales Executive</v>
      </c>
      <c r="AC899" s="19" t="str">
        <f t="shared" ref="AC899:AC962" ca="1" si="164">A899&amp;" is a "&amp;AB899&amp;" in the "&amp;E899&amp;" department, aged "&amp;B899&amp;", "&amp;LOWER(I899)&amp;" and has been with the Company for "&amp;W899&amp;"years"</f>
        <v>Sa-Sal-2020-898 is a Mid-Level Sales Executive in the Sales department, aged 59, single and has been with the Company for 6years</v>
      </c>
    </row>
    <row r="900" spans="1:29">
      <c r="A900" s="18" t="str">
        <f t="shared" ca="1" si="154"/>
        <v>Re-Res-2018-899</v>
      </c>
      <c r="B900" s="5">
        <v>43</v>
      </c>
      <c r="C900" s="5" t="str">
        <f t="shared" si="155"/>
        <v>40-49</v>
      </c>
      <c r="D900" s="5" t="s">
        <v>43</v>
      </c>
      <c r="E900" s="5" t="s">
        <v>45</v>
      </c>
      <c r="F900" s="5" t="s">
        <v>46</v>
      </c>
      <c r="G900" s="5">
        <v>5</v>
      </c>
      <c r="H900" s="5" t="s">
        <v>58</v>
      </c>
      <c r="I900" s="5" t="s">
        <v>48</v>
      </c>
      <c r="J900" s="7">
        <v>19740</v>
      </c>
      <c r="K900" s="7">
        <f t="shared" si="156"/>
        <v>5922</v>
      </c>
      <c r="L900" s="7">
        <f t="shared" si="157"/>
        <v>13818</v>
      </c>
      <c r="M900" s="7">
        <v>18625</v>
      </c>
      <c r="N900" s="5" t="s">
        <v>43</v>
      </c>
      <c r="O900" s="5">
        <v>14</v>
      </c>
      <c r="P900" s="7">
        <f t="shared" si="158"/>
        <v>22503.600000000002</v>
      </c>
      <c r="Q900" s="7">
        <f t="shared" si="159"/>
        <v>33163.200000000026</v>
      </c>
      <c r="R900" s="7" t="str">
        <f t="shared" si="160"/>
        <v>Normal</v>
      </c>
      <c r="S900" s="5">
        <v>3</v>
      </c>
      <c r="T900" s="5">
        <v>3</v>
      </c>
      <c r="U900" s="5" t="str" cm="1">
        <f t="array" ref="U900">_xlfn.IFS(T900=1,"Poor",T900=2,"Fair",T900=3,"Good",T900=4,"Excellent")</f>
        <v>Good</v>
      </c>
      <c r="V900" s="5" t="s">
        <v>43</v>
      </c>
      <c r="W900" s="5">
        <v>8</v>
      </c>
      <c r="X900" s="28">
        <f t="shared" ca="1" si="161"/>
        <v>43189</v>
      </c>
      <c r="Y900" s="28">
        <f t="shared" ca="1" si="162"/>
        <v>46842</v>
      </c>
      <c r="Z900" s="28" t="str">
        <f t="shared" ca="1" si="163"/>
        <v>Upcoming</v>
      </c>
      <c r="AA900" s="5" t="str" cm="1">
        <f t="array" ref="AA900">_xlfn.IFS(W900&gt;10,"Veteran",W900&gt;=6,"Experienced",W900&gt;=2,"Developing",W900&gt;=0,"New")</f>
        <v>Experienced</v>
      </c>
      <c r="AB900" s="5" t="str" cm="1">
        <f t="array" ref="AB900">_xlfn.IFS(G900=1,"Junior",G900=2,"Mid-Level",G900=3,"Senior",G900=4,"Lead",G900=5,"Principal")&amp;" "&amp;TRIM(PROPER(H900))</f>
        <v>Principal Research Director</v>
      </c>
      <c r="AC900" s="19" t="str">
        <f t="shared" ca="1" si="164"/>
        <v>Re-Res-2018-899 is a Principal Research Director in the Research &amp; Development department, aged 43, married and has been with the Company for 8years</v>
      </c>
    </row>
    <row r="901" spans="1:29">
      <c r="A901" s="18" t="str">
        <f t="shared" ca="1" si="154"/>
        <v>Ma-Res-2025-900</v>
      </c>
      <c r="B901" s="5">
        <v>49</v>
      </c>
      <c r="C901" s="5" t="str">
        <f t="shared" si="155"/>
        <v>40-49</v>
      </c>
      <c r="D901" s="5" t="s">
        <v>43</v>
      </c>
      <c r="E901" s="5" t="s">
        <v>45</v>
      </c>
      <c r="F901" s="5" t="s">
        <v>46</v>
      </c>
      <c r="G901" s="5">
        <v>5</v>
      </c>
      <c r="H901" s="5" t="s">
        <v>56</v>
      </c>
      <c r="I901" s="5" t="s">
        <v>48</v>
      </c>
      <c r="J901" s="7">
        <v>18711</v>
      </c>
      <c r="K901" s="7">
        <f t="shared" si="156"/>
        <v>5613.3</v>
      </c>
      <c r="L901" s="7">
        <f t="shared" si="157"/>
        <v>13097.7</v>
      </c>
      <c r="M901" s="7">
        <v>12124</v>
      </c>
      <c r="N901" s="5" t="s">
        <v>43</v>
      </c>
      <c r="O901" s="5">
        <v>13</v>
      </c>
      <c r="P901" s="7">
        <f t="shared" si="158"/>
        <v>21143.429999999997</v>
      </c>
      <c r="Q901" s="7">
        <f t="shared" si="159"/>
        <v>29189.15999999996</v>
      </c>
      <c r="R901" s="7" t="str">
        <f t="shared" si="160"/>
        <v>Normal</v>
      </c>
      <c r="S901" s="5">
        <v>3</v>
      </c>
      <c r="T901" s="5">
        <v>4</v>
      </c>
      <c r="U901" s="5" t="str" cm="1">
        <f t="array" ref="U901">_xlfn.IFS(T901=1,"Poor",T901=2,"Fair",T901=3,"Good",T901=4,"Excellent")</f>
        <v>Excellent</v>
      </c>
      <c r="V901" s="5" t="s">
        <v>43</v>
      </c>
      <c r="W901" s="5">
        <v>1</v>
      </c>
      <c r="X901" s="28">
        <f t="shared" ca="1" si="161"/>
        <v>45746</v>
      </c>
      <c r="Y901" s="28">
        <f t="shared" ca="1" si="162"/>
        <v>46476</v>
      </c>
      <c r="Z901" s="28" t="str">
        <f t="shared" ca="1" si="163"/>
        <v>Due Soon</v>
      </c>
      <c r="AA901" s="5" t="str" cm="1">
        <f t="array" ref="AA901">_xlfn.IFS(W901&gt;10,"Veteran",W901&gt;=6,"Experienced",W901&gt;=2,"Developing",W901&gt;=0,"New")</f>
        <v>New</v>
      </c>
      <c r="AB901" s="5" t="str" cm="1">
        <f t="array" ref="AB901">_xlfn.IFS(G901=1,"Junior",G901=2,"Mid-Level",G901=3,"Senior",G901=4,"Lead",G901=5,"Principal")&amp;" "&amp;TRIM(PROPER(H901))</f>
        <v>Principal Manager</v>
      </c>
      <c r="AC901" s="19" t="str">
        <f t="shared" ca="1" si="164"/>
        <v>Ma-Res-2025-900 is a Principal Manager in the Research &amp; Development department, aged 49, married and has been with the Company for 1years</v>
      </c>
    </row>
    <row r="902" spans="1:29">
      <c r="A902" s="18" t="str">
        <f t="shared" ca="1" si="154"/>
        <v>Re-Res-2015-901</v>
      </c>
      <c r="B902" s="5">
        <v>36</v>
      </c>
      <c r="C902" s="5" t="str">
        <f t="shared" si="155"/>
        <v>30-39</v>
      </c>
      <c r="D902" s="5" t="s">
        <v>43</v>
      </c>
      <c r="E902" s="5" t="s">
        <v>45</v>
      </c>
      <c r="F902" s="5" t="s">
        <v>46</v>
      </c>
      <c r="G902" s="5">
        <v>1</v>
      </c>
      <c r="H902" s="5" t="s">
        <v>47</v>
      </c>
      <c r="I902" s="5" t="s">
        <v>48</v>
      </c>
      <c r="J902" s="7">
        <v>3692</v>
      </c>
      <c r="K902" s="7">
        <f t="shared" si="156"/>
        <v>553.79999999999995</v>
      </c>
      <c r="L902" s="7">
        <f t="shared" si="157"/>
        <v>3138.2</v>
      </c>
      <c r="M902" s="7">
        <v>9256</v>
      </c>
      <c r="N902" s="5" t="s">
        <v>43</v>
      </c>
      <c r="O902" s="5">
        <v>12</v>
      </c>
      <c r="P902" s="7">
        <f t="shared" si="158"/>
        <v>4135.04</v>
      </c>
      <c r="Q902" s="7">
        <f t="shared" si="159"/>
        <v>5316.48</v>
      </c>
      <c r="R902" s="7" t="str">
        <f t="shared" si="160"/>
        <v>Normal</v>
      </c>
      <c r="S902" s="5">
        <v>3</v>
      </c>
      <c r="T902" s="5">
        <v>2</v>
      </c>
      <c r="U902" s="5" t="str" cm="1">
        <f t="array" ref="U902">_xlfn.IFS(T902=1,"Poor",T902=2,"Fair",T902=3,"Good",T902=4,"Excellent")</f>
        <v>Fair</v>
      </c>
      <c r="V902" s="5" t="s">
        <v>43</v>
      </c>
      <c r="W902" s="5">
        <v>11</v>
      </c>
      <c r="X902" s="28">
        <f t="shared" ca="1" si="161"/>
        <v>42093</v>
      </c>
      <c r="Y902" s="28">
        <f t="shared" ca="1" si="162"/>
        <v>46476</v>
      </c>
      <c r="Z902" s="28" t="str">
        <f t="shared" ca="1" si="163"/>
        <v>Due Soon</v>
      </c>
      <c r="AA902" s="5" t="str" cm="1">
        <f t="array" ref="AA902">_xlfn.IFS(W902&gt;10,"Veteran",W902&gt;=6,"Experienced",W902&gt;=2,"Developing",W902&gt;=0,"New")</f>
        <v>Veteran</v>
      </c>
      <c r="AB902" s="5" t="str" cm="1">
        <f t="array" ref="AB902">_xlfn.IFS(G902=1,"Junior",G902=2,"Mid-Level",G902=3,"Senior",G902=4,"Lead",G902=5,"Principal")&amp;" "&amp;TRIM(PROPER(H902))</f>
        <v>Junior Research Scientist</v>
      </c>
      <c r="AC902" s="19" t="str">
        <f t="shared" ca="1" si="164"/>
        <v>Re-Res-2015-901 is a Junior Research Scientist in the Research &amp; Development department, aged 36, married and has been with the Company for 11years</v>
      </c>
    </row>
    <row r="903" spans="1:29">
      <c r="A903" s="18" t="str">
        <f t="shared" ca="1" si="154"/>
        <v>La-Res-2025-902</v>
      </c>
      <c r="B903" s="5">
        <v>48</v>
      </c>
      <c r="C903" s="5" t="str">
        <f t="shared" si="155"/>
        <v>40-49</v>
      </c>
      <c r="D903" s="5" t="s">
        <v>43</v>
      </c>
      <c r="E903" s="5" t="s">
        <v>45</v>
      </c>
      <c r="F903" s="5" t="s">
        <v>46</v>
      </c>
      <c r="G903" s="5">
        <v>1</v>
      </c>
      <c r="H903" s="5" t="s">
        <v>50</v>
      </c>
      <c r="I903" s="5" t="s">
        <v>41</v>
      </c>
      <c r="J903" s="7">
        <v>2559</v>
      </c>
      <c r="K903" s="7">
        <f t="shared" si="156"/>
        <v>179.13000000000002</v>
      </c>
      <c r="L903" s="7">
        <f t="shared" si="157"/>
        <v>2379.87</v>
      </c>
      <c r="M903" s="7">
        <v>16620</v>
      </c>
      <c r="N903" s="5" t="s">
        <v>43</v>
      </c>
      <c r="O903" s="5">
        <v>11</v>
      </c>
      <c r="P903" s="7">
        <f t="shared" si="158"/>
        <v>2840.4900000000002</v>
      </c>
      <c r="Q903" s="7">
        <f t="shared" si="159"/>
        <v>3377.8800000000028</v>
      </c>
      <c r="R903" s="7" t="str">
        <f t="shared" si="160"/>
        <v>Normal</v>
      </c>
      <c r="S903" s="5">
        <v>3</v>
      </c>
      <c r="T903" s="5">
        <v>2</v>
      </c>
      <c r="U903" s="5" t="str" cm="1">
        <f t="array" ref="U903">_xlfn.IFS(T903=1,"Poor",T903=2,"Fair",T903=3,"Good",T903=4,"Excellent")</f>
        <v>Fair</v>
      </c>
      <c r="V903" s="5" t="s">
        <v>43</v>
      </c>
      <c r="W903" s="5">
        <v>1</v>
      </c>
      <c r="X903" s="28">
        <f t="shared" ca="1" si="161"/>
        <v>45746</v>
      </c>
      <c r="Y903" s="28">
        <f t="shared" ca="1" si="162"/>
        <v>46476</v>
      </c>
      <c r="Z903" s="28" t="str">
        <f t="shared" ca="1" si="163"/>
        <v>Due Soon</v>
      </c>
      <c r="AA903" s="5" t="str" cm="1">
        <f t="array" ref="AA903">_xlfn.IFS(W903&gt;10,"Veteran",W903&gt;=6,"Experienced",W903&gt;=2,"Developing",W903&gt;=0,"New")</f>
        <v>New</v>
      </c>
      <c r="AB903" s="5" t="str" cm="1">
        <f t="array" ref="AB903">_xlfn.IFS(G903=1,"Junior",G903=2,"Mid-Level",G903=3,"Senior",G903=4,"Lead",G903=5,"Principal")&amp;" "&amp;TRIM(PROPER(H903))</f>
        <v>Junior Laboratory Technician</v>
      </c>
      <c r="AC903" s="19" t="str">
        <f t="shared" ca="1" si="164"/>
        <v>La-Res-2025-902 is a Junior Laboratory Technician in the Research &amp; Development department, aged 48, single and has been with the Company for 1years</v>
      </c>
    </row>
    <row r="904" spans="1:29">
      <c r="A904" s="18" t="str">
        <f t="shared" ca="1" si="154"/>
        <v>Re-Res-2021-903</v>
      </c>
      <c r="B904" s="5">
        <v>27</v>
      </c>
      <c r="C904" s="5" t="str">
        <f t="shared" si="155"/>
        <v>20-29</v>
      </c>
      <c r="D904" s="5" t="s">
        <v>43</v>
      </c>
      <c r="E904" s="5" t="s">
        <v>45</v>
      </c>
      <c r="F904" s="5" t="s">
        <v>46</v>
      </c>
      <c r="G904" s="5">
        <v>1</v>
      </c>
      <c r="H904" s="5" t="s">
        <v>47</v>
      </c>
      <c r="I904" s="5" t="s">
        <v>52</v>
      </c>
      <c r="J904" s="7">
        <v>2517</v>
      </c>
      <c r="K904" s="7">
        <f t="shared" si="156"/>
        <v>176.19000000000003</v>
      </c>
      <c r="L904" s="7">
        <f t="shared" si="157"/>
        <v>2340.81</v>
      </c>
      <c r="M904" s="7">
        <v>3208</v>
      </c>
      <c r="N904" s="5" t="s">
        <v>43</v>
      </c>
      <c r="O904" s="5">
        <v>11</v>
      </c>
      <c r="P904" s="7">
        <f t="shared" si="158"/>
        <v>2793.8700000000003</v>
      </c>
      <c r="Q904" s="7">
        <f t="shared" si="159"/>
        <v>3322.4400000000041</v>
      </c>
      <c r="R904" s="7" t="str">
        <f t="shared" si="160"/>
        <v>Normal</v>
      </c>
      <c r="S904" s="5">
        <v>3</v>
      </c>
      <c r="T904" s="5">
        <v>3</v>
      </c>
      <c r="U904" s="5" t="str" cm="1">
        <f t="array" ref="U904">_xlfn.IFS(T904=1,"Poor",T904=2,"Fair",T904=3,"Good",T904=4,"Excellent")</f>
        <v>Good</v>
      </c>
      <c r="V904" s="5" t="s">
        <v>43</v>
      </c>
      <c r="W904" s="5">
        <v>5</v>
      </c>
      <c r="X904" s="28">
        <f t="shared" ca="1" si="161"/>
        <v>44285</v>
      </c>
      <c r="Y904" s="28">
        <f t="shared" ca="1" si="162"/>
        <v>46476</v>
      </c>
      <c r="Z904" s="28" t="str">
        <f t="shared" ca="1" si="163"/>
        <v>Due Soon</v>
      </c>
      <c r="AA904" s="5" t="str" cm="1">
        <f t="array" ref="AA904">_xlfn.IFS(W904&gt;10,"Veteran",W904&gt;=6,"Experienced",W904&gt;=2,"Developing",W904&gt;=0,"New")</f>
        <v>Developing</v>
      </c>
      <c r="AB904" s="5" t="str" cm="1">
        <f t="array" ref="AB904">_xlfn.IFS(G904=1,"Junior",G904=2,"Mid-Level",G904=3,"Senior",G904=4,"Lead",G904=5,"Principal")&amp;" "&amp;TRIM(PROPER(H904))</f>
        <v>Junior Research Scientist</v>
      </c>
      <c r="AC904" s="19" t="str">
        <f t="shared" ca="1" si="164"/>
        <v>Re-Res-2021-903 is a Junior Research Scientist in the Research &amp; Development department, aged 27, divorced and has been with the Company for 5years</v>
      </c>
    </row>
    <row r="905" spans="1:29">
      <c r="A905" s="18" t="str">
        <f t="shared" ca="1" si="154"/>
        <v>He-Res-2020-904</v>
      </c>
      <c r="B905" s="5">
        <v>29</v>
      </c>
      <c r="C905" s="5" t="str">
        <f t="shared" si="155"/>
        <v>20-29</v>
      </c>
      <c r="D905" s="5" t="s">
        <v>43</v>
      </c>
      <c r="E905" s="5" t="s">
        <v>45</v>
      </c>
      <c r="F905" s="5" t="s">
        <v>46</v>
      </c>
      <c r="G905" s="5">
        <v>2</v>
      </c>
      <c r="H905" s="5" t="s">
        <v>54</v>
      </c>
      <c r="I905" s="5" t="s">
        <v>52</v>
      </c>
      <c r="J905" s="7">
        <v>6623</v>
      </c>
      <c r="K905" s="7">
        <f t="shared" si="156"/>
        <v>993.44999999999993</v>
      </c>
      <c r="L905" s="7">
        <f t="shared" si="157"/>
        <v>5629.55</v>
      </c>
      <c r="M905" s="7">
        <v>4204</v>
      </c>
      <c r="N905" s="5" t="s">
        <v>35</v>
      </c>
      <c r="O905" s="5">
        <v>11</v>
      </c>
      <c r="P905" s="7">
        <f t="shared" si="158"/>
        <v>7351.5300000000007</v>
      </c>
      <c r="Q905" s="7">
        <f t="shared" si="159"/>
        <v>8742.3600000000079</v>
      </c>
      <c r="R905" s="7" t="str">
        <f t="shared" si="160"/>
        <v>Normal</v>
      </c>
      <c r="S905" s="5">
        <v>3</v>
      </c>
      <c r="T905" s="5">
        <v>3</v>
      </c>
      <c r="U905" s="5" t="str" cm="1">
        <f t="array" ref="U905">_xlfn.IFS(T905=1,"Poor",T905=2,"Fair",T905=3,"Good",T905=4,"Excellent")</f>
        <v>Good</v>
      </c>
      <c r="V905" s="5" t="s">
        <v>35</v>
      </c>
      <c r="W905" s="5">
        <v>6</v>
      </c>
      <c r="X905" s="28">
        <f t="shared" ca="1" si="161"/>
        <v>43920</v>
      </c>
      <c r="Y905" s="28">
        <f t="shared" ca="1" si="162"/>
        <v>46842</v>
      </c>
      <c r="Z905" s="28" t="str">
        <f t="shared" ca="1" si="163"/>
        <v>Upcoming</v>
      </c>
      <c r="AA905" s="5" t="str" cm="1">
        <f t="array" ref="AA905">_xlfn.IFS(W905&gt;10,"Veteran",W905&gt;=6,"Experienced",W905&gt;=2,"Developing",W905&gt;=0,"New")</f>
        <v>Experienced</v>
      </c>
      <c r="AB905" s="5" t="str" cm="1">
        <f t="array" ref="AB905">_xlfn.IFS(G905=1,"Junior",G905=2,"Mid-Level",G905=3,"Senior",G905=4,"Lead",G905=5,"Principal")&amp;" "&amp;TRIM(PROPER(H905))</f>
        <v>Mid-Level Healthcare Representative</v>
      </c>
      <c r="AC905" s="19" t="str">
        <f t="shared" ca="1" si="164"/>
        <v>He-Res-2020-904 is a Mid-Level Healthcare Representative in the Research &amp; Development department, aged 29, divorced and has been with the Company for 6years</v>
      </c>
    </row>
    <row r="906" spans="1:29">
      <c r="A906" s="18" t="str">
        <f t="shared" ca="1" si="154"/>
        <v>Re-Res-2025-905</v>
      </c>
      <c r="B906" s="5">
        <v>48</v>
      </c>
      <c r="C906" s="5" t="str">
        <f t="shared" si="155"/>
        <v>40-49</v>
      </c>
      <c r="D906" s="5" t="s">
        <v>43</v>
      </c>
      <c r="E906" s="5" t="s">
        <v>45</v>
      </c>
      <c r="F906" s="5" t="s">
        <v>46</v>
      </c>
      <c r="G906" s="5">
        <v>5</v>
      </c>
      <c r="H906" s="5" t="s">
        <v>58</v>
      </c>
      <c r="I906" s="5" t="s">
        <v>41</v>
      </c>
      <c r="J906" s="7">
        <v>18265</v>
      </c>
      <c r="K906" s="7">
        <f t="shared" si="156"/>
        <v>5479.5</v>
      </c>
      <c r="L906" s="7">
        <f t="shared" si="157"/>
        <v>12785.5</v>
      </c>
      <c r="M906" s="7">
        <v>8733</v>
      </c>
      <c r="N906" s="5" t="s">
        <v>43</v>
      </c>
      <c r="O906" s="5">
        <v>12</v>
      </c>
      <c r="P906" s="7">
        <f t="shared" si="158"/>
        <v>20456.800000000003</v>
      </c>
      <c r="Q906" s="7">
        <f t="shared" si="159"/>
        <v>26301.600000000035</v>
      </c>
      <c r="R906" s="7" t="str">
        <f t="shared" si="160"/>
        <v>Normal</v>
      </c>
      <c r="S906" s="5">
        <v>3</v>
      </c>
      <c r="T906" s="5">
        <v>4</v>
      </c>
      <c r="U906" s="5" t="str" cm="1">
        <f t="array" ref="U906">_xlfn.IFS(T906=1,"Poor",T906=2,"Fair",T906=3,"Good",T906=4,"Excellent")</f>
        <v>Excellent</v>
      </c>
      <c r="V906" s="5" t="s">
        <v>43</v>
      </c>
      <c r="W906" s="5">
        <v>1</v>
      </c>
      <c r="X906" s="28">
        <f t="shared" ca="1" si="161"/>
        <v>45746</v>
      </c>
      <c r="Y906" s="28">
        <f t="shared" ca="1" si="162"/>
        <v>46476</v>
      </c>
      <c r="Z906" s="28" t="str">
        <f t="shared" ca="1" si="163"/>
        <v>Due Soon</v>
      </c>
      <c r="AA906" s="5" t="str" cm="1">
        <f t="array" ref="AA906">_xlfn.IFS(W906&gt;10,"Veteran",W906&gt;=6,"Experienced",W906&gt;=2,"Developing",W906&gt;=0,"New")</f>
        <v>New</v>
      </c>
      <c r="AB906" s="5" t="str" cm="1">
        <f t="array" ref="AB906">_xlfn.IFS(G906=1,"Junior",G906=2,"Mid-Level",G906=3,"Senior",G906=4,"Lead",G906=5,"Principal")&amp;" "&amp;TRIM(PROPER(H906))</f>
        <v>Principal Research Director</v>
      </c>
      <c r="AC906" s="19" t="str">
        <f t="shared" ca="1" si="164"/>
        <v>Re-Res-2025-905 is a Principal Research Director in the Research &amp; Development department, aged 48, single and has been with the Company for 1years</v>
      </c>
    </row>
    <row r="907" spans="1:29">
      <c r="A907" s="18" t="str">
        <f t="shared" ca="1" si="154"/>
        <v>Re-Res-2019-906</v>
      </c>
      <c r="B907" s="5">
        <v>29</v>
      </c>
      <c r="C907" s="5" t="str">
        <f t="shared" si="155"/>
        <v>20-29</v>
      </c>
      <c r="D907" s="5" t="s">
        <v>43</v>
      </c>
      <c r="E907" s="5" t="s">
        <v>45</v>
      </c>
      <c r="F907" s="5" t="s">
        <v>39</v>
      </c>
      <c r="G907" s="5">
        <v>4</v>
      </c>
      <c r="H907" s="5" t="s">
        <v>58</v>
      </c>
      <c r="I907" s="5" t="s">
        <v>52</v>
      </c>
      <c r="J907" s="7">
        <v>16124</v>
      </c>
      <c r="K907" s="7">
        <f t="shared" si="156"/>
        <v>4837.2</v>
      </c>
      <c r="L907" s="7">
        <f t="shared" si="157"/>
        <v>11286.8</v>
      </c>
      <c r="M907" s="7">
        <v>3423</v>
      </c>
      <c r="N907" s="5" t="s">
        <v>43</v>
      </c>
      <c r="O907" s="5">
        <v>14</v>
      </c>
      <c r="P907" s="7">
        <f t="shared" si="158"/>
        <v>18381.36</v>
      </c>
      <c r="Q907" s="7">
        <f t="shared" si="159"/>
        <v>27088.320000000007</v>
      </c>
      <c r="R907" s="7" t="str">
        <f t="shared" si="160"/>
        <v>Normal</v>
      </c>
      <c r="S907" s="5">
        <v>3</v>
      </c>
      <c r="T907" s="5">
        <v>2</v>
      </c>
      <c r="U907" s="5" t="str" cm="1">
        <f t="array" ref="U907">_xlfn.IFS(T907=1,"Poor",T907=2,"Fair",T907=3,"Good",T907=4,"Excellent")</f>
        <v>Fair</v>
      </c>
      <c r="V907" s="5" t="s">
        <v>43</v>
      </c>
      <c r="W907" s="5">
        <v>7</v>
      </c>
      <c r="X907" s="28">
        <f t="shared" ca="1" si="161"/>
        <v>43554</v>
      </c>
      <c r="Y907" s="28">
        <f t="shared" ca="1" si="162"/>
        <v>46476</v>
      </c>
      <c r="Z907" s="28" t="str">
        <f t="shared" ca="1" si="163"/>
        <v>Due Soon</v>
      </c>
      <c r="AA907" s="5" t="str" cm="1">
        <f t="array" ref="AA907">_xlfn.IFS(W907&gt;10,"Veteran",W907&gt;=6,"Experienced",W907&gt;=2,"Developing",W907&gt;=0,"New")</f>
        <v>Experienced</v>
      </c>
      <c r="AB907" s="5" t="str" cm="1">
        <f t="array" ref="AB907">_xlfn.IFS(G907=1,"Junior",G907=2,"Mid-Level",G907=3,"Senior",G907=4,"Lead",G907=5,"Principal")&amp;" "&amp;TRIM(PROPER(H907))</f>
        <v>Lead Research Director</v>
      </c>
      <c r="AC907" s="19" t="str">
        <f t="shared" ca="1" si="164"/>
        <v>Re-Res-2019-906 is a Lead Research Director in the Research &amp; Development department, aged 29, divorced and has been with the Company for 7years</v>
      </c>
    </row>
    <row r="908" spans="1:29">
      <c r="A908" s="18" t="str">
        <f t="shared" ca="1" si="154"/>
        <v>Re-Res-2025-907</v>
      </c>
      <c r="B908" s="5">
        <v>34</v>
      </c>
      <c r="C908" s="5" t="str">
        <f t="shared" si="155"/>
        <v>30-39</v>
      </c>
      <c r="D908" s="5" t="s">
        <v>43</v>
      </c>
      <c r="E908" s="5" t="s">
        <v>45</v>
      </c>
      <c r="F908" s="5" t="s">
        <v>39</v>
      </c>
      <c r="G908" s="5">
        <v>1</v>
      </c>
      <c r="H908" s="5" t="s">
        <v>47</v>
      </c>
      <c r="I908" s="5" t="s">
        <v>48</v>
      </c>
      <c r="J908" s="7">
        <v>2585</v>
      </c>
      <c r="K908" s="7">
        <f t="shared" si="156"/>
        <v>180.95000000000002</v>
      </c>
      <c r="L908" s="7">
        <f t="shared" si="157"/>
        <v>2404.0500000000002</v>
      </c>
      <c r="M908" s="7">
        <v>21643</v>
      </c>
      <c r="N908" s="5" t="s">
        <v>43</v>
      </c>
      <c r="O908" s="5">
        <v>17</v>
      </c>
      <c r="P908" s="7">
        <f t="shared" si="158"/>
        <v>3024.45</v>
      </c>
      <c r="Q908" s="7">
        <f t="shared" si="159"/>
        <v>5273.3999999999978</v>
      </c>
      <c r="R908" s="7" t="str">
        <f t="shared" si="160"/>
        <v>Normal</v>
      </c>
      <c r="S908" s="5">
        <v>3</v>
      </c>
      <c r="T908" s="5">
        <v>2</v>
      </c>
      <c r="U908" s="5" t="str" cm="1">
        <f t="array" ref="U908">_xlfn.IFS(T908=1,"Poor",T908=2,"Fair",T908=3,"Good",T908=4,"Excellent")</f>
        <v>Fair</v>
      </c>
      <c r="V908" s="5" t="s">
        <v>43</v>
      </c>
      <c r="W908" s="5">
        <v>1</v>
      </c>
      <c r="X908" s="28">
        <f t="shared" ca="1" si="161"/>
        <v>45746</v>
      </c>
      <c r="Y908" s="28">
        <f t="shared" ca="1" si="162"/>
        <v>46476</v>
      </c>
      <c r="Z908" s="28" t="str">
        <f t="shared" ca="1" si="163"/>
        <v>Due Soon</v>
      </c>
      <c r="AA908" s="5" t="str" cm="1">
        <f t="array" ref="AA908">_xlfn.IFS(W908&gt;10,"Veteran",W908&gt;=6,"Experienced",W908&gt;=2,"Developing",W908&gt;=0,"New")</f>
        <v>New</v>
      </c>
      <c r="AB908" s="5" t="str" cm="1">
        <f t="array" ref="AB908">_xlfn.IFS(G908=1,"Junior",G908=2,"Mid-Level",G908=3,"Senior",G908=4,"Lead",G908=5,"Principal")&amp;" "&amp;TRIM(PROPER(H908))</f>
        <v>Junior Research Scientist</v>
      </c>
      <c r="AC908" s="19" t="str">
        <f t="shared" ca="1" si="164"/>
        <v>Re-Res-2025-907 is a Junior Research Scientist in the Research &amp; Development department, aged 34, married and has been with the Company for 1years</v>
      </c>
    </row>
    <row r="909" spans="1:29">
      <c r="A909" s="18" t="str">
        <f t="shared" ca="1" si="154"/>
        <v>Ma-Sal-2004-908</v>
      </c>
      <c r="B909" s="5">
        <v>44</v>
      </c>
      <c r="C909" s="5" t="str">
        <f t="shared" si="155"/>
        <v>40-49</v>
      </c>
      <c r="D909" s="5" t="s">
        <v>43</v>
      </c>
      <c r="E909" s="5" t="s">
        <v>37</v>
      </c>
      <c r="F909" s="5" t="s">
        <v>46</v>
      </c>
      <c r="G909" s="5">
        <v>5</v>
      </c>
      <c r="H909" s="5" t="s">
        <v>56</v>
      </c>
      <c r="I909" s="5" t="s">
        <v>48</v>
      </c>
      <c r="J909" s="7">
        <v>18213</v>
      </c>
      <c r="K909" s="7">
        <f t="shared" si="156"/>
        <v>5463.9</v>
      </c>
      <c r="L909" s="7">
        <f t="shared" si="157"/>
        <v>12749.1</v>
      </c>
      <c r="M909" s="7">
        <v>8751</v>
      </c>
      <c r="N909" s="5" t="s">
        <v>43</v>
      </c>
      <c r="O909" s="5">
        <v>11</v>
      </c>
      <c r="P909" s="7">
        <f t="shared" si="158"/>
        <v>20216.43</v>
      </c>
      <c r="Q909" s="7">
        <f t="shared" si="159"/>
        <v>24041.160000000003</v>
      </c>
      <c r="R909" s="7" t="str">
        <f t="shared" si="160"/>
        <v>Normal</v>
      </c>
      <c r="S909" s="5">
        <v>3</v>
      </c>
      <c r="T909" s="5">
        <v>3</v>
      </c>
      <c r="U909" s="5" t="str" cm="1">
        <f t="array" ref="U909">_xlfn.IFS(T909=1,"Poor",T909=2,"Fair",T909=3,"Good",T909=4,"Excellent")</f>
        <v>Good</v>
      </c>
      <c r="V909" s="5" t="s">
        <v>43</v>
      </c>
      <c r="W909" s="5">
        <v>22</v>
      </c>
      <c r="X909" s="28">
        <f t="shared" ca="1" si="161"/>
        <v>38076</v>
      </c>
      <c r="Y909" s="28">
        <f t="shared" ca="1" si="162"/>
        <v>46842</v>
      </c>
      <c r="Z909" s="28" t="str">
        <f t="shared" ca="1" si="163"/>
        <v>Upcoming</v>
      </c>
      <c r="AA909" s="5" t="str" cm="1">
        <f t="array" ref="AA909">_xlfn.IFS(W909&gt;10,"Veteran",W909&gt;=6,"Experienced",W909&gt;=2,"Developing",W909&gt;=0,"New")</f>
        <v>Veteran</v>
      </c>
      <c r="AB909" s="5" t="str" cm="1">
        <f t="array" ref="AB909">_xlfn.IFS(G909=1,"Junior",G909=2,"Mid-Level",G909=3,"Senior",G909=4,"Lead",G909=5,"Principal")&amp;" "&amp;TRIM(PROPER(H909))</f>
        <v>Principal Manager</v>
      </c>
      <c r="AC909" s="19" t="str">
        <f t="shared" ca="1" si="164"/>
        <v>Ma-Sal-2004-908 is a Principal Manager in the Sales department, aged 44, married and has been with the Company for 22years</v>
      </c>
    </row>
    <row r="910" spans="1:29">
      <c r="A910" s="18" t="str">
        <f t="shared" ca="1" si="154"/>
        <v>Sa-Sal-2017-909</v>
      </c>
      <c r="B910" s="5">
        <v>33</v>
      </c>
      <c r="C910" s="5" t="str">
        <f t="shared" si="155"/>
        <v>30-39</v>
      </c>
      <c r="D910" s="5" t="s">
        <v>43</v>
      </c>
      <c r="E910" s="5" t="s">
        <v>37</v>
      </c>
      <c r="F910" s="5" t="s">
        <v>46</v>
      </c>
      <c r="G910" s="5">
        <v>3</v>
      </c>
      <c r="H910" s="5" t="s">
        <v>40</v>
      </c>
      <c r="I910" s="5" t="s">
        <v>52</v>
      </c>
      <c r="J910" s="7">
        <v>8380</v>
      </c>
      <c r="K910" s="7">
        <f t="shared" si="156"/>
        <v>1843.6</v>
      </c>
      <c r="L910" s="7">
        <f t="shared" si="157"/>
        <v>6536.4</v>
      </c>
      <c r="M910" s="7">
        <v>21708</v>
      </c>
      <c r="N910" s="5" t="s">
        <v>35</v>
      </c>
      <c r="O910" s="5">
        <v>14</v>
      </c>
      <c r="P910" s="7">
        <f t="shared" si="158"/>
        <v>9553.2000000000007</v>
      </c>
      <c r="Q910" s="7">
        <f t="shared" si="159"/>
        <v>14078.400000000009</v>
      </c>
      <c r="R910" s="7" t="str">
        <f t="shared" si="160"/>
        <v>Normal</v>
      </c>
      <c r="S910" s="5">
        <v>3</v>
      </c>
      <c r="T910" s="5">
        <v>3</v>
      </c>
      <c r="U910" s="5" t="str" cm="1">
        <f t="array" ref="U910">_xlfn.IFS(T910=1,"Poor",T910=2,"Fair",T910=3,"Good",T910=4,"Excellent")</f>
        <v>Good</v>
      </c>
      <c r="V910" s="5" t="s">
        <v>35</v>
      </c>
      <c r="W910" s="5">
        <v>9</v>
      </c>
      <c r="X910" s="28">
        <f t="shared" ca="1" si="161"/>
        <v>42824</v>
      </c>
      <c r="Y910" s="28">
        <f t="shared" ca="1" si="162"/>
        <v>46476</v>
      </c>
      <c r="Z910" s="28" t="str">
        <f t="shared" ca="1" si="163"/>
        <v>Due Soon</v>
      </c>
      <c r="AA910" s="5" t="str" cm="1">
        <f t="array" ref="AA910">_xlfn.IFS(W910&gt;10,"Veteran",W910&gt;=6,"Experienced",W910&gt;=2,"Developing",W910&gt;=0,"New")</f>
        <v>Experienced</v>
      </c>
      <c r="AB910" s="5" t="str" cm="1">
        <f t="array" ref="AB910">_xlfn.IFS(G910=1,"Junior",G910=2,"Mid-Level",G910=3,"Senior",G910=4,"Lead",G910=5,"Principal")&amp;" "&amp;TRIM(PROPER(H910))</f>
        <v>Senior Sales Executive</v>
      </c>
      <c r="AC910" s="19" t="str">
        <f t="shared" ca="1" si="164"/>
        <v>Sa-Sal-2017-909 is a Senior Sales Executive in the Sales department, aged 33, divorced and has been with the Company for 9years</v>
      </c>
    </row>
    <row r="911" spans="1:29">
      <c r="A911" s="18" t="str">
        <f t="shared" ca="1" si="154"/>
        <v>Re-Res-2025-910</v>
      </c>
      <c r="B911" s="5">
        <v>19</v>
      </c>
      <c r="C911" s="5" t="str">
        <f t="shared" si="155"/>
        <v>20-29</v>
      </c>
      <c r="D911" s="5" t="s">
        <v>43</v>
      </c>
      <c r="E911" s="5" t="s">
        <v>45</v>
      </c>
      <c r="F911" s="5" t="s">
        <v>39</v>
      </c>
      <c r="G911" s="5">
        <v>1</v>
      </c>
      <c r="H911" s="5" t="s">
        <v>47</v>
      </c>
      <c r="I911" s="5" t="s">
        <v>41</v>
      </c>
      <c r="J911" s="7">
        <v>2994</v>
      </c>
      <c r="K911" s="7">
        <f t="shared" si="156"/>
        <v>209.58</v>
      </c>
      <c r="L911" s="7">
        <f t="shared" si="157"/>
        <v>2784.42</v>
      </c>
      <c r="M911" s="7">
        <v>21221</v>
      </c>
      <c r="N911" s="5" t="s">
        <v>35</v>
      </c>
      <c r="O911" s="5">
        <v>12</v>
      </c>
      <c r="P911" s="7">
        <f t="shared" si="158"/>
        <v>3353.28</v>
      </c>
      <c r="Q911" s="7">
        <f t="shared" si="159"/>
        <v>4311.3600000000024</v>
      </c>
      <c r="R911" s="7" t="str">
        <f t="shared" si="160"/>
        <v>Normal</v>
      </c>
      <c r="S911" s="5">
        <v>3</v>
      </c>
      <c r="T911" s="5">
        <v>3</v>
      </c>
      <c r="U911" s="5" t="str" cm="1">
        <f t="array" ref="U911">_xlfn.IFS(T911=1,"Poor",T911=2,"Fair",T911=3,"Good",T911=4,"Excellent")</f>
        <v>Good</v>
      </c>
      <c r="V911" s="5" t="s">
        <v>35</v>
      </c>
      <c r="W911" s="5">
        <v>1</v>
      </c>
      <c r="X911" s="28">
        <f t="shared" ca="1" si="161"/>
        <v>45746</v>
      </c>
      <c r="Y911" s="28">
        <f t="shared" ca="1" si="162"/>
        <v>46476</v>
      </c>
      <c r="Z911" s="28" t="str">
        <f t="shared" ca="1" si="163"/>
        <v>Due Soon</v>
      </c>
      <c r="AA911" s="5" t="str" cm="1">
        <f t="array" ref="AA911">_xlfn.IFS(W911&gt;10,"Veteran",W911&gt;=6,"Experienced",W911&gt;=2,"Developing",W911&gt;=0,"New")</f>
        <v>New</v>
      </c>
      <c r="AB911" s="5" t="str" cm="1">
        <f t="array" ref="AB911">_xlfn.IFS(G911=1,"Junior",G911=2,"Mid-Level",G911=3,"Senior",G911=4,"Lead",G911=5,"Principal")&amp;" "&amp;TRIM(PROPER(H911))</f>
        <v>Junior Research Scientist</v>
      </c>
      <c r="AC911" s="19" t="str">
        <f t="shared" ca="1" si="164"/>
        <v>Re-Res-2025-910 is a Junior Research Scientist in the Research &amp; Development department, aged 19, single and has been with the Company for 1years</v>
      </c>
    </row>
    <row r="912" spans="1:29">
      <c r="A912" s="18" t="str">
        <f t="shared" ca="1" si="154"/>
        <v>Re-Res-2025-911</v>
      </c>
      <c r="B912" s="5">
        <v>23</v>
      </c>
      <c r="C912" s="5" t="str">
        <f t="shared" si="155"/>
        <v>20-29</v>
      </c>
      <c r="D912" s="5" t="s">
        <v>43</v>
      </c>
      <c r="E912" s="5" t="s">
        <v>45</v>
      </c>
      <c r="F912" s="5" t="s">
        <v>46</v>
      </c>
      <c r="G912" s="5">
        <v>1</v>
      </c>
      <c r="H912" s="5" t="s">
        <v>47</v>
      </c>
      <c r="I912" s="5" t="s">
        <v>48</v>
      </c>
      <c r="J912" s="7">
        <v>1223</v>
      </c>
      <c r="K912" s="7">
        <f t="shared" si="156"/>
        <v>85.610000000000014</v>
      </c>
      <c r="L912" s="7">
        <f t="shared" si="157"/>
        <v>1137.3899999999999</v>
      </c>
      <c r="M912" s="7">
        <v>16901</v>
      </c>
      <c r="N912" s="5" t="s">
        <v>43</v>
      </c>
      <c r="O912" s="5">
        <v>22</v>
      </c>
      <c r="P912" s="7">
        <f t="shared" si="158"/>
        <v>1492.06</v>
      </c>
      <c r="Q912" s="7">
        <f t="shared" si="159"/>
        <v>3228.7199999999993</v>
      </c>
      <c r="R912" s="7" t="str">
        <f t="shared" si="160"/>
        <v>Normal</v>
      </c>
      <c r="S912" s="5">
        <v>4</v>
      </c>
      <c r="T912" s="5">
        <v>3</v>
      </c>
      <c r="U912" s="5" t="str" cm="1">
        <f t="array" ref="U912">_xlfn.IFS(T912=1,"Poor",T912=2,"Fair",T912=3,"Good",T912=4,"Excellent")</f>
        <v>Good</v>
      </c>
      <c r="V912" s="5" t="s">
        <v>43</v>
      </c>
      <c r="W912" s="5">
        <v>1</v>
      </c>
      <c r="X912" s="28">
        <f t="shared" ca="1" si="161"/>
        <v>45746</v>
      </c>
      <c r="Y912" s="28">
        <f t="shared" ca="1" si="162"/>
        <v>46476</v>
      </c>
      <c r="Z912" s="28" t="str">
        <f t="shared" ca="1" si="163"/>
        <v>Due Soon</v>
      </c>
      <c r="AA912" s="5" t="str" cm="1">
        <f t="array" ref="AA912">_xlfn.IFS(W912&gt;10,"Veteran",W912&gt;=6,"Experienced",W912&gt;=2,"Developing",W912&gt;=0,"New")</f>
        <v>New</v>
      </c>
      <c r="AB912" s="5" t="str" cm="1">
        <f t="array" ref="AB912">_xlfn.IFS(G912=1,"Junior",G912=2,"Mid-Level",G912=3,"Senior",G912=4,"Lead",G912=5,"Principal")&amp;" "&amp;TRIM(PROPER(H912))</f>
        <v>Junior Research Scientist</v>
      </c>
      <c r="AC912" s="19" t="str">
        <f t="shared" ca="1" si="164"/>
        <v>Re-Res-2025-911 is a Junior Research Scientist in the Research &amp; Development department, aged 23, married and has been with the Company for 1years</v>
      </c>
    </row>
    <row r="913" spans="1:29">
      <c r="A913" s="18" t="str">
        <f t="shared" ca="1" si="154"/>
        <v>Sa-Sal-2025-912</v>
      </c>
      <c r="B913" s="5">
        <v>25</v>
      </c>
      <c r="C913" s="5" t="str">
        <f t="shared" si="155"/>
        <v>20-29</v>
      </c>
      <c r="D913" s="5" t="s">
        <v>35</v>
      </c>
      <c r="E913" s="5" t="s">
        <v>37</v>
      </c>
      <c r="F913" s="5" t="s">
        <v>46</v>
      </c>
      <c r="G913" s="5">
        <v>1</v>
      </c>
      <c r="H913" s="5" t="s">
        <v>57</v>
      </c>
      <c r="I913" s="5" t="s">
        <v>41</v>
      </c>
      <c r="J913" s="7">
        <v>1118</v>
      </c>
      <c r="K913" s="7">
        <f t="shared" si="156"/>
        <v>78.260000000000005</v>
      </c>
      <c r="L913" s="7">
        <f t="shared" si="157"/>
        <v>1039.74</v>
      </c>
      <c r="M913" s="7">
        <v>8040</v>
      </c>
      <c r="N913" s="5" t="s">
        <v>35</v>
      </c>
      <c r="O913" s="5">
        <v>14</v>
      </c>
      <c r="P913" s="7">
        <f t="shared" si="158"/>
        <v>1274.5200000000002</v>
      </c>
      <c r="Q913" s="7">
        <f t="shared" si="159"/>
        <v>1878.2400000000025</v>
      </c>
      <c r="R913" s="7" t="str">
        <f t="shared" si="160"/>
        <v>Normal</v>
      </c>
      <c r="S913" s="5">
        <v>3</v>
      </c>
      <c r="T913" s="5">
        <v>3</v>
      </c>
      <c r="U913" s="5" t="str" cm="1">
        <f t="array" ref="U913">_xlfn.IFS(T913=1,"Poor",T913=2,"Fair",T913=3,"Good",T913=4,"Excellent")</f>
        <v>Good</v>
      </c>
      <c r="V913" s="5" t="s">
        <v>35</v>
      </c>
      <c r="W913" s="5">
        <v>1</v>
      </c>
      <c r="X913" s="28">
        <f t="shared" ca="1" si="161"/>
        <v>45746</v>
      </c>
      <c r="Y913" s="28">
        <f t="shared" ca="1" si="162"/>
        <v>46476</v>
      </c>
      <c r="Z913" s="28" t="str">
        <f t="shared" ca="1" si="163"/>
        <v>Due Soon</v>
      </c>
      <c r="AA913" s="5" t="str" cm="1">
        <f t="array" ref="AA913">_xlfn.IFS(W913&gt;10,"Veteran",W913&gt;=6,"Experienced",W913&gt;=2,"Developing",W913&gt;=0,"New")</f>
        <v>New</v>
      </c>
      <c r="AB913" s="5" t="str" cm="1">
        <f t="array" ref="AB913">_xlfn.IFS(G913=1,"Junior",G913=2,"Mid-Level",G913=3,"Senior",G913=4,"Lead",G913=5,"Principal")&amp;" "&amp;TRIM(PROPER(H913))</f>
        <v>Junior Sales Representative</v>
      </c>
      <c r="AC913" s="19" t="str">
        <f t="shared" ca="1" si="164"/>
        <v>Sa-Sal-2025-912 is a Junior Sales Representative in the Sales department, aged 25, single and has been with the Company for 1years</v>
      </c>
    </row>
    <row r="914" spans="1:29">
      <c r="A914" s="18" t="str">
        <f t="shared" ca="1" si="154"/>
        <v>Re-Res-2018-913</v>
      </c>
      <c r="B914" s="5">
        <v>26</v>
      </c>
      <c r="C914" s="5" t="str">
        <f t="shared" si="155"/>
        <v>20-29</v>
      </c>
      <c r="D914" s="5" t="s">
        <v>43</v>
      </c>
      <c r="E914" s="5" t="s">
        <v>45</v>
      </c>
      <c r="F914" s="5" t="s">
        <v>46</v>
      </c>
      <c r="G914" s="5">
        <v>1</v>
      </c>
      <c r="H914" s="5" t="s">
        <v>47</v>
      </c>
      <c r="I914" s="5" t="s">
        <v>41</v>
      </c>
      <c r="J914" s="7">
        <v>2875</v>
      </c>
      <c r="K914" s="7">
        <f t="shared" si="156"/>
        <v>201.25000000000003</v>
      </c>
      <c r="L914" s="7">
        <f t="shared" si="157"/>
        <v>2673.75</v>
      </c>
      <c r="M914" s="7">
        <v>9973</v>
      </c>
      <c r="N914" s="5" t="s">
        <v>35</v>
      </c>
      <c r="O914" s="5">
        <v>20</v>
      </c>
      <c r="P914" s="7">
        <f t="shared" si="158"/>
        <v>3450</v>
      </c>
      <c r="Q914" s="7">
        <f t="shared" si="159"/>
        <v>6900</v>
      </c>
      <c r="R914" s="7" t="str">
        <f t="shared" si="160"/>
        <v>Normal</v>
      </c>
      <c r="S914" s="5">
        <v>4</v>
      </c>
      <c r="T914" s="5">
        <v>2</v>
      </c>
      <c r="U914" s="5" t="str" cm="1">
        <f t="array" ref="U914">_xlfn.IFS(T914=1,"Poor",T914=2,"Fair",T914=3,"Good",T914=4,"Excellent")</f>
        <v>Fair</v>
      </c>
      <c r="V914" s="5" t="s">
        <v>35</v>
      </c>
      <c r="W914" s="5">
        <v>8</v>
      </c>
      <c r="X914" s="28">
        <f t="shared" ca="1" si="161"/>
        <v>43189</v>
      </c>
      <c r="Y914" s="28">
        <f t="shared" ca="1" si="162"/>
        <v>46842</v>
      </c>
      <c r="Z914" s="28" t="str">
        <f t="shared" ca="1" si="163"/>
        <v>Upcoming</v>
      </c>
      <c r="AA914" s="5" t="str" cm="1">
        <f t="array" ref="AA914">_xlfn.IFS(W914&gt;10,"Veteran",W914&gt;=6,"Experienced",W914&gt;=2,"Developing",W914&gt;=0,"New")</f>
        <v>Experienced</v>
      </c>
      <c r="AB914" s="5" t="str" cm="1">
        <f t="array" ref="AB914">_xlfn.IFS(G914=1,"Junior",G914=2,"Mid-Level",G914=3,"Senior",G914=4,"Lead",G914=5,"Principal")&amp;" "&amp;TRIM(PROPER(H914))</f>
        <v>Junior Research Scientist</v>
      </c>
      <c r="AC914" s="19" t="str">
        <f t="shared" ca="1" si="164"/>
        <v>Re-Res-2018-913 is a Junior Research Scientist in the Research &amp; Development department, aged 26, single and has been with the Company for 8years</v>
      </c>
    </row>
    <row r="915" spans="1:29">
      <c r="A915" s="18" t="str">
        <f t="shared" ca="1" si="154"/>
        <v>Ma-Sal-2002-914</v>
      </c>
      <c r="B915" s="5">
        <v>45</v>
      </c>
      <c r="C915" s="5" t="str">
        <f t="shared" si="155"/>
        <v>40-49</v>
      </c>
      <c r="D915" s="5" t="s">
        <v>35</v>
      </c>
      <c r="E915" s="5" t="s">
        <v>37</v>
      </c>
      <c r="F915" s="5" t="s">
        <v>39</v>
      </c>
      <c r="G915" s="5">
        <v>5</v>
      </c>
      <c r="H915" s="5" t="s">
        <v>56</v>
      </c>
      <c r="I915" s="5" t="s">
        <v>41</v>
      </c>
      <c r="J915" s="7">
        <v>18824</v>
      </c>
      <c r="K915" s="7">
        <f t="shared" si="156"/>
        <v>5647.2</v>
      </c>
      <c r="L915" s="7">
        <f t="shared" si="157"/>
        <v>13176.8</v>
      </c>
      <c r="M915" s="7">
        <v>2493</v>
      </c>
      <c r="N915" s="5" t="s">
        <v>35</v>
      </c>
      <c r="O915" s="5">
        <v>16</v>
      </c>
      <c r="P915" s="7">
        <f t="shared" si="158"/>
        <v>21835.84</v>
      </c>
      <c r="Q915" s="7">
        <f t="shared" si="159"/>
        <v>36142.080000000002</v>
      </c>
      <c r="R915" s="7" t="str">
        <f t="shared" si="160"/>
        <v>Normal</v>
      </c>
      <c r="S915" s="5">
        <v>3</v>
      </c>
      <c r="T915" s="5">
        <v>3</v>
      </c>
      <c r="U915" s="5" t="str" cm="1">
        <f t="array" ref="U915">_xlfn.IFS(T915=1,"Poor",T915=2,"Fair",T915=3,"Good",T915=4,"Excellent")</f>
        <v>Good</v>
      </c>
      <c r="V915" s="5" t="s">
        <v>35</v>
      </c>
      <c r="W915" s="5">
        <v>24</v>
      </c>
      <c r="X915" s="28">
        <f t="shared" ca="1" si="161"/>
        <v>37345</v>
      </c>
      <c r="Y915" s="28">
        <f t="shared" ca="1" si="162"/>
        <v>46842</v>
      </c>
      <c r="Z915" s="28" t="str">
        <f t="shared" ca="1" si="163"/>
        <v>Upcoming</v>
      </c>
      <c r="AA915" s="5" t="str" cm="1">
        <f t="array" ref="AA915">_xlfn.IFS(W915&gt;10,"Veteran",W915&gt;=6,"Experienced",W915&gt;=2,"Developing",W915&gt;=0,"New")</f>
        <v>Veteran</v>
      </c>
      <c r="AB915" s="5" t="str" cm="1">
        <f t="array" ref="AB915">_xlfn.IFS(G915=1,"Junior",G915=2,"Mid-Level",G915=3,"Senior",G915=4,"Lead",G915=5,"Principal")&amp;" "&amp;TRIM(PROPER(H915))</f>
        <v>Principal Manager</v>
      </c>
      <c r="AC915" s="19" t="str">
        <f t="shared" ca="1" si="164"/>
        <v>Ma-Sal-2002-914 is a Principal Manager in the Sales department, aged 45, single and has been with the Company for 24years</v>
      </c>
    </row>
    <row r="916" spans="1:29">
      <c r="A916" s="18" t="str">
        <f t="shared" ca="1" si="154"/>
        <v>He-Res-1993-915</v>
      </c>
      <c r="B916" s="5">
        <v>55</v>
      </c>
      <c r="C916" s="5" t="str">
        <f t="shared" si="155"/>
        <v>50+</v>
      </c>
      <c r="D916" s="5" t="s">
        <v>43</v>
      </c>
      <c r="E916" s="5" t="s">
        <v>45</v>
      </c>
      <c r="F916" s="5" t="s">
        <v>46</v>
      </c>
      <c r="G916" s="5">
        <v>4</v>
      </c>
      <c r="H916" s="5" t="s">
        <v>54</v>
      </c>
      <c r="I916" s="5" t="s">
        <v>52</v>
      </c>
      <c r="J916" s="7">
        <v>13577</v>
      </c>
      <c r="K916" s="7">
        <f t="shared" si="156"/>
        <v>4073.1</v>
      </c>
      <c r="L916" s="7">
        <f t="shared" si="157"/>
        <v>9503.9</v>
      </c>
      <c r="M916" s="7">
        <v>25592</v>
      </c>
      <c r="N916" s="5" t="s">
        <v>35</v>
      </c>
      <c r="O916" s="5">
        <v>15</v>
      </c>
      <c r="P916" s="7">
        <f t="shared" si="158"/>
        <v>15613.55</v>
      </c>
      <c r="Q916" s="7">
        <f t="shared" si="159"/>
        <v>24438.599999999991</v>
      </c>
      <c r="R916" s="7" t="str">
        <f t="shared" si="160"/>
        <v>Normal</v>
      </c>
      <c r="S916" s="5">
        <v>3</v>
      </c>
      <c r="T916" s="5">
        <v>3</v>
      </c>
      <c r="U916" s="5" t="str" cm="1">
        <f t="array" ref="U916">_xlfn.IFS(T916=1,"Poor",T916=2,"Fair",T916=3,"Good",T916=4,"Excellent")</f>
        <v>Good</v>
      </c>
      <c r="V916" s="5" t="s">
        <v>35</v>
      </c>
      <c r="W916" s="5">
        <v>33</v>
      </c>
      <c r="X916" s="28">
        <f t="shared" ca="1" si="161"/>
        <v>34058</v>
      </c>
      <c r="Y916" s="28">
        <f t="shared" ca="1" si="162"/>
        <v>46476</v>
      </c>
      <c r="Z916" s="28" t="str">
        <f t="shared" ca="1" si="163"/>
        <v>Due Soon</v>
      </c>
      <c r="AA916" s="5" t="str" cm="1">
        <f t="array" ref="AA916">_xlfn.IFS(W916&gt;10,"Veteran",W916&gt;=6,"Experienced",W916&gt;=2,"Developing",W916&gt;=0,"New")</f>
        <v>Veteran</v>
      </c>
      <c r="AB916" s="5" t="str" cm="1">
        <f t="array" ref="AB916">_xlfn.IFS(G916=1,"Junior",G916=2,"Mid-Level",G916=3,"Senior",G916=4,"Lead",G916=5,"Principal")&amp;" "&amp;TRIM(PROPER(H916))</f>
        <v>Lead Healthcare Representative</v>
      </c>
      <c r="AC916" s="19" t="str">
        <f t="shared" ca="1" si="164"/>
        <v>He-Res-1993-915 is a Lead Healthcare Representative in the Research &amp; Development department, aged 55, divorced and has been with the Company for 33years</v>
      </c>
    </row>
    <row r="917" spans="1:29">
      <c r="A917" s="18" t="str">
        <f t="shared" ca="1" si="154"/>
        <v>La-Res-2024-916</v>
      </c>
      <c r="B917" s="5">
        <v>21</v>
      </c>
      <c r="C917" s="5" t="str">
        <f t="shared" si="155"/>
        <v>20-29</v>
      </c>
      <c r="D917" s="5" t="s">
        <v>35</v>
      </c>
      <c r="E917" s="5" t="s">
        <v>45</v>
      </c>
      <c r="F917" s="5" t="s">
        <v>39</v>
      </c>
      <c r="G917" s="5">
        <v>1</v>
      </c>
      <c r="H917" s="5" t="s">
        <v>50</v>
      </c>
      <c r="I917" s="5" t="s">
        <v>41</v>
      </c>
      <c r="J917" s="7">
        <v>2625</v>
      </c>
      <c r="K917" s="7">
        <f t="shared" si="156"/>
        <v>183.75000000000003</v>
      </c>
      <c r="L917" s="7">
        <f t="shared" si="157"/>
        <v>2441.25</v>
      </c>
      <c r="M917" s="7">
        <v>25308</v>
      </c>
      <c r="N917" s="5" t="s">
        <v>43</v>
      </c>
      <c r="O917" s="5">
        <v>20</v>
      </c>
      <c r="P917" s="7">
        <f t="shared" si="158"/>
        <v>3150</v>
      </c>
      <c r="Q917" s="7">
        <f t="shared" si="159"/>
        <v>6300</v>
      </c>
      <c r="R917" s="7" t="str">
        <f t="shared" si="160"/>
        <v>Normal</v>
      </c>
      <c r="S917" s="5">
        <v>4</v>
      </c>
      <c r="T917" s="5">
        <v>1</v>
      </c>
      <c r="U917" s="5" t="str" cm="1">
        <f t="array" ref="U917">_xlfn.IFS(T917=1,"Poor",T917=2,"Fair",T917=3,"Good",T917=4,"Excellent")</f>
        <v>Poor</v>
      </c>
      <c r="V917" s="5" t="s">
        <v>43</v>
      </c>
      <c r="W917" s="5">
        <v>2</v>
      </c>
      <c r="X917" s="28">
        <f t="shared" ca="1" si="161"/>
        <v>45381</v>
      </c>
      <c r="Y917" s="28">
        <f t="shared" ca="1" si="162"/>
        <v>46842</v>
      </c>
      <c r="Z917" s="28" t="str">
        <f t="shared" ca="1" si="163"/>
        <v>Upcoming</v>
      </c>
      <c r="AA917" s="5" t="str" cm="1">
        <f t="array" ref="AA917">_xlfn.IFS(W917&gt;10,"Veteran",W917&gt;=6,"Experienced",W917&gt;=2,"Developing",W917&gt;=0,"New")</f>
        <v>Developing</v>
      </c>
      <c r="AB917" s="5" t="str" cm="1">
        <f t="array" ref="AB917">_xlfn.IFS(G917=1,"Junior",G917=2,"Mid-Level",G917=3,"Senior",G917=4,"Lead",G917=5,"Principal")&amp;" "&amp;TRIM(PROPER(H917))</f>
        <v>Junior Laboratory Technician</v>
      </c>
      <c r="AC917" s="19" t="str">
        <f t="shared" ca="1" si="164"/>
        <v>La-Res-2024-916 is a Junior Laboratory Technician in the Research &amp; Development department, aged 21, single and has been with the Company for 2years</v>
      </c>
    </row>
    <row r="918" spans="1:29">
      <c r="A918" s="18" t="str">
        <f t="shared" ca="1" si="154"/>
        <v>Ma-Sal-2015-917</v>
      </c>
      <c r="B918" s="5">
        <v>46</v>
      </c>
      <c r="C918" s="5" t="str">
        <f t="shared" si="155"/>
        <v>40-49</v>
      </c>
      <c r="D918" s="5" t="s">
        <v>43</v>
      </c>
      <c r="E918" s="5" t="s">
        <v>37</v>
      </c>
      <c r="F918" s="5" t="s">
        <v>39</v>
      </c>
      <c r="G918" s="5">
        <v>5</v>
      </c>
      <c r="H918" s="5" t="s">
        <v>56</v>
      </c>
      <c r="I918" s="5" t="s">
        <v>48</v>
      </c>
      <c r="J918" s="7">
        <v>18789</v>
      </c>
      <c r="K918" s="7">
        <f t="shared" si="156"/>
        <v>5636.7</v>
      </c>
      <c r="L918" s="7">
        <f t="shared" si="157"/>
        <v>13152.3</v>
      </c>
      <c r="M918" s="7">
        <v>9946</v>
      </c>
      <c r="N918" s="5" t="s">
        <v>43</v>
      </c>
      <c r="O918" s="5">
        <v>14</v>
      </c>
      <c r="P918" s="7">
        <f t="shared" si="158"/>
        <v>21419.460000000003</v>
      </c>
      <c r="Q918" s="7">
        <f t="shared" si="159"/>
        <v>31565.520000000033</v>
      </c>
      <c r="R918" s="7" t="str">
        <f t="shared" si="160"/>
        <v>Normal</v>
      </c>
      <c r="S918" s="5">
        <v>3</v>
      </c>
      <c r="T918" s="5">
        <v>3</v>
      </c>
      <c r="U918" s="5" t="str" cm="1">
        <f t="array" ref="U918">_xlfn.IFS(T918=1,"Poor",T918=2,"Fair",T918=3,"Good",T918=4,"Excellent")</f>
        <v>Good</v>
      </c>
      <c r="V918" s="5" t="s">
        <v>43</v>
      </c>
      <c r="W918" s="5">
        <v>11</v>
      </c>
      <c r="X918" s="28">
        <f t="shared" ca="1" si="161"/>
        <v>42093</v>
      </c>
      <c r="Y918" s="28">
        <f t="shared" ca="1" si="162"/>
        <v>46476</v>
      </c>
      <c r="Z918" s="28" t="str">
        <f t="shared" ca="1" si="163"/>
        <v>Due Soon</v>
      </c>
      <c r="AA918" s="5" t="str" cm="1">
        <f t="array" ref="AA918">_xlfn.IFS(W918&gt;10,"Veteran",W918&gt;=6,"Experienced",W918&gt;=2,"Developing",W918&gt;=0,"New")</f>
        <v>Veteran</v>
      </c>
      <c r="AB918" s="5" t="str" cm="1">
        <f t="array" ref="AB918">_xlfn.IFS(G918=1,"Junior",G918=2,"Mid-Level",G918=3,"Senior",G918=4,"Lead",G918=5,"Principal")&amp;" "&amp;TRIM(PROPER(H918))</f>
        <v>Principal Manager</v>
      </c>
      <c r="AC918" s="19" t="str">
        <f t="shared" ca="1" si="164"/>
        <v>Ma-Sal-2015-917 is a Principal Manager in the Sales department, aged 46, married and has been with the Company for 11years</v>
      </c>
    </row>
    <row r="919" spans="1:29">
      <c r="A919" s="18" t="str">
        <f t="shared" ca="1" si="154"/>
        <v>Sa-Sal-2023-918</v>
      </c>
      <c r="B919" s="5">
        <v>34</v>
      </c>
      <c r="C919" s="5" t="str">
        <f t="shared" si="155"/>
        <v>30-39</v>
      </c>
      <c r="D919" s="5" t="s">
        <v>43</v>
      </c>
      <c r="E919" s="5" t="s">
        <v>37</v>
      </c>
      <c r="F919" s="5" t="s">
        <v>39</v>
      </c>
      <c r="G919" s="5">
        <v>2</v>
      </c>
      <c r="H919" s="5" t="s">
        <v>40</v>
      </c>
      <c r="I919" s="5" t="s">
        <v>41</v>
      </c>
      <c r="J919" s="7">
        <v>4538</v>
      </c>
      <c r="K919" s="7">
        <f t="shared" si="156"/>
        <v>680.69999999999993</v>
      </c>
      <c r="L919" s="7">
        <f t="shared" si="157"/>
        <v>3857.3</v>
      </c>
      <c r="M919" s="7">
        <v>6039</v>
      </c>
      <c r="N919" s="5" t="s">
        <v>35</v>
      </c>
      <c r="O919" s="5">
        <v>12</v>
      </c>
      <c r="P919" s="7">
        <f t="shared" si="158"/>
        <v>5082.5600000000004</v>
      </c>
      <c r="Q919" s="7">
        <f t="shared" si="159"/>
        <v>6534.7200000000048</v>
      </c>
      <c r="R919" s="7" t="str">
        <f t="shared" si="160"/>
        <v>Normal</v>
      </c>
      <c r="S919" s="5">
        <v>3</v>
      </c>
      <c r="T919" s="5">
        <v>3</v>
      </c>
      <c r="U919" s="5" t="str" cm="1">
        <f t="array" ref="U919">_xlfn.IFS(T919=1,"Poor",T919=2,"Fair",T919=3,"Good",T919=4,"Excellent")</f>
        <v>Good</v>
      </c>
      <c r="V919" s="5" t="s">
        <v>35</v>
      </c>
      <c r="W919" s="5">
        <v>3</v>
      </c>
      <c r="X919" s="28">
        <f t="shared" ca="1" si="161"/>
        <v>45015</v>
      </c>
      <c r="Y919" s="28">
        <f t="shared" ca="1" si="162"/>
        <v>46476</v>
      </c>
      <c r="Z919" s="28" t="str">
        <f t="shared" ca="1" si="163"/>
        <v>Due Soon</v>
      </c>
      <c r="AA919" s="5" t="str" cm="1">
        <f t="array" ref="AA919">_xlfn.IFS(W919&gt;10,"Veteran",W919&gt;=6,"Experienced",W919&gt;=2,"Developing",W919&gt;=0,"New")</f>
        <v>Developing</v>
      </c>
      <c r="AB919" s="5" t="str" cm="1">
        <f t="array" ref="AB919">_xlfn.IFS(G919=1,"Junior",G919=2,"Mid-Level",G919=3,"Senior",G919=4,"Lead",G919=5,"Principal")&amp;" "&amp;TRIM(PROPER(H919))</f>
        <v>Mid-Level Sales Executive</v>
      </c>
      <c r="AC919" s="19" t="str">
        <f t="shared" ca="1" si="164"/>
        <v>Sa-Sal-2023-918 is a Mid-Level Sales Executive in the Sales department, aged 34, single and has been with the Company for 3years</v>
      </c>
    </row>
    <row r="920" spans="1:29">
      <c r="A920" s="18" t="str">
        <f t="shared" ca="1" si="154"/>
        <v>Ma-Sal-1997-919</v>
      </c>
      <c r="B920" s="5">
        <v>51</v>
      </c>
      <c r="C920" s="5" t="str">
        <f t="shared" si="155"/>
        <v>50+</v>
      </c>
      <c r="D920" s="5" t="s">
        <v>43</v>
      </c>
      <c r="E920" s="5" t="s">
        <v>37</v>
      </c>
      <c r="F920" s="5" t="s">
        <v>46</v>
      </c>
      <c r="G920" s="5">
        <v>5</v>
      </c>
      <c r="H920" s="5" t="s">
        <v>56</v>
      </c>
      <c r="I920" s="5" t="s">
        <v>52</v>
      </c>
      <c r="J920" s="7">
        <v>19847</v>
      </c>
      <c r="K920" s="7">
        <f t="shared" si="156"/>
        <v>5954.0999999999995</v>
      </c>
      <c r="L920" s="7">
        <f t="shared" si="157"/>
        <v>13892.900000000001</v>
      </c>
      <c r="M920" s="7">
        <v>19196</v>
      </c>
      <c r="N920" s="5" t="s">
        <v>35</v>
      </c>
      <c r="O920" s="5">
        <v>24</v>
      </c>
      <c r="P920" s="7">
        <f t="shared" si="158"/>
        <v>24610.28</v>
      </c>
      <c r="Q920" s="7">
        <f t="shared" si="159"/>
        <v>57159.359999999986</v>
      </c>
      <c r="R920" s="7" t="str">
        <f t="shared" si="160"/>
        <v>Normal</v>
      </c>
      <c r="S920" s="5">
        <v>4</v>
      </c>
      <c r="T920" s="5">
        <v>2</v>
      </c>
      <c r="U920" s="5" t="str" cm="1">
        <f t="array" ref="U920">_xlfn.IFS(T920=1,"Poor",T920=2,"Fair",T920=3,"Good",T920=4,"Excellent")</f>
        <v>Fair</v>
      </c>
      <c r="V920" s="5" t="s">
        <v>35</v>
      </c>
      <c r="W920" s="5">
        <v>29</v>
      </c>
      <c r="X920" s="28">
        <f t="shared" ca="1" si="161"/>
        <v>35519</v>
      </c>
      <c r="Y920" s="28">
        <f t="shared" ca="1" si="162"/>
        <v>46476</v>
      </c>
      <c r="Z920" s="28" t="str">
        <f t="shared" ca="1" si="163"/>
        <v>Due Soon</v>
      </c>
      <c r="AA920" s="5" t="str" cm="1">
        <f t="array" ref="AA920">_xlfn.IFS(W920&gt;10,"Veteran",W920&gt;=6,"Experienced",W920&gt;=2,"Developing",W920&gt;=0,"New")</f>
        <v>Veteran</v>
      </c>
      <c r="AB920" s="5" t="str" cm="1">
        <f t="array" ref="AB920">_xlfn.IFS(G920=1,"Junior",G920=2,"Mid-Level",G920=3,"Senior",G920=4,"Lead",G920=5,"Principal")&amp;" "&amp;TRIM(PROPER(H920))</f>
        <v>Principal Manager</v>
      </c>
      <c r="AC920" s="19" t="str">
        <f t="shared" ca="1" si="164"/>
        <v>Ma-Sal-1997-919 is a Principal Manager in the Sales department, aged 51, divorced and has been with the Company for 29years</v>
      </c>
    </row>
    <row r="921" spans="1:29">
      <c r="A921" s="18" t="str">
        <f t="shared" ca="1" si="154"/>
        <v>Ma-Res-2017-920</v>
      </c>
      <c r="B921" s="5">
        <v>59</v>
      </c>
      <c r="C921" s="5" t="str">
        <f t="shared" si="155"/>
        <v>50+</v>
      </c>
      <c r="D921" s="5" t="s">
        <v>43</v>
      </c>
      <c r="E921" s="5" t="s">
        <v>45</v>
      </c>
      <c r="F921" s="5" t="s">
        <v>46</v>
      </c>
      <c r="G921" s="5">
        <v>3</v>
      </c>
      <c r="H921" s="5" t="s">
        <v>53</v>
      </c>
      <c r="I921" s="5" t="s">
        <v>41</v>
      </c>
      <c r="J921" s="7">
        <v>10512</v>
      </c>
      <c r="K921" s="7">
        <f t="shared" si="156"/>
        <v>2312.64</v>
      </c>
      <c r="L921" s="7">
        <f t="shared" si="157"/>
        <v>8199.36</v>
      </c>
      <c r="M921" s="7">
        <v>20002</v>
      </c>
      <c r="N921" s="5" t="s">
        <v>43</v>
      </c>
      <c r="O921" s="5">
        <v>12</v>
      </c>
      <c r="P921" s="7">
        <f t="shared" si="158"/>
        <v>11773.44</v>
      </c>
      <c r="Q921" s="7">
        <f t="shared" si="159"/>
        <v>15137.280000000006</v>
      </c>
      <c r="R921" s="7" t="str">
        <f t="shared" si="160"/>
        <v>Normal</v>
      </c>
      <c r="S921" s="5">
        <v>3</v>
      </c>
      <c r="T921" s="5">
        <v>2</v>
      </c>
      <c r="U921" s="5" t="str" cm="1">
        <f t="array" ref="U921">_xlfn.IFS(T921=1,"Poor",T921=2,"Fair",T921=3,"Good",T921=4,"Excellent")</f>
        <v>Fair</v>
      </c>
      <c r="V921" s="5" t="s">
        <v>43</v>
      </c>
      <c r="W921" s="5">
        <v>9</v>
      </c>
      <c r="X921" s="28">
        <f t="shared" ca="1" si="161"/>
        <v>42824</v>
      </c>
      <c r="Y921" s="28">
        <f t="shared" ca="1" si="162"/>
        <v>46476</v>
      </c>
      <c r="Z921" s="28" t="str">
        <f t="shared" ca="1" si="163"/>
        <v>Due Soon</v>
      </c>
      <c r="AA921" s="5" t="str" cm="1">
        <f t="array" ref="AA921">_xlfn.IFS(W921&gt;10,"Veteran",W921&gt;=6,"Experienced",W921&gt;=2,"Developing",W921&gt;=0,"New")</f>
        <v>Experienced</v>
      </c>
      <c r="AB921" s="5" t="str" cm="1">
        <f t="array" ref="AB921">_xlfn.IFS(G921=1,"Junior",G921=2,"Mid-Level",G921=3,"Senior",G921=4,"Lead",G921=5,"Principal")&amp;" "&amp;TRIM(PROPER(H921))</f>
        <v>Senior Manufacturing Director</v>
      </c>
      <c r="AC921" s="19" t="str">
        <f t="shared" ca="1" si="164"/>
        <v>Ma-Res-2017-920 is a Senior Manufacturing Director in the Research &amp; Development department, aged 59, single and has been with the Company for 9years</v>
      </c>
    </row>
    <row r="922" spans="1:29">
      <c r="A922" s="18" t="str">
        <f t="shared" ca="1" si="154"/>
        <v>La-Res-2015-921</v>
      </c>
      <c r="B922" s="5">
        <v>34</v>
      </c>
      <c r="C922" s="5" t="str">
        <f t="shared" si="155"/>
        <v>30-39</v>
      </c>
      <c r="D922" s="5" t="s">
        <v>43</v>
      </c>
      <c r="E922" s="5" t="s">
        <v>45</v>
      </c>
      <c r="F922" s="5" t="s">
        <v>39</v>
      </c>
      <c r="G922" s="5">
        <v>2</v>
      </c>
      <c r="H922" s="5" t="s">
        <v>50</v>
      </c>
      <c r="I922" s="5" t="s">
        <v>52</v>
      </c>
      <c r="J922" s="7">
        <v>4444</v>
      </c>
      <c r="K922" s="7">
        <f t="shared" si="156"/>
        <v>666.6</v>
      </c>
      <c r="L922" s="7">
        <f t="shared" si="157"/>
        <v>3777.4</v>
      </c>
      <c r="M922" s="7">
        <v>22534</v>
      </c>
      <c r="N922" s="5" t="s">
        <v>43</v>
      </c>
      <c r="O922" s="5">
        <v>13</v>
      </c>
      <c r="P922" s="7">
        <f t="shared" si="158"/>
        <v>5021.7199999999993</v>
      </c>
      <c r="Q922" s="7">
        <f t="shared" si="159"/>
        <v>6932.6399999999921</v>
      </c>
      <c r="R922" s="7" t="str">
        <f t="shared" si="160"/>
        <v>Normal</v>
      </c>
      <c r="S922" s="5">
        <v>3</v>
      </c>
      <c r="T922" s="5">
        <v>4</v>
      </c>
      <c r="U922" s="5" t="str" cm="1">
        <f t="array" ref="U922">_xlfn.IFS(T922=1,"Poor",T922=2,"Fair",T922=3,"Good",T922=4,"Excellent")</f>
        <v>Excellent</v>
      </c>
      <c r="V922" s="5" t="s">
        <v>43</v>
      </c>
      <c r="W922" s="5">
        <v>11</v>
      </c>
      <c r="X922" s="28">
        <f t="shared" ca="1" si="161"/>
        <v>42093</v>
      </c>
      <c r="Y922" s="28">
        <f t="shared" ca="1" si="162"/>
        <v>46476</v>
      </c>
      <c r="Z922" s="28" t="str">
        <f t="shared" ca="1" si="163"/>
        <v>Due Soon</v>
      </c>
      <c r="AA922" s="5" t="str" cm="1">
        <f t="array" ref="AA922">_xlfn.IFS(W922&gt;10,"Veteran",W922&gt;=6,"Experienced",W922&gt;=2,"Developing",W922&gt;=0,"New")</f>
        <v>Veteran</v>
      </c>
      <c r="AB922" s="5" t="str" cm="1">
        <f t="array" ref="AB922">_xlfn.IFS(G922=1,"Junior",G922=2,"Mid-Level",G922=3,"Senior",G922=4,"Lead",G922=5,"Principal")&amp;" "&amp;TRIM(PROPER(H922))</f>
        <v>Mid-Level Laboratory Technician</v>
      </c>
      <c r="AC922" s="19" t="str">
        <f t="shared" ca="1" si="164"/>
        <v>La-Res-2015-921 is a Mid-Level Laboratory Technician in the Research &amp; Development department, aged 34, divorced and has been with the Company for 11years</v>
      </c>
    </row>
    <row r="923" spans="1:29">
      <c r="A923" s="18" t="str">
        <f t="shared" ca="1" si="154"/>
        <v>La-Res-2022-922</v>
      </c>
      <c r="B923" s="5">
        <v>28</v>
      </c>
      <c r="C923" s="5" t="str">
        <f t="shared" si="155"/>
        <v>20-29</v>
      </c>
      <c r="D923" s="5" t="s">
        <v>43</v>
      </c>
      <c r="E923" s="5" t="s">
        <v>45</v>
      </c>
      <c r="F923" s="5" t="s">
        <v>46</v>
      </c>
      <c r="G923" s="5">
        <v>1</v>
      </c>
      <c r="H923" s="5" t="s">
        <v>50</v>
      </c>
      <c r="I923" s="5" t="s">
        <v>41</v>
      </c>
      <c r="J923" s="7">
        <v>2154</v>
      </c>
      <c r="K923" s="7">
        <f t="shared" si="156"/>
        <v>150.78</v>
      </c>
      <c r="L923" s="7">
        <f t="shared" si="157"/>
        <v>2003.22</v>
      </c>
      <c r="M923" s="7">
        <v>6842</v>
      </c>
      <c r="N923" s="5" t="s">
        <v>35</v>
      </c>
      <c r="O923" s="5">
        <v>11</v>
      </c>
      <c r="P923" s="7">
        <f t="shared" si="158"/>
        <v>2390.94</v>
      </c>
      <c r="Q923" s="7">
        <f t="shared" si="159"/>
        <v>2843.2800000000007</v>
      </c>
      <c r="R923" s="7" t="str">
        <f t="shared" si="160"/>
        <v>Normal</v>
      </c>
      <c r="S923" s="5">
        <v>3</v>
      </c>
      <c r="T923" s="5">
        <v>2</v>
      </c>
      <c r="U923" s="5" t="str" cm="1">
        <f t="array" ref="U923">_xlfn.IFS(T923=1,"Poor",T923=2,"Fair",T923=3,"Good",T923=4,"Excellent")</f>
        <v>Fair</v>
      </c>
      <c r="V923" s="5" t="s">
        <v>35</v>
      </c>
      <c r="W923" s="5">
        <v>4</v>
      </c>
      <c r="X923" s="28">
        <f t="shared" ca="1" si="161"/>
        <v>44650</v>
      </c>
      <c r="Y923" s="28">
        <f t="shared" ca="1" si="162"/>
        <v>46842</v>
      </c>
      <c r="Z923" s="28" t="str">
        <f t="shared" ca="1" si="163"/>
        <v>Upcoming</v>
      </c>
      <c r="AA923" s="5" t="str" cm="1">
        <f t="array" ref="AA923">_xlfn.IFS(W923&gt;10,"Veteran",W923&gt;=6,"Experienced",W923&gt;=2,"Developing",W923&gt;=0,"New")</f>
        <v>Developing</v>
      </c>
      <c r="AB923" s="5" t="str" cm="1">
        <f t="array" ref="AB923">_xlfn.IFS(G923=1,"Junior",G923=2,"Mid-Level",G923=3,"Senior",G923=4,"Lead",G923=5,"Principal")&amp;" "&amp;TRIM(PROPER(H923))</f>
        <v>Junior Laboratory Technician</v>
      </c>
      <c r="AC923" s="19" t="str">
        <f t="shared" ca="1" si="164"/>
        <v>La-Res-2022-922 is a Junior Laboratory Technician in the Research &amp; Development department, aged 28, single and has been with the Company for 4years</v>
      </c>
    </row>
    <row r="924" spans="1:29">
      <c r="A924" s="18" t="str">
        <f t="shared" ca="1" si="154"/>
        <v>Ma-Res-2001-923</v>
      </c>
      <c r="B924" s="5">
        <v>44</v>
      </c>
      <c r="C924" s="5" t="str">
        <f t="shared" si="155"/>
        <v>40-49</v>
      </c>
      <c r="D924" s="5" t="s">
        <v>43</v>
      </c>
      <c r="E924" s="5" t="s">
        <v>45</v>
      </c>
      <c r="F924" s="5" t="s">
        <v>46</v>
      </c>
      <c r="G924" s="5">
        <v>5</v>
      </c>
      <c r="H924" s="5" t="s">
        <v>56</v>
      </c>
      <c r="I924" s="5" t="s">
        <v>52</v>
      </c>
      <c r="J924" s="7">
        <v>19190</v>
      </c>
      <c r="K924" s="7">
        <f t="shared" si="156"/>
        <v>5757</v>
      </c>
      <c r="L924" s="7">
        <f t="shared" si="157"/>
        <v>13433</v>
      </c>
      <c r="M924" s="7">
        <v>17477</v>
      </c>
      <c r="N924" s="5" t="s">
        <v>43</v>
      </c>
      <c r="O924" s="5">
        <v>14</v>
      </c>
      <c r="P924" s="7">
        <f t="shared" si="158"/>
        <v>21876.600000000002</v>
      </c>
      <c r="Q924" s="7">
        <f t="shared" si="159"/>
        <v>32239.200000000026</v>
      </c>
      <c r="R924" s="7" t="str">
        <f t="shared" si="160"/>
        <v>Normal</v>
      </c>
      <c r="S924" s="5">
        <v>3</v>
      </c>
      <c r="T924" s="5">
        <v>2</v>
      </c>
      <c r="U924" s="5" t="str" cm="1">
        <f t="array" ref="U924">_xlfn.IFS(T924=1,"Poor",T924=2,"Fair",T924=3,"Good",T924=4,"Excellent")</f>
        <v>Fair</v>
      </c>
      <c r="V924" s="5" t="s">
        <v>43</v>
      </c>
      <c r="W924" s="5">
        <v>25</v>
      </c>
      <c r="X924" s="28">
        <f t="shared" ca="1" si="161"/>
        <v>36980</v>
      </c>
      <c r="Y924" s="28">
        <f t="shared" ca="1" si="162"/>
        <v>46476</v>
      </c>
      <c r="Z924" s="28" t="str">
        <f t="shared" ca="1" si="163"/>
        <v>Due Soon</v>
      </c>
      <c r="AA924" s="5" t="str" cm="1">
        <f t="array" ref="AA924">_xlfn.IFS(W924&gt;10,"Veteran",W924&gt;=6,"Experienced",W924&gt;=2,"Developing",W924&gt;=0,"New")</f>
        <v>Veteran</v>
      </c>
      <c r="AB924" s="5" t="str" cm="1">
        <f t="array" ref="AB924">_xlfn.IFS(G924=1,"Junior",G924=2,"Mid-Level",G924=3,"Senior",G924=4,"Lead",G924=5,"Principal")&amp;" "&amp;TRIM(PROPER(H924))</f>
        <v>Principal Manager</v>
      </c>
      <c r="AC924" s="19" t="str">
        <f t="shared" ca="1" si="164"/>
        <v>Ma-Res-2001-923 is a Principal Manager in the Research &amp; Development department, aged 44, divorced and has been with the Company for 25years</v>
      </c>
    </row>
    <row r="925" spans="1:29">
      <c r="A925" s="18" t="str">
        <f t="shared" ca="1" si="154"/>
        <v>Hu-Hum-2016-924</v>
      </c>
      <c r="B925" s="5">
        <v>34</v>
      </c>
      <c r="C925" s="5" t="str">
        <f t="shared" si="155"/>
        <v>30-39</v>
      </c>
      <c r="D925" s="5" t="s">
        <v>43</v>
      </c>
      <c r="E925" s="5" t="s">
        <v>61</v>
      </c>
      <c r="F925" s="5" t="s">
        <v>46</v>
      </c>
      <c r="G925" s="5">
        <v>2</v>
      </c>
      <c r="H925" s="5" t="s">
        <v>61</v>
      </c>
      <c r="I925" s="5" t="s">
        <v>48</v>
      </c>
      <c r="J925" s="7">
        <v>4490</v>
      </c>
      <c r="K925" s="7">
        <f t="shared" si="156"/>
        <v>673.5</v>
      </c>
      <c r="L925" s="7">
        <f t="shared" si="157"/>
        <v>3816.5</v>
      </c>
      <c r="M925" s="7">
        <v>21833</v>
      </c>
      <c r="N925" s="5" t="s">
        <v>43</v>
      </c>
      <c r="O925" s="5">
        <v>11</v>
      </c>
      <c r="P925" s="7">
        <f t="shared" si="158"/>
        <v>4983.9000000000005</v>
      </c>
      <c r="Q925" s="7">
        <f t="shared" si="159"/>
        <v>5926.8000000000065</v>
      </c>
      <c r="R925" s="7" t="str">
        <f t="shared" si="160"/>
        <v>Normal</v>
      </c>
      <c r="S925" s="5">
        <v>3</v>
      </c>
      <c r="T925" s="5">
        <v>4</v>
      </c>
      <c r="U925" s="5" t="str" cm="1">
        <f t="array" ref="U925">_xlfn.IFS(T925=1,"Poor",T925=2,"Fair",T925=3,"Good",T925=4,"Excellent")</f>
        <v>Excellent</v>
      </c>
      <c r="V925" s="5" t="s">
        <v>43</v>
      </c>
      <c r="W925" s="5">
        <v>10</v>
      </c>
      <c r="X925" s="28">
        <f t="shared" ca="1" si="161"/>
        <v>42459</v>
      </c>
      <c r="Y925" s="28">
        <f t="shared" ca="1" si="162"/>
        <v>46842</v>
      </c>
      <c r="Z925" s="28" t="str">
        <f t="shared" ca="1" si="163"/>
        <v>Upcoming</v>
      </c>
      <c r="AA925" s="5" t="str" cm="1">
        <f t="array" ref="AA925">_xlfn.IFS(W925&gt;10,"Veteran",W925&gt;=6,"Experienced",W925&gt;=2,"Developing",W925&gt;=0,"New")</f>
        <v>Experienced</v>
      </c>
      <c r="AB925" s="5" t="str" cm="1">
        <f t="array" ref="AB925">_xlfn.IFS(G925=1,"Junior",G925=2,"Mid-Level",G925=3,"Senior",G925=4,"Lead",G925=5,"Principal")&amp;" "&amp;TRIM(PROPER(H925))</f>
        <v>Mid-Level Human Resources</v>
      </c>
      <c r="AC925" s="19" t="str">
        <f t="shared" ca="1" si="164"/>
        <v>Hu-Hum-2016-924 is a Mid-Level Human Resources in the Human Resources department, aged 34, married and has been with the Company for 10years</v>
      </c>
    </row>
    <row r="926" spans="1:29">
      <c r="A926" s="18" t="str">
        <f t="shared" ca="1" si="154"/>
        <v>Re-Res-2023-925</v>
      </c>
      <c r="B926" s="5">
        <v>35</v>
      </c>
      <c r="C926" s="5" t="str">
        <f t="shared" si="155"/>
        <v>30-39</v>
      </c>
      <c r="D926" s="5" t="s">
        <v>43</v>
      </c>
      <c r="E926" s="5" t="s">
        <v>45</v>
      </c>
      <c r="F926" s="5" t="s">
        <v>46</v>
      </c>
      <c r="G926" s="5">
        <v>1</v>
      </c>
      <c r="H926" s="5" t="s">
        <v>47</v>
      </c>
      <c r="I926" s="5" t="s">
        <v>48</v>
      </c>
      <c r="J926" s="7">
        <v>3506</v>
      </c>
      <c r="K926" s="7">
        <f t="shared" si="156"/>
        <v>525.9</v>
      </c>
      <c r="L926" s="7">
        <f t="shared" si="157"/>
        <v>2980.1</v>
      </c>
      <c r="M926" s="7">
        <v>6020</v>
      </c>
      <c r="N926" s="5" t="s">
        <v>35</v>
      </c>
      <c r="O926" s="5">
        <v>14</v>
      </c>
      <c r="P926" s="7">
        <f t="shared" si="158"/>
        <v>3996.8400000000006</v>
      </c>
      <c r="Q926" s="7">
        <f t="shared" si="159"/>
        <v>5890.0800000000072</v>
      </c>
      <c r="R926" s="7" t="str">
        <f t="shared" si="160"/>
        <v>Normal</v>
      </c>
      <c r="S926" s="5">
        <v>3</v>
      </c>
      <c r="T926" s="5">
        <v>3</v>
      </c>
      <c r="U926" s="5" t="str" cm="1">
        <f t="array" ref="U926">_xlfn.IFS(T926=1,"Poor",T926=2,"Fair",T926=3,"Good",T926=4,"Excellent")</f>
        <v>Good</v>
      </c>
      <c r="V926" s="5" t="s">
        <v>35</v>
      </c>
      <c r="W926" s="5">
        <v>3</v>
      </c>
      <c r="X926" s="28">
        <f t="shared" ca="1" si="161"/>
        <v>45015</v>
      </c>
      <c r="Y926" s="28">
        <f t="shared" ca="1" si="162"/>
        <v>46476</v>
      </c>
      <c r="Z926" s="28" t="str">
        <f t="shared" ca="1" si="163"/>
        <v>Due Soon</v>
      </c>
      <c r="AA926" s="5" t="str" cm="1">
        <f t="array" ref="AA926">_xlfn.IFS(W926&gt;10,"Veteran",W926&gt;=6,"Experienced",W926&gt;=2,"Developing",W926&gt;=0,"New")</f>
        <v>Developing</v>
      </c>
      <c r="AB926" s="5" t="str" cm="1">
        <f t="array" ref="AB926">_xlfn.IFS(G926=1,"Junior",G926=2,"Mid-Level",G926=3,"Senior",G926=4,"Lead",G926=5,"Principal")&amp;" "&amp;TRIM(PROPER(H926))</f>
        <v>Junior Research Scientist</v>
      </c>
      <c r="AC926" s="19" t="str">
        <f t="shared" ca="1" si="164"/>
        <v>Re-Res-2023-925 is a Junior Research Scientist in the Research &amp; Development department, aged 35, married and has been with the Company for 3years</v>
      </c>
    </row>
    <row r="927" spans="1:29">
      <c r="A927" s="18" t="str">
        <f t="shared" ca="1" si="154"/>
        <v>Re-Res-2025-926</v>
      </c>
      <c r="B927" s="5">
        <v>42</v>
      </c>
      <c r="C927" s="5" t="str">
        <f t="shared" si="155"/>
        <v>40-49</v>
      </c>
      <c r="D927" s="5" t="s">
        <v>43</v>
      </c>
      <c r="E927" s="5" t="s">
        <v>45</v>
      </c>
      <c r="F927" s="5" t="s">
        <v>39</v>
      </c>
      <c r="G927" s="5">
        <v>2</v>
      </c>
      <c r="H927" s="5" t="s">
        <v>47</v>
      </c>
      <c r="I927" s="5" t="s">
        <v>48</v>
      </c>
      <c r="J927" s="7">
        <v>2372</v>
      </c>
      <c r="K927" s="7">
        <f t="shared" si="156"/>
        <v>166.04000000000002</v>
      </c>
      <c r="L927" s="7">
        <f t="shared" si="157"/>
        <v>2205.96</v>
      </c>
      <c r="M927" s="7">
        <v>5628</v>
      </c>
      <c r="N927" s="5" t="s">
        <v>35</v>
      </c>
      <c r="O927" s="5">
        <v>16</v>
      </c>
      <c r="P927" s="7">
        <f t="shared" si="158"/>
        <v>2751.52</v>
      </c>
      <c r="Q927" s="7">
        <f t="shared" si="159"/>
        <v>4554.24</v>
      </c>
      <c r="R927" s="7" t="str">
        <f t="shared" si="160"/>
        <v>Normal</v>
      </c>
      <c r="S927" s="5">
        <v>3</v>
      </c>
      <c r="T927" s="5">
        <v>3</v>
      </c>
      <c r="U927" s="5" t="str" cm="1">
        <f t="array" ref="U927">_xlfn.IFS(T927=1,"Poor",T927=2,"Fair",T927=3,"Good",T927=4,"Excellent")</f>
        <v>Good</v>
      </c>
      <c r="V927" s="5" t="s">
        <v>35</v>
      </c>
      <c r="W927" s="5">
        <v>1</v>
      </c>
      <c r="X927" s="28">
        <f t="shared" ca="1" si="161"/>
        <v>45746</v>
      </c>
      <c r="Y927" s="28">
        <f t="shared" ca="1" si="162"/>
        <v>46476</v>
      </c>
      <c r="Z927" s="28" t="str">
        <f t="shared" ca="1" si="163"/>
        <v>Due Soon</v>
      </c>
      <c r="AA927" s="5" t="str" cm="1">
        <f t="array" ref="AA927">_xlfn.IFS(W927&gt;10,"Veteran",W927&gt;=6,"Experienced",W927&gt;=2,"Developing",W927&gt;=0,"New")</f>
        <v>New</v>
      </c>
      <c r="AB927" s="5" t="str" cm="1">
        <f t="array" ref="AB927">_xlfn.IFS(G927=1,"Junior",G927=2,"Mid-Level",G927=3,"Senior",G927=4,"Lead",G927=5,"Principal")&amp;" "&amp;TRIM(PROPER(H927))</f>
        <v>Mid-Level Research Scientist</v>
      </c>
      <c r="AC927" s="19" t="str">
        <f t="shared" ca="1" si="164"/>
        <v>Re-Res-2025-926 is a Mid-Level Research Scientist in the Research &amp; Development department, aged 42, married and has been with the Company for 1years</v>
      </c>
    </row>
    <row r="928" spans="1:29">
      <c r="A928" s="18" t="str">
        <f t="shared" ca="1" si="154"/>
        <v>Sa-Sal-2005-927</v>
      </c>
      <c r="B928" s="5">
        <v>43</v>
      </c>
      <c r="C928" s="5" t="str">
        <f t="shared" si="155"/>
        <v>40-49</v>
      </c>
      <c r="D928" s="5" t="s">
        <v>43</v>
      </c>
      <c r="E928" s="5" t="s">
        <v>37</v>
      </c>
      <c r="F928" s="5" t="s">
        <v>39</v>
      </c>
      <c r="G928" s="5">
        <v>3</v>
      </c>
      <c r="H928" s="5" t="s">
        <v>40</v>
      </c>
      <c r="I928" s="5" t="s">
        <v>41</v>
      </c>
      <c r="J928" s="7">
        <v>10231</v>
      </c>
      <c r="K928" s="7">
        <f t="shared" si="156"/>
        <v>2250.8200000000002</v>
      </c>
      <c r="L928" s="7">
        <f t="shared" si="157"/>
        <v>7980.18</v>
      </c>
      <c r="M928" s="7">
        <v>20364</v>
      </c>
      <c r="N928" s="5" t="s">
        <v>43</v>
      </c>
      <c r="O928" s="5">
        <v>14</v>
      </c>
      <c r="P928" s="7">
        <f t="shared" si="158"/>
        <v>11663.340000000002</v>
      </c>
      <c r="Q928" s="7">
        <f t="shared" si="159"/>
        <v>17188.080000000024</v>
      </c>
      <c r="R928" s="7" t="str">
        <f t="shared" si="160"/>
        <v>Normal</v>
      </c>
      <c r="S928" s="5">
        <v>3</v>
      </c>
      <c r="T928" s="5">
        <v>4</v>
      </c>
      <c r="U928" s="5" t="str" cm="1">
        <f t="array" ref="U928">_xlfn.IFS(T928=1,"Poor",T928=2,"Fair",T928=3,"Good",T928=4,"Excellent")</f>
        <v>Excellent</v>
      </c>
      <c r="V928" s="5" t="s">
        <v>43</v>
      </c>
      <c r="W928" s="5">
        <v>21</v>
      </c>
      <c r="X928" s="28">
        <f t="shared" ca="1" si="161"/>
        <v>38441</v>
      </c>
      <c r="Y928" s="28">
        <f t="shared" ca="1" si="162"/>
        <v>46476</v>
      </c>
      <c r="Z928" s="28" t="str">
        <f t="shared" ca="1" si="163"/>
        <v>Due Soon</v>
      </c>
      <c r="AA928" s="5" t="str" cm="1">
        <f t="array" ref="AA928">_xlfn.IFS(W928&gt;10,"Veteran",W928&gt;=6,"Experienced",W928&gt;=2,"Developing",W928&gt;=0,"New")</f>
        <v>Veteran</v>
      </c>
      <c r="AB928" s="5" t="str" cm="1">
        <f t="array" ref="AB928">_xlfn.IFS(G928=1,"Junior",G928=2,"Mid-Level",G928=3,"Senior",G928=4,"Lead",G928=5,"Principal")&amp;" "&amp;TRIM(PROPER(H928))</f>
        <v>Senior Sales Executive</v>
      </c>
      <c r="AC928" s="19" t="str">
        <f t="shared" ca="1" si="164"/>
        <v>Sa-Sal-2005-927 is a Senior Sales Executive in the Sales department, aged 43, single and has been with the Company for 21years</v>
      </c>
    </row>
    <row r="929" spans="1:29">
      <c r="A929" s="18" t="str">
        <f t="shared" ca="1" si="154"/>
        <v>Ma-Res-2010-928</v>
      </c>
      <c r="B929" s="5">
        <v>36</v>
      </c>
      <c r="C929" s="5" t="str">
        <f t="shared" si="155"/>
        <v>30-39</v>
      </c>
      <c r="D929" s="5" t="s">
        <v>43</v>
      </c>
      <c r="E929" s="5" t="s">
        <v>45</v>
      </c>
      <c r="F929" s="5" t="s">
        <v>39</v>
      </c>
      <c r="G929" s="5">
        <v>2</v>
      </c>
      <c r="H929" s="5" t="s">
        <v>53</v>
      </c>
      <c r="I929" s="5" t="s">
        <v>41</v>
      </c>
      <c r="J929" s="7">
        <v>5410</v>
      </c>
      <c r="K929" s="7">
        <f t="shared" si="156"/>
        <v>811.5</v>
      </c>
      <c r="L929" s="7">
        <f t="shared" si="157"/>
        <v>4598.5</v>
      </c>
      <c r="M929" s="7">
        <v>2323</v>
      </c>
      <c r="N929" s="5" t="s">
        <v>35</v>
      </c>
      <c r="O929" s="5">
        <v>11</v>
      </c>
      <c r="P929" s="7">
        <f t="shared" si="158"/>
        <v>6005.1</v>
      </c>
      <c r="Q929" s="7">
        <f t="shared" si="159"/>
        <v>7141.2000000000044</v>
      </c>
      <c r="R929" s="7" t="str">
        <f t="shared" si="160"/>
        <v>Normal</v>
      </c>
      <c r="S929" s="5">
        <v>3</v>
      </c>
      <c r="T929" s="5">
        <v>3</v>
      </c>
      <c r="U929" s="5" t="str" cm="1">
        <f t="array" ref="U929">_xlfn.IFS(T929=1,"Poor",T929=2,"Fair",T929=3,"Good",T929=4,"Excellent")</f>
        <v>Good</v>
      </c>
      <c r="V929" s="5" t="s">
        <v>35</v>
      </c>
      <c r="W929" s="5">
        <v>16</v>
      </c>
      <c r="X929" s="28">
        <f t="shared" ca="1" si="161"/>
        <v>40267</v>
      </c>
      <c r="Y929" s="28">
        <f t="shared" ca="1" si="162"/>
        <v>46842</v>
      </c>
      <c r="Z929" s="28" t="str">
        <f t="shared" ca="1" si="163"/>
        <v>Upcoming</v>
      </c>
      <c r="AA929" s="5" t="str" cm="1">
        <f t="array" ref="AA929">_xlfn.IFS(W929&gt;10,"Veteran",W929&gt;=6,"Experienced",W929&gt;=2,"Developing",W929&gt;=0,"New")</f>
        <v>Veteran</v>
      </c>
      <c r="AB929" s="5" t="str" cm="1">
        <f t="array" ref="AB929">_xlfn.IFS(G929=1,"Junior",G929=2,"Mid-Level",G929=3,"Senior",G929=4,"Lead",G929=5,"Principal")&amp;" "&amp;TRIM(PROPER(H929))</f>
        <v>Mid-Level Manufacturing Director</v>
      </c>
      <c r="AC929" s="19" t="str">
        <f t="shared" ca="1" si="164"/>
        <v>Ma-Res-2010-928 is a Mid-Level Manufacturing Director in the Research &amp; Development department, aged 36, single and has been with the Company for 16years</v>
      </c>
    </row>
    <row r="930" spans="1:29">
      <c r="A930" s="18" t="str">
        <f t="shared" ca="1" si="154"/>
        <v>He-Res-2016-929</v>
      </c>
      <c r="B930" s="5">
        <v>44</v>
      </c>
      <c r="C930" s="5" t="str">
        <f t="shared" si="155"/>
        <v>40-49</v>
      </c>
      <c r="D930" s="5" t="s">
        <v>35</v>
      </c>
      <c r="E930" s="5" t="s">
        <v>45</v>
      </c>
      <c r="F930" s="5" t="s">
        <v>39</v>
      </c>
      <c r="G930" s="5">
        <v>3</v>
      </c>
      <c r="H930" s="5" t="s">
        <v>54</v>
      </c>
      <c r="I930" s="5" t="s">
        <v>48</v>
      </c>
      <c r="J930" s="7">
        <v>7978</v>
      </c>
      <c r="K930" s="7">
        <f t="shared" si="156"/>
        <v>1755.16</v>
      </c>
      <c r="L930" s="7">
        <f t="shared" si="157"/>
        <v>6222.84</v>
      </c>
      <c r="M930" s="7">
        <v>14075</v>
      </c>
      <c r="N930" s="5" t="s">
        <v>43</v>
      </c>
      <c r="O930" s="5">
        <v>11</v>
      </c>
      <c r="P930" s="7">
        <f t="shared" si="158"/>
        <v>8855.58</v>
      </c>
      <c r="Q930" s="7">
        <f t="shared" si="159"/>
        <v>10530.96</v>
      </c>
      <c r="R930" s="7" t="str">
        <f t="shared" si="160"/>
        <v>Normal</v>
      </c>
      <c r="S930" s="5">
        <v>3</v>
      </c>
      <c r="T930" s="5">
        <v>3</v>
      </c>
      <c r="U930" s="5" t="str" cm="1">
        <f t="array" ref="U930">_xlfn.IFS(T930=1,"Poor",T930=2,"Fair",T930=3,"Good",T930=4,"Excellent")</f>
        <v>Good</v>
      </c>
      <c r="V930" s="5" t="s">
        <v>43</v>
      </c>
      <c r="W930" s="5">
        <v>10</v>
      </c>
      <c r="X930" s="28">
        <f t="shared" ca="1" si="161"/>
        <v>42459</v>
      </c>
      <c r="Y930" s="28">
        <f t="shared" ca="1" si="162"/>
        <v>46842</v>
      </c>
      <c r="Z930" s="28" t="str">
        <f t="shared" ca="1" si="163"/>
        <v>Upcoming</v>
      </c>
      <c r="AA930" s="5" t="str" cm="1">
        <f t="array" ref="AA930">_xlfn.IFS(W930&gt;10,"Veteran",W930&gt;=6,"Experienced",W930&gt;=2,"Developing",W930&gt;=0,"New")</f>
        <v>Experienced</v>
      </c>
      <c r="AB930" s="5" t="str" cm="1">
        <f t="array" ref="AB930">_xlfn.IFS(G930=1,"Junior",G930=2,"Mid-Level",G930=3,"Senior",G930=4,"Lead",G930=5,"Principal")&amp;" "&amp;TRIM(PROPER(H930))</f>
        <v>Senior Healthcare Representative</v>
      </c>
      <c r="AC930" s="19" t="str">
        <f t="shared" ca="1" si="164"/>
        <v>He-Res-2016-929 is a Senior Healthcare Representative in the Research &amp; Development department, aged 44, married and has been with the Company for 10years</v>
      </c>
    </row>
    <row r="931" spans="1:29">
      <c r="A931" s="18" t="str">
        <f t="shared" ca="1" si="154"/>
        <v>La-Res-2024-930</v>
      </c>
      <c r="B931" s="5">
        <v>28</v>
      </c>
      <c r="C931" s="5" t="str">
        <f t="shared" si="155"/>
        <v>20-29</v>
      </c>
      <c r="D931" s="5" t="s">
        <v>43</v>
      </c>
      <c r="E931" s="5" t="s">
        <v>45</v>
      </c>
      <c r="F931" s="5" t="s">
        <v>46</v>
      </c>
      <c r="G931" s="5">
        <v>1</v>
      </c>
      <c r="H931" s="5" t="s">
        <v>50</v>
      </c>
      <c r="I931" s="5" t="s">
        <v>48</v>
      </c>
      <c r="J931" s="7">
        <v>3867</v>
      </c>
      <c r="K931" s="7">
        <f t="shared" si="156"/>
        <v>580.04999999999995</v>
      </c>
      <c r="L931" s="7">
        <f t="shared" si="157"/>
        <v>3286.95</v>
      </c>
      <c r="M931" s="7">
        <v>14222</v>
      </c>
      <c r="N931" s="5" t="s">
        <v>35</v>
      </c>
      <c r="O931" s="5">
        <v>12</v>
      </c>
      <c r="P931" s="7">
        <f t="shared" si="158"/>
        <v>4331.04</v>
      </c>
      <c r="Q931" s="7">
        <f t="shared" si="159"/>
        <v>5568.48</v>
      </c>
      <c r="R931" s="7" t="str">
        <f t="shared" si="160"/>
        <v>Normal</v>
      </c>
      <c r="S931" s="5">
        <v>3</v>
      </c>
      <c r="T931" s="5">
        <v>3</v>
      </c>
      <c r="U931" s="5" t="str" cm="1">
        <f t="array" ref="U931">_xlfn.IFS(T931=1,"Poor",T931=2,"Fair",T931=3,"Good",T931=4,"Excellent")</f>
        <v>Good</v>
      </c>
      <c r="V931" s="5" t="s">
        <v>35</v>
      </c>
      <c r="W931" s="5">
        <v>2</v>
      </c>
      <c r="X931" s="28">
        <f t="shared" ca="1" si="161"/>
        <v>45381</v>
      </c>
      <c r="Y931" s="28">
        <f t="shared" ca="1" si="162"/>
        <v>46842</v>
      </c>
      <c r="Z931" s="28" t="str">
        <f t="shared" ca="1" si="163"/>
        <v>Upcoming</v>
      </c>
      <c r="AA931" s="5" t="str" cm="1">
        <f t="array" ref="AA931">_xlfn.IFS(W931&gt;10,"Veteran",W931&gt;=6,"Experienced",W931&gt;=2,"Developing",W931&gt;=0,"New")</f>
        <v>Developing</v>
      </c>
      <c r="AB931" s="5" t="str" cm="1">
        <f t="array" ref="AB931">_xlfn.IFS(G931=1,"Junior",G931=2,"Mid-Level",G931=3,"Senior",G931=4,"Lead",G931=5,"Principal")&amp;" "&amp;TRIM(PROPER(H931))</f>
        <v>Junior Laboratory Technician</v>
      </c>
      <c r="AC931" s="19" t="str">
        <f t="shared" ca="1" si="164"/>
        <v>La-Res-2024-930 is a Junior Laboratory Technician in the Research &amp; Development department, aged 28, married and has been with the Company for 2years</v>
      </c>
    </row>
    <row r="932" spans="1:29">
      <c r="A932" s="18" t="str">
        <f t="shared" ca="1" si="154"/>
        <v>La-Res-2019-931</v>
      </c>
      <c r="B932" s="5">
        <v>51</v>
      </c>
      <c r="C932" s="5" t="str">
        <f t="shared" si="155"/>
        <v>50+</v>
      </c>
      <c r="D932" s="5" t="s">
        <v>43</v>
      </c>
      <c r="E932" s="5" t="s">
        <v>45</v>
      </c>
      <c r="F932" s="5" t="s">
        <v>39</v>
      </c>
      <c r="G932" s="5">
        <v>1</v>
      </c>
      <c r="H932" s="5" t="s">
        <v>50</v>
      </c>
      <c r="I932" s="5" t="s">
        <v>41</v>
      </c>
      <c r="J932" s="7">
        <v>2838</v>
      </c>
      <c r="K932" s="7">
        <f t="shared" si="156"/>
        <v>198.66000000000003</v>
      </c>
      <c r="L932" s="7">
        <f t="shared" si="157"/>
        <v>2639.34</v>
      </c>
      <c r="M932" s="7">
        <v>4257</v>
      </c>
      <c r="N932" s="5" t="s">
        <v>43</v>
      </c>
      <c r="O932" s="5">
        <v>14</v>
      </c>
      <c r="P932" s="7">
        <f t="shared" si="158"/>
        <v>3235.32</v>
      </c>
      <c r="Q932" s="7">
        <f t="shared" si="159"/>
        <v>4767.840000000002</v>
      </c>
      <c r="R932" s="7" t="str">
        <f t="shared" si="160"/>
        <v>Normal</v>
      </c>
      <c r="S932" s="5">
        <v>3</v>
      </c>
      <c r="T932" s="5">
        <v>2</v>
      </c>
      <c r="U932" s="5" t="str" cm="1">
        <f t="array" ref="U932">_xlfn.IFS(T932=1,"Poor",T932=2,"Fair",T932=3,"Good",T932=4,"Excellent")</f>
        <v>Fair</v>
      </c>
      <c r="V932" s="5" t="s">
        <v>43</v>
      </c>
      <c r="W932" s="5">
        <v>7</v>
      </c>
      <c r="X932" s="28">
        <f t="shared" ca="1" si="161"/>
        <v>43554</v>
      </c>
      <c r="Y932" s="28">
        <f t="shared" ca="1" si="162"/>
        <v>46476</v>
      </c>
      <c r="Z932" s="28" t="str">
        <f t="shared" ca="1" si="163"/>
        <v>Due Soon</v>
      </c>
      <c r="AA932" s="5" t="str" cm="1">
        <f t="array" ref="AA932">_xlfn.IFS(W932&gt;10,"Veteran",W932&gt;=6,"Experienced",W932&gt;=2,"Developing",W932&gt;=0,"New")</f>
        <v>Experienced</v>
      </c>
      <c r="AB932" s="5" t="str" cm="1">
        <f t="array" ref="AB932">_xlfn.IFS(G932=1,"Junior",G932=2,"Mid-Level",G932=3,"Senior",G932=4,"Lead",G932=5,"Principal")&amp;" "&amp;TRIM(PROPER(H932))</f>
        <v>Junior Laboratory Technician</v>
      </c>
      <c r="AC932" s="19" t="str">
        <f t="shared" ca="1" si="164"/>
        <v>La-Res-2019-931 is a Junior Laboratory Technician in the Research &amp; Development department, aged 51, single and has been with the Company for 7years</v>
      </c>
    </row>
    <row r="933" spans="1:29">
      <c r="A933" s="18" t="str">
        <f t="shared" ca="1" si="154"/>
        <v>Ma-Res-2018-932</v>
      </c>
      <c r="B933" s="5">
        <v>30</v>
      </c>
      <c r="C933" s="5" t="str">
        <f t="shared" si="155"/>
        <v>30-39</v>
      </c>
      <c r="D933" s="5" t="s">
        <v>43</v>
      </c>
      <c r="E933" s="5" t="s">
        <v>45</v>
      </c>
      <c r="F933" s="5" t="s">
        <v>39</v>
      </c>
      <c r="G933" s="5">
        <v>2</v>
      </c>
      <c r="H933" s="5" t="s">
        <v>53</v>
      </c>
      <c r="I933" s="5" t="s">
        <v>41</v>
      </c>
      <c r="J933" s="7">
        <v>4695</v>
      </c>
      <c r="K933" s="7">
        <f t="shared" si="156"/>
        <v>704.25</v>
      </c>
      <c r="L933" s="7">
        <f t="shared" si="157"/>
        <v>3990.75</v>
      </c>
      <c r="M933" s="7">
        <v>12858</v>
      </c>
      <c r="N933" s="5" t="s">
        <v>35</v>
      </c>
      <c r="O933" s="5">
        <v>18</v>
      </c>
      <c r="P933" s="7">
        <f t="shared" si="158"/>
        <v>5540.0999999999995</v>
      </c>
      <c r="Q933" s="7">
        <f t="shared" si="159"/>
        <v>10141.199999999993</v>
      </c>
      <c r="R933" s="7" t="str">
        <f t="shared" si="160"/>
        <v>Normal</v>
      </c>
      <c r="S933" s="5">
        <v>3</v>
      </c>
      <c r="T933" s="5">
        <v>3</v>
      </c>
      <c r="U933" s="5" t="str" cm="1">
        <f t="array" ref="U933">_xlfn.IFS(T933=1,"Poor",T933=2,"Fair",T933=3,"Good",T933=4,"Excellent")</f>
        <v>Good</v>
      </c>
      <c r="V933" s="5" t="s">
        <v>35</v>
      </c>
      <c r="W933" s="5">
        <v>8</v>
      </c>
      <c r="X933" s="28">
        <f t="shared" ca="1" si="161"/>
        <v>43189</v>
      </c>
      <c r="Y933" s="28">
        <f t="shared" ca="1" si="162"/>
        <v>46842</v>
      </c>
      <c r="Z933" s="28" t="str">
        <f t="shared" ca="1" si="163"/>
        <v>Upcoming</v>
      </c>
      <c r="AA933" s="5" t="str" cm="1">
        <f t="array" ref="AA933">_xlfn.IFS(W933&gt;10,"Veteran",W933&gt;=6,"Experienced",W933&gt;=2,"Developing",W933&gt;=0,"New")</f>
        <v>Experienced</v>
      </c>
      <c r="AB933" s="5" t="str" cm="1">
        <f t="array" ref="AB933">_xlfn.IFS(G933=1,"Junior",G933=2,"Mid-Level",G933=3,"Senior",G933=4,"Lead",G933=5,"Principal")&amp;" "&amp;TRIM(PROPER(H933))</f>
        <v>Mid-Level Manufacturing Director</v>
      </c>
      <c r="AC933" s="19" t="str">
        <f t="shared" ca="1" si="164"/>
        <v>Ma-Res-2018-932 is a Mid-Level Manufacturing Director in the Research &amp; Development department, aged 30, single and has been with the Company for 8years</v>
      </c>
    </row>
    <row r="934" spans="1:29">
      <c r="A934" s="18" t="str">
        <f t="shared" ca="1" si="154"/>
        <v>La-Res-2019-933</v>
      </c>
      <c r="B934" s="5">
        <v>29</v>
      </c>
      <c r="C934" s="5" t="str">
        <f t="shared" si="155"/>
        <v>20-29</v>
      </c>
      <c r="D934" s="5" t="s">
        <v>35</v>
      </c>
      <c r="E934" s="5" t="s">
        <v>45</v>
      </c>
      <c r="F934" s="5" t="s">
        <v>39</v>
      </c>
      <c r="G934" s="5">
        <v>1</v>
      </c>
      <c r="H934" s="5" t="s">
        <v>50</v>
      </c>
      <c r="I934" s="5" t="s">
        <v>52</v>
      </c>
      <c r="J934" s="7">
        <v>3339</v>
      </c>
      <c r="K934" s="7">
        <f t="shared" si="156"/>
        <v>500.84999999999997</v>
      </c>
      <c r="L934" s="7">
        <f t="shared" si="157"/>
        <v>2838.15</v>
      </c>
      <c r="M934" s="7">
        <v>17285</v>
      </c>
      <c r="N934" s="5" t="s">
        <v>35</v>
      </c>
      <c r="O934" s="5">
        <v>13</v>
      </c>
      <c r="P934" s="7">
        <f t="shared" si="158"/>
        <v>3773.0699999999997</v>
      </c>
      <c r="Q934" s="7">
        <f t="shared" si="159"/>
        <v>5208.8399999999965</v>
      </c>
      <c r="R934" s="7" t="str">
        <f t="shared" si="160"/>
        <v>Normal</v>
      </c>
      <c r="S934" s="5">
        <v>3</v>
      </c>
      <c r="T934" s="5">
        <v>3</v>
      </c>
      <c r="U934" s="5" t="str" cm="1">
        <f t="array" ref="U934">_xlfn.IFS(T934=1,"Poor",T934=2,"Fair",T934=3,"Good",T934=4,"Excellent")</f>
        <v>Good</v>
      </c>
      <c r="V934" s="5" t="s">
        <v>35</v>
      </c>
      <c r="W934" s="5">
        <v>7</v>
      </c>
      <c r="X934" s="28">
        <f t="shared" ca="1" si="161"/>
        <v>43554</v>
      </c>
      <c r="Y934" s="28">
        <f t="shared" ca="1" si="162"/>
        <v>46476</v>
      </c>
      <c r="Z934" s="28" t="str">
        <f t="shared" ca="1" si="163"/>
        <v>Due Soon</v>
      </c>
      <c r="AA934" s="5" t="str" cm="1">
        <f t="array" ref="AA934">_xlfn.IFS(W934&gt;10,"Veteran",W934&gt;=6,"Experienced",W934&gt;=2,"Developing",W934&gt;=0,"New")</f>
        <v>Experienced</v>
      </c>
      <c r="AB934" s="5" t="str" cm="1">
        <f t="array" ref="AB934">_xlfn.IFS(G934=1,"Junior",G934=2,"Mid-Level",G934=3,"Senior",G934=4,"Lead",G934=5,"Principal")&amp;" "&amp;TRIM(PROPER(H934))</f>
        <v>Junior Laboratory Technician</v>
      </c>
      <c r="AC934" s="19" t="str">
        <f t="shared" ca="1" si="164"/>
        <v>La-Res-2019-933 is a Junior Laboratory Technician in the Research &amp; Development department, aged 29, divorced and has been with the Company for 7years</v>
      </c>
    </row>
    <row r="935" spans="1:29">
      <c r="A935" s="18" t="str">
        <f t="shared" ca="1" si="154"/>
        <v>Re-Res-2023-934</v>
      </c>
      <c r="B935" s="5">
        <v>28</v>
      </c>
      <c r="C935" s="5" t="str">
        <f t="shared" si="155"/>
        <v>20-29</v>
      </c>
      <c r="D935" s="5" t="s">
        <v>43</v>
      </c>
      <c r="E935" s="5" t="s">
        <v>45</v>
      </c>
      <c r="F935" s="5" t="s">
        <v>46</v>
      </c>
      <c r="G935" s="5">
        <v>1</v>
      </c>
      <c r="H935" s="5" t="s">
        <v>47</v>
      </c>
      <c r="I935" s="5" t="s">
        <v>41</v>
      </c>
      <c r="J935" s="7">
        <v>2080</v>
      </c>
      <c r="K935" s="7">
        <f t="shared" si="156"/>
        <v>145.60000000000002</v>
      </c>
      <c r="L935" s="7">
        <f t="shared" si="157"/>
        <v>1934.4</v>
      </c>
      <c r="M935" s="7">
        <v>4732</v>
      </c>
      <c r="N935" s="5" t="s">
        <v>43</v>
      </c>
      <c r="O935" s="5">
        <v>11</v>
      </c>
      <c r="P935" s="7">
        <f t="shared" si="158"/>
        <v>2308.8000000000002</v>
      </c>
      <c r="Q935" s="7">
        <f t="shared" si="159"/>
        <v>2745.6000000000022</v>
      </c>
      <c r="R935" s="7" t="str">
        <f t="shared" si="160"/>
        <v>Normal</v>
      </c>
      <c r="S935" s="5">
        <v>3</v>
      </c>
      <c r="T935" s="5">
        <v>2</v>
      </c>
      <c r="U935" s="5" t="str" cm="1">
        <f t="array" ref="U935">_xlfn.IFS(T935=1,"Poor",T935=2,"Fair",T935=3,"Good",T935=4,"Excellent")</f>
        <v>Fair</v>
      </c>
      <c r="V935" s="5" t="s">
        <v>43</v>
      </c>
      <c r="W935" s="5">
        <v>3</v>
      </c>
      <c r="X935" s="28">
        <f t="shared" ca="1" si="161"/>
        <v>45015</v>
      </c>
      <c r="Y935" s="28">
        <f t="shared" ca="1" si="162"/>
        <v>46476</v>
      </c>
      <c r="Z935" s="28" t="str">
        <f t="shared" ca="1" si="163"/>
        <v>Due Soon</v>
      </c>
      <c r="AA935" s="5" t="str" cm="1">
        <f t="array" ref="AA935">_xlfn.IFS(W935&gt;10,"Veteran",W935&gt;=6,"Experienced",W935&gt;=2,"Developing",W935&gt;=0,"New")</f>
        <v>Developing</v>
      </c>
      <c r="AB935" s="5" t="str" cm="1">
        <f t="array" ref="AB935">_xlfn.IFS(G935=1,"Junior",G935=2,"Mid-Level",G935=3,"Senior",G935=4,"Lead",G935=5,"Principal")&amp;" "&amp;TRIM(PROPER(H935))</f>
        <v>Junior Research Scientist</v>
      </c>
      <c r="AC935" s="19" t="str">
        <f t="shared" ca="1" si="164"/>
        <v>Re-Res-2023-934 is a Junior Research Scientist in the Research &amp; Development department, aged 28, single and has been with the Company for 3years</v>
      </c>
    </row>
    <row r="936" spans="1:29">
      <c r="A936" s="18" t="str">
        <f t="shared" ca="1" si="154"/>
        <v>Re-Res-2024-935</v>
      </c>
      <c r="B936" s="5">
        <v>25</v>
      </c>
      <c r="C936" s="5" t="str">
        <f t="shared" si="155"/>
        <v>20-29</v>
      </c>
      <c r="D936" s="5" t="s">
        <v>43</v>
      </c>
      <c r="E936" s="5" t="s">
        <v>45</v>
      </c>
      <c r="F936" s="5" t="s">
        <v>39</v>
      </c>
      <c r="G936" s="5">
        <v>1</v>
      </c>
      <c r="H936" s="5" t="s">
        <v>47</v>
      </c>
      <c r="I936" s="5" t="s">
        <v>41</v>
      </c>
      <c r="J936" s="7">
        <v>2096</v>
      </c>
      <c r="K936" s="7">
        <f t="shared" si="156"/>
        <v>146.72000000000003</v>
      </c>
      <c r="L936" s="7">
        <f t="shared" si="157"/>
        <v>1949.28</v>
      </c>
      <c r="M936" s="7">
        <v>18830</v>
      </c>
      <c r="N936" s="5" t="s">
        <v>43</v>
      </c>
      <c r="O936" s="5">
        <v>18</v>
      </c>
      <c r="P936" s="7">
        <f t="shared" si="158"/>
        <v>2473.2799999999997</v>
      </c>
      <c r="Q936" s="7">
        <f t="shared" si="159"/>
        <v>4527.3599999999969</v>
      </c>
      <c r="R936" s="7" t="str">
        <f t="shared" si="160"/>
        <v>Normal</v>
      </c>
      <c r="S936" s="5">
        <v>3</v>
      </c>
      <c r="T936" s="5">
        <v>2</v>
      </c>
      <c r="U936" s="5" t="str" cm="1">
        <f t="array" ref="U936">_xlfn.IFS(T936=1,"Poor",T936=2,"Fair",T936=3,"Good",T936=4,"Excellent")</f>
        <v>Fair</v>
      </c>
      <c r="V936" s="5" t="s">
        <v>43</v>
      </c>
      <c r="W936" s="5">
        <v>2</v>
      </c>
      <c r="X936" s="28">
        <f t="shared" ca="1" si="161"/>
        <v>45381</v>
      </c>
      <c r="Y936" s="28">
        <f t="shared" ca="1" si="162"/>
        <v>46842</v>
      </c>
      <c r="Z936" s="28" t="str">
        <f t="shared" ca="1" si="163"/>
        <v>Upcoming</v>
      </c>
      <c r="AA936" s="5" t="str" cm="1">
        <f t="array" ref="AA936">_xlfn.IFS(W936&gt;10,"Veteran",W936&gt;=6,"Experienced",W936&gt;=2,"Developing",W936&gt;=0,"New")</f>
        <v>Developing</v>
      </c>
      <c r="AB936" s="5" t="str" cm="1">
        <f t="array" ref="AB936">_xlfn.IFS(G936=1,"Junior",G936=2,"Mid-Level",G936=3,"Senior",G936=4,"Lead",G936=5,"Principal")&amp;" "&amp;TRIM(PROPER(H936))</f>
        <v>Junior Research Scientist</v>
      </c>
      <c r="AC936" s="19" t="str">
        <f t="shared" ca="1" si="164"/>
        <v>Re-Res-2024-935 is a Junior Research Scientist in the Research &amp; Development department, aged 25, single and has been with the Company for 2years</v>
      </c>
    </row>
    <row r="937" spans="1:29">
      <c r="A937" s="18" t="str">
        <f t="shared" ca="1" si="154"/>
        <v>Sa-Sal-2016-936</v>
      </c>
      <c r="B937" s="5">
        <v>32</v>
      </c>
      <c r="C937" s="5" t="str">
        <f t="shared" si="155"/>
        <v>30-39</v>
      </c>
      <c r="D937" s="5" t="s">
        <v>43</v>
      </c>
      <c r="E937" s="5" t="s">
        <v>37</v>
      </c>
      <c r="F937" s="5" t="s">
        <v>46</v>
      </c>
      <c r="G937" s="5">
        <v>2</v>
      </c>
      <c r="H937" s="5" t="s">
        <v>40</v>
      </c>
      <c r="I937" s="5" t="s">
        <v>48</v>
      </c>
      <c r="J937" s="7">
        <v>6209</v>
      </c>
      <c r="K937" s="7">
        <f t="shared" si="156"/>
        <v>931.34999999999991</v>
      </c>
      <c r="L937" s="7">
        <f t="shared" si="157"/>
        <v>5277.65</v>
      </c>
      <c r="M937" s="7">
        <v>11693</v>
      </c>
      <c r="N937" s="5" t="s">
        <v>43</v>
      </c>
      <c r="O937" s="5">
        <v>15</v>
      </c>
      <c r="P937" s="7">
        <f t="shared" si="158"/>
        <v>7140.3499999999995</v>
      </c>
      <c r="Q937" s="7">
        <f t="shared" si="159"/>
        <v>11176.199999999993</v>
      </c>
      <c r="R937" s="7" t="str">
        <f t="shared" si="160"/>
        <v>Normal</v>
      </c>
      <c r="S937" s="5">
        <v>3</v>
      </c>
      <c r="T937" s="5">
        <v>4</v>
      </c>
      <c r="U937" s="5" t="str" cm="1">
        <f t="array" ref="U937">_xlfn.IFS(T937=1,"Poor",T937=2,"Fair",T937=3,"Good",T937=4,"Excellent")</f>
        <v>Excellent</v>
      </c>
      <c r="V937" s="5" t="s">
        <v>43</v>
      </c>
      <c r="W937" s="5">
        <v>10</v>
      </c>
      <c r="X937" s="28">
        <f t="shared" ca="1" si="161"/>
        <v>42459</v>
      </c>
      <c r="Y937" s="28">
        <f t="shared" ca="1" si="162"/>
        <v>46842</v>
      </c>
      <c r="Z937" s="28" t="str">
        <f t="shared" ca="1" si="163"/>
        <v>Upcoming</v>
      </c>
      <c r="AA937" s="5" t="str" cm="1">
        <f t="array" ref="AA937">_xlfn.IFS(W937&gt;10,"Veteran",W937&gt;=6,"Experienced",W937&gt;=2,"Developing",W937&gt;=0,"New")</f>
        <v>Experienced</v>
      </c>
      <c r="AB937" s="5" t="str" cm="1">
        <f t="array" ref="AB937">_xlfn.IFS(G937=1,"Junior",G937=2,"Mid-Level",G937=3,"Senior",G937=4,"Lead",G937=5,"Principal")&amp;" "&amp;TRIM(PROPER(H937))</f>
        <v>Mid-Level Sales Executive</v>
      </c>
      <c r="AC937" s="19" t="str">
        <f t="shared" ca="1" si="164"/>
        <v>Sa-Sal-2016-936 is a Mid-Level Sales Executive in the Sales department, aged 32, married and has been with the Company for 10years</v>
      </c>
    </row>
    <row r="938" spans="1:29">
      <c r="A938" s="18" t="str">
        <f t="shared" ca="1" si="154"/>
        <v>Ma-Res-2026-937</v>
      </c>
      <c r="B938" s="5">
        <v>45</v>
      </c>
      <c r="C938" s="5" t="str">
        <f t="shared" si="155"/>
        <v>40-49</v>
      </c>
      <c r="D938" s="5" t="s">
        <v>43</v>
      </c>
      <c r="E938" s="5" t="s">
        <v>45</v>
      </c>
      <c r="F938" s="5" t="s">
        <v>39</v>
      </c>
      <c r="G938" s="5">
        <v>5</v>
      </c>
      <c r="H938" s="5" t="s">
        <v>56</v>
      </c>
      <c r="I938" s="5" t="s">
        <v>41</v>
      </c>
      <c r="J938" s="7">
        <v>18061</v>
      </c>
      <c r="K938" s="7">
        <f t="shared" si="156"/>
        <v>5418.3</v>
      </c>
      <c r="L938" s="7">
        <f t="shared" si="157"/>
        <v>12642.7</v>
      </c>
      <c r="M938" s="7">
        <v>13035</v>
      </c>
      <c r="N938" s="5" t="s">
        <v>43</v>
      </c>
      <c r="O938" s="5">
        <v>22</v>
      </c>
      <c r="P938" s="7">
        <f t="shared" si="158"/>
        <v>22034.42</v>
      </c>
      <c r="Q938" s="7">
        <f t="shared" si="159"/>
        <v>47681.039999999979</v>
      </c>
      <c r="R938" s="7" t="str">
        <f t="shared" si="160"/>
        <v>Normal</v>
      </c>
      <c r="S938" s="5">
        <v>4</v>
      </c>
      <c r="T938" s="5">
        <v>3</v>
      </c>
      <c r="U938" s="5" t="str" cm="1">
        <f t="array" ref="U938">_xlfn.IFS(T938=1,"Poor",T938=2,"Fair",T938=3,"Good",T938=4,"Excellent")</f>
        <v>Good</v>
      </c>
      <c r="V938" s="5" t="s">
        <v>43</v>
      </c>
      <c r="W938" s="5">
        <v>0</v>
      </c>
      <c r="X938" s="28">
        <f t="shared" ca="1" si="161"/>
        <v>46111</v>
      </c>
      <c r="Y938" s="28">
        <f t="shared" ca="1" si="162"/>
        <v>46842</v>
      </c>
      <c r="Z938" s="28" t="str">
        <f t="shared" ca="1" si="163"/>
        <v>Upcoming</v>
      </c>
      <c r="AA938" s="5" t="str" cm="1">
        <f t="array" ref="AA938">_xlfn.IFS(W938&gt;10,"Veteran",W938&gt;=6,"Experienced",W938&gt;=2,"Developing",W938&gt;=0,"New")</f>
        <v>New</v>
      </c>
      <c r="AB938" s="5" t="str" cm="1">
        <f t="array" ref="AB938">_xlfn.IFS(G938=1,"Junior",G938=2,"Mid-Level",G938=3,"Senior",G938=4,"Lead",G938=5,"Principal")&amp;" "&amp;TRIM(PROPER(H938))</f>
        <v>Principal Manager</v>
      </c>
      <c r="AC938" s="19" t="str">
        <f t="shared" ca="1" si="164"/>
        <v>Ma-Res-2026-937 is a Principal Manager in the Research &amp; Development department, aged 45, single and has been with the Company for 0years</v>
      </c>
    </row>
    <row r="939" spans="1:29">
      <c r="A939" s="18" t="str">
        <f t="shared" ca="1" si="154"/>
        <v>Ma-Res-2007-938</v>
      </c>
      <c r="B939" s="5">
        <v>39</v>
      </c>
      <c r="C939" s="5" t="str">
        <f t="shared" si="155"/>
        <v>30-39</v>
      </c>
      <c r="D939" s="5" t="s">
        <v>43</v>
      </c>
      <c r="E939" s="5" t="s">
        <v>45</v>
      </c>
      <c r="F939" s="5" t="s">
        <v>39</v>
      </c>
      <c r="G939" s="5">
        <v>4</v>
      </c>
      <c r="H939" s="5" t="s">
        <v>56</v>
      </c>
      <c r="I939" s="5" t="s">
        <v>52</v>
      </c>
      <c r="J939" s="7">
        <v>17123</v>
      </c>
      <c r="K939" s="7">
        <f t="shared" si="156"/>
        <v>5136.8999999999996</v>
      </c>
      <c r="L939" s="7">
        <f t="shared" si="157"/>
        <v>11986.1</v>
      </c>
      <c r="M939" s="7">
        <v>17334</v>
      </c>
      <c r="N939" s="5" t="s">
        <v>35</v>
      </c>
      <c r="O939" s="5">
        <v>13</v>
      </c>
      <c r="P939" s="7">
        <f t="shared" si="158"/>
        <v>19348.989999999998</v>
      </c>
      <c r="Q939" s="7">
        <f t="shared" si="159"/>
        <v>26711.879999999976</v>
      </c>
      <c r="R939" s="7" t="str">
        <f t="shared" si="160"/>
        <v>Normal</v>
      </c>
      <c r="S939" s="5">
        <v>3</v>
      </c>
      <c r="T939" s="5">
        <v>3</v>
      </c>
      <c r="U939" s="5" t="str" cm="1">
        <f t="array" ref="U939">_xlfn.IFS(T939=1,"Poor",T939=2,"Fair",T939=3,"Good",T939=4,"Excellent")</f>
        <v>Good</v>
      </c>
      <c r="V939" s="5" t="s">
        <v>35</v>
      </c>
      <c r="W939" s="5">
        <v>19</v>
      </c>
      <c r="X939" s="28">
        <f t="shared" ca="1" si="161"/>
        <v>39171</v>
      </c>
      <c r="Y939" s="28">
        <f t="shared" ca="1" si="162"/>
        <v>46476</v>
      </c>
      <c r="Z939" s="28" t="str">
        <f t="shared" ca="1" si="163"/>
        <v>Due Soon</v>
      </c>
      <c r="AA939" s="5" t="str" cm="1">
        <f t="array" ref="AA939">_xlfn.IFS(W939&gt;10,"Veteran",W939&gt;=6,"Experienced",W939&gt;=2,"Developing",W939&gt;=0,"New")</f>
        <v>Veteran</v>
      </c>
      <c r="AB939" s="5" t="str" cm="1">
        <f t="array" ref="AB939">_xlfn.IFS(G939=1,"Junior",G939=2,"Mid-Level",G939=3,"Senior",G939=4,"Lead",G939=5,"Principal")&amp;" "&amp;TRIM(PROPER(H939))</f>
        <v>Lead Manager</v>
      </c>
      <c r="AC939" s="19" t="str">
        <f t="shared" ca="1" si="164"/>
        <v>Ma-Res-2007-938 is a Lead Manager in the Research &amp; Development department, aged 39, divorced and has been with the Company for 19years</v>
      </c>
    </row>
    <row r="940" spans="1:29">
      <c r="A940" s="18" t="str">
        <f t="shared" ca="1" si="154"/>
        <v>Re-Res-2024-939</v>
      </c>
      <c r="B940" s="5">
        <v>58</v>
      </c>
      <c r="C940" s="5" t="str">
        <f t="shared" si="155"/>
        <v>50+</v>
      </c>
      <c r="D940" s="5" t="s">
        <v>43</v>
      </c>
      <c r="E940" s="5" t="s">
        <v>45</v>
      </c>
      <c r="F940" s="5" t="s">
        <v>46</v>
      </c>
      <c r="G940" s="5">
        <v>1</v>
      </c>
      <c r="H940" s="5" t="s">
        <v>47</v>
      </c>
      <c r="I940" s="5" t="s">
        <v>52</v>
      </c>
      <c r="J940" s="7">
        <v>2372</v>
      </c>
      <c r="K940" s="7">
        <f t="shared" si="156"/>
        <v>166.04000000000002</v>
      </c>
      <c r="L940" s="7">
        <f t="shared" si="157"/>
        <v>2205.96</v>
      </c>
      <c r="M940" s="7">
        <v>26076</v>
      </c>
      <c r="N940" s="5" t="s">
        <v>43</v>
      </c>
      <c r="O940" s="5">
        <v>12</v>
      </c>
      <c r="P940" s="7">
        <f t="shared" si="158"/>
        <v>2656.6400000000003</v>
      </c>
      <c r="Q940" s="7">
        <f t="shared" si="159"/>
        <v>3415.6800000000039</v>
      </c>
      <c r="R940" s="7" t="str">
        <f t="shared" si="160"/>
        <v>Normal</v>
      </c>
      <c r="S940" s="5">
        <v>3</v>
      </c>
      <c r="T940" s="5">
        <v>3</v>
      </c>
      <c r="U940" s="5" t="str" cm="1">
        <f t="array" ref="U940">_xlfn.IFS(T940=1,"Poor",T940=2,"Fair",T940=3,"Good",T940=4,"Excellent")</f>
        <v>Good</v>
      </c>
      <c r="V940" s="5" t="s">
        <v>43</v>
      </c>
      <c r="W940" s="5">
        <v>2</v>
      </c>
      <c r="X940" s="28">
        <f t="shared" ca="1" si="161"/>
        <v>45381</v>
      </c>
      <c r="Y940" s="28">
        <f t="shared" ca="1" si="162"/>
        <v>46842</v>
      </c>
      <c r="Z940" s="28" t="str">
        <f t="shared" ca="1" si="163"/>
        <v>Upcoming</v>
      </c>
      <c r="AA940" s="5" t="str" cm="1">
        <f t="array" ref="AA940">_xlfn.IFS(W940&gt;10,"Veteran",W940&gt;=6,"Experienced",W940&gt;=2,"Developing",W940&gt;=0,"New")</f>
        <v>Developing</v>
      </c>
      <c r="AB940" s="5" t="str" cm="1">
        <f t="array" ref="AB940">_xlfn.IFS(G940=1,"Junior",G940=2,"Mid-Level",G940=3,"Senior",G940=4,"Lead",G940=5,"Principal")&amp;" "&amp;TRIM(PROPER(H940))</f>
        <v>Junior Research Scientist</v>
      </c>
      <c r="AC940" s="19" t="str">
        <f t="shared" ca="1" si="164"/>
        <v>Re-Res-2024-939 is a Junior Research Scientist in the Research &amp; Development department, aged 58, divorced and has been with the Company for 2years</v>
      </c>
    </row>
    <row r="941" spans="1:29">
      <c r="A941" s="18" t="str">
        <f t="shared" ca="1" si="154"/>
        <v>La-Res-2016-940</v>
      </c>
      <c r="B941" s="5">
        <v>32</v>
      </c>
      <c r="C941" s="5" t="str">
        <f t="shared" si="155"/>
        <v>30-39</v>
      </c>
      <c r="D941" s="5" t="s">
        <v>35</v>
      </c>
      <c r="E941" s="5" t="s">
        <v>45</v>
      </c>
      <c r="F941" s="5" t="s">
        <v>46</v>
      </c>
      <c r="G941" s="5">
        <v>2</v>
      </c>
      <c r="H941" s="5" t="s">
        <v>50</v>
      </c>
      <c r="I941" s="5" t="s">
        <v>48</v>
      </c>
      <c r="J941" s="7">
        <v>4883</v>
      </c>
      <c r="K941" s="7">
        <f t="shared" si="156"/>
        <v>732.44999999999993</v>
      </c>
      <c r="L941" s="7">
        <f t="shared" si="157"/>
        <v>4150.55</v>
      </c>
      <c r="M941" s="7">
        <v>22845</v>
      </c>
      <c r="N941" s="5" t="s">
        <v>43</v>
      </c>
      <c r="O941" s="5">
        <v>18</v>
      </c>
      <c r="P941" s="7">
        <f t="shared" si="158"/>
        <v>5761.94</v>
      </c>
      <c r="Q941" s="7">
        <f t="shared" si="159"/>
        <v>10547.279999999995</v>
      </c>
      <c r="R941" s="7" t="str">
        <f t="shared" si="160"/>
        <v>Normal</v>
      </c>
      <c r="S941" s="5">
        <v>3</v>
      </c>
      <c r="T941" s="5">
        <v>3</v>
      </c>
      <c r="U941" s="5" t="str" cm="1">
        <f t="array" ref="U941">_xlfn.IFS(T941=1,"Poor",T941=2,"Fair",T941=3,"Good",T941=4,"Excellent")</f>
        <v>Good</v>
      </c>
      <c r="V941" s="5" t="s">
        <v>43</v>
      </c>
      <c r="W941" s="5">
        <v>10</v>
      </c>
      <c r="X941" s="28">
        <f t="shared" ca="1" si="161"/>
        <v>42459</v>
      </c>
      <c r="Y941" s="28">
        <f t="shared" ca="1" si="162"/>
        <v>46842</v>
      </c>
      <c r="Z941" s="28" t="str">
        <f t="shared" ca="1" si="163"/>
        <v>Upcoming</v>
      </c>
      <c r="AA941" s="5" t="str" cm="1">
        <f t="array" ref="AA941">_xlfn.IFS(W941&gt;10,"Veteran",W941&gt;=6,"Experienced",W941&gt;=2,"Developing",W941&gt;=0,"New")</f>
        <v>Experienced</v>
      </c>
      <c r="AB941" s="5" t="str" cm="1">
        <f t="array" ref="AB941">_xlfn.IFS(G941=1,"Junior",G941=2,"Mid-Level",G941=3,"Senior",G941=4,"Lead",G941=5,"Principal")&amp;" "&amp;TRIM(PROPER(H941))</f>
        <v>Mid-Level Laboratory Technician</v>
      </c>
      <c r="AC941" s="19" t="str">
        <f t="shared" ca="1" si="164"/>
        <v>La-Res-2016-940 is a Mid-Level Laboratory Technician in the Research &amp; Development department, aged 32, married and has been with the Company for 10years</v>
      </c>
    </row>
    <row r="942" spans="1:29">
      <c r="A942" s="18" t="str">
        <f t="shared" ca="1" si="154"/>
        <v>Re-Res-2021-941</v>
      </c>
      <c r="B942" s="5">
        <v>39</v>
      </c>
      <c r="C942" s="5" t="str">
        <f t="shared" si="155"/>
        <v>30-39</v>
      </c>
      <c r="D942" s="5" t="s">
        <v>35</v>
      </c>
      <c r="E942" s="5" t="s">
        <v>45</v>
      </c>
      <c r="F942" s="5" t="s">
        <v>46</v>
      </c>
      <c r="G942" s="5">
        <v>1</v>
      </c>
      <c r="H942" s="5" t="s">
        <v>47</v>
      </c>
      <c r="I942" s="5" t="s">
        <v>41</v>
      </c>
      <c r="J942" s="7">
        <v>3904</v>
      </c>
      <c r="K942" s="7">
        <f t="shared" si="156"/>
        <v>585.6</v>
      </c>
      <c r="L942" s="7">
        <f t="shared" si="157"/>
        <v>3318.4</v>
      </c>
      <c r="M942" s="7">
        <v>22154</v>
      </c>
      <c r="N942" s="5" t="s">
        <v>43</v>
      </c>
      <c r="O942" s="5">
        <v>13</v>
      </c>
      <c r="P942" s="7">
        <f t="shared" si="158"/>
        <v>4411.5199999999995</v>
      </c>
      <c r="Q942" s="7">
        <f t="shared" si="159"/>
        <v>6090.2399999999943</v>
      </c>
      <c r="R942" s="7" t="str">
        <f t="shared" si="160"/>
        <v>Normal</v>
      </c>
      <c r="S942" s="5">
        <v>3</v>
      </c>
      <c r="T942" s="5">
        <v>3</v>
      </c>
      <c r="U942" s="5" t="str" cm="1">
        <f t="array" ref="U942">_xlfn.IFS(T942=1,"Poor",T942=2,"Fair",T942=3,"Good",T942=4,"Excellent")</f>
        <v>Good</v>
      </c>
      <c r="V942" s="5" t="s">
        <v>43</v>
      </c>
      <c r="W942" s="5">
        <v>5</v>
      </c>
      <c r="X942" s="28">
        <f t="shared" ca="1" si="161"/>
        <v>44285</v>
      </c>
      <c r="Y942" s="28">
        <f t="shared" ca="1" si="162"/>
        <v>46476</v>
      </c>
      <c r="Z942" s="28" t="str">
        <f t="shared" ca="1" si="163"/>
        <v>Due Soon</v>
      </c>
      <c r="AA942" s="5" t="str" cm="1">
        <f t="array" ref="AA942">_xlfn.IFS(W942&gt;10,"Veteran",W942&gt;=6,"Experienced",W942&gt;=2,"Developing",W942&gt;=0,"New")</f>
        <v>Developing</v>
      </c>
      <c r="AB942" s="5" t="str" cm="1">
        <f t="array" ref="AB942">_xlfn.IFS(G942=1,"Junior",G942=2,"Mid-Level",G942=3,"Senior",G942=4,"Lead",G942=5,"Principal")&amp;" "&amp;TRIM(PROPER(H942))</f>
        <v>Junior Research Scientist</v>
      </c>
      <c r="AC942" s="19" t="str">
        <f t="shared" ca="1" si="164"/>
        <v>Re-Res-2021-941 is a Junior Research Scientist in the Research &amp; Development department, aged 39, single and has been with the Company for 5years</v>
      </c>
    </row>
    <row r="943" spans="1:29">
      <c r="A943" s="18" t="str">
        <f t="shared" ca="1" si="154"/>
        <v>La-Res-2017-942</v>
      </c>
      <c r="B943" s="5">
        <v>30</v>
      </c>
      <c r="C943" s="5" t="str">
        <f t="shared" si="155"/>
        <v>30-39</v>
      </c>
      <c r="D943" s="5" t="s">
        <v>43</v>
      </c>
      <c r="E943" s="5" t="s">
        <v>45</v>
      </c>
      <c r="F943" s="5" t="s">
        <v>39</v>
      </c>
      <c r="G943" s="5">
        <v>2</v>
      </c>
      <c r="H943" s="5" t="s">
        <v>50</v>
      </c>
      <c r="I943" s="5" t="s">
        <v>48</v>
      </c>
      <c r="J943" s="7">
        <v>4627</v>
      </c>
      <c r="K943" s="7">
        <f t="shared" si="156"/>
        <v>694.05</v>
      </c>
      <c r="L943" s="7">
        <f t="shared" si="157"/>
        <v>3932.95</v>
      </c>
      <c r="M943" s="7">
        <v>23631</v>
      </c>
      <c r="N943" s="5" t="s">
        <v>43</v>
      </c>
      <c r="O943" s="5">
        <v>12</v>
      </c>
      <c r="P943" s="7">
        <f t="shared" si="158"/>
        <v>5182.2400000000007</v>
      </c>
      <c r="Q943" s="7">
        <f t="shared" si="159"/>
        <v>6662.8800000000083</v>
      </c>
      <c r="R943" s="7" t="str">
        <f t="shared" si="160"/>
        <v>Normal</v>
      </c>
      <c r="S943" s="5">
        <v>3</v>
      </c>
      <c r="T943" s="5">
        <v>3</v>
      </c>
      <c r="U943" s="5" t="str" cm="1">
        <f t="array" ref="U943">_xlfn.IFS(T943=1,"Poor",T943=2,"Fair",T943=3,"Good",T943=4,"Excellent")</f>
        <v>Good</v>
      </c>
      <c r="V943" s="5" t="s">
        <v>43</v>
      </c>
      <c r="W943" s="5">
        <v>9</v>
      </c>
      <c r="X943" s="28">
        <f t="shared" ca="1" si="161"/>
        <v>42824</v>
      </c>
      <c r="Y943" s="28">
        <f t="shared" ca="1" si="162"/>
        <v>46476</v>
      </c>
      <c r="Z943" s="28" t="str">
        <f t="shared" ca="1" si="163"/>
        <v>Due Soon</v>
      </c>
      <c r="AA943" s="5" t="str" cm="1">
        <f t="array" ref="AA943">_xlfn.IFS(W943&gt;10,"Veteran",W943&gt;=6,"Experienced",W943&gt;=2,"Developing",W943&gt;=0,"New")</f>
        <v>Experienced</v>
      </c>
      <c r="AB943" s="5" t="str" cm="1">
        <f t="array" ref="AB943">_xlfn.IFS(G943=1,"Junior",G943=2,"Mid-Level",G943=3,"Senior",G943=4,"Lead",G943=5,"Principal")&amp;" "&amp;TRIM(PROPER(H943))</f>
        <v>Mid-Level Laboratory Technician</v>
      </c>
      <c r="AC943" s="19" t="str">
        <f t="shared" ca="1" si="164"/>
        <v>La-Res-2017-942 is a Mid-Level Laboratory Technician in the Research &amp; Development department, aged 30, married and has been with the Company for 9years</v>
      </c>
    </row>
    <row r="944" spans="1:29">
      <c r="A944" s="18" t="str">
        <f t="shared" ca="1" si="154"/>
        <v>He-Res-2019-943</v>
      </c>
      <c r="B944" s="5">
        <v>36</v>
      </c>
      <c r="C944" s="5" t="str">
        <f t="shared" si="155"/>
        <v>30-39</v>
      </c>
      <c r="D944" s="5" t="s">
        <v>43</v>
      </c>
      <c r="E944" s="5" t="s">
        <v>45</v>
      </c>
      <c r="F944" s="5" t="s">
        <v>39</v>
      </c>
      <c r="G944" s="5">
        <v>3</v>
      </c>
      <c r="H944" s="5" t="s">
        <v>54</v>
      </c>
      <c r="I944" s="5" t="s">
        <v>48</v>
      </c>
      <c r="J944" s="7">
        <v>7094</v>
      </c>
      <c r="K944" s="7">
        <f t="shared" si="156"/>
        <v>1560.68</v>
      </c>
      <c r="L944" s="7">
        <f t="shared" si="157"/>
        <v>5533.32</v>
      </c>
      <c r="M944" s="7">
        <v>5747</v>
      </c>
      <c r="N944" s="5" t="s">
        <v>43</v>
      </c>
      <c r="O944" s="5">
        <v>12</v>
      </c>
      <c r="P944" s="7">
        <f t="shared" si="158"/>
        <v>7945.2800000000007</v>
      </c>
      <c r="Q944" s="7">
        <f t="shared" si="159"/>
        <v>10215.360000000008</v>
      </c>
      <c r="R944" s="7" t="str">
        <f t="shared" si="160"/>
        <v>Normal</v>
      </c>
      <c r="S944" s="5">
        <v>3</v>
      </c>
      <c r="T944" s="5">
        <v>3</v>
      </c>
      <c r="U944" s="5" t="str" cm="1">
        <f t="array" ref="U944">_xlfn.IFS(T944=1,"Poor",T944=2,"Fair",T944=3,"Good",T944=4,"Excellent")</f>
        <v>Good</v>
      </c>
      <c r="V944" s="5" t="s">
        <v>43</v>
      </c>
      <c r="W944" s="5">
        <v>7</v>
      </c>
      <c r="X944" s="28">
        <f t="shared" ca="1" si="161"/>
        <v>43554</v>
      </c>
      <c r="Y944" s="28">
        <f t="shared" ca="1" si="162"/>
        <v>46476</v>
      </c>
      <c r="Z944" s="28" t="str">
        <f t="shared" ca="1" si="163"/>
        <v>Due Soon</v>
      </c>
      <c r="AA944" s="5" t="str" cm="1">
        <f t="array" ref="AA944">_xlfn.IFS(W944&gt;10,"Veteran",W944&gt;=6,"Experienced",W944&gt;=2,"Developing",W944&gt;=0,"New")</f>
        <v>Experienced</v>
      </c>
      <c r="AB944" s="5" t="str" cm="1">
        <f t="array" ref="AB944">_xlfn.IFS(G944=1,"Junior",G944=2,"Mid-Level",G944=3,"Senior",G944=4,"Lead",G944=5,"Principal")&amp;" "&amp;TRIM(PROPER(H944))</f>
        <v>Senior Healthcare Representative</v>
      </c>
      <c r="AC944" s="19" t="str">
        <f t="shared" ca="1" si="164"/>
        <v>He-Res-2019-943 is a Senior Healthcare Representative in the Research &amp; Development department, aged 36, married and has been with the Company for 7years</v>
      </c>
    </row>
    <row r="945" spans="1:29">
      <c r="A945" s="18" t="str">
        <f t="shared" ca="1" si="154"/>
        <v>Hu-Hum-2019-944</v>
      </c>
      <c r="B945" s="5">
        <v>46</v>
      </c>
      <c r="C945" s="5" t="str">
        <f t="shared" si="155"/>
        <v>40-49</v>
      </c>
      <c r="D945" s="5" t="s">
        <v>43</v>
      </c>
      <c r="E945" s="5" t="s">
        <v>61</v>
      </c>
      <c r="F945" s="5" t="s">
        <v>39</v>
      </c>
      <c r="G945" s="5">
        <v>1</v>
      </c>
      <c r="H945" s="5" t="s">
        <v>61</v>
      </c>
      <c r="I945" s="5" t="s">
        <v>41</v>
      </c>
      <c r="J945" s="7">
        <v>3423</v>
      </c>
      <c r="K945" s="7">
        <f t="shared" si="156"/>
        <v>513.44999999999993</v>
      </c>
      <c r="L945" s="7">
        <f t="shared" si="157"/>
        <v>2909.55</v>
      </c>
      <c r="M945" s="7">
        <v>22957</v>
      </c>
      <c r="N945" s="5" t="s">
        <v>43</v>
      </c>
      <c r="O945" s="5">
        <v>12</v>
      </c>
      <c r="P945" s="7">
        <f t="shared" si="158"/>
        <v>3833.76</v>
      </c>
      <c r="Q945" s="7">
        <f t="shared" si="159"/>
        <v>4929.1200000000026</v>
      </c>
      <c r="R945" s="7" t="str">
        <f t="shared" si="160"/>
        <v>Normal</v>
      </c>
      <c r="S945" s="5">
        <v>3</v>
      </c>
      <c r="T945" s="5">
        <v>4</v>
      </c>
      <c r="U945" s="5" t="str" cm="1">
        <f t="array" ref="U945">_xlfn.IFS(T945=1,"Poor",T945=2,"Fair",T945=3,"Good",T945=4,"Excellent")</f>
        <v>Excellent</v>
      </c>
      <c r="V945" s="5" t="s">
        <v>43</v>
      </c>
      <c r="W945" s="5">
        <v>7</v>
      </c>
      <c r="X945" s="28">
        <f t="shared" ca="1" si="161"/>
        <v>43554</v>
      </c>
      <c r="Y945" s="28">
        <f t="shared" ca="1" si="162"/>
        <v>46476</v>
      </c>
      <c r="Z945" s="28" t="str">
        <f t="shared" ca="1" si="163"/>
        <v>Due Soon</v>
      </c>
      <c r="AA945" s="5" t="str" cm="1">
        <f t="array" ref="AA945">_xlfn.IFS(W945&gt;10,"Veteran",W945&gt;=6,"Experienced",W945&gt;=2,"Developing",W945&gt;=0,"New")</f>
        <v>Experienced</v>
      </c>
      <c r="AB945" s="5" t="str" cm="1">
        <f t="array" ref="AB945">_xlfn.IFS(G945=1,"Junior",G945=2,"Mid-Level",G945=3,"Senior",G945=4,"Lead",G945=5,"Principal")&amp;" "&amp;TRIM(PROPER(H945))</f>
        <v>Junior Human Resources</v>
      </c>
      <c r="AC945" s="19" t="str">
        <f t="shared" ca="1" si="164"/>
        <v>Hu-Hum-2019-944 is a Junior Human Resources in the Human Resources department, aged 46, single and has been with the Company for 7years</v>
      </c>
    </row>
    <row r="946" spans="1:29">
      <c r="A946" s="18" t="str">
        <f t="shared" ca="1" si="154"/>
        <v>La-Res-2017-945</v>
      </c>
      <c r="B946" s="5">
        <v>28</v>
      </c>
      <c r="C946" s="5" t="str">
        <f t="shared" si="155"/>
        <v>20-29</v>
      </c>
      <c r="D946" s="5" t="s">
        <v>43</v>
      </c>
      <c r="E946" s="5" t="s">
        <v>45</v>
      </c>
      <c r="F946" s="5" t="s">
        <v>39</v>
      </c>
      <c r="G946" s="5">
        <v>2</v>
      </c>
      <c r="H946" s="5" t="s">
        <v>50</v>
      </c>
      <c r="I946" s="5" t="s">
        <v>48</v>
      </c>
      <c r="J946" s="7">
        <v>6674</v>
      </c>
      <c r="K946" s="7">
        <f t="shared" si="156"/>
        <v>1001.0999999999999</v>
      </c>
      <c r="L946" s="7">
        <f t="shared" si="157"/>
        <v>5672.9</v>
      </c>
      <c r="M946" s="7">
        <v>16392</v>
      </c>
      <c r="N946" s="5" t="s">
        <v>43</v>
      </c>
      <c r="O946" s="5">
        <v>11</v>
      </c>
      <c r="P946" s="7">
        <f t="shared" si="158"/>
        <v>7408.14</v>
      </c>
      <c r="Q946" s="7">
        <f t="shared" si="159"/>
        <v>8809.6800000000039</v>
      </c>
      <c r="R946" s="7" t="str">
        <f t="shared" si="160"/>
        <v>Normal</v>
      </c>
      <c r="S946" s="5">
        <v>3</v>
      </c>
      <c r="T946" s="5">
        <v>3</v>
      </c>
      <c r="U946" s="5" t="str" cm="1">
        <f t="array" ref="U946">_xlfn.IFS(T946=1,"Poor",T946=2,"Fair",T946=3,"Good",T946=4,"Excellent")</f>
        <v>Good</v>
      </c>
      <c r="V946" s="5" t="s">
        <v>43</v>
      </c>
      <c r="W946" s="5">
        <v>9</v>
      </c>
      <c r="X946" s="28">
        <f t="shared" ca="1" si="161"/>
        <v>42824</v>
      </c>
      <c r="Y946" s="28">
        <f t="shared" ca="1" si="162"/>
        <v>46476</v>
      </c>
      <c r="Z946" s="28" t="str">
        <f t="shared" ca="1" si="163"/>
        <v>Due Soon</v>
      </c>
      <c r="AA946" s="5" t="str" cm="1">
        <f t="array" ref="AA946">_xlfn.IFS(W946&gt;10,"Veteran",W946&gt;=6,"Experienced",W946&gt;=2,"Developing",W946&gt;=0,"New")</f>
        <v>Experienced</v>
      </c>
      <c r="AB946" s="5" t="str" cm="1">
        <f t="array" ref="AB946">_xlfn.IFS(G946=1,"Junior",G946=2,"Mid-Level",G946=3,"Senior",G946=4,"Lead",G946=5,"Principal")&amp;" "&amp;TRIM(PROPER(H946))</f>
        <v>Mid-Level Laboratory Technician</v>
      </c>
      <c r="AC946" s="19" t="str">
        <f t="shared" ca="1" si="164"/>
        <v>La-Res-2017-945 is a Mid-Level Laboratory Technician in the Research &amp; Development department, aged 28, married and has been with the Company for 9years</v>
      </c>
    </row>
    <row r="947" spans="1:29">
      <c r="A947" s="18" t="str">
        <f t="shared" ca="1" si="154"/>
        <v>Re-Res-2023-946</v>
      </c>
      <c r="B947" s="5">
        <v>50</v>
      </c>
      <c r="C947" s="5" t="str">
        <f t="shared" si="155"/>
        <v>50+</v>
      </c>
      <c r="D947" s="5" t="s">
        <v>43</v>
      </c>
      <c r="E947" s="5" t="s">
        <v>45</v>
      </c>
      <c r="F947" s="5" t="s">
        <v>39</v>
      </c>
      <c r="G947" s="5">
        <v>4</v>
      </c>
      <c r="H947" s="5" t="s">
        <v>58</v>
      </c>
      <c r="I947" s="5" t="s">
        <v>48</v>
      </c>
      <c r="J947" s="7">
        <v>16880</v>
      </c>
      <c r="K947" s="7">
        <f t="shared" si="156"/>
        <v>5064</v>
      </c>
      <c r="L947" s="7">
        <f t="shared" si="157"/>
        <v>11816</v>
      </c>
      <c r="M947" s="7">
        <v>22422</v>
      </c>
      <c r="N947" s="5" t="s">
        <v>35</v>
      </c>
      <c r="O947" s="5">
        <v>11</v>
      </c>
      <c r="P947" s="7">
        <f t="shared" si="158"/>
        <v>18736.800000000003</v>
      </c>
      <c r="Q947" s="7">
        <f t="shared" si="159"/>
        <v>22281.600000000035</v>
      </c>
      <c r="R947" s="7" t="str">
        <f t="shared" si="160"/>
        <v>Normal</v>
      </c>
      <c r="S947" s="5">
        <v>3</v>
      </c>
      <c r="T947" s="5">
        <v>3</v>
      </c>
      <c r="U947" s="5" t="str" cm="1">
        <f t="array" ref="U947">_xlfn.IFS(T947=1,"Poor",T947=2,"Fair",T947=3,"Good",T947=4,"Excellent")</f>
        <v>Good</v>
      </c>
      <c r="V947" s="5" t="s">
        <v>35</v>
      </c>
      <c r="W947" s="5">
        <v>3</v>
      </c>
      <c r="X947" s="28">
        <f t="shared" ca="1" si="161"/>
        <v>45015</v>
      </c>
      <c r="Y947" s="28">
        <f t="shared" ca="1" si="162"/>
        <v>46476</v>
      </c>
      <c r="Z947" s="28" t="str">
        <f t="shared" ca="1" si="163"/>
        <v>Due Soon</v>
      </c>
      <c r="AA947" s="5" t="str" cm="1">
        <f t="array" ref="AA947">_xlfn.IFS(W947&gt;10,"Veteran",W947&gt;=6,"Experienced",W947&gt;=2,"Developing",W947&gt;=0,"New")</f>
        <v>Developing</v>
      </c>
      <c r="AB947" s="5" t="str" cm="1">
        <f t="array" ref="AB947">_xlfn.IFS(G947=1,"Junior",G947=2,"Mid-Level",G947=3,"Senior",G947=4,"Lead",G947=5,"Principal")&amp;" "&amp;TRIM(PROPER(H947))</f>
        <v>Lead Research Director</v>
      </c>
      <c r="AC947" s="19" t="str">
        <f t="shared" ca="1" si="164"/>
        <v>Re-Res-2023-946 is a Lead Research Director in the Research &amp; Development department, aged 50, married and has been with the Company for 3years</v>
      </c>
    </row>
    <row r="948" spans="1:29">
      <c r="A948" s="18" t="str">
        <f t="shared" ca="1" si="154"/>
        <v>Sa-Sal-2021-947</v>
      </c>
      <c r="B948" s="5">
        <v>40</v>
      </c>
      <c r="C948" s="5" t="str">
        <f t="shared" si="155"/>
        <v>40-49</v>
      </c>
      <c r="D948" s="5" t="s">
        <v>35</v>
      </c>
      <c r="E948" s="5" t="s">
        <v>37</v>
      </c>
      <c r="F948" s="5" t="s">
        <v>46</v>
      </c>
      <c r="G948" s="5">
        <v>3</v>
      </c>
      <c r="H948" s="5" t="s">
        <v>40</v>
      </c>
      <c r="I948" s="5" t="s">
        <v>41</v>
      </c>
      <c r="J948" s="7">
        <v>9094</v>
      </c>
      <c r="K948" s="7">
        <f t="shared" si="156"/>
        <v>2000.68</v>
      </c>
      <c r="L948" s="7">
        <f t="shared" si="157"/>
        <v>7093.32</v>
      </c>
      <c r="M948" s="7">
        <v>17235</v>
      </c>
      <c r="N948" s="5" t="s">
        <v>35</v>
      </c>
      <c r="O948" s="5">
        <v>12</v>
      </c>
      <c r="P948" s="7">
        <f t="shared" si="158"/>
        <v>10185.280000000001</v>
      </c>
      <c r="Q948" s="7">
        <f t="shared" si="159"/>
        <v>13095.360000000008</v>
      </c>
      <c r="R948" s="7" t="str">
        <f t="shared" si="160"/>
        <v>Normal</v>
      </c>
      <c r="S948" s="5">
        <v>3</v>
      </c>
      <c r="T948" s="5">
        <v>3</v>
      </c>
      <c r="U948" s="5" t="str" cm="1">
        <f t="array" ref="U948">_xlfn.IFS(T948=1,"Poor",T948=2,"Fair",T948=3,"Good",T948=4,"Excellent")</f>
        <v>Good</v>
      </c>
      <c r="V948" s="5" t="s">
        <v>35</v>
      </c>
      <c r="W948" s="5">
        <v>5</v>
      </c>
      <c r="X948" s="28">
        <f t="shared" ca="1" si="161"/>
        <v>44285</v>
      </c>
      <c r="Y948" s="28">
        <f t="shared" ca="1" si="162"/>
        <v>46476</v>
      </c>
      <c r="Z948" s="28" t="str">
        <f t="shared" ca="1" si="163"/>
        <v>Due Soon</v>
      </c>
      <c r="AA948" s="5" t="str" cm="1">
        <f t="array" ref="AA948">_xlfn.IFS(W948&gt;10,"Veteran",W948&gt;=6,"Experienced",W948&gt;=2,"Developing",W948&gt;=0,"New")</f>
        <v>Developing</v>
      </c>
      <c r="AB948" s="5" t="str" cm="1">
        <f t="array" ref="AB948">_xlfn.IFS(G948=1,"Junior",G948=2,"Mid-Level",G948=3,"Senior",G948=4,"Lead",G948=5,"Principal")&amp;" "&amp;TRIM(PROPER(H948))</f>
        <v>Senior Sales Executive</v>
      </c>
      <c r="AC948" s="19" t="str">
        <f t="shared" ca="1" si="164"/>
        <v>Sa-Sal-2021-947 is a Senior Sales Executive in the Sales department, aged 40, single and has been with the Company for 5years</v>
      </c>
    </row>
    <row r="949" spans="1:29">
      <c r="A949" s="18" t="str">
        <f t="shared" ca="1" si="154"/>
        <v>Sa-Sal-2018-948</v>
      </c>
      <c r="B949" s="5">
        <v>52</v>
      </c>
      <c r="C949" s="5" t="str">
        <f t="shared" si="155"/>
        <v>50+</v>
      </c>
      <c r="D949" s="5" t="s">
        <v>35</v>
      </c>
      <c r="E949" s="5" t="s">
        <v>37</v>
      </c>
      <c r="F949" s="5" t="s">
        <v>46</v>
      </c>
      <c r="G949" s="5">
        <v>3</v>
      </c>
      <c r="H949" s="5" t="s">
        <v>40</v>
      </c>
      <c r="I949" s="5" t="s">
        <v>41</v>
      </c>
      <c r="J949" s="7">
        <v>8446</v>
      </c>
      <c r="K949" s="7">
        <f t="shared" si="156"/>
        <v>1858.1200000000001</v>
      </c>
      <c r="L949" s="7">
        <f t="shared" si="157"/>
        <v>6587.88</v>
      </c>
      <c r="M949" s="7">
        <v>21534</v>
      </c>
      <c r="N949" s="5" t="s">
        <v>35</v>
      </c>
      <c r="O949" s="5">
        <v>19</v>
      </c>
      <c r="P949" s="7">
        <f t="shared" si="158"/>
        <v>10050.74</v>
      </c>
      <c r="Q949" s="7">
        <f t="shared" si="159"/>
        <v>19256.879999999997</v>
      </c>
      <c r="R949" s="7" t="str">
        <f t="shared" si="160"/>
        <v>Normal</v>
      </c>
      <c r="S949" s="5">
        <v>3</v>
      </c>
      <c r="T949" s="5">
        <v>2</v>
      </c>
      <c r="U949" s="5" t="str" cm="1">
        <f t="array" ref="U949">_xlfn.IFS(T949=1,"Poor",T949=2,"Fair",T949=3,"Good",T949=4,"Excellent")</f>
        <v>Fair</v>
      </c>
      <c r="V949" s="5" t="s">
        <v>35</v>
      </c>
      <c r="W949" s="5">
        <v>8</v>
      </c>
      <c r="X949" s="28">
        <f t="shared" ca="1" si="161"/>
        <v>43189</v>
      </c>
      <c r="Y949" s="28">
        <f t="shared" ca="1" si="162"/>
        <v>46842</v>
      </c>
      <c r="Z949" s="28" t="str">
        <f t="shared" ca="1" si="163"/>
        <v>Upcoming</v>
      </c>
      <c r="AA949" s="5" t="str" cm="1">
        <f t="array" ref="AA949">_xlfn.IFS(W949&gt;10,"Veteran",W949&gt;=6,"Experienced",W949&gt;=2,"Developing",W949&gt;=0,"New")</f>
        <v>Experienced</v>
      </c>
      <c r="AB949" s="5" t="str" cm="1">
        <f t="array" ref="AB949">_xlfn.IFS(G949=1,"Junior",G949=2,"Mid-Level",G949=3,"Senior",G949=4,"Lead",G949=5,"Principal")&amp;" "&amp;TRIM(PROPER(H949))</f>
        <v>Senior Sales Executive</v>
      </c>
      <c r="AC949" s="19" t="str">
        <f t="shared" ca="1" si="164"/>
        <v>Sa-Sal-2018-948 is a Senior Sales Executive in the Sales department, aged 52, single and has been with the Company for 8years</v>
      </c>
    </row>
    <row r="950" spans="1:29">
      <c r="A950" s="18" t="str">
        <f t="shared" ca="1" si="154"/>
        <v>Ma-Res-2017-949</v>
      </c>
      <c r="B950" s="5">
        <v>30</v>
      </c>
      <c r="C950" s="5" t="str">
        <f t="shared" si="155"/>
        <v>30-39</v>
      </c>
      <c r="D950" s="5" t="s">
        <v>43</v>
      </c>
      <c r="E950" s="5" t="s">
        <v>45</v>
      </c>
      <c r="F950" s="5" t="s">
        <v>39</v>
      </c>
      <c r="G950" s="5">
        <v>3</v>
      </c>
      <c r="H950" s="5" t="s">
        <v>56</v>
      </c>
      <c r="I950" s="5" t="s">
        <v>48</v>
      </c>
      <c r="J950" s="7">
        <v>11916</v>
      </c>
      <c r="K950" s="7">
        <f t="shared" si="156"/>
        <v>2621.52</v>
      </c>
      <c r="L950" s="7">
        <f t="shared" si="157"/>
        <v>9294.48</v>
      </c>
      <c r="M950" s="7">
        <v>25927</v>
      </c>
      <c r="N950" s="5" t="s">
        <v>35</v>
      </c>
      <c r="O950" s="5">
        <v>23</v>
      </c>
      <c r="P950" s="7">
        <f t="shared" si="158"/>
        <v>14656.68</v>
      </c>
      <c r="Q950" s="7">
        <f t="shared" si="159"/>
        <v>32888.160000000003</v>
      </c>
      <c r="R950" s="7" t="str">
        <f t="shared" si="160"/>
        <v>Normal</v>
      </c>
      <c r="S950" s="5">
        <v>4</v>
      </c>
      <c r="T950" s="5">
        <v>3</v>
      </c>
      <c r="U950" s="5" t="str" cm="1">
        <f t="array" ref="U950">_xlfn.IFS(T950=1,"Poor",T950=2,"Fair",T950=3,"Good",T950=4,"Excellent")</f>
        <v>Good</v>
      </c>
      <c r="V950" s="5" t="s">
        <v>35</v>
      </c>
      <c r="W950" s="5">
        <v>9</v>
      </c>
      <c r="X950" s="28">
        <f t="shared" ca="1" si="161"/>
        <v>42824</v>
      </c>
      <c r="Y950" s="28">
        <f t="shared" ca="1" si="162"/>
        <v>46476</v>
      </c>
      <c r="Z950" s="28" t="str">
        <f t="shared" ca="1" si="163"/>
        <v>Due Soon</v>
      </c>
      <c r="AA950" s="5" t="str" cm="1">
        <f t="array" ref="AA950">_xlfn.IFS(W950&gt;10,"Veteran",W950&gt;=6,"Experienced",W950&gt;=2,"Developing",W950&gt;=0,"New")</f>
        <v>Experienced</v>
      </c>
      <c r="AB950" s="5" t="str" cm="1">
        <f t="array" ref="AB950">_xlfn.IFS(G950=1,"Junior",G950=2,"Mid-Level",G950=3,"Senior",G950=4,"Lead",G950=5,"Principal")&amp;" "&amp;TRIM(PROPER(H950))</f>
        <v>Senior Manager</v>
      </c>
      <c r="AC950" s="19" t="str">
        <f t="shared" ca="1" si="164"/>
        <v>Ma-Res-2017-949 is a Senior Manager in the Research &amp; Development department, aged 30, married and has been with the Company for 9years</v>
      </c>
    </row>
    <row r="951" spans="1:29">
      <c r="A951" s="18" t="str">
        <f t="shared" ca="1" si="154"/>
        <v>Ma-Res-2018-950</v>
      </c>
      <c r="B951" s="5">
        <v>39</v>
      </c>
      <c r="C951" s="5" t="str">
        <f t="shared" si="155"/>
        <v>30-39</v>
      </c>
      <c r="D951" s="5" t="s">
        <v>43</v>
      </c>
      <c r="E951" s="5" t="s">
        <v>45</v>
      </c>
      <c r="F951" s="5" t="s">
        <v>46</v>
      </c>
      <c r="G951" s="5">
        <v>2</v>
      </c>
      <c r="H951" s="5" t="s">
        <v>53</v>
      </c>
      <c r="I951" s="5" t="s">
        <v>41</v>
      </c>
      <c r="J951" s="7">
        <v>4534</v>
      </c>
      <c r="K951" s="7">
        <f t="shared" si="156"/>
        <v>680.1</v>
      </c>
      <c r="L951" s="7">
        <f t="shared" si="157"/>
        <v>3853.9</v>
      </c>
      <c r="M951" s="7">
        <v>13352</v>
      </c>
      <c r="N951" s="5" t="s">
        <v>43</v>
      </c>
      <c r="O951" s="5">
        <v>11</v>
      </c>
      <c r="P951" s="7">
        <f t="shared" si="158"/>
        <v>5032.7400000000007</v>
      </c>
      <c r="Q951" s="7">
        <f t="shared" si="159"/>
        <v>5984.8800000000083</v>
      </c>
      <c r="R951" s="7" t="str">
        <f t="shared" si="160"/>
        <v>Normal</v>
      </c>
      <c r="S951" s="5">
        <v>3</v>
      </c>
      <c r="T951" s="5">
        <v>3</v>
      </c>
      <c r="U951" s="5" t="str" cm="1">
        <f t="array" ref="U951">_xlfn.IFS(T951=1,"Poor",T951=2,"Fair",T951=3,"Good",T951=4,"Excellent")</f>
        <v>Good</v>
      </c>
      <c r="V951" s="5" t="s">
        <v>43</v>
      </c>
      <c r="W951" s="5">
        <v>8</v>
      </c>
      <c r="X951" s="28">
        <f t="shared" ca="1" si="161"/>
        <v>43189</v>
      </c>
      <c r="Y951" s="28">
        <f t="shared" ca="1" si="162"/>
        <v>46842</v>
      </c>
      <c r="Z951" s="28" t="str">
        <f t="shared" ca="1" si="163"/>
        <v>Upcoming</v>
      </c>
      <c r="AA951" s="5" t="str" cm="1">
        <f t="array" ref="AA951">_xlfn.IFS(W951&gt;10,"Veteran",W951&gt;=6,"Experienced",W951&gt;=2,"Developing",W951&gt;=0,"New")</f>
        <v>Experienced</v>
      </c>
      <c r="AB951" s="5" t="str" cm="1">
        <f t="array" ref="AB951">_xlfn.IFS(G951=1,"Junior",G951=2,"Mid-Level",G951=3,"Senior",G951=4,"Lead",G951=5,"Principal")&amp;" "&amp;TRIM(PROPER(H951))</f>
        <v>Mid-Level Manufacturing Director</v>
      </c>
      <c r="AC951" s="19" t="str">
        <f t="shared" ca="1" si="164"/>
        <v>Ma-Res-2018-950 is a Mid-Level Manufacturing Director in the Research &amp; Development department, aged 39, single and has been with the Company for 8years</v>
      </c>
    </row>
    <row r="952" spans="1:29">
      <c r="A952" s="18" t="str">
        <f t="shared" ca="1" si="154"/>
        <v>Sa-Sal-2016-951</v>
      </c>
      <c r="B952" s="5">
        <v>31</v>
      </c>
      <c r="C952" s="5" t="str">
        <f t="shared" si="155"/>
        <v>30-39</v>
      </c>
      <c r="D952" s="5" t="s">
        <v>43</v>
      </c>
      <c r="E952" s="5" t="s">
        <v>37</v>
      </c>
      <c r="F952" s="5" t="s">
        <v>39</v>
      </c>
      <c r="G952" s="5">
        <v>3</v>
      </c>
      <c r="H952" s="5" t="s">
        <v>40</v>
      </c>
      <c r="I952" s="5" t="s">
        <v>52</v>
      </c>
      <c r="J952" s="7">
        <v>9852</v>
      </c>
      <c r="K952" s="7">
        <f t="shared" si="156"/>
        <v>2167.44</v>
      </c>
      <c r="L952" s="7">
        <f t="shared" si="157"/>
        <v>7684.5599999999995</v>
      </c>
      <c r="M952" s="7">
        <v>8935</v>
      </c>
      <c r="N952" s="5" t="s">
        <v>35</v>
      </c>
      <c r="O952" s="5">
        <v>19</v>
      </c>
      <c r="P952" s="7">
        <f t="shared" si="158"/>
        <v>11723.88</v>
      </c>
      <c r="Q952" s="7">
        <f t="shared" si="159"/>
        <v>22462.55999999999</v>
      </c>
      <c r="R952" s="7" t="str">
        <f t="shared" si="160"/>
        <v>Normal</v>
      </c>
      <c r="S952" s="5">
        <v>3</v>
      </c>
      <c r="T952" s="5">
        <v>2</v>
      </c>
      <c r="U952" s="5" t="str" cm="1">
        <f t="array" ref="U952">_xlfn.IFS(T952=1,"Poor",T952=2,"Fair",T952=3,"Good",T952=4,"Excellent")</f>
        <v>Fair</v>
      </c>
      <c r="V952" s="5" t="s">
        <v>35</v>
      </c>
      <c r="W952" s="5">
        <v>10</v>
      </c>
      <c r="X952" s="28">
        <f t="shared" ca="1" si="161"/>
        <v>42459</v>
      </c>
      <c r="Y952" s="28">
        <f t="shared" ca="1" si="162"/>
        <v>46842</v>
      </c>
      <c r="Z952" s="28" t="str">
        <f t="shared" ca="1" si="163"/>
        <v>Upcoming</v>
      </c>
      <c r="AA952" s="5" t="str" cm="1">
        <f t="array" ref="AA952">_xlfn.IFS(W952&gt;10,"Veteran",W952&gt;=6,"Experienced",W952&gt;=2,"Developing",W952&gt;=0,"New")</f>
        <v>Experienced</v>
      </c>
      <c r="AB952" s="5" t="str" cm="1">
        <f t="array" ref="AB952">_xlfn.IFS(G952=1,"Junior",G952=2,"Mid-Level",G952=3,"Senior",G952=4,"Lead",G952=5,"Principal")&amp;" "&amp;TRIM(PROPER(H952))</f>
        <v>Senior Sales Executive</v>
      </c>
      <c r="AC952" s="19" t="str">
        <f t="shared" ca="1" si="164"/>
        <v>Sa-Sal-2016-951 is a Senior Sales Executive in the Sales department, aged 31, divorced and has been with the Company for 10years</v>
      </c>
    </row>
    <row r="953" spans="1:29">
      <c r="A953" s="18" t="str">
        <f t="shared" ca="1" si="154"/>
        <v>Sa-Sal-2007-952</v>
      </c>
      <c r="B953" s="5">
        <v>41</v>
      </c>
      <c r="C953" s="5" t="str">
        <f t="shared" si="155"/>
        <v>40-49</v>
      </c>
      <c r="D953" s="5" t="s">
        <v>43</v>
      </c>
      <c r="E953" s="5" t="s">
        <v>37</v>
      </c>
      <c r="F953" s="5" t="s">
        <v>46</v>
      </c>
      <c r="G953" s="5">
        <v>2</v>
      </c>
      <c r="H953" s="5" t="s">
        <v>40</v>
      </c>
      <c r="I953" s="5" t="s">
        <v>41</v>
      </c>
      <c r="J953" s="7">
        <v>6151</v>
      </c>
      <c r="K953" s="7">
        <f t="shared" si="156"/>
        <v>922.65</v>
      </c>
      <c r="L953" s="7">
        <f t="shared" si="157"/>
        <v>5228.3500000000004</v>
      </c>
      <c r="M953" s="7">
        <v>22074</v>
      </c>
      <c r="N953" s="5" t="s">
        <v>43</v>
      </c>
      <c r="O953" s="5">
        <v>13</v>
      </c>
      <c r="P953" s="7">
        <f t="shared" si="158"/>
        <v>6950.6299999999992</v>
      </c>
      <c r="Q953" s="7">
        <f t="shared" si="159"/>
        <v>9595.5599999999904</v>
      </c>
      <c r="R953" s="7" t="str">
        <f t="shared" si="160"/>
        <v>Normal</v>
      </c>
      <c r="S953" s="5">
        <v>3</v>
      </c>
      <c r="T953" s="5">
        <v>3</v>
      </c>
      <c r="U953" s="5" t="str" cm="1">
        <f t="array" ref="U953">_xlfn.IFS(T953=1,"Poor",T953=2,"Fair",T953=3,"Good",T953=4,"Excellent")</f>
        <v>Good</v>
      </c>
      <c r="V953" s="5" t="s">
        <v>43</v>
      </c>
      <c r="W953" s="5">
        <v>19</v>
      </c>
      <c r="X953" s="28">
        <f t="shared" ca="1" si="161"/>
        <v>39171</v>
      </c>
      <c r="Y953" s="28">
        <f t="shared" ca="1" si="162"/>
        <v>46476</v>
      </c>
      <c r="Z953" s="28" t="str">
        <f t="shared" ca="1" si="163"/>
        <v>Due Soon</v>
      </c>
      <c r="AA953" s="5" t="str" cm="1">
        <f t="array" ref="AA953">_xlfn.IFS(W953&gt;10,"Veteran",W953&gt;=6,"Experienced",W953&gt;=2,"Developing",W953&gt;=0,"New")</f>
        <v>Veteran</v>
      </c>
      <c r="AB953" s="5" t="str" cm="1">
        <f t="array" ref="AB953">_xlfn.IFS(G953=1,"Junior",G953=2,"Mid-Level",G953=3,"Senior",G953=4,"Lead",G953=5,"Principal")&amp;" "&amp;TRIM(PROPER(H953))</f>
        <v>Mid-Level Sales Executive</v>
      </c>
      <c r="AC953" s="19" t="str">
        <f t="shared" ca="1" si="164"/>
        <v>Sa-Sal-2007-952 is a Mid-Level Sales Executive in the Sales department, aged 41, single and has been with the Company for 19years</v>
      </c>
    </row>
    <row r="954" spans="1:29">
      <c r="A954" s="18" t="str">
        <f t="shared" ca="1" si="154"/>
        <v>Sa-Sal-2023-953</v>
      </c>
      <c r="B954" s="5">
        <v>31</v>
      </c>
      <c r="C954" s="5" t="str">
        <f t="shared" si="155"/>
        <v>30-39</v>
      </c>
      <c r="D954" s="5" t="s">
        <v>35</v>
      </c>
      <c r="E954" s="5" t="s">
        <v>37</v>
      </c>
      <c r="F954" s="5" t="s">
        <v>39</v>
      </c>
      <c r="G954" s="5">
        <v>1</v>
      </c>
      <c r="H954" s="5" t="s">
        <v>57</v>
      </c>
      <c r="I954" s="5" t="s">
        <v>41</v>
      </c>
      <c r="J954" s="7">
        <v>2302</v>
      </c>
      <c r="K954" s="7">
        <f t="shared" si="156"/>
        <v>161.14000000000001</v>
      </c>
      <c r="L954" s="7">
        <f t="shared" si="157"/>
        <v>2140.86</v>
      </c>
      <c r="M954" s="7">
        <v>8319</v>
      </c>
      <c r="N954" s="5" t="s">
        <v>35</v>
      </c>
      <c r="O954" s="5">
        <v>11</v>
      </c>
      <c r="P954" s="7">
        <f t="shared" si="158"/>
        <v>2555.2200000000003</v>
      </c>
      <c r="Q954" s="7">
        <f t="shared" si="159"/>
        <v>3038.6400000000031</v>
      </c>
      <c r="R954" s="7" t="str">
        <f t="shared" si="160"/>
        <v>Normal</v>
      </c>
      <c r="S954" s="5">
        <v>3</v>
      </c>
      <c r="T954" s="5">
        <v>4</v>
      </c>
      <c r="U954" s="5" t="str" cm="1">
        <f t="array" ref="U954">_xlfn.IFS(T954=1,"Poor",T954=2,"Fair",T954=3,"Good",T954=4,"Excellent")</f>
        <v>Excellent</v>
      </c>
      <c r="V954" s="5" t="s">
        <v>35</v>
      </c>
      <c r="W954" s="5">
        <v>3</v>
      </c>
      <c r="X954" s="28">
        <f t="shared" ca="1" si="161"/>
        <v>45015</v>
      </c>
      <c r="Y954" s="28">
        <f t="shared" ca="1" si="162"/>
        <v>46476</v>
      </c>
      <c r="Z954" s="28" t="str">
        <f t="shared" ca="1" si="163"/>
        <v>Due Soon</v>
      </c>
      <c r="AA954" s="5" t="str" cm="1">
        <f t="array" ref="AA954">_xlfn.IFS(W954&gt;10,"Veteran",W954&gt;=6,"Experienced",W954&gt;=2,"Developing",W954&gt;=0,"New")</f>
        <v>Developing</v>
      </c>
      <c r="AB954" s="5" t="str" cm="1">
        <f t="array" ref="AB954">_xlfn.IFS(G954=1,"Junior",G954=2,"Mid-Level",G954=3,"Senior",G954=4,"Lead",G954=5,"Principal")&amp;" "&amp;TRIM(PROPER(H954))</f>
        <v>Junior Sales Representative</v>
      </c>
      <c r="AC954" s="19" t="str">
        <f t="shared" ca="1" si="164"/>
        <v>Sa-Sal-2023-953 is a Junior Sales Representative in the Sales department, aged 31, single and has been with the Company for 3years</v>
      </c>
    </row>
    <row r="955" spans="1:29">
      <c r="A955" s="18" t="str">
        <f t="shared" ca="1" si="154"/>
        <v>La-Res-2023-954</v>
      </c>
      <c r="B955" s="5">
        <v>44</v>
      </c>
      <c r="C955" s="5" t="str">
        <f t="shared" si="155"/>
        <v>40-49</v>
      </c>
      <c r="D955" s="5" t="s">
        <v>35</v>
      </c>
      <c r="E955" s="5" t="s">
        <v>45</v>
      </c>
      <c r="F955" s="5" t="s">
        <v>46</v>
      </c>
      <c r="G955" s="5">
        <v>1</v>
      </c>
      <c r="H955" s="5" t="s">
        <v>50</v>
      </c>
      <c r="I955" s="5" t="s">
        <v>48</v>
      </c>
      <c r="J955" s="7">
        <v>2362</v>
      </c>
      <c r="K955" s="7">
        <f t="shared" si="156"/>
        <v>165.34</v>
      </c>
      <c r="L955" s="7">
        <f t="shared" si="157"/>
        <v>2196.66</v>
      </c>
      <c r="M955" s="7">
        <v>14669</v>
      </c>
      <c r="N955" s="5" t="s">
        <v>43</v>
      </c>
      <c r="O955" s="5">
        <v>12</v>
      </c>
      <c r="P955" s="7">
        <f t="shared" si="158"/>
        <v>2645.44</v>
      </c>
      <c r="Q955" s="7">
        <f t="shared" si="159"/>
        <v>3401.2800000000007</v>
      </c>
      <c r="R955" s="7" t="str">
        <f t="shared" si="160"/>
        <v>Normal</v>
      </c>
      <c r="S955" s="5">
        <v>3</v>
      </c>
      <c r="T955" s="5">
        <v>4</v>
      </c>
      <c r="U955" s="5" t="str" cm="1">
        <f t="array" ref="U955">_xlfn.IFS(T955=1,"Poor",T955=2,"Fair",T955=3,"Good",T955=4,"Excellent")</f>
        <v>Excellent</v>
      </c>
      <c r="V955" s="5" t="s">
        <v>43</v>
      </c>
      <c r="W955" s="5">
        <v>3</v>
      </c>
      <c r="X955" s="28">
        <f t="shared" ca="1" si="161"/>
        <v>45015</v>
      </c>
      <c r="Y955" s="28">
        <f t="shared" ca="1" si="162"/>
        <v>46476</v>
      </c>
      <c r="Z955" s="28" t="str">
        <f t="shared" ca="1" si="163"/>
        <v>Due Soon</v>
      </c>
      <c r="AA955" s="5" t="str" cm="1">
        <f t="array" ref="AA955">_xlfn.IFS(W955&gt;10,"Veteran",W955&gt;=6,"Experienced",W955&gt;=2,"Developing",W955&gt;=0,"New")</f>
        <v>Developing</v>
      </c>
      <c r="AB955" s="5" t="str" cm="1">
        <f t="array" ref="AB955">_xlfn.IFS(G955=1,"Junior",G955=2,"Mid-Level",G955=3,"Senior",G955=4,"Lead",G955=5,"Principal")&amp;" "&amp;TRIM(PROPER(H955))</f>
        <v>Junior Laboratory Technician</v>
      </c>
      <c r="AC955" s="19" t="str">
        <f t="shared" ca="1" si="164"/>
        <v>La-Res-2023-954 is a Junior Laboratory Technician in the Research &amp; Development department, aged 44, married and has been with the Company for 3years</v>
      </c>
    </row>
    <row r="956" spans="1:29">
      <c r="A956" s="18" t="str">
        <f t="shared" ca="1" si="154"/>
        <v>Ma-Res-2006-955</v>
      </c>
      <c r="B956" s="5">
        <v>42</v>
      </c>
      <c r="C956" s="5" t="str">
        <f t="shared" si="155"/>
        <v>40-49</v>
      </c>
      <c r="D956" s="5" t="s">
        <v>43</v>
      </c>
      <c r="E956" s="5" t="s">
        <v>45</v>
      </c>
      <c r="F956" s="5" t="s">
        <v>46</v>
      </c>
      <c r="G956" s="5">
        <v>4</v>
      </c>
      <c r="H956" s="5" t="s">
        <v>56</v>
      </c>
      <c r="I956" s="5" t="s">
        <v>48</v>
      </c>
      <c r="J956" s="7">
        <v>17861</v>
      </c>
      <c r="K956" s="7">
        <f t="shared" si="156"/>
        <v>5358.3</v>
      </c>
      <c r="L956" s="7">
        <f t="shared" si="157"/>
        <v>12502.7</v>
      </c>
      <c r="M956" s="7">
        <v>26582</v>
      </c>
      <c r="N956" s="5" t="s">
        <v>35</v>
      </c>
      <c r="O956" s="5">
        <v>13</v>
      </c>
      <c r="P956" s="7">
        <f t="shared" si="158"/>
        <v>20182.929999999997</v>
      </c>
      <c r="Q956" s="7">
        <f t="shared" si="159"/>
        <v>27863.15999999996</v>
      </c>
      <c r="R956" s="7" t="str">
        <f t="shared" si="160"/>
        <v>Normal</v>
      </c>
      <c r="S956" s="5">
        <v>3</v>
      </c>
      <c r="T956" s="5">
        <v>2</v>
      </c>
      <c r="U956" s="5" t="str" cm="1">
        <f t="array" ref="U956">_xlfn.IFS(T956=1,"Poor",T956=2,"Fair",T956=3,"Good",T956=4,"Excellent")</f>
        <v>Fair</v>
      </c>
      <c r="V956" s="5" t="s">
        <v>35</v>
      </c>
      <c r="W956" s="5">
        <v>20</v>
      </c>
      <c r="X956" s="28">
        <f t="shared" ca="1" si="161"/>
        <v>38806</v>
      </c>
      <c r="Y956" s="28">
        <f t="shared" ca="1" si="162"/>
        <v>46842</v>
      </c>
      <c r="Z956" s="28" t="str">
        <f t="shared" ca="1" si="163"/>
        <v>Upcoming</v>
      </c>
      <c r="AA956" s="5" t="str" cm="1">
        <f t="array" ref="AA956">_xlfn.IFS(W956&gt;10,"Veteran",W956&gt;=6,"Experienced",W956&gt;=2,"Developing",W956&gt;=0,"New")</f>
        <v>Veteran</v>
      </c>
      <c r="AB956" s="5" t="str" cm="1">
        <f t="array" ref="AB956">_xlfn.IFS(G956=1,"Junior",G956=2,"Mid-Level",G956=3,"Senior",G956=4,"Lead",G956=5,"Principal")&amp;" "&amp;TRIM(PROPER(H956))</f>
        <v>Lead Manager</v>
      </c>
      <c r="AC956" s="19" t="str">
        <f t="shared" ca="1" si="164"/>
        <v>Ma-Res-2006-955 is a Lead Manager in the Research &amp; Development department, aged 42, married and has been with the Company for 20years</v>
      </c>
    </row>
    <row r="957" spans="1:29">
      <c r="A957" s="18" t="str">
        <f t="shared" ca="1" si="154"/>
        <v>Ma-Res-2007-956</v>
      </c>
      <c r="B957" s="5">
        <v>55</v>
      </c>
      <c r="C957" s="5" t="str">
        <f t="shared" si="155"/>
        <v>50+</v>
      </c>
      <c r="D957" s="5" t="s">
        <v>43</v>
      </c>
      <c r="E957" s="5" t="s">
        <v>45</v>
      </c>
      <c r="F957" s="5" t="s">
        <v>39</v>
      </c>
      <c r="G957" s="5">
        <v>5</v>
      </c>
      <c r="H957" s="5" t="s">
        <v>56</v>
      </c>
      <c r="I957" s="5" t="s">
        <v>48</v>
      </c>
      <c r="J957" s="7">
        <v>19187</v>
      </c>
      <c r="K957" s="7">
        <f t="shared" si="156"/>
        <v>5756.0999999999995</v>
      </c>
      <c r="L957" s="7">
        <f t="shared" si="157"/>
        <v>13430.900000000001</v>
      </c>
      <c r="M957" s="7">
        <v>6992</v>
      </c>
      <c r="N957" s="5" t="s">
        <v>43</v>
      </c>
      <c r="O957" s="5">
        <v>14</v>
      </c>
      <c r="P957" s="7">
        <f t="shared" si="158"/>
        <v>21873.180000000004</v>
      </c>
      <c r="Q957" s="7">
        <f t="shared" si="159"/>
        <v>32234.160000000047</v>
      </c>
      <c r="R957" s="7" t="str">
        <f t="shared" si="160"/>
        <v>Normal</v>
      </c>
      <c r="S957" s="5">
        <v>3</v>
      </c>
      <c r="T957" s="5">
        <v>3</v>
      </c>
      <c r="U957" s="5" t="str" cm="1">
        <f t="array" ref="U957">_xlfn.IFS(T957=1,"Poor",T957=2,"Fair",T957=3,"Good",T957=4,"Excellent")</f>
        <v>Good</v>
      </c>
      <c r="V957" s="5" t="s">
        <v>43</v>
      </c>
      <c r="W957" s="5">
        <v>19</v>
      </c>
      <c r="X957" s="28">
        <f t="shared" ca="1" si="161"/>
        <v>39171</v>
      </c>
      <c r="Y957" s="28">
        <f t="shared" ca="1" si="162"/>
        <v>46476</v>
      </c>
      <c r="Z957" s="28" t="str">
        <f t="shared" ca="1" si="163"/>
        <v>Due Soon</v>
      </c>
      <c r="AA957" s="5" t="str" cm="1">
        <f t="array" ref="AA957">_xlfn.IFS(W957&gt;10,"Veteran",W957&gt;=6,"Experienced",W957&gt;=2,"Developing",W957&gt;=0,"New")</f>
        <v>Veteran</v>
      </c>
      <c r="AB957" s="5" t="str" cm="1">
        <f t="array" ref="AB957">_xlfn.IFS(G957=1,"Junior",G957=2,"Mid-Level",G957=3,"Senior",G957=4,"Lead",G957=5,"Principal")&amp;" "&amp;TRIM(PROPER(H957))</f>
        <v>Principal Manager</v>
      </c>
      <c r="AC957" s="19" t="str">
        <f t="shared" ca="1" si="164"/>
        <v>Ma-Res-2007-956 is a Principal Manager in the Research &amp; Development department, aged 55, married and has been with the Company for 19years</v>
      </c>
    </row>
    <row r="958" spans="1:29">
      <c r="A958" s="18" t="str">
        <f t="shared" ca="1" si="154"/>
        <v>Ma-Hum-2019-957</v>
      </c>
      <c r="B958" s="5">
        <v>56</v>
      </c>
      <c r="C958" s="5" t="str">
        <f t="shared" si="155"/>
        <v>50+</v>
      </c>
      <c r="D958" s="5" t="s">
        <v>43</v>
      </c>
      <c r="E958" s="5" t="s">
        <v>61</v>
      </c>
      <c r="F958" s="5" t="s">
        <v>46</v>
      </c>
      <c r="G958" s="5">
        <v>5</v>
      </c>
      <c r="H958" s="5" t="s">
        <v>56</v>
      </c>
      <c r="I958" s="5" t="s">
        <v>41</v>
      </c>
      <c r="J958" s="7">
        <v>19717</v>
      </c>
      <c r="K958" s="7">
        <f t="shared" si="156"/>
        <v>5915.0999999999995</v>
      </c>
      <c r="L958" s="7">
        <f t="shared" si="157"/>
        <v>13801.900000000001</v>
      </c>
      <c r="M958" s="7">
        <v>4022</v>
      </c>
      <c r="N958" s="5" t="s">
        <v>43</v>
      </c>
      <c r="O958" s="5">
        <v>14</v>
      </c>
      <c r="P958" s="7">
        <f t="shared" si="158"/>
        <v>22477.38</v>
      </c>
      <c r="Q958" s="7">
        <f t="shared" si="159"/>
        <v>33124.560000000012</v>
      </c>
      <c r="R958" s="7" t="str">
        <f t="shared" si="160"/>
        <v>Normal</v>
      </c>
      <c r="S958" s="5">
        <v>3</v>
      </c>
      <c r="T958" s="5">
        <v>3</v>
      </c>
      <c r="U958" s="5" t="str" cm="1">
        <f t="array" ref="U958">_xlfn.IFS(T958=1,"Poor",T958=2,"Fair",T958=3,"Good",T958=4,"Excellent")</f>
        <v>Good</v>
      </c>
      <c r="V958" s="5" t="s">
        <v>43</v>
      </c>
      <c r="W958" s="5">
        <v>7</v>
      </c>
      <c r="X958" s="28">
        <f t="shared" ca="1" si="161"/>
        <v>43554</v>
      </c>
      <c r="Y958" s="28">
        <f t="shared" ca="1" si="162"/>
        <v>46476</v>
      </c>
      <c r="Z958" s="28" t="str">
        <f t="shared" ca="1" si="163"/>
        <v>Due Soon</v>
      </c>
      <c r="AA958" s="5" t="str" cm="1">
        <f t="array" ref="AA958">_xlfn.IFS(W958&gt;10,"Veteran",W958&gt;=6,"Experienced",W958&gt;=2,"Developing",W958&gt;=0,"New")</f>
        <v>Experienced</v>
      </c>
      <c r="AB958" s="5" t="str" cm="1">
        <f t="array" ref="AB958">_xlfn.IFS(G958=1,"Junior",G958=2,"Mid-Level",G958=3,"Senior",G958=4,"Lead",G958=5,"Principal")&amp;" "&amp;TRIM(PROPER(H958))</f>
        <v>Principal Manager</v>
      </c>
      <c r="AC958" s="19" t="str">
        <f t="shared" ca="1" si="164"/>
        <v>Ma-Hum-2019-957 is a Principal Manager in the Human Resources department, aged 56, single and has been with the Company for 7years</v>
      </c>
    </row>
    <row r="959" spans="1:29">
      <c r="A959" s="18" t="str">
        <f t="shared" ca="1" si="154"/>
        <v>Re-Res-2022-958</v>
      </c>
      <c r="B959" s="5">
        <v>40</v>
      </c>
      <c r="C959" s="5" t="str">
        <f t="shared" si="155"/>
        <v>40-49</v>
      </c>
      <c r="D959" s="5" t="s">
        <v>43</v>
      </c>
      <c r="E959" s="5" t="s">
        <v>45</v>
      </c>
      <c r="F959" s="5" t="s">
        <v>46</v>
      </c>
      <c r="G959" s="5">
        <v>1</v>
      </c>
      <c r="H959" s="5" t="s">
        <v>47</v>
      </c>
      <c r="I959" s="5" t="s">
        <v>52</v>
      </c>
      <c r="J959" s="7">
        <v>3544</v>
      </c>
      <c r="K959" s="7">
        <f t="shared" si="156"/>
        <v>531.6</v>
      </c>
      <c r="L959" s="7">
        <f t="shared" si="157"/>
        <v>3012.4</v>
      </c>
      <c r="M959" s="7">
        <v>8532</v>
      </c>
      <c r="N959" s="5" t="s">
        <v>43</v>
      </c>
      <c r="O959" s="5">
        <v>16</v>
      </c>
      <c r="P959" s="7">
        <f t="shared" si="158"/>
        <v>4111.04</v>
      </c>
      <c r="Q959" s="7">
        <f t="shared" si="159"/>
        <v>6804.48</v>
      </c>
      <c r="R959" s="7" t="str">
        <f t="shared" si="160"/>
        <v>Normal</v>
      </c>
      <c r="S959" s="5">
        <v>3</v>
      </c>
      <c r="T959" s="5">
        <v>3</v>
      </c>
      <c r="U959" s="5" t="str" cm="1">
        <f t="array" ref="U959">_xlfn.IFS(T959=1,"Poor",T959=2,"Fair",T959=3,"Good",T959=4,"Excellent")</f>
        <v>Good</v>
      </c>
      <c r="V959" s="5" t="s">
        <v>43</v>
      </c>
      <c r="W959" s="5">
        <v>4</v>
      </c>
      <c r="X959" s="28">
        <f t="shared" ca="1" si="161"/>
        <v>44650</v>
      </c>
      <c r="Y959" s="28">
        <f t="shared" ca="1" si="162"/>
        <v>46842</v>
      </c>
      <c r="Z959" s="28" t="str">
        <f t="shared" ca="1" si="163"/>
        <v>Upcoming</v>
      </c>
      <c r="AA959" s="5" t="str" cm="1">
        <f t="array" ref="AA959">_xlfn.IFS(W959&gt;10,"Veteran",W959&gt;=6,"Experienced",W959&gt;=2,"Developing",W959&gt;=0,"New")</f>
        <v>Developing</v>
      </c>
      <c r="AB959" s="5" t="str" cm="1">
        <f t="array" ref="AB959">_xlfn.IFS(G959=1,"Junior",G959=2,"Mid-Level",G959=3,"Senior",G959=4,"Lead",G959=5,"Principal")&amp;" "&amp;TRIM(PROPER(H959))</f>
        <v>Junior Research Scientist</v>
      </c>
      <c r="AC959" s="19" t="str">
        <f t="shared" ca="1" si="164"/>
        <v>Re-Res-2022-958 is a Junior Research Scientist in the Research &amp; Development department, aged 40, divorced and has been with the Company for 4years</v>
      </c>
    </row>
    <row r="960" spans="1:29">
      <c r="A960" s="18" t="str">
        <f t="shared" ca="1" si="154"/>
        <v>He-Res-2017-959</v>
      </c>
      <c r="B960" s="5">
        <v>34</v>
      </c>
      <c r="C960" s="5" t="str">
        <f t="shared" si="155"/>
        <v>30-39</v>
      </c>
      <c r="D960" s="5" t="s">
        <v>43</v>
      </c>
      <c r="E960" s="5" t="s">
        <v>45</v>
      </c>
      <c r="F960" s="5" t="s">
        <v>46</v>
      </c>
      <c r="G960" s="5">
        <v>3</v>
      </c>
      <c r="H960" s="5" t="s">
        <v>54</v>
      </c>
      <c r="I960" s="5" t="s">
        <v>52</v>
      </c>
      <c r="J960" s="7">
        <v>8500</v>
      </c>
      <c r="K960" s="7">
        <f t="shared" si="156"/>
        <v>1870</v>
      </c>
      <c r="L960" s="7">
        <f t="shared" si="157"/>
        <v>6630</v>
      </c>
      <c r="M960" s="7">
        <v>5494</v>
      </c>
      <c r="N960" s="5" t="s">
        <v>43</v>
      </c>
      <c r="O960" s="5">
        <v>11</v>
      </c>
      <c r="P960" s="7">
        <f t="shared" si="158"/>
        <v>9435</v>
      </c>
      <c r="Q960" s="7">
        <f t="shared" si="159"/>
        <v>11220</v>
      </c>
      <c r="R960" s="7" t="str">
        <f t="shared" si="160"/>
        <v>Normal</v>
      </c>
      <c r="S960" s="5">
        <v>3</v>
      </c>
      <c r="T960" s="5">
        <v>2</v>
      </c>
      <c r="U960" s="5" t="str" cm="1">
        <f t="array" ref="U960">_xlfn.IFS(T960=1,"Poor",T960=2,"Fair",T960=3,"Good",T960=4,"Excellent")</f>
        <v>Fair</v>
      </c>
      <c r="V960" s="5" t="s">
        <v>43</v>
      </c>
      <c r="W960" s="5">
        <v>9</v>
      </c>
      <c r="X960" s="28">
        <f t="shared" ca="1" si="161"/>
        <v>42824</v>
      </c>
      <c r="Y960" s="28">
        <f t="shared" ca="1" si="162"/>
        <v>46476</v>
      </c>
      <c r="Z960" s="28" t="str">
        <f t="shared" ca="1" si="163"/>
        <v>Due Soon</v>
      </c>
      <c r="AA960" s="5" t="str" cm="1">
        <f t="array" ref="AA960">_xlfn.IFS(W960&gt;10,"Veteran",W960&gt;=6,"Experienced",W960&gt;=2,"Developing",W960&gt;=0,"New")</f>
        <v>Experienced</v>
      </c>
      <c r="AB960" s="5" t="str" cm="1">
        <f t="array" ref="AB960">_xlfn.IFS(G960=1,"Junior",G960=2,"Mid-Level",G960=3,"Senior",G960=4,"Lead",G960=5,"Principal")&amp;" "&amp;TRIM(PROPER(H960))</f>
        <v>Senior Healthcare Representative</v>
      </c>
      <c r="AC960" s="19" t="str">
        <f t="shared" ca="1" si="164"/>
        <v>He-Res-2017-959 is a Senior Healthcare Representative in the Research &amp; Development department, aged 34, divorced and has been with the Company for 9years</v>
      </c>
    </row>
    <row r="961" spans="1:29">
      <c r="A961" s="18" t="str">
        <f t="shared" ca="1" si="154"/>
        <v>Re-Res-2017-960</v>
      </c>
      <c r="B961" s="5">
        <v>40</v>
      </c>
      <c r="C961" s="5" t="str">
        <f t="shared" si="155"/>
        <v>40-49</v>
      </c>
      <c r="D961" s="5" t="s">
        <v>43</v>
      </c>
      <c r="E961" s="5" t="s">
        <v>45</v>
      </c>
      <c r="F961" s="5" t="s">
        <v>46</v>
      </c>
      <c r="G961" s="5">
        <v>2</v>
      </c>
      <c r="H961" s="5" t="s">
        <v>47</v>
      </c>
      <c r="I961" s="5" t="s">
        <v>41</v>
      </c>
      <c r="J961" s="7">
        <v>4661</v>
      </c>
      <c r="K961" s="7">
        <f t="shared" si="156"/>
        <v>699.15</v>
      </c>
      <c r="L961" s="7">
        <f t="shared" si="157"/>
        <v>3961.85</v>
      </c>
      <c r="M961" s="7">
        <v>22455</v>
      </c>
      <c r="N961" s="5" t="s">
        <v>43</v>
      </c>
      <c r="O961" s="5">
        <v>13</v>
      </c>
      <c r="P961" s="7">
        <f t="shared" si="158"/>
        <v>5266.9299999999994</v>
      </c>
      <c r="Q961" s="7">
        <f t="shared" si="159"/>
        <v>7271.1599999999926</v>
      </c>
      <c r="R961" s="7" t="str">
        <f t="shared" si="160"/>
        <v>Normal</v>
      </c>
      <c r="S961" s="5">
        <v>3</v>
      </c>
      <c r="T961" s="5">
        <v>3</v>
      </c>
      <c r="U961" s="5" t="str" cm="1">
        <f t="array" ref="U961">_xlfn.IFS(T961=1,"Poor",T961=2,"Fair",T961=3,"Good",T961=4,"Excellent")</f>
        <v>Good</v>
      </c>
      <c r="V961" s="5" t="s">
        <v>43</v>
      </c>
      <c r="W961" s="5">
        <v>9</v>
      </c>
      <c r="X961" s="28">
        <f t="shared" ca="1" si="161"/>
        <v>42824</v>
      </c>
      <c r="Y961" s="28">
        <f t="shared" ca="1" si="162"/>
        <v>46476</v>
      </c>
      <c r="Z961" s="28" t="str">
        <f t="shared" ca="1" si="163"/>
        <v>Due Soon</v>
      </c>
      <c r="AA961" s="5" t="str" cm="1">
        <f t="array" ref="AA961">_xlfn.IFS(W961&gt;10,"Veteran",W961&gt;=6,"Experienced",W961&gt;=2,"Developing",W961&gt;=0,"New")</f>
        <v>Experienced</v>
      </c>
      <c r="AB961" s="5" t="str" cm="1">
        <f t="array" ref="AB961">_xlfn.IFS(G961=1,"Junior",G961=2,"Mid-Level",G961=3,"Senior",G961=4,"Lead",G961=5,"Principal")&amp;" "&amp;TRIM(PROPER(H961))</f>
        <v>Mid-Level Research Scientist</v>
      </c>
      <c r="AC961" s="19" t="str">
        <f t="shared" ca="1" si="164"/>
        <v>Re-Res-2017-960 is a Mid-Level Research Scientist in the Research &amp; Development department, aged 40, single and has been with the Company for 9years</v>
      </c>
    </row>
    <row r="962" spans="1:29">
      <c r="A962" s="18" t="str">
        <f t="shared" ca="1" si="154"/>
        <v>Sa-Sal-2017-961</v>
      </c>
      <c r="B962" s="5">
        <v>41</v>
      </c>
      <c r="C962" s="5" t="str">
        <f t="shared" si="155"/>
        <v>40-49</v>
      </c>
      <c r="D962" s="5" t="s">
        <v>43</v>
      </c>
      <c r="E962" s="5" t="s">
        <v>37</v>
      </c>
      <c r="F962" s="5" t="s">
        <v>39</v>
      </c>
      <c r="G962" s="5">
        <v>2</v>
      </c>
      <c r="H962" s="5" t="s">
        <v>40</v>
      </c>
      <c r="I962" s="5" t="s">
        <v>52</v>
      </c>
      <c r="J962" s="7">
        <v>4103</v>
      </c>
      <c r="K962" s="7">
        <f t="shared" si="156"/>
        <v>615.44999999999993</v>
      </c>
      <c r="L962" s="7">
        <f t="shared" si="157"/>
        <v>3487.55</v>
      </c>
      <c r="M962" s="7">
        <v>4297</v>
      </c>
      <c r="N962" s="5" t="s">
        <v>43</v>
      </c>
      <c r="O962" s="5">
        <v>17</v>
      </c>
      <c r="P962" s="7">
        <f t="shared" si="158"/>
        <v>4800.5099999999993</v>
      </c>
      <c r="Q962" s="7">
        <f t="shared" si="159"/>
        <v>8370.1199999999917</v>
      </c>
      <c r="R962" s="7" t="str">
        <f t="shared" si="160"/>
        <v>Normal</v>
      </c>
      <c r="S962" s="5">
        <v>3</v>
      </c>
      <c r="T962" s="5">
        <v>3</v>
      </c>
      <c r="U962" s="5" t="str" cm="1">
        <f t="array" ref="U962">_xlfn.IFS(T962=1,"Poor",T962=2,"Fair",T962=3,"Good",T962=4,"Excellent")</f>
        <v>Good</v>
      </c>
      <c r="V962" s="5" t="s">
        <v>43</v>
      </c>
      <c r="W962" s="5">
        <v>9</v>
      </c>
      <c r="X962" s="28">
        <f t="shared" ca="1" si="161"/>
        <v>42824</v>
      </c>
      <c r="Y962" s="28">
        <f t="shared" ca="1" si="162"/>
        <v>46476</v>
      </c>
      <c r="Z962" s="28" t="str">
        <f t="shared" ca="1" si="163"/>
        <v>Due Soon</v>
      </c>
      <c r="AA962" s="5" t="str" cm="1">
        <f t="array" ref="AA962">_xlfn.IFS(W962&gt;10,"Veteran",W962&gt;=6,"Experienced",W962&gt;=2,"Developing",W962&gt;=0,"New")</f>
        <v>Experienced</v>
      </c>
      <c r="AB962" s="5" t="str" cm="1">
        <f t="array" ref="AB962">_xlfn.IFS(G962=1,"Junior",G962=2,"Mid-Level",G962=3,"Senior",G962=4,"Lead",G962=5,"Principal")&amp;" "&amp;TRIM(PROPER(H962))</f>
        <v>Mid-Level Sales Executive</v>
      </c>
      <c r="AC962" s="19" t="str">
        <f t="shared" ca="1" si="164"/>
        <v>Sa-Sal-2017-961 is a Mid-Level Sales Executive in the Sales department, aged 41, divorced and has been with the Company for 9years</v>
      </c>
    </row>
    <row r="963" spans="1:29">
      <c r="A963" s="18" t="str">
        <f t="shared" ref="A963:A1026" ca="1" si="165">LEFT(H963,2)&amp;"-"&amp;LEFT(E963,3)&amp;"-"&amp;YEAR(TODAY())-W963&amp;"-"&amp;TEXT(ROW()-1,"000")</f>
        <v>Re-Res-2017-962</v>
      </c>
      <c r="B963" s="5">
        <v>35</v>
      </c>
      <c r="C963" s="5" t="str">
        <f t="shared" ref="C963:C1026" si="166">IF(B963&lt;=29,"20-29",IF(B963&lt;=39,"30-39",IF(B963&lt;=49,"40-49","50+")))</f>
        <v>30-39</v>
      </c>
      <c r="D963" s="5" t="s">
        <v>43</v>
      </c>
      <c r="E963" s="5" t="s">
        <v>45</v>
      </c>
      <c r="F963" s="5" t="s">
        <v>46</v>
      </c>
      <c r="G963" s="5">
        <v>2</v>
      </c>
      <c r="H963" s="5" t="s">
        <v>47</v>
      </c>
      <c r="I963" s="5" t="s">
        <v>41</v>
      </c>
      <c r="J963" s="7">
        <v>4249</v>
      </c>
      <c r="K963" s="7">
        <f t="shared" ref="K963:K1026" si="167">IF(J963&gt;13000,J963*30%,IF(J963&gt;7000,J963*22%,IF(J963&gt;3000,J963*15%,J963*7%)))</f>
        <v>637.35</v>
      </c>
      <c r="L963" s="7">
        <f t="shared" ref="L963:L1026" si="168">J963-K963</f>
        <v>3611.65</v>
      </c>
      <c r="M963" s="7">
        <v>2690</v>
      </c>
      <c r="N963" s="5" t="s">
        <v>35</v>
      </c>
      <c r="O963" s="5">
        <v>11</v>
      </c>
      <c r="P963" s="7">
        <f t="shared" ref="P963:P1026" si="169">J963*(1+(O963/100))</f>
        <v>4716.3900000000003</v>
      </c>
      <c r="Q963" s="7">
        <f t="shared" ref="Q963:Q1026" si="170">(P963-J963)*12</f>
        <v>5608.6800000000039</v>
      </c>
      <c r="R963" s="7" t="str">
        <f t="shared" ref="R963:R1026" si="171">IF(AND(O963&lt;12,S963=4),"UnderPaid","Normal")</f>
        <v>Normal</v>
      </c>
      <c r="S963" s="5">
        <v>3</v>
      </c>
      <c r="T963" s="5">
        <v>3</v>
      </c>
      <c r="U963" s="5" t="str" cm="1">
        <f t="array" ref="U963">_xlfn.IFS(T963=1,"Poor",T963=2,"Fair",T963=3,"Good",T963=4,"Excellent")</f>
        <v>Good</v>
      </c>
      <c r="V963" s="5" t="s">
        <v>35</v>
      </c>
      <c r="W963" s="5">
        <v>9</v>
      </c>
      <c r="X963" s="28">
        <f t="shared" ref="X963:X1026" ca="1" si="172">EDATE(TODAY(),-W963*12)</f>
        <v>42824</v>
      </c>
      <c r="Y963" s="28">
        <f t="shared" ref="Y963:Y1026" ca="1" si="173">EDATE(X963,(INT(W963/2)+1)*24)</f>
        <v>46476</v>
      </c>
      <c r="Z963" s="28" t="str">
        <f t="shared" ref="Z963:Z1026" ca="1" si="174">IF(Y963&lt;=EDATE(TODAY(),12),"Due Soon","Upcoming")</f>
        <v>Due Soon</v>
      </c>
      <c r="AA963" s="5" t="str" cm="1">
        <f t="array" ref="AA963">_xlfn.IFS(W963&gt;10,"Veteran",W963&gt;=6,"Experienced",W963&gt;=2,"Developing",W963&gt;=0,"New")</f>
        <v>Experienced</v>
      </c>
      <c r="AB963" s="5" t="str" cm="1">
        <f t="array" ref="AB963">_xlfn.IFS(G963=1,"Junior",G963=2,"Mid-Level",G963=3,"Senior",G963=4,"Lead",G963=5,"Principal")&amp;" "&amp;TRIM(PROPER(H963))</f>
        <v>Mid-Level Research Scientist</v>
      </c>
      <c r="AC963" s="19" t="str">
        <f t="shared" ref="AC963:AC1026" ca="1" si="175">A963&amp;" is a "&amp;AB963&amp;" in the "&amp;E963&amp;" department, aged "&amp;B963&amp;", "&amp;LOWER(I963)&amp;" and has been with the Company for "&amp;W963&amp;"years"</f>
        <v>Re-Res-2017-962 is a Mid-Level Research Scientist in the Research &amp; Development department, aged 35, single and has been with the Company for 9years</v>
      </c>
    </row>
    <row r="964" spans="1:29">
      <c r="A964" s="18" t="str">
        <f t="shared" ca="1" si="165"/>
        <v>Ma-Hum-1993-963</v>
      </c>
      <c r="B964" s="5">
        <v>51</v>
      </c>
      <c r="C964" s="5" t="str">
        <f t="shared" si="166"/>
        <v>50+</v>
      </c>
      <c r="D964" s="5" t="s">
        <v>43</v>
      </c>
      <c r="E964" s="5" t="s">
        <v>61</v>
      </c>
      <c r="F964" s="5" t="s">
        <v>46</v>
      </c>
      <c r="G964" s="5">
        <v>4</v>
      </c>
      <c r="H964" s="5" t="s">
        <v>56</v>
      </c>
      <c r="I964" s="5" t="s">
        <v>52</v>
      </c>
      <c r="J964" s="7">
        <v>14026</v>
      </c>
      <c r="K964" s="7">
        <f t="shared" si="167"/>
        <v>4207.8</v>
      </c>
      <c r="L964" s="7">
        <f t="shared" si="168"/>
        <v>9818.2000000000007</v>
      </c>
      <c r="M964" s="7">
        <v>17588</v>
      </c>
      <c r="N964" s="5" t="s">
        <v>35</v>
      </c>
      <c r="O964" s="5">
        <v>11</v>
      </c>
      <c r="P964" s="7">
        <f t="shared" si="169"/>
        <v>15568.86</v>
      </c>
      <c r="Q964" s="7">
        <f t="shared" si="170"/>
        <v>18514.320000000007</v>
      </c>
      <c r="R964" s="7" t="str">
        <f t="shared" si="171"/>
        <v>Normal</v>
      </c>
      <c r="S964" s="5">
        <v>3</v>
      </c>
      <c r="T964" s="5">
        <v>3</v>
      </c>
      <c r="U964" s="5" t="str" cm="1">
        <f t="array" ref="U964">_xlfn.IFS(T964=1,"Poor",T964=2,"Fair",T964=3,"Good",T964=4,"Excellent")</f>
        <v>Good</v>
      </c>
      <c r="V964" s="5" t="s">
        <v>35</v>
      </c>
      <c r="W964" s="5">
        <v>33</v>
      </c>
      <c r="X964" s="28">
        <f t="shared" ca="1" si="172"/>
        <v>34058</v>
      </c>
      <c r="Y964" s="28">
        <f t="shared" ca="1" si="173"/>
        <v>46476</v>
      </c>
      <c r="Z964" s="28" t="str">
        <f t="shared" ca="1" si="174"/>
        <v>Due Soon</v>
      </c>
      <c r="AA964" s="5" t="str" cm="1">
        <f t="array" ref="AA964">_xlfn.IFS(W964&gt;10,"Veteran",W964&gt;=6,"Experienced",W964&gt;=2,"Developing",W964&gt;=0,"New")</f>
        <v>Veteran</v>
      </c>
      <c r="AB964" s="5" t="str" cm="1">
        <f t="array" ref="AB964">_xlfn.IFS(G964=1,"Junior",G964=2,"Mid-Level",G964=3,"Senior",G964=4,"Lead",G964=5,"Principal")&amp;" "&amp;TRIM(PROPER(H964))</f>
        <v>Lead Manager</v>
      </c>
      <c r="AC964" s="19" t="str">
        <f t="shared" ca="1" si="175"/>
        <v>Ma-Hum-1993-963 is a Lead Manager in the Human Resources department, aged 51, divorced and has been with the Company for 33years</v>
      </c>
    </row>
    <row r="965" spans="1:29">
      <c r="A965" s="18" t="str">
        <f t="shared" ca="1" si="165"/>
        <v>Sa-Sal-2019-964</v>
      </c>
      <c r="B965" s="5">
        <v>38</v>
      </c>
      <c r="C965" s="5" t="str">
        <f t="shared" si="166"/>
        <v>30-39</v>
      </c>
      <c r="D965" s="5" t="s">
        <v>43</v>
      </c>
      <c r="E965" s="5" t="s">
        <v>37</v>
      </c>
      <c r="F965" s="5" t="s">
        <v>39</v>
      </c>
      <c r="G965" s="5">
        <v>2</v>
      </c>
      <c r="H965" s="5" t="s">
        <v>40</v>
      </c>
      <c r="I965" s="5" t="s">
        <v>52</v>
      </c>
      <c r="J965" s="7">
        <v>6893</v>
      </c>
      <c r="K965" s="7">
        <f t="shared" si="167"/>
        <v>1033.95</v>
      </c>
      <c r="L965" s="7">
        <f t="shared" si="168"/>
        <v>5859.05</v>
      </c>
      <c r="M965" s="7">
        <v>19461</v>
      </c>
      <c r="N965" s="5" t="s">
        <v>43</v>
      </c>
      <c r="O965" s="5">
        <v>15</v>
      </c>
      <c r="P965" s="7">
        <f t="shared" si="169"/>
        <v>7926.95</v>
      </c>
      <c r="Q965" s="7">
        <f t="shared" si="170"/>
        <v>12407.399999999998</v>
      </c>
      <c r="R965" s="7" t="str">
        <f t="shared" si="171"/>
        <v>Normal</v>
      </c>
      <c r="S965" s="5">
        <v>3</v>
      </c>
      <c r="T965" s="5">
        <v>3</v>
      </c>
      <c r="U965" s="5" t="str" cm="1">
        <f t="array" ref="U965">_xlfn.IFS(T965=1,"Poor",T965=2,"Fair",T965=3,"Good",T965=4,"Excellent")</f>
        <v>Good</v>
      </c>
      <c r="V965" s="5" t="s">
        <v>43</v>
      </c>
      <c r="W965" s="5">
        <v>7</v>
      </c>
      <c r="X965" s="28">
        <f t="shared" ca="1" si="172"/>
        <v>43554</v>
      </c>
      <c r="Y965" s="28">
        <f t="shared" ca="1" si="173"/>
        <v>46476</v>
      </c>
      <c r="Z965" s="28" t="str">
        <f t="shared" ca="1" si="174"/>
        <v>Due Soon</v>
      </c>
      <c r="AA965" s="5" t="str" cm="1">
        <f t="array" ref="AA965">_xlfn.IFS(W965&gt;10,"Veteran",W965&gt;=6,"Experienced",W965&gt;=2,"Developing",W965&gt;=0,"New")</f>
        <v>Experienced</v>
      </c>
      <c r="AB965" s="5" t="str" cm="1">
        <f t="array" ref="AB965">_xlfn.IFS(G965=1,"Junior",G965=2,"Mid-Level",G965=3,"Senior",G965=4,"Lead",G965=5,"Principal")&amp;" "&amp;TRIM(PROPER(H965))</f>
        <v>Mid-Level Sales Executive</v>
      </c>
      <c r="AC965" s="19" t="str">
        <f t="shared" ca="1" si="175"/>
        <v>Sa-Sal-2019-964 is a Mid-Level Sales Executive in the Sales department, aged 38, divorced and has been with the Company for 7years</v>
      </c>
    </row>
    <row r="966" spans="1:29">
      <c r="A966" s="18" t="str">
        <f t="shared" ca="1" si="165"/>
        <v>Sa-Sal-2016-965</v>
      </c>
      <c r="B966" s="5">
        <v>34</v>
      </c>
      <c r="C966" s="5" t="str">
        <f t="shared" si="166"/>
        <v>30-39</v>
      </c>
      <c r="D966" s="5" t="s">
        <v>43</v>
      </c>
      <c r="E966" s="5" t="s">
        <v>37</v>
      </c>
      <c r="F966" s="5" t="s">
        <v>39</v>
      </c>
      <c r="G966" s="5">
        <v>2</v>
      </c>
      <c r="H966" s="5" t="s">
        <v>40</v>
      </c>
      <c r="I966" s="5" t="s">
        <v>41</v>
      </c>
      <c r="J966" s="7">
        <v>6125</v>
      </c>
      <c r="K966" s="7">
        <f t="shared" si="167"/>
        <v>918.75</v>
      </c>
      <c r="L966" s="7">
        <f t="shared" si="168"/>
        <v>5206.25</v>
      </c>
      <c r="M966" s="7">
        <v>23553</v>
      </c>
      <c r="N966" s="5" t="s">
        <v>43</v>
      </c>
      <c r="O966" s="5">
        <v>12</v>
      </c>
      <c r="P966" s="7">
        <f t="shared" si="169"/>
        <v>6860.0000000000009</v>
      </c>
      <c r="Q966" s="7">
        <f t="shared" si="170"/>
        <v>8820.0000000000109</v>
      </c>
      <c r="R966" s="7" t="str">
        <f t="shared" si="171"/>
        <v>Normal</v>
      </c>
      <c r="S966" s="5">
        <v>3</v>
      </c>
      <c r="T966" s="5">
        <v>4</v>
      </c>
      <c r="U966" s="5" t="str" cm="1">
        <f t="array" ref="U966">_xlfn.IFS(T966=1,"Poor",T966=2,"Fair",T966=3,"Good",T966=4,"Excellent")</f>
        <v>Excellent</v>
      </c>
      <c r="V966" s="5" t="s">
        <v>43</v>
      </c>
      <c r="W966" s="5">
        <v>10</v>
      </c>
      <c r="X966" s="28">
        <f t="shared" ca="1" si="172"/>
        <v>42459</v>
      </c>
      <c r="Y966" s="28">
        <f t="shared" ca="1" si="173"/>
        <v>46842</v>
      </c>
      <c r="Z966" s="28" t="str">
        <f t="shared" ca="1" si="174"/>
        <v>Upcoming</v>
      </c>
      <c r="AA966" s="5" t="str" cm="1">
        <f t="array" ref="AA966">_xlfn.IFS(W966&gt;10,"Veteran",W966&gt;=6,"Experienced",W966&gt;=2,"Developing",W966&gt;=0,"New")</f>
        <v>Experienced</v>
      </c>
      <c r="AB966" s="5" t="str" cm="1">
        <f t="array" ref="AB966">_xlfn.IFS(G966=1,"Junior",G966=2,"Mid-Level",G966=3,"Senior",G966=4,"Lead",G966=5,"Principal")&amp;" "&amp;TRIM(PROPER(H966))</f>
        <v>Mid-Level Sales Executive</v>
      </c>
      <c r="AC966" s="19" t="str">
        <f t="shared" ca="1" si="175"/>
        <v>Sa-Sal-2016-965 is a Mid-Level Sales Executive in the Sales department, aged 34, single and has been with the Company for 10years</v>
      </c>
    </row>
    <row r="967" spans="1:29">
      <c r="A967" s="18" t="str">
        <f t="shared" ca="1" si="165"/>
        <v>La-Res-2023-966</v>
      </c>
      <c r="B967" s="5">
        <v>25</v>
      </c>
      <c r="C967" s="5" t="str">
        <f t="shared" si="166"/>
        <v>20-29</v>
      </c>
      <c r="D967" s="5" t="s">
        <v>43</v>
      </c>
      <c r="E967" s="5" t="s">
        <v>45</v>
      </c>
      <c r="F967" s="5" t="s">
        <v>46</v>
      </c>
      <c r="G967" s="5">
        <v>1</v>
      </c>
      <c r="H967" s="5" t="s">
        <v>50</v>
      </c>
      <c r="I967" s="5" t="s">
        <v>48</v>
      </c>
      <c r="J967" s="7">
        <v>3669</v>
      </c>
      <c r="K967" s="7">
        <f t="shared" si="167"/>
        <v>550.35</v>
      </c>
      <c r="L967" s="7">
        <f t="shared" si="168"/>
        <v>3118.65</v>
      </c>
      <c r="M967" s="7">
        <v>9075</v>
      </c>
      <c r="N967" s="5" t="s">
        <v>43</v>
      </c>
      <c r="O967" s="5">
        <v>11</v>
      </c>
      <c r="P967" s="7">
        <f t="shared" si="169"/>
        <v>4072.59</v>
      </c>
      <c r="Q967" s="7">
        <f t="shared" si="170"/>
        <v>4843.0800000000017</v>
      </c>
      <c r="R967" s="7" t="str">
        <f t="shared" si="171"/>
        <v>Normal</v>
      </c>
      <c r="S967" s="5">
        <v>3</v>
      </c>
      <c r="T967" s="5">
        <v>2</v>
      </c>
      <c r="U967" s="5" t="str" cm="1">
        <f t="array" ref="U967">_xlfn.IFS(T967=1,"Poor",T967=2,"Fair",T967=3,"Good",T967=4,"Excellent")</f>
        <v>Fair</v>
      </c>
      <c r="V967" s="5" t="s">
        <v>43</v>
      </c>
      <c r="W967" s="5">
        <v>3</v>
      </c>
      <c r="X967" s="28">
        <f t="shared" ca="1" si="172"/>
        <v>45015</v>
      </c>
      <c r="Y967" s="28">
        <f t="shared" ca="1" si="173"/>
        <v>46476</v>
      </c>
      <c r="Z967" s="28" t="str">
        <f t="shared" ca="1" si="174"/>
        <v>Due Soon</v>
      </c>
      <c r="AA967" s="5" t="str" cm="1">
        <f t="array" ref="AA967">_xlfn.IFS(W967&gt;10,"Veteran",W967&gt;=6,"Experienced",W967&gt;=2,"Developing",W967&gt;=0,"New")</f>
        <v>Developing</v>
      </c>
      <c r="AB967" s="5" t="str" cm="1">
        <f t="array" ref="AB967">_xlfn.IFS(G967=1,"Junior",G967=2,"Mid-Level",G967=3,"Senior",G967=4,"Lead",G967=5,"Principal")&amp;" "&amp;TRIM(PROPER(H967))</f>
        <v>Junior Laboratory Technician</v>
      </c>
      <c r="AC967" s="19" t="str">
        <f t="shared" ca="1" si="175"/>
        <v>La-Res-2023-966 is a Junior Laboratory Technician in the Research &amp; Development department, aged 25, married and has been with the Company for 3years</v>
      </c>
    </row>
    <row r="968" spans="1:29">
      <c r="A968" s="18" t="str">
        <f t="shared" ca="1" si="165"/>
        <v>Ma-Res-2016-967</v>
      </c>
      <c r="B968" s="5">
        <v>58</v>
      </c>
      <c r="C968" s="5" t="str">
        <f t="shared" si="166"/>
        <v>50+</v>
      </c>
      <c r="D968" s="5" t="s">
        <v>35</v>
      </c>
      <c r="E968" s="5" t="s">
        <v>45</v>
      </c>
      <c r="F968" s="5" t="s">
        <v>39</v>
      </c>
      <c r="G968" s="5">
        <v>3</v>
      </c>
      <c r="H968" s="5" t="s">
        <v>53</v>
      </c>
      <c r="I968" s="5" t="s">
        <v>48</v>
      </c>
      <c r="J968" s="7">
        <v>10008</v>
      </c>
      <c r="K968" s="7">
        <f t="shared" si="167"/>
        <v>2201.7600000000002</v>
      </c>
      <c r="L968" s="7">
        <f t="shared" si="168"/>
        <v>7806.24</v>
      </c>
      <c r="M968" s="7">
        <v>12023</v>
      </c>
      <c r="N968" s="5" t="s">
        <v>35</v>
      </c>
      <c r="O968" s="5">
        <v>14</v>
      </c>
      <c r="P968" s="7">
        <f t="shared" si="169"/>
        <v>11409.12</v>
      </c>
      <c r="Q968" s="7">
        <f t="shared" si="170"/>
        <v>16813.44000000001</v>
      </c>
      <c r="R968" s="7" t="str">
        <f t="shared" si="171"/>
        <v>Normal</v>
      </c>
      <c r="S968" s="5">
        <v>3</v>
      </c>
      <c r="T968" s="5">
        <v>2</v>
      </c>
      <c r="U968" s="5" t="str" cm="1">
        <f t="array" ref="U968">_xlfn.IFS(T968=1,"Poor",T968=2,"Fair",T968=3,"Good",T968=4,"Excellent")</f>
        <v>Fair</v>
      </c>
      <c r="V968" s="5" t="s">
        <v>35</v>
      </c>
      <c r="W968" s="5">
        <v>10</v>
      </c>
      <c r="X968" s="28">
        <f t="shared" ca="1" si="172"/>
        <v>42459</v>
      </c>
      <c r="Y968" s="28">
        <f t="shared" ca="1" si="173"/>
        <v>46842</v>
      </c>
      <c r="Z968" s="28" t="str">
        <f t="shared" ca="1" si="174"/>
        <v>Upcoming</v>
      </c>
      <c r="AA968" s="5" t="str" cm="1">
        <f t="array" ref="AA968">_xlfn.IFS(W968&gt;10,"Veteran",W968&gt;=6,"Experienced",W968&gt;=2,"Developing",W968&gt;=0,"New")</f>
        <v>Experienced</v>
      </c>
      <c r="AB968" s="5" t="str" cm="1">
        <f t="array" ref="AB968">_xlfn.IFS(G968=1,"Junior",G968=2,"Mid-Level",G968=3,"Senior",G968=4,"Lead",G968=5,"Principal")&amp;" "&amp;TRIM(PROPER(H968))</f>
        <v>Senior Manufacturing Director</v>
      </c>
      <c r="AC968" s="19" t="str">
        <f t="shared" ca="1" si="175"/>
        <v>Ma-Res-2016-967 is a Senior Manufacturing Director in the Research &amp; Development department, aged 58, married and has been with the Company for 10years</v>
      </c>
    </row>
    <row r="969" spans="1:29">
      <c r="A969" s="18" t="str">
        <f t="shared" ca="1" si="165"/>
        <v>La-Res-2022-968</v>
      </c>
      <c r="B969" s="5">
        <v>40</v>
      </c>
      <c r="C969" s="5" t="str">
        <f t="shared" si="166"/>
        <v>40-49</v>
      </c>
      <c r="D969" s="5" t="s">
        <v>43</v>
      </c>
      <c r="E969" s="5" t="s">
        <v>45</v>
      </c>
      <c r="F969" s="5" t="s">
        <v>46</v>
      </c>
      <c r="G969" s="5">
        <v>1</v>
      </c>
      <c r="H969" s="5" t="s">
        <v>50</v>
      </c>
      <c r="I969" s="5" t="s">
        <v>48</v>
      </c>
      <c r="J969" s="7">
        <v>2387</v>
      </c>
      <c r="K969" s="7">
        <f t="shared" si="167"/>
        <v>167.09</v>
      </c>
      <c r="L969" s="7">
        <f t="shared" si="168"/>
        <v>2219.91</v>
      </c>
      <c r="M969" s="7">
        <v>6762</v>
      </c>
      <c r="N969" s="5" t="s">
        <v>43</v>
      </c>
      <c r="O969" s="5">
        <v>22</v>
      </c>
      <c r="P969" s="7">
        <f t="shared" si="169"/>
        <v>2912.14</v>
      </c>
      <c r="Q969" s="7">
        <f t="shared" si="170"/>
        <v>6301.6799999999985</v>
      </c>
      <c r="R969" s="7" t="str">
        <f t="shared" si="171"/>
        <v>Normal</v>
      </c>
      <c r="S969" s="5">
        <v>4</v>
      </c>
      <c r="T969" s="5">
        <v>3</v>
      </c>
      <c r="U969" s="5" t="str" cm="1">
        <f t="array" ref="U969">_xlfn.IFS(T969=1,"Poor",T969=2,"Fair",T969=3,"Good",T969=4,"Excellent")</f>
        <v>Good</v>
      </c>
      <c r="V969" s="5" t="s">
        <v>43</v>
      </c>
      <c r="W969" s="5">
        <v>4</v>
      </c>
      <c r="X969" s="28">
        <f t="shared" ca="1" si="172"/>
        <v>44650</v>
      </c>
      <c r="Y969" s="28">
        <f t="shared" ca="1" si="173"/>
        <v>46842</v>
      </c>
      <c r="Z969" s="28" t="str">
        <f t="shared" ca="1" si="174"/>
        <v>Upcoming</v>
      </c>
      <c r="AA969" s="5" t="str" cm="1">
        <f t="array" ref="AA969">_xlfn.IFS(W969&gt;10,"Veteran",W969&gt;=6,"Experienced",W969&gt;=2,"Developing",W969&gt;=0,"New")</f>
        <v>Developing</v>
      </c>
      <c r="AB969" s="5" t="str" cm="1">
        <f t="array" ref="AB969">_xlfn.IFS(G969=1,"Junior",G969=2,"Mid-Level",G969=3,"Senior",G969=4,"Lead",G969=5,"Principal")&amp;" "&amp;TRIM(PROPER(H969))</f>
        <v>Junior Laboratory Technician</v>
      </c>
      <c r="AC969" s="19" t="str">
        <f t="shared" ca="1" si="175"/>
        <v>La-Res-2022-968 is a Junior Laboratory Technician in the Research &amp; Development department, aged 40, married and has been with the Company for 4years</v>
      </c>
    </row>
    <row r="970" spans="1:29">
      <c r="A970" s="18" t="str">
        <f t="shared" ca="1" si="165"/>
        <v>Sa-Sal-2011-969</v>
      </c>
      <c r="B970" s="5">
        <v>36</v>
      </c>
      <c r="C970" s="5" t="str">
        <f t="shared" si="166"/>
        <v>30-39</v>
      </c>
      <c r="D970" s="5" t="s">
        <v>43</v>
      </c>
      <c r="E970" s="5" t="s">
        <v>37</v>
      </c>
      <c r="F970" s="5" t="s">
        <v>39</v>
      </c>
      <c r="G970" s="5">
        <v>2</v>
      </c>
      <c r="H970" s="5" t="s">
        <v>40</v>
      </c>
      <c r="I970" s="5" t="s">
        <v>48</v>
      </c>
      <c r="J970" s="7">
        <v>4639</v>
      </c>
      <c r="K970" s="7">
        <f t="shared" si="167"/>
        <v>695.85</v>
      </c>
      <c r="L970" s="7">
        <f t="shared" si="168"/>
        <v>3943.15</v>
      </c>
      <c r="M970" s="7">
        <v>2261</v>
      </c>
      <c r="N970" s="5" t="s">
        <v>43</v>
      </c>
      <c r="O970" s="5">
        <v>16</v>
      </c>
      <c r="P970" s="7">
        <f t="shared" si="169"/>
        <v>5381.24</v>
      </c>
      <c r="Q970" s="7">
        <f t="shared" si="170"/>
        <v>8906.8799999999974</v>
      </c>
      <c r="R970" s="7" t="str">
        <f t="shared" si="171"/>
        <v>Normal</v>
      </c>
      <c r="S970" s="5">
        <v>3</v>
      </c>
      <c r="T970" s="5">
        <v>2</v>
      </c>
      <c r="U970" s="5" t="str" cm="1">
        <f t="array" ref="U970">_xlfn.IFS(T970=1,"Poor",T970=2,"Fair",T970=3,"Good",T970=4,"Excellent")</f>
        <v>Fair</v>
      </c>
      <c r="V970" s="5" t="s">
        <v>43</v>
      </c>
      <c r="W970" s="5">
        <v>15</v>
      </c>
      <c r="X970" s="28">
        <f t="shared" ca="1" si="172"/>
        <v>40632</v>
      </c>
      <c r="Y970" s="28">
        <f t="shared" ca="1" si="173"/>
        <v>46476</v>
      </c>
      <c r="Z970" s="28" t="str">
        <f t="shared" ca="1" si="174"/>
        <v>Due Soon</v>
      </c>
      <c r="AA970" s="5" t="str" cm="1">
        <f t="array" ref="AA970">_xlfn.IFS(W970&gt;10,"Veteran",W970&gt;=6,"Experienced",W970&gt;=2,"Developing",W970&gt;=0,"New")</f>
        <v>Veteran</v>
      </c>
      <c r="AB970" s="5" t="str" cm="1">
        <f t="array" ref="AB970">_xlfn.IFS(G970=1,"Junior",G970=2,"Mid-Level",G970=3,"Senior",G970=4,"Lead",G970=5,"Principal")&amp;" "&amp;TRIM(PROPER(H970))</f>
        <v>Mid-Level Sales Executive</v>
      </c>
      <c r="AC970" s="19" t="str">
        <f t="shared" ca="1" si="175"/>
        <v>Sa-Sal-2011-969 is a Mid-Level Sales Executive in the Sales department, aged 36, married and has been with the Company for 15years</v>
      </c>
    </row>
    <row r="971" spans="1:29">
      <c r="A971" s="18" t="str">
        <f t="shared" ca="1" si="165"/>
        <v>Ma-Res-2016-970</v>
      </c>
      <c r="B971" s="5">
        <v>48</v>
      </c>
      <c r="C971" s="5" t="str">
        <f t="shared" si="166"/>
        <v>40-49</v>
      </c>
      <c r="D971" s="5" t="s">
        <v>43</v>
      </c>
      <c r="E971" s="5" t="s">
        <v>45</v>
      </c>
      <c r="F971" s="5" t="s">
        <v>46</v>
      </c>
      <c r="G971" s="5">
        <v>3</v>
      </c>
      <c r="H971" s="5" t="s">
        <v>53</v>
      </c>
      <c r="I971" s="5" t="s">
        <v>41</v>
      </c>
      <c r="J971" s="7">
        <v>7898</v>
      </c>
      <c r="K971" s="7">
        <f t="shared" si="167"/>
        <v>1737.56</v>
      </c>
      <c r="L971" s="7">
        <f t="shared" si="168"/>
        <v>6160.4400000000005</v>
      </c>
      <c r="M971" s="7">
        <v>18706</v>
      </c>
      <c r="N971" s="5" t="s">
        <v>43</v>
      </c>
      <c r="O971" s="5">
        <v>11</v>
      </c>
      <c r="P971" s="7">
        <f t="shared" si="169"/>
        <v>8766.7800000000007</v>
      </c>
      <c r="Q971" s="7">
        <f t="shared" si="170"/>
        <v>10425.360000000008</v>
      </c>
      <c r="R971" s="7" t="str">
        <f t="shared" si="171"/>
        <v>Normal</v>
      </c>
      <c r="S971" s="5">
        <v>3</v>
      </c>
      <c r="T971" s="5">
        <v>3</v>
      </c>
      <c r="U971" s="5" t="str" cm="1">
        <f t="array" ref="U971">_xlfn.IFS(T971=1,"Poor",T971=2,"Fair",T971=3,"Good",T971=4,"Excellent")</f>
        <v>Good</v>
      </c>
      <c r="V971" s="5" t="s">
        <v>43</v>
      </c>
      <c r="W971" s="5">
        <v>10</v>
      </c>
      <c r="X971" s="28">
        <f t="shared" ca="1" si="172"/>
        <v>42459</v>
      </c>
      <c r="Y971" s="28">
        <f t="shared" ca="1" si="173"/>
        <v>46842</v>
      </c>
      <c r="Z971" s="28" t="str">
        <f t="shared" ca="1" si="174"/>
        <v>Upcoming</v>
      </c>
      <c r="AA971" s="5" t="str" cm="1">
        <f t="array" ref="AA971">_xlfn.IFS(W971&gt;10,"Veteran",W971&gt;=6,"Experienced",W971&gt;=2,"Developing",W971&gt;=0,"New")</f>
        <v>Experienced</v>
      </c>
      <c r="AB971" s="5" t="str" cm="1">
        <f t="array" ref="AB971">_xlfn.IFS(G971=1,"Junior",G971=2,"Mid-Level",G971=3,"Senior",G971=4,"Lead",G971=5,"Principal")&amp;" "&amp;TRIM(PROPER(H971))</f>
        <v>Senior Manufacturing Director</v>
      </c>
      <c r="AC971" s="19" t="str">
        <f t="shared" ca="1" si="175"/>
        <v>Ma-Res-2016-970 is a Senior Manufacturing Director in the Research &amp; Development department, aged 48, single and has been with the Company for 10years</v>
      </c>
    </row>
    <row r="972" spans="1:29">
      <c r="A972" s="18" t="str">
        <f t="shared" ca="1" si="165"/>
        <v>Sa-Sal-2025-971</v>
      </c>
      <c r="B972" s="5">
        <v>27</v>
      </c>
      <c r="C972" s="5" t="str">
        <f t="shared" si="166"/>
        <v>20-29</v>
      </c>
      <c r="D972" s="5" t="s">
        <v>43</v>
      </c>
      <c r="E972" s="5" t="s">
        <v>37</v>
      </c>
      <c r="F972" s="5" t="s">
        <v>39</v>
      </c>
      <c r="G972" s="5">
        <v>1</v>
      </c>
      <c r="H972" s="5" t="s">
        <v>57</v>
      </c>
      <c r="I972" s="5" t="s">
        <v>48</v>
      </c>
      <c r="J972" s="7">
        <v>2534</v>
      </c>
      <c r="K972" s="7">
        <f t="shared" si="167"/>
        <v>177.38000000000002</v>
      </c>
      <c r="L972" s="7">
        <f t="shared" si="168"/>
        <v>2356.62</v>
      </c>
      <c r="M972" s="7">
        <v>6527</v>
      </c>
      <c r="N972" s="5" t="s">
        <v>43</v>
      </c>
      <c r="O972" s="5">
        <v>14</v>
      </c>
      <c r="P972" s="7">
        <f t="shared" si="169"/>
        <v>2888.76</v>
      </c>
      <c r="Q972" s="7">
        <f t="shared" si="170"/>
        <v>4257.1200000000026</v>
      </c>
      <c r="R972" s="7" t="str">
        <f t="shared" si="171"/>
        <v>Normal</v>
      </c>
      <c r="S972" s="5">
        <v>3</v>
      </c>
      <c r="T972" s="5">
        <v>3</v>
      </c>
      <c r="U972" s="5" t="str" cm="1">
        <f t="array" ref="U972">_xlfn.IFS(T972=1,"Poor",T972=2,"Fair",T972=3,"Good",T972=4,"Excellent")</f>
        <v>Good</v>
      </c>
      <c r="V972" s="5" t="s">
        <v>43</v>
      </c>
      <c r="W972" s="5">
        <v>1</v>
      </c>
      <c r="X972" s="28">
        <f t="shared" ca="1" si="172"/>
        <v>45746</v>
      </c>
      <c r="Y972" s="28">
        <f t="shared" ca="1" si="173"/>
        <v>46476</v>
      </c>
      <c r="Z972" s="28" t="str">
        <f t="shared" ca="1" si="174"/>
        <v>Due Soon</v>
      </c>
      <c r="AA972" s="5" t="str" cm="1">
        <f t="array" ref="AA972">_xlfn.IFS(W972&gt;10,"Veteran",W972&gt;=6,"Experienced",W972&gt;=2,"Developing",W972&gt;=0,"New")</f>
        <v>New</v>
      </c>
      <c r="AB972" s="5" t="str" cm="1">
        <f t="array" ref="AB972">_xlfn.IFS(G972=1,"Junior",G972=2,"Mid-Level",G972=3,"Senior",G972=4,"Lead",G972=5,"Principal")&amp;" "&amp;TRIM(PROPER(H972))</f>
        <v>Junior Sales Representative</v>
      </c>
      <c r="AC972" s="19" t="str">
        <f t="shared" ca="1" si="175"/>
        <v>Sa-Sal-2025-971 is a Junior Sales Representative in the Sales department, aged 27, married and has been with the Company for 1years</v>
      </c>
    </row>
    <row r="973" spans="1:29">
      <c r="A973" s="18" t="str">
        <f t="shared" ca="1" si="165"/>
        <v>Ma-Res-2021-972</v>
      </c>
      <c r="B973" s="5">
        <v>51</v>
      </c>
      <c r="C973" s="5" t="str">
        <f t="shared" si="166"/>
        <v>50+</v>
      </c>
      <c r="D973" s="5" t="s">
        <v>43</v>
      </c>
      <c r="E973" s="5" t="s">
        <v>45</v>
      </c>
      <c r="F973" s="5" t="s">
        <v>39</v>
      </c>
      <c r="G973" s="5">
        <v>4</v>
      </c>
      <c r="H973" s="5" t="s">
        <v>53</v>
      </c>
      <c r="I973" s="5" t="s">
        <v>41</v>
      </c>
      <c r="J973" s="7">
        <v>13142</v>
      </c>
      <c r="K973" s="7">
        <f t="shared" si="167"/>
        <v>3942.6</v>
      </c>
      <c r="L973" s="7">
        <f t="shared" si="168"/>
        <v>9199.4</v>
      </c>
      <c r="M973" s="7">
        <v>24439</v>
      </c>
      <c r="N973" s="5" t="s">
        <v>43</v>
      </c>
      <c r="O973" s="5">
        <v>16</v>
      </c>
      <c r="P973" s="7">
        <f t="shared" si="169"/>
        <v>15244.72</v>
      </c>
      <c r="Q973" s="7">
        <f t="shared" si="170"/>
        <v>25232.639999999992</v>
      </c>
      <c r="R973" s="7" t="str">
        <f t="shared" si="171"/>
        <v>Normal</v>
      </c>
      <c r="S973" s="5">
        <v>3</v>
      </c>
      <c r="T973" s="5">
        <v>2</v>
      </c>
      <c r="U973" s="5" t="str" cm="1">
        <f t="array" ref="U973">_xlfn.IFS(T973=1,"Poor",T973=2,"Fair",T973=3,"Good",T973=4,"Excellent")</f>
        <v>Fair</v>
      </c>
      <c r="V973" s="5" t="s">
        <v>43</v>
      </c>
      <c r="W973" s="5">
        <v>5</v>
      </c>
      <c r="X973" s="28">
        <f t="shared" ca="1" si="172"/>
        <v>44285</v>
      </c>
      <c r="Y973" s="28">
        <f t="shared" ca="1" si="173"/>
        <v>46476</v>
      </c>
      <c r="Z973" s="28" t="str">
        <f t="shared" ca="1" si="174"/>
        <v>Due Soon</v>
      </c>
      <c r="AA973" s="5" t="str" cm="1">
        <f t="array" ref="AA973">_xlfn.IFS(W973&gt;10,"Veteran",W973&gt;=6,"Experienced",W973&gt;=2,"Developing",W973&gt;=0,"New")</f>
        <v>Developing</v>
      </c>
      <c r="AB973" s="5" t="str" cm="1">
        <f t="array" ref="AB973">_xlfn.IFS(G973=1,"Junior",G973=2,"Mid-Level",G973=3,"Senior",G973=4,"Lead",G973=5,"Principal")&amp;" "&amp;TRIM(PROPER(H973))</f>
        <v>Lead Manufacturing Director</v>
      </c>
      <c r="AC973" s="19" t="str">
        <f t="shared" ca="1" si="175"/>
        <v>Ma-Res-2021-972 is a Lead Manufacturing Director in the Research &amp; Development department, aged 51, single and has been with the Company for 5years</v>
      </c>
    </row>
    <row r="974" spans="1:29">
      <c r="A974" s="18" t="str">
        <f t="shared" ca="1" si="165"/>
        <v>La-Res-2026-973</v>
      </c>
      <c r="B974" s="5">
        <v>18</v>
      </c>
      <c r="C974" s="5" t="str">
        <f t="shared" si="166"/>
        <v>20-29</v>
      </c>
      <c r="D974" s="5" t="s">
        <v>43</v>
      </c>
      <c r="E974" s="5" t="s">
        <v>45</v>
      </c>
      <c r="F974" s="5" t="s">
        <v>39</v>
      </c>
      <c r="G974" s="5">
        <v>1</v>
      </c>
      <c r="H974" s="5" t="s">
        <v>50</v>
      </c>
      <c r="I974" s="5" t="s">
        <v>41</v>
      </c>
      <c r="J974" s="7">
        <v>1611</v>
      </c>
      <c r="K974" s="7">
        <f t="shared" si="167"/>
        <v>112.77000000000001</v>
      </c>
      <c r="L974" s="7">
        <f t="shared" si="168"/>
        <v>1498.23</v>
      </c>
      <c r="M974" s="7">
        <v>19305</v>
      </c>
      <c r="N974" s="5" t="s">
        <v>43</v>
      </c>
      <c r="O974" s="5">
        <v>15</v>
      </c>
      <c r="P974" s="7">
        <f t="shared" si="169"/>
        <v>1852.6499999999999</v>
      </c>
      <c r="Q974" s="7">
        <f t="shared" si="170"/>
        <v>2899.7999999999984</v>
      </c>
      <c r="R974" s="7" t="str">
        <f t="shared" si="171"/>
        <v>Normal</v>
      </c>
      <c r="S974" s="5">
        <v>3</v>
      </c>
      <c r="T974" s="5">
        <v>4</v>
      </c>
      <c r="U974" s="5" t="str" cm="1">
        <f t="array" ref="U974">_xlfn.IFS(T974=1,"Poor",T974=2,"Fair",T974=3,"Good",T974=4,"Excellent")</f>
        <v>Excellent</v>
      </c>
      <c r="V974" s="5" t="s">
        <v>43</v>
      </c>
      <c r="W974" s="5">
        <v>0</v>
      </c>
      <c r="X974" s="28">
        <f t="shared" ca="1" si="172"/>
        <v>46111</v>
      </c>
      <c r="Y974" s="28">
        <f t="shared" ca="1" si="173"/>
        <v>46842</v>
      </c>
      <c r="Z974" s="28" t="str">
        <f t="shared" ca="1" si="174"/>
        <v>Upcoming</v>
      </c>
      <c r="AA974" s="5" t="str" cm="1">
        <f t="array" ref="AA974">_xlfn.IFS(W974&gt;10,"Veteran",W974&gt;=6,"Experienced",W974&gt;=2,"Developing",W974&gt;=0,"New")</f>
        <v>New</v>
      </c>
      <c r="AB974" s="5" t="str" cm="1">
        <f t="array" ref="AB974">_xlfn.IFS(G974=1,"Junior",G974=2,"Mid-Level",G974=3,"Senior",G974=4,"Lead",G974=5,"Principal")&amp;" "&amp;TRIM(PROPER(H974))</f>
        <v>Junior Laboratory Technician</v>
      </c>
      <c r="AC974" s="19" t="str">
        <f t="shared" ca="1" si="175"/>
        <v>La-Res-2026-973 is a Junior Laboratory Technician in the Research &amp; Development department, aged 18, single and has been with the Company for 0years</v>
      </c>
    </row>
    <row r="975" spans="1:29">
      <c r="A975" s="18" t="str">
        <f t="shared" ca="1" si="165"/>
        <v>La-Res-2017-974</v>
      </c>
      <c r="B975" s="5">
        <v>35</v>
      </c>
      <c r="C975" s="5" t="str">
        <f t="shared" si="166"/>
        <v>30-39</v>
      </c>
      <c r="D975" s="5" t="s">
        <v>43</v>
      </c>
      <c r="E975" s="5" t="s">
        <v>45</v>
      </c>
      <c r="F975" s="5" t="s">
        <v>39</v>
      </c>
      <c r="G975" s="5">
        <v>2</v>
      </c>
      <c r="H975" s="5" t="s">
        <v>50</v>
      </c>
      <c r="I975" s="5" t="s">
        <v>48</v>
      </c>
      <c r="J975" s="7">
        <v>5363</v>
      </c>
      <c r="K975" s="7">
        <f t="shared" si="167"/>
        <v>804.44999999999993</v>
      </c>
      <c r="L975" s="7">
        <f t="shared" si="168"/>
        <v>4558.55</v>
      </c>
      <c r="M975" s="7">
        <v>10846</v>
      </c>
      <c r="N975" s="5" t="s">
        <v>43</v>
      </c>
      <c r="O975" s="5">
        <v>12</v>
      </c>
      <c r="P975" s="7">
        <f t="shared" si="169"/>
        <v>6006.56</v>
      </c>
      <c r="Q975" s="7">
        <f t="shared" si="170"/>
        <v>7722.7200000000048</v>
      </c>
      <c r="R975" s="7" t="str">
        <f t="shared" si="171"/>
        <v>Normal</v>
      </c>
      <c r="S975" s="5">
        <v>3</v>
      </c>
      <c r="T975" s="5">
        <v>3</v>
      </c>
      <c r="U975" s="5" t="str" cm="1">
        <f t="array" ref="U975">_xlfn.IFS(T975=1,"Poor",T975=2,"Fair",T975=3,"Good",T975=4,"Excellent")</f>
        <v>Good</v>
      </c>
      <c r="V975" s="5" t="s">
        <v>43</v>
      </c>
      <c r="W975" s="5">
        <v>9</v>
      </c>
      <c r="X975" s="28">
        <f t="shared" ca="1" si="172"/>
        <v>42824</v>
      </c>
      <c r="Y975" s="28">
        <f t="shared" ca="1" si="173"/>
        <v>46476</v>
      </c>
      <c r="Z975" s="28" t="str">
        <f t="shared" ca="1" si="174"/>
        <v>Due Soon</v>
      </c>
      <c r="AA975" s="5" t="str" cm="1">
        <f t="array" ref="AA975">_xlfn.IFS(W975&gt;10,"Veteran",W975&gt;=6,"Experienced",W975&gt;=2,"Developing",W975&gt;=0,"New")</f>
        <v>Experienced</v>
      </c>
      <c r="AB975" s="5" t="str" cm="1">
        <f t="array" ref="AB975">_xlfn.IFS(G975=1,"Junior",G975=2,"Mid-Level",G975=3,"Senior",G975=4,"Lead",G975=5,"Principal")&amp;" "&amp;TRIM(PROPER(H975))</f>
        <v>Mid-Level Laboratory Technician</v>
      </c>
      <c r="AC975" s="19" t="str">
        <f t="shared" ca="1" si="175"/>
        <v>La-Res-2017-974 is a Mid-Level Laboratory Technician in the Research &amp; Development department, aged 35, married and has been with the Company for 9years</v>
      </c>
    </row>
    <row r="976" spans="1:29">
      <c r="A976" s="18" t="str">
        <f t="shared" ca="1" si="165"/>
        <v>Sa-Sal-2020-975</v>
      </c>
      <c r="B976" s="5">
        <v>27</v>
      </c>
      <c r="C976" s="5" t="str">
        <f t="shared" si="166"/>
        <v>20-29</v>
      </c>
      <c r="D976" s="5" t="s">
        <v>43</v>
      </c>
      <c r="E976" s="5" t="s">
        <v>37</v>
      </c>
      <c r="F976" s="5" t="s">
        <v>46</v>
      </c>
      <c r="G976" s="5">
        <v>2</v>
      </c>
      <c r="H976" s="5" t="s">
        <v>40</v>
      </c>
      <c r="I976" s="5" t="s">
        <v>41</v>
      </c>
      <c r="J976" s="7">
        <v>5071</v>
      </c>
      <c r="K976" s="7">
        <f t="shared" si="167"/>
        <v>760.65</v>
      </c>
      <c r="L976" s="7">
        <f t="shared" si="168"/>
        <v>4310.3500000000004</v>
      </c>
      <c r="M976" s="7">
        <v>20392</v>
      </c>
      <c r="N976" s="5" t="s">
        <v>43</v>
      </c>
      <c r="O976" s="5">
        <v>20</v>
      </c>
      <c r="P976" s="7">
        <f t="shared" si="169"/>
        <v>6085.2</v>
      </c>
      <c r="Q976" s="7">
        <f t="shared" si="170"/>
        <v>12170.399999999998</v>
      </c>
      <c r="R976" s="7" t="str">
        <f t="shared" si="171"/>
        <v>Normal</v>
      </c>
      <c r="S976" s="5">
        <v>4</v>
      </c>
      <c r="T976" s="5">
        <v>3</v>
      </c>
      <c r="U976" s="5" t="str" cm="1">
        <f t="array" ref="U976">_xlfn.IFS(T976=1,"Poor",T976=2,"Fair",T976=3,"Good",T976=4,"Excellent")</f>
        <v>Good</v>
      </c>
      <c r="V976" s="5" t="s">
        <v>43</v>
      </c>
      <c r="W976" s="5">
        <v>6</v>
      </c>
      <c r="X976" s="28">
        <f t="shared" ca="1" si="172"/>
        <v>43920</v>
      </c>
      <c r="Y976" s="28">
        <f t="shared" ca="1" si="173"/>
        <v>46842</v>
      </c>
      <c r="Z976" s="28" t="str">
        <f t="shared" ca="1" si="174"/>
        <v>Upcoming</v>
      </c>
      <c r="AA976" s="5" t="str" cm="1">
        <f t="array" ref="AA976">_xlfn.IFS(W976&gt;10,"Veteran",W976&gt;=6,"Experienced",W976&gt;=2,"Developing",W976&gt;=0,"New")</f>
        <v>Experienced</v>
      </c>
      <c r="AB976" s="5" t="str" cm="1">
        <f t="array" ref="AB976">_xlfn.IFS(G976=1,"Junior",G976=2,"Mid-Level",G976=3,"Senior",G976=4,"Lead",G976=5,"Principal")&amp;" "&amp;TRIM(PROPER(H976))</f>
        <v>Mid-Level Sales Executive</v>
      </c>
      <c r="AC976" s="19" t="str">
        <f t="shared" ca="1" si="175"/>
        <v>Sa-Sal-2020-975 is a Mid-Level Sales Executive in the Sales department, aged 27, single and has been with the Company for 6years</v>
      </c>
    </row>
    <row r="977" spans="1:29">
      <c r="A977" s="18" t="str">
        <f t="shared" ca="1" si="165"/>
        <v>Sa-Sal-2007-976</v>
      </c>
      <c r="B977" s="5">
        <v>55</v>
      </c>
      <c r="C977" s="5" t="str">
        <f t="shared" si="166"/>
        <v>50+</v>
      </c>
      <c r="D977" s="5" t="s">
        <v>35</v>
      </c>
      <c r="E977" s="5" t="s">
        <v>37</v>
      </c>
      <c r="F977" s="5" t="s">
        <v>46</v>
      </c>
      <c r="G977" s="5">
        <v>4</v>
      </c>
      <c r="H977" s="5" t="s">
        <v>40</v>
      </c>
      <c r="I977" s="5" t="s">
        <v>41</v>
      </c>
      <c r="J977" s="7">
        <v>13695</v>
      </c>
      <c r="K977" s="7">
        <f t="shared" si="167"/>
        <v>4108.5</v>
      </c>
      <c r="L977" s="7">
        <f t="shared" si="168"/>
        <v>9586.5</v>
      </c>
      <c r="M977" s="7">
        <v>9277</v>
      </c>
      <c r="N977" s="5" t="s">
        <v>35</v>
      </c>
      <c r="O977" s="5">
        <v>17</v>
      </c>
      <c r="P977" s="7">
        <f t="shared" si="169"/>
        <v>16023.15</v>
      </c>
      <c r="Q977" s="7">
        <f t="shared" si="170"/>
        <v>27937.799999999996</v>
      </c>
      <c r="R977" s="7" t="str">
        <f t="shared" si="171"/>
        <v>Normal</v>
      </c>
      <c r="S977" s="5">
        <v>3</v>
      </c>
      <c r="T977" s="5">
        <v>2</v>
      </c>
      <c r="U977" s="5" t="str" cm="1">
        <f t="array" ref="U977">_xlfn.IFS(T977=1,"Poor",T977=2,"Fair",T977=3,"Good",T977=4,"Excellent")</f>
        <v>Fair</v>
      </c>
      <c r="V977" s="5" t="s">
        <v>35</v>
      </c>
      <c r="W977" s="5">
        <v>19</v>
      </c>
      <c r="X977" s="28">
        <f t="shared" ca="1" si="172"/>
        <v>39171</v>
      </c>
      <c r="Y977" s="28">
        <f t="shared" ca="1" si="173"/>
        <v>46476</v>
      </c>
      <c r="Z977" s="28" t="str">
        <f t="shared" ca="1" si="174"/>
        <v>Due Soon</v>
      </c>
      <c r="AA977" s="5" t="str" cm="1">
        <f t="array" ref="AA977">_xlfn.IFS(W977&gt;10,"Veteran",W977&gt;=6,"Experienced",W977&gt;=2,"Developing",W977&gt;=0,"New")</f>
        <v>Veteran</v>
      </c>
      <c r="AB977" s="5" t="str" cm="1">
        <f t="array" ref="AB977">_xlfn.IFS(G977=1,"Junior",G977=2,"Mid-Level",G977=3,"Senior",G977=4,"Lead",G977=5,"Principal")&amp;" "&amp;TRIM(PROPER(H977))</f>
        <v>Lead Sales Executive</v>
      </c>
      <c r="AC977" s="19" t="str">
        <f t="shared" ca="1" si="175"/>
        <v>Sa-Sal-2007-976 is a Lead Sales Executive in the Sales department, aged 55, single and has been with the Company for 19years</v>
      </c>
    </row>
    <row r="978" spans="1:29">
      <c r="A978" s="18" t="str">
        <f t="shared" ca="1" si="165"/>
        <v>Ma-Res-2007-977</v>
      </c>
      <c r="B978" s="5">
        <v>56</v>
      </c>
      <c r="C978" s="5" t="str">
        <f t="shared" si="166"/>
        <v>50+</v>
      </c>
      <c r="D978" s="5" t="s">
        <v>43</v>
      </c>
      <c r="E978" s="5" t="s">
        <v>45</v>
      </c>
      <c r="F978" s="5" t="s">
        <v>46</v>
      </c>
      <c r="G978" s="5">
        <v>4</v>
      </c>
      <c r="H978" s="5" t="s">
        <v>53</v>
      </c>
      <c r="I978" s="5" t="s">
        <v>48</v>
      </c>
      <c r="J978" s="7">
        <v>13402</v>
      </c>
      <c r="K978" s="7">
        <f t="shared" si="167"/>
        <v>4020.6</v>
      </c>
      <c r="L978" s="7">
        <f t="shared" si="168"/>
        <v>9381.4</v>
      </c>
      <c r="M978" s="7">
        <v>18235</v>
      </c>
      <c r="N978" s="5" t="s">
        <v>35</v>
      </c>
      <c r="O978" s="5">
        <v>12</v>
      </c>
      <c r="P978" s="7">
        <f t="shared" si="169"/>
        <v>15010.240000000002</v>
      </c>
      <c r="Q978" s="7">
        <f t="shared" si="170"/>
        <v>19298.880000000019</v>
      </c>
      <c r="R978" s="7" t="str">
        <f t="shared" si="171"/>
        <v>Normal</v>
      </c>
      <c r="S978" s="5">
        <v>3</v>
      </c>
      <c r="T978" s="5">
        <v>3</v>
      </c>
      <c r="U978" s="5" t="str" cm="1">
        <f t="array" ref="U978">_xlfn.IFS(T978=1,"Poor",T978=2,"Fair",T978=3,"Good",T978=4,"Excellent")</f>
        <v>Good</v>
      </c>
      <c r="V978" s="5" t="s">
        <v>35</v>
      </c>
      <c r="W978" s="5">
        <v>19</v>
      </c>
      <c r="X978" s="28">
        <f t="shared" ca="1" si="172"/>
        <v>39171</v>
      </c>
      <c r="Y978" s="28">
        <f t="shared" ca="1" si="173"/>
        <v>46476</v>
      </c>
      <c r="Z978" s="28" t="str">
        <f t="shared" ca="1" si="174"/>
        <v>Due Soon</v>
      </c>
      <c r="AA978" s="5" t="str" cm="1">
        <f t="array" ref="AA978">_xlfn.IFS(W978&gt;10,"Veteran",W978&gt;=6,"Experienced",W978&gt;=2,"Developing",W978&gt;=0,"New")</f>
        <v>Veteran</v>
      </c>
      <c r="AB978" s="5" t="str" cm="1">
        <f t="array" ref="AB978">_xlfn.IFS(G978=1,"Junior",G978=2,"Mid-Level",G978=3,"Senior",G978=4,"Lead",G978=5,"Principal")&amp;" "&amp;TRIM(PROPER(H978))</f>
        <v>Lead Manufacturing Director</v>
      </c>
      <c r="AC978" s="19" t="str">
        <f t="shared" ca="1" si="175"/>
        <v>Ma-Res-2007-977 is a Lead Manufacturing Director in the Research &amp; Development department, aged 56, married and has been with the Company for 19years</v>
      </c>
    </row>
    <row r="979" spans="1:29">
      <c r="A979" s="18" t="str">
        <f t="shared" ca="1" si="165"/>
        <v>Re-Res-2021-978</v>
      </c>
      <c r="B979" s="5">
        <v>34</v>
      </c>
      <c r="C979" s="5" t="str">
        <f t="shared" si="166"/>
        <v>30-39</v>
      </c>
      <c r="D979" s="5" t="s">
        <v>43</v>
      </c>
      <c r="E979" s="5" t="s">
        <v>45</v>
      </c>
      <c r="F979" s="5" t="s">
        <v>39</v>
      </c>
      <c r="G979" s="5">
        <v>1</v>
      </c>
      <c r="H979" s="5" t="s">
        <v>47</v>
      </c>
      <c r="I979" s="5" t="s">
        <v>52</v>
      </c>
      <c r="J979" s="7">
        <v>2029</v>
      </c>
      <c r="K979" s="7">
        <f t="shared" si="167"/>
        <v>142.03</v>
      </c>
      <c r="L979" s="7">
        <f t="shared" si="168"/>
        <v>1886.97</v>
      </c>
      <c r="M979" s="7">
        <v>15891</v>
      </c>
      <c r="N979" s="5" t="s">
        <v>43</v>
      </c>
      <c r="O979" s="5">
        <v>20</v>
      </c>
      <c r="P979" s="7">
        <f t="shared" si="169"/>
        <v>2434.7999999999997</v>
      </c>
      <c r="Q979" s="7">
        <f t="shared" si="170"/>
        <v>4869.5999999999967</v>
      </c>
      <c r="R979" s="7" t="str">
        <f t="shared" si="171"/>
        <v>Normal</v>
      </c>
      <c r="S979" s="5">
        <v>4</v>
      </c>
      <c r="T979" s="5">
        <v>3</v>
      </c>
      <c r="U979" s="5" t="str" cm="1">
        <f t="array" ref="U979">_xlfn.IFS(T979=1,"Poor",T979=2,"Fair",T979=3,"Good",T979=4,"Excellent")</f>
        <v>Good</v>
      </c>
      <c r="V979" s="5" t="s">
        <v>43</v>
      </c>
      <c r="W979" s="5">
        <v>5</v>
      </c>
      <c r="X979" s="28">
        <f t="shared" ca="1" si="172"/>
        <v>44285</v>
      </c>
      <c r="Y979" s="28">
        <f t="shared" ca="1" si="173"/>
        <v>46476</v>
      </c>
      <c r="Z979" s="28" t="str">
        <f t="shared" ca="1" si="174"/>
        <v>Due Soon</v>
      </c>
      <c r="AA979" s="5" t="str" cm="1">
        <f t="array" ref="AA979">_xlfn.IFS(W979&gt;10,"Veteran",W979&gt;=6,"Experienced",W979&gt;=2,"Developing",W979&gt;=0,"New")</f>
        <v>Developing</v>
      </c>
      <c r="AB979" s="5" t="str" cm="1">
        <f t="array" ref="AB979">_xlfn.IFS(G979=1,"Junior",G979=2,"Mid-Level",G979=3,"Senior",G979=4,"Lead",G979=5,"Principal")&amp;" "&amp;TRIM(PROPER(H979))</f>
        <v>Junior Research Scientist</v>
      </c>
      <c r="AC979" s="19" t="str">
        <f t="shared" ca="1" si="175"/>
        <v>Re-Res-2021-978 is a Junior Research Scientist in the Research &amp; Development department, aged 34, divorced and has been with the Company for 5years</v>
      </c>
    </row>
    <row r="980" spans="1:29">
      <c r="A980" s="18" t="str">
        <f t="shared" ca="1" si="165"/>
        <v>He-Res-2014-979</v>
      </c>
      <c r="B980" s="5">
        <v>40</v>
      </c>
      <c r="C980" s="5" t="str">
        <f t="shared" si="166"/>
        <v>40-49</v>
      </c>
      <c r="D980" s="5" t="s">
        <v>43</v>
      </c>
      <c r="E980" s="5" t="s">
        <v>45</v>
      </c>
      <c r="F980" s="5" t="s">
        <v>39</v>
      </c>
      <c r="G980" s="5">
        <v>2</v>
      </c>
      <c r="H980" s="5" t="s">
        <v>54</v>
      </c>
      <c r="I980" s="5" t="s">
        <v>52</v>
      </c>
      <c r="J980" s="7">
        <v>6377</v>
      </c>
      <c r="K980" s="7">
        <f t="shared" si="167"/>
        <v>956.55</v>
      </c>
      <c r="L980" s="7">
        <f t="shared" si="168"/>
        <v>5420.45</v>
      </c>
      <c r="M980" s="7">
        <v>13888</v>
      </c>
      <c r="N980" s="5" t="s">
        <v>43</v>
      </c>
      <c r="O980" s="5">
        <v>20</v>
      </c>
      <c r="P980" s="7">
        <f t="shared" si="169"/>
        <v>7652.4</v>
      </c>
      <c r="Q980" s="7">
        <f t="shared" si="170"/>
        <v>15304.799999999996</v>
      </c>
      <c r="R980" s="7" t="str">
        <f t="shared" si="171"/>
        <v>Normal</v>
      </c>
      <c r="S980" s="5">
        <v>4</v>
      </c>
      <c r="T980" s="5">
        <v>3</v>
      </c>
      <c r="U980" s="5" t="str" cm="1">
        <f t="array" ref="U980">_xlfn.IFS(T980=1,"Poor",T980=2,"Fair",T980=3,"Good",T980=4,"Excellent")</f>
        <v>Good</v>
      </c>
      <c r="V980" s="5" t="s">
        <v>43</v>
      </c>
      <c r="W980" s="5">
        <v>12</v>
      </c>
      <c r="X980" s="28">
        <f t="shared" ca="1" si="172"/>
        <v>41728</v>
      </c>
      <c r="Y980" s="28">
        <f t="shared" ca="1" si="173"/>
        <v>46842</v>
      </c>
      <c r="Z980" s="28" t="str">
        <f t="shared" ca="1" si="174"/>
        <v>Upcoming</v>
      </c>
      <c r="AA980" s="5" t="str" cm="1">
        <f t="array" ref="AA980">_xlfn.IFS(W980&gt;10,"Veteran",W980&gt;=6,"Experienced",W980&gt;=2,"Developing",W980&gt;=0,"New")</f>
        <v>Veteran</v>
      </c>
      <c r="AB980" s="5" t="str" cm="1">
        <f t="array" ref="AB980">_xlfn.IFS(G980=1,"Junior",G980=2,"Mid-Level",G980=3,"Senior",G980=4,"Lead",G980=5,"Principal")&amp;" "&amp;TRIM(PROPER(H980))</f>
        <v>Mid-Level Healthcare Representative</v>
      </c>
      <c r="AC980" s="19" t="str">
        <f t="shared" ca="1" si="175"/>
        <v>He-Res-2014-979 is a Mid-Level Healthcare Representative in the Research &amp; Development department, aged 40, divorced and has been with the Company for 12years</v>
      </c>
    </row>
    <row r="981" spans="1:29">
      <c r="A981" s="18" t="str">
        <f t="shared" ca="1" si="165"/>
        <v>La-Res-2018-980</v>
      </c>
      <c r="B981" s="5">
        <v>34</v>
      </c>
      <c r="C981" s="5" t="str">
        <f t="shared" si="166"/>
        <v>30-39</v>
      </c>
      <c r="D981" s="5" t="s">
        <v>43</v>
      </c>
      <c r="E981" s="5" t="s">
        <v>45</v>
      </c>
      <c r="F981" s="5" t="s">
        <v>46</v>
      </c>
      <c r="G981" s="5">
        <v>2</v>
      </c>
      <c r="H981" s="5" t="s">
        <v>50</v>
      </c>
      <c r="I981" s="5" t="s">
        <v>48</v>
      </c>
      <c r="J981" s="7">
        <v>5429</v>
      </c>
      <c r="K981" s="7">
        <f t="shared" si="167"/>
        <v>814.35</v>
      </c>
      <c r="L981" s="7">
        <f t="shared" si="168"/>
        <v>4614.6499999999996</v>
      </c>
      <c r="M981" s="7">
        <v>17491</v>
      </c>
      <c r="N981" s="5" t="s">
        <v>43</v>
      </c>
      <c r="O981" s="5">
        <v>13</v>
      </c>
      <c r="P981" s="7">
        <f t="shared" si="169"/>
        <v>6134.7699999999995</v>
      </c>
      <c r="Q981" s="7">
        <f t="shared" si="170"/>
        <v>8469.2399999999943</v>
      </c>
      <c r="R981" s="7" t="str">
        <f t="shared" si="171"/>
        <v>Normal</v>
      </c>
      <c r="S981" s="5">
        <v>3</v>
      </c>
      <c r="T981" s="5">
        <v>3</v>
      </c>
      <c r="U981" s="5" t="str" cm="1">
        <f t="array" ref="U981">_xlfn.IFS(T981=1,"Poor",T981=2,"Fair",T981=3,"Good",T981=4,"Excellent")</f>
        <v>Good</v>
      </c>
      <c r="V981" s="5" t="s">
        <v>43</v>
      </c>
      <c r="W981" s="5">
        <v>8</v>
      </c>
      <c r="X981" s="28">
        <f t="shared" ca="1" si="172"/>
        <v>43189</v>
      </c>
      <c r="Y981" s="28">
        <f t="shared" ca="1" si="173"/>
        <v>46842</v>
      </c>
      <c r="Z981" s="28" t="str">
        <f t="shared" ca="1" si="174"/>
        <v>Upcoming</v>
      </c>
      <c r="AA981" s="5" t="str" cm="1">
        <f t="array" ref="AA981">_xlfn.IFS(W981&gt;10,"Veteran",W981&gt;=6,"Experienced",W981&gt;=2,"Developing",W981&gt;=0,"New")</f>
        <v>Experienced</v>
      </c>
      <c r="AB981" s="5" t="str" cm="1">
        <f t="array" ref="AB981">_xlfn.IFS(G981=1,"Junior",G981=2,"Mid-Level",G981=3,"Senior",G981=4,"Lead",G981=5,"Principal")&amp;" "&amp;TRIM(PROPER(H981))</f>
        <v>Mid-Level Laboratory Technician</v>
      </c>
      <c r="AC981" s="19" t="str">
        <f t="shared" ca="1" si="175"/>
        <v>La-Res-2018-980 is a Mid-Level Laboratory Technician in the Research &amp; Development department, aged 34, married and has been with the Company for 8years</v>
      </c>
    </row>
    <row r="982" spans="1:29">
      <c r="A982" s="18" t="str">
        <f t="shared" ca="1" si="165"/>
        <v>Sa-Sal-2025-981</v>
      </c>
      <c r="B982" s="5">
        <v>31</v>
      </c>
      <c r="C982" s="5" t="str">
        <f t="shared" si="166"/>
        <v>30-39</v>
      </c>
      <c r="D982" s="5" t="s">
        <v>35</v>
      </c>
      <c r="E982" s="5" t="s">
        <v>37</v>
      </c>
      <c r="F982" s="5" t="s">
        <v>39</v>
      </c>
      <c r="G982" s="5">
        <v>1</v>
      </c>
      <c r="H982" s="5" t="s">
        <v>57</v>
      </c>
      <c r="I982" s="5" t="s">
        <v>41</v>
      </c>
      <c r="J982" s="7">
        <v>2785</v>
      </c>
      <c r="K982" s="7">
        <f t="shared" si="167"/>
        <v>194.95000000000002</v>
      </c>
      <c r="L982" s="7">
        <f t="shared" si="168"/>
        <v>2590.0500000000002</v>
      </c>
      <c r="M982" s="7">
        <v>11882</v>
      </c>
      <c r="N982" s="5" t="s">
        <v>43</v>
      </c>
      <c r="O982" s="5">
        <v>14</v>
      </c>
      <c r="P982" s="7">
        <f t="shared" si="169"/>
        <v>3174.9000000000005</v>
      </c>
      <c r="Q982" s="7">
        <f t="shared" si="170"/>
        <v>4678.8000000000065</v>
      </c>
      <c r="R982" s="7" t="str">
        <f t="shared" si="171"/>
        <v>Normal</v>
      </c>
      <c r="S982" s="5">
        <v>3</v>
      </c>
      <c r="T982" s="5">
        <v>4</v>
      </c>
      <c r="U982" s="5" t="str" cm="1">
        <f t="array" ref="U982">_xlfn.IFS(T982=1,"Poor",T982=2,"Fair",T982=3,"Good",T982=4,"Excellent")</f>
        <v>Excellent</v>
      </c>
      <c r="V982" s="5" t="s">
        <v>43</v>
      </c>
      <c r="W982" s="5">
        <v>1</v>
      </c>
      <c r="X982" s="28">
        <f t="shared" ca="1" si="172"/>
        <v>45746</v>
      </c>
      <c r="Y982" s="28">
        <f t="shared" ca="1" si="173"/>
        <v>46476</v>
      </c>
      <c r="Z982" s="28" t="str">
        <f t="shared" ca="1" si="174"/>
        <v>Due Soon</v>
      </c>
      <c r="AA982" s="5" t="str" cm="1">
        <f t="array" ref="AA982">_xlfn.IFS(W982&gt;10,"Veteran",W982&gt;=6,"Experienced",W982&gt;=2,"Developing",W982&gt;=0,"New")</f>
        <v>New</v>
      </c>
      <c r="AB982" s="5" t="str" cm="1">
        <f t="array" ref="AB982">_xlfn.IFS(G982=1,"Junior",G982=2,"Mid-Level",G982=3,"Senior",G982=4,"Lead",G982=5,"Principal")&amp;" "&amp;TRIM(PROPER(H982))</f>
        <v>Junior Sales Representative</v>
      </c>
      <c r="AC982" s="19" t="str">
        <f t="shared" ca="1" si="175"/>
        <v>Sa-Sal-2025-981 is a Junior Sales Representative in the Sales department, aged 31, single and has been with the Company for 1years</v>
      </c>
    </row>
    <row r="983" spans="1:29">
      <c r="A983" s="18" t="str">
        <f t="shared" ca="1" si="165"/>
        <v>Sa-Sal-2022-982</v>
      </c>
      <c r="B983" s="5">
        <v>35</v>
      </c>
      <c r="C983" s="5" t="str">
        <f t="shared" si="166"/>
        <v>30-39</v>
      </c>
      <c r="D983" s="5" t="s">
        <v>35</v>
      </c>
      <c r="E983" s="5" t="s">
        <v>37</v>
      </c>
      <c r="F983" s="5" t="s">
        <v>39</v>
      </c>
      <c r="G983" s="5">
        <v>2</v>
      </c>
      <c r="H983" s="5" t="s">
        <v>40</v>
      </c>
      <c r="I983" s="5" t="s">
        <v>48</v>
      </c>
      <c r="J983" s="7">
        <v>4614</v>
      </c>
      <c r="K983" s="7">
        <f t="shared" si="167"/>
        <v>692.1</v>
      </c>
      <c r="L983" s="7">
        <f t="shared" si="168"/>
        <v>3921.9</v>
      </c>
      <c r="M983" s="7">
        <v>23288</v>
      </c>
      <c r="N983" s="5" t="s">
        <v>35</v>
      </c>
      <c r="O983" s="5">
        <v>18</v>
      </c>
      <c r="P983" s="7">
        <f t="shared" si="169"/>
        <v>5444.5199999999995</v>
      </c>
      <c r="Q983" s="7">
        <f t="shared" si="170"/>
        <v>9966.2399999999943</v>
      </c>
      <c r="R983" s="7" t="str">
        <f t="shared" si="171"/>
        <v>Normal</v>
      </c>
      <c r="S983" s="5">
        <v>3</v>
      </c>
      <c r="T983" s="5">
        <v>2</v>
      </c>
      <c r="U983" s="5" t="str" cm="1">
        <f t="array" ref="U983">_xlfn.IFS(T983=1,"Poor",T983=2,"Fair",T983=3,"Good",T983=4,"Excellent")</f>
        <v>Fair</v>
      </c>
      <c r="V983" s="5" t="s">
        <v>35</v>
      </c>
      <c r="W983" s="5">
        <v>4</v>
      </c>
      <c r="X983" s="28">
        <f t="shared" ca="1" si="172"/>
        <v>44650</v>
      </c>
      <c r="Y983" s="28">
        <f t="shared" ca="1" si="173"/>
        <v>46842</v>
      </c>
      <c r="Z983" s="28" t="str">
        <f t="shared" ca="1" si="174"/>
        <v>Upcoming</v>
      </c>
      <c r="AA983" s="5" t="str" cm="1">
        <f t="array" ref="AA983">_xlfn.IFS(W983&gt;10,"Veteran",W983&gt;=6,"Experienced",W983&gt;=2,"Developing",W983&gt;=0,"New")</f>
        <v>Developing</v>
      </c>
      <c r="AB983" s="5" t="str" cm="1">
        <f t="array" ref="AB983">_xlfn.IFS(G983=1,"Junior",G983=2,"Mid-Level",G983=3,"Senior",G983=4,"Lead",G983=5,"Principal")&amp;" "&amp;TRIM(PROPER(H983))</f>
        <v>Mid-Level Sales Executive</v>
      </c>
      <c r="AC983" s="19" t="str">
        <f t="shared" ca="1" si="175"/>
        <v>Sa-Sal-2022-982 is a Mid-Level Sales Executive in the Sales department, aged 35, married and has been with the Company for 4years</v>
      </c>
    </row>
    <row r="984" spans="1:29">
      <c r="A984" s="18" t="str">
        <f t="shared" ca="1" si="165"/>
        <v>Re-Res-2022-983</v>
      </c>
      <c r="B984" s="5">
        <v>38</v>
      </c>
      <c r="C984" s="5" t="str">
        <f t="shared" si="166"/>
        <v>30-39</v>
      </c>
      <c r="D984" s="5" t="s">
        <v>43</v>
      </c>
      <c r="E984" s="5" t="s">
        <v>45</v>
      </c>
      <c r="F984" s="5" t="s">
        <v>46</v>
      </c>
      <c r="G984" s="5">
        <v>1</v>
      </c>
      <c r="H984" s="5" t="s">
        <v>47</v>
      </c>
      <c r="I984" s="5" t="s">
        <v>52</v>
      </c>
      <c r="J984" s="7">
        <v>2610</v>
      </c>
      <c r="K984" s="7">
        <f t="shared" si="167"/>
        <v>182.70000000000002</v>
      </c>
      <c r="L984" s="7">
        <f t="shared" si="168"/>
        <v>2427.3000000000002</v>
      </c>
      <c r="M984" s="7">
        <v>15748</v>
      </c>
      <c r="N984" s="5" t="s">
        <v>43</v>
      </c>
      <c r="O984" s="5">
        <v>11</v>
      </c>
      <c r="P984" s="7">
        <f t="shared" si="169"/>
        <v>2897.1000000000004</v>
      </c>
      <c r="Q984" s="7">
        <f t="shared" si="170"/>
        <v>3445.2000000000044</v>
      </c>
      <c r="R984" s="7" t="str">
        <f t="shared" si="171"/>
        <v>Normal</v>
      </c>
      <c r="S984" s="5">
        <v>3</v>
      </c>
      <c r="T984" s="5">
        <v>3</v>
      </c>
      <c r="U984" s="5" t="str" cm="1">
        <f t="array" ref="U984">_xlfn.IFS(T984=1,"Poor",T984=2,"Fair",T984=3,"Good",T984=4,"Excellent")</f>
        <v>Good</v>
      </c>
      <c r="V984" s="5" t="s">
        <v>43</v>
      </c>
      <c r="W984" s="5">
        <v>4</v>
      </c>
      <c r="X984" s="28">
        <f t="shared" ca="1" si="172"/>
        <v>44650</v>
      </c>
      <c r="Y984" s="28">
        <f t="shared" ca="1" si="173"/>
        <v>46842</v>
      </c>
      <c r="Z984" s="28" t="str">
        <f t="shared" ca="1" si="174"/>
        <v>Upcoming</v>
      </c>
      <c r="AA984" s="5" t="str" cm="1">
        <f t="array" ref="AA984">_xlfn.IFS(W984&gt;10,"Veteran",W984&gt;=6,"Experienced",W984&gt;=2,"Developing",W984&gt;=0,"New")</f>
        <v>Developing</v>
      </c>
      <c r="AB984" s="5" t="str" cm="1">
        <f t="array" ref="AB984">_xlfn.IFS(G984=1,"Junior",G984=2,"Mid-Level",G984=3,"Senior",G984=4,"Lead",G984=5,"Principal")&amp;" "&amp;TRIM(PROPER(H984))</f>
        <v>Junior Research Scientist</v>
      </c>
      <c r="AC984" s="19" t="str">
        <f t="shared" ca="1" si="175"/>
        <v>Re-Res-2022-983 is a Junior Research Scientist in the Research &amp; Development department, aged 38, divorced and has been with the Company for 4years</v>
      </c>
    </row>
    <row r="985" spans="1:29">
      <c r="A985" s="18" t="str">
        <f t="shared" ca="1" si="165"/>
        <v>He-Res-2012-984</v>
      </c>
      <c r="B985" s="5">
        <v>34</v>
      </c>
      <c r="C985" s="5" t="str">
        <f t="shared" si="166"/>
        <v>30-39</v>
      </c>
      <c r="D985" s="5" t="s">
        <v>43</v>
      </c>
      <c r="E985" s="5" t="s">
        <v>45</v>
      </c>
      <c r="F985" s="5" t="s">
        <v>39</v>
      </c>
      <c r="G985" s="5">
        <v>2</v>
      </c>
      <c r="H985" s="5" t="s">
        <v>54</v>
      </c>
      <c r="I985" s="5" t="s">
        <v>41</v>
      </c>
      <c r="J985" s="7">
        <v>6687</v>
      </c>
      <c r="K985" s="7">
        <f t="shared" si="167"/>
        <v>1003.05</v>
      </c>
      <c r="L985" s="7">
        <f t="shared" si="168"/>
        <v>5683.95</v>
      </c>
      <c r="M985" s="7">
        <v>6163</v>
      </c>
      <c r="N985" s="5" t="s">
        <v>43</v>
      </c>
      <c r="O985" s="5">
        <v>11</v>
      </c>
      <c r="P985" s="7">
        <f t="shared" si="169"/>
        <v>7422.5700000000006</v>
      </c>
      <c r="Q985" s="7">
        <f t="shared" si="170"/>
        <v>8826.8400000000074</v>
      </c>
      <c r="R985" s="7" t="str">
        <f t="shared" si="171"/>
        <v>Normal</v>
      </c>
      <c r="S985" s="5">
        <v>3</v>
      </c>
      <c r="T985" s="5">
        <v>4</v>
      </c>
      <c r="U985" s="5" t="str" cm="1">
        <f t="array" ref="U985">_xlfn.IFS(T985=1,"Poor",T985=2,"Fair",T985=3,"Good",T985=4,"Excellent")</f>
        <v>Excellent</v>
      </c>
      <c r="V985" s="5" t="s">
        <v>43</v>
      </c>
      <c r="W985" s="5">
        <v>14</v>
      </c>
      <c r="X985" s="28">
        <f t="shared" ca="1" si="172"/>
        <v>40998</v>
      </c>
      <c r="Y985" s="28">
        <f t="shared" ca="1" si="173"/>
        <v>46842</v>
      </c>
      <c r="Z985" s="28" t="str">
        <f t="shared" ca="1" si="174"/>
        <v>Upcoming</v>
      </c>
      <c r="AA985" s="5" t="str" cm="1">
        <f t="array" ref="AA985">_xlfn.IFS(W985&gt;10,"Veteran",W985&gt;=6,"Experienced",W985&gt;=2,"Developing",W985&gt;=0,"New")</f>
        <v>Veteran</v>
      </c>
      <c r="AB985" s="5" t="str" cm="1">
        <f t="array" ref="AB985">_xlfn.IFS(G985=1,"Junior",G985=2,"Mid-Level",G985=3,"Senior",G985=4,"Lead",G985=5,"Principal")&amp;" "&amp;TRIM(PROPER(H985))</f>
        <v>Mid-Level Healthcare Representative</v>
      </c>
      <c r="AC985" s="19" t="str">
        <f t="shared" ca="1" si="175"/>
        <v>He-Res-2012-984 is a Mid-Level Healthcare Representative in the Research &amp; Development department, aged 34, single and has been with the Company for 14years</v>
      </c>
    </row>
    <row r="986" spans="1:29">
      <c r="A986" s="18" t="str">
        <f t="shared" ca="1" si="165"/>
        <v>Sa-Sal-2021-985</v>
      </c>
      <c r="B986" s="5">
        <v>28</v>
      </c>
      <c r="C986" s="5" t="str">
        <f t="shared" si="166"/>
        <v>20-29</v>
      </c>
      <c r="D986" s="5" t="s">
        <v>43</v>
      </c>
      <c r="E986" s="5" t="s">
        <v>37</v>
      </c>
      <c r="F986" s="5" t="s">
        <v>46</v>
      </c>
      <c r="G986" s="5">
        <v>2</v>
      </c>
      <c r="H986" s="5" t="s">
        <v>40</v>
      </c>
      <c r="I986" s="5" t="s">
        <v>48</v>
      </c>
      <c r="J986" s="7">
        <v>4724</v>
      </c>
      <c r="K986" s="7">
        <f t="shared" si="167"/>
        <v>708.6</v>
      </c>
      <c r="L986" s="7">
        <f t="shared" si="168"/>
        <v>4015.4</v>
      </c>
      <c r="M986" s="7">
        <v>24232</v>
      </c>
      <c r="N986" s="5" t="s">
        <v>43</v>
      </c>
      <c r="O986" s="5">
        <v>11</v>
      </c>
      <c r="P986" s="7">
        <f t="shared" si="169"/>
        <v>5243.64</v>
      </c>
      <c r="Q986" s="7">
        <f t="shared" si="170"/>
        <v>6235.6800000000039</v>
      </c>
      <c r="R986" s="7" t="str">
        <f t="shared" si="171"/>
        <v>Normal</v>
      </c>
      <c r="S986" s="5">
        <v>3</v>
      </c>
      <c r="T986" s="5">
        <v>3</v>
      </c>
      <c r="U986" s="5" t="str" cm="1">
        <f t="array" ref="U986">_xlfn.IFS(T986=1,"Poor",T986=2,"Fair",T986=3,"Good",T986=4,"Excellent")</f>
        <v>Good</v>
      </c>
      <c r="V986" s="5" t="s">
        <v>43</v>
      </c>
      <c r="W986" s="5">
        <v>5</v>
      </c>
      <c r="X986" s="28">
        <f t="shared" ca="1" si="172"/>
        <v>44285</v>
      </c>
      <c r="Y986" s="28">
        <f t="shared" ca="1" si="173"/>
        <v>46476</v>
      </c>
      <c r="Z986" s="28" t="str">
        <f t="shared" ca="1" si="174"/>
        <v>Due Soon</v>
      </c>
      <c r="AA986" s="5" t="str" cm="1">
        <f t="array" ref="AA986">_xlfn.IFS(W986&gt;10,"Veteran",W986&gt;=6,"Experienced",W986&gt;=2,"Developing",W986&gt;=0,"New")</f>
        <v>Developing</v>
      </c>
      <c r="AB986" s="5" t="str" cm="1">
        <f t="array" ref="AB986">_xlfn.IFS(G986=1,"Junior",G986=2,"Mid-Level",G986=3,"Senior",G986=4,"Lead",G986=5,"Principal")&amp;" "&amp;TRIM(PROPER(H986))</f>
        <v>Mid-Level Sales Executive</v>
      </c>
      <c r="AC986" s="19" t="str">
        <f t="shared" ca="1" si="175"/>
        <v>Sa-Sal-2021-985 is a Mid-Level Sales Executive in the Sales department, aged 28, married and has been with the Company for 5years</v>
      </c>
    </row>
    <row r="987" spans="1:29">
      <c r="A987" s="18" t="str">
        <f t="shared" ca="1" si="165"/>
        <v>Ma-Res-2016-986</v>
      </c>
      <c r="B987" s="5">
        <v>31</v>
      </c>
      <c r="C987" s="5" t="str">
        <f t="shared" si="166"/>
        <v>30-39</v>
      </c>
      <c r="D987" s="5" t="s">
        <v>35</v>
      </c>
      <c r="E987" s="5" t="s">
        <v>45</v>
      </c>
      <c r="F987" s="5" t="s">
        <v>46</v>
      </c>
      <c r="G987" s="5">
        <v>2</v>
      </c>
      <c r="H987" s="5" t="s">
        <v>53</v>
      </c>
      <c r="I987" s="5" t="s">
        <v>48</v>
      </c>
      <c r="J987" s="7">
        <v>6179</v>
      </c>
      <c r="K987" s="7">
        <f t="shared" si="167"/>
        <v>926.84999999999991</v>
      </c>
      <c r="L987" s="7">
        <f t="shared" si="168"/>
        <v>5252.15</v>
      </c>
      <c r="M987" s="7">
        <v>21057</v>
      </c>
      <c r="N987" s="5" t="s">
        <v>35</v>
      </c>
      <c r="O987" s="5">
        <v>15</v>
      </c>
      <c r="P987" s="7">
        <f t="shared" si="169"/>
        <v>7105.8499999999995</v>
      </c>
      <c r="Q987" s="7">
        <f t="shared" si="170"/>
        <v>11122.199999999993</v>
      </c>
      <c r="R987" s="7" t="str">
        <f t="shared" si="171"/>
        <v>Normal</v>
      </c>
      <c r="S987" s="5">
        <v>3</v>
      </c>
      <c r="T987" s="5">
        <v>2</v>
      </c>
      <c r="U987" s="5" t="str" cm="1">
        <f t="array" ref="U987">_xlfn.IFS(T987=1,"Poor",T987=2,"Fair",T987=3,"Good",T987=4,"Excellent")</f>
        <v>Fair</v>
      </c>
      <c r="V987" s="5" t="s">
        <v>35</v>
      </c>
      <c r="W987" s="5">
        <v>10</v>
      </c>
      <c r="X987" s="28">
        <f t="shared" ca="1" si="172"/>
        <v>42459</v>
      </c>
      <c r="Y987" s="28">
        <f t="shared" ca="1" si="173"/>
        <v>46842</v>
      </c>
      <c r="Z987" s="28" t="str">
        <f t="shared" ca="1" si="174"/>
        <v>Upcoming</v>
      </c>
      <c r="AA987" s="5" t="str" cm="1">
        <f t="array" ref="AA987">_xlfn.IFS(W987&gt;10,"Veteran",W987&gt;=6,"Experienced",W987&gt;=2,"Developing",W987&gt;=0,"New")</f>
        <v>Experienced</v>
      </c>
      <c r="AB987" s="5" t="str" cm="1">
        <f t="array" ref="AB987">_xlfn.IFS(G987=1,"Junior",G987=2,"Mid-Level",G987=3,"Senior",G987=4,"Lead",G987=5,"Principal")&amp;" "&amp;TRIM(PROPER(H987))</f>
        <v>Mid-Level Manufacturing Director</v>
      </c>
      <c r="AC987" s="19" t="str">
        <f t="shared" ca="1" si="175"/>
        <v>Ma-Res-2016-986 is a Mid-Level Manufacturing Director in the Research &amp; Development department, aged 31, married and has been with the Company for 10years</v>
      </c>
    </row>
    <row r="988" spans="1:29">
      <c r="A988" s="18" t="str">
        <f t="shared" ca="1" si="165"/>
        <v>Sa-Sal-2021-987</v>
      </c>
      <c r="B988" s="5">
        <v>39</v>
      </c>
      <c r="C988" s="5" t="str">
        <f t="shared" si="166"/>
        <v>30-39</v>
      </c>
      <c r="D988" s="5" t="s">
        <v>43</v>
      </c>
      <c r="E988" s="5" t="s">
        <v>37</v>
      </c>
      <c r="F988" s="5" t="s">
        <v>46</v>
      </c>
      <c r="G988" s="5">
        <v>2</v>
      </c>
      <c r="H988" s="5" t="s">
        <v>40</v>
      </c>
      <c r="I988" s="5" t="s">
        <v>48</v>
      </c>
      <c r="J988" s="7">
        <v>6120</v>
      </c>
      <c r="K988" s="7">
        <f t="shared" si="167"/>
        <v>918</v>
      </c>
      <c r="L988" s="7">
        <f t="shared" si="168"/>
        <v>5202</v>
      </c>
      <c r="M988" s="7">
        <v>3567</v>
      </c>
      <c r="N988" s="5" t="s">
        <v>35</v>
      </c>
      <c r="O988" s="5">
        <v>12</v>
      </c>
      <c r="P988" s="7">
        <f t="shared" si="169"/>
        <v>6854.4000000000005</v>
      </c>
      <c r="Q988" s="7">
        <f t="shared" si="170"/>
        <v>8812.8000000000065</v>
      </c>
      <c r="R988" s="7" t="str">
        <f t="shared" si="171"/>
        <v>Normal</v>
      </c>
      <c r="S988" s="5">
        <v>3</v>
      </c>
      <c r="T988" s="5">
        <v>4</v>
      </c>
      <c r="U988" s="5" t="str" cm="1">
        <f t="array" ref="U988">_xlfn.IFS(T988=1,"Poor",T988=2,"Fair",T988=3,"Good",T988=4,"Excellent")</f>
        <v>Excellent</v>
      </c>
      <c r="V988" s="5" t="s">
        <v>35</v>
      </c>
      <c r="W988" s="5">
        <v>5</v>
      </c>
      <c r="X988" s="28">
        <f t="shared" ca="1" si="172"/>
        <v>44285</v>
      </c>
      <c r="Y988" s="28">
        <f t="shared" ca="1" si="173"/>
        <v>46476</v>
      </c>
      <c r="Z988" s="28" t="str">
        <f t="shared" ca="1" si="174"/>
        <v>Due Soon</v>
      </c>
      <c r="AA988" s="5" t="str" cm="1">
        <f t="array" ref="AA988">_xlfn.IFS(W988&gt;10,"Veteran",W988&gt;=6,"Experienced",W988&gt;=2,"Developing",W988&gt;=0,"New")</f>
        <v>Developing</v>
      </c>
      <c r="AB988" s="5" t="str" cm="1">
        <f t="array" ref="AB988">_xlfn.IFS(G988=1,"Junior",G988=2,"Mid-Level",G988=3,"Senior",G988=4,"Lead",G988=5,"Principal")&amp;" "&amp;TRIM(PROPER(H988))</f>
        <v>Mid-Level Sales Executive</v>
      </c>
      <c r="AC988" s="19" t="str">
        <f t="shared" ca="1" si="175"/>
        <v>Sa-Sal-2021-987 is a Mid-Level Sales Executive in the Sales department, aged 39, married and has been with the Company for 5years</v>
      </c>
    </row>
    <row r="989" spans="1:29">
      <c r="A989" s="18" t="str">
        <f t="shared" ca="1" si="165"/>
        <v>Sa-Sal-2022-988</v>
      </c>
      <c r="B989" s="5">
        <v>51</v>
      </c>
      <c r="C989" s="5" t="str">
        <f t="shared" si="166"/>
        <v>50+</v>
      </c>
      <c r="D989" s="5" t="s">
        <v>43</v>
      </c>
      <c r="E989" s="5" t="s">
        <v>37</v>
      </c>
      <c r="F989" s="5" t="s">
        <v>46</v>
      </c>
      <c r="G989" s="5">
        <v>3</v>
      </c>
      <c r="H989" s="5" t="s">
        <v>40</v>
      </c>
      <c r="I989" s="5" t="s">
        <v>48</v>
      </c>
      <c r="J989" s="7">
        <v>10596</v>
      </c>
      <c r="K989" s="7">
        <f t="shared" si="167"/>
        <v>2331.12</v>
      </c>
      <c r="L989" s="7">
        <f t="shared" si="168"/>
        <v>8264.880000000001</v>
      </c>
      <c r="M989" s="7">
        <v>15395</v>
      </c>
      <c r="N989" s="5" t="s">
        <v>43</v>
      </c>
      <c r="O989" s="5">
        <v>11</v>
      </c>
      <c r="P989" s="7">
        <f t="shared" si="169"/>
        <v>11761.560000000001</v>
      </c>
      <c r="Q989" s="7">
        <f t="shared" si="170"/>
        <v>13986.720000000016</v>
      </c>
      <c r="R989" s="7" t="str">
        <f t="shared" si="171"/>
        <v>Normal</v>
      </c>
      <c r="S989" s="5">
        <v>3</v>
      </c>
      <c r="T989" s="5">
        <v>3</v>
      </c>
      <c r="U989" s="5" t="str" cm="1">
        <f t="array" ref="U989">_xlfn.IFS(T989=1,"Poor",T989=2,"Fair",T989=3,"Good",T989=4,"Excellent")</f>
        <v>Good</v>
      </c>
      <c r="V989" s="5" t="s">
        <v>43</v>
      </c>
      <c r="W989" s="5">
        <v>4</v>
      </c>
      <c r="X989" s="28">
        <f t="shared" ca="1" si="172"/>
        <v>44650</v>
      </c>
      <c r="Y989" s="28">
        <f t="shared" ca="1" si="173"/>
        <v>46842</v>
      </c>
      <c r="Z989" s="28" t="str">
        <f t="shared" ca="1" si="174"/>
        <v>Upcoming</v>
      </c>
      <c r="AA989" s="5" t="str" cm="1">
        <f t="array" ref="AA989">_xlfn.IFS(W989&gt;10,"Veteran",W989&gt;=6,"Experienced",W989&gt;=2,"Developing",W989&gt;=0,"New")</f>
        <v>Developing</v>
      </c>
      <c r="AB989" s="5" t="str" cm="1">
        <f t="array" ref="AB989">_xlfn.IFS(G989=1,"Junior",G989=2,"Mid-Level",G989=3,"Senior",G989=4,"Lead",G989=5,"Principal")&amp;" "&amp;TRIM(PROPER(H989))</f>
        <v>Senior Sales Executive</v>
      </c>
      <c r="AC989" s="19" t="str">
        <f t="shared" ca="1" si="175"/>
        <v>Sa-Sal-2022-988 is a Senior Sales Executive in the Sales department, aged 51, married and has been with the Company for 4years</v>
      </c>
    </row>
    <row r="990" spans="1:29">
      <c r="A990" s="18" t="str">
        <f t="shared" ca="1" si="165"/>
        <v>Re-Res-2020-989</v>
      </c>
      <c r="B990" s="5">
        <v>41</v>
      </c>
      <c r="C990" s="5" t="str">
        <f t="shared" si="166"/>
        <v>40-49</v>
      </c>
      <c r="D990" s="5" t="s">
        <v>43</v>
      </c>
      <c r="E990" s="5" t="s">
        <v>45</v>
      </c>
      <c r="F990" s="5" t="s">
        <v>39</v>
      </c>
      <c r="G990" s="5">
        <v>2</v>
      </c>
      <c r="H990" s="5" t="s">
        <v>47</v>
      </c>
      <c r="I990" s="5" t="s">
        <v>52</v>
      </c>
      <c r="J990" s="7">
        <v>5467</v>
      </c>
      <c r="K990" s="7">
        <f t="shared" si="167"/>
        <v>820.05</v>
      </c>
      <c r="L990" s="7">
        <f t="shared" si="168"/>
        <v>4646.95</v>
      </c>
      <c r="M990" s="7">
        <v>13953</v>
      </c>
      <c r="N990" s="5" t="s">
        <v>35</v>
      </c>
      <c r="O990" s="5">
        <v>14</v>
      </c>
      <c r="P990" s="7">
        <f t="shared" si="169"/>
        <v>6232.380000000001</v>
      </c>
      <c r="Q990" s="7">
        <f t="shared" si="170"/>
        <v>9184.5600000000122</v>
      </c>
      <c r="R990" s="7" t="str">
        <f t="shared" si="171"/>
        <v>Normal</v>
      </c>
      <c r="S990" s="5">
        <v>3</v>
      </c>
      <c r="T990" s="5">
        <v>2</v>
      </c>
      <c r="U990" s="5" t="str" cm="1">
        <f t="array" ref="U990">_xlfn.IFS(T990=1,"Poor",T990=2,"Fair",T990=3,"Good",T990=4,"Excellent")</f>
        <v>Fair</v>
      </c>
      <c r="V990" s="5" t="s">
        <v>35</v>
      </c>
      <c r="W990" s="5">
        <v>6</v>
      </c>
      <c r="X990" s="28">
        <f t="shared" ca="1" si="172"/>
        <v>43920</v>
      </c>
      <c r="Y990" s="28">
        <f t="shared" ca="1" si="173"/>
        <v>46842</v>
      </c>
      <c r="Z990" s="28" t="str">
        <f t="shared" ca="1" si="174"/>
        <v>Upcoming</v>
      </c>
      <c r="AA990" s="5" t="str" cm="1">
        <f t="array" ref="AA990">_xlfn.IFS(W990&gt;10,"Veteran",W990&gt;=6,"Experienced",W990&gt;=2,"Developing",W990&gt;=0,"New")</f>
        <v>Experienced</v>
      </c>
      <c r="AB990" s="5" t="str" cm="1">
        <f t="array" ref="AB990">_xlfn.IFS(G990=1,"Junior",G990=2,"Mid-Level",G990=3,"Senior",G990=4,"Lead",G990=5,"Principal")&amp;" "&amp;TRIM(PROPER(H990))</f>
        <v>Mid-Level Research Scientist</v>
      </c>
      <c r="AC990" s="19" t="str">
        <f t="shared" ca="1" si="175"/>
        <v>Re-Res-2020-989 is a Mid-Level Research Scientist in the Research &amp; Development department, aged 41, divorced and has been with the Company for 6years</v>
      </c>
    </row>
    <row r="991" spans="1:29">
      <c r="A991" s="18" t="str">
        <f t="shared" ca="1" si="165"/>
        <v>Re-Res-2020-990</v>
      </c>
      <c r="B991" s="5">
        <v>37</v>
      </c>
      <c r="C991" s="5" t="str">
        <f t="shared" si="166"/>
        <v>30-39</v>
      </c>
      <c r="D991" s="5" t="s">
        <v>43</v>
      </c>
      <c r="E991" s="5" t="s">
        <v>45</v>
      </c>
      <c r="F991" s="5" t="s">
        <v>46</v>
      </c>
      <c r="G991" s="5">
        <v>1</v>
      </c>
      <c r="H991" s="5" t="s">
        <v>47</v>
      </c>
      <c r="I991" s="5" t="s">
        <v>48</v>
      </c>
      <c r="J991" s="7">
        <v>2996</v>
      </c>
      <c r="K991" s="7">
        <f t="shared" si="167"/>
        <v>209.72000000000003</v>
      </c>
      <c r="L991" s="7">
        <f t="shared" si="168"/>
        <v>2786.2799999999997</v>
      </c>
      <c r="M991" s="7">
        <v>5182</v>
      </c>
      <c r="N991" s="5" t="s">
        <v>35</v>
      </c>
      <c r="O991" s="5">
        <v>15</v>
      </c>
      <c r="P991" s="7">
        <f t="shared" si="169"/>
        <v>3445.3999999999996</v>
      </c>
      <c r="Q991" s="7">
        <f t="shared" si="170"/>
        <v>5392.7999999999956</v>
      </c>
      <c r="R991" s="7" t="str">
        <f t="shared" si="171"/>
        <v>Normal</v>
      </c>
      <c r="S991" s="5">
        <v>3</v>
      </c>
      <c r="T991" s="5">
        <v>3</v>
      </c>
      <c r="U991" s="5" t="str" cm="1">
        <f t="array" ref="U991">_xlfn.IFS(T991=1,"Poor",T991=2,"Fair",T991=3,"Good",T991=4,"Excellent")</f>
        <v>Good</v>
      </c>
      <c r="V991" s="5" t="s">
        <v>35</v>
      </c>
      <c r="W991" s="5">
        <v>6</v>
      </c>
      <c r="X991" s="28">
        <f t="shared" ca="1" si="172"/>
        <v>43920</v>
      </c>
      <c r="Y991" s="28">
        <f t="shared" ca="1" si="173"/>
        <v>46842</v>
      </c>
      <c r="Z991" s="28" t="str">
        <f t="shared" ca="1" si="174"/>
        <v>Upcoming</v>
      </c>
      <c r="AA991" s="5" t="str" cm="1">
        <f t="array" ref="AA991">_xlfn.IFS(W991&gt;10,"Veteran",W991&gt;=6,"Experienced",W991&gt;=2,"Developing",W991&gt;=0,"New")</f>
        <v>Experienced</v>
      </c>
      <c r="AB991" s="5" t="str" cm="1">
        <f t="array" ref="AB991">_xlfn.IFS(G991=1,"Junior",G991=2,"Mid-Level",G991=3,"Senior",G991=4,"Lead",G991=5,"Principal")&amp;" "&amp;TRIM(PROPER(H991))</f>
        <v>Junior Research Scientist</v>
      </c>
      <c r="AC991" s="19" t="str">
        <f t="shared" ca="1" si="175"/>
        <v>Re-Res-2020-990 is a Junior Research Scientist in the Research &amp; Development department, aged 37, married and has been with the Company for 6years</v>
      </c>
    </row>
    <row r="992" spans="1:29">
      <c r="A992" s="18" t="str">
        <f t="shared" ca="1" si="165"/>
        <v>Sa-Sal-2021-991</v>
      </c>
      <c r="B992" s="5">
        <v>33</v>
      </c>
      <c r="C992" s="5" t="str">
        <f t="shared" si="166"/>
        <v>30-39</v>
      </c>
      <c r="D992" s="5" t="s">
        <v>43</v>
      </c>
      <c r="E992" s="5" t="s">
        <v>37</v>
      </c>
      <c r="F992" s="5" t="s">
        <v>46</v>
      </c>
      <c r="G992" s="5">
        <v>2</v>
      </c>
      <c r="H992" s="5" t="s">
        <v>40</v>
      </c>
      <c r="I992" s="5" t="s">
        <v>48</v>
      </c>
      <c r="J992" s="7">
        <v>9998</v>
      </c>
      <c r="K992" s="7">
        <f t="shared" si="167"/>
        <v>2199.56</v>
      </c>
      <c r="L992" s="7">
        <f t="shared" si="168"/>
        <v>7798.4400000000005</v>
      </c>
      <c r="M992" s="7">
        <v>19293</v>
      </c>
      <c r="N992" s="5" t="s">
        <v>43</v>
      </c>
      <c r="O992" s="5">
        <v>13</v>
      </c>
      <c r="P992" s="7">
        <f t="shared" si="169"/>
        <v>11297.74</v>
      </c>
      <c r="Q992" s="7">
        <f t="shared" si="170"/>
        <v>15596.879999999997</v>
      </c>
      <c r="R992" s="7" t="str">
        <f t="shared" si="171"/>
        <v>Normal</v>
      </c>
      <c r="S992" s="5">
        <v>3</v>
      </c>
      <c r="T992" s="5">
        <v>4</v>
      </c>
      <c r="U992" s="5" t="str" cm="1">
        <f t="array" ref="U992">_xlfn.IFS(T992=1,"Poor",T992=2,"Fair",T992=3,"Good",T992=4,"Excellent")</f>
        <v>Excellent</v>
      </c>
      <c r="V992" s="5" t="s">
        <v>43</v>
      </c>
      <c r="W992" s="5">
        <v>5</v>
      </c>
      <c r="X992" s="28">
        <f t="shared" ca="1" si="172"/>
        <v>44285</v>
      </c>
      <c r="Y992" s="28">
        <f t="shared" ca="1" si="173"/>
        <v>46476</v>
      </c>
      <c r="Z992" s="28" t="str">
        <f t="shared" ca="1" si="174"/>
        <v>Due Soon</v>
      </c>
      <c r="AA992" s="5" t="str" cm="1">
        <f t="array" ref="AA992">_xlfn.IFS(W992&gt;10,"Veteran",W992&gt;=6,"Experienced",W992&gt;=2,"Developing",W992&gt;=0,"New")</f>
        <v>Developing</v>
      </c>
      <c r="AB992" s="5" t="str" cm="1">
        <f t="array" ref="AB992">_xlfn.IFS(G992=1,"Junior",G992=2,"Mid-Level",G992=3,"Senior",G992=4,"Lead",G992=5,"Principal")&amp;" "&amp;TRIM(PROPER(H992))</f>
        <v>Mid-Level Sales Executive</v>
      </c>
      <c r="AC992" s="19" t="str">
        <f t="shared" ca="1" si="175"/>
        <v>Sa-Sal-2021-991 is a Mid-Level Sales Executive in the Sales department, aged 33, married and has been with the Company for 5years</v>
      </c>
    </row>
    <row r="993" spans="1:29">
      <c r="A993" s="18" t="str">
        <f t="shared" ca="1" si="165"/>
        <v>Sa-Sal-2023-992</v>
      </c>
      <c r="B993" s="5">
        <v>32</v>
      </c>
      <c r="C993" s="5" t="str">
        <f t="shared" si="166"/>
        <v>30-39</v>
      </c>
      <c r="D993" s="5" t="s">
        <v>43</v>
      </c>
      <c r="E993" s="5" t="s">
        <v>37</v>
      </c>
      <c r="F993" s="5" t="s">
        <v>46</v>
      </c>
      <c r="G993" s="5">
        <v>2</v>
      </c>
      <c r="H993" s="5" t="s">
        <v>40</v>
      </c>
      <c r="I993" s="5" t="s">
        <v>48</v>
      </c>
      <c r="J993" s="7">
        <v>4078</v>
      </c>
      <c r="K993" s="7">
        <f t="shared" si="167"/>
        <v>611.69999999999993</v>
      </c>
      <c r="L993" s="7">
        <f t="shared" si="168"/>
        <v>3466.3</v>
      </c>
      <c r="M993" s="7">
        <v>20497</v>
      </c>
      <c r="N993" s="5" t="s">
        <v>35</v>
      </c>
      <c r="O993" s="5">
        <v>13</v>
      </c>
      <c r="P993" s="7">
        <f t="shared" si="169"/>
        <v>4608.1399999999994</v>
      </c>
      <c r="Q993" s="7">
        <f t="shared" si="170"/>
        <v>6361.679999999993</v>
      </c>
      <c r="R993" s="7" t="str">
        <f t="shared" si="171"/>
        <v>Normal</v>
      </c>
      <c r="S993" s="5">
        <v>3</v>
      </c>
      <c r="T993" s="5">
        <v>2</v>
      </c>
      <c r="U993" s="5" t="str" cm="1">
        <f t="array" ref="U993">_xlfn.IFS(T993=1,"Poor",T993=2,"Fair",T993=3,"Good",T993=4,"Excellent")</f>
        <v>Fair</v>
      </c>
      <c r="V993" s="5" t="s">
        <v>35</v>
      </c>
      <c r="W993" s="5">
        <v>3</v>
      </c>
      <c r="X993" s="28">
        <f t="shared" ca="1" si="172"/>
        <v>45015</v>
      </c>
      <c r="Y993" s="28">
        <f t="shared" ca="1" si="173"/>
        <v>46476</v>
      </c>
      <c r="Z993" s="28" t="str">
        <f t="shared" ca="1" si="174"/>
        <v>Due Soon</v>
      </c>
      <c r="AA993" s="5" t="str" cm="1">
        <f t="array" ref="AA993">_xlfn.IFS(W993&gt;10,"Veteran",W993&gt;=6,"Experienced",W993&gt;=2,"Developing",W993&gt;=0,"New")</f>
        <v>Developing</v>
      </c>
      <c r="AB993" s="5" t="str" cm="1">
        <f t="array" ref="AB993">_xlfn.IFS(G993=1,"Junior",G993=2,"Mid-Level",G993=3,"Senior",G993=4,"Lead",G993=5,"Principal")&amp;" "&amp;TRIM(PROPER(H993))</f>
        <v>Mid-Level Sales Executive</v>
      </c>
      <c r="AC993" s="19" t="str">
        <f t="shared" ca="1" si="175"/>
        <v>Sa-Sal-2023-992 is a Mid-Level Sales Executive in the Sales department, aged 32, married and has been with the Company for 3years</v>
      </c>
    </row>
    <row r="994" spans="1:29">
      <c r="A994" s="18" t="str">
        <f t="shared" ca="1" si="165"/>
        <v>He-Res-2020-993</v>
      </c>
      <c r="B994" s="5">
        <v>39</v>
      </c>
      <c r="C994" s="5" t="str">
        <f t="shared" si="166"/>
        <v>30-39</v>
      </c>
      <c r="D994" s="5" t="s">
        <v>43</v>
      </c>
      <c r="E994" s="5" t="s">
        <v>45</v>
      </c>
      <c r="F994" s="5" t="s">
        <v>46</v>
      </c>
      <c r="G994" s="5">
        <v>3</v>
      </c>
      <c r="H994" s="5" t="s">
        <v>54</v>
      </c>
      <c r="I994" s="5" t="s">
        <v>48</v>
      </c>
      <c r="J994" s="7">
        <v>10920</v>
      </c>
      <c r="K994" s="7">
        <f t="shared" si="167"/>
        <v>2402.4</v>
      </c>
      <c r="L994" s="7">
        <f t="shared" si="168"/>
        <v>8517.6</v>
      </c>
      <c r="M994" s="7">
        <v>3449</v>
      </c>
      <c r="N994" s="5" t="s">
        <v>43</v>
      </c>
      <c r="O994" s="5">
        <v>21</v>
      </c>
      <c r="P994" s="7">
        <f t="shared" si="169"/>
        <v>13213.199999999999</v>
      </c>
      <c r="Q994" s="7">
        <f t="shared" si="170"/>
        <v>27518.399999999987</v>
      </c>
      <c r="R994" s="7" t="str">
        <f t="shared" si="171"/>
        <v>Normal</v>
      </c>
      <c r="S994" s="5">
        <v>4</v>
      </c>
      <c r="T994" s="5">
        <v>3</v>
      </c>
      <c r="U994" s="5" t="str" cm="1">
        <f t="array" ref="U994">_xlfn.IFS(T994=1,"Poor",T994=2,"Fair",T994=3,"Good",T994=4,"Excellent")</f>
        <v>Good</v>
      </c>
      <c r="V994" s="5" t="s">
        <v>43</v>
      </c>
      <c r="W994" s="5">
        <v>6</v>
      </c>
      <c r="X994" s="28">
        <f t="shared" ca="1" si="172"/>
        <v>43920</v>
      </c>
      <c r="Y994" s="28">
        <f t="shared" ca="1" si="173"/>
        <v>46842</v>
      </c>
      <c r="Z994" s="28" t="str">
        <f t="shared" ca="1" si="174"/>
        <v>Upcoming</v>
      </c>
      <c r="AA994" s="5" t="str" cm="1">
        <f t="array" ref="AA994">_xlfn.IFS(W994&gt;10,"Veteran",W994&gt;=6,"Experienced",W994&gt;=2,"Developing",W994&gt;=0,"New")</f>
        <v>Experienced</v>
      </c>
      <c r="AB994" s="5" t="str" cm="1">
        <f t="array" ref="AB994">_xlfn.IFS(G994=1,"Junior",G994=2,"Mid-Level",G994=3,"Senior",G994=4,"Lead",G994=5,"Principal")&amp;" "&amp;TRIM(PROPER(H994))</f>
        <v>Senior Healthcare Representative</v>
      </c>
      <c r="AC994" s="19" t="str">
        <f t="shared" ca="1" si="175"/>
        <v>He-Res-2020-993 is a Senior Healthcare Representative in the Research &amp; Development department, aged 39, married and has been with the Company for 6years</v>
      </c>
    </row>
    <row r="995" spans="1:29">
      <c r="A995" s="18" t="str">
        <f t="shared" ca="1" si="165"/>
        <v>Sa-Sal-2023-994</v>
      </c>
      <c r="B995" s="5">
        <v>25</v>
      </c>
      <c r="C995" s="5" t="str">
        <f t="shared" si="166"/>
        <v>20-29</v>
      </c>
      <c r="D995" s="5" t="s">
        <v>43</v>
      </c>
      <c r="E995" s="5" t="s">
        <v>37</v>
      </c>
      <c r="F995" s="5" t="s">
        <v>46</v>
      </c>
      <c r="G995" s="5">
        <v>2</v>
      </c>
      <c r="H995" s="5" t="s">
        <v>40</v>
      </c>
      <c r="I995" s="5" t="s">
        <v>48</v>
      </c>
      <c r="J995" s="7">
        <v>6232</v>
      </c>
      <c r="K995" s="7">
        <f t="shared" si="167"/>
        <v>934.8</v>
      </c>
      <c r="L995" s="7">
        <f t="shared" si="168"/>
        <v>5297.2</v>
      </c>
      <c r="M995" s="7">
        <v>12477</v>
      </c>
      <c r="N995" s="5" t="s">
        <v>43</v>
      </c>
      <c r="O995" s="5">
        <v>11</v>
      </c>
      <c r="P995" s="7">
        <f t="shared" si="169"/>
        <v>6917.52</v>
      </c>
      <c r="Q995" s="7">
        <f t="shared" si="170"/>
        <v>8226.2400000000052</v>
      </c>
      <c r="R995" s="7" t="str">
        <f t="shared" si="171"/>
        <v>Normal</v>
      </c>
      <c r="S995" s="5">
        <v>3</v>
      </c>
      <c r="T995" s="5">
        <v>2</v>
      </c>
      <c r="U995" s="5" t="str" cm="1">
        <f t="array" ref="U995">_xlfn.IFS(T995=1,"Poor",T995=2,"Fair",T995=3,"Good",T995=4,"Excellent")</f>
        <v>Fair</v>
      </c>
      <c r="V995" s="5" t="s">
        <v>43</v>
      </c>
      <c r="W995" s="5">
        <v>3</v>
      </c>
      <c r="X995" s="28">
        <f t="shared" ca="1" si="172"/>
        <v>45015</v>
      </c>
      <c r="Y995" s="28">
        <f t="shared" ca="1" si="173"/>
        <v>46476</v>
      </c>
      <c r="Z995" s="28" t="str">
        <f t="shared" ca="1" si="174"/>
        <v>Due Soon</v>
      </c>
      <c r="AA995" s="5" t="str" cm="1">
        <f t="array" ref="AA995">_xlfn.IFS(W995&gt;10,"Veteran",W995&gt;=6,"Experienced",W995&gt;=2,"Developing",W995&gt;=0,"New")</f>
        <v>Developing</v>
      </c>
      <c r="AB995" s="5" t="str" cm="1">
        <f t="array" ref="AB995">_xlfn.IFS(G995=1,"Junior",G995=2,"Mid-Level",G995=3,"Senior",G995=4,"Lead",G995=5,"Principal")&amp;" "&amp;TRIM(PROPER(H995))</f>
        <v>Mid-Level Sales Executive</v>
      </c>
      <c r="AC995" s="19" t="str">
        <f t="shared" ca="1" si="175"/>
        <v>Sa-Sal-2023-994 is a Mid-Level Sales Executive in the Sales department, aged 25, married and has been with the Company for 3years</v>
      </c>
    </row>
    <row r="996" spans="1:29">
      <c r="A996" s="18" t="str">
        <f t="shared" ca="1" si="165"/>
        <v>Ma-Res-2021-995</v>
      </c>
      <c r="B996" s="5">
        <v>52</v>
      </c>
      <c r="C996" s="5" t="str">
        <f t="shared" si="166"/>
        <v>50+</v>
      </c>
      <c r="D996" s="5" t="s">
        <v>43</v>
      </c>
      <c r="E996" s="5" t="s">
        <v>45</v>
      </c>
      <c r="F996" s="5" t="s">
        <v>39</v>
      </c>
      <c r="G996" s="5">
        <v>4</v>
      </c>
      <c r="H996" s="5" t="s">
        <v>53</v>
      </c>
      <c r="I996" s="5" t="s">
        <v>48</v>
      </c>
      <c r="J996" s="7">
        <v>13247</v>
      </c>
      <c r="K996" s="7">
        <f t="shared" si="167"/>
        <v>3974.1</v>
      </c>
      <c r="L996" s="7">
        <f t="shared" si="168"/>
        <v>9272.9</v>
      </c>
      <c r="M996" s="7">
        <v>9731</v>
      </c>
      <c r="N996" s="5" t="s">
        <v>35</v>
      </c>
      <c r="O996" s="5">
        <v>11</v>
      </c>
      <c r="P996" s="7">
        <f t="shared" si="169"/>
        <v>14704.170000000002</v>
      </c>
      <c r="Q996" s="7">
        <f t="shared" si="170"/>
        <v>17486.040000000023</v>
      </c>
      <c r="R996" s="7" t="str">
        <f t="shared" si="171"/>
        <v>Normal</v>
      </c>
      <c r="S996" s="5">
        <v>3</v>
      </c>
      <c r="T996" s="5">
        <v>2</v>
      </c>
      <c r="U996" s="5" t="str" cm="1">
        <f t="array" ref="U996">_xlfn.IFS(T996=1,"Poor",T996=2,"Fair",T996=3,"Good",T996=4,"Excellent")</f>
        <v>Fair</v>
      </c>
      <c r="V996" s="5" t="s">
        <v>35</v>
      </c>
      <c r="W996" s="5">
        <v>5</v>
      </c>
      <c r="X996" s="28">
        <f t="shared" ca="1" si="172"/>
        <v>44285</v>
      </c>
      <c r="Y996" s="28">
        <f t="shared" ca="1" si="173"/>
        <v>46476</v>
      </c>
      <c r="Z996" s="28" t="str">
        <f t="shared" ca="1" si="174"/>
        <v>Due Soon</v>
      </c>
      <c r="AA996" s="5" t="str" cm="1">
        <f t="array" ref="AA996">_xlfn.IFS(W996&gt;10,"Veteran",W996&gt;=6,"Experienced",W996&gt;=2,"Developing",W996&gt;=0,"New")</f>
        <v>Developing</v>
      </c>
      <c r="AB996" s="5" t="str" cm="1">
        <f t="array" ref="AB996">_xlfn.IFS(G996=1,"Junior",G996=2,"Mid-Level",G996=3,"Senior",G996=4,"Lead",G996=5,"Principal")&amp;" "&amp;TRIM(PROPER(H996))</f>
        <v>Lead Manufacturing Director</v>
      </c>
      <c r="AC996" s="19" t="str">
        <f t="shared" ca="1" si="175"/>
        <v>Ma-Res-2021-995 is a Lead Manufacturing Director in the Research &amp; Development department, aged 52, married and has been with the Company for 5years</v>
      </c>
    </row>
    <row r="997" spans="1:29">
      <c r="A997" s="18" t="str">
        <f t="shared" ca="1" si="165"/>
        <v>Re-Res-2006-996</v>
      </c>
      <c r="B997" s="5">
        <v>43</v>
      </c>
      <c r="C997" s="5" t="str">
        <f t="shared" si="166"/>
        <v>40-49</v>
      </c>
      <c r="D997" s="5" t="s">
        <v>43</v>
      </c>
      <c r="E997" s="5" t="s">
        <v>45</v>
      </c>
      <c r="F997" s="5" t="s">
        <v>39</v>
      </c>
      <c r="G997" s="5">
        <v>2</v>
      </c>
      <c r="H997" s="5" t="s">
        <v>47</v>
      </c>
      <c r="I997" s="5" t="s">
        <v>41</v>
      </c>
      <c r="J997" s="7">
        <v>4081</v>
      </c>
      <c r="K997" s="7">
        <f t="shared" si="167"/>
        <v>612.15</v>
      </c>
      <c r="L997" s="7">
        <f t="shared" si="168"/>
        <v>3468.85</v>
      </c>
      <c r="M997" s="7">
        <v>20003</v>
      </c>
      <c r="N997" s="5" t="s">
        <v>35</v>
      </c>
      <c r="O997" s="5">
        <v>14</v>
      </c>
      <c r="P997" s="7">
        <f t="shared" si="169"/>
        <v>4652.34</v>
      </c>
      <c r="Q997" s="7">
        <f t="shared" si="170"/>
        <v>6856.0800000000017</v>
      </c>
      <c r="R997" s="7" t="str">
        <f t="shared" si="171"/>
        <v>Normal</v>
      </c>
      <c r="S997" s="5">
        <v>3</v>
      </c>
      <c r="T997" s="5">
        <v>1</v>
      </c>
      <c r="U997" s="5" t="str" cm="1">
        <f t="array" ref="U997">_xlfn.IFS(T997=1,"Poor",T997=2,"Fair",T997=3,"Good",T997=4,"Excellent")</f>
        <v>Poor</v>
      </c>
      <c r="V997" s="5" t="s">
        <v>35</v>
      </c>
      <c r="W997" s="5">
        <v>20</v>
      </c>
      <c r="X997" s="28">
        <f t="shared" ca="1" si="172"/>
        <v>38806</v>
      </c>
      <c r="Y997" s="28">
        <f t="shared" ca="1" si="173"/>
        <v>46842</v>
      </c>
      <c r="Z997" s="28" t="str">
        <f t="shared" ca="1" si="174"/>
        <v>Upcoming</v>
      </c>
      <c r="AA997" s="5" t="str" cm="1">
        <f t="array" ref="AA997">_xlfn.IFS(W997&gt;10,"Veteran",W997&gt;=6,"Experienced",W997&gt;=2,"Developing",W997&gt;=0,"New")</f>
        <v>Veteran</v>
      </c>
      <c r="AB997" s="5" t="str" cm="1">
        <f t="array" ref="AB997">_xlfn.IFS(G997=1,"Junior",G997=2,"Mid-Level",G997=3,"Senior",G997=4,"Lead",G997=5,"Principal")&amp;" "&amp;TRIM(PROPER(H997))</f>
        <v>Mid-Level Research Scientist</v>
      </c>
      <c r="AC997" s="19" t="str">
        <f t="shared" ca="1" si="175"/>
        <v>Re-Res-2006-996 is a Mid-Level Research Scientist in the Research &amp; Development department, aged 43, single and has been with the Company for 20years</v>
      </c>
    </row>
    <row r="998" spans="1:29">
      <c r="A998" s="18" t="str">
        <f t="shared" ca="1" si="165"/>
        <v>Sa-Sal-2020-997</v>
      </c>
      <c r="B998" s="5">
        <v>27</v>
      </c>
      <c r="C998" s="5" t="str">
        <f t="shared" si="166"/>
        <v>20-29</v>
      </c>
      <c r="D998" s="5" t="s">
        <v>43</v>
      </c>
      <c r="E998" s="5" t="s">
        <v>37</v>
      </c>
      <c r="F998" s="5" t="s">
        <v>39</v>
      </c>
      <c r="G998" s="5">
        <v>2</v>
      </c>
      <c r="H998" s="5" t="s">
        <v>40</v>
      </c>
      <c r="I998" s="5" t="s">
        <v>48</v>
      </c>
      <c r="J998" s="7">
        <v>5769</v>
      </c>
      <c r="K998" s="7">
        <f t="shared" si="167"/>
        <v>865.35</v>
      </c>
      <c r="L998" s="7">
        <f t="shared" si="168"/>
        <v>4903.6499999999996</v>
      </c>
      <c r="M998" s="7">
        <v>7100</v>
      </c>
      <c r="N998" s="5" t="s">
        <v>35</v>
      </c>
      <c r="O998" s="5">
        <v>11</v>
      </c>
      <c r="P998" s="7">
        <f t="shared" si="169"/>
        <v>6403.59</v>
      </c>
      <c r="Q998" s="7">
        <f t="shared" si="170"/>
        <v>7615.0800000000017</v>
      </c>
      <c r="R998" s="7" t="str">
        <f t="shared" si="171"/>
        <v>Normal</v>
      </c>
      <c r="S998" s="5">
        <v>3</v>
      </c>
      <c r="T998" s="5">
        <v>3</v>
      </c>
      <c r="U998" s="5" t="str" cm="1">
        <f t="array" ref="U998">_xlfn.IFS(T998=1,"Poor",T998=2,"Fair",T998=3,"Good",T998=4,"Excellent")</f>
        <v>Good</v>
      </c>
      <c r="V998" s="5" t="s">
        <v>35</v>
      </c>
      <c r="W998" s="5">
        <v>6</v>
      </c>
      <c r="X998" s="28">
        <f t="shared" ca="1" si="172"/>
        <v>43920</v>
      </c>
      <c r="Y998" s="28">
        <f t="shared" ca="1" si="173"/>
        <v>46842</v>
      </c>
      <c r="Z998" s="28" t="str">
        <f t="shared" ca="1" si="174"/>
        <v>Upcoming</v>
      </c>
      <c r="AA998" s="5" t="str" cm="1">
        <f t="array" ref="AA998">_xlfn.IFS(W998&gt;10,"Veteran",W998&gt;=6,"Experienced",W998&gt;=2,"Developing",W998&gt;=0,"New")</f>
        <v>Experienced</v>
      </c>
      <c r="AB998" s="5" t="str" cm="1">
        <f t="array" ref="AB998">_xlfn.IFS(G998=1,"Junior",G998=2,"Mid-Level",G998=3,"Senior",G998=4,"Lead",G998=5,"Principal")&amp;" "&amp;TRIM(PROPER(H998))</f>
        <v>Mid-Level Sales Executive</v>
      </c>
      <c r="AC998" s="19" t="str">
        <f t="shared" ca="1" si="175"/>
        <v>Sa-Sal-2020-997 is a Mid-Level Sales Executive in the Sales department, aged 27, married and has been with the Company for 6years</v>
      </c>
    </row>
    <row r="999" spans="1:29">
      <c r="A999" s="18" t="str">
        <f t="shared" ca="1" si="165"/>
        <v>Re-Res-2018-998</v>
      </c>
      <c r="B999" s="5">
        <v>27</v>
      </c>
      <c r="C999" s="5" t="str">
        <f t="shared" si="166"/>
        <v>20-29</v>
      </c>
      <c r="D999" s="5" t="s">
        <v>35</v>
      </c>
      <c r="E999" s="5" t="s">
        <v>45</v>
      </c>
      <c r="F999" s="5" t="s">
        <v>39</v>
      </c>
      <c r="G999" s="5">
        <v>1</v>
      </c>
      <c r="H999" s="5" t="s">
        <v>47</v>
      </c>
      <c r="I999" s="5" t="s">
        <v>41</v>
      </c>
      <c r="J999" s="7">
        <v>2394</v>
      </c>
      <c r="K999" s="7">
        <f t="shared" si="167"/>
        <v>167.58</v>
      </c>
      <c r="L999" s="7">
        <f t="shared" si="168"/>
        <v>2226.42</v>
      </c>
      <c r="M999" s="7">
        <v>25681</v>
      </c>
      <c r="N999" s="5" t="s">
        <v>35</v>
      </c>
      <c r="O999" s="5">
        <v>13</v>
      </c>
      <c r="P999" s="7">
        <f t="shared" si="169"/>
        <v>2705.22</v>
      </c>
      <c r="Q999" s="7">
        <f t="shared" si="170"/>
        <v>3734.6399999999976</v>
      </c>
      <c r="R999" s="7" t="str">
        <f t="shared" si="171"/>
        <v>Normal</v>
      </c>
      <c r="S999" s="5">
        <v>3</v>
      </c>
      <c r="T999" s="5">
        <v>3</v>
      </c>
      <c r="U999" s="5" t="str" cm="1">
        <f t="array" ref="U999">_xlfn.IFS(T999=1,"Poor",T999=2,"Fair",T999=3,"Good",T999=4,"Excellent")</f>
        <v>Good</v>
      </c>
      <c r="V999" s="5" t="s">
        <v>35</v>
      </c>
      <c r="W999" s="5">
        <v>8</v>
      </c>
      <c r="X999" s="28">
        <f t="shared" ca="1" si="172"/>
        <v>43189</v>
      </c>
      <c r="Y999" s="28">
        <f t="shared" ca="1" si="173"/>
        <v>46842</v>
      </c>
      <c r="Z999" s="28" t="str">
        <f t="shared" ca="1" si="174"/>
        <v>Upcoming</v>
      </c>
      <c r="AA999" s="5" t="str" cm="1">
        <f t="array" ref="AA999">_xlfn.IFS(W999&gt;10,"Veteran",W999&gt;=6,"Experienced",W999&gt;=2,"Developing",W999&gt;=0,"New")</f>
        <v>Experienced</v>
      </c>
      <c r="AB999" s="5" t="str" cm="1">
        <f t="array" ref="AB999">_xlfn.IFS(G999=1,"Junior",G999=2,"Mid-Level",G999=3,"Senior",G999=4,"Lead",G999=5,"Principal")&amp;" "&amp;TRIM(PROPER(H999))</f>
        <v>Junior Research Scientist</v>
      </c>
      <c r="AC999" s="19" t="str">
        <f t="shared" ca="1" si="175"/>
        <v>Re-Res-2018-998 is a Junior Research Scientist in the Research &amp; Development department, aged 27, single and has been with the Company for 8years</v>
      </c>
    </row>
    <row r="1000" spans="1:29">
      <c r="A1000" s="18" t="str">
        <f t="shared" ca="1" si="165"/>
        <v>Re-Res-2022-999</v>
      </c>
      <c r="B1000" s="5">
        <v>26</v>
      </c>
      <c r="C1000" s="5" t="str">
        <f t="shared" si="166"/>
        <v>20-29</v>
      </c>
      <c r="D1000" s="5" t="s">
        <v>43</v>
      </c>
      <c r="E1000" s="5" t="s">
        <v>45</v>
      </c>
      <c r="F1000" s="5" t="s">
        <v>46</v>
      </c>
      <c r="G1000" s="5">
        <v>1</v>
      </c>
      <c r="H1000" s="5" t="s">
        <v>47</v>
      </c>
      <c r="I1000" s="5" t="s">
        <v>41</v>
      </c>
      <c r="J1000" s="7">
        <v>3904</v>
      </c>
      <c r="K1000" s="7">
        <f t="shared" si="167"/>
        <v>585.6</v>
      </c>
      <c r="L1000" s="7">
        <f t="shared" si="168"/>
        <v>3318.4</v>
      </c>
      <c r="M1000" s="7">
        <v>4050</v>
      </c>
      <c r="N1000" s="5" t="s">
        <v>43</v>
      </c>
      <c r="O1000" s="5">
        <v>12</v>
      </c>
      <c r="P1000" s="7">
        <f t="shared" si="169"/>
        <v>4372.4800000000005</v>
      </c>
      <c r="Q1000" s="7">
        <f t="shared" si="170"/>
        <v>5621.7600000000057</v>
      </c>
      <c r="R1000" s="7" t="str">
        <f t="shared" si="171"/>
        <v>Normal</v>
      </c>
      <c r="S1000" s="5">
        <v>3</v>
      </c>
      <c r="T1000" s="5">
        <v>3</v>
      </c>
      <c r="U1000" s="5" t="str" cm="1">
        <f t="array" ref="U1000">_xlfn.IFS(T1000=1,"Poor",T1000=2,"Fair",T1000=3,"Good",T1000=4,"Excellent")</f>
        <v>Good</v>
      </c>
      <c r="V1000" s="5" t="s">
        <v>43</v>
      </c>
      <c r="W1000" s="5">
        <v>4</v>
      </c>
      <c r="X1000" s="28">
        <f t="shared" ca="1" si="172"/>
        <v>44650</v>
      </c>
      <c r="Y1000" s="28">
        <f t="shared" ca="1" si="173"/>
        <v>46842</v>
      </c>
      <c r="Z1000" s="28" t="str">
        <f t="shared" ca="1" si="174"/>
        <v>Upcoming</v>
      </c>
      <c r="AA1000" s="5" t="str" cm="1">
        <f t="array" ref="AA1000">_xlfn.IFS(W1000&gt;10,"Veteran",W1000&gt;=6,"Experienced",W1000&gt;=2,"Developing",W1000&gt;=0,"New")</f>
        <v>Developing</v>
      </c>
      <c r="AB1000" s="5" t="str" cm="1">
        <f t="array" ref="AB1000">_xlfn.IFS(G1000=1,"Junior",G1000=2,"Mid-Level",G1000=3,"Senior",G1000=4,"Lead",G1000=5,"Principal")&amp;" "&amp;TRIM(PROPER(H1000))</f>
        <v>Junior Research Scientist</v>
      </c>
      <c r="AC1000" s="19" t="str">
        <f t="shared" ca="1" si="175"/>
        <v>Re-Res-2022-999 is a Junior Research Scientist in the Research &amp; Development department, aged 26, single and has been with the Company for 4years</v>
      </c>
    </row>
    <row r="1001" spans="1:29">
      <c r="A1001" s="18" t="str">
        <f t="shared" ca="1" si="165"/>
        <v>Ma-Hum-2006-1000</v>
      </c>
      <c r="B1001" s="5">
        <v>42</v>
      </c>
      <c r="C1001" s="5" t="str">
        <f t="shared" si="166"/>
        <v>40-49</v>
      </c>
      <c r="D1001" s="5" t="s">
        <v>43</v>
      </c>
      <c r="E1001" s="5" t="s">
        <v>61</v>
      </c>
      <c r="F1001" s="5" t="s">
        <v>39</v>
      </c>
      <c r="G1001" s="5">
        <v>4</v>
      </c>
      <c r="H1001" s="5" t="s">
        <v>56</v>
      </c>
      <c r="I1001" s="5" t="s">
        <v>48</v>
      </c>
      <c r="J1001" s="7">
        <v>16799</v>
      </c>
      <c r="K1001" s="7">
        <f t="shared" si="167"/>
        <v>5039.7</v>
      </c>
      <c r="L1001" s="7">
        <f t="shared" si="168"/>
        <v>11759.3</v>
      </c>
      <c r="M1001" s="7">
        <v>16616</v>
      </c>
      <c r="N1001" s="5" t="s">
        <v>43</v>
      </c>
      <c r="O1001" s="5">
        <v>14</v>
      </c>
      <c r="P1001" s="7">
        <f t="shared" si="169"/>
        <v>19150.86</v>
      </c>
      <c r="Q1001" s="7">
        <f t="shared" si="170"/>
        <v>28222.320000000007</v>
      </c>
      <c r="R1001" s="7" t="str">
        <f t="shared" si="171"/>
        <v>Normal</v>
      </c>
      <c r="S1001" s="5">
        <v>3</v>
      </c>
      <c r="T1001" s="5">
        <v>3</v>
      </c>
      <c r="U1001" s="5" t="str" cm="1">
        <f t="array" ref="U1001">_xlfn.IFS(T1001=1,"Poor",T1001=2,"Fair",T1001=3,"Good",T1001=4,"Excellent")</f>
        <v>Good</v>
      </c>
      <c r="V1001" s="5" t="s">
        <v>43</v>
      </c>
      <c r="W1001" s="5">
        <v>20</v>
      </c>
      <c r="X1001" s="28">
        <f t="shared" ca="1" si="172"/>
        <v>38806</v>
      </c>
      <c r="Y1001" s="28">
        <f t="shared" ca="1" si="173"/>
        <v>46842</v>
      </c>
      <c r="Z1001" s="28" t="str">
        <f t="shared" ca="1" si="174"/>
        <v>Upcoming</v>
      </c>
      <c r="AA1001" s="5" t="str" cm="1">
        <f t="array" ref="AA1001">_xlfn.IFS(W1001&gt;10,"Veteran",W1001&gt;=6,"Experienced",W1001&gt;=2,"Developing",W1001&gt;=0,"New")</f>
        <v>Veteran</v>
      </c>
      <c r="AB1001" s="5" t="str" cm="1">
        <f t="array" ref="AB1001">_xlfn.IFS(G1001=1,"Junior",G1001=2,"Mid-Level",G1001=3,"Senior",G1001=4,"Lead",G1001=5,"Principal")&amp;" "&amp;TRIM(PROPER(H1001))</f>
        <v>Lead Manager</v>
      </c>
      <c r="AC1001" s="19" t="str">
        <f t="shared" ca="1" si="175"/>
        <v>Ma-Hum-2006-1000 is a Lead Manager in the Human Resources department, aged 42, married and has been with the Company for 20years</v>
      </c>
    </row>
    <row r="1002" spans="1:29">
      <c r="A1002" s="18" t="str">
        <f t="shared" ca="1" si="165"/>
        <v>La-Res-2021-1001</v>
      </c>
      <c r="B1002" s="5">
        <v>52</v>
      </c>
      <c r="C1002" s="5" t="str">
        <f t="shared" si="166"/>
        <v>50+</v>
      </c>
      <c r="D1002" s="5" t="s">
        <v>43</v>
      </c>
      <c r="E1002" s="5" t="s">
        <v>45</v>
      </c>
      <c r="F1002" s="5" t="s">
        <v>39</v>
      </c>
      <c r="G1002" s="5">
        <v>1</v>
      </c>
      <c r="H1002" s="5" t="s">
        <v>50</v>
      </c>
      <c r="I1002" s="5" t="s">
        <v>48</v>
      </c>
      <c r="J1002" s="7">
        <v>2950</v>
      </c>
      <c r="K1002" s="7">
        <f t="shared" si="167"/>
        <v>206.50000000000003</v>
      </c>
      <c r="L1002" s="7">
        <f t="shared" si="168"/>
        <v>2743.5</v>
      </c>
      <c r="M1002" s="7">
        <v>17363</v>
      </c>
      <c r="N1002" s="5" t="s">
        <v>43</v>
      </c>
      <c r="O1002" s="5">
        <v>13</v>
      </c>
      <c r="P1002" s="7">
        <f t="shared" si="169"/>
        <v>3333.4999999999995</v>
      </c>
      <c r="Q1002" s="7">
        <f t="shared" si="170"/>
        <v>4601.9999999999945</v>
      </c>
      <c r="R1002" s="7" t="str">
        <f t="shared" si="171"/>
        <v>Normal</v>
      </c>
      <c r="S1002" s="5">
        <v>3</v>
      </c>
      <c r="T1002" s="5">
        <v>1</v>
      </c>
      <c r="U1002" s="5" t="str" cm="1">
        <f t="array" ref="U1002">_xlfn.IFS(T1002=1,"Poor",T1002=2,"Fair",T1002=3,"Good",T1002=4,"Excellent")</f>
        <v>Poor</v>
      </c>
      <c r="V1002" s="5" t="s">
        <v>43</v>
      </c>
      <c r="W1002" s="5">
        <v>5</v>
      </c>
      <c r="X1002" s="28">
        <f t="shared" ca="1" si="172"/>
        <v>44285</v>
      </c>
      <c r="Y1002" s="28">
        <f t="shared" ca="1" si="173"/>
        <v>46476</v>
      </c>
      <c r="Z1002" s="28" t="str">
        <f t="shared" ca="1" si="174"/>
        <v>Due Soon</v>
      </c>
      <c r="AA1002" s="5" t="str" cm="1">
        <f t="array" ref="AA1002">_xlfn.IFS(W1002&gt;10,"Veteran",W1002&gt;=6,"Experienced",W1002&gt;=2,"Developing",W1002&gt;=0,"New")</f>
        <v>Developing</v>
      </c>
      <c r="AB1002" s="5" t="str" cm="1">
        <f t="array" ref="AB1002">_xlfn.IFS(G1002=1,"Junior",G1002=2,"Mid-Level",G1002=3,"Senior",G1002=4,"Lead",G1002=5,"Principal")&amp;" "&amp;TRIM(PROPER(H1002))</f>
        <v>Junior Laboratory Technician</v>
      </c>
      <c r="AC1002" s="19" t="str">
        <f t="shared" ca="1" si="175"/>
        <v>La-Res-2021-1001 is a Junior Laboratory Technician in the Research &amp; Development department, aged 52, married and has been with the Company for 5years</v>
      </c>
    </row>
    <row r="1003" spans="1:29">
      <c r="A1003" s="18" t="str">
        <f t="shared" ca="1" si="165"/>
        <v>La-Res-2023-1002</v>
      </c>
      <c r="B1003" s="5">
        <v>37</v>
      </c>
      <c r="C1003" s="5" t="str">
        <f t="shared" si="166"/>
        <v>30-39</v>
      </c>
      <c r="D1003" s="5" t="s">
        <v>43</v>
      </c>
      <c r="E1003" s="5" t="s">
        <v>45</v>
      </c>
      <c r="F1003" s="5" t="s">
        <v>39</v>
      </c>
      <c r="G1003" s="5">
        <v>1</v>
      </c>
      <c r="H1003" s="5" t="s">
        <v>50</v>
      </c>
      <c r="I1003" s="5" t="s">
        <v>41</v>
      </c>
      <c r="J1003" s="7">
        <v>3629</v>
      </c>
      <c r="K1003" s="7">
        <f t="shared" si="167"/>
        <v>544.35</v>
      </c>
      <c r="L1003" s="7">
        <f t="shared" si="168"/>
        <v>3084.65</v>
      </c>
      <c r="M1003" s="7">
        <v>19106</v>
      </c>
      <c r="N1003" s="5" t="s">
        <v>43</v>
      </c>
      <c r="O1003" s="5">
        <v>18</v>
      </c>
      <c r="P1003" s="7">
        <f t="shared" si="169"/>
        <v>4282.2199999999993</v>
      </c>
      <c r="Q1003" s="7">
        <f t="shared" si="170"/>
        <v>7838.6399999999921</v>
      </c>
      <c r="R1003" s="7" t="str">
        <f t="shared" si="171"/>
        <v>Normal</v>
      </c>
      <c r="S1003" s="5">
        <v>3</v>
      </c>
      <c r="T1003" s="5">
        <v>3</v>
      </c>
      <c r="U1003" s="5" t="str" cm="1">
        <f t="array" ref="U1003">_xlfn.IFS(T1003=1,"Poor",T1003=2,"Fair",T1003=3,"Good",T1003=4,"Excellent")</f>
        <v>Good</v>
      </c>
      <c r="V1003" s="5" t="s">
        <v>43</v>
      </c>
      <c r="W1003" s="5">
        <v>3</v>
      </c>
      <c r="X1003" s="28">
        <f t="shared" ca="1" si="172"/>
        <v>45015</v>
      </c>
      <c r="Y1003" s="28">
        <f t="shared" ca="1" si="173"/>
        <v>46476</v>
      </c>
      <c r="Z1003" s="28" t="str">
        <f t="shared" ca="1" si="174"/>
        <v>Due Soon</v>
      </c>
      <c r="AA1003" s="5" t="str" cm="1">
        <f t="array" ref="AA1003">_xlfn.IFS(W1003&gt;10,"Veteran",W1003&gt;=6,"Experienced",W1003&gt;=2,"Developing",W1003&gt;=0,"New")</f>
        <v>Developing</v>
      </c>
      <c r="AB1003" s="5" t="str" cm="1">
        <f t="array" ref="AB1003">_xlfn.IFS(G1003=1,"Junior",G1003=2,"Mid-Level",G1003=3,"Senior",G1003=4,"Lead",G1003=5,"Principal")&amp;" "&amp;TRIM(PROPER(H1003))</f>
        <v>Junior Laboratory Technician</v>
      </c>
      <c r="AC1003" s="19" t="str">
        <f t="shared" ca="1" si="175"/>
        <v>La-Res-2023-1002 is a Junior Laboratory Technician in the Research &amp; Development department, aged 37, single and has been with the Company for 3years</v>
      </c>
    </row>
    <row r="1004" spans="1:29">
      <c r="A1004" s="18" t="str">
        <f t="shared" ca="1" si="165"/>
        <v>Ma-Res-2024-1003</v>
      </c>
      <c r="B1004" s="5">
        <v>35</v>
      </c>
      <c r="C1004" s="5" t="str">
        <f t="shared" si="166"/>
        <v>30-39</v>
      </c>
      <c r="D1004" s="5" t="s">
        <v>43</v>
      </c>
      <c r="E1004" s="5" t="s">
        <v>45</v>
      </c>
      <c r="F1004" s="5" t="s">
        <v>46</v>
      </c>
      <c r="G1004" s="5">
        <v>3</v>
      </c>
      <c r="H1004" s="5" t="s">
        <v>53</v>
      </c>
      <c r="I1004" s="5" t="s">
        <v>41</v>
      </c>
      <c r="J1004" s="7">
        <v>9362</v>
      </c>
      <c r="K1004" s="7">
        <f t="shared" si="167"/>
        <v>2059.64</v>
      </c>
      <c r="L1004" s="7">
        <f t="shared" si="168"/>
        <v>7302.3600000000006</v>
      </c>
      <c r="M1004" s="7">
        <v>19944</v>
      </c>
      <c r="N1004" s="5" t="s">
        <v>43</v>
      </c>
      <c r="O1004" s="5">
        <v>11</v>
      </c>
      <c r="P1004" s="7">
        <f t="shared" si="169"/>
        <v>10391.820000000002</v>
      </c>
      <c r="Q1004" s="7">
        <f t="shared" si="170"/>
        <v>12357.840000000018</v>
      </c>
      <c r="R1004" s="7" t="str">
        <f t="shared" si="171"/>
        <v>Normal</v>
      </c>
      <c r="S1004" s="5">
        <v>3</v>
      </c>
      <c r="T1004" s="5">
        <v>3</v>
      </c>
      <c r="U1004" s="5" t="str" cm="1">
        <f t="array" ref="U1004">_xlfn.IFS(T1004=1,"Poor",T1004=2,"Fair",T1004=3,"Good",T1004=4,"Excellent")</f>
        <v>Good</v>
      </c>
      <c r="V1004" s="5" t="s">
        <v>43</v>
      </c>
      <c r="W1004" s="5">
        <v>2</v>
      </c>
      <c r="X1004" s="28">
        <f t="shared" ca="1" si="172"/>
        <v>45381</v>
      </c>
      <c r="Y1004" s="28">
        <f t="shared" ca="1" si="173"/>
        <v>46842</v>
      </c>
      <c r="Z1004" s="28" t="str">
        <f t="shared" ca="1" si="174"/>
        <v>Upcoming</v>
      </c>
      <c r="AA1004" s="5" t="str" cm="1">
        <f t="array" ref="AA1004">_xlfn.IFS(W1004&gt;10,"Veteran",W1004&gt;=6,"Experienced",W1004&gt;=2,"Developing",W1004&gt;=0,"New")</f>
        <v>Developing</v>
      </c>
      <c r="AB1004" s="5" t="str" cm="1">
        <f t="array" ref="AB1004">_xlfn.IFS(G1004=1,"Junior",G1004=2,"Mid-Level",G1004=3,"Senior",G1004=4,"Lead",G1004=5,"Principal")&amp;" "&amp;TRIM(PROPER(H1004))</f>
        <v>Senior Manufacturing Director</v>
      </c>
      <c r="AC1004" s="19" t="str">
        <f t="shared" ca="1" si="175"/>
        <v>Ma-Res-2024-1003 is a Senior Manufacturing Director in the Research &amp; Development department, aged 35, single and has been with the Company for 2years</v>
      </c>
    </row>
    <row r="1005" spans="1:29">
      <c r="A1005" s="18" t="str">
        <f t="shared" ca="1" si="165"/>
        <v>La-Res-2023-1004</v>
      </c>
      <c r="B1005" s="5">
        <v>25</v>
      </c>
      <c r="C1005" s="5" t="str">
        <f t="shared" si="166"/>
        <v>20-29</v>
      </c>
      <c r="D1005" s="5" t="s">
        <v>43</v>
      </c>
      <c r="E1005" s="5" t="s">
        <v>45</v>
      </c>
      <c r="F1005" s="5" t="s">
        <v>46</v>
      </c>
      <c r="G1005" s="5">
        <v>1</v>
      </c>
      <c r="H1005" s="5" t="s">
        <v>50</v>
      </c>
      <c r="I1005" s="5" t="s">
        <v>48</v>
      </c>
      <c r="J1005" s="7">
        <v>3229</v>
      </c>
      <c r="K1005" s="7">
        <f t="shared" si="167"/>
        <v>484.34999999999997</v>
      </c>
      <c r="L1005" s="7">
        <f t="shared" si="168"/>
        <v>2744.65</v>
      </c>
      <c r="M1005" s="7">
        <v>4910</v>
      </c>
      <c r="N1005" s="5" t="s">
        <v>43</v>
      </c>
      <c r="O1005" s="5">
        <v>11</v>
      </c>
      <c r="P1005" s="7">
        <f t="shared" si="169"/>
        <v>3584.1900000000005</v>
      </c>
      <c r="Q1005" s="7">
        <f t="shared" si="170"/>
        <v>4262.2800000000061</v>
      </c>
      <c r="R1005" s="7" t="str">
        <f t="shared" si="171"/>
        <v>Normal</v>
      </c>
      <c r="S1005" s="5">
        <v>3</v>
      </c>
      <c r="T1005" s="5">
        <v>2</v>
      </c>
      <c r="U1005" s="5" t="str" cm="1">
        <f t="array" ref="U1005">_xlfn.IFS(T1005=1,"Poor",T1005=2,"Fair",T1005=3,"Good",T1005=4,"Excellent")</f>
        <v>Fair</v>
      </c>
      <c r="V1005" s="5" t="s">
        <v>43</v>
      </c>
      <c r="W1005" s="5">
        <v>3</v>
      </c>
      <c r="X1005" s="28">
        <f t="shared" ca="1" si="172"/>
        <v>45015</v>
      </c>
      <c r="Y1005" s="28">
        <f t="shared" ca="1" si="173"/>
        <v>46476</v>
      </c>
      <c r="Z1005" s="28" t="str">
        <f t="shared" ca="1" si="174"/>
        <v>Due Soon</v>
      </c>
      <c r="AA1005" s="5" t="str" cm="1">
        <f t="array" ref="AA1005">_xlfn.IFS(W1005&gt;10,"Veteran",W1005&gt;=6,"Experienced",W1005&gt;=2,"Developing",W1005&gt;=0,"New")</f>
        <v>Developing</v>
      </c>
      <c r="AB1005" s="5" t="str" cm="1">
        <f t="array" ref="AB1005">_xlfn.IFS(G1005=1,"Junior",G1005=2,"Mid-Level",G1005=3,"Senior",G1005=4,"Lead",G1005=5,"Principal")&amp;" "&amp;TRIM(PROPER(H1005))</f>
        <v>Junior Laboratory Technician</v>
      </c>
      <c r="AC1005" s="19" t="str">
        <f t="shared" ca="1" si="175"/>
        <v>La-Res-2023-1004 is a Junior Laboratory Technician in the Research &amp; Development department, aged 25, married and has been with the Company for 3years</v>
      </c>
    </row>
    <row r="1006" spans="1:29">
      <c r="A1006" s="18" t="str">
        <f t="shared" ca="1" si="165"/>
        <v>La-Res-2019-1005</v>
      </c>
      <c r="B1006" s="5">
        <v>26</v>
      </c>
      <c r="C1006" s="5" t="str">
        <f t="shared" si="166"/>
        <v>20-29</v>
      </c>
      <c r="D1006" s="5" t="s">
        <v>43</v>
      </c>
      <c r="E1006" s="5" t="s">
        <v>45</v>
      </c>
      <c r="F1006" s="5" t="s">
        <v>46</v>
      </c>
      <c r="G1006" s="5">
        <v>1</v>
      </c>
      <c r="H1006" s="5" t="s">
        <v>50</v>
      </c>
      <c r="I1006" s="5" t="s">
        <v>41</v>
      </c>
      <c r="J1006" s="7">
        <v>3578</v>
      </c>
      <c r="K1006" s="7">
        <f t="shared" si="167"/>
        <v>536.69999999999993</v>
      </c>
      <c r="L1006" s="7">
        <f t="shared" si="168"/>
        <v>3041.3</v>
      </c>
      <c r="M1006" s="7">
        <v>23577</v>
      </c>
      <c r="N1006" s="5" t="s">
        <v>43</v>
      </c>
      <c r="O1006" s="5">
        <v>12</v>
      </c>
      <c r="P1006" s="7">
        <f t="shared" si="169"/>
        <v>4007.3600000000006</v>
      </c>
      <c r="Q1006" s="7">
        <f t="shared" si="170"/>
        <v>5152.320000000007</v>
      </c>
      <c r="R1006" s="7" t="str">
        <f t="shared" si="171"/>
        <v>Normal</v>
      </c>
      <c r="S1006" s="5">
        <v>3</v>
      </c>
      <c r="T1006" s="5">
        <v>3</v>
      </c>
      <c r="U1006" s="5" t="str" cm="1">
        <f t="array" ref="U1006">_xlfn.IFS(T1006=1,"Poor",T1006=2,"Fair",T1006=3,"Good",T1006=4,"Excellent")</f>
        <v>Good</v>
      </c>
      <c r="V1006" s="5" t="s">
        <v>43</v>
      </c>
      <c r="W1006" s="5">
        <v>7</v>
      </c>
      <c r="X1006" s="28">
        <f t="shared" ca="1" si="172"/>
        <v>43554</v>
      </c>
      <c r="Y1006" s="28">
        <f t="shared" ca="1" si="173"/>
        <v>46476</v>
      </c>
      <c r="Z1006" s="28" t="str">
        <f t="shared" ca="1" si="174"/>
        <v>Due Soon</v>
      </c>
      <c r="AA1006" s="5" t="str" cm="1">
        <f t="array" ref="AA1006">_xlfn.IFS(W1006&gt;10,"Veteran",W1006&gt;=6,"Experienced",W1006&gt;=2,"Developing",W1006&gt;=0,"New")</f>
        <v>Experienced</v>
      </c>
      <c r="AB1006" s="5" t="str" cm="1">
        <f t="array" ref="AB1006">_xlfn.IFS(G1006=1,"Junior",G1006=2,"Mid-Level",G1006=3,"Senior",G1006=4,"Lead",G1006=5,"Principal")&amp;" "&amp;TRIM(PROPER(H1006))</f>
        <v>Junior Laboratory Technician</v>
      </c>
      <c r="AC1006" s="19" t="str">
        <f t="shared" ca="1" si="175"/>
        <v>La-Res-2019-1005 is a Junior Laboratory Technician in the Research &amp; Development department, aged 26, single and has been with the Company for 7years</v>
      </c>
    </row>
    <row r="1007" spans="1:29">
      <c r="A1007" s="18" t="str">
        <f t="shared" ca="1" si="165"/>
        <v>Hu-Hum-2016-1006</v>
      </c>
      <c r="B1007" s="5">
        <v>29</v>
      </c>
      <c r="C1007" s="5" t="str">
        <f t="shared" si="166"/>
        <v>20-29</v>
      </c>
      <c r="D1007" s="5" t="s">
        <v>43</v>
      </c>
      <c r="E1007" s="5" t="s">
        <v>61</v>
      </c>
      <c r="F1007" s="5" t="s">
        <v>46</v>
      </c>
      <c r="G1007" s="5">
        <v>3</v>
      </c>
      <c r="H1007" s="5" t="s">
        <v>61</v>
      </c>
      <c r="I1007" s="5" t="s">
        <v>41</v>
      </c>
      <c r="J1007" s="7">
        <v>7988</v>
      </c>
      <c r="K1007" s="7">
        <f t="shared" si="167"/>
        <v>1757.36</v>
      </c>
      <c r="L1007" s="7">
        <f t="shared" si="168"/>
        <v>6230.64</v>
      </c>
      <c r="M1007" s="7">
        <v>9769</v>
      </c>
      <c r="N1007" s="5" t="s">
        <v>43</v>
      </c>
      <c r="O1007" s="5">
        <v>13</v>
      </c>
      <c r="P1007" s="7">
        <f t="shared" si="169"/>
        <v>9026.4399999999987</v>
      </c>
      <c r="Q1007" s="7">
        <f t="shared" si="170"/>
        <v>12461.279999999984</v>
      </c>
      <c r="R1007" s="7" t="str">
        <f t="shared" si="171"/>
        <v>Normal</v>
      </c>
      <c r="S1007" s="5">
        <v>3</v>
      </c>
      <c r="T1007" s="5">
        <v>2</v>
      </c>
      <c r="U1007" s="5" t="str" cm="1">
        <f t="array" ref="U1007">_xlfn.IFS(T1007=1,"Poor",T1007=2,"Fair",T1007=3,"Good",T1007=4,"Excellent")</f>
        <v>Fair</v>
      </c>
      <c r="V1007" s="5" t="s">
        <v>43</v>
      </c>
      <c r="W1007" s="5">
        <v>10</v>
      </c>
      <c r="X1007" s="28">
        <f t="shared" ca="1" si="172"/>
        <v>42459</v>
      </c>
      <c r="Y1007" s="28">
        <f t="shared" ca="1" si="173"/>
        <v>46842</v>
      </c>
      <c r="Z1007" s="28" t="str">
        <f t="shared" ca="1" si="174"/>
        <v>Upcoming</v>
      </c>
      <c r="AA1007" s="5" t="str" cm="1">
        <f t="array" ref="AA1007">_xlfn.IFS(W1007&gt;10,"Veteran",W1007&gt;=6,"Experienced",W1007&gt;=2,"Developing",W1007&gt;=0,"New")</f>
        <v>Experienced</v>
      </c>
      <c r="AB1007" s="5" t="str" cm="1">
        <f t="array" ref="AB1007">_xlfn.IFS(G1007=1,"Junior",G1007=2,"Mid-Level",G1007=3,"Senior",G1007=4,"Lead",G1007=5,"Principal")&amp;" "&amp;TRIM(PROPER(H1007))</f>
        <v>Senior Human Resources</v>
      </c>
      <c r="AC1007" s="19" t="str">
        <f t="shared" ca="1" si="175"/>
        <v>Hu-Hum-2016-1006 is a Senior Human Resources in the Human Resources department, aged 29, single and has been with the Company for 10years</v>
      </c>
    </row>
    <row r="1008" spans="1:29">
      <c r="A1008" s="18" t="str">
        <f t="shared" ca="1" si="165"/>
        <v>La-Res-2022-1007</v>
      </c>
      <c r="B1008" s="5">
        <v>49</v>
      </c>
      <c r="C1008" s="5" t="str">
        <f t="shared" si="166"/>
        <v>40-49</v>
      </c>
      <c r="D1008" s="5" t="s">
        <v>35</v>
      </c>
      <c r="E1008" s="5" t="s">
        <v>45</v>
      </c>
      <c r="F1008" s="5" t="s">
        <v>46</v>
      </c>
      <c r="G1008" s="5">
        <v>2</v>
      </c>
      <c r="H1008" s="5" t="s">
        <v>50</v>
      </c>
      <c r="I1008" s="5" t="s">
        <v>41</v>
      </c>
      <c r="J1008" s="7">
        <v>4284</v>
      </c>
      <c r="K1008" s="7">
        <f t="shared" si="167"/>
        <v>642.6</v>
      </c>
      <c r="L1008" s="7">
        <f t="shared" si="168"/>
        <v>3641.4</v>
      </c>
      <c r="M1008" s="7">
        <v>22710</v>
      </c>
      <c r="N1008" s="5" t="s">
        <v>43</v>
      </c>
      <c r="O1008" s="5">
        <v>20</v>
      </c>
      <c r="P1008" s="7">
        <f t="shared" si="169"/>
        <v>5140.8</v>
      </c>
      <c r="Q1008" s="7">
        <f t="shared" si="170"/>
        <v>10281.600000000002</v>
      </c>
      <c r="R1008" s="7" t="str">
        <f t="shared" si="171"/>
        <v>Normal</v>
      </c>
      <c r="S1008" s="5">
        <v>4</v>
      </c>
      <c r="T1008" s="5">
        <v>3</v>
      </c>
      <c r="U1008" s="5" t="str" cm="1">
        <f t="array" ref="U1008">_xlfn.IFS(T1008=1,"Poor",T1008=2,"Fair",T1008=3,"Good",T1008=4,"Excellent")</f>
        <v>Good</v>
      </c>
      <c r="V1008" s="5" t="s">
        <v>43</v>
      </c>
      <c r="W1008" s="5">
        <v>4</v>
      </c>
      <c r="X1008" s="28">
        <f t="shared" ca="1" si="172"/>
        <v>44650</v>
      </c>
      <c r="Y1008" s="28">
        <f t="shared" ca="1" si="173"/>
        <v>46842</v>
      </c>
      <c r="Z1008" s="28" t="str">
        <f t="shared" ca="1" si="174"/>
        <v>Upcoming</v>
      </c>
      <c r="AA1008" s="5" t="str" cm="1">
        <f t="array" ref="AA1008">_xlfn.IFS(W1008&gt;10,"Veteran",W1008&gt;=6,"Experienced",W1008&gt;=2,"Developing",W1008&gt;=0,"New")</f>
        <v>Developing</v>
      </c>
      <c r="AB1008" s="5" t="str" cm="1">
        <f t="array" ref="AB1008">_xlfn.IFS(G1008=1,"Junior",G1008=2,"Mid-Level",G1008=3,"Senior",G1008=4,"Lead",G1008=5,"Principal")&amp;" "&amp;TRIM(PROPER(H1008))</f>
        <v>Mid-Level Laboratory Technician</v>
      </c>
      <c r="AC1008" s="19" t="str">
        <f t="shared" ca="1" si="175"/>
        <v>La-Res-2022-1007 is a Mid-Level Laboratory Technician in the Research &amp; Development department, aged 49, single and has been with the Company for 4years</v>
      </c>
    </row>
    <row r="1009" spans="1:29">
      <c r="A1009" s="18" t="str">
        <f t="shared" ca="1" si="165"/>
        <v>He-Res-2018-1008</v>
      </c>
      <c r="B1009" s="5">
        <v>29</v>
      </c>
      <c r="C1009" s="5" t="str">
        <f t="shared" si="166"/>
        <v>20-29</v>
      </c>
      <c r="D1009" s="5" t="s">
        <v>35</v>
      </c>
      <c r="E1009" s="5" t="s">
        <v>45</v>
      </c>
      <c r="F1009" s="5" t="s">
        <v>39</v>
      </c>
      <c r="G1009" s="5">
        <v>3</v>
      </c>
      <c r="H1009" s="5" t="s">
        <v>54</v>
      </c>
      <c r="I1009" s="5" t="s">
        <v>41</v>
      </c>
      <c r="J1009" s="7">
        <v>7553</v>
      </c>
      <c r="K1009" s="7">
        <f t="shared" si="167"/>
        <v>1661.66</v>
      </c>
      <c r="L1009" s="7">
        <f t="shared" si="168"/>
        <v>5891.34</v>
      </c>
      <c r="M1009" s="7">
        <v>22930</v>
      </c>
      <c r="N1009" s="5" t="s">
        <v>35</v>
      </c>
      <c r="O1009" s="5">
        <v>12</v>
      </c>
      <c r="P1009" s="7">
        <f t="shared" si="169"/>
        <v>8459.36</v>
      </c>
      <c r="Q1009" s="7">
        <f t="shared" si="170"/>
        <v>10876.320000000007</v>
      </c>
      <c r="R1009" s="7" t="str">
        <f t="shared" si="171"/>
        <v>Normal</v>
      </c>
      <c r="S1009" s="5">
        <v>3</v>
      </c>
      <c r="T1009" s="5">
        <v>3</v>
      </c>
      <c r="U1009" s="5" t="str" cm="1">
        <f t="array" ref="U1009">_xlfn.IFS(T1009=1,"Poor",T1009=2,"Fair",T1009=3,"Good",T1009=4,"Excellent")</f>
        <v>Good</v>
      </c>
      <c r="V1009" s="5" t="s">
        <v>35</v>
      </c>
      <c r="W1009" s="5">
        <v>8</v>
      </c>
      <c r="X1009" s="28">
        <f t="shared" ca="1" si="172"/>
        <v>43189</v>
      </c>
      <c r="Y1009" s="28">
        <f t="shared" ca="1" si="173"/>
        <v>46842</v>
      </c>
      <c r="Z1009" s="28" t="str">
        <f t="shared" ca="1" si="174"/>
        <v>Upcoming</v>
      </c>
      <c r="AA1009" s="5" t="str" cm="1">
        <f t="array" ref="AA1009">_xlfn.IFS(W1009&gt;10,"Veteran",W1009&gt;=6,"Experienced",W1009&gt;=2,"Developing",W1009&gt;=0,"New")</f>
        <v>Experienced</v>
      </c>
      <c r="AB1009" s="5" t="str" cm="1">
        <f t="array" ref="AB1009">_xlfn.IFS(G1009=1,"Junior",G1009=2,"Mid-Level",G1009=3,"Senior",G1009=4,"Lead",G1009=5,"Principal")&amp;" "&amp;TRIM(PROPER(H1009))</f>
        <v>Senior Healthcare Representative</v>
      </c>
      <c r="AC1009" s="19" t="str">
        <f t="shared" ca="1" si="175"/>
        <v>He-Res-2018-1008 is a Senior Healthcare Representative in the Research &amp; Development department, aged 29, single and has been with the Company for 8years</v>
      </c>
    </row>
    <row r="1010" spans="1:29">
      <c r="A1010" s="18" t="str">
        <f t="shared" ca="1" si="165"/>
        <v>Re-Res-2006-1009</v>
      </c>
      <c r="B1010" s="5">
        <v>54</v>
      </c>
      <c r="C1010" s="5" t="str">
        <f t="shared" si="166"/>
        <v>50+</v>
      </c>
      <c r="D1010" s="5" t="s">
        <v>43</v>
      </c>
      <c r="E1010" s="5" t="s">
        <v>45</v>
      </c>
      <c r="F1010" s="5" t="s">
        <v>39</v>
      </c>
      <c r="G1010" s="5">
        <v>4</v>
      </c>
      <c r="H1010" s="5" t="s">
        <v>58</v>
      </c>
      <c r="I1010" s="5" t="s">
        <v>41</v>
      </c>
      <c r="J1010" s="7">
        <v>17328</v>
      </c>
      <c r="K1010" s="7">
        <f t="shared" si="167"/>
        <v>5198.3999999999996</v>
      </c>
      <c r="L1010" s="7">
        <f t="shared" si="168"/>
        <v>12129.6</v>
      </c>
      <c r="M1010" s="7">
        <v>5652</v>
      </c>
      <c r="N1010" s="5" t="s">
        <v>43</v>
      </c>
      <c r="O1010" s="5">
        <v>19</v>
      </c>
      <c r="P1010" s="7">
        <f t="shared" si="169"/>
        <v>20620.32</v>
      </c>
      <c r="Q1010" s="7">
        <f t="shared" si="170"/>
        <v>39507.839999999997</v>
      </c>
      <c r="R1010" s="7" t="str">
        <f t="shared" si="171"/>
        <v>Normal</v>
      </c>
      <c r="S1010" s="5">
        <v>3</v>
      </c>
      <c r="T1010" s="5">
        <v>2</v>
      </c>
      <c r="U1010" s="5" t="str" cm="1">
        <f t="array" ref="U1010">_xlfn.IFS(T1010=1,"Poor",T1010=2,"Fair",T1010=3,"Good",T1010=4,"Excellent")</f>
        <v>Fair</v>
      </c>
      <c r="V1010" s="5" t="s">
        <v>43</v>
      </c>
      <c r="W1010" s="5">
        <v>20</v>
      </c>
      <c r="X1010" s="28">
        <f t="shared" ca="1" si="172"/>
        <v>38806</v>
      </c>
      <c r="Y1010" s="28">
        <f t="shared" ca="1" si="173"/>
        <v>46842</v>
      </c>
      <c r="Z1010" s="28" t="str">
        <f t="shared" ca="1" si="174"/>
        <v>Upcoming</v>
      </c>
      <c r="AA1010" s="5" t="str" cm="1">
        <f t="array" ref="AA1010">_xlfn.IFS(W1010&gt;10,"Veteran",W1010&gt;=6,"Experienced",W1010&gt;=2,"Developing",W1010&gt;=0,"New")</f>
        <v>Veteran</v>
      </c>
      <c r="AB1010" s="5" t="str" cm="1">
        <f t="array" ref="AB1010">_xlfn.IFS(G1010=1,"Junior",G1010=2,"Mid-Level",G1010=3,"Senior",G1010=4,"Lead",G1010=5,"Principal")&amp;" "&amp;TRIM(PROPER(H1010))</f>
        <v>Lead Research Director</v>
      </c>
      <c r="AC1010" s="19" t="str">
        <f t="shared" ca="1" si="175"/>
        <v>Re-Res-2006-1009 is a Lead Research Director in the Research &amp; Development department, aged 54, single and has been with the Company for 20years</v>
      </c>
    </row>
    <row r="1011" spans="1:29">
      <c r="A1011" s="18" t="str">
        <f t="shared" ca="1" si="165"/>
        <v>Re-Res-2017-1010</v>
      </c>
      <c r="B1011" s="5">
        <v>58</v>
      </c>
      <c r="C1011" s="5" t="str">
        <f t="shared" si="166"/>
        <v>50+</v>
      </c>
      <c r="D1011" s="5" t="s">
        <v>43</v>
      </c>
      <c r="E1011" s="5" t="s">
        <v>45</v>
      </c>
      <c r="F1011" s="5" t="s">
        <v>39</v>
      </c>
      <c r="G1011" s="5">
        <v>5</v>
      </c>
      <c r="H1011" s="5" t="s">
        <v>58</v>
      </c>
      <c r="I1011" s="5" t="s">
        <v>48</v>
      </c>
      <c r="J1011" s="7">
        <v>19701</v>
      </c>
      <c r="K1011" s="7">
        <f t="shared" si="167"/>
        <v>5910.3</v>
      </c>
      <c r="L1011" s="7">
        <f t="shared" si="168"/>
        <v>13790.7</v>
      </c>
      <c r="M1011" s="7">
        <v>22456</v>
      </c>
      <c r="N1011" s="5" t="s">
        <v>35</v>
      </c>
      <c r="O1011" s="5">
        <v>21</v>
      </c>
      <c r="P1011" s="7">
        <f t="shared" si="169"/>
        <v>23838.21</v>
      </c>
      <c r="Q1011" s="7">
        <f t="shared" si="170"/>
        <v>49646.51999999999</v>
      </c>
      <c r="R1011" s="7" t="str">
        <f t="shared" si="171"/>
        <v>Normal</v>
      </c>
      <c r="S1011" s="5">
        <v>4</v>
      </c>
      <c r="T1011" s="5">
        <v>3</v>
      </c>
      <c r="U1011" s="5" t="str" cm="1">
        <f t="array" ref="U1011">_xlfn.IFS(T1011=1,"Poor",T1011=2,"Fair",T1011=3,"Good",T1011=4,"Excellent")</f>
        <v>Good</v>
      </c>
      <c r="V1011" s="5" t="s">
        <v>35</v>
      </c>
      <c r="W1011" s="5">
        <v>9</v>
      </c>
      <c r="X1011" s="28">
        <f t="shared" ca="1" si="172"/>
        <v>42824</v>
      </c>
      <c r="Y1011" s="28">
        <f t="shared" ca="1" si="173"/>
        <v>46476</v>
      </c>
      <c r="Z1011" s="28" t="str">
        <f t="shared" ca="1" si="174"/>
        <v>Due Soon</v>
      </c>
      <c r="AA1011" s="5" t="str" cm="1">
        <f t="array" ref="AA1011">_xlfn.IFS(W1011&gt;10,"Veteran",W1011&gt;=6,"Experienced",W1011&gt;=2,"Developing",W1011&gt;=0,"New")</f>
        <v>Experienced</v>
      </c>
      <c r="AB1011" s="5" t="str" cm="1">
        <f t="array" ref="AB1011">_xlfn.IFS(G1011=1,"Junior",G1011=2,"Mid-Level",G1011=3,"Senior",G1011=4,"Lead",G1011=5,"Principal")&amp;" "&amp;TRIM(PROPER(H1011))</f>
        <v>Principal Research Director</v>
      </c>
      <c r="AC1011" s="19" t="str">
        <f t="shared" ca="1" si="175"/>
        <v>Re-Res-2017-1010 is a Principal Research Director in the Research &amp; Development department, aged 58, married and has been with the Company for 9years</v>
      </c>
    </row>
    <row r="1012" spans="1:29">
      <c r="A1012" s="18" t="str">
        <f t="shared" ca="1" si="165"/>
        <v>Re-Res-2019-1011</v>
      </c>
      <c r="B1012" s="5">
        <v>55</v>
      </c>
      <c r="C1012" s="5" t="str">
        <f t="shared" si="166"/>
        <v>50+</v>
      </c>
      <c r="D1012" s="5" t="s">
        <v>43</v>
      </c>
      <c r="E1012" s="5" t="s">
        <v>45</v>
      </c>
      <c r="F1012" s="5" t="s">
        <v>46</v>
      </c>
      <c r="G1012" s="5">
        <v>4</v>
      </c>
      <c r="H1012" s="5" t="s">
        <v>58</v>
      </c>
      <c r="I1012" s="5" t="s">
        <v>52</v>
      </c>
      <c r="J1012" s="7">
        <v>14732</v>
      </c>
      <c r="K1012" s="7">
        <f t="shared" si="167"/>
        <v>4419.5999999999995</v>
      </c>
      <c r="L1012" s="7">
        <f t="shared" si="168"/>
        <v>10312.400000000001</v>
      </c>
      <c r="M1012" s="7">
        <v>12414</v>
      </c>
      <c r="N1012" s="5" t="s">
        <v>43</v>
      </c>
      <c r="O1012" s="5">
        <v>13</v>
      </c>
      <c r="P1012" s="7">
        <f t="shared" si="169"/>
        <v>16647.16</v>
      </c>
      <c r="Q1012" s="7">
        <f t="shared" si="170"/>
        <v>22981.919999999998</v>
      </c>
      <c r="R1012" s="7" t="str">
        <f t="shared" si="171"/>
        <v>Normal</v>
      </c>
      <c r="S1012" s="5">
        <v>3</v>
      </c>
      <c r="T1012" s="5">
        <v>4</v>
      </c>
      <c r="U1012" s="5" t="str" cm="1">
        <f t="array" ref="U1012">_xlfn.IFS(T1012=1,"Poor",T1012=2,"Fair",T1012=3,"Good",T1012=4,"Excellent")</f>
        <v>Excellent</v>
      </c>
      <c r="V1012" s="5" t="s">
        <v>43</v>
      </c>
      <c r="W1012" s="5">
        <v>7</v>
      </c>
      <c r="X1012" s="28">
        <f t="shared" ca="1" si="172"/>
        <v>43554</v>
      </c>
      <c r="Y1012" s="28">
        <f t="shared" ca="1" si="173"/>
        <v>46476</v>
      </c>
      <c r="Z1012" s="28" t="str">
        <f t="shared" ca="1" si="174"/>
        <v>Due Soon</v>
      </c>
      <c r="AA1012" s="5" t="str" cm="1">
        <f t="array" ref="AA1012">_xlfn.IFS(W1012&gt;10,"Veteran",W1012&gt;=6,"Experienced",W1012&gt;=2,"Developing",W1012&gt;=0,"New")</f>
        <v>Experienced</v>
      </c>
      <c r="AB1012" s="5" t="str" cm="1">
        <f t="array" ref="AB1012">_xlfn.IFS(G1012=1,"Junior",G1012=2,"Mid-Level",G1012=3,"Senior",G1012=4,"Lead",G1012=5,"Principal")&amp;" "&amp;TRIM(PROPER(H1012))</f>
        <v>Lead Research Director</v>
      </c>
      <c r="AC1012" s="19" t="str">
        <f t="shared" ca="1" si="175"/>
        <v>Re-Res-2019-1011 is a Lead Research Director in the Research &amp; Development department, aged 55, divorced and has been with the Company for 7years</v>
      </c>
    </row>
    <row r="1013" spans="1:29">
      <c r="A1013" s="18" t="str">
        <f t="shared" ca="1" si="165"/>
        <v>Sa-Sal-2021-1012</v>
      </c>
      <c r="B1013" s="5">
        <v>36</v>
      </c>
      <c r="C1013" s="5" t="str">
        <f t="shared" si="166"/>
        <v>30-39</v>
      </c>
      <c r="D1013" s="5" t="s">
        <v>43</v>
      </c>
      <c r="E1013" s="5" t="s">
        <v>37</v>
      </c>
      <c r="F1013" s="5" t="s">
        <v>39</v>
      </c>
      <c r="G1013" s="5">
        <v>2</v>
      </c>
      <c r="H1013" s="5" t="s">
        <v>40</v>
      </c>
      <c r="I1013" s="5" t="s">
        <v>41</v>
      </c>
      <c r="J1013" s="7">
        <v>9278</v>
      </c>
      <c r="K1013" s="7">
        <f t="shared" si="167"/>
        <v>2041.16</v>
      </c>
      <c r="L1013" s="7">
        <f t="shared" si="168"/>
        <v>7236.84</v>
      </c>
      <c r="M1013" s="7">
        <v>20763</v>
      </c>
      <c r="N1013" s="5" t="s">
        <v>35</v>
      </c>
      <c r="O1013" s="5">
        <v>16</v>
      </c>
      <c r="P1013" s="7">
        <f t="shared" si="169"/>
        <v>10762.48</v>
      </c>
      <c r="Q1013" s="7">
        <f t="shared" si="170"/>
        <v>17813.759999999995</v>
      </c>
      <c r="R1013" s="7" t="str">
        <f t="shared" si="171"/>
        <v>Normal</v>
      </c>
      <c r="S1013" s="5">
        <v>3</v>
      </c>
      <c r="T1013" s="5">
        <v>3</v>
      </c>
      <c r="U1013" s="5" t="str" cm="1">
        <f t="array" ref="U1013">_xlfn.IFS(T1013=1,"Poor",T1013=2,"Fair",T1013=3,"Good",T1013=4,"Excellent")</f>
        <v>Good</v>
      </c>
      <c r="V1013" s="5" t="s">
        <v>35</v>
      </c>
      <c r="W1013" s="5">
        <v>5</v>
      </c>
      <c r="X1013" s="28">
        <f t="shared" ca="1" si="172"/>
        <v>44285</v>
      </c>
      <c r="Y1013" s="28">
        <f t="shared" ca="1" si="173"/>
        <v>46476</v>
      </c>
      <c r="Z1013" s="28" t="str">
        <f t="shared" ca="1" si="174"/>
        <v>Due Soon</v>
      </c>
      <c r="AA1013" s="5" t="str" cm="1">
        <f t="array" ref="AA1013">_xlfn.IFS(W1013&gt;10,"Veteran",W1013&gt;=6,"Experienced",W1013&gt;=2,"Developing",W1013&gt;=0,"New")</f>
        <v>Developing</v>
      </c>
      <c r="AB1013" s="5" t="str" cm="1">
        <f t="array" ref="AB1013">_xlfn.IFS(G1013=1,"Junior",G1013=2,"Mid-Level",G1013=3,"Senior",G1013=4,"Lead",G1013=5,"Principal")&amp;" "&amp;TRIM(PROPER(H1013))</f>
        <v>Mid-Level Sales Executive</v>
      </c>
      <c r="AC1013" s="19" t="str">
        <f t="shared" ca="1" si="175"/>
        <v>Sa-Sal-2021-1012 is a Mid-Level Sales Executive in the Sales department, aged 36, single and has been with the Company for 5years</v>
      </c>
    </row>
    <row r="1014" spans="1:29">
      <c r="A1014" s="18" t="str">
        <f t="shared" ca="1" si="165"/>
        <v>Sa-Sal-2025-1013</v>
      </c>
      <c r="B1014" s="5">
        <v>31</v>
      </c>
      <c r="C1014" s="5" t="str">
        <f t="shared" si="166"/>
        <v>30-39</v>
      </c>
      <c r="D1014" s="5" t="s">
        <v>35</v>
      </c>
      <c r="E1014" s="5" t="s">
        <v>37</v>
      </c>
      <c r="F1014" s="5" t="s">
        <v>39</v>
      </c>
      <c r="G1014" s="5">
        <v>1</v>
      </c>
      <c r="H1014" s="5" t="s">
        <v>57</v>
      </c>
      <c r="I1014" s="5" t="s">
        <v>41</v>
      </c>
      <c r="J1014" s="7">
        <v>1359</v>
      </c>
      <c r="K1014" s="7">
        <f t="shared" si="167"/>
        <v>95.13000000000001</v>
      </c>
      <c r="L1014" s="7">
        <f t="shared" si="168"/>
        <v>1263.8699999999999</v>
      </c>
      <c r="M1014" s="7">
        <v>16154</v>
      </c>
      <c r="N1014" s="5" t="s">
        <v>43</v>
      </c>
      <c r="O1014" s="5">
        <v>12</v>
      </c>
      <c r="P1014" s="7">
        <f t="shared" si="169"/>
        <v>1522.0800000000002</v>
      </c>
      <c r="Q1014" s="7">
        <f t="shared" si="170"/>
        <v>1956.9600000000019</v>
      </c>
      <c r="R1014" s="7" t="str">
        <f t="shared" si="171"/>
        <v>Normal</v>
      </c>
      <c r="S1014" s="5">
        <v>3</v>
      </c>
      <c r="T1014" s="5">
        <v>3</v>
      </c>
      <c r="U1014" s="5" t="str" cm="1">
        <f t="array" ref="U1014">_xlfn.IFS(T1014=1,"Poor",T1014=2,"Fair",T1014=3,"Good",T1014=4,"Excellent")</f>
        <v>Good</v>
      </c>
      <c r="V1014" s="5" t="s">
        <v>43</v>
      </c>
      <c r="W1014" s="5">
        <v>1</v>
      </c>
      <c r="X1014" s="28">
        <f t="shared" ca="1" si="172"/>
        <v>45746</v>
      </c>
      <c r="Y1014" s="28">
        <f t="shared" ca="1" si="173"/>
        <v>46476</v>
      </c>
      <c r="Z1014" s="28" t="str">
        <f t="shared" ca="1" si="174"/>
        <v>Due Soon</v>
      </c>
      <c r="AA1014" s="5" t="str" cm="1">
        <f t="array" ref="AA1014">_xlfn.IFS(W1014&gt;10,"Veteran",W1014&gt;=6,"Experienced",W1014&gt;=2,"Developing",W1014&gt;=0,"New")</f>
        <v>New</v>
      </c>
      <c r="AB1014" s="5" t="str" cm="1">
        <f t="array" ref="AB1014">_xlfn.IFS(G1014=1,"Junior",G1014=2,"Mid-Level",G1014=3,"Senior",G1014=4,"Lead",G1014=5,"Principal")&amp;" "&amp;TRIM(PROPER(H1014))</f>
        <v>Junior Sales Representative</v>
      </c>
      <c r="AC1014" s="19" t="str">
        <f t="shared" ca="1" si="175"/>
        <v>Sa-Sal-2025-1013 is a Junior Sales Representative in the Sales department, aged 31, single and has been with the Company for 1years</v>
      </c>
    </row>
    <row r="1015" spans="1:29">
      <c r="A1015" s="18" t="str">
        <f t="shared" ca="1" si="165"/>
        <v>Sa-Sal-2023-1014</v>
      </c>
      <c r="B1015" s="5">
        <v>30</v>
      </c>
      <c r="C1015" s="5" t="str">
        <f t="shared" si="166"/>
        <v>30-39</v>
      </c>
      <c r="D1015" s="5" t="s">
        <v>43</v>
      </c>
      <c r="E1015" s="5" t="s">
        <v>37</v>
      </c>
      <c r="F1015" s="5" t="s">
        <v>39</v>
      </c>
      <c r="G1015" s="5">
        <v>2</v>
      </c>
      <c r="H1015" s="5" t="s">
        <v>40</v>
      </c>
      <c r="I1015" s="5" t="s">
        <v>52</v>
      </c>
      <c r="J1015" s="7">
        <v>4779</v>
      </c>
      <c r="K1015" s="7">
        <f t="shared" si="167"/>
        <v>716.85</v>
      </c>
      <c r="L1015" s="7">
        <f t="shared" si="168"/>
        <v>4062.15</v>
      </c>
      <c r="M1015" s="7">
        <v>12761</v>
      </c>
      <c r="N1015" s="5" t="s">
        <v>43</v>
      </c>
      <c r="O1015" s="5">
        <v>14</v>
      </c>
      <c r="P1015" s="7">
        <f t="shared" si="169"/>
        <v>5448.06</v>
      </c>
      <c r="Q1015" s="7">
        <f t="shared" si="170"/>
        <v>8028.7200000000048</v>
      </c>
      <c r="R1015" s="7" t="str">
        <f t="shared" si="171"/>
        <v>Normal</v>
      </c>
      <c r="S1015" s="5">
        <v>3</v>
      </c>
      <c r="T1015" s="5">
        <v>3</v>
      </c>
      <c r="U1015" s="5" t="str" cm="1">
        <f t="array" ref="U1015">_xlfn.IFS(T1015=1,"Poor",T1015=2,"Fair",T1015=3,"Good",T1015=4,"Excellent")</f>
        <v>Good</v>
      </c>
      <c r="V1015" s="5" t="s">
        <v>43</v>
      </c>
      <c r="W1015" s="5">
        <v>3</v>
      </c>
      <c r="X1015" s="28">
        <f t="shared" ca="1" si="172"/>
        <v>45015</v>
      </c>
      <c r="Y1015" s="28">
        <f t="shared" ca="1" si="173"/>
        <v>46476</v>
      </c>
      <c r="Z1015" s="28" t="str">
        <f t="shared" ca="1" si="174"/>
        <v>Due Soon</v>
      </c>
      <c r="AA1015" s="5" t="str" cm="1">
        <f t="array" ref="AA1015">_xlfn.IFS(W1015&gt;10,"Veteran",W1015&gt;=6,"Experienced",W1015&gt;=2,"Developing",W1015&gt;=0,"New")</f>
        <v>Developing</v>
      </c>
      <c r="AB1015" s="5" t="str" cm="1">
        <f t="array" ref="AB1015">_xlfn.IFS(G1015=1,"Junior",G1015=2,"Mid-Level",G1015=3,"Senior",G1015=4,"Lead",G1015=5,"Principal")&amp;" "&amp;TRIM(PROPER(H1015))</f>
        <v>Mid-Level Sales Executive</v>
      </c>
      <c r="AC1015" s="19" t="str">
        <f t="shared" ca="1" si="175"/>
        <v>Sa-Sal-2023-1014 is a Mid-Level Sales Executive in the Sales department, aged 30, divorced and has been with the Company for 3years</v>
      </c>
    </row>
    <row r="1016" spans="1:29">
      <c r="A1016" s="18" t="str">
        <f t="shared" ca="1" si="165"/>
        <v>Re-Res-2023-1015</v>
      </c>
      <c r="B1016" s="5">
        <v>31</v>
      </c>
      <c r="C1016" s="5" t="str">
        <f t="shared" si="166"/>
        <v>30-39</v>
      </c>
      <c r="D1016" s="5" t="s">
        <v>43</v>
      </c>
      <c r="E1016" s="5" t="s">
        <v>45</v>
      </c>
      <c r="F1016" s="5" t="s">
        <v>39</v>
      </c>
      <c r="G1016" s="5">
        <v>4</v>
      </c>
      <c r="H1016" s="5" t="s">
        <v>58</v>
      </c>
      <c r="I1016" s="5" t="s">
        <v>41</v>
      </c>
      <c r="J1016" s="7">
        <v>16422</v>
      </c>
      <c r="K1016" s="7">
        <f t="shared" si="167"/>
        <v>4926.5999999999995</v>
      </c>
      <c r="L1016" s="7">
        <f t="shared" si="168"/>
        <v>11495.400000000001</v>
      </c>
      <c r="M1016" s="7">
        <v>8847</v>
      </c>
      <c r="N1016" s="5" t="s">
        <v>43</v>
      </c>
      <c r="O1016" s="5">
        <v>11</v>
      </c>
      <c r="P1016" s="7">
        <f t="shared" si="169"/>
        <v>18228.420000000002</v>
      </c>
      <c r="Q1016" s="7">
        <f t="shared" si="170"/>
        <v>21677.040000000023</v>
      </c>
      <c r="R1016" s="7" t="str">
        <f t="shared" si="171"/>
        <v>Normal</v>
      </c>
      <c r="S1016" s="5">
        <v>3</v>
      </c>
      <c r="T1016" s="5">
        <v>4</v>
      </c>
      <c r="U1016" s="5" t="str" cm="1">
        <f t="array" ref="U1016">_xlfn.IFS(T1016=1,"Poor",T1016=2,"Fair",T1016=3,"Good",T1016=4,"Excellent")</f>
        <v>Excellent</v>
      </c>
      <c r="V1016" s="5" t="s">
        <v>43</v>
      </c>
      <c r="W1016" s="5">
        <v>3</v>
      </c>
      <c r="X1016" s="28">
        <f t="shared" ca="1" si="172"/>
        <v>45015</v>
      </c>
      <c r="Y1016" s="28">
        <f t="shared" ca="1" si="173"/>
        <v>46476</v>
      </c>
      <c r="Z1016" s="28" t="str">
        <f t="shared" ca="1" si="174"/>
        <v>Due Soon</v>
      </c>
      <c r="AA1016" s="5" t="str" cm="1">
        <f t="array" ref="AA1016">_xlfn.IFS(W1016&gt;10,"Veteran",W1016&gt;=6,"Experienced",W1016&gt;=2,"Developing",W1016&gt;=0,"New")</f>
        <v>Developing</v>
      </c>
      <c r="AB1016" s="5" t="str" cm="1">
        <f t="array" ref="AB1016">_xlfn.IFS(G1016=1,"Junior",G1016=2,"Mid-Level",G1016=3,"Senior",G1016=4,"Lead",G1016=5,"Principal")&amp;" "&amp;TRIM(PROPER(H1016))</f>
        <v>Lead Research Director</v>
      </c>
      <c r="AC1016" s="19" t="str">
        <f t="shared" ca="1" si="175"/>
        <v>Re-Res-2023-1015 is a Lead Research Director in the Research &amp; Development department, aged 31, single and has been with the Company for 3years</v>
      </c>
    </row>
    <row r="1017" spans="1:29">
      <c r="A1017" s="18" t="str">
        <f t="shared" ca="1" si="165"/>
        <v>Re-Res-2022-1016</v>
      </c>
      <c r="B1017" s="5">
        <v>34</v>
      </c>
      <c r="C1017" s="5" t="str">
        <f t="shared" si="166"/>
        <v>30-39</v>
      </c>
      <c r="D1017" s="5" t="s">
        <v>43</v>
      </c>
      <c r="E1017" s="5" t="s">
        <v>45</v>
      </c>
      <c r="F1017" s="5" t="s">
        <v>46</v>
      </c>
      <c r="G1017" s="5">
        <v>1</v>
      </c>
      <c r="H1017" s="5" t="s">
        <v>47</v>
      </c>
      <c r="I1017" s="5" t="s">
        <v>52</v>
      </c>
      <c r="J1017" s="7">
        <v>2996</v>
      </c>
      <c r="K1017" s="7">
        <f t="shared" si="167"/>
        <v>209.72000000000003</v>
      </c>
      <c r="L1017" s="7">
        <f t="shared" si="168"/>
        <v>2786.2799999999997</v>
      </c>
      <c r="M1017" s="7">
        <v>20284</v>
      </c>
      <c r="N1017" s="5" t="s">
        <v>43</v>
      </c>
      <c r="O1017" s="5">
        <v>14</v>
      </c>
      <c r="P1017" s="7">
        <f t="shared" si="169"/>
        <v>3415.4400000000005</v>
      </c>
      <c r="Q1017" s="7">
        <f t="shared" si="170"/>
        <v>5033.2800000000061</v>
      </c>
      <c r="R1017" s="7" t="str">
        <f t="shared" si="171"/>
        <v>Normal</v>
      </c>
      <c r="S1017" s="5">
        <v>3</v>
      </c>
      <c r="T1017" s="5">
        <v>3</v>
      </c>
      <c r="U1017" s="5" t="str" cm="1">
        <f t="array" ref="U1017">_xlfn.IFS(T1017=1,"Poor",T1017=2,"Fair",T1017=3,"Good",T1017=4,"Excellent")</f>
        <v>Good</v>
      </c>
      <c r="V1017" s="5" t="s">
        <v>43</v>
      </c>
      <c r="W1017" s="5">
        <v>4</v>
      </c>
      <c r="X1017" s="28">
        <f t="shared" ca="1" si="172"/>
        <v>44650</v>
      </c>
      <c r="Y1017" s="28">
        <f t="shared" ca="1" si="173"/>
        <v>46842</v>
      </c>
      <c r="Z1017" s="28" t="str">
        <f t="shared" ca="1" si="174"/>
        <v>Upcoming</v>
      </c>
      <c r="AA1017" s="5" t="str" cm="1">
        <f t="array" ref="AA1017">_xlfn.IFS(W1017&gt;10,"Veteran",W1017&gt;=6,"Experienced",W1017&gt;=2,"Developing",W1017&gt;=0,"New")</f>
        <v>Developing</v>
      </c>
      <c r="AB1017" s="5" t="str" cm="1">
        <f t="array" ref="AB1017">_xlfn.IFS(G1017=1,"Junior",G1017=2,"Mid-Level",G1017=3,"Senior",G1017=4,"Lead",G1017=5,"Principal")&amp;" "&amp;TRIM(PROPER(H1017))</f>
        <v>Junior Research Scientist</v>
      </c>
      <c r="AC1017" s="19" t="str">
        <f t="shared" ca="1" si="175"/>
        <v>Re-Res-2022-1016 is a Junior Research Scientist in the Research &amp; Development department, aged 34, divorced and has been with the Company for 4years</v>
      </c>
    </row>
    <row r="1018" spans="1:29">
      <c r="A1018" s="18" t="str">
        <f t="shared" ca="1" si="165"/>
        <v>Re-Res-2025-1017</v>
      </c>
      <c r="B1018" s="5">
        <v>31</v>
      </c>
      <c r="C1018" s="5" t="str">
        <f t="shared" si="166"/>
        <v>30-39</v>
      </c>
      <c r="D1018" s="5" t="s">
        <v>35</v>
      </c>
      <c r="E1018" s="5" t="s">
        <v>45</v>
      </c>
      <c r="F1018" s="5" t="s">
        <v>39</v>
      </c>
      <c r="G1018" s="5">
        <v>1</v>
      </c>
      <c r="H1018" s="5" t="s">
        <v>47</v>
      </c>
      <c r="I1018" s="5" t="s">
        <v>41</v>
      </c>
      <c r="J1018" s="7">
        <v>1261</v>
      </c>
      <c r="K1018" s="7">
        <f t="shared" si="167"/>
        <v>88.27000000000001</v>
      </c>
      <c r="L1018" s="7">
        <f t="shared" si="168"/>
        <v>1172.73</v>
      </c>
      <c r="M1018" s="7">
        <v>22262</v>
      </c>
      <c r="N1018" s="5" t="s">
        <v>43</v>
      </c>
      <c r="O1018" s="5">
        <v>12</v>
      </c>
      <c r="P1018" s="7">
        <f t="shared" si="169"/>
        <v>1412.3200000000002</v>
      </c>
      <c r="Q1018" s="7">
        <f t="shared" si="170"/>
        <v>1815.840000000002</v>
      </c>
      <c r="R1018" s="7" t="str">
        <f t="shared" si="171"/>
        <v>Normal</v>
      </c>
      <c r="S1018" s="5">
        <v>3</v>
      </c>
      <c r="T1018" s="5">
        <v>4</v>
      </c>
      <c r="U1018" s="5" t="str" cm="1">
        <f t="array" ref="U1018">_xlfn.IFS(T1018=1,"Poor",T1018=2,"Fair",T1018=3,"Good",T1018=4,"Excellent")</f>
        <v>Excellent</v>
      </c>
      <c r="V1018" s="5" t="s">
        <v>43</v>
      </c>
      <c r="W1018" s="5">
        <v>1</v>
      </c>
      <c r="X1018" s="28">
        <f t="shared" ca="1" si="172"/>
        <v>45746</v>
      </c>
      <c r="Y1018" s="28">
        <f t="shared" ca="1" si="173"/>
        <v>46476</v>
      </c>
      <c r="Z1018" s="28" t="str">
        <f t="shared" ca="1" si="174"/>
        <v>Due Soon</v>
      </c>
      <c r="AA1018" s="5" t="str" cm="1">
        <f t="array" ref="AA1018">_xlfn.IFS(W1018&gt;10,"Veteran",W1018&gt;=6,"Experienced",W1018&gt;=2,"Developing",W1018&gt;=0,"New")</f>
        <v>New</v>
      </c>
      <c r="AB1018" s="5" t="str" cm="1">
        <f t="array" ref="AB1018">_xlfn.IFS(G1018=1,"Junior",G1018=2,"Mid-Level",G1018=3,"Senior",G1018=4,"Lead",G1018=5,"Principal")&amp;" "&amp;TRIM(PROPER(H1018))</f>
        <v>Junior Research Scientist</v>
      </c>
      <c r="AC1018" s="19" t="str">
        <f t="shared" ca="1" si="175"/>
        <v>Re-Res-2025-1017 is a Junior Research Scientist in the Research &amp; Development department, aged 31, single and has been with the Company for 1years</v>
      </c>
    </row>
    <row r="1019" spans="1:29">
      <c r="A1019" s="18" t="str">
        <f t="shared" ca="1" si="165"/>
        <v>La-Res-2021-1018</v>
      </c>
      <c r="B1019" s="5">
        <v>27</v>
      </c>
      <c r="C1019" s="5" t="str">
        <f t="shared" si="166"/>
        <v>20-29</v>
      </c>
      <c r="D1019" s="5" t="s">
        <v>43</v>
      </c>
      <c r="E1019" s="5" t="s">
        <v>45</v>
      </c>
      <c r="F1019" s="5" t="s">
        <v>46</v>
      </c>
      <c r="G1019" s="5">
        <v>1</v>
      </c>
      <c r="H1019" s="5" t="s">
        <v>50</v>
      </c>
      <c r="I1019" s="5" t="s">
        <v>48</v>
      </c>
      <c r="J1019" s="7">
        <v>2099</v>
      </c>
      <c r="K1019" s="7">
        <f t="shared" si="167"/>
        <v>146.93</v>
      </c>
      <c r="L1019" s="7">
        <f t="shared" si="168"/>
        <v>1952.07</v>
      </c>
      <c r="M1019" s="7">
        <v>7679</v>
      </c>
      <c r="N1019" s="5" t="s">
        <v>43</v>
      </c>
      <c r="O1019" s="5">
        <v>14</v>
      </c>
      <c r="P1019" s="7">
        <f t="shared" si="169"/>
        <v>2392.86</v>
      </c>
      <c r="Q1019" s="7">
        <f t="shared" si="170"/>
        <v>3526.3200000000015</v>
      </c>
      <c r="R1019" s="7" t="str">
        <f t="shared" si="171"/>
        <v>Normal</v>
      </c>
      <c r="S1019" s="5">
        <v>3</v>
      </c>
      <c r="T1019" s="5">
        <v>4</v>
      </c>
      <c r="U1019" s="5" t="str" cm="1">
        <f t="array" ref="U1019">_xlfn.IFS(T1019=1,"Poor",T1019=2,"Fair",T1019=3,"Good",T1019=4,"Excellent")</f>
        <v>Excellent</v>
      </c>
      <c r="V1019" s="5" t="s">
        <v>43</v>
      </c>
      <c r="W1019" s="5">
        <v>5</v>
      </c>
      <c r="X1019" s="28">
        <f t="shared" ca="1" si="172"/>
        <v>44285</v>
      </c>
      <c r="Y1019" s="28">
        <f t="shared" ca="1" si="173"/>
        <v>46476</v>
      </c>
      <c r="Z1019" s="28" t="str">
        <f t="shared" ca="1" si="174"/>
        <v>Due Soon</v>
      </c>
      <c r="AA1019" s="5" t="str" cm="1">
        <f t="array" ref="AA1019">_xlfn.IFS(W1019&gt;10,"Veteran",W1019&gt;=6,"Experienced",W1019&gt;=2,"Developing",W1019&gt;=0,"New")</f>
        <v>Developing</v>
      </c>
      <c r="AB1019" s="5" t="str" cm="1">
        <f t="array" ref="AB1019">_xlfn.IFS(G1019=1,"Junior",G1019=2,"Mid-Level",G1019=3,"Senior",G1019=4,"Lead",G1019=5,"Principal")&amp;" "&amp;TRIM(PROPER(H1019))</f>
        <v>Junior Laboratory Technician</v>
      </c>
      <c r="AC1019" s="19" t="str">
        <f t="shared" ca="1" si="175"/>
        <v>La-Res-2021-1018 is a Junior Laboratory Technician in the Research &amp; Development department, aged 27, married and has been with the Company for 5years</v>
      </c>
    </row>
    <row r="1020" spans="1:29">
      <c r="A1020" s="18" t="str">
        <f t="shared" ca="1" si="165"/>
        <v>La-Res-2016-1019</v>
      </c>
      <c r="B1020" s="5">
        <v>36</v>
      </c>
      <c r="C1020" s="5" t="str">
        <f t="shared" si="166"/>
        <v>30-39</v>
      </c>
      <c r="D1020" s="5" t="s">
        <v>43</v>
      </c>
      <c r="E1020" s="5" t="s">
        <v>45</v>
      </c>
      <c r="F1020" s="5" t="s">
        <v>46</v>
      </c>
      <c r="G1020" s="5">
        <v>2</v>
      </c>
      <c r="H1020" s="5" t="s">
        <v>50</v>
      </c>
      <c r="I1020" s="5" t="s">
        <v>41</v>
      </c>
      <c r="J1020" s="7">
        <v>5810</v>
      </c>
      <c r="K1020" s="7">
        <f t="shared" si="167"/>
        <v>871.5</v>
      </c>
      <c r="L1020" s="7">
        <f t="shared" si="168"/>
        <v>4938.5</v>
      </c>
      <c r="M1020" s="7">
        <v>22604</v>
      </c>
      <c r="N1020" s="5" t="s">
        <v>43</v>
      </c>
      <c r="O1020" s="5">
        <v>16</v>
      </c>
      <c r="P1020" s="7">
        <f t="shared" si="169"/>
        <v>6739.5999999999995</v>
      </c>
      <c r="Q1020" s="7">
        <f t="shared" si="170"/>
        <v>11155.199999999993</v>
      </c>
      <c r="R1020" s="7" t="str">
        <f t="shared" si="171"/>
        <v>Normal</v>
      </c>
      <c r="S1020" s="5">
        <v>3</v>
      </c>
      <c r="T1020" s="5">
        <v>2</v>
      </c>
      <c r="U1020" s="5" t="str" cm="1">
        <f t="array" ref="U1020">_xlfn.IFS(T1020=1,"Poor",T1020=2,"Fair",T1020=3,"Good",T1020=4,"Excellent")</f>
        <v>Fair</v>
      </c>
      <c r="V1020" s="5" t="s">
        <v>43</v>
      </c>
      <c r="W1020" s="5">
        <v>10</v>
      </c>
      <c r="X1020" s="28">
        <f t="shared" ca="1" si="172"/>
        <v>42459</v>
      </c>
      <c r="Y1020" s="28">
        <f t="shared" ca="1" si="173"/>
        <v>46842</v>
      </c>
      <c r="Z1020" s="28" t="str">
        <f t="shared" ca="1" si="174"/>
        <v>Upcoming</v>
      </c>
      <c r="AA1020" s="5" t="str" cm="1">
        <f t="array" ref="AA1020">_xlfn.IFS(W1020&gt;10,"Veteran",W1020&gt;=6,"Experienced",W1020&gt;=2,"Developing",W1020&gt;=0,"New")</f>
        <v>Experienced</v>
      </c>
      <c r="AB1020" s="5" t="str" cm="1">
        <f t="array" ref="AB1020">_xlfn.IFS(G1020=1,"Junior",G1020=2,"Mid-Level",G1020=3,"Senior",G1020=4,"Lead",G1020=5,"Principal")&amp;" "&amp;TRIM(PROPER(H1020))</f>
        <v>Mid-Level Laboratory Technician</v>
      </c>
      <c r="AC1020" s="19" t="str">
        <f t="shared" ca="1" si="175"/>
        <v>La-Res-2016-1019 is a Mid-Level Laboratory Technician in the Research &amp; Development department, aged 36, single and has been with the Company for 10years</v>
      </c>
    </row>
    <row r="1021" spans="1:29">
      <c r="A1021" s="18" t="str">
        <f t="shared" ca="1" si="165"/>
        <v>Sa-Sal-2023-1020</v>
      </c>
      <c r="B1021" s="5">
        <v>36</v>
      </c>
      <c r="C1021" s="5" t="str">
        <f t="shared" si="166"/>
        <v>30-39</v>
      </c>
      <c r="D1021" s="5" t="s">
        <v>43</v>
      </c>
      <c r="E1021" s="5" t="s">
        <v>37</v>
      </c>
      <c r="F1021" s="5" t="s">
        <v>39</v>
      </c>
      <c r="G1021" s="5">
        <v>2</v>
      </c>
      <c r="H1021" s="5" t="s">
        <v>40</v>
      </c>
      <c r="I1021" s="5" t="s">
        <v>48</v>
      </c>
      <c r="J1021" s="7">
        <v>5647</v>
      </c>
      <c r="K1021" s="7">
        <f t="shared" si="167"/>
        <v>847.05</v>
      </c>
      <c r="L1021" s="7">
        <f t="shared" si="168"/>
        <v>4799.95</v>
      </c>
      <c r="M1021" s="7">
        <v>13494</v>
      </c>
      <c r="N1021" s="5" t="s">
        <v>43</v>
      </c>
      <c r="O1021" s="5">
        <v>13</v>
      </c>
      <c r="P1021" s="7">
        <f t="shared" si="169"/>
        <v>6381.11</v>
      </c>
      <c r="Q1021" s="7">
        <f t="shared" si="170"/>
        <v>8809.3199999999961</v>
      </c>
      <c r="R1021" s="7" t="str">
        <f t="shared" si="171"/>
        <v>Normal</v>
      </c>
      <c r="S1021" s="5">
        <v>3</v>
      </c>
      <c r="T1021" s="5">
        <v>2</v>
      </c>
      <c r="U1021" s="5" t="str" cm="1">
        <f t="array" ref="U1021">_xlfn.IFS(T1021=1,"Poor",T1021=2,"Fair",T1021=3,"Good",T1021=4,"Excellent")</f>
        <v>Fair</v>
      </c>
      <c r="V1021" s="5" t="s">
        <v>43</v>
      </c>
      <c r="W1021" s="5">
        <v>3</v>
      </c>
      <c r="X1021" s="28">
        <f t="shared" ca="1" si="172"/>
        <v>45015</v>
      </c>
      <c r="Y1021" s="28">
        <f t="shared" ca="1" si="173"/>
        <v>46476</v>
      </c>
      <c r="Z1021" s="28" t="str">
        <f t="shared" ca="1" si="174"/>
        <v>Due Soon</v>
      </c>
      <c r="AA1021" s="5" t="str" cm="1">
        <f t="array" ref="AA1021">_xlfn.IFS(W1021&gt;10,"Veteran",W1021&gt;=6,"Experienced",W1021&gt;=2,"Developing",W1021&gt;=0,"New")</f>
        <v>Developing</v>
      </c>
      <c r="AB1021" s="5" t="str" cm="1">
        <f t="array" ref="AB1021">_xlfn.IFS(G1021=1,"Junior",G1021=2,"Mid-Level",G1021=3,"Senior",G1021=4,"Lead",G1021=5,"Principal")&amp;" "&amp;TRIM(PROPER(H1021))</f>
        <v>Mid-Level Sales Executive</v>
      </c>
      <c r="AC1021" s="19" t="str">
        <f t="shared" ca="1" si="175"/>
        <v>Sa-Sal-2023-1020 is a Mid-Level Sales Executive in the Sales department, aged 36, married and has been with the Company for 3years</v>
      </c>
    </row>
    <row r="1022" spans="1:29">
      <c r="A1022" s="18" t="str">
        <f t="shared" ca="1" si="165"/>
        <v>Re-Res-2020-1021</v>
      </c>
      <c r="B1022" s="5">
        <v>47</v>
      </c>
      <c r="C1022" s="5" t="str">
        <f t="shared" si="166"/>
        <v>40-49</v>
      </c>
      <c r="D1022" s="5" t="s">
        <v>43</v>
      </c>
      <c r="E1022" s="5" t="s">
        <v>45</v>
      </c>
      <c r="F1022" s="5" t="s">
        <v>46</v>
      </c>
      <c r="G1022" s="5">
        <v>1</v>
      </c>
      <c r="H1022" s="5" t="s">
        <v>47</v>
      </c>
      <c r="I1022" s="5" t="s">
        <v>48</v>
      </c>
      <c r="J1022" s="7">
        <v>3420</v>
      </c>
      <c r="K1022" s="7">
        <f t="shared" si="167"/>
        <v>513</v>
      </c>
      <c r="L1022" s="7">
        <f t="shared" si="168"/>
        <v>2907</v>
      </c>
      <c r="M1022" s="7">
        <v>10205</v>
      </c>
      <c r="N1022" s="5" t="s">
        <v>43</v>
      </c>
      <c r="O1022" s="5">
        <v>12</v>
      </c>
      <c r="P1022" s="7">
        <f t="shared" si="169"/>
        <v>3830.4000000000005</v>
      </c>
      <c r="Q1022" s="7">
        <f t="shared" si="170"/>
        <v>4924.8000000000065</v>
      </c>
      <c r="R1022" s="7" t="str">
        <f t="shared" si="171"/>
        <v>Normal</v>
      </c>
      <c r="S1022" s="5">
        <v>3</v>
      </c>
      <c r="T1022" s="5">
        <v>2</v>
      </c>
      <c r="U1022" s="5" t="str" cm="1">
        <f t="array" ref="U1022">_xlfn.IFS(T1022=1,"Poor",T1022=2,"Fair",T1022=3,"Good",T1022=4,"Excellent")</f>
        <v>Fair</v>
      </c>
      <c r="V1022" s="5" t="s">
        <v>43</v>
      </c>
      <c r="W1022" s="5">
        <v>6</v>
      </c>
      <c r="X1022" s="28">
        <f t="shared" ca="1" si="172"/>
        <v>43920</v>
      </c>
      <c r="Y1022" s="28">
        <f t="shared" ca="1" si="173"/>
        <v>46842</v>
      </c>
      <c r="Z1022" s="28" t="str">
        <f t="shared" ca="1" si="174"/>
        <v>Upcoming</v>
      </c>
      <c r="AA1022" s="5" t="str" cm="1">
        <f t="array" ref="AA1022">_xlfn.IFS(W1022&gt;10,"Veteran",W1022&gt;=6,"Experienced",W1022&gt;=2,"Developing",W1022&gt;=0,"New")</f>
        <v>Experienced</v>
      </c>
      <c r="AB1022" s="5" t="str" cm="1">
        <f t="array" ref="AB1022">_xlfn.IFS(G1022=1,"Junior",G1022=2,"Mid-Level",G1022=3,"Senior",G1022=4,"Lead",G1022=5,"Principal")&amp;" "&amp;TRIM(PROPER(H1022))</f>
        <v>Junior Research Scientist</v>
      </c>
      <c r="AC1022" s="19" t="str">
        <f t="shared" ca="1" si="175"/>
        <v>Re-Res-2020-1021 is a Junior Research Scientist in the Research &amp; Development department, aged 47, married and has been with the Company for 6years</v>
      </c>
    </row>
    <row r="1023" spans="1:29">
      <c r="A1023" s="18" t="str">
        <f t="shared" ca="1" si="165"/>
        <v>Sa-Sal-2023-1022</v>
      </c>
      <c r="B1023" s="5">
        <v>25</v>
      </c>
      <c r="C1023" s="5" t="str">
        <f t="shared" si="166"/>
        <v>20-29</v>
      </c>
      <c r="D1023" s="5" t="s">
        <v>35</v>
      </c>
      <c r="E1023" s="5" t="s">
        <v>37</v>
      </c>
      <c r="F1023" s="5" t="s">
        <v>46</v>
      </c>
      <c r="G1023" s="5">
        <v>1</v>
      </c>
      <c r="H1023" s="5" t="s">
        <v>57</v>
      </c>
      <c r="I1023" s="5" t="s">
        <v>48</v>
      </c>
      <c r="J1023" s="7">
        <v>4400</v>
      </c>
      <c r="K1023" s="7">
        <f t="shared" si="167"/>
        <v>660</v>
      </c>
      <c r="L1023" s="7">
        <f t="shared" si="168"/>
        <v>3740</v>
      </c>
      <c r="M1023" s="7">
        <v>15182</v>
      </c>
      <c r="N1023" s="5" t="s">
        <v>43</v>
      </c>
      <c r="O1023" s="5">
        <v>12</v>
      </c>
      <c r="P1023" s="7">
        <f t="shared" si="169"/>
        <v>4928.0000000000009</v>
      </c>
      <c r="Q1023" s="7">
        <f t="shared" si="170"/>
        <v>6336.0000000000109</v>
      </c>
      <c r="R1023" s="7" t="str">
        <f t="shared" si="171"/>
        <v>Normal</v>
      </c>
      <c r="S1023" s="5">
        <v>3</v>
      </c>
      <c r="T1023" s="5">
        <v>3</v>
      </c>
      <c r="U1023" s="5" t="str" cm="1">
        <f t="array" ref="U1023">_xlfn.IFS(T1023=1,"Poor",T1023=2,"Fair",T1023=3,"Good",T1023=4,"Excellent")</f>
        <v>Good</v>
      </c>
      <c r="V1023" s="5" t="s">
        <v>43</v>
      </c>
      <c r="W1023" s="5">
        <v>3</v>
      </c>
      <c r="X1023" s="28">
        <f t="shared" ca="1" si="172"/>
        <v>45015</v>
      </c>
      <c r="Y1023" s="28">
        <f t="shared" ca="1" si="173"/>
        <v>46476</v>
      </c>
      <c r="Z1023" s="28" t="str">
        <f t="shared" ca="1" si="174"/>
        <v>Due Soon</v>
      </c>
      <c r="AA1023" s="5" t="str" cm="1">
        <f t="array" ref="AA1023">_xlfn.IFS(W1023&gt;10,"Veteran",W1023&gt;=6,"Experienced",W1023&gt;=2,"Developing",W1023&gt;=0,"New")</f>
        <v>Developing</v>
      </c>
      <c r="AB1023" s="5" t="str" cm="1">
        <f t="array" ref="AB1023">_xlfn.IFS(G1023=1,"Junior",G1023=2,"Mid-Level",G1023=3,"Senior",G1023=4,"Lead",G1023=5,"Principal")&amp;" "&amp;TRIM(PROPER(H1023))</f>
        <v>Junior Sales Representative</v>
      </c>
      <c r="AC1023" s="19" t="str">
        <f t="shared" ca="1" si="175"/>
        <v>Sa-Sal-2023-1022 is a Junior Sales Representative in the Sales department, aged 25, married and has been with the Company for 3years</v>
      </c>
    </row>
    <row r="1024" spans="1:29">
      <c r="A1024" s="18" t="str">
        <f t="shared" ca="1" si="165"/>
        <v>La-Res-2020-1023</v>
      </c>
      <c r="B1024" s="5">
        <v>37</v>
      </c>
      <c r="C1024" s="5" t="str">
        <f t="shared" si="166"/>
        <v>30-39</v>
      </c>
      <c r="D1024" s="5" t="s">
        <v>43</v>
      </c>
      <c r="E1024" s="5" t="s">
        <v>45</v>
      </c>
      <c r="F1024" s="5" t="s">
        <v>46</v>
      </c>
      <c r="G1024" s="5">
        <v>1</v>
      </c>
      <c r="H1024" s="5" t="s">
        <v>50</v>
      </c>
      <c r="I1024" s="5" t="s">
        <v>41</v>
      </c>
      <c r="J1024" s="7">
        <v>3500</v>
      </c>
      <c r="K1024" s="7">
        <f t="shared" si="167"/>
        <v>525</v>
      </c>
      <c r="L1024" s="7">
        <f t="shared" si="168"/>
        <v>2975</v>
      </c>
      <c r="M1024" s="7">
        <v>25470</v>
      </c>
      <c r="N1024" s="5" t="s">
        <v>43</v>
      </c>
      <c r="O1024" s="5">
        <v>14</v>
      </c>
      <c r="P1024" s="7">
        <f t="shared" si="169"/>
        <v>3990.0000000000005</v>
      </c>
      <c r="Q1024" s="7">
        <f t="shared" si="170"/>
        <v>5880.0000000000055</v>
      </c>
      <c r="R1024" s="7" t="str">
        <f t="shared" si="171"/>
        <v>Normal</v>
      </c>
      <c r="S1024" s="5">
        <v>3</v>
      </c>
      <c r="T1024" s="5">
        <v>1</v>
      </c>
      <c r="U1024" s="5" t="str" cm="1">
        <f t="array" ref="U1024">_xlfn.IFS(T1024=1,"Poor",T1024=2,"Fair",T1024=3,"Good",T1024=4,"Excellent")</f>
        <v>Poor</v>
      </c>
      <c r="V1024" s="5" t="s">
        <v>43</v>
      </c>
      <c r="W1024" s="5">
        <v>6</v>
      </c>
      <c r="X1024" s="28">
        <f t="shared" ca="1" si="172"/>
        <v>43920</v>
      </c>
      <c r="Y1024" s="28">
        <f t="shared" ca="1" si="173"/>
        <v>46842</v>
      </c>
      <c r="Z1024" s="28" t="str">
        <f t="shared" ca="1" si="174"/>
        <v>Upcoming</v>
      </c>
      <c r="AA1024" s="5" t="str" cm="1">
        <f t="array" ref="AA1024">_xlfn.IFS(W1024&gt;10,"Veteran",W1024&gt;=6,"Experienced",W1024&gt;=2,"Developing",W1024&gt;=0,"New")</f>
        <v>Experienced</v>
      </c>
      <c r="AB1024" s="5" t="str" cm="1">
        <f t="array" ref="AB1024">_xlfn.IFS(G1024=1,"Junior",G1024=2,"Mid-Level",G1024=3,"Senior",G1024=4,"Lead",G1024=5,"Principal")&amp;" "&amp;TRIM(PROPER(H1024))</f>
        <v>Junior Laboratory Technician</v>
      </c>
      <c r="AC1024" s="19" t="str">
        <f t="shared" ca="1" si="175"/>
        <v>La-Res-2020-1023 is a Junior Laboratory Technician in the Research &amp; Development department, aged 37, single and has been with the Company for 6years</v>
      </c>
    </row>
    <row r="1025" spans="1:29">
      <c r="A1025" s="18" t="str">
        <f t="shared" ca="1" si="165"/>
        <v>Re-Res-2023-1024</v>
      </c>
      <c r="B1025" s="5">
        <v>56</v>
      </c>
      <c r="C1025" s="5" t="str">
        <f t="shared" si="166"/>
        <v>50+</v>
      </c>
      <c r="D1025" s="5" t="s">
        <v>43</v>
      </c>
      <c r="E1025" s="5" t="s">
        <v>45</v>
      </c>
      <c r="F1025" s="5" t="s">
        <v>39</v>
      </c>
      <c r="G1025" s="5">
        <v>1</v>
      </c>
      <c r="H1025" s="5" t="s">
        <v>47</v>
      </c>
      <c r="I1025" s="5" t="s">
        <v>48</v>
      </c>
      <c r="J1025" s="7">
        <v>2066</v>
      </c>
      <c r="K1025" s="7">
        <f t="shared" si="167"/>
        <v>144.62</v>
      </c>
      <c r="L1025" s="7">
        <f t="shared" si="168"/>
        <v>1921.38</v>
      </c>
      <c r="M1025" s="7">
        <v>10494</v>
      </c>
      <c r="N1025" s="5" t="s">
        <v>43</v>
      </c>
      <c r="O1025" s="5">
        <v>22</v>
      </c>
      <c r="P1025" s="7">
        <f t="shared" si="169"/>
        <v>2520.52</v>
      </c>
      <c r="Q1025" s="7">
        <f t="shared" si="170"/>
        <v>5454.24</v>
      </c>
      <c r="R1025" s="7" t="str">
        <f t="shared" si="171"/>
        <v>Normal</v>
      </c>
      <c r="S1025" s="5">
        <v>4</v>
      </c>
      <c r="T1025" s="5">
        <v>4</v>
      </c>
      <c r="U1025" s="5" t="str" cm="1">
        <f t="array" ref="U1025">_xlfn.IFS(T1025=1,"Poor",T1025=2,"Fair",T1025=3,"Good",T1025=4,"Excellent")</f>
        <v>Excellent</v>
      </c>
      <c r="V1025" s="5" t="s">
        <v>43</v>
      </c>
      <c r="W1025" s="5">
        <v>3</v>
      </c>
      <c r="X1025" s="28">
        <f t="shared" ca="1" si="172"/>
        <v>45015</v>
      </c>
      <c r="Y1025" s="28">
        <f t="shared" ca="1" si="173"/>
        <v>46476</v>
      </c>
      <c r="Z1025" s="28" t="str">
        <f t="shared" ca="1" si="174"/>
        <v>Due Soon</v>
      </c>
      <c r="AA1025" s="5" t="str" cm="1">
        <f t="array" ref="AA1025">_xlfn.IFS(W1025&gt;10,"Veteran",W1025&gt;=6,"Experienced",W1025&gt;=2,"Developing",W1025&gt;=0,"New")</f>
        <v>Developing</v>
      </c>
      <c r="AB1025" s="5" t="str" cm="1">
        <f t="array" ref="AB1025">_xlfn.IFS(G1025=1,"Junior",G1025=2,"Mid-Level",G1025=3,"Senior",G1025=4,"Lead",G1025=5,"Principal")&amp;" "&amp;TRIM(PROPER(H1025))</f>
        <v>Junior Research Scientist</v>
      </c>
      <c r="AC1025" s="19" t="str">
        <f t="shared" ca="1" si="175"/>
        <v>Re-Res-2023-1024 is a Junior Research Scientist in the Research &amp; Development department, aged 56, married and has been with the Company for 3years</v>
      </c>
    </row>
    <row r="1026" spans="1:29">
      <c r="A1026" s="18" t="str">
        <f t="shared" ca="1" si="165"/>
        <v>Re-Res-2006-1025</v>
      </c>
      <c r="B1026" s="5">
        <v>47</v>
      </c>
      <c r="C1026" s="5" t="str">
        <f t="shared" si="166"/>
        <v>40-49</v>
      </c>
      <c r="D1026" s="5" t="s">
        <v>43</v>
      </c>
      <c r="E1026" s="5" t="s">
        <v>45</v>
      </c>
      <c r="F1026" s="5" t="s">
        <v>39</v>
      </c>
      <c r="G1026" s="5">
        <v>4</v>
      </c>
      <c r="H1026" s="5" t="s">
        <v>58</v>
      </c>
      <c r="I1026" s="5" t="s">
        <v>48</v>
      </c>
      <c r="J1026" s="7">
        <v>17169</v>
      </c>
      <c r="K1026" s="7">
        <f t="shared" si="167"/>
        <v>5150.7</v>
      </c>
      <c r="L1026" s="7">
        <f t="shared" si="168"/>
        <v>12018.3</v>
      </c>
      <c r="M1026" s="7">
        <v>26703</v>
      </c>
      <c r="N1026" s="5" t="s">
        <v>43</v>
      </c>
      <c r="O1026" s="5">
        <v>19</v>
      </c>
      <c r="P1026" s="7">
        <f t="shared" si="169"/>
        <v>20431.11</v>
      </c>
      <c r="Q1026" s="7">
        <f t="shared" si="170"/>
        <v>39145.320000000007</v>
      </c>
      <c r="R1026" s="7" t="str">
        <f t="shared" si="171"/>
        <v>Normal</v>
      </c>
      <c r="S1026" s="5">
        <v>3</v>
      </c>
      <c r="T1026" s="5">
        <v>4</v>
      </c>
      <c r="U1026" s="5" t="str" cm="1">
        <f t="array" ref="U1026">_xlfn.IFS(T1026=1,"Poor",T1026=2,"Fair",T1026=3,"Good",T1026=4,"Excellent")</f>
        <v>Excellent</v>
      </c>
      <c r="V1026" s="5" t="s">
        <v>43</v>
      </c>
      <c r="W1026" s="5">
        <v>20</v>
      </c>
      <c r="X1026" s="28">
        <f t="shared" ca="1" si="172"/>
        <v>38806</v>
      </c>
      <c r="Y1026" s="28">
        <f t="shared" ca="1" si="173"/>
        <v>46842</v>
      </c>
      <c r="Z1026" s="28" t="str">
        <f t="shared" ca="1" si="174"/>
        <v>Upcoming</v>
      </c>
      <c r="AA1026" s="5" t="str" cm="1">
        <f t="array" ref="AA1026">_xlfn.IFS(W1026&gt;10,"Veteran",W1026&gt;=6,"Experienced",W1026&gt;=2,"Developing",W1026&gt;=0,"New")</f>
        <v>Veteran</v>
      </c>
      <c r="AB1026" s="5" t="str" cm="1">
        <f t="array" ref="AB1026">_xlfn.IFS(G1026=1,"Junior",G1026=2,"Mid-Level",G1026=3,"Senior",G1026=4,"Lead",G1026=5,"Principal")&amp;" "&amp;TRIM(PROPER(H1026))</f>
        <v>Lead Research Director</v>
      </c>
      <c r="AC1026" s="19" t="str">
        <f t="shared" ca="1" si="175"/>
        <v>Re-Res-2006-1025 is a Lead Research Director in the Research &amp; Development department, aged 47, married and has been with the Company for 20years</v>
      </c>
    </row>
    <row r="1027" spans="1:29">
      <c r="A1027" s="18" t="str">
        <f t="shared" ref="A1027:A1090" ca="1" si="176">LEFT(H1027,2)&amp;"-"&amp;LEFT(E1027,3)&amp;"-"&amp;YEAR(TODAY())-W1027&amp;"-"&amp;TEXT(ROW()-1,"000")</f>
        <v>Sa-Sal-2021-1026</v>
      </c>
      <c r="B1027" s="5">
        <v>24</v>
      </c>
      <c r="C1027" s="5" t="str">
        <f t="shared" ref="C1027:C1090" si="177">IF(B1027&lt;=29,"20-29",IF(B1027&lt;=39,"30-39",IF(B1027&lt;=49,"40-49","50+")))</f>
        <v>20-29</v>
      </c>
      <c r="D1027" s="5" t="s">
        <v>43</v>
      </c>
      <c r="E1027" s="5" t="s">
        <v>37</v>
      </c>
      <c r="F1027" s="5" t="s">
        <v>39</v>
      </c>
      <c r="G1027" s="5">
        <v>2</v>
      </c>
      <c r="H1027" s="5" t="s">
        <v>40</v>
      </c>
      <c r="I1027" s="5" t="s">
        <v>48</v>
      </c>
      <c r="J1027" s="7">
        <v>4162</v>
      </c>
      <c r="K1027" s="7">
        <f t="shared" ref="K1027:K1090" si="178">IF(J1027&gt;13000,J1027*30%,IF(J1027&gt;7000,J1027*22%,IF(J1027&gt;3000,J1027*15%,J1027*7%)))</f>
        <v>624.29999999999995</v>
      </c>
      <c r="L1027" s="7">
        <f t="shared" ref="L1027:L1090" si="179">J1027-K1027</f>
        <v>3537.7</v>
      </c>
      <c r="M1027" s="7">
        <v>15211</v>
      </c>
      <c r="N1027" s="5" t="s">
        <v>35</v>
      </c>
      <c r="O1027" s="5">
        <v>12</v>
      </c>
      <c r="P1027" s="7">
        <f t="shared" ref="P1027:P1090" si="180">J1027*(1+(O1027/100))</f>
        <v>4661.4400000000005</v>
      </c>
      <c r="Q1027" s="7">
        <f t="shared" ref="Q1027:Q1090" si="181">(P1027-J1027)*12</f>
        <v>5993.2800000000061</v>
      </c>
      <c r="R1027" s="7" t="str">
        <f t="shared" ref="R1027:R1090" si="182">IF(AND(O1027&lt;12,S1027=4),"UnderPaid","Normal")</f>
        <v>Normal</v>
      </c>
      <c r="S1027" s="5">
        <v>3</v>
      </c>
      <c r="T1027" s="5">
        <v>3</v>
      </c>
      <c r="U1027" s="5" t="str" cm="1">
        <f t="array" ref="U1027">_xlfn.IFS(T1027=1,"Poor",T1027=2,"Fair",T1027=3,"Good",T1027=4,"Excellent")</f>
        <v>Good</v>
      </c>
      <c r="V1027" s="5" t="s">
        <v>35</v>
      </c>
      <c r="W1027" s="5">
        <v>5</v>
      </c>
      <c r="X1027" s="28">
        <f t="shared" ref="X1027:X1090" ca="1" si="183">EDATE(TODAY(),-W1027*12)</f>
        <v>44285</v>
      </c>
      <c r="Y1027" s="28">
        <f t="shared" ref="Y1027:Y1090" ca="1" si="184">EDATE(X1027,(INT(W1027/2)+1)*24)</f>
        <v>46476</v>
      </c>
      <c r="Z1027" s="28" t="str">
        <f t="shared" ref="Z1027:Z1090" ca="1" si="185">IF(Y1027&lt;=EDATE(TODAY(),12),"Due Soon","Upcoming")</f>
        <v>Due Soon</v>
      </c>
      <c r="AA1027" s="5" t="str" cm="1">
        <f t="array" ref="AA1027">_xlfn.IFS(W1027&gt;10,"Veteran",W1027&gt;=6,"Experienced",W1027&gt;=2,"Developing",W1027&gt;=0,"New")</f>
        <v>Developing</v>
      </c>
      <c r="AB1027" s="5" t="str" cm="1">
        <f t="array" ref="AB1027">_xlfn.IFS(G1027=1,"Junior",G1027=2,"Mid-Level",G1027=3,"Senior",G1027=4,"Lead",G1027=5,"Principal")&amp;" "&amp;TRIM(PROPER(H1027))</f>
        <v>Mid-Level Sales Executive</v>
      </c>
      <c r="AC1027" s="19" t="str">
        <f t="shared" ref="AC1027:AC1090" ca="1" si="186">A1027&amp;" is a "&amp;AB1027&amp;" in the "&amp;E1027&amp;" department, aged "&amp;B1027&amp;", "&amp;LOWER(I1027)&amp;" and has been with the Company for "&amp;W1027&amp;"years"</f>
        <v>Sa-Sal-2021-1026 is a Mid-Level Sales Executive in the Sales department, aged 24, married and has been with the Company for 5years</v>
      </c>
    </row>
    <row r="1028" spans="1:29">
      <c r="A1028" s="18" t="str">
        <f t="shared" ca="1" si="176"/>
        <v>Sa-Sal-2022-1027</v>
      </c>
      <c r="B1028" s="5">
        <v>32</v>
      </c>
      <c r="C1028" s="5" t="str">
        <f t="shared" si="177"/>
        <v>30-39</v>
      </c>
      <c r="D1028" s="5" t="s">
        <v>43</v>
      </c>
      <c r="E1028" s="5" t="s">
        <v>37</v>
      </c>
      <c r="F1028" s="5" t="s">
        <v>46</v>
      </c>
      <c r="G1028" s="5">
        <v>2</v>
      </c>
      <c r="H1028" s="5" t="s">
        <v>40</v>
      </c>
      <c r="I1028" s="5" t="s">
        <v>48</v>
      </c>
      <c r="J1028" s="7">
        <v>9204</v>
      </c>
      <c r="K1028" s="7">
        <f t="shared" si="178"/>
        <v>2024.88</v>
      </c>
      <c r="L1028" s="7">
        <f t="shared" si="179"/>
        <v>7179.12</v>
      </c>
      <c r="M1028" s="7">
        <v>23343</v>
      </c>
      <c r="N1028" s="5" t="s">
        <v>43</v>
      </c>
      <c r="O1028" s="5">
        <v>12</v>
      </c>
      <c r="P1028" s="7">
        <f t="shared" si="180"/>
        <v>10308.480000000001</v>
      </c>
      <c r="Q1028" s="7">
        <f t="shared" si="181"/>
        <v>13253.760000000017</v>
      </c>
      <c r="R1028" s="7" t="str">
        <f t="shared" si="182"/>
        <v>Normal</v>
      </c>
      <c r="S1028" s="5">
        <v>3</v>
      </c>
      <c r="T1028" s="5">
        <v>2</v>
      </c>
      <c r="U1028" s="5" t="str" cm="1">
        <f t="array" ref="U1028">_xlfn.IFS(T1028=1,"Poor",T1028=2,"Fair",T1028=3,"Good",T1028=4,"Excellent")</f>
        <v>Fair</v>
      </c>
      <c r="V1028" s="5" t="s">
        <v>43</v>
      </c>
      <c r="W1028" s="5">
        <v>4</v>
      </c>
      <c r="X1028" s="28">
        <f t="shared" ca="1" si="183"/>
        <v>44650</v>
      </c>
      <c r="Y1028" s="28">
        <f t="shared" ca="1" si="184"/>
        <v>46842</v>
      </c>
      <c r="Z1028" s="28" t="str">
        <f t="shared" ca="1" si="185"/>
        <v>Upcoming</v>
      </c>
      <c r="AA1028" s="5" t="str" cm="1">
        <f t="array" ref="AA1028">_xlfn.IFS(W1028&gt;10,"Veteran",W1028&gt;=6,"Experienced",W1028&gt;=2,"Developing",W1028&gt;=0,"New")</f>
        <v>Developing</v>
      </c>
      <c r="AB1028" s="5" t="str" cm="1">
        <f t="array" ref="AB1028">_xlfn.IFS(G1028=1,"Junior",G1028=2,"Mid-Level",G1028=3,"Senior",G1028=4,"Lead",G1028=5,"Principal")&amp;" "&amp;TRIM(PROPER(H1028))</f>
        <v>Mid-Level Sales Executive</v>
      </c>
      <c r="AC1028" s="19" t="str">
        <f t="shared" ca="1" si="186"/>
        <v>Sa-Sal-2022-1027 is a Mid-Level Sales Executive in the Sales department, aged 32, married and has been with the Company for 4years</v>
      </c>
    </row>
    <row r="1029" spans="1:29">
      <c r="A1029" s="18" t="str">
        <f t="shared" ca="1" si="176"/>
        <v>La-Res-2021-1028</v>
      </c>
      <c r="B1029" s="5">
        <v>34</v>
      </c>
      <c r="C1029" s="5" t="str">
        <f t="shared" si="177"/>
        <v>30-39</v>
      </c>
      <c r="D1029" s="5" t="s">
        <v>43</v>
      </c>
      <c r="E1029" s="5" t="s">
        <v>45</v>
      </c>
      <c r="F1029" s="5" t="s">
        <v>39</v>
      </c>
      <c r="G1029" s="5">
        <v>1</v>
      </c>
      <c r="H1029" s="5" t="s">
        <v>50</v>
      </c>
      <c r="I1029" s="5" t="s">
        <v>48</v>
      </c>
      <c r="J1029" s="7">
        <v>3294</v>
      </c>
      <c r="K1029" s="7">
        <f t="shared" si="178"/>
        <v>494.09999999999997</v>
      </c>
      <c r="L1029" s="7">
        <f t="shared" si="179"/>
        <v>2799.9</v>
      </c>
      <c r="M1029" s="7">
        <v>3708</v>
      </c>
      <c r="N1029" s="5" t="s">
        <v>43</v>
      </c>
      <c r="O1029" s="5">
        <v>17</v>
      </c>
      <c r="P1029" s="7">
        <f t="shared" si="180"/>
        <v>3853.9799999999996</v>
      </c>
      <c r="Q1029" s="7">
        <f t="shared" si="181"/>
        <v>6719.7599999999948</v>
      </c>
      <c r="R1029" s="7" t="str">
        <f t="shared" si="182"/>
        <v>Normal</v>
      </c>
      <c r="S1029" s="5">
        <v>3</v>
      </c>
      <c r="T1029" s="5">
        <v>2</v>
      </c>
      <c r="U1029" s="5" t="str" cm="1">
        <f t="array" ref="U1029">_xlfn.IFS(T1029=1,"Poor",T1029=2,"Fair",T1029=3,"Good",T1029=4,"Excellent")</f>
        <v>Fair</v>
      </c>
      <c r="V1029" s="5" t="s">
        <v>43</v>
      </c>
      <c r="W1029" s="5">
        <v>5</v>
      </c>
      <c r="X1029" s="28">
        <f t="shared" ca="1" si="183"/>
        <v>44285</v>
      </c>
      <c r="Y1029" s="28">
        <f t="shared" ca="1" si="184"/>
        <v>46476</v>
      </c>
      <c r="Z1029" s="28" t="str">
        <f t="shared" ca="1" si="185"/>
        <v>Due Soon</v>
      </c>
      <c r="AA1029" s="5" t="str" cm="1">
        <f t="array" ref="AA1029">_xlfn.IFS(W1029&gt;10,"Veteran",W1029&gt;=6,"Experienced",W1029&gt;=2,"Developing",W1029&gt;=0,"New")</f>
        <v>Developing</v>
      </c>
      <c r="AB1029" s="5" t="str" cm="1">
        <f t="array" ref="AB1029">_xlfn.IFS(G1029=1,"Junior",G1029=2,"Mid-Level",G1029=3,"Senior",G1029=4,"Lead",G1029=5,"Principal")&amp;" "&amp;TRIM(PROPER(H1029))</f>
        <v>Junior Laboratory Technician</v>
      </c>
      <c r="AC1029" s="19" t="str">
        <f t="shared" ca="1" si="186"/>
        <v>La-Res-2021-1028 is a Junior Laboratory Technician in the Research &amp; Development department, aged 34, married and has been with the Company for 5years</v>
      </c>
    </row>
    <row r="1030" spans="1:29">
      <c r="A1030" s="18" t="str">
        <f t="shared" ca="1" si="176"/>
        <v>Re-Res-2022-1029</v>
      </c>
      <c r="B1030" s="5">
        <v>41</v>
      </c>
      <c r="C1030" s="5" t="str">
        <f t="shared" si="177"/>
        <v>40-49</v>
      </c>
      <c r="D1030" s="5" t="s">
        <v>43</v>
      </c>
      <c r="E1030" s="5" t="s">
        <v>45</v>
      </c>
      <c r="F1030" s="5" t="s">
        <v>46</v>
      </c>
      <c r="G1030" s="5">
        <v>1</v>
      </c>
      <c r="H1030" s="5" t="s">
        <v>47</v>
      </c>
      <c r="I1030" s="5" t="s">
        <v>48</v>
      </c>
      <c r="J1030" s="7">
        <v>2127</v>
      </c>
      <c r="K1030" s="7">
        <f t="shared" si="178"/>
        <v>148.89000000000001</v>
      </c>
      <c r="L1030" s="7">
        <f t="shared" si="179"/>
        <v>1978.11</v>
      </c>
      <c r="M1030" s="7">
        <v>5561</v>
      </c>
      <c r="N1030" s="5" t="s">
        <v>35</v>
      </c>
      <c r="O1030" s="5">
        <v>12</v>
      </c>
      <c r="P1030" s="7">
        <f t="shared" si="180"/>
        <v>2382.2400000000002</v>
      </c>
      <c r="Q1030" s="7">
        <f t="shared" si="181"/>
        <v>3062.8800000000028</v>
      </c>
      <c r="R1030" s="7" t="str">
        <f t="shared" si="182"/>
        <v>Normal</v>
      </c>
      <c r="S1030" s="5">
        <v>3</v>
      </c>
      <c r="T1030" s="5">
        <v>2</v>
      </c>
      <c r="U1030" s="5" t="str" cm="1">
        <f t="array" ref="U1030">_xlfn.IFS(T1030=1,"Poor",T1030=2,"Fair",T1030=3,"Good",T1030=4,"Excellent")</f>
        <v>Fair</v>
      </c>
      <c r="V1030" s="5" t="s">
        <v>35</v>
      </c>
      <c r="W1030" s="5">
        <v>4</v>
      </c>
      <c r="X1030" s="28">
        <f t="shared" ca="1" si="183"/>
        <v>44650</v>
      </c>
      <c r="Y1030" s="28">
        <f t="shared" ca="1" si="184"/>
        <v>46842</v>
      </c>
      <c r="Z1030" s="28" t="str">
        <f t="shared" ca="1" si="185"/>
        <v>Upcoming</v>
      </c>
      <c r="AA1030" s="5" t="str" cm="1">
        <f t="array" ref="AA1030">_xlfn.IFS(W1030&gt;10,"Veteran",W1030&gt;=6,"Experienced",W1030&gt;=2,"Developing",W1030&gt;=0,"New")</f>
        <v>Developing</v>
      </c>
      <c r="AB1030" s="5" t="str" cm="1">
        <f t="array" ref="AB1030">_xlfn.IFS(G1030=1,"Junior",G1030=2,"Mid-Level",G1030=3,"Senior",G1030=4,"Lead",G1030=5,"Principal")&amp;" "&amp;TRIM(PROPER(H1030))</f>
        <v>Junior Research Scientist</v>
      </c>
      <c r="AC1030" s="19" t="str">
        <f t="shared" ca="1" si="186"/>
        <v>Re-Res-2022-1029 is a Junior Research Scientist in the Research &amp; Development department, aged 41, married and has been with the Company for 4years</v>
      </c>
    </row>
    <row r="1031" spans="1:29">
      <c r="A1031" s="18" t="str">
        <f t="shared" ca="1" si="176"/>
        <v>La-Res-2018-1030</v>
      </c>
      <c r="B1031" s="5">
        <v>40</v>
      </c>
      <c r="C1031" s="5" t="str">
        <f t="shared" si="177"/>
        <v>40-49</v>
      </c>
      <c r="D1031" s="5" t="s">
        <v>43</v>
      </c>
      <c r="E1031" s="5" t="s">
        <v>45</v>
      </c>
      <c r="F1031" s="5" t="s">
        <v>46</v>
      </c>
      <c r="G1031" s="5">
        <v>2</v>
      </c>
      <c r="H1031" s="5" t="s">
        <v>50</v>
      </c>
      <c r="I1031" s="5" t="s">
        <v>52</v>
      </c>
      <c r="J1031" s="7">
        <v>3975</v>
      </c>
      <c r="K1031" s="7">
        <f t="shared" si="178"/>
        <v>596.25</v>
      </c>
      <c r="L1031" s="7">
        <f t="shared" si="179"/>
        <v>3378.75</v>
      </c>
      <c r="M1031" s="7">
        <v>23099</v>
      </c>
      <c r="N1031" s="5" t="s">
        <v>43</v>
      </c>
      <c r="O1031" s="5">
        <v>11</v>
      </c>
      <c r="P1031" s="7">
        <f t="shared" si="180"/>
        <v>4412.25</v>
      </c>
      <c r="Q1031" s="7">
        <f t="shared" si="181"/>
        <v>5247</v>
      </c>
      <c r="R1031" s="7" t="str">
        <f t="shared" si="182"/>
        <v>Normal</v>
      </c>
      <c r="S1031" s="5">
        <v>3</v>
      </c>
      <c r="T1031" s="5">
        <v>4</v>
      </c>
      <c r="U1031" s="5" t="str" cm="1">
        <f t="array" ref="U1031">_xlfn.IFS(T1031=1,"Poor",T1031=2,"Fair",T1031=3,"Good",T1031=4,"Excellent")</f>
        <v>Excellent</v>
      </c>
      <c r="V1031" s="5" t="s">
        <v>43</v>
      </c>
      <c r="W1031" s="5">
        <v>8</v>
      </c>
      <c r="X1031" s="28">
        <f t="shared" ca="1" si="183"/>
        <v>43189</v>
      </c>
      <c r="Y1031" s="28">
        <f t="shared" ca="1" si="184"/>
        <v>46842</v>
      </c>
      <c r="Z1031" s="28" t="str">
        <f t="shared" ca="1" si="185"/>
        <v>Upcoming</v>
      </c>
      <c r="AA1031" s="5" t="str" cm="1">
        <f t="array" ref="AA1031">_xlfn.IFS(W1031&gt;10,"Veteran",W1031&gt;=6,"Experienced",W1031&gt;=2,"Developing",W1031&gt;=0,"New")</f>
        <v>Experienced</v>
      </c>
      <c r="AB1031" s="5" t="str" cm="1">
        <f t="array" ref="AB1031">_xlfn.IFS(G1031=1,"Junior",G1031=2,"Mid-Level",G1031=3,"Senior",G1031=4,"Lead",G1031=5,"Principal")&amp;" "&amp;TRIM(PROPER(H1031))</f>
        <v>Mid-Level Laboratory Technician</v>
      </c>
      <c r="AC1031" s="19" t="str">
        <f t="shared" ca="1" si="186"/>
        <v>La-Res-2018-1030 is a Mid-Level Laboratory Technician in the Research &amp; Development department, aged 40, divorced and has been with the Company for 8years</v>
      </c>
    </row>
    <row r="1032" spans="1:29">
      <c r="A1032" s="18" t="str">
        <f t="shared" ca="1" si="176"/>
        <v>Sa-Sal-2013-1031</v>
      </c>
      <c r="B1032" s="5">
        <v>31</v>
      </c>
      <c r="C1032" s="5" t="str">
        <f t="shared" si="177"/>
        <v>30-39</v>
      </c>
      <c r="D1032" s="5" t="s">
        <v>43</v>
      </c>
      <c r="E1032" s="5" t="s">
        <v>37</v>
      </c>
      <c r="F1032" s="5" t="s">
        <v>46</v>
      </c>
      <c r="G1032" s="5">
        <v>3</v>
      </c>
      <c r="H1032" s="5" t="s">
        <v>40</v>
      </c>
      <c r="I1032" s="5" t="s">
        <v>52</v>
      </c>
      <c r="J1032" s="7">
        <v>10793</v>
      </c>
      <c r="K1032" s="7">
        <f t="shared" si="178"/>
        <v>2374.46</v>
      </c>
      <c r="L1032" s="7">
        <f t="shared" si="179"/>
        <v>8418.5400000000009</v>
      </c>
      <c r="M1032" s="7">
        <v>8386</v>
      </c>
      <c r="N1032" s="5" t="s">
        <v>43</v>
      </c>
      <c r="O1032" s="5">
        <v>18</v>
      </c>
      <c r="P1032" s="7">
        <f t="shared" si="180"/>
        <v>12735.74</v>
      </c>
      <c r="Q1032" s="7">
        <f t="shared" si="181"/>
        <v>23312.879999999997</v>
      </c>
      <c r="R1032" s="7" t="str">
        <f t="shared" si="182"/>
        <v>Normal</v>
      </c>
      <c r="S1032" s="5">
        <v>3</v>
      </c>
      <c r="T1032" s="5">
        <v>3</v>
      </c>
      <c r="U1032" s="5" t="str" cm="1">
        <f t="array" ref="U1032">_xlfn.IFS(T1032=1,"Poor",T1032=2,"Fair",T1032=3,"Good",T1032=4,"Excellent")</f>
        <v>Good</v>
      </c>
      <c r="V1032" s="5" t="s">
        <v>43</v>
      </c>
      <c r="W1032" s="5">
        <v>13</v>
      </c>
      <c r="X1032" s="28">
        <f t="shared" ca="1" si="183"/>
        <v>41363</v>
      </c>
      <c r="Y1032" s="28">
        <f t="shared" ca="1" si="184"/>
        <v>46476</v>
      </c>
      <c r="Z1032" s="28" t="str">
        <f t="shared" ca="1" si="185"/>
        <v>Due Soon</v>
      </c>
      <c r="AA1032" s="5" t="str" cm="1">
        <f t="array" ref="AA1032">_xlfn.IFS(W1032&gt;10,"Veteran",W1032&gt;=6,"Experienced",W1032&gt;=2,"Developing",W1032&gt;=0,"New")</f>
        <v>Veteran</v>
      </c>
      <c r="AB1032" s="5" t="str" cm="1">
        <f t="array" ref="AB1032">_xlfn.IFS(G1032=1,"Junior",G1032=2,"Mid-Level",G1032=3,"Senior",G1032=4,"Lead",G1032=5,"Principal")&amp;" "&amp;TRIM(PROPER(H1032))</f>
        <v>Senior Sales Executive</v>
      </c>
      <c r="AC1032" s="19" t="str">
        <f t="shared" ca="1" si="186"/>
        <v>Sa-Sal-2013-1031 is a Senior Sales Executive in the Sales department, aged 31, divorced and has been with the Company for 13years</v>
      </c>
    </row>
    <row r="1033" spans="1:29">
      <c r="A1033" s="18" t="str">
        <f t="shared" ca="1" si="176"/>
        <v>Sa-Sal-2019-1032</v>
      </c>
      <c r="B1033" s="5">
        <v>46</v>
      </c>
      <c r="C1033" s="5" t="str">
        <f t="shared" si="177"/>
        <v>40-49</v>
      </c>
      <c r="D1033" s="5" t="s">
        <v>35</v>
      </c>
      <c r="E1033" s="5" t="s">
        <v>37</v>
      </c>
      <c r="F1033" s="5" t="s">
        <v>46</v>
      </c>
      <c r="G1033" s="5">
        <v>3</v>
      </c>
      <c r="H1033" s="5" t="s">
        <v>40</v>
      </c>
      <c r="I1033" s="5" t="s">
        <v>52</v>
      </c>
      <c r="J1033" s="7">
        <v>10096</v>
      </c>
      <c r="K1033" s="7">
        <f t="shared" si="178"/>
        <v>2221.12</v>
      </c>
      <c r="L1033" s="7">
        <f t="shared" si="179"/>
        <v>7874.88</v>
      </c>
      <c r="M1033" s="7">
        <v>15986</v>
      </c>
      <c r="N1033" s="5" t="s">
        <v>43</v>
      </c>
      <c r="O1033" s="5">
        <v>11</v>
      </c>
      <c r="P1033" s="7">
        <f t="shared" si="180"/>
        <v>11206.560000000001</v>
      </c>
      <c r="Q1033" s="7">
        <f t="shared" si="181"/>
        <v>13326.720000000016</v>
      </c>
      <c r="R1033" s="7" t="str">
        <f t="shared" si="182"/>
        <v>Normal</v>
      </c>
      <c r="S1033" s="5">
        <v>3</v>
      </c>
      <c r="T1033" s="5">
        <v>4</v>
      </c>
      <c r="U1033" s="5" t="str" cm="1">
        <f t="array" ref="U1033">_xlfn.IFS(T1033=1,"Poor",T1033=2,"Fair",T1033=3,"Good",T1033=4,"Excellent")</f>
        <v>Excellent</v>
      </c>
      <c r="V1033" s="5" t="s">
        <v>43</v>
      </c>
      <c r="W1033" s="5">
        <v>7</v>
      </c>
      <c r="X1033" s="28">
        <f t="shared" ca="1" si="183"/>
        <v>43554</v>
      </c>
      <c r="Y1033" s="28">
        <f t="shared" ca="1" si="184"/>
        <v>46476</v>
      </c>
      <c r="Z1033" s="28" t="str">
        <f t="shared" ca="1" si="185"/>
        <v>Due Soon</v>
      </c>
      <c r="AA1033" s="5" t="str" cm="1">
        <f t="array" ref="AA1033">_xlfn.IFS(W1033&gt;10,"Veteran",W1033&gt;=6,"Experienced",W1033&gt;=2,"Developing",W1033&gt;=0,"New")</f>
        <v>Experienced</v>
      </c>
      <c r="AB1033" s="5" t="str" cm="1">
        <f t="array" ref="AB1033">_xlfn.IFS(G1033=1,"Junior",G1033=2,"Mid-Level",G1033=3,"Senior",G1033=4,"Lead",G1033=5,"Principal")&amp;" "&amp;TRIM(PROPER(H1033))</f>
        <v>Senior Sales Executive</v>
      </c>
      <c r="AC1033" s="19" t="str">
        <f t="shared" ca="1" si="186"/>
        <v>Sa-Sal-2019-1032 is a Senior Sales Executive in the Sales department, aged 46, divorced and has been with the Company for 7years</v>
      </c>
    </row>
    <row r="1034" spans="1:29">
      <c r="A1034" s="18" t="str">
        <f t="shared" ca="1" si="176"/>
        <v>La-Res-2025-1033</v>
      </c>
      <c r="B1034" s="5">
        <v>39</v>
      </c>
      <c r="C1034" s="5" t="str">
        <f t="shared" si="177"/>
        <v>30-39</v>
      </c>
      <c r="D1034" s="5" t="s">
        <v>35</v>
      </c>
      <c r="E1034" s="5" t="s">
        <v>45</v>
      </c>
      <c r="F1034" s="5" t="s">
        <v>39</v>
      </c>
      <c r="G1034" s="5">
        <v>1</v>
      </c>
      <c r="H1034" s="5" t="s">
        <v>50</v>
      </c>
      <c r="I1034" s="5" t="s">
        <v>41</v>
      </c>
      <c r="J1034" s="7">
        <v>3646</v>
      </c>
      <c r="K1034" s="7">
        <f t="shared" si="178"/>
        <v>546.9</v>
      </c>
      <c r="L1034" s="7">
        <f t="shared" si="179"/>
        <v>3099.1</v>
      </c>
      <c r="M1034" s="7">
        <v>17181</v>
      </c>
      <c r="N1034" s="5" t="s">
        <v>35</v>
      </c>
      <c r="O1034" s="5">
        <v>23</v>
      </c>
      <c r="P1034" s="7">
        <f t="shared" si="180"/>
        <v>4484.58</v>
      </c>
      <c r="Q1034" s="7">
        <f t="shared" si="181"/>
        <v>10062.959999999999</v>
      </c>
      <c r="R1034" s="7" t="str">
        <f t="shared" si="182"/>
        <v>Normal</v>
      </c>
      <c r="S1034" s="5">
        <v>4</v>
      </c>
      <c r="T1034" s="5">
        <v>4</v>
      </c>
      <c r="U1034" s="5" t="str" cm="1">
        <f t="array" ref="U1034">_xlfn.IFS(T1034=1,"Poor",T1034=2,"Fair",T1034=3,"Good",T1034=4,"Excellent")</f>
        <v>Excellent</v>
      </c>
      <c r="V1034" s="5" t="s">
        <v>35</v>
      </c>
      <c r="W1034" s="5">
        <v>1</v>
      </c>
      <c r="X1034" s="28">
        <f t="shared" ca="1" si="183"/>
        <v>45746</v>
      </c>
      <c r="Y1034" s="28">
        <f t="shared" ca="1" si="184"/>
        <v>46476</v>
      </c>
      <c r="Z1034" s="28" t="str">
        <f t="shared" ca="1" si="185"/>
        <v>Due Soon</v>
      </c>
      <c r="AA1034" s="5" t="str" cm="1">
        <f t="array" ref="AA1034">_xlfn.IFS(W1034&gt;10,"Veteran",W1034&gt;=6,"Experienced",W1034&gt;=2,"Developing",W1034&gt;=0,"New")</f>
        <v>New</v>
      </c>
      <c r="AB1034" s="5" t="str" cm="1">
        <f t="array" ref="AB1034">_xlfn.IFS(G1034=1,"Junior",G1034=2,"Mid-Level",G1034=3,"Senior",G1034=4,"Lead",G1034=5,"Principal")&amp;" "&amp;TRIM(PROPER(H1034))</f>
        <v>Junior Laboratory Technician</v>
      </c>
      <c r="AC1034" s="19" t="str">
        <f t="shared" ca="1" si="186"/>
        <v>La-Res-2025-1033 is a Junior Laboratory Technician in the Research &amp; Development department, aged 39, single and has been with the Company for 1years</v>
      </c>
    </row>
    <row r="1035" spans="1:29">
      <c r="A1035" s="18" t="str">
        <f t="shared" ca="1" si="176"/>
        <v>Ma-Res-2016-1034</v>
      </c>
      <c r="B1035" s="5">
        <v>31</v>
      </c>
      <c r="C1035" s="5" t="str">
        <f t="shared" si="177"/>
        <v>30-39</v>
      </c>
      <c r="D1035" s="5" t="s">
        <v>35</v>
      </c>
      <c r="E1035" s="5" t="s">
        <v>45</v>
      </c>
      <c r="F1035" s="5" t="s">
        <v>39</v>
      </c>
      <c r="G1035" s="5">
        <v>3</v>
      </c>
      <c r="H1035" s="5" t="s">
        <v>53</v>
      </c>
      <c r="I1035" s="5" t="s">
        <v>41</v>
      </c>
      <c r="J1035" s="7">
        <v>7446</v>
      </c>
      <c r="K1035" s="7">
        <f t="shared" si="178"/>
        <v>1638.1200000000001</v>
      </c>
      <c r="L1035" s="7">
        <f t="shared" si="179"/>
        <v>5807.88</v>
      </c>
      <c r="M1035" s="7">
        <v>8931</v>
      </c>
      <c r="N1035" s="5" t="s">
        <v>43</v>
      </c>
      <c r="O1035" s="5">
        <v>11</v>
      </c>
      <c r="P1035" s="7">
        <f t="shared" si="180"/>
        <v>8265.0600000000013</v>
      </c>
      <c r="Q1035" s="7">
        <f t="shared" si="181"/>
        <v>9828.7200000000157</v>
      </c>
      <c r="R1035" s="7" t="str">
        <f t="shared" si="182"/>
        <v>Normal</v>
      </c>
      <c r="S1035" s="5">
        <v>3</v>
      </c>
      <c r="T1035" s="5">
        <v>3</v>
      </c>
      <c r="U1035" s="5" t="str" cm="1">
        <f t="array" ref="U1035">_xlfn.IFS(T1035=1,"Poor",T1035=2,"Fair",T1035=3,"Good",T1035=4,"Excellent")</f>
        <v>Good</v>
      </c>
      <c r="V1035" s="5" t="s">
        <v>43</v>
      </c>
      <c r="W1035" s="5">
        <v>10</v>
      </c>
      <c r="X1035" s="28">
        <f t="shared" ca="1" si="183"/>
        <v>42459</v>
      </c>
      <c r="Y1035" s="28">
        <f t="shared" ca="1" si="184"/>
        <v>46842</v>
      </c>
      <c r="Z1035" s="28" t="str">
        <f t="shared" ca="1" si="185"/>
        <v>Upcoming</v>
      </c>
      <c r="AA1035" s="5" t="str" cm="1">
        <f t="array" ref="AA1035">_xlfn.IFS(W1035&gt;10,"Veteran",W1035&gt;=6,"Experienced",W1035&gt;=2,"Developing",W1035&gt;=0,"New")</f>
        <v>Experienced</v>
      </c>
      <c r="AB1035" s="5" t="str" cm="1">
        <f t="array" ref="AB1035">_xlfn.IFS(G1035=1,"Junior",G1035=2,"Mid-Level",G1035=3,"Senior",G1035=4,"Lead",G1035=5,"Principal")&amp;" "&amp;TRIM(PROPER(H1035))</f>
        <v>Senior Manufacturing Director</v>
      </c>
      <c r="AC1035" s="19" t="str">
        <f t="shared" ca="1" si="186"/>
        <v>Ma-Res-2016-1034 is a Senior Manufacturing Director in the Research &amp; Development department, aged 31, single and has been with the Company for 10years</v>
      </c>
    </row>
    <row r="1036" spans="1:29">
      <c r="A1036" s="18" t="str">
        <f t="shared" ca="1" si="176"/>
        <v>He-Res-2019-1035</v>
      </c>
      <c r="B1036" s="5">
        <v>45</v>
      </c>
      <c r="C1036" s="5" t="str">
        <f t="shared" si="177"/>
        <v>40-49</v>
      </c>
      <c r="D1036" s="5" t="s">
        <v>43</v>
      </c>
      <c r="E1036" s="5" t="s">
        <v>45</v>
      </c>
      <c r="F1036" s="5" t="s">
        <v>46</v>
      </c>
      <c r="G1036" s="5">
        <v>3</v>
      </c>
      <c r="H1036" s="5" t="s">
        <v>54</v>
      </c>
      <c r="I1036" s="5" t="s">
        <v>52</v>
      </c>
      <c r="J1036" s="7">
        <v>10851</v>
      </c>
      <c r="K1036" s="7">
        <f t="shared" si="178"/>
        <v>2387.2199999999998</v>
      </c>
      <c r="L1036" s="7">
        <f t="shared" si="179"/>
        <v>8463.7800000000007</v>
      </c>
      <c r="M1036" s="7">
        <v>19863</v>
      </c>
      <c r="N1036" s="5" t="s">
        <v>35</v>
      </c>
      <c r="O1036" s="5">
        <v>18</v>
      </c>
      <c r="P1036" s="7">
        <f t="shared" si="180"/>
        <v>12804.179999999998</v>
      </c>
      <c r="Q1036" s="7">
        <f t="shared" si="181"/>
        <v>23438.159999999982</v>
      </c>
      <c r="R1036" s="7" t="str">
        <f t="shared" si="182"/>
        <v>Normal</v>
      </c>
      <c r="S1036" s="5">
        <v>3</v>
      </c>
      <c r="T1036" s="5">
        <v>3</v>
      </c>
      <c r="U1036" s="5" t="str" cm="1">
        <f t="array" ref="U1036">_xlfn.IFS(T1036=1,"Poor",T1036=2,"Fair",T1036=3,"Good",T1036=4,"Excellent")</f>
        <v>Good</v>
      </c>
      <c r="V1036" s="5" t="s">
        <v>35</v>
      </c>
      <c r="W1036" s="5">
        <v>7</v>
      </c>
      <c r="X1036" s="28">
        <f t="shared" ca="1" si="183"/>
        <v>43554</v>
      </c>
      <c r="Y1036" s="28">
        <f t="shared" ca="1" si="184"/>
        <v>46476</v>
      </c>
      <c r="Z1036" s="28" t="str">
        <f t="shared" ca="1" si="185"/>
        <v>Due Soon</v>
      </c>
      <c r="AA1036" s="5" t="str" cm="1">
        <f t="array" ref="AA1036">_xlfn.IFS(W1036&gt;10,"Veteran",W1036&gt;=6,"Experienced",W1036&gt;=2,"Developing",W1036&gt;=0,"New")</f>
        <v>Experienced</v>
      </c>
      <c r="AB1036" s="5" t="str" cm="1">
        <f t="array" ref="AB1036">_xlfn.IFS(G1036=1,"Junior",G1036=2,"Mid-Level",G1036=3,"Senior",G1036=4,"Lead",G1036=5,"Principal")&amp;" "&amp;TRIM(PROPER(H1036))</f>
        <v>Senior Healthcare Representative</v>
      </c>
      <c r="AC1036" s="19" t="str">
        <f t="shared" ca="1" si="186"/>
        <v>He-Res-2019-1035 is a Senior Healthcare Representative in the Research &amp; Development department, aged 45, divorced and has been with the Company for 7years</v>
      </c>
    </row>
    <row r="1037" spans="1:29">
      <c r="A1037" s="18" t="str">
        <f t="shared" ca="1" si="176"/>
        <v>Hu-Hum-2023-1036</v>
      </c>
      <c r="B1037" s="5">
        <v>31</v>
      </c>
      <c r="C1037" s="5" t="str">
        <f t="shared" si="177"/>
        <v>30-39</v>
      </c>
      <c r="D1037" s="5" t="s">
        <v>43</v>
      </c>
      <c r="E1037" s="5" t="s">
        <v>61</v>
      </c>
      <c r="F1037" s="5" t="s">
        <v>39</v>
      </c>
      <c r="G1037" s="5">
        <v>1</v>
      </c>
      <c r="H1037" s="5" t="s">
        <v>61</v>
      </c>
      <c r="I1037" s="5" t="s">
        <v>41</v>
      </c>
      <c r="J1037" s="7">
        <v>2109</v>
      </c>
      <c r="K1037" s="7">
        <f t="shared" si="178"/>
        <v>147.63000000000002</v>
      </c>
      <c r="L1037" s="7">
        <f t="shared" si="179"/>
        <v>1961.37</v>
      </c>
      <c r="M1037" s="7">
        <v>24609</v>
      </c>
      <c r="N1037" s="5" t="s">
        <v>43</v>
      </c>
      <c r="O1037" s="5">
        <v>18</v>
      </c>
      <c r="P1037" s="7">
        <f t="shared" si="180"/>
        <v>2488.62</v>
      </c>
      <c r="Q1037" s="7">
        <f t="shared" si="181"/>
        <v>4555.4399999999987</v>
      </c>
      <c r="R1037" s="7" t="str">
        <f t="shared" si="182"/>
        <v>Normal</v>
      </c>
      <c r="S1037" s="5">
        <v>3</v>
      </c>
      <c r="T1037" s="5">
        <v>3</v>
      </c>
      <c r="U1037" s="5" t="str" cm="1">
        <f t="array" ref="U1037">_xlfn.IFS(T1037=1,"Poor",T1037=2,"Fair",T1037=3,"Good",T1037=4,"Excellent")</f>
        <v>Good</v>
      </c>
      <c r="V1037" s="5" t="s">
        <v>43</v>
      </c>
      <c r="W1037" s="5">
        <v>3</v>
      </c>
      <c r="X1037" s="28">
        <f t="shared" ca="1" si="183"/>
        <v>45015</v>
      </c>
      <c r="Y1037" s="28">
        <f t="shared" ca="1" si="184"/>
        <v>46476</v>
      </c>
      <c r="Z1037" s="28" t="str">
        <f t="shared" ca="1" si="185"/>
        <v>Due Soon</v>
      </c>
      <c r="AA1037" s="5" t="str" cm="1">
        <f t="array" ref="AA1037">_xlfn.IFS(W1037&gt;10,"Veteran",W1037&gt;=6,"Experienced",W1037&gt;=2,"Developing",W1037&gt;=0,"New")</f>
        <v>Developing</v>
      </c>
      <c r="AB1037" s="5" t="str" cm="1">
        <f t="array" ref="AB1037">_xlfn.IFS(G1037=1,"Junior",G1037=2,"Mid-Level",G1037=3,"Senior",G1037=4,"Lead",G1037=5,"Principal")&amp;" "&amp;TRIM(PROPER(H1037))</f>
        <v>Junior Human Resources</v>
      </c>
      <c r="AC1037" s="19" t="str">
        <f t="shared" ca="1" si="186"/>
        <v>Hu-Hum-2023-1036 is a Junior Human Resources in the Human Resources department, aged 31, single and has been with the Company for 3years</v>
      </c>
    </row>
    <row r="1038" spans="1:29">
      <c r="A1038" s="18" t="str">
        <f t="shared" ca="1" si="176"/>
        <v>La-Res-2024-1037</v>
      </c>
      <c r="B1038" s="5">
        <v>31</v>
      </c>
      <c r="C1038" s="5" t="str">
        <f t="shared" si="177"/>
        <v>30-39</v>
      </c>
      <c r="D1038" s="5" t="s">
        <v>35</v>
      </c>
      <c r="E1038" s="5" t="s">
        <v>45</v>
      </c>
      <c r="F1038" s="5" t="s">
        <v>46</v>
      </c>
      <c r="G1038" s="5">
        <v>1</v>
      </c>
      <c r="H1038" s="5" t="s">
        <v>50</v>
      </c>
      <c r="I1038" s="5" t="s">
        <v>48</v>
      </c>
      <c r="J1038" s="7">
        <v>3722</v>
      </c>
      <c r="K1038" s="7">
        <f t="shared" si="178"/>
        <v>558.29999999999995</v>
      </c>
      <c r="L1038" s="7">
        <f t="shared" si="179"/>
        <v>3163.7</v>
      </c>
      <c r="M1038" s="7">
        <v>21081</v>
      </c>
      <c r="N1038" s="5" t="s">
        <v>35</v>
      </c>
      <c r="O1038" s="5">
        <v>13</v>
      </c>
      <c r="P1038" s="7">
        <f t="shared" si="180"/>
        <v>4205.8599999999997</v>
      </c>
      <c r="Q1038" s="7">
        <f t="shared" si="181"/>
        <v>5806.3199999999961</v>
      </c>
      <c r="R1038" s="7" t="str">
        <f t="shared" si="182"/>
        <v>Normal</v>
      </c>
      <c r="S1038" s="5">
        <v>3</v>
      </c>
      <c r="T1038" s="5">
        <v>1</v>
      </c>
      <c r="U1038" s="5" t="str" cm="1">
        <f t="array" ref="U1038">_xlfn.IFS(T1038=1,"Poor",T1038=2,"Fair",T1038=3,"Good",T1038=4,"Excellent")</f>
        <v>Poor</v>
      </c>
      <c r="V1038" s="5" t="s">
        <v>35</v>
      </c>
      <c r="W1038" s="5">
        <v>2</v>
      </c>
      <c r="X1038" s="28">
        <f t="shared" ca="1" si="183"/>
        <v>45381</v>
      </c>
      <c r="Y1038" s="28">
        <f t="shared" ca="1" si="184"/>
        <v>46842</v>
      </c>
      <c r="Z1038" s="28" t="str">
        <f t="shared" ca="1" si="185"/>
        <v>Upcoming</v>
      </c>
      <c r="AA1038" s="5" t="str" cm="1">
        <f t="array" ref="AA1038">_xlfn.IFS(W1038&gt;10,"Veteran",W1038&gt;=6,"Experienced",W1038&gt;=2,"Developing",W1038&gt;=0,"New")</f>
        <v>Developing</v>
      </c>
      <c r="AB1038" s="5" t="str" cm="1">
        <f t="array" ref="AB1038">_xlfn.IFS(G1038=1,"Junior",G1038=2,"Mid-Level",G1038=3,"Senior",G1038=4,"Lead",G1038=5,"Principal")&amp;" "&amp;TRIM(PROPER(H1038))</f>
        <v>Junior Laboratory Technician</v>
      </c>
      <c r="AC1038" s="19" t="str">
        <f t="shared" ca="1" si="186"/>
        <v>La-Res-2024-1037 is a Junior Laboratory Technician in the Research &amp; Development department, aged 31, married and has been with the Company for 2years</v>
      </c>
    </row>
    <row r="1039" spans="1:29">
      <c r="A1039" s="18" t="str">
        <f t="shared" ca="1" si="176"/>
        <v>Ma-Res-2023-1038</v>
      </c>
      <c r="B1039" s="5">
        <v>45</v>
      </c>
      <c r="C1039" s="5" t="str">
        <f t="shared" si="177"/>
        <v>40-49</v>
      </c>
      <c r="D1039" s="5" t="s">
        <v>43</v>
      </c>
      <c r="E1039" s="5" t="s">
        <v>45</v>
      </c>
      <c r="F1039" s="5" t="s">
        <v>46</v>
      </c>
      <c r="G1039" s="5">
        <v>3</v>
      </c>
      <c r="H1039" s="5" t="s">
        <v>53</v>
      </c>
      <c r="I1039" s="5" t="s">
        <v>48</v>
      </c>
      <c r="J1039" s="7">
        <v>9380</v>
      </c>
      <c r="K1039" s="7">
        <f t="shared" si="178"/>
        <v>2063.6</v>
      </c>
      <c r="L1039" s="7">
        <f t="shared" si="179"/>
        <v>7316.4</v>
      </c>
      <c r="M1039" s="7">
        <v>14720</v>
      </c>
      <c r="N1039" s="5" t="s">
        <v>35</v>
      </c>
      <c r="O1039" s="5">
        <v>18</v>
      </c>
      <c r="P1039" s="7">
        <f t="shared" si="180"/>
        <v>11068.4</v>
      </c>
      <c r="Q1039" s="7">
        <f t="shared" si="181"/>
        <v>20260.799999999996</v>
      </c>
      <c r="R1039" s="7" t="str">
        <f t="shared" si="182"/>
        <v>Normal</v>
      </c>
      <c r="S1039" s="5">
        <v>3</v>
      </c>
      <c r="T1039" s="5">
        <v>4</v>
      </c>
      <c r="U1039" s="5" t="str" cm="1">
        <f t="array" ref="U1039">_xlfn.IFS(T1039=1,"Poor",T1039=2,"Fair",T1039=3,"Good",T1039=4,"Excellent")</f>
        <v>Excellent</v>
      </c>
      <c r="V1039" s="5" t="s">
        <v>35</v>
      </c>
      <c r="W1039" s="5">
        <v>3</v>
      </c>
      <c r="X1039" s="28">
        <f t="shared" ca="1" si="183"/>
        <v>45015</v>
      </c>
      <c r="Y1039" s="28">
        <f t="shared" ca="1" si="184"/>
        <v>46476</v>
      </c>
      <c r="Z1039" s="28" t="str">
        <f t="shared" ca="1" si="185"/>
        <v>Due Soon</v>
      </c>
      <c r="AA1039" s="5" t="str" cm="1">
        <f t="array" ref="AA1039">_xlfn.IFS(W1039&gt;10,"Veteran",W1039&gt;=6,"Experienced",W1039&gt;=2,"Developing",W1039&gt;=0,"New")</f>
        <v>Developing</v>
      </c>
      <c r="AB1039" s="5" t="str" cm="1">
        <f t="array" ref="AB1039">_xlfn.IFS(G1039=1,"Junior",G1039=2,"Mid-Level",G1039=3,"Senior",G1039=4,"Lead",G1039=5,"Principal")&amp;" "&amp;TRIM(PROPER(H1039))</f>
        <v>Senior Manufacturing Director</v>
      </c>
      <c r="AC1039" s="19" t="str">
        <f t="shared" ca="1" si="186"/>
        <v>Ma-Res-2023-1038 is a Senior Manufacturing Director in the Research &amp; Development department, aged 45, married and has been with the Company for 3years</v>
      </c>
    </row>
    <row r="1040" spans="1:29">
      <c r="A1040" s="18" t="str">
        <f t="shared" ca="1" si="176"/>
        <v>Sa-Sal-2024-1039</v>
      </c>
      <c r="B1040" s="5">
        <v>48</v>
      </c>
      <c r="C1040" s="5" t="str">
        <f t="shared" si="177"/>
        <v>40-49</v>
      </c>
      <c r="D1040" s="5" t="s">
        <v>43</v>
      </c>
      <c r="E1040" s="5" t="s">
        <v>37</v>
      </c>
      <c r="F1040" s="5" t="s">
        <v>46</v>
      </c>
      <c r="G1040" s="5">
        <v>2</v>
      </c>
      <c r="H1040" s="5" t="s">
        <v>40</v>
      </c>
      <c r="I1040" s="5" t="s">
        <v>52</v>
      </c>
      <c r="J1040" s="7">
        <v>5486</v>
      </c>
      <c r="K1040" s="7">
        <f t="shared" si="178"/>
        <v>822.9</v>
      </c>
      <c r="L1040" s="7">
        <f t="shared" si="179"/>
        <v>4663.1000000000004</v>
      </c>
      <c r="M1040" s="7">
        <v>24795</v>
      </c>
      <c r="N1040" s="5" t="s">
        <v>43</v>
      </c>
      <c r="O1040" s="5">
        <v>11</v>
      </c>
      <c r="P1040" s="7">
        <f t="shared" si="180"/>
        <v>6089.4600000000009</v>
      </c>
      <c r="Q1040" s="7">
        <f t="shared" si="181"/>
        <v>7241.5200000000114</v>
      </c>
      <c r="R1040" s="7" t="str">
        <f t="shared" si="182"/>
        <v>Normal</v>
      </c>
      <c r="S1040" s="5">
        <v>3</v>
      </c>
      <c r="T1040" s="5">
        <v>3</v>
      </c>
      <c r="U1040" s="5" t="str" cm="1">
        <f t="array" ref="U1040">_xlfn.IFS(T1040=1,"Poor",T1040=2,"Fair",T1040=3,"Good",T1040=4,"Excellent")</f>
        <v>Good</v>
      </c>
      <c r="V1040" s="5" t="s">
        <v>43</v>
      </c>
      <c r="W1040" s="5">
        <v>2</v>
      </c>
      <c r="X1040" s="28">
        <f t="shared" ca="1" si="183"/>
        <v>45381</v>
      </c>
      <c r="Y1040" s="28">
        <f t="shared" ca="1" si="184"/>
        <v>46842</v>
      </c>
      <c r="Z1040" s="28" t="str">
        <f t="shared" ca="1" si="185"/>
        <v>Upcoming</v>
      </c>
      <c r="AA1040" s="5" t="str" cm="1">
        <f t="array" ref="AA1040">_xlfn.IFS(W1040&gt;10,"Veteran",W1040&gt;=6,"Experienced",W1040&gt;=2,"Developing",W1040&gt;=0,"New")</f>
        <v>Developing</v>
      </c>
      <c r="AB1040" s="5" t="str" cm="1">
        <f t="array" ref="AB1040">_xlfn.IFS(G1040=1,"Junior",G1040=2,"Mid-Level",G1040=3,"Senior",G1040=4,"Lead",G1040=5,"Principal")&amp;" "&amp;TRIM(PROPER(H1040))</f>
        <v>Mid-Level Sales Executive</v>
      </c>
      <c r="AC1040" s="19" t="str">
        <f t="shared" ca="1" si="186"/>
        <v>Sa-Sal-2024-1039 is a Mid-Level Sales Executive in the Sales department, aged 48, divorced and has been with the Company for 2years</v>
      </c>
    </row>
    <row r="1041" spans="1:29">
      <c r="A1041" s="18" t="str">
        <f t="shared" ca="1" si="176"/>
        <v>Hu-Hum-2024-1040</v>
      </c>
      <c r="B1041" s="5">
        <v>34</v>
      </c>
      <c r="C1041" s="5" t="str">
        <f t="shared" si="177"/>
        <v>30-39</v>
      </c>
      <c r="D1041" s="5" t="s">
        <v>35</v>
      </c>
      <c r="E1041" s="5" t="s">
        <v>61</v>
      </c>
      <c r="F1041" s="5" t="s">
        <v>39</v>
      </c>
      <c r="G1041" s="5">
        <v>1</v>
      </c>
      <c r="H1041" s="5" t="s">
        <v>61</v>
      </c>
      <c r="I1041" s="5" t="s">
        <v>48</v>
      </c>
      <c r="J1041" s="7">
        <v>2742</v>
      </c>
      <c r="K1041" s="7">
        <f t="shared" si="178"/>
        <v>191.94000000000003</v>
      </c>
      <c r="L1041" s="7">
        <f t="shared" si="179"/>
        <v>2550.06</v>
      </c>
      <c r="M1041" s="7">
        <v>3072</v>
      </c>
      <c r="N1041" s="5" t="s">
        <v>43</v>
      </c>
      <c r="O1041" s="5">
        <v>15</v>
      </c>
      <c r="P1041" s="7">
        <f t="shared" si="180"/>
        <v>3153.2999999999997</v>
      </c>
      <c r="Q1041" s="7">
        <f t="shared" si="181"/>
        <v>4935.5999999999967</v>
      </c>
      <c r="R1041" s="7" t="str">
        <f t="shared" si="182"/>
        <v>Normal</v>
      </c>
      <c r="S1041" s="5">
        <v>3</v>
      </c>
      <c r="T1041" s="5">
        <v>3</v>
      </c>
      <c r="U1041" s="5" t="str" cm="1">
        <f t="array" ref="U1041">_xlfn.IFS(T1041=1,"Poor",T1041=2,"Fair",T1041=3,"Good",T1041=4,"Excellent")</f>
        <v>Good</v>
      </c>
      <c r="V1041" s="5" t="s">
        <v>43</v>
      </c>
      <c r="W1041" s="5">
        <v>2</v>
      </c>
      <c r="X1041" s="28">
        <f t="shared" ca="1" si="183"/>
        <v>45381</v>
      </c>
      <c r="Y1041" s="28">
        <f t="shared" ca="1" si="184"/>
        <v>46842</v>
      </c>
      <c r="Z1041" s="28" t="str">
        <f t="shared" ca="1" si="185"/>
        <v>Upcoming</v>
      </c>
      <c r="AA1041" s="5" t="str" cm="1">
        <f t="array" ref="AA1041">_xlfn.IFS(W1041&gt;10,"Veteran",W1041&gt;=6,"Experienced",W1041&gt;=2,"Developing",W1041&gt;=0,"New")</f>
        <v>Developing</v>
      </c>
      <c r="AB1041" s="5" t="str" cm="1">
        <f t="array" ref="AB1041">_xlfn.IFS(G1041=1,"Junior",G1041=2,"Mid-Level",G1041=3,"Senior",G1041=4,"Lead",G1041=5,"Principal")&amp;" "&amp;TRIM(PROPER(H1041))</f>
        <v>Junior Human Resources</v>
      </c>
      <c r="AC1041" s="19" t="str">
        <f t="shared" ca="1" si="186"/>
        <v>Hu-Hum-2024-1040 is a Junior Human Resources in the Human Resources department, aged 34, married and has been with the Company for 2years</v>
      </c>
    </row>
    <row r="1042" spans="1:29">
      <c r="A1042" s="18" t="str">
        <f t="shared" ca="1" si="176"/>
        <v>Re-Res-2017-1041</v>
      </c>
      <c r="B1042" s="5">
        <v>40</v>
      </c>
      <c r="C1042" s="5" t="str">
        <f t="shared" si="177"/>
        <v>40-49</v>
      </c>
      <c r="D1042" s="5" t="s">
        <v>43</v>
      </c>
      <c r="E1042" s="5" t="s">
        <v>45</v>
      </c>
      <c r="F1042" s="5" t="s">
        <v>46</v>
      </c>
      <c r="G1042" s="5">
        <v>3</v>
      </c>
      <c r="H1042" s="5" t="s">
        <v>58</v>
      </c>
      <c r="I1042" s="5" t="s">
        <v>52</v>
      </c>
      <c r="J1042" s="7">
        <v>13757</v>
      </c>
      <c r="K1042" s="7">
        <f t="shared" si="178"/>
        <v>4127.0999999999995</v>
      </c>
      <c r="L1042" s="7">
        <f t="shared" si="179"/>
        <v>9629.9000000000015</v>
      </c>
      <c r="M1042" s="7">
        <v>25178</v>
      </c>
      <c r="N1042" s="5" t="s">
        <v>43</v>
      </c>
      <c r="O1042" s="5">
        <v>11</v>
      </c>
      <c r="P1042" s="7">
        <f t="shared" si="180"/>
        <v>15270.27</v>
      </c>
      <c r="Q1042" s="7">
        <f t="shared" si="181"/>
        <v>18159.240000000005</v>
      </c>
      <c r="R1042" s="7" t="str">
        <f t="shared" si="182"/>
        <v>Normal</v>
      </c>
      <c r="S1042" s="5">
        <v>3</v>
      </c>
      <c r="T1042" s="5">
        <v>3</v>
      </c>
      <c r="U1042" s="5" t="str" cm="1">
        <f t="array" ref="U1042">_xlfn.IFS(T1042=1,"Poor",T1042=2,"Fair",T1042=3,"Good",T1042=4,"Excellent")</f>
        <v>Good</v>
      </c>
      <c r="V1042" s="5" t="s">
        <v>43</v>
      </c>
      <c r="W1042" s="5">
        <v>9</v>
      </c>
      <c r="X1042" s="28">
        <f t="shared" ca="1" si="183"/>
        <v>42824</v>
      </c>
      <c r="Y1042" s="28">
        <f t="shared" ca="1" si="184"/>
        <v>46476</v>
      </c>
      <c r="Z1042" s="28" t="str">
        <f t="shared" ca="1" si="185"/>
        <v>Due Soon</v>
      </c>
      <c r="AA1042" s="5" t="str" cm="1">
        <f t="array" ref="AA1042">_xlfn.IFS(W1042&gt;10,"Veteran",W1042&gt;=6,"Experienced",W1042&gt;=2,"Developing",W1042&gt;=0,"New")</f>
        <v>Experienced</v>
      </c>
      <c r="AB1042" s="5" t="str" cm="1">
        <f t="array" ref="AB1042">_xlfn.IFS(G1042=1,"Junior",G1042=2,"Mid-Level",G1042=3,"Senior",G1042=4,"Lead",G1042=5,"Principal")&amp;" "&amp;TRIM(PROPER(H1042))</f>
        <v>Senior Research Director</v>
      </c>
      <c r="AC1042" s="19" t="str">
        <f t="shared" ca="1" si="186"/>
        <v>Re-Res-2017-1041 is a Senior Research Director in the Research &amp; Development department, aged 40, divorced and has been with the Company for 9years</v>
      </c>
    </row>
    <row r="1043" spans="1:29">
      <c r="A1043" s="18" t="str">
        <f t="shared" ca="1" si="176"/>
        <v>Sa-Sal-2021-1042</v>
      </c>
      <c r="B1043" s="5">
        <v>28</v>
      </c>
      <c r="C1043" s="5" t="str">
        <f t="shared" si="177"/>
        <v>20-29</v>
      </c>
      <c r="D1043" s="5" t="s">
        <v>43</v>
      </c>
      <c r="E1043" s="5" t="s">
        <v>37</v>
      </c>
      <c r="F1043" s="5" t="s">
        <v>46</v>
      </c>
      <c r="G1043" s="5">
        <v>2</v>
      </c>
      <c r="H1043" s="5" t="s">
        <v>40</v>
      </c>
      <c r="I1043" s="5" t="s">
        <v>41</v>
      </c>
      <c r="J1043" s="7">
        <v>8463</v>
      </c>
      <c r="K1043" s="7">
        <f t="shared" si="178"/>
        <v>1861.86</v>
      </c>
      <c r="L1043" s="7">
        <f t="shared" si="179"/>
        <v>6601.14</v>
      </c>
      <c r="M1043" s="7">
        <v>23490</v>
      </c>
      <c r="N1043" s="5" t="s">
        <v>43</v>
      </c>
      <c r="O1043" s="5">
        <v>18</v>
      </c>
      <c r="P1043" s="7">
        <f t="shared" si="180"/>
        <v>9986.34</v>
      </c>
      <c r="Q1043" s="7">
        <f t="shared" si="181"/>
        <v>18280.080000000002</v>
      </c>
      <c r="R1043" s="7" t="str">
        <f t="shared" si="182"/>
        <v>Normal</v>
      </c>
      <c r="S1043" s="5">
        <v>3</v>
      </c>
      <c r="T1043" s="5">
        <v>3</v>
      </c>
      <c r="U1043" s="5" t="str" cm="1">
        <f t="array" ref="U1043">_xlfn.IFS(T1043=1,"Poor",T1043=2,"Fair",T1043=3,"Good",T1043=4,"Excellent")</f>
        <v>Good</v>
      </c>
      <c r="V1043" s="5" t="s">
        <v>43</v>
      </c>
      <c r="W1043" s="5">
        <v>5</v>
      </c>
      <c r="X1043" s="28">
        <f t="shared" ca="1" si="183"/>
        <v>44285</v>
      </c>
      <c r="Y1043" s="28">
        <f t="shared" ca="1" si="184"/>
        <v>46476</v>
      </c>
      <c r="Z1043" s="28" t="str">
        <f t="shared" ca="1" si="185"/>
        <v>Due Soon</v>
      </c>
      <c r="AA1043" s="5" t="str" cm="1">
        <f t="array" ref="AA1043">_xlfn.IFS(W1043&gt;10,"Veteran",W1043&gt;=6,"Experienced",W1043&gt;=2,"Developing",W1043&gt;=0,"New")</f>
        <v>Developing</v>
      </c>
      <c r="AB1043" s="5" t="str" cm="1">
        <f t="array" ref="AB1043">_xlfn.IFS(G1043=1,"Junior",G1043=2,"Mid-Level",G1043=3,"Senior",G1043=4,"Lead",G1043=5,"Principal")&amp;" "&amp;TRIM(PROPER(H1043))</f>
        <v>Mid-Level Sales Executive</v>
      </c>
      <c r="AC1043" s="19" t="str">
        <f t="shared" ca="1" si="186"/>
        <v>Sa-Sal-2021-1042 is a Mid-Level Sales Executive in the Sales department, aged 28, single and has been with the Company for 5years</v>
      </c>
    </row>
    <row r="1044" spans="1:29">
      <c r="A1044" s="18" t="str">
        <f t="shared" ca="1" si="176"/>
        <v>La-Res-2021-1043</v>
      </c>
      <c r="B1044" s="5">
        <v>44</v>
      </c>
      <c r="C1044" s="5" t="str">
        <f t="shared" si="177"/>
        <v>40-49</v>
      </c>
      <c r="D1044" s="5" t="s">
        <v>43</v>
      </c>
      <c r="E1044" s="5" t="s">
        <v>45</v>
      </c>
      <c r="F1044" s="5" t="s">
        <v>46</v>
      </c>
      <c r="G1044" s="5">
        <v>1</v>
      </c>
      <c r="H1044" s="5" t="s">
        <v>50</v>
      </c>
      <c r="I1044" s="5" t="s">
        <v>41</v>
      </c>
      <c r="J1044" s="7">
        <v>3162</v>
      </c>
      <c r="K1044" s="7">
        <f t="shared" si="178"/>
        <v>474.29999999999995</v>
      </c>
      <c r="L1044" s="7">
        <f t="shared" si="179"/>
        <v>2687.7</v>
      </c>
      <c r="M1044" s="7">
        <v>7973</v>
      </c>
      <c r="N1044" s="5" t="s">
        <v>43</v>
      </c>
      <c r="O1044" s="5">
        <v>14</v>
      </c>
      <c r="P1044" s="7">
        <f t="shared" si="180"/>
        <v>3604.6800000000003</v>
      </c>
      <c r="Q1044" s="7">
        <f t="shared" si="181"/>
        <v>5312.1600000000035</v>
      </c>
      <c r="R1044" s="7" t="str">
        <f t="shared" si="182"/>
        <v>Normal</v>
      </c>
      <c r="S1044" s="5">
        <v>3</v>
      </c>
      <c r="T1044" s="5">
        <v>3</v>
      </c>
      <c r="U1044" s="5" t="str" cm="1">
        <f t="array" ref="U1044">_xlfn.IFS(T1044=1,"Poor",T1044=2,"Fair",T1044=3,"Good",T1044=4,"Excellent")</f>
        <v>Good</v>
      </c>
      <c r="V1044" s="5" t="s">
        <v>43</v>
      </c>
      <c r="W1044" s="5">
        <v>5</v>
      </c>
      <c r="X1044" s="28">
        <f t="shared" ca="1" si="183"/>
        <v>44285</v>
      </c>
      <c r="Y1044" s="28">
        <f t="shared" ca="1" si="184"/>
        <v>46476</v>
      </c>
      <c r="Z1044" s="28" t="str">
        <f t="shared" ca="1" si="185"/>
        <v>Due Soon</v>
      </c>
      <c r="AA1044" s="5" t="str" cm="1">
        <f t="array" ref="AA1044">_xlfn.IFS(W1044&gt;10,"Veteran",W1044&gt;=6,"Experienced",W1044&gt;=2,"Developing",W1044&gt;=0,"New")</f>
        <v>Developing</v>
      </c>
      <c r="AB1044" s="5" t="str" cm="1">
        <f t="array" ref="AB1044">_xlfn.IFS(G1044=1,"Junior",G1044=2,"Mid-Level",G1044=3,"Senior",G1044=4,"Lead",G1044=5,"Principal")&amp;" "&amp;TRIM(PROPER(H1044))</f>
        <v>Junior Laboratory Technician</v>
      </c>
      <c r="AC1044" s="19" t="str">
        <f t="shared" ca="1" si="186"/>
        <v>La-Res-2021-1043 is a Junior Laboratory Technician in the Research &amp; Development department, aged 44, single and has been with the Company for 5years</v>
      </c>
    </row>
    <row r="1045" spans="1:29">
      <c r="A1045" s="18" t="str">
        <f t="shared" ca="1" si="176"/>
        <v>Re-Res-2017-1044</v>
      </c>
      <c r="B1045" s="5">
        <v>53</v>
      </c>
      <c r="C1045" s="5" t="str">
        <f t="shared" si="177"/>
        <v>50+</v>
      </c>
      <c r="D1045" s="5" t="s">
        <v>43</v>
      </c>
      <c r="E1045" s="5" t="s">
        <v>45</v>
      </c>
      <c r="F1045" s="5" t="s">
        <v>46</v>
      </c>
      <c r="G1045" s="5">
        <v>4</v>
      </c>
      <c r="H1045" s="5" t="s">
        <v>58</v>
      </c>
      <c r="I1045" s="5" t="s">
        <v>41</v>
      </c>
      <c r="J1045" s="7">
        <v>16598</v>
      </c>
      <c r="K1045" s="7">
        <f t="shared" si="178"/>
        <v>4979.3999999999996</v>
      </c>
      <c r="L1045" s="7">
        <f t="shared" si="179"/>
        <v>11618.6</v>
      </c>
      <c r="M1045" s="7">
        <v>19764</v>
      </c>
      <c r="N1045" s="5" t="s">
        <v>43</v>
      </c>
      <c r="O1045" s="5">
        <v>12</v>
      </c>
      <c r="P1045" s="7">
        <f t="shared" si="180"/>
        <v>18589.760000000002</v>
      </c>
      <c r="Q1045" s="7">
        <f t="shared" si="181"/>
        <v>23901.120000000024</v>
      </c>
      <c r="R1045" s="7" t="str">
        <f t="shared" si="182"/>
        <v>Normal</v>
      </c>
      <c r="S1045" s="5">
        <v>3</v>
      </c>
      <c r="T1045" s="5">
        <v>2</v>
      </c>
      <c r="U1045" s="5" t="str" cm="1">
        <f t="array" ref="U1045">_xlfn.IFS(T1045=1,"Poor",T1045=2,"Fair",T1045=3,"Good",T1045=4,"Excellent")</f>
        <v>Fair</v>
      </c>
      <c r="V1045" s="5" t="s">
        <v>43</v>
      </c>
      <c r="W1045" s="5">
        <v>9</v>
      </c>
      <c r="X1045" s="28">
        <f t="shared" ca="1" si="183"/>
        <v>42824</v>
      </c>
      <c r="Y1045" s="28">
        <f t="shared" ca="1" si="184"/>
        <v>46476</v>
      </c>
      <c r="Z1045" s="28" t="str">
        <f t="shared" ca="1" si="185"/>
        <v>Due Soon</v>
      </c>
      <c r="AA1045" s="5" t="str" cm="1">
        <f t="array" ref="AA1045">_xlfn.IFS(W1045&gt;10,"Veteran",W1045&gt;=6,"Experienced",W1045&gt;=2,"Developing",W1045&gt;=0,"New")</f>
        <v>Experienced</v>
      </c>
      <c r="AB1045" s="5" t="str" cm="1">
        <f t="array" ref="AB1045">_xlfn.IFS(G1045=1,"Junior",G1045=2,"Mid-Level",G1045=3,"Senior",G1045=4,"Lead",G1045=5,"Principal")&amp;" "&amp;TRIM(PROPER(H1045))</f>
        <v>Lead Research Director</v>
      </c>
      <c r="AC1045" s="19" t="str">
        <f t="shared" ca="1" si="186"/>
        <v>Re-Res-2017-1044 is a Lead Research Director in the Research &amp; Development department, aged 53, single and has been with the Company for 9years</v>
      </c>
    </row>
    <row r="1046" spans="1:29">
      <c r="A1046" s="18" t="str">
        <f t="shared" ca="1" si="176"/>
        <v>He-Res-2023-1045</v>
      </c>
      <c r="B1046" s="5">
        <v>49</v>
      </c>
      <c r="C1046" s="5" t="str">
        <f t="shared" si="177"/>
        <v>40-49</v>
      </c>
      <c r="D1046" s="5" t="s">
        <v>43</v>
      </c>
      <c r="E1046" s="5" t="s">
        <v>45</v>
      </c>
      <c r="F1046" s="5" t="s">
        <v>46</v>
      </c>
      <c r="G1046" s="5">
        <v>2</v>
      </c>
      <c r="H1046" s="5" t="s">
        <v>54</v>
      </c>
      <c r="I1046" s="5" t="s">
        <v>48</v>
      </c>
      <c r="J1046" s="7">
        <v>6651</v>
      </c>
      <c r="K1046" s="7">
        <f t="shared" si="178"/>
        <v>997.65</v>
      </c>
      <c r="L1046" s="7">
        <f t="shared" si="179"/>
        <v>5653.35</v>
      </c>
      <c r="M1046" s="7">
        <v>21534</v>
      </c>
      <c r="N1046" s="5" t="s">
        <v>43</v>
      </c>
      <c r="O1046" s="5">
        <v>14</v>
      </c>
      <c r="P1046" s="7">
        <f t="shared" si="180"/>
        <v>7582.1400000000012</v>
      </c>
      <c r="Q1046" s="7">
        <f t="shared" si="181"/>
        <v>11173.680000000015</v>
      </c>
      <c r="R1046" s="7" t="str">
        <f t="shared" si="182"/>
        <v>Normal</v>
      </c>
      <c r="S1046" s="5">
        <v>3</v>
      </c>
      <c r="T1046" s="5">
        <v>2</v>
      </c>
      <c r="U1046" s="5" t="str" cm="1">
        <f t="array" ref="U1046">_xlfn.IFS(T1046=1,"Poor",T1046=2,"Fair",T1046=3,"Good",T1046=4,"Excellent")</f>
        <v>Fair</v>
      </c>
      <c r="V1046" s="5" t="s">
        <v>43</v>
      </c>
      <c r="W1046" s="5">
        <v>3</v>
      </c>
      <c r="X1046" s="28">
        <f t="shared" ca="1" si="183"/>
        <v>45015</v>
      </c>
      <c r="Y1046" s="28">
        <f t="shared" ca="1" si="184"/>
        <v>46476</v>
      </c>
      <c r="Z1046" s="28" t="str">
        <f t="shared" ca="1" si="185"/>
        <v>Due Soon</v>
      </c>
      <c r="AA1046" s="5" t="str" cm="1">
        <f t="array" ref="AA1046">_xlfn.IFS(W1046&gt;10,"Veteran",W1046&gt;=6,"Experienced",W1046&gt;=2,"Developing",W1046&gt;=0,"New")</f>
        <v>Developing</v>
      </c>
      <c r="AB1046" s="5" t="str" cm="1">
        <f t="array" ref="AB1046">_xlfn.IFS(G1046=1,"Junior",G1046=2,"Mid-Level",G1046=3,"Senior",G1046=4,"Lead",G1046=5,"Principal")&amp;" "&amp;TRIM(PROPER(H1046))</f>
        <v>Mid-Level Healthcare Representative</v>
      </c>
      <c r="AC1046" s="19" t="str">
        <f t="shared" ca="1" si="186"/>
        <v>He-Res-2023-1045 is a Mid-Level Healthcare Representative in the Research &amp; Development department, aged 49, married and has been with the Company for 3years</v>
      </c>
    </row>
    <row r="1047" spans="1:29">
      <c r="A1047" s="18" t="str">
        <f t="shared" ca="1" si="176"/>
        <v>Re-Res-2023-1046</v>
      </c>
      <c r="B1047" s="5">
        <v>40</v>
      </c>
      <c r="C1047" s="5" t="str">
        <f t="shared" si="177"/>
        <v>40-49</v>
      </c>
      <c r="D1047" s="5" t="s">
        <v>43</v>
      </c>
      <c r="E1047" s="5" t="s">
        <v>45</v>
      </c>
      <c r="F1047" s="5" t="s">
        <v>46</v>
      </c>
      <c r="G1047" s="5">
        <v>1</v>
      </c>
      <c r="H1047" s="5" t="s">
        <v>47</v>
      </c>
      <c r="I1047" s="5" t="s">
        <v>52</v>
      </c>
      <c r="J1047" s="7">
        <v>2345</v>
      </c>
      <c r="K1047" s="7">
        <f t="shared" si="178"/>
        <v>164.15</v>
      </c>
      <c r="L1047" s="7">
        <f t="shared" si="179"/>
        <v>2180.85</v>
      </c>
      <c r="M1047" s="7">
        <v>8045</v>
      </c>
      <c r="N1047" s="5" t="s">
        <v>43</v>
      </c>
      <c r="O1047" s="5">
        <v>14</v>
      </c>
      <c r="P1047" s="7">
        <f t="shared" si="180"/>
        <v>2673.3</v>
      </c>
      <c r="Q1047" s="7">
        <f t="shared" si="181"/>
        <v>3939.6000000000022</v>
      </c>
      <c r="R1047" s="7" t="str">
        <f t="shared" si="182"/>
        <v>Normal</v>
      </c>
      <c r="S1047" s="5">
        <v>3</v>
      </c>
      <c r="T1047" s="5">
        <v>4</v>
      </c>
      <c r="U1047" s="5" t="str" cm="1">
        <f t="array" ref="U1047">_xlfn.IFS(T1047=1,"Poor",T1047=2,"Fair",T1047=3,"Good",T1047=4,"Excellent")</f>
        <v>Excellent</v>
      </c>
      <c r="V1047" s="5" t="s">
        <v>43</v>
      </c>
      <c r="W1047" s="5">
        <v>3</v>
      </c>
      <c r="X1047" s="28">
        <f t="shared" ca="1" si="183"/>
        <v>45015</v>
      </c>
      <c r="Y1047" s="28">
        <f t="shared" ca="1" si="184"/>
        <v>46476</v>
      </c>
      <c r="Z1047" s="28" t="str">
        <f t="shared" ca="1" si="185"/>
        <v>Due Soon</v>
      </c>
      <c r="AA1047" s="5" t="str" cm="1">
        <f t="array" ref="AA1047">_xlfn.IFS(W1047&gt;10,"Veteran",W1047&gt;=6,"Experienced",W1047&gt;=2,"Developing",W1047&gt;=0,"New")</f>
        <v>Developing</v>
      </c>
      <c r="AB1047" s="5" t="str" cm="1">
        <f t="array" ref="AB1047">_xlfn.IFS(G1047=1,"Junior",G1047=2,"Mid-Level",G1047=3,"Senior",G1047=4,"Lead",G1047=5,"Principal")&amp;" "&amp;TRIM(PROPER(H1047))</f>
        <v>Junior Research Scientist</v>
      </c>
      <c r="AC1047" s="19" t="str">
        <f t="shared" ca="1" si="186"/>
        <v>Re-Res-2023-1046 is a Junior Research Scientist in the Research &amp; Development department, aged 40, divorced and has been with the Company for 3years</v>
      </c>
    </row>
    <row r="1048" spans="1:29">
      <c r="A1048" s="18" t="str">
        <f t="shared" ca="1" si="176"/>
        <v>Re-Res-2021-1047</v>
      </c>
      <c r="B1048" s="5">
        <v>44</v>
      </c>
      <c r="C1048" s="5" t="str">
        <f t="shared" si="177"/>
        <v>40-49</v>
      </c>
      <c r="D1048" s="5" t="s">
        <v>43</v>
      </c>
      <c r="E1048" s="5" t="s">
        <v>45</v>
      </c>
      <c r="F1048" s="5" t="s">
        <v>46</v>
      </c>
      <c r="G1048" s="5">
        <v>1</v>
      </c>
      <c r="H1048" s="5" t="s">
        <v>47</v>
      </c>
      <c r="I1048" s="5" t="s">
        <v>41</v>
      </c>
      <c r="J1048" s="7">
        <v>3420</v>
      </c>
      <c r="K1048" s="7">
        <f t="shared" si="178"/>
        <v>513</v>
      </c>
      <c r="L1048" s="7">
        <f t="shared" si="179"/>
        <v>2907</v>
      </c>
      <c r="M1048" s="7">
        <v>21158</v>
      </c>
      <c r="N1048" s="5" t="s">
        <v>43</v>
      </c>
      <c r="O1048" s="5">
        <v>13</v>
      </c>
      <c r="P1048" s="7">
        <f t="shared" si="180"/>
        <v>3864.5999999999995</v>
      </c>
      <c r="Q1048" s="7">
        <f t="shared" si="181"/>
        <v>5335.1999999999935</v>
      </c>
      <c r="R1048" s="7" t="str">
        <f t="shared" si="182"/>
        <v>Normal</v>
      </c>
      <c r="S1048" s="5">
        <v>3</v>
      </c>
      <c r="T1048" s="5">
        <v>2</v>
      </c>
      <c r="U1048" s="5" t="str" cm="1">
        <f t="array" ref="U1048">_xlfn.IFS(T1048=1,"Poor",T1048=2,"Fair",T1048=3,"Good",T1048=4,"Excellent")</f>
        <v>Fair</v>
      </c>
      <c r="V1048" s="5" t="s">
        <v>43</v>
      </c>
      <c r="W1048" s="5">
        <v>5</v>
      </c>
      <c r="X1048" s="28">
        <f t="shared" ca="1" si="183"/>
        <v>44285</v>
      </c>
      <c r="Y1048" s="28">
        <f t="shared" ca="1" si="184"/>
        <v>46476</v>
      </c>
      <c r="Z1048" s="28" t="str">
        <f t="shared" ca="1" si="185"/>
        <v>Due Soon</v>
      </c>
      <c r="AA1048" s="5" t="str" cm="1">
        <f t="array" ref="AA1048">_xlfn.IFS(W1048&gt;10,"Veteran",W1048&gt;=6,"Experienced",W1048&gt;=2,"Developing",W1048&gt;=0,"New")</f>
        <v>Developing</v>
      </c>
      <c r="AB1048" s="5" t="str" cm="1">
        <f t="array" ref="AB1048">_xlfn.IFS(G1048=1,"Junior",G1048=2,"Mid-Level",G1048=3,"Senior",G1048=4,"Lead",G1048=5,"Principal")&amp;" "&amp;TRIM(PROPER(H1048))</f>
        <v>Junior Research Scientist</v>
      </c>
      <c r="AC1048" s="19" t="str">
        <f t="shared" ca="1" si="186"/>
        <v>Re-Res-2021-1047 is a Junior Research Scientist in the Research &amp; Development department, aged 44, single and has been with the Company for 5years</v>
      </c>
    </row>
    <row r="1049" spans="1:29">
      <c r="A1049" s="18" t="str">
        <f t="shared" ca="1" si="176"/>
        <v>Sa-Sal-2022-1048</v>
      </c>
      <c r="B1049" s="5">
        <v>33</v>
      </c>
      <c r="C1049" s="5" t="str">
        <f t="shared" si="177"/>
        <v>30-39</v>
      </c>
      <c r="D1049" s="5" t="s">
        <v>43</v>
      </c>
      <c r="E1049" s="5" t="s">
        <v>37</v>
      </c>
      <c r="F1049" s="5" t="s">
        <v>46</v>
      </c>
      <c r="G1049" s="5">
        <v>2</v>
      </c>
      <c r="H1049" s="5" t="s">
        <v>40</v>
      </c>
      <c r="I1049" s="5" t="s">
        <v>48</v>
      </c>
      <c r="J1049" s="7">
        <v>4373</v>
      </c>
      <c r="K1049" s="7">
        <f t="shared" si="178"/>
        <v>655.94999999999993</v>
      </c>
      <c r="L1049" s="7">
        <f t="shared" si="179"/>
        <v>3717.05</v>
      </c>
      <c r="M1049" s="7">
        <v>17456</v>
      </c>
      <c r="N1049" s="5" t="s">
        <v>43</v>
      </c>
      <c r="O1049" s="5">
        <v>14</v>
      </c>
      <c r="P1049" s="7">
        <f t="shared" si="180"/>
        <v>4985.22</v>
      </c>
      <c r="Q1049" s="7">
        <f t="shared" si="181"/>
        <v>7346.6400000000031</v>
      </c>
      <c r="R1049" s="7" t="str">
        <f t="shared" si="182"/>
        <v>Normal</v>
      </c>
      <c r="S1049" s="5">
        <v>3</v>
      </c>
      <c r="T1049" s="5">
        <v>3</v>
      </c>
      <c r="U1049" s="5" t="str" cm="1">
        <f t="array" ref="U1049">_xlfn.IFS(T1049=1,"Poor",T1049=2,"Fair",T1049=3,"Good",T1049=4,"Excellent")</f>
        <v>Good</v>
      </c>
      <c r="V1049" s="5" t="s">
        <v>43</v>
      </c>
      <c r="W1049" s="5">
        <v>4</v>
      </c>
      <c r="X1049" s="28">
        <f t="shared" ca="1" si="183"/>
        <v>44650</v>
      </c>
      <c r="Y1049" s="28">
        <f t="shared" ca="1" si="184"/>
        <v>46842</v>
      </c>
      <c r="Z1049" s="28" t="str">
        <f t="shared" ca="1" si="185"/>
        <v>Upcoming</v>
      </c>
      <c r="AA1049" s="5" t="str" cm="1">
        <f t="array" ref="AA1049">_xlfn.IFS(W1049&gt;10,"Veteran",W1049&gt;=6,"Experienced",W1049&gt;=2,"Developing",W1049&gt;=0,"New")</f>
        <v>Developing</v>
      </c>
      <c r="AB1049" s="5" t="str" cm="1">
        <f t="array" ref="AB1049">_xlfn.IFS(G1049=1,"Junior",G1049=2,"Mid-Level",G1049=3,"Senior",G1049=4,"Lead",G1049=5,"Principal")&amp;" "&amp;TRIM(PROPER(H1049))</f>
        <v>Mid-Level Sales Executive</v>
      </c>
      <c r="AC1049" s="19" t="str">
        <f t="shared" ca="1" si="186"/>
        <v>Sa-Sal-2022-1048 is a Mid-Level Sales Executive in the Sales department, aged 33, married and has been with the Company for 4years</v>
      </c>
    </row>
    <row r="1050" spans="1:29">
      <c r="A1050" s="18" t="str">
        <f t="shared" ca="1" si="176"/>
        <v>Sa-Sal-2013-1049</v>
      </c>
      <c r="B1050" s="5">
        <v>34</v>
      </c>
      <c r="C1050" s="5" t="str">
        <f t="shared" si="177"/>
        <v>30-39</v>
      </c>
      <c r="D1050" s="5" t="s">
        <v>43</v>
      </c>
      <c r="E1050" s="5" t="s">
        <v>37</v>
      </c>
      <c r="F1050" s="5" t="s">
        <v>46</v>
      </c>
      <c r="G1050" s="5">
        <v>2</v>
      </c>
      <c r="H1050" s="5" t="s">
        <v>40</v>
      </c>
      <c r="I1050" s="5" t="s">
        <v>41</v>
      </c>
      <c r="J1050" s="7">
        <v>4759</v>
      </c>
      <c r="K1050" s="7">
        <f t="shared" si="178"/>
        <v>713.85</v>
      </c>
      <c r="L1050" s="7">
        <f t="shared" si="179"/>
        <v>4045.15</v>
      </c>
      <c r="M1050" s="7">
        <v>15891</v>
      </c>
      <c r="N1050" s="5" t="s">
        <v>43</v>
      </c>
      <c r="O1050" s="5">
        <v>18</v>
      </c>
      <c r="P1050" s="7">
        <f t="shared" si="180"/>
        <v>5615.62</v>
      </c>
      <c r="Q1050" s="7">
        <f t="shared" si="181"/>
        <v>10279.439999999999</v>
      </c>
      <c r="R1050" s="7" t="str">
        <f t="shared" si="182"/>
        <v>Normal</v>
      </c>
      <c r="S1050" s="5">
        <v>3</v>
      </c>
      <c r="T1050" s="5">
        <v>3</v>
      </c>
      <c r="U1050" s="5" t="str" cm="1">
        <f t="array" ref="U1050">_xlfn.IFS(T1050=1,"Poor",T1050=2,"Fair",T1050=3,"Good",T1050=4,"Excellent")</f>
        <v>Good</v>
      </c>
      <c r="V1050" s="5" t="s">
        <v>43</v>
      </c>
      <c r="W1050" s="5">
        <v>13</v>
      </c>
      <c r="X1050" s="28">
        <f t="shared" ca="1" si="183"/>
        <v>41363</v>
      </c>
      <c r="Y1050" s="28">
        <f t="shared" ca="1" si="184"/>
        <v>46476</v>
      </c>
      <c r="Z1050" s="28" t="str">
        <f t="shared" ca="1" si="185"/>
        <v>Due Soon</v>
      </c>
      <c r="AA1050" s="5" t="str" cm="1">
        <f t="array" ref="AA1050">_xlfn.IFS(W1050&gt;10,"Veteran",W1050&gt;=6,"Experienced",W1050&gt;=2,"Developing",W1050&gt;=0,"New")</f>
        <v>Veteran</v>
      </c>
      <c r="AB1050" s="5" t="str" cm="1">
        <f t="array" ref="AB1050">_xlfn.IFS(G1050=1,"Junior",G1050=2,"Mid-Level",G1050=3,"Senior",G1050=4,"Lead",G1050=5,"Principal")&amp;" "&amp;TRIM(PROPER(H1050))</f>
        <v>Mid-Level Sales Executive</v>
      </c>
      <c r="AC1050" s="19" t="str">
        <f t="shared" ca="1" si="186"/>
        <v>Sa-Sal-2013-1049 is a Mid-Level Sales Executive in the Sales department, aged 34, single and has been with the Company for 13years</v>
      </c>
    </row>
    <row r="1051" spans="1:29">
      <c r="A1051" s="18" t="str">
        <f t="shared" ca="1" si="176"/>
        <v>Sa-Sal-2024-1050</v>
      </c>
      <c r="B1051" s="5">
        <v>30</v>
      </c>
      <c r="C1051" s="5" t="str">
        <f t="shared" si="177"/>
        <v>30-39</v>
      </c>
      <c r="D1051" s="5" t="s">
        <v>43</v>
      </c>
      <c r="E1051" s="5" t="s">
        <v>37</v>
      </c>
      <c r="F1051" s="5" t="s">
        <v>46</v>
      </c>
      <c r="G1051" s="5">
        <v>2</v>
      </c>
      <c r="H1051" s="5" t="s">
        <v>40</v>
      </c>
      <c r="I1051" s="5" t="s">
        <v>48</v>
      </c>
      <c r="J1051" s="7">
        <v>5301</v>
      </c>
      <c r="K1051" s="7">
        <f t="shared" si="178"/>
        <v>795.15</v>
      </c>
      <c r="L1051" s="7">
        <f t="shared" si="179"/>
        <v>4505.8500000000004</v>
      </c>
      <c r="M1051" s="7">
        <v>2939</v>
      </c>
      <c r="N1051" s="5" t="s">
        <v>43</v>
      </c>
      <c r="O1051" s="5">
        <v>15</v>
      </c>
      <c r="P1051" s="7">
        <f t="shared" si="180"/>
        <v>6096.15</v>
      </c>
      <c r="Q1051" s="7">
        <f t="shared" si="181"/>
        <v>9541.7999999999956</v>
      </c>
      <c r="R1051" s="7" t="str">
        <f t="shared" si="182"/>
        <v>Normal</v>
      </c>
      <c r="S1051" s="5">
        <v>3</v>
      </c>
      <c r="T1051" s="5">
        <v>2</v>
      </c>
      <c r="U1051" s="5" t="str" cm="1">
        <f t="array" ref="U1051">_xlfn.IFS(T1051=1,"Poor",T1051=2,"Fair",T1051=3,"Good",T1051=4,"Excellent")</f>
        <v>Fair</v>
      </c>
      <c r="V1051" s="5" t="s">
        <v>43</v>
      </c>
      <c r="W1051" s="5">
        <v>2</v>
      </c>
      <c r="X1051" s="28">
        <f t="shared" ca="1" si="183"/>
        <v>45381</v>
      </c>
      <c r="Y1051" s="28">
        <f t="shared" ca="1" si="184"/>
        <v>46842</v>
      </c>
      <c r="Z1051" s="28" t="str">
        <f t="shared" ca="1" si="185"/>
        <v>Upcoming</v>
      </c>
      <c r="AA1051" s="5" t="str" cm="1">
        <f t="array" ref="AA1051">_xlfn.IFS(W1051&gt;10,"Veteran",W1051&gt;=6,"Experienced",W1051&gt;=2,"Developing",W1051&gt;=0,"New")</f>
        <v>Developing</v>
      </c>
      <c r="AB1051" s="5" t="str" cm="1">
        <f t="array" ref="AB1051">_xlfn.IFS(G1051=1,"Junior",G1051=2,"Mid-Level",G1051=3,"Senior",G1051=4,"Lead",G1051=5,"Principal")&amp;" "&amp;TRIM(PROPER(H1051))</f>
        <v>Mid-Level Sales Executive</v>
      </c>
      <c r="AC1051" s="19" t="str">
        <f t="shared" ca="1" si="186"/>
        <v>Sa-Sal-2024-1050 is a Mid-Level Sales Executive in the Sales department, aged 30, married and has been with the Company for 2years</v>
      </c>
    </row>
    <row r="1052" spans="1:29">
      <c r="A1052" s="18" t="str">
        <f t="shared" ca="1" si="176"/>
        <v>La-Res-2014-1051</v>
      </c>
      <c r="B1052" s="5">
        <v>42</v>
      </c>
      <c r="C1052" s="5" t="str">
        <f t="shared" si="177"/>
        <v>40-49</v>
      </c>
      <c r="D1052" s="5" t="s">
        <v>43</v>
      </c>
      <c r="E1052" s="5" t="s">
        <v>45</v>
      </c>
      <c r="F1052" s="5" t="s">
        <v>39</v>
      </c>
      <c r="G1052" s="5">
        <v>1</v>
      </c>
      <c r="H1052" s="5" t="s">
        <v>50</v>
      </c>
      <c r="I1052" s="5" t="s">
        <v>41</v>
      </c>
      <c r="J1052" s="7">
        <v>3673</v>
      </c>
      <c r="K1052" s="7">
        <f t="shared" si="178"/>
        <v>550.94999999999993</v>
      </c>
      <c r="L1052" s="7">
        <f t="shared" si="179"/>
        <v>3122.05</v>
      </c>
      <c r="M1052" s="7">
        <v>16458</v>
      </c>
      <c r="N1052" s="5" t="s">
        <v>43</v>
      </c>
      <c r="O1052" s="5">
        <v>13</v>
      </c>
      <c r="P1052" s="7">
        <f t="shared" si="180"/>
        <v>4150.49</v>
      </c>
      <c r="Q1052" s="7">
        <f t="shared" si="181"/>
        <v>5729.8799999999974</v>
      </c>
      <c r="R1052" s="7" t="str">
        <f t="shared" si="182"/>
        <v>Normal</v>
      </c>
      <c r="S1052" s="5">
        <v>3</v>
      </c>
      <c r="T1052" s="5">
        <v>3</v>
      </c>
      <c r="U1052" s="5" t="str" cm="1">
        <f t="array" ref="U1052">_xlfn.IFS(T1052=1,"Poor",T1052=2,"Fair",T1052=3,"Good",T1052=4,"Excellent")</f>
        <v>Good</v>
      </c>
      <c r="V1052" s="5" t="s">
        <v>43</v>
      </c>
      <c r="W1052" s="5">
        <v>12</v>
      </c>
      <c r="X1052" s="28">
        <f t="shared" ca="1" si="183"/>
        <v>41728</v>
      </c>
      <c r="Y1052" s="28">
        <f t="shared" ca="1" si="184"/>
        <v>46842</v>
      </c>
      <c r="Z1052" s="28" t="str">
        <f t="shared" ca="1" si="185"/>
        <v>Upcoming</v>
      </c>
      <c r="AA1052" s="5" t="str" cm="1">
        <f t="array" ref="AA1052">_xlfn.IFS(W1052&gt;10,"Veteran",W1052&gt;=6,"Experienced",W1052&gt;=2,"Developing",W1052&gt;=0,"New")</f>
        <v>Veteran</v>
      </c>
      <c r="AB1052" s="5" t="str" cm="1">
        <f t="array" ref="AB1052">_xlfn.IFS(G1052=1,"Junior",G1052=2,"Mid-Level",G1052=3,"Senior",G1052=4,"Lead",G1052=5,"Principal")&amp;" "&amp;TRIM(PROPER(H1052))</f>
        <v>Junior Laboratory Technician</v>
      </c>
      <c r="AC1052" s="19" t="str">
        <f t="shared" ca="1" si="186"/>
        <v>La-Res-2014-1051 is a Junior Laboratory Technician in the Research &amp; Development department, aged 42, single and has been with the Company for 12years</v>
      </c>
    </row>
    <row r="1053" spans="1:29">
      <c r="A1053" s="18" t="str">
        <f t="shared" ca="1" si="176"/>
        <v>Sa-Sal-2025-1052</v>
      </c>
      <c r="B1053" s="5">
        <v>44</v>
      </c>
      <c r="C1053" s="5" t="str">
        <f t="shared" si="177"/>
        <v>40-49</v>
      </c>
      <c r="D1053" s="5" t="s">
        <v>43</v>
      </c>
      <c r="E1053" s="5" t="s">
        <v>37</v>
      </c>
      <c r="F1053" s="5" t="s">
        <v>39</v>
      </c>
      <c r="G1053" s="5">
        <v>2</v>
      </c>
      <c r="H1053" s="5" t="s">
        <v>40</v>
      </c>
      <c r="I1053" s="5" t="s">
        <v>48</v>
      </c>
      <c r="J1053" s="7">
        <v>4768</v>
      </c>
      <c r="K1053" s="7">
        <f t="shared" si="178"/>
        <v>715.19999999999993</v>
      </c>
      <c r="L1053" s="7">
        <f t="shared" si="179"/>
        <v>4052.8</v>
      </c>
      <c r="M1053" s="7">
        <v>9282</v>
      </c>
      <c r="N1053" s="5" t="s">
        <v>43</v>
      </c>
      <c r="O1053" s="5">
        <v>12</v>
      </c>
      <c r="P1053" s="7">
        <f t="shared" si="180"/>
        <v>5340.1600000000008</v>
      </c>
      <c r="Q1053" s="7">
        <f t="shared" si="181"/>
        <v>6865.9200000000092</v>
      </c>
      <c r="R1053" s="7" t="str">
        <f t="shared" si="182"/>
        <v>Normal</v>
      </c>
      <c r="S1053" s="5">
        <v>3</v>
      </c>
      <c r="T1053" s="5">
        <v>2</v>
      </c>
      <c r="U1053" s="5" t="str" cm="1">
        <f t="array" ref="U1053">_xlfn.IFS(T1053=1,"Poor",T1053=2,"Fair",T1053=3,"Good",T1053=4,"Excellent")</f>
        <v>Fair</v>
      </c>
      <c r="V1053" s="5" t="s">
        <v>43</v>
      </c>
      <c r="W1053" s="5">
        <v>1</v>
      </c>
      <c r="X1053" s="28">
        <f t="shared" ca="1" si="183"/>
        <v>45746</v>
      </c>
      <c r="Y1053" s="28">
        <f t="shared" ca="1" si="184"/>
        <v>46476</v>
      </c>
      <c r="Z1053" s="28" t="str">
        <f t="shared" ca="1" si="185"/>
        <v>Due Soon</v>
      </c>
      <c r="AA1053" s="5" t="str" cm="1">
        <f t="array" ref="AA1053">_xlfn.IFS(W1053&gt;10,"Veteran",W1053&gt;=6,"Experienced",W1053&gt;=2,"Developing",W1053&gt;=0,"New")</f>
        <v>New</v>
      </c>
      <c r="AB1053" s="5" t="str" cm="1">
        <f t="array" ref="AB1053">_xlfn.IFS(G1053=1,"Junior",G1053=2,"Mid-Level",G1053=3,"Senior",G1053=4,"Lead",G1053=5,"Principal")&amp;" "&amp;TRIM(PROPER(H1053))</f>
        <v>Mid-Level Sales Executive</v>
      </c>
      <c r="AC1053" s="19" t="str">
        <f t="shared" ca="1" si="186"/>
        <v>Sa-Sal-2025-1052 is a Mid-Level Sales Executive in the Sales department, aged 44, married and has been with the Company for 1years</v>
      </c>
    </row>
    <row r="1054" spans="1:29">
      <c r="A1054" s="18" t="str">
        <f t="shared" ca="1" si="176"/>
        <v>Re-Res-2025-1053</v>
      </c>
      <c r="B1054" s="5">
        <v>30</v>
      </c>
      <c r="C1054" s="5" t="str">
        <f t="shared" si="177"/>
        <v>30-39</v>
      </c>
      <c r="D1054" s="5" t="s">
        <v>43</v>
      </c>
      <c r="E1054" s="5" t="s">
        <v>45</v>
      </c>
      <c r="F1054" s="5" t="s">
        <v>46</v>
      </c>
      <c r="G1054" s="5">
        <v>1</v>
      </c>
      <c r="H1054" s="5" t="s">
        <v>47</v>
      </c>
      <c r="I1054" s="5" t="s">
        <v>52</v>
      </c>
      <c r="J1054" s="7">
        <v>1274</v>
      </c>
      <c r="K1054" s="7">
        <f t="shared" si="178"/>
        <v>89.18</v>
      </c>
      <c r="L1054" s="7">
        <f t="shared" si="179"/>
        <v>1184.82</v>
      </c>
      <c r="M1054" s="7">
        <v>7152</v>
      </c>
      <c r="N1054" s="5" t="s">
        <v>43</v>
      </c>
      <c r="O1054" s="5">
        <v>13</v>
      </c>
      <c r="P1054" s="7">
        <f t="shared" si="180"/>
        <v>1439.62</v>
      </c>
      <c r="Q1054" s="7">
        <f t="shared" si="181"/>
        <v>1987.4399999999987</v>
      </c>
      <c r="R1054" s="7" t="str">
        <f t="shared" si="182"/>
        <v>Normal</v>
      </c>
      <c r="S1054" s="5">
        <v>3</v>
      </c>
      <c r="T1054" s="5">
        <v>2</v>
      </c>
      <c r="U1054" s="5" t="str" cm="1">
        <f t="array" ref="U1054">_xlfn.IFS(T1054=1,"Poor",T1054=2,"Fair",T1054=3,"Good",T1054=4,"Excellent")</f>
        <v>Fair</v>
      </c>
      <c r="V1054" s="5" t="s">
        <v>43</v>
      </c>
      <c r="W1054" s="5">
        <v>1</v>
      </c>
      <c r="X1054" s="28">
        <f t="shared" ca="1" si="183"/>
        <v>45746</v>
      </c>
      <c r="Y1054" s="28">
        <f t="shared" ca="1" si="184"/>
        <v>46476</v>
      </c>
      <c r="Z1054" s="28" t="str">
        <f t="shared" ca="1" si="185"/>
        <v>Due Soon</v>
      </c>
      <c r="AA1054" s="5" t="str" cm="1">
        <f t="array" ref="AA1054">_xlfn.IFS(W1054&gt;10,"Veteran",W1054&gt;=6,"Experienced",W1054&gt;=2,"Developing",W1054&gt;=0,"New")</f>
        <v>New</v>
      </c>
      <c r="AB1054" s="5" t="str" cm="1">
        <f t="array" ref="AB1054">_xlfn.IFS(G1054=1,"Junior",G1054=2,"Mid-Level",G1054=3,"Senior",G1054=4,"Lead",G1054=5,"Principal")&amp;" "&amp;TRIM(PROPER(H1054))</f>
        <v>Junior Research Scientist</v>
      </c>
      <c r="AC1054" s="19" t="str">
        <f t="shared" ca="1" si="186"/>
        <v>Re-Res-2025-1053 is a Junior Research Scientist in the Research &amp; Development department, aged 30, divorced and has been with the Company for 1years</v>
      </c>
    </row>
    <row r="1055" spans="1:29">
      <c r="A1055" s="18" t="str">
        <f t="shared" ca="1" si="176"/>
        <v>Re-Res-2014-1054</v>
      </c>
      <c r="B1055" s="5">
        <v>57</v>
      </c>
      <c r="C1055" s="5" t="str">
        <f t="shared" si="177"/>
        <v>50+</v>
      </c>
      <c r="D1055" s="5" t="s">
        <v>43</v>
      </c>
      <c r="E1055" s="5" t="s">
        <v>45</v>
      </c>
      <c r="F1055" s="5" t="s">
        <v>46</v>
      </c>
      <c r="G1055" s="5">
        <v>2</v>
      </c>
      <c r="H1055" s="5" t="s">
        <v>47</v>
      </c>
      <c r="I1055" s="5" t="s">
        <v>48</v>
      </c>
      <c r="J1055" s="7">
        <v>4900</v>
      </c>
      <c r="K1055" s="7">
        <f t="shared" si="178"/>
        <v>735</v>
      </c>
      <c r="L1055" s="7">
        <f t="shared" si="179"/>
        <v>4165</v>
      </c>
      <c r="M1055" s="7">
        <v>2721</v>
      </c>
      <c r="N1055" s="5" t="s">
        <v>43</v>
      </c>
      <c r="O1055" s="5">
        <v>24</v>
      </c>
      <c r="P1055" s="7">
        <f t="shared" si="180"/>
        <v>6076</v>
      </c>
      <c r="Q1055" s="7">
        <f t="shared" si="181"/>
        <v>14112</v>
      </c>
      <c r="R1055" s="7" t="str">
        <f t="shared" si="182"/>
        <v>Normal</v>
      </c>
      <c r="S1055" s="5">
        <v>4</v>
      </c>
      <c r="T1055" s="5">
        <v>2</v>
      </c>
      <c r="U1055" s="5" t="str" cm="1">
        <f t="array" ref="U1055">_xlfn.IFS(T1055=1,"Poor",T1055=2,"Fair",T1055=3,"Good",T1055=4,"Excellent")</f>
        <v>Fair</v>
      </c>
      <c r="V1055" s="5" t="s">
        <v>43</v>
      </c>
      <c r="W1055" s="5">
        <v>12</v>
      </c>
      <c r="X1055" s="28">
        <f t="shared" ca="1" si="183"/>
        <v>41728</v>
      </c>
      <c r="Y1055" s="28">
        <f t="shared" ca="1" si="184"/>
        <v>46842</v>
      </c>
      <c r="Z1055" s="28" t="str">
        <f t="shared" ca="1" si="185"/>
        <v>Upcoming</v>
      </c>
      <c r="AA1055" s="5" t="str" cm="1">
        <f t="array" ref="AA1055">_xlfn.IFS(W1055&gt;10,"Veteran",W1055&gt;=6,"Experienced",W1055&gt;=2,"Developing",W1055&gt;=0,"New")</f>
        <v>Veteran</v>
      </c>
      <c r="AB1055" s="5" t="str" cm="1">
        <f t="array" ref="AB1055">_xlfn.IFS(G1055=1,"Junior",G1055=2,"Mid-Level",G1055=3,"Senior",G1055=4,"Lead",G1055=5,"Principal")&amp;" "&amp;TRIM(PROPER(H1055))</f>
        <v>Mid-Level Research Scientist</v>
      </c>
      <c r="AC1055" s="19" t="str">
        <f t="shared" ca="1" si="186"/>
        <v>Re-Res-2014-1054 is a Mid-Level Research Scientist in the Research &amp; Development department, aged 57, married and has been with the Company for 12years</v>
      </c>
    </row>
    <row r="1056" spans="1:29">
      <c r="A1056" s="18" t="str">
        <f t="shared" ca="1" si="176"/>
        <v>He-Res-2018-1055</v>
      </c>
      <c r="B1056" s="5">
        <v>49</v>
      </c>
      <c r="C1056" s="5" t="str">
        <f t="shared" si="177"/>
        <v>40-49</v>
      </c>
      <c r="D1056" s="5" t="s">
        <v>43</v>
      </c>
      <c r="E1056" s="5" t="s">
        <v>45</v>
      </c>
      <c r="F1056" s="5" t="s">
        <v>46</v>
      </c>
      <c r="G1056" s="5">
        <v>3</v>
      </c>
      <c r="H1056" s="5" t="s">
        <v>54</v>
      </c>
      <c r="I1056" s="5" t="s">
        <v>52</v>
      </c>
      <c r="J1056" s="7">
        <v>10466</v>
      </c>
      <c r="K1056" s="7">
        <f t="shared" si="178"/>
        <v>2302.52</v>
      </c>
      <c r="L1056" s="7">
        <f t="shared" si="179"/>
        <v>8163.48</v>
      </c>
      <c r="M1056" s="7">
        <v>20948</v>
      </c>
      <c r="N1056" s="5" t="s">
        <v>43</v>
      </c>
      <c r="O1056" s="5">
        <v>14</v>
      </c>
      <c r="P1056" s="7">
        <f t="shared" si="180"/>
        <v>11931.240000000002</v>
      </c>
      <c r="Q1056" s="7">
        <f t="shared" si="181"/>
        <v>17582.880000000019</v>
      </c>
      <c r="R1056" s="7" t="str">
        <f t="shared" si="182"/>
        <v>Normal</v>
      </c>
      <c r="S1056" s="5">
        <v>3</v>
      </c>
      <c r="T1056" s="5">
        <v>3</v>
      </c>
      <c r="U1056" s="5" t="str" cm="1">
        <f t="array" ref="U1056">_xlfn.IFS(T1056=1,"Poor",T1056=2,"Fair",T1056=3,"Good",T1056=4,"Excellent")</f>
        <v>Good</v>
      </c>
      <c r="V1056" s="5" t="s">
        <v>43</v>
      </c>
      <c r="W1056" s="5">
        <v>8</v>
      </c>
      <c r="X1056" s="28">
        <f t="shared" ca="1" si="183"/>
        <v>43189</v>
      </c>
      <c r="Y1056" s="28">
        <f t="shared" ca="1" si="184"/>
        <v>46842</v>
      </c>
      <c r="Z1056" s="28" t="str">
        <f t="shared" ca="1" si="185"/>
        <v>Upcoming</v>
      </c>
      <c r="AA1056" s="5" t="str" cm="1">
        <f t="array" ref="AA1056">_xlfn.IFS(W1056&gt;10,"Veteran",W1056&gt;=6,"Experienced",W1056&gt;=2,"Developing",W1056&gt;=0,"New")</f>
        <v>Experienced</v>
      </c>
      <c r="AB1056" s="5" t="str" cm="1">
        <f t="array" ref="AB1056">_xlfn.IFS(G1056=1,"Junior",G1056=2,"Mid-Level",G1056=3,"Senior",G1056=4,"Lead",G1056=5,"Principal")&amp;" "&amp;TRIM(PROPER(H1056))</f>
        <v>Senior Healthcare Representative</v>
      </c>
      <c r="AC1056" s="19" t="str">
        <f t="shared" ca="1" si="186"/>
        <v>He-Res-2018-1055 is a Senior Healthcare Representative in the Research &amp; Development department, aged 49, divorced and has been with the Company for 8years</v>
      </c>
    </row>
    <row r="1057" spans="1:29">
      <c r="A1057" s="18" t="str">
        <f t="shared" ca="1" si="176"/>
        <v>Re-Res-2012-1056</v>
      </c>
      <c r="B1057" s="5">
        <v>34</v>
      </c>
      <c r="C1057" s="5" t="str">
        <f t="shared" si="177"/>
        <v>30-39</v>
      </c>
      <c r="D1057" s="5" t="s">
        <v>43</v>
      </c>
      <c r="E1057" s="5" t="s">
        <v>45</v>
      </c>
      <c r="F1057" s="5" t="s">
        <v>46</v>
      </c>
      <c r="G1057" s="5">
        <v>4</v>
      </c>
      <c r="H1057" s="5" t="s">
        <v>58</v>
      </c>
      <c r="I1057" s="5" t="s">
        <v>52</v>
      </c>
      <c r="J1057" s="7">
        <v>17007</v>
      </c>
      <c r="K1057" s="7">
        <f t="shared" si="178"/>
        <v>5102.0999999999995</v>
      </c>
      <c r="L1057" s="7">
        <f t="shared" si="179"/>
        <v>11904.900000000001</v>
      </c>
      <c r="M1057" s="7">
        <v>11929</v>
      </c>
      <c r="N1057" s="5" t="s">
        <v>43</v>
      </c>
      <c r="O1057" s="5">
        <v>14</v>
      </c>
      <c r="P1057" s="7">
        <f t="shared" si="180"/>
        <v>19387.980000000003</v>
      </c>
      <c r="Q1057" s="7">
        <f t="shared" si="181"/>
        <v>28571.760000000038</v>
      </c>
      <c r="R1057" s="7" t="str">
        <f t="shared" si="182"/>
        <v>Normal</v>
      </c>
      <c r="S1057" s="5">
        <v>3</v>
      </c>
      <c r="T1057" s="5">
        <v>2</v>
      </c>
      <c r="U1057" s="5" t="str" cm="1">
        <f t="array" ref="U1057">_xlfn.IFS(T1057=1,"Poor",T1057=2,"Fair",T1057=3,"Good",T1057=4,"Excellent")</f>
        <v>Fair</v>
      </c>
      <c r="V1057" s="5" t="s">
        <v>43</v>
      </c>
      <c r="W1057" s="5">
        <v>14</v>
      </c>
      <c r="X1057" s="28">
        <f t="shared" ca="1" si="183"/>
        <v>40998</v>
      </c>
      <c r="Y1057" s="28">
        <f t="shared" ca="1" si="184"/>
        <v>46842</v>
      </c>
      <c r="Z1057" s="28" t="str">
        <f t="shared" ca="1" si="185"/>
        <v>Upcoming</v>
      </c>
      <c r="AA1057" s="5" t="str" cm="1">
        <f t="array" ref="AA1057">_xlfn.IFS(W1057&gt;10,"Veteran",W1057&gt;=6,"Experienced",W1057&gt;=2,"Developing",W1057&gt;=0,"New")</f>
        <v>Veteran</v>
      </c>
      <c r="AB1057" s="5" t="str" cm="1">
        <f t="array" ref="AB1057">_xlfn.IFS(G1057=1,"Junior",G1057=2,"Mid-Level",G1057=3,"Senior",G1057=4,"Lead",G1057=5,"Principal")&amp;" "&amp;TRIM(PROPER(H1057))</f>
        <v>Lead Research Director</v>
      </c>
      <c r="AC1057" s="19" t="str">
        <f t="shared" ca="1" si="186"/>
        <v>Re-Res-2012-1056 is a Lead Research Director in the Research &amp; Development department, aged 34, divorced and has been with the Company for 14years</v>
      </c>
    </row>
    <row r="1058" spans="1:29">
      <c r="A1058" s="18" t="str">
        <f t="shared" ca="1" si="176"/>
        <v>Sa-Sal-2023-1057</v>
      </c>
      <c r="B1058" s="5">
        <v>28</v>
      </c>
      <c r="C1058" s="5" t="str">
        <f t="shared" si="177"/>
        <v>20-29</v>
      </c>
      <c r="D1058" s="5" t="s">
        <v>35</v>
      </c>
      <c r="E1058" s="5" t="s">
        <v>37</v>
      </c>
      <c r="F1058" s="5" t="s">
        <v>46</v>
      </c>
      <c r="G1058" s="5">
        <v>1</v>
      </c>
      <c r="H1058" s="5" t="s">
        <v>57</v>
      </c>
      <c r="I1058" s="5" t="s">
        <v>48</v>
      </c>
      <c r="J1058" s="7">
        <v>2909</v>
      </c>
      <c r="K1058" s="7">
        <f t="shared" si="178"/>
        <v>203.63000000000002</v>
      </c>
      <c r="L1058" s="7">
        <f t="shared" si="179"/>
        <v>2705.37</v>
      </c>
      <c r="M1058" s="7">
        <v>15747</v>
      </c>
      <c r="N1058" s="5" t="s">
        <v>43</v>
      </c>
      <c r="O1058" s="5">
        <v>15</v>
      </c>
      <c r="P1058" s="7">
        <f t="shared" si="180"/>
        <v>3345.35</v>
      </c>
      <c r="Q1058" s="7">
        <f t="shared" si="181"/>
        <v>5236.1999999999989</v>
      </c>
      <c r="R1058" s="7" t="str">
        <f t="shared" si="182"/>
        <v>Normal</v>
      </c>
      <c r="S1058" s="5">
        <v>3</v>
      </c>
      <c r="T1058" s="5">
        <v>4</v>
      </c>
      <c r="U1058" s="5" t="str" cm="1">
        <f t="array" ref="U1058">_xlfn.IFS(T1058=1,"Poor",T1058=2,"Fair",T1058=3,"Good",T1058=4,"Excellent")</f>
        <v>Excellent</v>
      </c>
      <c r="V1058" s="5" t="s">
        <v>43</v>
      </c>
      <c r="W1058" s="5">
        <v>3</v>
      </c>
      <c r="X1058" s="28">
        <f t="shared" ca="1" si="183"/>
        <v>45015</v>
      </c>
      <c r="Y1058" s="28">
        <f t="shared" ca="1" si="184"/>
        <v>46476</v>
      </c>
      <c r="Z1058" s="28" t="str">
        <f t="shared" ca="1" si="185"/>
        <v>Due Soon</v>
      </c>
      <c r="AA1058" s="5" t="str" cm="1">
        <f t="array" ref="AA1058">_xlfn.IFS(W1058&gt;10,"Veteran",W1058&gt;=6,"Experienced",W1058&gt;=2,"Developing",W1058&gt;=0,"New")</f>
        <v>Developing</v>
      </c>
      <c r="AB1058" s="5" t="str" cm="1">
        <f t="array" ref="AB1058">_xlfn.IFS(G1058=1,"Junior",G1058=2,"Mid-Level",G1058=3,"Senior",G1058=4,"Lead",G1058=5,"Principal")&amp;" "&amp;TRIM(PROPER(H1058))</f>
        <v>Junior Sales Representative</v>
      </c>
      <c r="AC1058" s="19" t="str">
        <f t="shared" ca="1" si="186"/>
        <v>Sa-Sal-2023-1057 is a Junior Sales Representative in the Sales department, aged 28, married and has been with the Company for 3years</v>
      </c>
    </row>
    <row r="1059" spans="1:29">
      <c r="A1059" s="18" t="str">
        <f t="shared" ca="1" si="176"/>
        <v>Sa-Sal-2021-1058</v>
      </c>
      <c r="B1059" s="5">
        <v>29</v>
      </c>
      <c r="C1059" s="5" t="str">
        <f t="shared" si="177"/>
        <v>20-29</v>
      </c>
      <c r="D1059" s="5" t="s">
        <v>35</v>
      </c>
      <c r="E1059" s="5" t="s">
        <v>37</v>
      </c>
      <c r="F1059" s="5" t="s">
        <v>39</v>
      </c>
      <c r="G1059" s="5">
        <v>2</v>
      </c>
      <c r="H1059" s="5" t="s">
        <v>40</v>
      </c>
      <c r="I1059" s="5" t="s">
        <v>41</v>
      </c>
      <c r="J1059" s="7">
        <v>5765</v>
      </c>
      <c r="K1059" s="7">
        <f t="shared" si="178"/>
        <v>864.75</v>
      </c>
      <c r="L1059" s="7">
        <f t="shared" si="179"/>
        <v>4900.25</v>
      </c>
      <c r="M1059" s="7">
        <v>17485</v>
      </c>
      <c r="N1059" s="5" t="s">
        <v>43</v>
      </c>
      <c r="O1059" s="5">
        <v>11</v>
      </c>
      <c r="P1059" s="7">
        <f t="shared" si="180"/>
        <v>6399.1500000000005</v>
      </c>
      <c r="Q1059" s="7">
        <f t="shared" si="181"/>
        <v>7609.8000000000065</v>
      </c>
      <c r="R1059" s="7" t="str">
        <f t="shared" si="182"/>
        <v>Normal</v>
      </c>
      <c r="S1059" s="5">
        <v>3</v>
      </c>
      <c r="T1059" s="5">
        <v>1</v>
      </c>
      <c r="U1059" s="5" t="str" cm="1">
        <f t="array" ref="U1059">_xlfn.IFS(T1059=1,"Poor",T1059=2,"Fair",T1059=3,"Good",T1059=4,"Excellent")</f>
        <v>Poor</v>
      </c>
      <c r="V1059" s="5" t="s">
        <v>43</v>
      </c>
      <c r="W1059" s="5">
        <v>5</v>
      </c>
      <c r="X1059" s="28">
        <f t="shared" ca="1" si="183"/>
        <v>44285</v>
      </c>
      <c r="Y1059" s="28">
        <f t="shared" ca="1" si="184"/>
        <v>46476</v>
      </c>
      <c r="Z1059" s="28" t="str">
        <f t="shared" ca="1" si="185"/>
        <v>Due Soon</v>
      </c>
      <c r="AA1059" s="5" t="str" cm="1">
        <f t="array" ref="AA1059">_xlfn.IFS(W1059&gt;10,"Veteran",W1059&gt;=6,"Experienced",W1059&gt;=2,"Developing",W1059&gt;=0,"New")</f>
        <v>Developing</v>
      </c>
      <c r="AB1059" s="5" t="str" cm="1">
        <f t="array" ref="AB1059">_xlfn.IFS(G1059=1,"Junior",G1059=2,"Mid-Level",G1059=3,"Senior",G1059=4,"Lead",G1059=5,"Principal")&amp;" "&amp;TRIM(PROPER(H1059))</f>
        <v>Mid-Level Sales Executive</v>
      </c>
      <c r="AC1059" s="19" t="str">
        <f t="shared" ca="1" si="186"/>
        <v>Sa-Sal-2021-1058 is a Mid-Level Sales Executive in the Sales department, aged 29, single and has been with the Company for 5years</v>
      </c>
    </row>
    <row r="1060" spans="1:29">
      <c r="A1060" s="18" t="str">
        <f t="shared" ca="1" si="176"/>
        <v>Sa-Sal-2011-1059</v>
      </c>
      <c r="B1060" s="5">
        <v>34</v>
      </c>
      <c r="C1060" s="5" t="str">
        <f t="shared" si="177"/>
        <v>30-39</v>
      </c>
      <c r="D1060" s="5" t="s">
        <v>35</v>
      </c>
      <c r="E1060" s="5" t="s">
        <v>37</v>
      </c>
      <c r="F1060" s="5" t="s">
        <v>39</v>
      </c>
      <c r="G1060" s="5">
        <v>2</v>
      </c>
      <c r="H1060" s="5" t="s">
        <v>40</v>
      </c>
      <c r="I1060" s="5" t="s">
        <v>41</v>
      </c>
      <c r="J1060" s="7">
        <v>4599</v>
      </c>
      <c r="K1060" s="7">
        <f t="shared" si="178"/>
        <v>689.85</v>
      </c>
      <c r="L1060" s="7">
        <f t="shared" si="179"/>
        <v>3909.15</v>
      </c>
      <c r="M1060" s="7">
        <v>7815</v>
      </c>
      <c r="N1060" s="5" t="s">
        <v>35</v>
      </c>
      <c r="O1060" s="5">
        <v>23</v>
      </c>
      <c r="P1060" s="7">
        <f t="shared" si="180"/>
        <v>5656.7699999999995</v>
      </c>
      <c r="Q1060" s="7">
        <f t="shared" si="181"/>
        <v>12693.239999999994</v>
      </c>
      <c r="R1060" s="7" t="str">
        <f t="shared" si="182"/>
        <v>Normal</v>
      </c>
      <c r="S1060" s="5">
        <v>4</v>
      </c>
      <c r="T1060" s="5">
        <v>4</v>
      </c>
      <c r="U1060" s="5" t="str" cm="1">
        <f t="array" ref="U1060">_xlfn.IFS(T1060=1,"Poor",T1060=2,"Fair",T1060=3,"Good",T1060=4,"Excellent")</f>
        <v>Excellent</v>
      </c>
      <c r="V1060" s="5" t="s">
        <v>35</v>
      </c>
      <c r="W1060" s="5">
        <v>15</v>
      </c>
      <c r="X1060" s="28">
        <f t="shared" ca="1" si="183"/>
        <v>40632</v>
      </c>
      <c r="Y1060" s="28">
        <f t="shared" ca="1" si="184"/>
        <v>46476</v>
      </c>
      <c r="Z1060" s="28" t="str">
        <f t="shared" ca="1" si="185"/>
        <v>Due Soon</v>
      </c>
      <c r="AA1060" s="5" t="str" cm="1">
        <f t="array" ref="AA1060">_xlfn.IFS(W1060&gt;10,"Veteran",W1060&gt;=6,"Experienced",W1060&gt;=2,"Developing",W1060&gt;=0,"New")</f>
        <v>Veteran</v>
      </c>
      <c r="AB1060" s="5" t="str" cm="1">
        <f t="array" ref="AB1060">_xlfn.IFS(G1060=1,"Junior",G1060=2,"Mid-Level",G1060=3,"Senior",G1060=4,"Lead",G1060=5,"Principal")&amp;" "&amp;TRIM(PROPER(H1060))</f>
        <v>Mid-Level Sales Executive</v>
      </c>
      <c r="AC1060" s="19" t="str">
        <f t="shared" ca="1" si="186"/>
        <v>Sa-Sal-2011-1059 is a Mid-Level Sales Executive in the Sales department, aged 34, single and has been with the Company for 15years</v>
      </c>
    </row>
    <row r="1061" spans="1:29">
      <c r="A1061" s="18" t="str">
        <f t="shared" ca="1" si="176"/>
        <v>Sa-Sal-2025-1060</v>
      </c>
      <c r="B1061" s="5">
        <v>35</v>
      </c>
      <c r="C1061" s="5" t="str">
        <f t="shared" si="177"/>
        <v>30-39</v>
      </c>
      <c r="D1061" s="5" t="s">
        <v>43</v>
      </c>
      <c r="E1061" s="5" t="s">
        <v>37</v>
      </c>
      <c r="F1061" s="5" t="s">
        <v>46</v>
      </c>
      <c r="G1061" s="5">
        <v>1</v>
      </c>
      <c r="H1061" s="5" t="s">
        <v>57</v>
      </c>
      <c r="I1061" s="5" t="s">
        <v>48</v>
      </c>
      <c r="J1061" s="7">
        <v>2404</v>
      </c>
      <c r="K1061" s="7">
        <f t="shared" si="178"/>
        <v>168.28000000000003</v>
      </c>
      <c r="L1061" s="7">
        <f t="shared" si="179"/>
        <v>2235.7199999999998</v>
      </c>
      <c r="M1061" s="7">
        <v>16192</v>
      </c>
      <c r="N1061" s="5" t="s">
        <v>43</v>
      </c>
      <c r="O1061" s="5">
        <v>13</v>
      </c>
      <c r="P1061" s="7">
        <f t="shared" si="180"/>
        <v>2716.5199999999995</v>
      </c>
      <c r="Q1061" s="7">
        <f t="shared" si="181"/>
        <v>3750.2399999999943</v>
      </c>
      <c r="R1061" s="7" t="str">
        <f t="shared" si="182"/>
        <v>Normal</v>
      </c>
      <c r="S1061" s="5">
        <v>3</v>
      </c>
      <c r="T1061" s="5">
        <v>3</v>
      </c>
      <c r="U1061" s="5" t="str" cm="1">
        <f t="array" ref="U1061">_xlfn.IFS(T1061=1,"Poor",T1061=2,"Fair",T1061=3,"Good",T1061=4,"Excellent")</f>
        <v>Good</v>
      </c>
      <c r="V1061" s="5" t="s">
        <v>43</v>
      </c>
      <c r="W1061" s="5">
        <v>1</v>
      </c>
      <c r="X1061" s="28">
        <f t="shared" ca="1" si="183"/>
        <v>45746</v>
      </c>
      <c r="Y1061" s="28">
        <f t="shared" ca="1" si="184"/>
        <v>46476</v>
      </c>
      <c r="Z1061" s="28" t="str">
        <f t="shared" ca="1" si="185"/>
        <v>Due Soon</v>
      </c>
      <c r="AA1061" s="5" t="str" cm="1">
        <f t="array" ref="AA1061">_xlfn.IFS(W1061&gt;10,"Veteran",W1061&gt;=6,"Experienced",W1061&gt;=2,"Developing",W1061&gt;=0,"New")</f>
        <v>New</v>
      </c>
      <c r="AB1061" s="5" t="str" cm="1">
        <f t="array" ref="AB1061">_xlfn.IFS(G1061=1,"Junior",G1061=2,"Mid-Level",G1061=3,"Senior",G1061=4,"Lead",G1061=5,"Principal")&amp;" "&amp;TRIM(PROPER(H1061))</f>
        <v>Junior Sales Representative</v>
      </c>
      <c r="AC1061" s="19" t="str">
        <f t="shared" ca="1" si="186"/>
        <v>Sa-Sal-2025-1060 is a Junior Sales Representative in the Sales department, aged 35, married and has been with the Company for 1years</v>
      </c>
    </row>
    <row r="1062" spans="1:29">
      <c r="A1062" s="18" t="str">
        <f t="shared" ca="1" si="176"/>
        <v>La-Res-2026-1061</v>
      </c>
      <c r="B1062" s="5">
        <v>24</v>
      </c>
      <c r="C1062" s="5" t="str">
        <f t="shared" si="177"/>
        <v>20-29</v>
      </c>
      <c r="D1062" s="5" t="s">
        <v>35</v>
      </c>
      <c r="E1062" s="5" t="s">
        <v>45</v>
      </c>
      <c r="F1062" s="5" t="s">
        <v>46</v>
      </c>
      <c r="G1062" s="5">
        <v>1</v>
      </c>
      <c r="H1062" s="5" t="s">
        <v>50</v>
      </c>
      <c r="I1062" s="5" t="s">
        <v>41</v>
      </c>
      <c r="J1062" s="7">
        <v>3172</v>
      </c>
      <c r="K1062" s="7">
        <f t="shared" si="178"/>
        <v>475.79999999999995</v>
      </c>
      <c r="L1062" s="7">
        <f t="shared" si="179"/>
        <v>2696.2</v>
      </c>
      <c r="M1062" s="7">
        <v>16998</v>
      </c>
      <c r="N1062" s="5" t="s">
        <v>35</v>
      </c>
      <c r="O1062" s="5">
        <v>11</v>
      </c>
      <c r="P1062" s="7">
        <f t="shared" si="180"/>
        <v>3520.9200000000005</v>
      </c>
      <c r="Q1062" s="7">
        <f t="shared" si="181"/>
        <v>4187.0400000000063</v>
      </c>
      <c r="R1062" s="7" t="str">
        <f t="shared" si="182"/>
        <v>Normal</v>
      </c>
      <c r="S1062" s="5">
        <v>3</v>
      </c>
      <c r="T1062" s="5">
        <v>2</v>
      </c>
      <c r="U1062" s="5" t="str" cm="1">
        <f t="array" ref="U1062">_xlfn.IFS(T1062=1,"Poor",T1062=2,"Fair",T1062=3,"Good",T1062=4,"Excellent")</f>
        <v>Fair</v>
      </c>
      <c r="V1062" s="5" t="s">
        <v>35</v>
      </c>
      <c r="W1062" s="5">
        <v>0</v>
      </c>
      <c r="X1062" s="28">
        <f t="shared" ca="1" si="183"/>
        <v>46111</v>
      </c>
      <c r="Y1062" s="28">
        <f t="shared" ca="1" si="184"/>
        <v>46842</v>
      </c>
      <c r="Z1062" s="28" t="str">
        <f t="shared" ca="1" si="185"/>
        <v>Upcoming</v>
      </c>
      <c r="AA1062" s="5" t="str" cm="1">
        <f t="array" ref="AA1062">_xlfn.IFS(W1062&gt;10,"Veteran",W1062&gt;=6,"Experienced",W1062&gt;=2,"Developing",W1062&gt;=0,"New")</f>
        <v>New</v>
      </c>
      <c r="AB1062" s="5" t="str" cm="1">
        <f t="array" ref="AB1062">_xlfn.IFS(G1062=1,"Junior",G1062=2,"Mid-Level",G1062=3,"Senior",G1062=4,"Lead",G1062=5,"Principal")&amp;" "&amp;TRIM(PROPER(H1062))</f>
        <v>Junior Laboratory Technician</v>
      </c>
      <c r="AC1062" s="19" t="str">
        <f t="shared" ca="1" si="186"/>
        <v>La-Res-2026-1061 is a Junior Laboratory Technician in the Research &amp; Development department, aged 24, single and has been with the Company for 0years</v>
      </c>
    </row>
    <row r="1063" spans="1:29">
      <c r="A1063" s="18" t="str">
        <f t="shared" ca="1" si="176"/>
        <v>Sa-Sal-2025-1062</v>
      </c>
      <c r="B1063" s="5">
        <v>24</v>
      </c>
      <c r="C1063" s="5" t="str">
        <f t="shared" si="177"/>
        <v>20-29</v>
      </c>
      <c r="D1063" s="5" t="s">
        <v>43</v>
      </c>
      <c r="E1063" s="5" t="s">
        <v>37</v>
      </c>
      <c r="F1063" s="5" t="s">
        <v>39</v>
      </c>
      <c r="G1063" s="5">
        <v>1</v>
      </c>
      <c r="H1063" s="5" t="s">
        <v>57</v>
      </c>
      <c r="I1063" s="5" t="s">
        <v>48</v>
      </c>
      <c r="J1063" s="7">
        <v>2033</v>
      </c>
      <c r="K1063" s="7">
        <f t="shared" si="178"/>
        <v>142.31</v>
      </c>
      <c r="L1063" s="7">
        <f t="shared" si="179"/>
        <v>1890.69</v>
      </c>
      <c r="M1063" s="7">
        <v>7103</v>
      </c>
      <c r="N1063" s="5" t="s">
        <v>43</v>
      </c>
      <c r="O1063" s="5">
        <v>13</v>
      </c>
      <c r="P1063" s="7">
        <f t="shared" si="180"/>
        <v>2297.29</v>
      </c>
      <c r="Q1063" s="7">
        <f t="shared" si="181"/>
        <v>3171.4799999999996</v>
      </c>
      <c r="R1063" s="7" t="str">
        <f t="shared" si="182"/>
        <v>Normal</v>
      </c>
      <c r="S1063" s="5">
        <v>3</v>
      </c>
      <c r="T1063" s="5">
        <v>3</v>
      </c>
      <c r="U1063" s="5" t="str" cm="1">
        <f t="array" ref="U1063">_xlfn.IFS(T1063=1,"Poor",T1063=2,"Fair",T1063=3,"Good",T1063=4,"Excellent")</f>
        <v>Good</v>
      </c>
      <c r="V1063" s="5" t="s">
        <v>43</v>
      </c>
      <c r="W1063" s="5">
        <v>1</v>
      </c>
      <c r="X1063" s="28">
        <f t="shared" ca="1" si="183"/>
        <v>45746</v>
      </c>
      <c r="Y1063" s="28">
        <f t="shared" ca="1" si="184"/>
        <v>46476</v>
      </c>
      <c r="Z1063" s="28" t="str">
        <f t="shared" ca="1" si="185"/>
        <v>Due Soon</v>
      </c>
      <c r="AA1063" s="5" t="str" cm="1">
        <f t="array" ref="AA1063">_xlfn.IFS(W1063&gt;10,"Veteran",W1063&gt;=6,"Experienced",W1063&gt;=2,"Developing",W1063&gt;=0,"New")</f>
        <v>New</v>
      </c>
      <c r="AB1063" s="5" t="str" cm="1">
        <f t="array" ref="AB1063">_xlfn.IFS(G1063=1,"Junior",G1063=2,"Mid-Level",G1063=3,"Senior",G1063=4,"Lead",G1063=5,"Principal")&amp;" "&amp;TRIM(PROPER(H1063))</f>
        <v>Junior Sales Representative</v>
      </c>
      <c r="AC1063" s="19" t="str">
        <f t="shared" ca="1" si="186"/>
        <v>Sa-Sal-2025-1062 is a Junior Sales Representative in the Sales department, aged 24, married and has been with the Company for 1years</v>
      </c>
    </row>
    <row r="1064" spans="1:29">
      <c r="A1064" s="18" t="str">
        <f t="shared" ca="1" si="176"/>
        <v>Ma-Res-2024-1063</v>
      </c>
      <c r="B1064" s="5">
        <v>44</v>
      </c>
      <c r="C1064" s="5" t="str">
        <f t="shared" si="177"/>
        <v>40-49</v>
      </c>
      <c r="D1064" s="5" t="s">
        <v>43</v>
      </c>
      <c r="E1064" s="5" t="s">
        <v>45</v>
      </c>
      <c r="F1064" s="5" t="s">
        <v>46</v>
      </c>
      <c r="G1064" s="5">
        <v>3</v>
      </c>
      <c r="H1064" s="5" t="s">
        <v>53</v>
      </c>
      <c r="I1064" s="5" t="s">
        <v>41</v>
      </c>
      <c r="J1064" s="7">
        <v>10209</v>
      </c>
      <c r="K1064" s="7">
        <f t="shared" si="178"/>
        <v>2245.98</v>
      </c>
      <c r="L1064" s="7">
        <f t="shared" si="179"/>
        <v>7963.02</v>
      </c>
      <c r="M1064" s="7">
        <v>19719</v>
      </c>
      <c r="N1064" s="5" t="s">
        <v>35</v>
      </c>
      <c r="O1064" s="5">
        <v>18</v>
      </c>
      <c r="P1064" s="7">
        <f t="shared" si="180"/>
        <v>12046.619999999999</v>
      </c>
      <c r="Q1064" s="7">
        <f t="shared" si="181"/>
        <v>22051.439999999988</v>
      </c>
      <c r="R1064" s="7" t="str">
        <f t="shared" si="182"/>
        <v>Normal</v>
      </c>
      <c r="S1064" s="5">
        <v>3</v>
      </c>
      <c r="T1064" s="5">
        <v>2</v>
      </c>
      <c r="U1064" s="5" t="str" cm="1">
        <f t="array" ref="U1064">_xlfn.IFS(T1064=1,"Poor",T1064=2,"Fair",T1064=3,"Good",T1064=4,"Excellent")</f>
        <v>Fair</v>
      </c>
      <c r="V1064" s="5" t="s">
        <v>35</v>
      </c>
      <c r="W1064" s="5">
        <v>2</v>
      </c>
      <c r="X1064" s="28">
        <f t="shared" ca="1" si="183"/>
        <v>45381</v>
      </c>
      <c r="Y1064" s="28">
        <f t="shared" ca="1" si="184"/>
        <v>46842</v>
      </c>
      <c r="Z1064" s="28" t="str">
        <f t="shared" ca="1" si="185"/>
        <v>Upcoming</v>
      </c>
      <c r="AA1064" s="5" t="str" cm="1">
        <f t="array" ref="AA1064">_xlfn.IFS(W1064&gt;10,"Veteran",W1064&gt;=6,"Experienced",W1064&gt;=2,"Developing",W1064&gt;=0,"New")</f>
        <v>Developing</v>
      </c>
      <c r="AB1064" s="5" t="str" cm="1">
        <f t="array" ref="AB1064">_xlfn.IFS(G1064=1,"Junior",G1064=2,"Mid-Level",G1064=3,"Senior",G1064=4,"Lead",G1064=5,"Principal")&amp;" "&amp;TRIM(PROPER(H1064))</f>
        <v>Senior Manufacturing Director</v>
      </c>
      <c r="AC1064" s="19" t="str">
        <f t="shared" ca="1" si="186"/>
        <v>Ma-Res-2024-1063 is a Senior Manufacturing Director in the Research &amp; Development department, aged 44, single and has been with the Company for 2years</v>
      </c>
    </row>
    <row r="1065" spans="1:29">
      <c r="A1065" s="18" t="str">
        <f t="shared" ca="1" si="176"/>
        <v>Sa-Sal-2016-1064</v>
      </c>
      <c r="B1065" s="5">
        <v>29</v>
      </c>
      <c r="C1065" s="5" t="str">
        <f t="shared" si="177"/>
        <v>20-29</v>
      </c>
      <c r="D1065" s="5" t="s">
        <v>43</v>
      </c>
      <c r="E1065" s="5" t="s">
        <v>37</v>
      </c>
      <c r="F1065" s="5" t="s">
        <v>46</v>
      </c>
      <c r="G1065" s="5">
        <v>2</v>
      </c>
      <c r="H1065" s="5" t="s">
        <v>40</v>
      </c>
      <c r="I1065" s="5" t="s">
        <v>52</v>
      </c>
      <c r="J1065" s="7">
        <v>8620</v>
      </c>
      <c r="K1065" s="7">
        <f t="shared" si="178"/>
        <v>1896.4</v>
      </c>
      <c r="L1065" s="7">
        <f t="shared" si="179"/>
        <v>6723.6</v>
      </c>
      <c r="M1065" s="7">
        <v>23757</v>
      </c>
      <c r="N1065" s="5" t="s">
        <v>43</v>
      </c>
      <c r="O1065" s="5">
        <v>14</v>
      </c>
      <c r="P1065" s="7">
        <f t="shared" si="180"/>
        <v>9826.8000000000011</v>
      </c>
      <c r="Q1065" s="7">
        <f t="shared" si="181"/>
        <v>14481.600000000013</v>
      </c>
      <c r="R1065" s="7" t="str">
        <f t="shared" si="182"/>
        <v>Normal</v>
      </c>
      <c r="S1065" s="5">
        <v>3</v>
      </c>
      <c r="T1065" s="5">
        <v>3</v>
      </c>
      <c r="U1065" s="5" t="str" cm="1">
        <f t="array" ref="U1065">_xlfn.IFS(T1065=1,"Poor",T1065=2,"Fair",T1065=3,"Good",T1065=4,"Excellent")</f>
        <v>Good</v>
      </c>
      <c r="V1065" s="5" t="s">
        <v>43</v>
      </c>
      <c r="W1065" s="5">
        <v>10</v>
      </c>
      <c r="X1065" s="28">
        <f t="shared" ca="1" si="183"/>
        <v>42459</v>
      </c>
      <c r="Y1065" s="28">
        <f t="shared" ca="1" si="184"/>
        <v>46842</v>
      </c>
      <c r="Z1065" s="28" t="str">
        <f t="shared" ca="1" si="185"/>
        <v>Upcoming</v>
      </c>
      <c r="AA1065" s="5" t="str" cm="1">
        <f t="array" ref="AA1065">_xlfn.IFS(W1065&gt;10,"Veteran",W1065&gt;=6,"Experienced",W1065&gt;=2,"Developing",W1065&gt;=0,"New")</f>
        <v>Experienced</v>
      </c>
      <c r="AB1065" s="5" t="str" cm="1">
        <f t="array" ref="AB1065">_xlfn.IFS(G1065=1,"Junior",G1065=2,"Mid-Level",G1065=3,"Senior",G1065=4,"Lead",G1065=5,"Principal")&amp;" "&amp;TRIM(PROPER(H1065))</f>
        <v>Mid-Level Sales Executive</v>
      </c>
      <c r="AC1065" s="19" t="str">
        <f t="shared" ca="1" si="186"/>
        <v>Sa-Sal-2016-1064 is a Mid-Level Sales Executive in the Sales department, aged 29, divorced and has been with the Company for 10years</v>
      </c>
    </row>
    <row r="1066" spans="1:29">
      <c r="A1066" s="18" t="str">
        <f t="shared" ca="1" si="176"/>
        <v>Hu-Hum-2021-1065</v>
      </c>
      <c r="B1066" s="5">
        <v>30</v>
      </c>
      <c r="C1066" s="5" t="str">
        <f t="shared" si="177"/>
        <v>30-39</v>
      </c>
      <c r="D1066" s="5" t="s">
        <v>43</v>
      </c>
      <c r="E1066" s="5" t="s">
        <v>61</v>
      </c>
      <c r="F1066" s="5" t="s">
        <v>46</v>
      </c>
      <c r="G1066" s="5">
        <v>1</v>
      </c>
      <c r="H1066" s="5" t="s">
        <v>61</v>
      </c>
      <c r="I1066" s="5" t="s">
        <v>52</v>
      </c>
      <c r="J1066" s="7">
        <v>2064</v>
      </c>
      <c r="K1066" s="7">
        <f t="shared" si="178"/>
        <v>144.48000000000002</v>
      </c>
      <c r="L1066" s="7">
        <f t="shared" si="179"/>
        <v>1919.52</v>
      </c>
      <c r="M1066" s="7">
        <v>15428</v>
      </c>
      <c r="N1066" s="5" t="s">
        <v>43</v>
      </c>
      <c r="O1066" s="5">
        <v>21</v>
      </c>
      <c r="P1066" s="7">
        <f t="shared" si="180"/>
        <v>2497.44</v>
      </c>
      <c r="Q1066" s="7">
        <f t="shared" si="181"/>
        <v>5201.2800000000007</v>
      </c>
      <c r="R1066" s="7" t="str">
        <f t="shared" si="182"/>
        <v>Normal</v>
      </c>
      <c r="S1066" s="5">
        <v>4</v>
      </c>
      <c r="T1066" s="5">
        <v>4</v>
      </c>
      <c r="U1066" s="5" t="str" cm="1">
        <f t="array" ref="U1066">_xlfn.IFS(T1066=1,"Poor",T1066=2,"Fair",T1066=3,"Good",T1066=4,"Excellent")</f>
        <v>Excellent</v>
      </c>
      <c r="V1066" s="5" t="s">
        <v>43</v>
      </c>
      <c r="W1066" s="5">
        <v>5</v>
      </c>
      <c r="X1066" s="28">
        <f t="shared" ca="1" si="183"/>
        <v>44285</v>
      </c>
      <c r="Y1066" s="28">
        <f t="shared" ca="1" si="184"/>
        <v>46476</v>
      </c>
      <c r="Z1066" s="28" t="str">
        <f t="shared" ca="1" si="185"/>
        <v>Due Soon</v>
      </c>
      <c r="AA1066" s="5" t="str" cm="1">
        <f t="array" ref="AA1066">_xlfn.IFS(W1066&gt;10,"Veteran",W1066&gt;=6,"Experienced",W1066&gt;=2,"Developing",W1066&gt;=0,"New")</f>
        <v>Developing</v>
      </c>
      <c r="AB1066" s="5" t="str" cm="1">
        <f t="array" ref="AB1066">_xlfn.IFS(G1066=1,"Junior",G1066=2,"Mid-Level",G1066=3,"Senior",G1066=4,"Lead",G1066=5,"Principal")&amp;" "&amp;TRIM(PROPER(H1066))</f>
        <v>Junior Human Resources</v>
      </c>
      <c r="AC1066" s="19" t="str">
        <f t="shared" ca="1" si="186"/>
        <v>Hu-Hum-2021-1065 is a Junior Human Resources in the Human Resources department, aged 30, divorced and has been with the Company for 5years</v>
      </c>
    </row>
    <row r="1067" spans="1:29">
      <c r="A1067" s="18" t="str">
        <f t="shared" ca="1" si="176"/>
        <v>He-Res-2023-1066</v>
      </c>
      <c r="B1067" s="5">
        <v>55</v>
      </c>
      <c r="C1067" s="5" t="str">
        <f t="shared" si="177"/>
        <v>50+</v>
      </c>
      <c r="D1067" s="5" t="s">
        <v>43</v>
      </c>
      <c r="E1067" s="5" t="s">
        <v>45</v>
      </c>
      <c r="F1067" s="5" t="s">
        <v>46</v>
      </c>
      <c r="G1067" s="5">
        <v>2</v>
      </c>
      <c r="H1067" s="5" t="s">
        <v>54</v>
      </c>
      <c r="I1067" s="5" t="s">
        <v>48</v>
      </c>
      <c r="J1067" s="7">
        <v>4035</v>
      </c>
      <c r="K1067" s="7">
        <f t="shared" si="178"/>
        <v>605.25</v>
      </c>
      <c r="L1067" s="7">
        <f t="shared" si="179"/>
        <v>3429.75</v>
      </c>
      <c r="M1067" s="7">
        <v>16143</v>
      </c>
      <c r="N1067" s="5" t="s">
        <v>35</v>
      </c>
      <c r="O1067" s="5">
        <v>16</v>
      </c>
      <c r="P1067" s="7">
        <f t="shared" si="180"/>
        <v>4680.5999999999995</v>
      </c>
      <c r="Q1067" s="7">
        <f t="shared" si="181"/>
        <v>7747.1999999999935</v>
      </c>
      <c r="R1067" s="7" t="str">
        <f t="shared" si="182"/>
        <v>Normal</v>
      </c>
      <c r="S1067" s="5">
        <v>3</v>
      </c>
      <c r="T1067" s="5">
        <v>3</v>
      </c>
      <c r="U1067" s="5" t="str" cm="1">
        <f t="array" ref="U1067">_xlfn.IFS(T1067=1,"Poor",T1067=2,"Fair",T1067=3,"Good",T1067=4,"Excellent")</f>
        <v>Good</v>
      </c>
      <c r="V1067" s="5" t="s">
        <v>35</v>
      </c>
      <c r="W1067" s="5">
        <v>3</v>
      </c>
      <c r="X1067" s="28">
        <f t="shared" ca="1" si="183"/>
        <v>45015</v>
      </c>
      <c r="Y1067" s="28">
        <f t="shared" ca="1" si="184"/>
        <v>46476</v>
      </c>
      <c r="Z1067" s="28" t="str">
        <f t="shared" ca="1" si="185"/>
        <v>Due Soon</v>
      </c>
      <c r="AA1067" s="5" t="str" cm="1">
        <f t="array" ref="AA1067">_xlfn.IFS(W1067&gt;10,"Veteran",W1067&gt;=6,"Experienced",W1067&gt;=2,"Developing",W1067&gt;=0,"New")</f>
        <v>Developing</v>
      </c>
      <c r="AB1067" s="5" t="str" cm="1">
        <f t="array" ref="AB1067">_xlfn.IFS(G1067=1,"Junior",G1067=2,"Mid-Level",G1067=3,"Senior",G1067=4,"Lead",G1067=5,"Principal")&amp;" "&amp;TRIM(PROPER(H1067))</f>
        <v>Mid-Level Healthcare Representative</v>
      </c>
      <c r="AC1067" s="19" t="str">
        <f t="shared" ca="1" si="186"/>
        <v>He-Res-2023-1066 is a Mid-Level Healthcare Representative in the Research &amp; Development department, aged 55, married and has been with the Company for 3years</v>
      </c>
    </row>
    <row r="1068" spans="1:29">
      <c r="A1068" s="18" t="str">
        <f t="shared" ca="1" si="176"/>
        <v>La-Res-2021-1067</v>
      </c>
      <c r="B1068" s="5">
        <v>33</v>
      </c>
      <c r="C1068" s="5" t="str">
        <f t="shared" si="177"/>
        <v>30-39</v>
      </c>
      <c r="D1068" s="5" t="s">
        <v>43</v>
      </c>
      <c r="E1068" s="5" t="s">
        <v>45</v>
      </c>
      <c r="F1068" s="5" t="s">
        <v>39</v>
      </c>
      <c r="G1068" s="5">
        <v>1</v>
      </c>
      <c r="H1068" s="5" t="s">
        <v>50</v>
      </c>
      <c r="I1068" s="5" t="s">
        <v>48</v>
      </c>
      <c r="J1068" s="7">
        <v>3838</v>
      </c>
      <c r="K1068" s="7">
        <f t="shared" si="178"/>
        <v>575.69999999999993</v>
      </c>
      <c r="L1068" s="7">
        <f t="shared" si="179"/>
        <v>3262.3</v>
      </c>
      <c r="M1068" s="7">
        <v>8192</v>
      </c>
      <c r="N1068" s="5" t="s">
        <v>43</v>
      </c>
      <c r="O1068" s="5">
        <v>11</v>
      </c>
      <c r="P1068" s="7">
        <f t="shared" si="180"/>
        <v>4260.18</v>
      </c>
      <c r="Q1068" s="7">
        <f t="shared" si="181"/>
        <v>5066.1600000000035</v>
      </c>
      <c r="R1068" s="7" t="str">
        <f t="shared" si="182"/>
        <v>Normal</v>
      </c>
      <c r="S1068" s="5">
        <v>3</v>
      </c>
      <c r="T1068" s="5">
        <v>3</v>
      </c>
      <c r="U1068" s="5" t="str" cm="1">
        <f t="array" ref="U1068">_xlfn.IFS(T1068=1,"Poor",T1068=2,"Fair",T1068=3,"Good",T1068=4,"Excellent")</f>
        <v>Good</v>
      </c>
      <c r="V1068" s="5" t="s">
        <v>43</v>
      </c>
      <c r="W1068" s="5">
        <v>5</v>
      </c>
      <c r="X1068" s="28">
        <f t="shared" ca="1" si="183"/>
        <v>44285</v>
      </c>
      <c r="Y1068" s="28">
        <f t="shared" ca="1" si="184"/>
        <v>46476</v>
      </c>
      <c r="Z1068" s="28" t="str">
        <f t="shared" ca="1" si="185"/>
        <v>Due Soon</v>
      </c>
      <c r="AA1068" s="5" t="str" cm="1">
        <f t="array" ref="AA1068">_xlfn.IFS(W1068&gt;10,"Veteran",W1068&gt;=6,"Experienced",W1068&gt;=2,"Developing",W1068&gt;=0,"New")</f>
        <v>Developing</v>
      </c>
      <c r="AB1068" s="5" t="str" cm="1">
        <f t="array" ref="AB1068">_xlfn.IFS(G1068=1,"Junior",G1068=2,"Mid-Level",G1068=3,"Senior",G1068=4,"Lead",G1068=5,"Principal")&amp;" "&amp;TRIM(PROPER(H1068))</f>
        <v>Junior Laboratory Technician</v>
      </c>
      <c r="AC1068" s="19" t="str">
        <f t="shared" ca="1" si="186"/>
        <v>La-Res-2021-1067 is a Junior Laboratory Technician in the Research &amp; Development department, aged 33, married and has been with the Company for 5years</v>
      </c>
    </row>
    <row r="1069" spans="1:29">
      <c r="A1069" s="18" t="str">
        <f t="shared" ca="1" si="176"/>
        <v>Sa-Sal-2021-1068</v>
      </c>
      <c r="B1069" s="5">
        <v>47</v>
      </c>
      <c r="C1069" s="5" t="str">
        <f t="shared" si="177"/>
        <v>40-49</v>
      </c>
      <c r="D1069" s="5" t="s">
        <v>43</v>
      </c>
      <c r="E1069" s="5" t="s">
        <v>37</v>
      </c>
      <c r="F1069" s="5" t="s">
        <v>39</v>
      </c>
      <c r="G1069" s="5">
        <v>2</v>
      </c>
      <c r="H1069" s="5" t="s">
        <v>40</v>
      </c>
      <c r="I1069" s="5" t="s">
        <v>48</v>
      </c>
      <c r="J1069" s="7">
        <v>4591</v>
      </c>
      <c r="K1069" s="7">
        <f t="shared" si="178"/>
        <v>688.65</v>
      </c>
      <c r="L1069" s="7">
        <f t="shared" si="179"/>
        <v>3902.35</v>
      </c>
      <c r="M1069" s="7">
        <v>24200</v>
      </c>
      <c r="N1069" s="5" t="s">
        <v>35</v>
      </c>
      <c r="O1069" s="5">
        <v>17</v>
      </c>
      <c r="P1069" s="7">
        <f t="shared" si="180"/>
        <v>5371.4699999999993</v>
      </c>
      <c r="Q1069" s="7">
        <f t="shared" si="181"/>
        <v>9365.6399999999921</v>
      </c>
      <c r="R1069" s="7" t="str">
        <f t="shared" si="182"/>
        <v>Normal</v>
      </c>
      <c r="S1069" s="5">
        <v>3</v>
      </c>
      <c r="T1069" s="5">
        <v>2</v>
      </c>
      <c r="U1069" s="5" t="str" cm="1">
        <f t="array" ref="U1069">_xlfn.IFS(T1069=1,"Poor",T1069=2,"Fair",T1069=3,"Good",T1069=4,"Excellent")</f>
        <v>Fair</v>
      </c>
      <c r="V1069" s="5" t="s">
        <v>35</v>
      </c>
      <c r="W1069" s="5">
        <v>5</v>
      </c>
      <c r="X1069" s="28">
        <f t="shared" ca="1" si="183"/>
        <v>44285</v>
      </c>
      <c r="Y1069" s="28">
        <f t="shared" ca="1" si="184"/>
        <v>46476</v>
      </c>
      <c r="Z1069" s="28" t="str">
        <f t="shared" ca="1" si="185"/>
        <v>Due Soon</v>
      </c>
      <c r="AA1069" s="5" t="str" cm="1">
        <f t="array" ref="AA1069">_xlfn.IFS(W1069&gt;10,"Veteran",W1069&gt;=6,"Experienced",W1069&gt;=2,"Developing",W1069&gt;=0,"New")</f>
        <v>Developing</v>
      </c>
      <c r="AB1069" s="5" t="str" cm="1">
        <f t="array" ref="AB1069">_xlfn.IFS(G1069=1,"Junior",G1069=2,"Mid-Level",G1069=3,"Senior",G1069=4,"Lead",G1069=5,"Principal")&amp;" "&amp;TRIM(PROPER(H1069))</f>
        <v>Mid-Level Sales Executive</v>
      </c>
      <c r="AC1069" s="19" t="str">
        <f t="shared" ca="1" si="186"/>
        <v>Sa-Sal-2021-1068 is a Mid-Level Sales Executive in the Sales department, aged 47, married and has been with the Company for 5years</v>
      </c>
    </row>
    <row r="1070" spans="1:29">
      <c r="A1070" s="18" t="str">
        <f t="shared" ca="1" si="176"/>
        <v>La-Res-2026-1069</v>
      </c>
      <c r="B1070" s="5">
        <v>28</v>
      </c>
      <c r="C1070" s="5" t="str">
        <f t="shared" si="177"/>
        <v>20-29</v>
      </c>
      <c r="D1070" s="5" t="s">
        <v>35</v>
      </c>
      <c r="E1070" s="5" t="s">
        <v>45</v>
      </c>
      <c r="F1070" s="5" t="s">
        <v>46</v>
      </c>
      <c r="G1070" s="5">
        <v>1</v>
      </c>
      <c r="H1070" s="5" t="s">
        <v>50</v>
      </c>
      <c r="I1070" s="5" t="s">
        <v>41</v>
      </c>
      <c r="J1070" s="7">
        <v>2561</v>
      </c>
      <c r="K1070" s="7">
        <f t="shared" si="178"/>
        <v>179.27</v>
      </c>
      <c r="L1070" s="7">
        <f t="shared" si="179"/>
        <v>2381.73</v>
      </c>
      <c r="M1070" s="7">
        <v>5355</v>
      </c>
      <c r="N1070" s="5" t="s">
        <v>43</v>
      </c>
      <c r="O1070" s="5">
        <v>11</v>
      </c>
      <c r="P1070" s="7">
        <f t="shared" si="180"/>
        <v>2842.71</v>
      </c>
      <c r="Q1070" s="7">
        <f t="shared" si="181"/>
        <v>3380.5200000000004</v>
      </c>
      <c r="R1070" s="7" t="str">
        <f t="shared" si="182"/>
        <v>Normal</v>
      </c>
      <c r="S1070" s="5">
        <v>3</v>
      </c>
      <c r="T1070" s="5">
        <v>2</v>
      </c>
      <c r="U1070" s="5" t="str" cm="1">
        <f t="array" ref="U1070">_xlfn.IFS(T1070=1,"Poor",T1070=2,"Fair",T1070=3,"Good",T1070=4,"Excellent")</f>
        <v>Fair</v>
      </c>
      <c r="V1070" s="5" t="s">
        <v>43</v>
      </c>
      <c r="W1070" s="5">
        <v>0</v>
      </c>
      <c r="X1070" s="28">
        <f t="shared" ca="1" si="183"/>
        <v>46111</v>
      </c>
      <c r="Y1070" s="28">
        <f t="shared" ca="1" si="184"/>
        <v>46842</v>
      </c>
      <c r="Z1070" s="28" t="str">
        <f t="shared" ca="1" si="185"/>
        <v>Upcoming</v>
      </c>
      <c r="AA1070" s="5" t="str" cm="1">
        <f t="array" ref="AA1070">_xlfn.IFS(W1070&gt;10,"Veteran",W1070&gt;=6,"Experienced",W1070&gt;=2,"Developing",W1070&gt;=0,"New")</f>
        <v>New</v>
      </c>
      <c r="AB1070" s="5" t="str" cm="1">
        <f t="array" ref="AB1070">_xlfn.IFS(G1070=1,"Junior",G1070=2,"Mid-Level",G1070=3,"Senior",G1070=4,"Lead",G1070=5,"Principal")&amp;" "&amp;TRIM(PROPER(H1070))</f>
        <v>Junior Laboratory Technician</v>
      </c>
      <c r="AC1070" s="19" t="str">
        <f t="shared" ca="1" si="186"/>
        <v>La-Res-2026-1069 is a Junior Laboratory Technician in the Research &amp; Development department, aged 28, single and has been with the Company for 0years</v>
      </c>
    </row>
    <row r="1071" spans="1:29">
      <c r="A1071" s="18" t="str">
        <f t="shared" ca="1" si="176"/>
        <v>Re-Res-2025-1070</v>
      </c>
      <c r="B1071" s="5">
        <v>28</v>
      </c>
      <c r="C1071" s="5" t="str">
        <f t="shared" si="177"/>
        <v>20-29</v>
      </c>
      <c r="D1071" s="5" t="s">
        <v>43</v>
      </c>
      <c r="E1071" s="5" t="s">
        <v>45</v>
      </c>
      <c r="F1071" s="5" t="s">
        <v>46</v>
      </c>
      <c r="G1071" s="5">
        <v>1</v>
      </c>
      <c r="H1071" s="5" t="s">
        <v>47</v>
      </c>
      <c r="I1071" s="5" t="s">
        <v>52</v>
      </c>
      <c r="J1071" s="7">
        <v>1563</v>
      </c>
      <c r="K1071" s="7">
        <f t="shared" si="178"/>
        <v>109.41000000000001</v>
      </c>
      <c r="L1071" s="7">
        <f t="shared" si="179"/>
        <v>1453.59</v>
      </c>
      <c r="M1071" s="7">
        <v>12530</v>
      </c>
      <c r="N1071" s="5" t="s">
        <v>43</v>
      </c>
      <c r="O1071" s="5">
        <v>14</v>
      </c>
      <c r="P1071" s="7">
        <f t="shared" si="180"/>
        <v>1781.8200000000002</v>
      </c>
      <c r="Q1071" s="7">
        <f t="shared" si="181"/>
        <v>2625.840000000002</v>
      </c>
      <c r="R1071" s="7" t="str">
        <f t="shared" si="182"/>
        <v>Normal</v>
      </c>
      <c r="S1071" s="5">
        <v>3</v>
      </c>
      <c r="T1071" s="5">
        <v>1</v>
      </c>
      <c r="U1071" s="5" t="str" cm="1">
        <f t="array" ref="U1071">_xlfn.IFS(T1071=1,"Poor",T1071=2,"Fair",T1071=3,"Good",T1071=4,"Excellent")</f>
        <v>Poor</v>
      </c>
      <c r="V1071" s="5" t="s">
        <v>43</v>
      </c>
      <c r="W1071" s="5">
        <v>1</v>
      </c>
      <c r="X1071" s="28">
        <f t="shared" ca="1" si="183"/>
        <v>45746</v>
      </c>
      <c r="Y1071" s="28">
        <f t="shared" ca="1" si="184"/>
        <v>46476</v>
      </c>
      <c r="Z1071" s="28" t="str">
        <f t="shared" ca="1" si="185"/>
        <v>Due Soon</v>
      </c>
      <c r="AA1071" s="5" t="str" cm="1">
        <f t="array" ref="AA1071">_xlfn.IFS(W1071&gt;10,"Veteran",W1071&gt;=6,"Experienced",W1071&gt;=2,"Developing",W1071&gt;=0,"New")</f>
        <v>New</v>
      </c>
      <c r="AB1071" s="5" t="str" cm="1">
        <f t="array" ref="AB1071">_xlfn.IFS(G1071=1,"Junior",G1071=2,"Mid-Level",G1071=3,"Senior",G1071=4,"Lead",G1071=5,"Principal")&amp;" "&amp;TRIM(PROPER(H1071))</f>
        <v>Junior Research Scientist</v>
      </c>
      <c r="AC1071" s="19" t="str">
        <f t="shared" ca="1" si="186"/>
        <v>Re-Res-2025-1070 is a Junior Research Scientist in the Research &amp; Development department, aged 28, divorced and has been with the Company for 1years</v>
      </c>
    </row>
    <row r="1072" spans="1:29">
      <c r="A1072" s="18" t="str">
        <f t="shared" ca="1" si="176"/>
        <v>Sa-Sal-2022-1071</v>
      </c>
      <c r="B1072" s="5">
        <v>28</v>
      </c>
      <c r="C1072" s="5" t="str">
        <f t="shared" si="177"/>
        <v>20-29</v>
      </c>
      <c r="D1072" s="5" t="s">
        <v>43</v>
      </c>
      <c r="E1072" s="5" t="s">
        <v>37</v>
      </c>
      <c r="F1072" s="5" t="s">
        <v>46</v>
      </c>
      <c r="G1072" s="5">
        <v>2</v>
      </c>
      <c r="H1072" s="5" t="s">
        <v>40</v>
      </c>
      <c r="I1072" s="5" t="s">
        <v>41</v>
      </c>
      <c r="J1072" s="7">
        <v>4898</v>
      </c>
      <c r="K1072" s="7">
        <f t="shared" si="178"/>
        <v>734.69999999999993</v>
      </c>
      <c r="L1072" s="7">
        <f t="shared" si="179"/>
        <v>4163.3</v>
      </c>
      <c r="M1072" s="7">
        <v>11827</v>
      </c>
      <c r="N1072" s="5" t="s">
        <v>43</v>
      </c>
      <c r="O1072" s="5">
        <v>14</v>
      </c>
      <c r="P1072" s="7">
        <f t="shared" si="180"/>
        <v>5583.72</v>
      </c>
      <c r="Q1072" s="7">
        <f t="shared" si="181"/>
        <v>8228.6400000000031</v>
      </c>
      <c r="R1072" s="7" t="str">
        <f t="shared" si="182"/>
        <v>Normal</v>
      </c>
      <c r="S1072" s="5">
        <v>3</v>
      </c>
      <c r="T1072" s="5">
        <v>3</v>
      </c>
      <c r="U1072" s="5" t="str" cm="1">
        <f t="array" ref="U1072">_xlfn.IFS(T1072=1,"Poor",T1072=2,"Fair",T1072=3,"Good",T1072=4,"Excellent")</f>
        <v>Good</v>
      </c>
      <c r="V1072" s="5" t="s">
        <v>43</v>
      </c>
      <c r="W1072" s="5">
        <v>4</v>
      </c>
      <c r="X1072" s="28">
        <f t="shared" ca="1" si="183"/>
        <v>44650</v>
      </c>
      <c r="Y1072" s="28">
        <f t="shared" ca="1" si="184"/>
        <v>46842</v>
      </c>
      <c r="Z1072" s="28" t="str">
        <f t="shared" ca="1" si="185"/>
        <v>Upcoming</v>
      </c>
      <c r="AA1072" s="5" t="str" cm="1">
        <f t="array" ref="AA1072">_xlfn.IFS(W1072&gt;10,"Veteran",W1072&gt;=6,"Experienced",W1072&gt;=2,"Developing",W1072&gt;=0,"New")</f>
        <v>Developing</v>
      </c>
      <c r="AB1072" s="5" t="str" cm="1">
        <f t="array" ref="AB1072">_xlfn.IFS(G1072=1,"Junior",G1072=2,"Mid-Level",G1072=3,"Senior",G1072=4,"Lead",G1072=5,"Principal")&amp;" "&amp;TRIM(PROPER(H1072))</f>
        <v>Mid-Level Sales Executive</v>
      </c>
      <c r="AC1072" s="19" t="str">
        <f t="shared" ca="1" si="186"/>
        <v>Sa-Sal-2022-1071 is a Mid-Level Sales Executive in the Sales department, aged 28, single and has been with the Company for 4years</v>
      </c>
    </row>
    <row r="1073" spans="1:29">
      <c r="A1073" s="18" t="str">
        <f t="shared" ca="1" si="176"/>
        <v>La-Res-2023-1072</v>
      </c>
      <c r="B1073" s="5">
        <v>49</v>
      </c>
      <c r="C1073" s="5" t="str">
        <f t="shared" si="177"/>
        <v>40-49</v>
      </c>
      <c r="D1073" s="5" t="s">
        <v>43</v>
      </c>
      <c r="E1073" s="5" t="s">
        <v>45</v>
      </c>
      <c r="F1073" s="5" t="s">
        <v>39</v>
      </c>
      <c r="G1073" s="5">
        <v>2</v>
      </c>
      <c r="H1073" s="5" t="s">
        <v>50</v>
      </c>
      <c r="I1073" s="5" t="s">
        <v>48</v>
      </c>
      <c r="J1073" s="7">
        <v>4789</v>
      </c>
      <c r="K1073" s="7">
        <f t="shared" si="178"/>
        <v>718.35</v>
      </c>
      <c r="L1073" s="7">
        <f t="shared" si="179"/>
        <v>4070.65</v>
      </c>
      <c r="M1073" s="7">
        <v>23070</v>
      </c>
      <c r="N1073" s="5" t="s">
        <v>43</v>
      </c>
      <c r="O1073" s="5">
        <v>25</v>
      </c>
      <c r="P1073" s="7">
        <f t="shared" si="180"/>
        <v>5986.25</v>
      </c>
      <c r="Q1073" s="7">
        <f t="shared" si="181"/>
        <v>14367</v>
      </c>
      <c r="R1073" s="7" t="str">
        <f t="shared" si="182"/>
        <v>Normal</v>
      </c>
      <c r="S1073" s="5">
        <v>4</v>
      </c>
      <c r="T1073" s="5">
        <v>3</v>
      </c>
      <c r="U1073" s="5" t="str" cm="1">
        <f t="array" ref="U1073">_xlfn.IFS(T1073=1,"Poor",T1073=2,"Fair",T1073=3,"Good",T1073=4,"Excellent")</f>
        <v>Good</v>
      </c>
      <c r="V1073" s="5" t="s">
        <v>43</v>
      </c>
      <c r="W1073" s="5">
        <v>3</v>
      </c>
      <c r="X1073" s="28">
        <f t="shared" ca="1" si="183"/>
        <v>45015</v>
      </c>
      <c r="Y1073" s="28">
        <f t="shared" ca="1" si="184"/>
        <v>46476</v>
      </c>
      <c r="Z1073" s="28" t="str">
        <f t="shared" ca="1" si="185"/>
        <v>Due Soon</v>
      </c>
      <c r="AA1073" s="5" t="str" cm="1">
        <f t="array" ref="AA1073">_xlfn.IFS(W1073&gt;10,"Veteran",W1073&gt;=6,"Experienced",W1073&gt;=2,"Developing",W1073&gt;=0,"New")</f>
        <v>Developing</v>
      </c>
      <c r="AB1073" s="5" t="str" cm="1">
        <f t="array" ref="AB1073">_xlfn.IFS(G1073=1,"Junior",G1073=2,"Mid-Level",G1073=3,"Senior",G1073=4,"Lead",G1073=5,"Principal")&amp;" "&amp;TRIM(PROPER(H1073))</f>
        <v>Mid-Level Laboratory Technician</v>
      </c>
      <c r="AC1073" s="19" t="str">
        <f t="shared" ca="1" si="186"/>
        <v>La-Res-2023-1072 is a Mid-Level Laboratory Technician in the Research &amp; Development department, aged 49, married and has been with the Company for 3years</v>
      </c>
    </row>
    <row r="1074" spans="1:29">
      <c r="A1074" s="18" t="str">
        <f t="shared" ca="1" si="176"/>
        <v>La-Res-2023-1073</v>
      </c>
      <c r="B1074" s="5">
        <v>29</v>
      </c>
      <c r="C1074" s="5" t="str">
        <f t="shared" si="177"/>
        <v>20-29</v>
      </c>
      <c r="D1074" s="5" t="s">
        <v>43</v>
      </c>
      <c r="E1074" s="5" t="s">
        <v>45</v>
      </c>
      <c r="F1074" s="5" t="s">
        <v>39</v>
      </c>
      <c r="G1074" s="5">
        <v>1</v>
      </c>
      <c r="H1074" s="5" t="s">
        <v>50</v>
      </c>
      <c r="I1074" s="5" t="s">
        <v>48</v>
      </c>
      <c r="J1074" s="7">
        <v>3180</v>
      </c>
      <c r="K1074" s="7">
        <f t="shared" si="178"/>
        <v>477</v>
      </c>
      <c r="L1074" s="7">
        <f t="shared" si="179"/>
        <v>2703</v>
      </c>
      <c r="M1074" s="7">
        <v>4668</v>
      </c>
      <c r="N1074" s="5" t="s">
        <v>43</v>
      </c>
      <c r="O1074" s="5">
        <v>13</v>
      </c>
      <c r="P1074" s="7">
        <f t="shared" si="180"/>
        <v>3593.3999999999996</v>
      </c>
      <c r="Q1074" s="7">
        <f t="shared" si="181"/>
        <v>4960.7999999999956</v>
      </c>
      <c r="R1074" s="7" t="str">
        <f t="shared" si="182"/>
        <v>Normal</v>
      </c>
      <c r="S1074" s="5">
        <v>3</v>
      </c>
      <c r="T1074" s="5">
        <v>3</v>
      </c>
      <c r="U1074" s="5" t="str" cm="1">
        <f t="array" ref="U1074">_xlfn.IFS(T1074=1,"Poor",T1074=2,"Fair",T1074=3,"Good",T1074=4,"Excellent")</f>
        <v>Good</v>
      </c>
      <c r="V1074" s="5" t="s">
        <v>43</v>
      </c>
      <c r="W1074" s="5">
        <v>3</v>
      </c>
      <c r="X1074" s="28">
        <f t="shared" ca="1" si="183"/>
        <v>45015</v>
      </c>
      <c r="Y1074" s="28">
        <f t="shared" ca="1" si="184"/>
        <v>46476</v>
      </c>
      <c r="Z1074" s="28" t="str">
        <f t="shared" ca="1" si="185"/>
        <v>Due Soon</v>
      </c>
      <c r="AA1074" s="5" t="str" cm="1">
        <f t="array" ref="AA1074">_xlfn.IFS(W1074&gt;10,"Veteran",W1074&gt;=6,"Experienced",W1074&gt;=2,"Developing",W1074&gt;=0,"New")</f>
        <v>Developing</v>
      </c>
      <c r="AB1074" s="5" t="str" cm="1">
        <f t="array" ref="AB1074">_xlfn.IFS(G1074=1,"Junior",G1074=2,"Mid-Level",G1074=3,"Senior",G1074=4,"Lead",G1074=5,"Principal")&amp;" "&amp;TRIM(PROPER(H1074))</f>
        <v>Junior Laboratory Technician</v>
      </c>
      <c r="AC1074" s="19" t="str">
        <f t="shared" ca="1" si="186"/>
        <v>La-Res-2023-1073 is a Junior Laboratory Technician in the Research &amp; Development department, aged 29, married and has been with the Company for 3years</v>
      </c>
    </row>
    <row r="1075" spans="1:29">
      <c r="A1075" s="18" t="str">
        <f t="shared" ca="1" si="176"/>
        <v>Ma-Res-2018-1074</v>
      </c>
      <c r="B1075" s="5">
        <v>28</v>
      </c>
      <c r="C1075" s="5" t="str">
        <f t="shared" si="177"/>
        <v>20-29</v>
      </c>
      <c r="D1075" s="5" t="s">
        <v>43</v>
      </c>
      <c r="E1075" s="5" t="s">
        <v>45</v>
      </c>
      <c r="F1075" s="5" t="s">
        <v>46</v>
      </c>
      <c r="G1075" s="5">
        <v>2</v>
      </c>
      <c r="H1075" s="5" t="s">
        <v>53</v>
      </c>
      <c r="I1075" s="5" t="s">
        <v>48</v>
      </c>
      <c r="J1075" s="7">
        <v>6549</v>
      </c>
      <c r="K1075" s="7">
        <f t="shared" si="178"/>
        <v>982.34999999999991</v>
      </c>
      <c r="L1075" s="7">
        <f t="shared" si="179"/>
        <v>5566.65</v>
      </c>
      <c r="M1075" s="7">
        <v>3173</v>
      </c>
      <c r="N1075" s="5" t="s">
        <v>43</v>
      </c>
      <c r="O1075" s="5">
        <v>14</v>
      </c>
      <c r="P1075" s="7">
        <f t="shared" si="180"/>
        <v>7465.8600000000006</v>
      </c>
      <c r="Q1075" s="7">
        <f t="shared" si="181"/>
        <v>11002.320000000007</v>
      </c>
      <c r="R1075" s="7" t="str">
        <f t="shared" si="182"/>
        <v>Normal</v>
      </c>
      <c r="S1075" s="5">
        <v>3</v>
      </c>
      <c r="T1075" s="5">
        <v>2</v>
      </c>
      <c r="U1075" s="5" t="str" cm="1">
        <f t="array" ref="U1075">_xlfn.IFS(T1075=1,"Poor",T1075=2,"Fair",T1075=3,"Good",T1075=4,"Excellent")</f>
        <v>Fair</v>
      </c>
      <c r="V1075" s="5" t="s">
        <v>43</v>
      </c>
      <c r="W1075" s="5">
        <v>8</v>
      </c>
      <c r="X1075" s="28">
        <f t="shared" ca="1" si="183"/>
        <v>43189</v>
      </c>
      <c r="Y1075" s="28">
        <f t="shared" ca="1" si="184"/>
        <v>46842</v>
      </c>
      <c r="Z1075" s="28" t="str">
        <f t="shared" ca="1" si="185"/>
        <v>Upcoming</v>
      </c>
      <c r="AA1075" s="5" t="str" cm="1">
        <f t="array" ref="AA1075">_xlfn.IFS(W1075&gt;10,"Veteran",W1075&gt;=6,"Experienced",W1075&gt;=2,"Developing",W1075&gt;=0,"New")</f>
        <v>Experienced</v>
      </c>
      <c r="AB1075" s="5" t="str" cm="1">
        <f t="array" ref="AB1075">_xlfn.IFS(G1075=1,"Junior",G1075=2,"Mid-Level",G1075=3,"Senior",G1075=4,"Lead",G1075=5,"Principal")&amp;" "&amp;TRIM(PROPER(H1075))</f>
        <v>Mid-Level Manufacturing Director</v>
      </c>
      <c r="AC1075" s="19" t="str">
        <f t="shared" ca="1" si="186"/>
        <v>Ma-Res-2018-1074 is a Mid-Level Manufacturing Director in the Research &amp; Development department, aged 28, married and has been with the Company for 8years</v>
      </c>
    </row>
    <row r="1076" spans="1:29">
      <c r="A1076" s="18" t="str">
        <f t="shared" ca="1" si="176"/>
        <v>He-Res-2026-1075</v>
      </c>
      <c r="B1076" s="5">
        <v>33</v>
      </c>
      <c r="C1076" s="5" t="str">
        <f t="shared" si="177"/>
        <v>30-39</v>
      </c>
      <c r="D1076" s="5" t="s">
        <v>43</v>
      </c>
      <c r="E1076" s="5" t="s">
        <v>45</v>
      </c>
      <c r="F1076" s="5" t="s">
        <v>46</v>
      </c>
      <c r="G1076" s="5">
        <v>2</v>
      </c>
      <c r="H1076" s="5" t="s">
        <v>54</v>
      </c>
      <c r="I1076" s="5" t="s">
        <v>41</v>
      </c>
      <c r="J1076" s="7">
        <v>6388</v>
      </c>
      <c r="K1076" s="7">
        <f t="shared" si="178"/>
        <v>958.19999999999993</v>
      </c>
      <c r="L1076" s="7">
        <f t="shared" si="179"/>
        <v>5429.8</v>
      </c>
      <c r="M1076" s="7">
        <v>22049</v>
      </c>
      <c r="N1076" s="5" t="s">
        <v>35</v>
      </c>
      <c r="O1076" s="5">
        <v>17</v>
      </c>
      <c r="P1076" s="7">
        <f t="shared" si="180"/>
        <v>7473.9599999999991</v>
      </c>
      <c r="Q1076" s="7">
        <f t="shared" si="181"/>
        <v>13031.51999999999</v>
      </c>
      <c r="R1076" s="7" t="str">
        <f t="shared" si="182"/>
        <v>Normal</v>
      </c>
      <c r="S1076" s="5">
        <v>3</v>
      </c>
      <c r="T1076" s="5">
        <v>3</v>
      </c>
      <c r="U1076" s="5" t="str" cm="1">
        <f t="array" ref="U1076">_xlfn.IFS(T1076=1,"Poor",T1076=2,"Fair",T1076=3,"Good",T1076=4,"Excellent")</f>
        <v>Good</v>
      </c>
      <c r="V1076" s="5" t="s">
        <v>35</v>
      </c>
      <c r="W1076" s="5">
        <v>0</v>
      </c>
      <c r="X1076" s="28">
        <f t="shared" ca="1" si="183"/>
        <v>46111</v>
      </c>
      <c r="Y1076" s="28">
        <f t="shared" ca="1" si="184"/>
        <v>46842</v>
      </c>
      <c r="Z1076" s="28" t="str">
        <f t="shared" ca="1" si="185"/>
        <v>Upcoming</v>
      </c>
      <c r="AA1076" s="5" t="str" cm="1">
        <f t="array" ref="AA1076">_xlfn.IFS(W1076&gt;10,"Veteran",W1076&gt;=6,"Experienced",W1076&gt;=2,"Developing",W1076&gt;=0,"New")</f>
        <v>New</v>
      </c>
      <c r="AB1076" s="5" t="str" cm="1">
        <f t="array" ref="AB1076">_xlfn.IFS(G1076=1,"Junior",G1076=2,"Mid-Level",G1076=3,"Senior",G1076=4,"Lead",G1076=5,"Principal")&amp;" "&amp;TRIM(PROPER(H1076))</f>
        <v>Mid-Level Healthcare Representative</v>
      </c>
      <c r="AC1076" s="19" t="str">
        <f t="shared" ca="1" si="186"/>
        <v>He-Res-2026-1075 is a Mid-Level Healthcare Representative in the Research &amp; Development department, aged 33, single and has been with the Company for 0years</v>
      </c>
    </row>
    <row r="1077" spans="1:29">
      <c r="A1077" s="18" t="str">
        <f t="shared" ca="1" si="176"/>
        <v>Ma-Res-2021-1076</v>
      </c>
      <c r="B1077" s="5">
        <v>32</v>
      </c>
      <c r="C1077" s="5" t="str">
        <f t="shared" si="177"/>
        <v>30-39</v>
      </c>
      <c r="D1077" s="5" t="s">
        <v>43</v>
      </c>
      <c r="E1077" s="5" t="s">
        <v>45</v>
      </c>
      <c r="F1077" s="5" t="s">
        <v>46</v>
      </c>
      <c r="G1077" s="5">
        <v>3</v>
      </c>
      <c r="H1077" s="5" t="s">
        <v>56</v>
      </c>
      <c r="I1077" s="5" t="s">
        <v>41</v>
      </c>
      <c r="J1077" s="7">
        <v>11244</v>
      </c>
      <c r="K1077" s="7">
        <f t="shared" si="178"/>
        <v>2473.6799999999998</v>
      </c>
      <c r="L1077" s="7">
        <f t="shared" si="179"/>
        <v>8770.32</v>
      </c>
      <c r="M1077" s="7">
        <v>21072</v>
      </c>
      <c r="N1077" s="5" t="s">
        <v>43</v>
      </c>
      <c r="O1077" s="5">
        <v>25</v>
      </c>
      <c r="P1077" s="7">
        <f t="shared" si="180"/>
        <v>14055</v>
      </c>
      <c r="Q1077" s="7">
        <f t="shared" si="181"/>
        <v>33732</v>
      </c>
      <c r="R1077" s="7" t="str">
        <f t="shared" si="182"/>
        <v>Normal</v>
      </c>
      <c r="S1077" s="5">
        <v>4</v>
      </c>
      <c r="T1077" s="5">
        <v>4</v>
      </c>
      <c r="U1077" s="5" t="str" cm="1">
        <f t="array" ref="U1077">_xlfn.IFS(T1077=1,"Poor",T1077=2,"Fair",T1077=3,"Good",T1077=4,"Excellent")</f>
        <v>Excellent</v>
      </c>
      <c r="V1077" s="5" t="s">
        <v>43</v>
      </c>
      <c r="W1077" s="5">
        <v>5</v>
      </c>
      <c r="X1077" s="28">
        <f t="shared" ca="1" si="183"/>
        <v>44285</v>
      </c>
      <c r="Y1077" s="28">
        <f t="shared" ca="1" si="184"/>
        <v>46476</v>
      </c>
      <c r="Z1077" s="28" t="str">
        <f t="shared" ca="1" si="185"/>
        <v>Due Soon</v>
      </c>
      <c r="AA1077" s="5" t="str" cm="1">
        <f t="array" ref="AA1077">_xlfn.IFS(W1077&gt;10,"Veteran",W1077&gt;=6,"Experienced",W1077&gt;=2,"Developing",W1077&gt;=0,"New")</f>
        <v>Developing</v>
      </c>
      <c r="AB1077" s="5" t="str" cm="1">
        <f t="array" ref="AB1077">_xlfn.IFS(G1077=1,"Junior",G1077=2,"Mid-Level",G1077=3,"Senior",G1077=4,"Lead",G1077=5,"Principal")&amp;" "&amp;TRIM(PROPER(H1077))</f>
        <v>Senior Manager</v>
      </c>
      <c r="AC1077" s="19" t="str">
        <f t="shared" ca="1" si="186"/>
        <v>Ma-Res-2021-1076 is a Senior Manager in the Research &amp; Development department, aged 32, single and has been with the Company for 5years</v>
      </c>
    </row>
    <row r="1078" spans="1:29">
      <c r="A1078" s="18" t="str">
        <f t="shared" ca="1" si="176"/>
        <v>Ma-Res-2012-1077</v>
      </c>
      <c r="B1078" s="5">
        <v>54</v>
      </c>
      <c r="C1078" s="5" t="str">
        <f t="shared" si="177"/>
        <v>50+</v>
      </c>
      <c r="D1078" s="5" t="s">
        <v>43</v>
      </c>
      <c r="E1078" s="5" t="s">
        <v>45</v>
      </c>
      <c r="F1078" s="5" t="s">
        <v>39</v>
      </c>
      <c r="G1078" s="5">
        <v>4</v>
      </c>
      <c r="H1078" s="5" t="s">
        <v>56</v>
      </c>
      <c r="I1078" s="5" t="s">
        <v>52</v>
      </c>
      <c r="J1078" s="7">
        <v>16032</v>
      </c>
      <c r="K1078" s="7">
        <f t="shared" si="178"/>
        <v>4809.5999999999995</v>
      </c>
      <c r="L1078" s="7">
        <f t="shared" si="179"/>
        <v>11222.400000000001</v>
      </c>
      <c r="M1078" s="7">
        <v>24456</v>
      </c>
      <c r="N1078" s="5" t="s">
        <v>43</v>
      </c>
      <c r="O1078" s="5">
        <v>20</v>
      </c>
      <c r="P1078" s="7">
        <f t="shared" si="180"/>
        <v>19238.399999999998</v>
      </c>
      <c r="Q1078" s="7">
        <f t="shared" si="181"/>
        <v>38476.799999999974</v>
      </c>
      <c r="R1078" s="7" t="str">
        <f t="shared" si="182"/>
        <v>Normal</v>
      </c>
      <c r="S1078" s="5">
        <v>4</v>
      </c>
      <c r="T1078" s="5">
        <v>3</v>
      </c>
      <c r="U1078" s="5" t="str" cm="1">
        <f t="array" ref="U1078">_xlfn.IFS(T1078=1,"Poor",T1078=2,"Fair",T1078=3,"Good",T1078=4,"Excellent")</f>
        <v>Good</v>
      </c>
      <c r="V1078" s="5" t="s">
        <v>43</v>
      </c>
      <c r="W1078" s="5">
        <v>14</v>
      </c>
      <c r="X1078" s="28">
        <f t="shared" ca="1" si="183"/>
        <v>40998</v>
      </c>
      <c r="Y1078" s="28">
        <f t="shared" ca="1" si="184"/>
        <v>46842</v>
      </c>
      <c r="Z1078" s="28" t="str">
        <f t="shared" ca="1" si="185"/>
        <v>Upcoming</v>
      </c>
      <c r="AA1078" s="5" t="str" cm="1">
        <f t="array" ref="AA1078">_xlfn.IFS(W1078&gt;10,"Veteran",W1078&gt;=6,"Experienced",W1078&gt;=2,"Developing",W1078&gt;=0,"New")</f>
        <v>Veteran</v>
      </c>
      <c r="AB1078" s="5" t="str" cm="1">
        <f t="array" ref="AB1078">_xlfn.IFS(G1078=1,"Junior",G1078=2,"Mid-Level",G1078=3,"Senior",G1078=4,"Lead",G1078=5,"Principal")&amp;" "&amp;TRIM(PROPER(H1078))</f>
        <v>Lead Manager</v>
      </c>
      <c r="AC1078" s="19" t="str">
        <f t="shared" ca="1" si="186"/>
        <v>Ma-Res-2012-1077 is a Lead Manager in the Research &amp; Development department, aged 54, divorced and has been with the Company for 14years</v>
      </c>
    </row>
    <row r="1079" spans="1:29">
      <c r="A1079" s="18" t="str">
        <f t="shared" ca="1" si="176"/>
        <v>Re-Res-2017-1078</v>
      </c>
      <c r="B1079" s="5">
        <v>29</v>
      </c>
      <c r="C1079" s="5" t="str">
        <f t="shared" si="177"/>
        <v>20-29</v>
      </c>
      <c r="D1079" s="5" t="s">
        <v>35</v>
      </c>
      <c r="E1079" s="5" t="s">
        <v>45</v>
      </c>
      <c r="F1079" s="5" t="s">
        <v>46</v>
      </c>
      <c r="G1079" s="5">
        <v>1</v>
      </c>
      <c r="H1079" s="5" t="s">
        <v>47</v>
      </c>
      <c r="I1079" s="5" t="s">
        <v>41</v>
      </c>
      <c r="J1079" s="7">
        <v>2362</v>
      </c>
      <c r="K1079" s="7">
        <f t="shared" si="178"/>
        <v>165.34</v>
      </c>
      <c r="L1079" s="7">
        <f t="shared" si="179"/>
        <v>2196.66</v>
      </c>
      <c r="M1079" s="7">
        <v>7568</v>
      </c>
      <c r="N1079" s="5" t="s">
        <v>43</v>
      </c>
      <c r="O1079" s="5">
        <v>13</v>
      </c>
      <c r="P1079" s="7">
        <f t="shared" si="180"/>
        <v>2669.06</v>
      </c>
      <c r="Q1079" s="7">
        <f t="shared" si="181"/>
        <v>3684.7199999999993</v>
      </c>
      <c r="R1079" s="7" t="str">
        <f t="shared" si="182"/>
        <v>Normal</v>
      </c>
      <c r="S1079" s="5">
        <v>3</v>
      </c>
      <c r="T1079" s="5">
        <v>1</v>
      </c>
      <c r="U1079" s="5" t="str" cm="1">
        <f t="array" ref="U1079">_xlfn.IFS(T1079=1,"Poor",T1079=2,"Fair",T1079=3,"Good",T1079=4,"Excellent")</f>
        <v>Poor</v>
      </c>
      <c r="V1079" s="5" t="s">
        <v>43</v>
      </c>
      <c r="W1079" s="5">
        <v>9</v>
      </c>
      <c r="X1079" s="28">
        <f t="shared" ca="1" si="183"/>
        <v>42824</v>
      </c>
      <c r="Y1079" s="28">
        <f t="shared" ca="1" si="184"/>
        <v>46476</v>
      </c>
      <c r="Z1079" s="28" t="str">
        <f t="shared" ca="1" si="185"/>
        <v>Due Soon</v>
      </c>
      <c r="AA1079" s="5" t="str" cm="1">
        <f t="array" ref="AA1079">_xlfn.IFS(W1079&gt;10,"Veteran",W1079&gt;=6,"Experienced",W1079&gt;=2,"Developing",W1079&gt;=0,"New")</f>
        <v>Experienced</v>
      </c>
      <c r="AB1079" s="5" t="str" cm="1">
        <f t="array" ref="AB1079">_xlfn.IFS(G1079=1,"Junior",G1079=2,"Mid-Level",G1079=3,"Senior",G1079=4,"Lead",G1079=5,"Principal")&amp;" "&amp;TRIM(PROPER(H1079))</f>
        <v>Junior Research Scientist</v>
      </c>
      <c r="AC1079" s="19" t="str">
        <f t="shared" ca="1" si="186"/>
        <v>Re-Res-2017-1078 is a Junior Research Scientist in the Research &amp; Development department, aged 29, single and has been with the Company for 9years</v>
      </c>
    </row>
    <row r="1080" spans="1:29">
      <c r="A1080" s="18" t="str">
        <f t="shared" ca="1" si="176"/>
        <v>Re-Res-2006-1079</v>
      </c>
      <c r="B1080" s="5">
        <v>44</v>
      </c>
      <c r="C1080" s="5" t="str">
        <f t="shared" si="177"/>
        <v>40-49</v>
      </c>
      <c r="D1080" s="5" t="s">
        <v>43</v>
      </c>
      <c r="E1080" s="5" t="s">
        <v>45</v>
      </c>
      <c r="F1080" s="5" t="s">
        <v>46</v>
      </c>
      <c r="G1080" s="5">
        <v>4</v>
      </c>
      <c r="H1080" s="5" t="s">
        <v>58</v>
      </c>
      <c r="I1080" s="5" t="s">
        <v>48</v>
      </c>
      <c r="J1080" s="7">
        <v>16328</v>
      </c>
      <c r="K1080" s="7">
        <f t="shared" si="178"/>
        <v>4898.3999999999996</v>
      </c>
      <c r="L1080" s="7">
        <f t="shared" si="179"/>
        <v>11429.6</v>
      </c>
      <c r="M1080" s="7">
        <v>22074</v>
      </c>
      <c r="N1080" s="5" t="s">
        <v>43</v>
      </c>
      <c r="O1080" s="5">
        <v>13</v>
      </c>
      <c r="P1080" s="7">
        <f t="shared" si="180"/>
        <v>18450.64</v>
      </c>
      <c r="Q1080" s="7">
        <f t="shared" si="181"/>
        <v>25471.679999999993</v>
      </c>
      <c r="R1080" s="7" t="str">
        <f t="shared" si="182"/>
        <v>Normal</v>
      </c>
      <c r="S1080" s="5">
        <v>3</v>
      </c>
      <c r="T1080" s="5">
        <v>4</v>
      </c>
      <c r="U1080" s="5" t="str" cm="1">
        <f t="array" ref="U1080">_xlfn.IFS(T1080=1,"Poor",T1080=2,"Fair",T1080=3,"Good",T1080=4,"Excellent")</f>
        <v>Excellent</v>
      </c>
      <c r="V1080" s="5" t="s">
        <v>43</v>
      </c>
      <c r="W1080" s="5">
        <v>20</v>
      </c>
      <c r="X1080" s="28">
        <f t="shared" ca="1" si="183"/>
        <v>38806</v>
      </c>
      <c r="Y1080" s="28">
        <f t="shared" ca="1" si="184"/>
        <v>46842</v>
      </c>
      <c r="Z1080" s="28" t="str">
        <f t="shared" ca="1" si="185"/>
        <v>Upcoming</v>
      </c>
      <c r="AA1080" s="5" t="str" cm="1">
        <f t="array" ref="AA1080">_xlfn.IFS(W1080&gt;10,"Veteran",W1080&gt;=6,"Experienced",W1080&gt;=2,"Developing",W1080&gt;=0,"New")</f>
        <v>Veteran</v>
      </c>
      <c r="AB1080" s="5" t="str" cm="1">
        <f t="array" ref="AB1080">_xlfn.IFS(G1080=1,"Junior",G1080=2,"Mid-Level",G1080=3,"Senior",G1080=4,"Lead",G1080=5,"Principal")&amp;" "&amp;TRIM(PROPER(H1080))</f>
        <v>Lead Research Director</v>
      </c>
      <c r="AC1080" s="19" t="str">
        <f t="shared" ca="1" si="186"/>
        <v>Re-Res-2006-1079 is a Lead Research Director in the Research &amp; Development department, aged 44, married and has been with the Company for 20years</v>
      </c>
    </row>
    <row r="1081" spans="1:29">
      <c r="A1081" s="18" t="str">
        <f t="shared" ca="1" si="176"/>
        <v>Ma-Res-2024-1080</v>
      </c>
      <c r="B1081" s="5">
        <v>39</v>
      </c>
      <c r="C1081" s="5" t="str">
        <f t="shared" si="177"/>
        <v>30-39</v>
      </c>
      <c r="D1081" s="5" t="s">
        <v>43</v>
      </c>
      <c r="E1081" s="5" t="s">
        <v>45</v>
      </c>
      <c r="F1081" s="5" t="s">
        <v>39</v>
      </c>
      <c r="G1081" s="5">
        <v>3</v>
      </c>
      <c r="H1081" s="5" t="s">
        <v>53</v>
      </c>
      <c r="I1081" s="5" t="s">
        <v>41</v>
      </c>
      <c r="J1081" s="7">
        <v>8376</v>
      </c>
      <c r="K1081" s="7">
        <f t="shared" si="178"/>
        <v>1842.72</v>
      </c>
      <c r="L1081" s="7">
        <f t="shared" si="179"/>
        <v>6533.28</v>
      </c>
      <c r="M1081" s="7">
        <v>9150</v>
      </c>
      <c r="N1081" s="5" t="s">
        <v>43</v>
      </c>
      <c r="O1081" s="5">
        <v>18</v>
      </c>
      <c r="P1081" s="7">
        <f t="shared" si="180"/>
        <v>9883.68</v>
      </c>
      <c r="Q1081" s="7">
        <f t="shared" si="181"/>
        <v>18092.160000000003</v>
      </c>
      <c r="R1081" s="7" t="str">
        <f t="shared" si="182"/>
        <v>Normal</v>
      </c>
      <c r="S1081" s="5">
        <v>3</v>
      </c>
      <c r="T1081" s="5">
        <v>3</v>
      </c>
      <c r="U1081" s="5" t="str" cm="1">
        <f t="array" ref="U1081">_xlfn.IFS(T1081=1,"Poor",T1081=2,"Fair",T1081=3,"Good",T1081=4,"Excellent")</f>
        <v>Good</v>
      </c>
      <c r="V1081" s="5" t="s">
        <v>43</v>
      </c>
      <c r="W1081" s="5">
        <v>2</v>
      </c>
      <c r="X1081" s="28">
        <f t="shared" ca="1" si="183"/>
        <v>45381</v>
      </c>
      <c r="Y1081" s="28">
        <f t="shared" ca="1" si="184"/>
        <v>46842</v>
      </c>
      <c r="Z1081" s="28" t="str">
        <f t="shared" ca="1" si="185"/>
        <v>Upcoming</v>
      </c>
      <c r="AA1081" s="5" t="str" cm="1">
        <f t="array" ref="AA1081">_xlfn.IFS(W1081&gt;10,"Veteran",W1081&gt;=6,"Experienced",W1081&gt;=2,"Developing",W1081&gt;=0,"New")</f>
        <v>Developing</v>
      </c>
      <c r="AB1081" s="5" t="str" cm="1">
        <f t="array" ref="AB1081">_xlfn.IFS(G1081=1,"Junior",G1081=2,"Mid-Level",G1081=3,"Senior",G1081=4,"Lead",G1081=5,"Principal")&amp;" "&amp;TRIM(PROPER(H1081))</f>
        <v>Senior Manufacturing Director</v>
      </c>
      <c r="AC1081" s="19" t="str">
        <f t="shared" ca="1" si="186"/>
        <v>Ma-Res-2024-1080 is a Senior Manufacturing Director in the Research &amp; Development department, aged 39, single and has been with the Company for 2years</v>
      </c>
    </row>
    <row r="1082" spans="1:29">
      <c r="A1082" s="18" t="str">
        <f t="shared" ca="1" si="176"/>
        <v>Ma-Sal-2013-1081</v>
      </c>
      <c r="B1082" s="5">
        <v>46</v>
      </c>
      <c r="C1082" s="5" t="str">
        <f t="shared" si="177"/>
        <v>40-49</v>
      </c>
      <c r="D1082" s="5" t="s">
        <v>43</v>
      </c>
      <c r="E1082" s="5" t="s">
        <v>37</v>
      </c>
      <c r="F1082" s="5" t="s">
        <v>39</v>
      </c>
      <c r="G1082" s="5">
        <v>4</v>
      </c>
      <c r="H1082" s="5" t="s">
        <v>56</v>
      </c>
      <c r="I1082" s="5" t="s">
        <v>48</v>
      </c>
      <c r="J1082" s="7">
        <v>16606</v>
      </c>
      <c r="K1082" s="7">
        <f t="shared" si="178"/>
        <v>4981.8</v>
      </c>
      <c r="L1082" s="7">
        <f t="shared" si="179"/>
        <v>11624.2</v>
      </c>
      <c r="M1082" s="7">
        <v>11380</v>
      </c>
      <c r="N1082" s="5" t="s">
        <v>43</v>
      </c>
      <c r="O1082" s="5">
        <v>12</v>
      </c>
      <c r="P1082" s="7">
        <f t="shared" si="180"/>
        <v>18598.72</v>
      </c>
      <c r="Q1082" s="7">
        <f t="shared" si="181"/>
        <v>23912.640000000014</v>
      </c>
      <c r="R1082" s="7" t="str">
        <f t="shared" si="182"/>
        <v>Normal</v>
      </c>
      <c r="S1082" s="5">
        <v>3</v>
      </c>
      <c r="T1082" s="5">
        <v>4</v>
      </c>
      <c r="U1082" s="5" t="str" cm="1">
        <f t="array" ref="U1082">_xlfn.IFS(T1082=1,"Poor",T1082=2,"Fair",T1082=3,"Good",T1082=4,"Excellent")</f>
        <v>Excellent</v>
      </c>
      <c r="V1082" s="5" t="s">
        <v>43</v>
      </c>
      <c r="W1082" s="5">
        <v>13</v>
      </c>
      <c r="X1082" s="28">
        <f t="shared" ca="1" si="183"/>
        <v>41363</v>
      </c>
      <c r="Y1082" s="28">
        <f t="shared" ca="1" si="184"/>
        <v>46476</v>
      </c>
      <c r="Z1082" s="28" t="str">
        <f t="shared" ca="1" si="185"/>
        <v>Due Soon</v>
      </c>
      <c r="AA1082" s="5" t="str" cm="1">
        <f t="array" ref="AA1082">_xlfn.IFS(W1082&gt;10,"Veteran",W1082&gt;=6,"Experienced",W1082&gt;=2,"Developing",W1082&gt;=0,"New")</f>
        <v>Veteran</v>
      </c>
      <c r="AB1082" s="5" t="str" cm="1">
        <f t="array" ref="AB1082">_xlfn.IFS(G1082=1,"Junior",G1082=2,"Mid-Level",G1082=3,"Senior",G1082=4,"Lead",G1082=5,"Principal")&amp;" "&amp;TRIM(PROPER(H1082))</f>
        <v>Lead Manager</v>
      </c>
      <c r="AC1082" s="19" t="str">
        <f t="shared" ca="1" si="186"/>
        <v>Ma-Sal-2013-1081 is a Lead Manager in the Sales department, aged 46, married and has been with the Company for 13years</v>
      </c>
    </row>
    <row r="1083" spans="1:29">
      <c r="A1083" s="18" t="str">
        <f t="shared" ca="1" si="176"/>
        <v>He-Res-2015-1082</v>
      </c>
      <c r="B1083" s="5">
        <v>35</v>
      </c>
      <c r="C1083" s="5" t="str">
        <f t="shared" si="177"/>
        <v>30-39</v>
      </c>
      <c r="D1083" s="5" t="s">
        <v>43</v>
      </c>
      <c r="E1083" s="5" t="s">
        <v>45</v>
      </c>
      <c r="F1083" s="5" t="s">
        <v>39</v>
      </c>
      <c r="G1083" s="5">
        <v>3</v>
      </c>
      <c r="H1083" s="5" t="s">
        <v>54</v>
      </c>
      <c r="I1083" s="5" t="s">
        <v>41</v>
      </c>
      <c r="J1083" s="7">
        <v>8606</v>
      </c>
      <c r="K1083" s="7">
        <f t="shared" si="178"/>
        <v>1893.32</v>
      </c>
      <c r="L1083" s="7">
        <f t="shared" si="179"/>
        <v>6712.68</v>
      </c>
      <c r="M1083" s="7">
        <v>21195</v>
      </c>
      <c r="N1083" s="5" t="s">
        <v>43</v>
      </c>
      <c r="O1083" s="5">
        <v>19</v>
      </c>
      <c r="P1083" s="7">
        <f t="shared" si="180"/>
        <v>10241.14</v>
      </c>
      <c r="Q1083" s="7">
        <f t="shared" si="181"/>
        <v>19621.679999999993</v>
      </c>
      <c r="R1083" s="7" t="str">
        <f t="shared" si="182"/>
        <v>Normal</v>
      </c>
      <c r="S1083" s="5">
        <v>3</v>
      </c>
      <c r="T1083" s="5">
        <v>1</v>
      </c>
      <c r="U1083" s="5" t="str" cm="1">
        <f t="array" ref="U1083">_xlfn.IFS(T1083=1,"Poor",T1083=2,"Fair",T1083=3,"Good",T1083=4,"Excellent")</f>
        <v>Poor</v>
      </c>
      <c r="V1083" s="5" t="s">
        <v>43</v>
      </c>
      <c r="W1083" s="5">
        <v>11</v>
      </c>
      <c r="X1083" s="28">
        <f t="shared" ca="1" si="183"/>
        <v>42093</v>
      </c>
      <c r="Y1083" s="28">
        <f t="shared" ca="1" si="184"/>
        <v>46476</v>
      </c>
      <c r="Z1083" s="28" t="str">
        <f t="shared" ca="1" si="185"/>
        <v>Due Soon</v>
      </c>
      <c r="AA1083" s="5" t="str" cm="1">
        <f t="array" ref="AA1083">_xlfn.IFS(W1083&gt;10,"Veteran",W1083&gt;=6,"Experienced",W1083&gt;=2,"Developing",W1083&gt;=0,"New")</f>
        <v>Veteran</v>
      </c>
      <c r="AB1083" s="5" t="str" cm="1">
        <f t="array" ref="AB1083">_xlfn.IFS(G1083=1,"Junior",G1083=2,"Mid-Level",G1083=3,"Senior",G1083=4,"Lead",G1083=5,"Principal")&amp;" "&amp;TRIM(PROPER(H1083))</f>
        <v>Senior Healthcare Representative</v>
      </c>
      <c r="AC1083" s="19" t="str">
        <f t="shared" ca="1" si="186"/>
        <v>He-Res-2015-1082 is a Senior Healthcare Representative in the Research &amp; Development department, aged 35, single and has been with the Company for 11years</v>
      </c>
    </row>
    <row r="1084" spans="1:29">
      <c r="A1084" s="18" t="str">
        <f t="shared" ca="1" si="176"/>
        <v>La-Res-2022-1083</v>
      </c>
      <c r="B1084" s="5">
        <v>23</v>
      </c>
      <c r="C1084" s="5" t="str">
        <f t="shared" si="177"/>
        <v>20-29</v>
      </c>
      <c r="D1084" s="5" t="s">
        <v>43</v>
      </c>
      <c r="E1084" s="5" t="s">
        <v>45</v>
      </c>
      <c r="F1084" s="5" t="s">
        <v>46</v>
      </c>
      <c r="G1084" s="5">
        <v>2</v>
      </c>
      <c r="H1084" s="5" t="s">
        <v>50</v>
      </c>
      <c r="I1084" s="5" t="s">
        <v>41</v>
      </c>
      <c r="J1084" s="7">
        <v>2272</v>
      </c>
      <c r="K1084" s="7">
        <f t="shared" si="178"/>
        <v>159.04000000000002</v>
      </c>
      <c r="L1084" s="7">
        <f t="shared" si="179"/>
        <v>2112.96</v>
      </c>
      <c r="M1084" s="7">
        <v>24812</v>
      </c>
      <c r="N1084" s="5" t="s">
        <v>43</v>
      </c>
      <c r="O1084" s="5">
        <v>14</v>
      </c>
      <c r="P1084" s="7">
        <f t="shared" si="180"/>
        <v>2590.0800000000004</v>
      </c>
      <c r="Q1084" s="7">
        <f t="shared" si="181"/>
        <v>3816.9600000000046</v>
      </c>
      <c r="R1084" s="7" t="str">
        <f t="shared" si="182"/>
        <v>Normal</v>
      </c>
      <c r="S1084" s="5">
        <v>3</v>
      </c>
      <c r="T1084" s="5">
        <v>3</v>
      </c>
      <c r="U1084" s="5" t="str" cm="1">
        <f t="array" ref="U1084">_xlfn.IFS(T1084=1,"Poor",T1084=2,"Fair",T1084=3,"Good",T1084=4,"Excellent")</f>
        <v>Good</v>
      </c>
      <c r="V1084" s="5" t="s">
        <v>43</v>
      </c>
      <c r="W1084" s="5">
        <v>4</v>
      </c>
      <c r="X1084" s="28">
        <f t="shared" ca="1" si="183"/>
        <v>44650</v>
      </c>
      <c r="Y1084" s="28">
        <f t="shared" ca="1" si="184"/>
        <v>46842</v>
      </c>
      <c r="Z1084" s="28" t="str">
        <f t="shared" ca="1" si="185"/>
        <v>Upcoming</v>
      </c>
      <c r="AA1084" s="5" t="str" cm="1">
        <f t="array" ref="AA1084">_xlfn.IFS(W1084&gt;10,"Veteran",W1084&gt;=6,"Experienced",W1084&gt;=2,"Developing",W1084&gt;=0,"New")</f>
        <v>Developing</v>
      </c>
      <c r="AB1084" s="5" t="str" cm="1">
        <f t="array" ref="AB1084">_xlfn.IFS(G1084=1,"Junior",G1084=2,"Mid-Level",G1084=3,"Senior",G1084=4,"Lead",G1084=5,"Principal")&amp;" "&amp;TRIM(PROPER(H1084))</f>
        <v>Mid-Level Laboratory Technician</v>
      </c>
      <c r="AC1084" s="19" t="str">
        <f t="shared" ca="1" si="186"/>
        <v>La-Res-2022-1083 is a Mid-Level Laboratory Technician in the Research &amp; Development department, aged 23, single and has been with the Company for 4years</v>
      </c>
    </row>
    <row r="1085" spans="1:29">
      <c r="A1085" s="18" t="str">
        <f t="shared" ca="1" si="176"/>
        <v>La-Res-2021-1084</v>
      </c>
      <c r="B1085" s="5">
        <v>40</v>
      </c>
      <c r="C1085" s="5" t="str">
        <f t="shared" si="177"/>
        <v>40-49</v>
      </c>
      <c r="D1085" s="5" t="s">
        <v>35</v>
      </c>
      <c r="E1085" s="5" t="s">
        <v>45</v>
      </c>
      <c r="F1085" s="5" t="s">
        <v>46</v>
      </c>
      <c r="G1085" s="5">
        <v>1</v>
      </c>
      <c r="H1085" s="5" t="s">
        <v>50</v>
      </c>
      <c r="I1085" s="5" t="s">
        <v>41</v>
      </c>
      <c r="J1085" s="7">
        <v>2018</v>
      </c>
      <c r="K1085" s="7">
        <f t="shared" si="178"/>
        <v>141.26000000000002</v>
      </c>
      <c r="L1085" s="7">
        <f t="shared" si="179"/>
        <v>1876.74</v>
      </c>
      <c r="M1085" s="7">
        <v>21831</v>
      </c>
      <c r="N1085" s="5" t="s">
        <v>43</v>
      </c>
      <c r="O1085" s="5">
        <v>14</v>
      </c>
      <c r="P1085" s="7">
        <f t="shared" si="180"/>
        <v>2300.5200000000004</v>
      </c>
      <c r="Q1085" s="7">
        <f t="shared" si="181"/>
        <v>3390.2400000000052</v>
      </c>
      <c r="R1085" s="7" t="str">
        <f t="shared" si="182"/>
        <v>Normal</v>
      </c>
      <c r="S1085" s="5">
        <v>3</v>
      </c>
      <c r="T1085" s="5">
        <v>1</v>
      </c>
      <c r="U1085" s="5" t="str" cm="1">
        <f t="array" ref="U1085">_xlfn.IFS(T1085=1,"Poor",T1085=2,"Fair",T1085=3,"Good",T1085=4,"Excellent")</f>
        <v>Poor</v>
      </c>
      <c r="V1085" s="5" t="s">
        <v>43</v>
      </c>
      <c r="W1085" s="5">
        <v>5</v>
      </c>
      <c r="X1085" s="28">
        <f t="shared" ca="1" si="183"/>
        <v>44285</v>
      </c>
      <c r="Y1085" s="28">
        <f t="shared" ca="1" si="184"/>
        <v>46476</v>
      </c>
      <c r="Z1085" s="28" t="str">
        <f t="shared" ca="1" si="185"/>
        <v>Due Soon</v>
      </c>
      <c r="AA1085" s="5" t="str" cm="1">
        <f t="array" ref="AA1085">_xlfn.IFS(W1085&gt;10,"Veteran",W1085&gt;=6,"Experienced",W1085&gt;=2,"Developing",W1085&gt;=0,"New")</f>
        <v>Developing</v>
      </c>
      <c r="AB1085" s="5" t="str" cm="1">
        <f t="array" ref="AB1085">_xlfn.IFS(G1085=1,"Junior",G1085=2,"Mid-Level",G1085=3,"Senior",G1085=4,"Lead",G1085=5,"Principal")&amp;" "&amp;TRIM(PROPER(H1085))</f>
        <v>Junior Laboratory Technician</v>
      </c>
      <c r="AC1085" s="19" t="str">
        <f t="shared" ca="1" si="186"/>
        <v>La-Res-2021-1084 is a Junior Laboratory Technician in the Research &amp; Development department, aged 40, single and has been with the Company for 5years</v>
      </c>
    </row>
    <row r="1086" spans="1:29">
      <c r="A1086" s="18" t="str">
        <f t="shared" ca="1" si="176"/>
        <v>Sa-Sal-2016-1085</v>
      </c>
      <c r="B1086" s="5">
        <v>34</v>
      </c>
      <c r="C1086" s="5" t="str">
        <f t="shared" si="177"/>
        <v>30-39</v>
      </c>
      <c r="D1086" s="5" t="s">
        <v>43</v>
      </c>
      <c r="E1086" s="5" t="s">
        <v>37</v>
      </c>
      <c r="F1086" s="5" t="s">
        <v>46</v>
      </c>
      <c r="G1086" s="5">
        <v>3</v>
      </c>
      <c r="H1086" s="5" t="s">
        <v>40</v>
      </c>
      <c r="I1086" s="5" t="s">
        <v>48</v>
      </c>
      <c r="J1086" s="7">
        <v>7083</v>
      </c>
      <c r="K1086" s="7">
        <f t="shared" si="178"/>
        <v>1558.26</v>
      </c>
      <c r="L1086" s="7">
        <f t="shared" si="179"/>
        <v>5524.74</v>
      </c>
      <c r="M1086" s="7">
        <v>12288</v>
      </c>
      <c r="N1086" s="5" t="s">
        <v>35</v>
      </c>
      <c r="O1086" s="5">
        <v>14</v>
      </c>
      <c r="P1086" s="7">
        <f t="shared" si="180"/>
        <v>8074.6200000000008</v>
      </c>
      <c r="Q1086" s="7">
        <f t="shared" si="181"/>
        <v>11899.44000000001</v>
      </c>
      <c r="R1086" s="7" t="str">
        <f t="shared" si="182"/>
        <v>Normal</v>
      </c>
      <c r="S1086" s="5">
        <v>3</v>
      </c>
      <c r="T1086" s="5">
        <v>3</v>
      </c>
      <c r="U1086" s="5" t="str" cm="1">
        <f t="array" ref="U1086">_xlfn.IFS(T1086=1,"Poor",T1086=2,"Fair",T1086=3,"Good",T1086=4,"Excellent")</f>
        <v>Good</v>
      </c>
      <c r="V1086" s="5" t="s">
        <v>35</v>
      </c>
      <c r="W1086" s="5">
        <v>10</v>
      </c>
      <c r="X1086" s="28">
        <f t="shared" ca="1" si="183"/>
        <v>42459</v>
      </c>
      <c r="Y1086" s="28">
        <f t="shared" ca="1" si="184"/>
        <v>46842</v>
      </c>
      <c r="Z1086" s="28" t="str">
        <f t="shared" ca="1" si="185"/>
        <v>Upcoming</v>
      </c>
      <c r="AA1086" s="5" t="str" cm="1">
        <f t="array" ref="AA1086">_xlfn.IFS(W1086&gt;10,"Veteran",W1086&gt;=6,"Experienced",W1086&gt;=2,"Developing",W1086&gt;=0,"New")</f>
        <v>Experienced</v>
      </c>
      <c r="AB1086" s="5" t="str" cm="1">
        <f t="array" ref="AB1086">_xlfn.IFS(G1086=1,"Junior",G1086=2,"Mid-Level",G1086=3,"Senior",G1086=4,"Lead",G1086=5,"Principal")&amp;" "&amp;TRIM(PROPER(H1086))</f>
        <v>Senior Sales Executive</v>
      </c>
      <c r="AC1086" s="19" t="str">
        <f t="shared" ca="1" si="186"/>
        <v>Sa-Sal-2016-1085 is a Senior Sales Executive in the Sales department, aged 34, married and has been with the Company for 10years</v>
      </c>
    </row>
    <row r="1087" spans="1:29">
      <c r="A1087" s="18" t="str">
        <f t="shared" ca="1" si="176"/>
        <v>Re-Res-2019-1086</v>
      </c>
      <c r="B1087" s="5">
        <v>31</v>
      </c>
      <c r="C1087" s="5" t="str">
        <f t="shared" si="177"/>
        <v>30-39</v>
      </c>
      <c r="D1087" s="5" t="s">
        <v>35</v>
      </c>
      <c r="E1087" s="5" t="s">
        <v>45</v>
      </c>
      <c r="F1087" s="5" t="s">
        <v>39</v>
      </c>
      <c r="G1087" s="5">
        <v>1</v>
      </c>
      <c r="H1087" s="5" t="s">
        <v>47</v>
      </c>
      <c r="I1087" s="5" t="s">
        <v>41</v>
      </c>
      <c r="J1087" s="7">
        <v>4084</v>
      </c>
      <c r="K1087" s="7">
        <f t="shared" si="178"/>
        <v>612.6</v>
      </c>
      <c r="L1087" s="7">
        <f t="shared" si="179"/>
        <v>3471.4</v>
      </c>
      <c r="M1087" s="7">
        <v>4156</v>
      </c>
      <c r="N1087" s="5" t="s">
        <v>43</v>
      </c>
      <c r="O1087" s="5">
        <v>12</v>
      </c>
      <c r="P1087" s="7">
        <f t="shared" si="180"/>
        <v>4574.0800000000008</v>
      </c>
      <c r="Q1087" s="7">
        <f t="shared" si="181"/>
        <v>5880.96000000001</v>
      </c>
      <c r="R1087" s="7" t="str">
        <f t="shared" si="182"/>
        <v>Normal</v>
      </c>
      <c r="S1087" s="5">
        <v>3</v>
      </c>
      <c r="T1087" s="5">
        <v>1</v>
      </c>
      <c r="U1087" s="5" t="str" cm="1">
        <f t="array" ref="U1087">_xlfn.IFS(T1087=1,"Poor",T1087=2,"Fair",T1087=3,"Good",T1087=4,"Excellent")</f>
        <v>Poor</v>
      </c>
      <c r="V1087" s="5" t="s">
        <v>43</v>
      </c>
      <c r="W1087" s="5">
        <v>7</v>
      </c>
      <c r="X1087" s="28">
        <f t="shared" ca="1" si="183"/>
        <v>43554</v>
      </c>
      <c r="Y1087" s="28">
        <f t="shared" ca="1" si="184"/>
        <v>46476</v>
      </c>
      <c r="Z1087" s="28" t="str">
        <f t="shared" ca="1" si="185"/>
        <v>Due Soon</v>
      </c>
      <c r="AA1087" s="5" t="str" cm="1">
        <f t="array" ref="AA1087">_xlfn.IFS(W1087&gt;10,"Veteran",W1087&gt;=6,"Experienced",W1087&gt;=2,"Developing",W1087&gt;=0,"New")</f>
        <v>Experienced</v>
      </c>
      <c r="AB1087" s="5" t="str" cm="1">
        <f t="array" ref="AB1087">_xlfn.IFS(G1087=1,"Junior",G1087=2,"Mid-Level",G1087=3,"Senior",G1087=4,"Lead",G1087=5,"Principal")&amp;" "&amp;TRIM(PROPER(H1087))</f>
        <v>Junior Research Scientist</v>
      </c>
      <c r="AC1087" s="19" t="str">
        <f t="shared" ca="1" si="186"/>
        <v>Re-Res-2019-1086 is a Junior Research Scientist in the Research &amp; Development department, aged 31, single and has been with the Company for 7years</v>
      </c>
    </row>
    <row r="1088" spans="1:29">
      <c r="A1088" s="18" t="str">
        <f t="shared" ca="1" si="176"/>
        <v>Re-Res-1994-1087</v>
      </c>
      <c r="B1088" s="5">
        <v>50</v>
      </c>
      <c r="C1088" s="5" t="str">
        <f t="shared" si="177"/>
        <v>50+</v>
      </c>
      <c r="D1088" s="5" t="s">
        <v>43</v>
      </c>
      <c r="E1088" s="5" t="s">
        <v>45</v>
      </c>
      <c r="F1088" s="5" t="s">
        <v>46</v>
      </c>
      <c r="G1088" s="5">
        <v>4</v>
      </c>
      <c r="H1088" s="5" t="s">
        <v>58</v>
      </c>
      <c r="I1088" s="5" t="s">
        <v>41</v>
      </c>
      <c r="J1088" s="7">
        <v>14411</v>
      </c>
      <c r="K1088" s="7">
        <f t="shared" si="178"/>
        <v>4323.3</v>
      </c>
      <c r="L1088" s="7">
        <f t="shared" si="179"/>
        <v>10087.700000000001</v>
      </c>
      <c r="M1088" s="7">
        <v>24450</v>
      </c>
      <c r="N1088" s="5" t="s">
        <v>35</v>
      </c>
      <c r="O1088" s="5">
        <v>13</v>
      </c>
      <c r="P1088" s="7">
        <f t="shared" si="180"/>
        <v>16284.429999999998</v>
      </c>
      <c r="Q1088" s="7">
        <f t="shared" si="181"/>
        <v>22481.159999999982</v>
      </c>
      <c r="R1088" s="7" t="str">
        <f t="shared" si="182"/>
        <v>Normal</v>
      </c>
      <c r="S1088" s="5">
        <v>3</v>
      </c>
      <c r="T1088" s="5">
        <v>3</v>
      </c>
      <c r="U1088" s="5" t="str" cm="1">
        <f t="array" ref="U1088">_xlfn.IFS(T1088=1,"Poor",T1088=2,"Fair",T1088=3,"Good",T1088=4,"Excellent")</f>
        <v>Good</v>
      </c>
      <c r="V1088" s="5" t="s">
        <v>35</v>
      </c>
      <c r="W1088" s="5">
        <v>32</v>
      </c>
      <c r="X1088" s="28">
        <f t="shared" ca="1" si="183"/>
        <v>34423</v>
      </c>
      <c r="Y1088" s="28">
        <f t="shared" ca="1" si="184"/>
        <v>46842</v>
      </c>
      <c r="Z1088" s="28" t="str">
        <f t="shared" ca="1" si="185"/>
        <v>Upcoming</v>
      </c>
      <c r="AA1088" s="5" t="str" cm="1">
        <f t="array" ref="AA1088">_xlfn.IFS(W1088&gt;10,"Veteran",W1088&gt;=6,"Experienced",W1088&gt;=2,"Developing",W1088&gt;=0,"New")</f>
        <v>Veteran</v>
      </c>
      <c r="AB1088" s="5" t="str" cm="1">
        <f t="array" ref="AB1088">_xlfn.IFS(G1088=1,"Junior",G1088=2,"Mid-Level",G1088=3,"Senior",G1088=4,"Lead",G1088=5,"Principal")&amp;" "&amp;TRIM(PROPER(H1088))</f>
        <v>Lead Research Director</v>
      </c>
      <c r="AC1088" s="19" t="str">
        <f t="shared" ca="1" si="186"/>
        <v>Re-Res-1994-1087 is a Lead Research Director in the Research &amp; Development department, aged 50, single and has been with the Company for 32years</v>
      </c>
    </row>
    <row r="1089" spans="1:29">
      <c r="A1089" s="18" t="str">
        <f t="shared" ca="1" si="176"/>
        <v>Sa-Sal-2015-1088</v>
      </c>
      <c r="B1089" s="5">
        <v>34</v>
      </c>
      <c r="C1089" s="5" t="str">
        <f t="shared" si="177"/>
        <v>30-39</v>
      </c>
      <c r="D1089" s="5" t="s">
        <v>43</v>
      </c>
      <c r="E1089" s="5" t="s">
        <v>37</v>
      </c>
      <c r="F1089" s="5" t="s">
        <v>46</v>
      </c>
      <c r="G1089" s="5">
        <v>1</v>
      </c>
      <c r="H1089" s="5" t="s">
        <v>57</v>
      </c>
      <c r="I1089" s="5" t="s">
        <v>48</v>
      </c>
      <c r="J1089" s="7">
        <v>2308</v>
      </c>
      <c r="K1089" s="7">
        <f t="shared" si="178"/>
        <v>161.56</v>
      </c>
      <c r="L1089" s="7">
        <f t="shared" si="179"/>
        <v>2146.44</v>
      </c>
      <c r="M1089" s="7">
        <v>4944</v>
      </c>
      <c r="N1089" s="5" t="s">
        <v>35</v>
      </c>
      <c r="O1089" s="5">
        <v>25</v>
      </c>
      <c r="P1089" s="7">
        <f t="shared" si="180"/>
        <v>2885</v>
      </c>
      <c r="Q1089" s="7">
        <f t="shared" si="181"/>
        <v>6924</v>
      </c>
      <c r="R1089" s="7" t="str">
        <f t="shared" si="182"/>
        <v>Normal</v>
      </c>
      <c r="S1089" s="5">
        <v>4</v>
      </c>
      <c r="T1089" s="5">
        <v>3</v>
      </c>
      <c r="U1089" s="5" t="str" cm="1">
        <f t="array" ref="U1089">_xlfn.IFS(T1089=1,"Poor",T1089=2,"Fair",T1089=3,"Good",T1089=4,"Excellent")</f>
        <v>Good</v>
      </c>
      <c r="V1089" s="5" t="s">
        <v>35</v>
      </c>
      <c r="W1089" s="5">
        <v>11</v>
      </c>
      <c r="X1089" s="28">
        <f t="shared" ca="1" si="183"/>
        <v>42093</v>
      </c>
      <c r="Y1089" s="28">
        <f t="shared" ca="1" si="184"/>
        <v>46476</v>
      </c>
      <c r="Z1089" s="28" t="str">
        <f t="shared" ca="1" si="185"/>
        <v>Due Soon</v>
      </c>
      <c r="AA1089" s="5" t="str" cm="1">
        <f t="array" ref="AA1089">_xlfn.IFS(W1089&gt;10,"Veteran",W1089&gt;=6,"Experienced",W1089&gt;=2,"Developing",W1089&gt;=0,"New")</f>
        <v>Veteran</v>
      </c>
      <c r="AB1089" s="5" t="str" cm="1">
        <f t="array" ref="AB1089">_xlfn.IFS(G1089=1,"Junior",G1089=2,"Mid-Level",G1089=3,"Senior",G1089=4,"Lead",G1089=5,"Principal")&amp;" "&amp;TRIM(PROPER(H1089))</f>
        <v>Junior Sales Representative</v>
      </c>
      <c r="AC1089" s="19" t="str">
        <f t="shared" ca="1" si="186"/>
        <v>Sa-Sal-2015-1088 is a Junior Sales Representative in the Sales department, aged 34, married and has been with the Company for 11years</v>
      </c>
    </row>
    <row r="1090" spans="1:29">
      <c r="A1090" s="18" t="str">
        <f t="shared" ca="1" si="176"/>
        <v>La-Res-2025-1089</v>
      </c>
      <c r="B1090" s="5">
        <v>42</v>
      </c>
      <c r="C1090" s="5" t="str">
        <f t="shared" si="177"/>
        <v>40-49</v>
      </c>
      <c r="D1090" s="5" t="s">
        <v>43</v>
      </c>
      <c r="E1090" s="5" t="s">
        <v>45</v>
      </c>
      <c r="F1090" s="5" t="s">
        <v>46</v>
      </c>
      <c r="G1090" s="5">
        <v>1</v>
      </c>
      <c r="H1090" s="5" t="s">
        <v>50</v>
      </c>
      <c r="I1090" s="5" t="s">
        <v>48</v>
      </c>
      <c r="J1090" s="7">
        <v>4841</v>
      </c>
      <c r="K1090" s="7">
        <f t="shared" si="178"/>
        <v>726.15</v>
      </c>
      <c r="L1090" s="7">
        <f t="shared" si="179"/>
        <v>4114.8500000000004</v>
      </c>
      <c r="M1090" s="7">
        <v>24052</v>
      </c>
      <c r="N1090" s="5" t="s">
        <v>43</v>
      </c>
      <c r="O1090" s="5">
        <v>14</v>
      </c>
      <c r="P1090" s="7">
        <f t="shared" si="180"/>
        <v>5518.7400000000007</v>
      </c>
      <c r="Q1090" s="7">
        <f t="shared" si="181"/>
        <v>8132.8800000000083</v>
      </c>
      <c r="R1090" s="7" t="str">
        <f t="shared" si="182"/>
        <v>Normal</v>
      </c>
      <c r="S1090" s="5">
        <v>3</v>
      </c>
      <c r="T1090" s="5">
        <v>3</v>
      </c>
      <c r="U1090" s="5" t="str" cm="1">
        <f t="array" ref="U1090">_xlfn.IFS(T1090=1,"Poor",T1090=2,"Fair",T1090=3,"Good",T1090=4,"Excellent")</f>
        <v>Good</v>
      </c>
      <c r="V1090" s="5" t="s">
        <v>43</v>
      </c>
      <c r="W1090" s="5">
        <v>1</v>
      </c>
      <c r="X1090" s="28">
        <f t="shared" ca="1" si="183"/>
        <v>45746</v>
      </c>
      <c r="Y1090" s="28">
        <f t="shared" ca="1" si="184"/>
        <v>46476</v>
      </c>
      <c r="Z1090" s="28" t="str">
        <f t="shared" ca="1" si="185"/>
        <v>Due Soon</v>
      </c>
      <c r="AA1090" s="5" t="str" cm="1">
        <f t="array" ref="AA1090">_xlfn.IFS(W1090&gt;10,"Veteran",W1090&gt;=6,"Experienced",W1090&gt;=2,"Developing",W1090&gt;=0,"New")</f>
        <v>New</v>
      </c>
      <c r="AB1090" s="5" t="str" cm="1">
        <f t="array" ref="AB1090">_xlfn.IFS(G1090=1,"Junior",G1090=2,"Mid-Level",G1090=3,"Senior",G1090=4,"Lead",G1090=5,"Principal")&amp;" "&amp;TRIM(PROPER(H1090))</f>
        <v>Junior Laboratory Technician</v>
      </c>
      <c r="AC1090" s="19" t="str">
        <f t="shared" ca="1" si="186"/>
        <v>La-Res-2025-1089 is a Junior Laboratory Technician in the Research &amp; Development department, aged 42, married and has been with the Company for 1years</v>
      </c>
    </row>
    <row r="1091" spans="1:29">
      <c r="A1091" s="18" t="str">
        <f t="shared" ref="A1091:A1154" ca="1" si="187">LEFT(H1091,2)&amp;"-"&amp;LEFT(E1091,3)&amp;"-"&amp;YEAR(TODAY())-W1091&amp;"-"&amp;TEXT(ROW()-1,"000")</f>
        <v>Re-Res-2016-1090</v>
      </c>
      <c r="B1091" s="5">
        <v>37</v>
      </c>
      <c r="C1091" s="5" t="str">
        <f t="shared" ref="C1091:C1154" si="188">IF(B1091&lt;=29,"20-29",IF(B1091&lt;=39,"30-39",IF(B1091&lt;=49,"40-49","50+")))</f>
        <v>30-39</v>
      </c>
      <c r="D1091" s="5" t="s">
        <v>43</v>
      </c>
      <c r="E1091" s="5" t="s">
        <v>45</v>
      </c>
      <c r="F1091" s="5" t="s">
        <v>46</v>
      </c>
      <c r="G1091" s="5">
        <v>2</v>
      </c>
      <c r="H1091" s="5" t="s">
        <v>47</v>
      </c>
      <c r="I1091" s="5" t="s">
        <v>48</v>
      </c>
      <c r="J1091" s="7">
        <v>4285</v>
      </c>
      <c r="K1091" s="7">
        <f t="shared" ref="K1091:K1154" si="189">IF(J1091&gt;13000,J1091*30%,IF(J1091&gt;7000,J1091*22%,IF(J1091&gt;3000,J1091*15%,J1091*7%)))</f>
        <v>642.75</v>
      </c>
      <c r="L1091" s="7">
        <f t="shared" ref="L1091:L1154" si="190">J1091-K1091</f>
        <v>3642.25</v>
      </c>
      <c r="M1091" s="7">
        <v>3031</v>
      </c>
      <c r="N1091" s="5" t="s">
        <v>43</v>
      </c>
      <c r="O1091" s="5">
        <v>17</v>
      </c>
      <c r="P1091" s="7">
        <f t="shared" ref="P1091:P1154" si="191">J1091*(1+(O1091/100))</f>
        <v>5013.45</v>
      </c>
      <c r="Q1091" s="7">
        <f t="shared" ref="Q1091:Q1154" si="192">(P1091-J1091)*12</f>
        <v>8741.3999999999978</v>
      </c>
      <c r="R1091" s="7" t="str">
        <f t="shared" ref="R1091:R1154" si="193">IF(AND(O1091&lt;12,S1091=4),"UnderPaid","Normal")</f>
        <v>Normal</v>
      </c>
      <c r="S1091" s="5">
        <v>3</v>
      </c>
      <c r="T1091" s="5">
        <v>3</v>
      </c>
      <c r="U1091" s="5" t="str" cm="1">
        <f t="array" ref="U1091">_xlfn.IFS(T1091=1,"Poor",T1091=2,"Fair",T1091=3,"Good",T1091=4,"Excellent")</f>
        <v>Good</v>
      </c>
      <c r="V1091" s="5" t="s">
        <v>43</v>
      </c>
      <c r="W1091" s="5">
        <v>10</v>
      </c>
      <c r="X1091" s="28">
        <f t="shared" ref="X1091:X1154" ca="1" si="194">EDATE(TODAY(),-W1091*12)</f>
        <v>42459</v>
      </c>
      <c r="Y1091" s="28">
        <f t="shared" ref="Y1091:Y1154" ca="1" si="195">EDATE(X1091,(INT(W1091/2)+1)*24)</f>
        <v>46842</v>
      </c>
      <c r="Z1091" s="28" t="str">
        <f t="shared" ref="Z1091:Z1154" ca="1" si="196">IF(Y1091&lt;=EDATE(TODAY(),12),"Due Soon","Upcoming")</f>
        <v>Upcoming</v>
      </c>
      <c r="AA1091" s="5" t="str" cm="1">
        <f t="array" ref="AA1091">_xlfn.IFS(W1091&gt;10,"Veteran",W1091&gt;=6,"Experienced",W1091&gt;=2,"Developing",W1091&gt;=0,"New")</f>
        <v>Experienced</v>
      </c>
      <c r="AB1091" s="5" t="str" cm="1">
        <f t="array" ref="AB1091">_xlfn.IFS(G1091=1,"Junior",G1091=2,"Mid-Level",G1091=3,"Senior",G1091=4,"Lead",G1091=5,"Principal")&amp;" "&amp;TRIM(PROPER(H1091))</f>
        <v>Mid-Level Research Scientist</v>
      </c>
      <c r="AC1091" s="19" t="str">
        <f t="shared" ref="AC1091:AC1154" ca="1" si="197">A1091&amp;" is a "&amp;AB1091&amp;" in the "&amp;E1091&amp;" department, aged "&amp;B1091&amp;", "&amp;LOWER(I1091)&amp;" and has been with the Company for "&amp;W1091&amp;"years"</f>
        <v>Re-Res-2016-1090 is a Mid-Level Research Scientist in the Research &amp; Development department, aged 37, married and has been with the Company for 10years</v>
      </c>
    </row>
    <row r="1092" spans="1:29">
      <c r="A1092" s="18" t="str">
        <f t="shared" ca="1" si="187"/>
        <v>He-Res-2019-1091</v>
      </c>
      <c r="B1092" s="5">
        <v>29</v>
      </c>
      <c r="C1092" s="5" t="str">
        <f t="shared" si="188"/>
        <v>20-29</v>
      </c>
      <c r="D1092" s="5" t="s">
        <v>43</v>
      </c>
      <c r="E1092" s="5" t="s">
        <v>45</v>
      </c>
      <c r="F1092" s="5" t="s">
        <v>39</v>
      </c>
      <c r="G1092" s="5">
        <v>2</v>
      </c>
      <c r="H1092" s="5" t="s">
        <v>54</v>
      </c>
      <c r="I1092" s="5" t="s">
        <v>48</v>
      </c>
      <c r="J1092" s="7">
        <v>9715</v>
      </c>
      <c r="K1092" s="7">
        <f t="shared" si="189"/>
        <v>2137.3000000000002</v>
      </c>
      <c r="L1092" s="7">
        <f t="shared" si="190"/>
        <v>7577.7</v>
      </c>
      <c r="M1092" s="7">
        <v>7288</v>
      </c>
      <c r="N1092" s="5" t="s">
        <v>43</v>
      </c>
      <c r="O1092" s="5">
        <v>13</v>
      </c>
      <c r="P1092" s="7">
        <f t="shared" si="191"/>
        <v>10977.949999999999</v>
      </c>
      <c r="Q1092" s="7">
        <f t="shared" si="192"/>
        <v>15155.399999999987</v>
      </c>
      <c r="R1092" s="7" t="str">
        <f t="shared" si="193"/>
        <v>Normal</v>
      </c>
      <c r="S1092" s="5">
        <v>3</v>
      </c>
      <c r="T1092" s="5">
        <v>3</v>
      </c>
      <c r="U1092" s="5" t="str" cm="1">
        <f t="array" ref="U1092">_xlfn.IFS(T1092=1,"Poor",T1092=2,"Fair",T1092=3,"Good",T1092=4,"Excellent")</f>
        <v>Good</v>
      </c>
      <c r="V1092" s="5" t="s">
        <v>43</v>
      </c>
      <c r="W1092" s="5">
        <v>7</v>
      </c>
      <c r="X1092" s="28">
        <f t="shared" ca="1" si="194"/>
        <v>43554</v>
      </c>
      <c r="Y1092" s="28">
        <f t="shared" ca="1" si="195"/>
        <v>46476</v>
      </c>
      <c r="Z1092" s="28" t="str">
        <f t="shared" ca="1" si="196"/>
        <v>Due Soon</v>
      </c>
      <c r="AA1092" s="5" t="str" cm="1">
        <f t="array" ref="AA1092">_xlfn.IFS(W1092&gt;10,"Veteran",W1092&gt;=6,"Experienced",W1092&gt;=2,"Developing",W1092&gt;=0,"New")</f>
        <v>Experienced</v>
      </c>
      <c r="AB1092" s="5" t="str" cm="1">
        <f t="array" ref="AB1092">_xlfn.IFS(G1092=1,"Junior",G1092=2,"Mid-Level",G1092=3,"Senior",G1092=4,"Lead",G1092=5,"Principal")&amp;" "&amp;TRIM(PROPER(H1092))</f>
        <v>Mid-Level Healthcare Representative</v>
      </c>
      <c r="AC1092" s="19" t="str">
        <f t="shared" ca="1" si="197"/>
        <v>He-Res-2019-1091 is a Mid-Level Healthcare Representative in the Research &amp; Development department, aged 29, married and has been with the Company for 7years</v>
      </c>
    </row>
    <row r="1093" spans="1:29">
      <c r="A1093" s="18" t="str">
        <f t="shared" ca="1" si="187"/>
        <v>Ma-Res-2021-1092</v>
      </c>
      <c r="B1093" s="5">
        <v>33</v>
      </c>
      <c r="C1093" s="5" t="str">
        <f t="shared" si="188"/>
        <v>30-39</v>
      </c>
      <c r="D1093" s="5" t="s">
        <v>43</v>
      </c>
      <c r="E1093" s="5" t="s">
        <v>45</v>
      </c>
      <c r="F1093" s="5" t="s">
        <v>46</v>
      </c>
      <c r="G1093" s="5">
        <v>2</v>
      </c>
      <c r="H1093" s="5" t="s">
        <v>53</v>
      </c>
      <c r="I1093" s="5" t="s">
        <v>41</v>
      </c>
      <c r="J1093" s="7">
        <v>4320</v>
      </c>
      <c r="K1093" s="7">
        <f t="shared" si="189"/>
        <v>648</v>
      </c>
      <c r="L1093" s="7">
        <f t="shared" si="190"/>
        <v>3672</v>
      </c>
      <c r="M1093" s="7">
        <v>24152</v>
      </c>
      <c r="N1093" s="5" t="s">
        <v>43</v>
      </c>
      <c r="O1093" s="5">
        <v>13</v>
      </c>
      <c r="P1093" s="7">
        <f t="shared" si="191"/>
        <v>4881.5999999999995</v>
      </c>
      <c r="Q1093" s="7">
        <f t="shared" si="192"/>
        <v>6739.1999999999935</v>
      </c>
      <c r="R1093" s="7" t="str">
        <f t="shared" si="193"/>
        <v>Normal</v>
      </c>
      <c r="S1093" s="5">
        <v>3</v>
      </c>
      <c r="T1093" s="5">
        <v>3</v>
      </c>
      <c r="U1093" s="5" t="str" cm="1">
        <f t="array" ref="U1093">_xlfn.IFS(T1093=1,"Poor",T1093=2,"Fair",T1093=3,"Good",T1093=4,"Excellent")</f>
        <v>Good</v>
      </c>
      <c r="V1093" s="5" t="s">
        <v>43</v>
      </c>
      <c r="W1093" s="5">
        <v>5</v>
      </c>
      <c r="X1093" s="28">
        <f t="shared" ca="1" si="194"/>
        <v>44285</v>
      </c>
      <c r="Y1093" s="28">
        <f t="shared" ca="1" si="195"/>
        <v>46476</v>
      </c>
      <c r="Z1093" s="28" t="str">
        <f t="shared" ca="1" si="196"/>
        <v>Due Soon</v>
      </c>
      <c r="AA1093" s="5" t="str" cm="1">
        <f t="array" ref="AA1093">_xlfn.IFS(W1093&gt;10,"Veteran",W1093&gt;=6,"Experienced",W1093&gt;=2,"Developing",W1093&gt;=0,"New")</f>
        <v>Developing</v>
      </c>
      <c r="AB1093" s="5" t="str" cm="1">
        <f t="array" ref="AB1093">_xlfn.IFS(G1093=1,"Junior",G1093=2,"Mid-Level",G1093=3,"Senior",G1093=4,"Lead",G1093=5,"Principal")&amp;" "&amp;TRIM(PROPER(H1093))</f>
        <v>Mid-Level Manufacturing Director</v>
      </c>
      <c r="AC1093" s="19" t="str">
        <f t="shared" ca="1" si="197"/>
        <v>Ma-Res-2021-1092 is a Mid-Level Manufacturing Director in the Research &amp; Development department, aged 33, single and has been with the Company for 5years</v>
      </c>
    </row>
    <row r="1094" spans="1:29">
      <c r="A1094" s="18" t="str">
        <f t="shared" ca="1" si="187"/>
        <v>Re-Res-2021-1093</v>
      </c>
      <c r="B1094" s="5">
        <v>45</v>
      </c>
      <c r="C1094" s="5" t="str">
        <f t="shared" si="188"/>
        <v>40-49</v>
      </c>
      <c r="D1094" s="5" t="s">
        <v>43</v>
      </c>
      <c r="E1094" s="5" t="s">
        <v>45</v>
      </c>
      <c r="F1094" s="5" t="s">
        <v>46</v>
      </c>
      <c r="G1094" s="5">
        <v>1</v>
      </c>
      <c r="H1094" s="5" t="s">
        <v>47</v>
      </c>
      <c r="I1094" s="5" t="s">
        <v>48</v>
      </c>
      <c r="J1094" s="7">
        <v>2132</v>
      </c>
      <c r="K1094" s="7">
        <f t="shared" si="189"/>
        <v>149.24</v>
      </c>
      <c r="L1094" s="7">
        <f t="shared" si="190"/>
        <v>1982.76</v>
      </c>
      <c r="M1094" s="7">
        <v>4585</v>
      </c>
      <c r="N1094" s="5" t="s">
        <v>43</v>
      </c>
      <c r="O1094" s="5">
        <v>20</v>
      </c>
      <c r="P1094" s="7">
        <f t="shared" si="191"/>
        <v>2558.4</v>
      </c>
      <c r="Q1094" s="7">
        <f t="shared" si="192"/>
        <v>5116.8000000000011</v>
      </c>
      <c r="R1094" s="7" t="str">
        <f t="shared" si="193"/>
        <v>Normal</v>
      </c>
      <c r="S1094" s="5">
        <v>4</v>
      </c>
      <c r="T1094" s="5">
        <v>3</v>
      </c>
      <c r="U1094" s="5" t="str" cm="1">
        <f t="array" ref="U1094">_xlfn.IFS(T1094=1,"Poor",T1094=2,"Fair",T1094=3,"Good",T1094=4,"Excellent")</f>
        <v>Good</v>
      </c>
      <c r="V1094" s="5" t="s">
        <v>43</v>
      </c>
      <c r="W1094" s="5">
        <v>5</v>
      </c>
      <c r="X1094" s="28">
        <f t="shared" ca="1" si="194"/>
        <v>44285</v>
      </c>
      <c r="Y1094" s="28">
        <f t="shared" ca="1" si="195"/>
        <v>46476</v>
      </c>
      <c r="Z1094" s="28" t="str">
        <f t="shared" ca="1" si="196"/>
        <v>Due Soon</v>
      </c>
      <c r="AA1094" s="5" t="str" cm="1">
        <f t="array" ref="AA1094">_xlfn.IFS(W1094&gt;10,"Veteran",W1094&gt;=6,"Experienced",W1094&gt;=2,"Developing",W1094&gt;=0,"New")</f>
        <v>Developing</v>
      </c>
      <c r="AB1094" s="5" t="str" cm="1">
        <f t="array" ref="AB1094">_xlfn.IFS(G1094=1,"Junior",G1094=2,"Mid-Level",G1094=3,"Senior",G1094=4,"Lead",G1094=5,"Principal")&amp;" "&amp;TRIM(PROPER(H1094))</f>
        <v>Junior Research Scientist</v>
      </c>
      <c r="AC1094" s="19" t="str">
        <f t="shared" ca="1" si="197"/>
        <v>Re-Res-2021-1093 is a Junior Research Scientist in the Research &amp; Development department, aged 45, married and has been with the Company for 5years</v>
      </c>
    </row>
    <row r="1095" spans="1:29">
      <c r="A1095" s="18" t="str">
        <f t="shared" ca="1" si="187"/>
        <v>He-Res-2006-1094</v>
      </c>
      <c r="B1095" s="5">
        <v>42</v>
      </c>
      <c r="C1095" s="5" t="str">
        <f t="shared" si="188"/>
        <v>40-49</v>
      </c>
      <c r="D1095" s="5" t="s">
        <v>43</v>
      </c>
      <c r="E1095" s="5" t="s">
        <v>45</v>
      </c>
      <c r="F1095" s="5" t="s">
        <v>46</v>
      </c>
      <c r="G1095" s="5">
        <v>3</v>
      </c>
      <c r="H1095" s="5" t="s">
        <v>54</v>
      </c>
      <c r="I1095" s="5" t="s">
        <v>48</v>
      </c>
      <c r="J1095" s="7">
        <v>10124</v>
      </c>
      <c r="K1095" s="7">
        <f t="shared" si="189"/>
        <v>2227.2800000000002</v>
      </c>
      <c r="L1095" s="7">
        <f t="shared" si="190"/>
        <v>7896.7199999999993</v>
      </c>
      <c r="M1095" s="7">
        <v>18611</v>
      </c>
      <c r="N1095" s="5" t="s">
        <v>35</v>
      </c>
      <c r="O1095" s="5">
        <v>14</v>
      </c>
      <c r="P1095" s="7">
        <f t="shared" si="191"/>
        <v>11541.36</v>
      </c>
      <c r="Q1095" s="7">
        <f t="shared" si="192"/>
        <v>17008.320000000007</v>
      </c>
      <c r="R1095" s="7" t="str">
        <f t="shared" si="193"/>
        <v>Normal</v>
      </c>
      <c r="S1095" s="5">
        <v>3</v>
      </c>
      <c r="T1095" s="5">
        <v>1</v>
      </c>
      <c r="U1095" s="5" t="str" cm="1">
        <f t="array" ref="U1095">_xlfn.IFS(T1095=1,"Poor",T1095=2,"Fair",T1095=3,"Good",T1095=4,"Excellent")</f>
        <v>Poor</v>
      </c>
      <c r="V1095" s="5" t="s">
        <v>35</v>
      </c>
      <c r="W1095" s="5">
        <v>20</v>
      </c>
      <c r="X1095" s="28">
        <f t="shared" ca="1" si="194"/>
        <v>38806</v>
      </c>
      <c r="Y1095" s="28">
        <f t="shared" ca="1" si="195"/>
        <v>46842</v>
      </c>
      <c r="Z1095" s="28" t="str">
        <f t="shared" ca="1" si="196"/>
        <v>Upcoming</v>
      </c>
      <c r="AA1095" s="5" t="str" cm="1">
        <f t="array" ref="AA1095">_xlfn.IFS(W1095&gt;10,"Veteran",W1095&gt;=6,"Experienced",W1095&gt;=2,"Developing",W1095&gt;=0,"New")</f>
        <v>Veteran</v>
      </c>
      <c r="AB1095" s="5" t="str" cm="1">
        <f t="array" ref="AB1095">_xlfn.IFS(G1095=1,"Junior",G1095=2,"Mid-Level",G1095=3,"Senior",G1095=4,"Lead",G1095=5,"Principal")&amp;" "&amp;TRIM(PROPER(H1095))</f>
        <v>Senior Healthcare Representative</v>
      </c>
      <c r="AC1095" s="19" t="str">
        <f t="shared" ca="1" si="197"/>
        <v>He-Res-2006-1094 is a Senior Healthcare Representative in the Research &amp; Development department, aged 42, married and has been with the Company for 20years</v>
      </c>
    </row>
    <row r="1096" spans="1:29">
      <c r="A1096" s="18" t="str">
        <f t="shared" ca="1" si="187"/>
        <v>Sa-Sal-2018-1095</v>
      </c>
      <c r="B1096" s="5">
        <v>40</v>
      </c>
      <c r="C1096" s="5" t="str">
        <f t="shared" si="188"/>
        <v>40-49</v>
      </c>
      <c r="D1096" s="5" t="s">
        <v>43</v>
      </c>
      <c r="E1096" s="5" t="s">
        <v>37</v>
      </c>
      <c r="F1096" s="5" t="s">
        <v>46</v>
      </c>
      <c r="G1096" s="5">
        <v>2</v>
      </c>
      <c r="H1096" s="5" t="s">
        <v>40</v>
      </c>
      <c r="I1096" s="5" t="s">
        <v>48</v>
      </c>
      <c r="J1096" s="7">
        <v>5473</v>
      </c>
      <c r="K1096" s="7">
        <f t="shared" si="189"/>
        <v>820.94999999999993</v>
      </c>
      <c r="L1096" s="7">
        <f t="shared" si="190"/>
        <v>4652.05</v>
      </c>
      <c r="M1096" s="7">
        <v>19345</v>
      </c>
      <c r="N1096" s="5" t="s">
        <v>43</v>
      </c>
      <c r="O1096" s="5">
        <v>12</v>
      </c>
      <c r="P1096" s="7">
        <f t="shared" si="191"/>
        <v>6129.76</v>
      </c>
      <c r="Q1096" s="7">
        <f t="shared" si="192"/>
        <v>7881.1200000000026</v>
      </c>
      <c r="R1096" s="7" t="str">
        <f t="shared" si="193"/>
        <v>Normal</v>
      </c>
      <c r="S1096" s="5">
        <v>3</v>
      </c>
      <c r="T1096" s="5">
        <v>4</v>
      </c>
      <c r="U1096" s="5" t="str" cm="1">
        <f t="array" ref="U1096">_xlfn.IFS(T1096=1,"Poor",T1096=2,"Fair",T1096=3,"Good",T1096=4,"Excellent")</f>
        <v>Excellent</v>
      </c>
      <c r="V1096" s="5" t="s">
        <v>43</v>
      </c>
      <c r="W1096" s="5">
        <v>8</v>
      </c>
      <c r="X1096" s="28">
        <f t="shared" ca="1" si="194"/>
        <v>43189</v>
      </c>
      <c r="Y1096" s="28">
        <f t="shared" ca="1" si="195"/>
        <v>46842</v>
      </c>
      <c r="Z1096" s="28" t="str">
        <f t="shared" ca="1" si="196"/>
        <v>Upcoming</v>
      </c>
      <c r="AA1096" s="5" t="str" cm="1">
        <f t="array" ref="AA1096">_xlfn.IFS(W1096&gt;10,"Veteran",W1096&gt;=6,"Experienced",W1096&gt;=2,"Developing",W1096&gt;=0,"New")</f>
        <v>Experienced</v>
      </c>
      <c r="AB1096" s="5" t="str" cm="1">
        <f t="array" ref="AB1096">_xlfn.IFS(G1096=1,"Junior",G1096=2,"Mid-Level",G1096=3,"Senior",G1096=4,"Lead",G1096=5,"Principal")&amp;" "&amp;TRIM(PROPER(H1096))</f>
        <v>Mid-Level Sales Executive</v>
      </c>
      <c r="AC1096" s="19" t="str">
        <f t="shared" ca="1" si="197"/>
        <v>Sa-Sal-2018-1095 is a Mid-Level Sales Executive in the Sales department, aged 40, married and has been with the Company for 8years</v>
      </c>
    </row>
    <row r="1097" spans="1:29">
      <c r="A1097" s="18" t="str">
        <f t="shared" ca="1" si="187"/>
        <v>La-Res-2011-1096</v>
      </c>
      <c r="B1097" s="5">
        <v>33</v>
      </c>
      <c r="C1097" s="5" t="str">
        <f t="shared" si="188"/>
        <v>30-39</v>
      </c>
      <c r="D1097" s="5" t="s">
        <v>43</v>
      </c>
      <c r="E1097" s="5" t="s">
        <v>45</v>
      </c>
      <c r="F1097" s="5" t="s">
        <v>46</v>
      </c>
      <c r="G1097" s="5">
        <v>2</v>
      </c>
      <c r="H1097" s="5" t="s">
        <v>50</v>
      </c>
      <c r="I1097" s="5" t="s">
        <v>48</v>
      </c>
      <c r="J1097" s="7">
        <v>5207</v>
      </c>
      <c r="K1097" s="7">
        <f t="shared" si="189"/>
        <v>781.05</v>
      </c>
      <c r="L1097" s="7">
        <f t="shared" si="190"/>
        <v>4425.95</v>
      </c>
      <c r="M1097" s="7">
        <v>22949</v>
      </c>
      <c r="N1097" s="5" t="s">
        <v>35</v>
      </c>
      <c r="O1097" s="5">
        <v>12</v>
      </c>
      <c r="P1097" s="7">
        <f t="shared" si="191"/>
        <v>5831.84</v>
      </c>
      <c r="Q1097" s="7">
        <f t="shared" si="192"/>
        <v>7498.0800000000017</v>
      </c>
      <c r="R1097" s="7" t="str">
        <f t="shared" si="193"/>
        <v>Normal</v>
      </c>
      <c r="S1097" s="5">
        <v>3</v>
      </c>
      <c r="T1097" s="5">
        <v>3</v>
      </c>
      <c r="U1097" s="5" t="str" cm="1">
        <f t="array" ref="U1097">_xlfn.IFS(T1097=1,"Poor",T1097=2,"Fair",T1097=3,"Good",T1097=4,"Excellent")</f>
        <v>Good</v>
      </c>
      <c r="V1097" s="5" t="s">
        <v>35</v>
      </c>
      <c r="W1097" s="5">
        <v>15</v>
      </c>
      <c r="X1097" s="28">
        <f t="shared" ca="1" si="194"/>
        <v>40632</v>
      </c>
      <c r="Y1097" s="28">
        <f t="shared" ca="1" si="195"/>
        <v>46476</v>
      </c>
      <c r="Z1097" s="28" t="str">
        <f t="shared" ca="1" si="196"/>
        <v>Due Soon</v>
      </c>
      <c r="AA1097" s="5" t="str" cm="1">
        <f t="array" ref="AA1097">_xlfn.IFS(W1097&gt;10,"Veteran",W1097&gt;=6,"Experienced",W1097&gt;=2,"Developing",W1097&gt;=0,"New")</f>
        <v>Veteran</v>
      </c>
      <c r="AB1097" s="5" t="str" cm="1">
        <f t="array" ref="AB1097">_xlfn.IFS(G1097=1,"Junior",G1097=2,"Mid-Level",G1097=3,"Senior",G1097=4,"Lead",G1097=5,"Principal")&amp;" "&amp;TRIM(PROPER(H1097))</f>
        <v>Mid-Level Laboratory Technician</v>
      </c>
      <c r="AC1097" s="19" t="str">
        <f t="shared" ca="1" si="197"/>
        <v>La-Res-2011-1096 is a Mid-Level Laboratory Technician in the Research &amp; Development department, aged 33, married and has been with the Company for 15years</v>
      </c>
    </row>
    <row r="1098" spans="1:29">
      <c r="A1098" s="18" t="str">
        <f t="shared" ca="1" si="187"/>
        <v>Ma-Hum-2005-1097</v>
      </c>
      <c r="B1098" s="5">
        <v>40</v>
      </c>
      <c r="C1098" s="5" t="str">
        <f t="shared" si="188"/>
        <v>40-49</v>
      </c>
      <c r="D1098" s="5" t="s">
        <v>43</v>
      </c>
      <c r="E1098" s="5" t="s">
        <v>61</v>
      </c>
      <c r="F1098" s="5" t="s">
        <v>46</v>
      </c>
      <c r="G1098" s="5">
        <v>4</v>
      </c>
      <c r="H1098" s="5" t="s">
        <v>56</v>
      </c>
      <c r="I1098" s="5" t="s">
        <v>41</v>
      </c>
      <c r="J1098" s="7">
        <v>16437</v>
      </c>
      <c r="K1098" s="7">
        <f t="shared" si="189"/>
        <v>4931.0999999999995</v>
      </c>
      <c r="L1098" s="7">
        <f t="shared" si="190"/>
        <v>11505.900000000001</v>
      </c>
      <c r="M1098" s="7">
        <v>17381</v>
      </c>
      <c r="N1098" s="5" t="s">
        <v>35</v>
      </c>
      <c r="O1098" s="5">
        <v>21</v>
      </c>
      <c r="P1098" s="7">
        <f t="shared" si="191"/>
        <v>19888.77</v>
      </c>
      <c r="Q1098" s="7">
        <f t="shared" si="192"/>
        <v>41421.240000000005</v>
      </c>
      <c r="R1098" s="7" t="str">
        <f t="shared" si="193"/>
        <v>Normal</v>
      </c>
      <c r="S1098" s="5">
        <v>4</v>
      </c>
      <c r="T1098" s="5">
        <v>3</v>
      </c>
      <c r="U1098" s="5" t="str" cm="1">
        <f t="array" ref="U1098">_xlfn.IFS(T1098=1,"Poor",T1098=2,"Fair",T1098=3,"Good",T1098=4,"Excellent")</f>
        <v>Good</v>
      </c>
      <c r="V1098" s="5" t="s">
        <v>35</v>
      </c>
      <c r="W1098" s="5">
        <v>21</v>
      </c>
      <c r="X1098" s="28">
        <f t="shared" ca="1" si="194"/>
        <v>38441</v>
      </c>
      <c r="Y1098" s="28">
        <f t="shared" ca="1" si="195"/>
        <v>46476</v>
      </c>
      <c r="Z1098" s="28" t="str">
        <f t="shared" ca="1" si="196"/>
        <v>Due Soon</v>
      </c>
      <c r="AA1098" s="5" t="str" cm="1">
        <f t="array" ref="AA1098">_xlfn.IFS(W1098&gt;10,"Veteran",W1098&gt;=6,"Experienced",W1098&gt;=2,"Developing",W1098&gt;=0,"New")</f>
        <v>Veteran</v>
      </c>
      <c r="AB1098" s="5" t="str" cm="1">
        <f t="array" ref="AB1098">_xlfn.IFS(G1098=1,"Junior",G1098=2,"Mid-Level",G1098=3,"Senior",G1098=4,"Lead",G1098=5,"Principal")&amp;" "&amp;TRIM(PROPER(H1098))</f>
        <v>Lead Manager</v>
      </c>
      <c r="AC1098" s="19" t="str">
        <f t="shared" ca="1" si="197"/>
        <v>Ma-Hum-2005-1097 is a Lead Manager in the Human Resources department, aged 40, single and has been with the Company for 21years</v>
      </c>
    </row>
    <row r="1099" spans="1:29">
      <c r="A1099" s="18" t="str">
        <f t="shared" ca="1" si="187"/>
        <v>La-Res-2025-1098</v>
      </c>
      <c r="B1099" s="5">
        <v>24</v>
      </c>
      <c r="C1099" s="5" t="str">
        <f t="shared" si="188"/>
        <v>20-29</v>
      </c>
      <c r="D1099" s="5" t="s">
        <v>43</v>
      </c>
      <c r="E1099" s="5" t="s">
        <v>45</v>
      </c>
      <c r="F1099" s="5" t="s">
        <v>46</v>
      </c>
      <c r="G1099" s="5">
        <v>1</v>
      </c>
      <c r="H1099" s="5" t="s">
        <v>50</v>
      </c>
      <c r="I1099" s="5" t="s">
        <v>52</v>
      </c>
      <c r="J1099" s="7">
        <v>2296</v>
      </c>
      <c r="K1099" s="7">
        <f t="shared" si="189"/>
        <v>160.72000000000003</v>
      </c>
      <c r="L1099" s="7">
        <f t="shared" si="190"/>
        <v>2135.2799999999997</v>
      </c>
      <c r="M1099" s="7">
        <v>10036</v>
      </c>
      <c r="N1099" s="5" t="s">
        <v>43</v>
      </c>
      <c r="O1099" s="5">
        <v>14</v>
      </c>
      <c r="P1099" s="7">
        <f t="shared" si="191"/>
        <v>2617.4400000000005</v>
      </c>
      <c r="Q1099" s="7">
        <f t="shared" si="192"/>
        <v>3857.2800000000061</v>
      </c>
      <c r="R1099" s="7" t="str">
        <f t="shared" si="193"/>
        <v>Normal</v>
      </c>
      <c r="S1099" s="5">
        <v>3</v>
      </c>
      <c r="T1099" s="5">
        <v>3</v>
      </c>
      <c r="U1099" s="5" t="str" cm="1">
        <f t="array" ref="U1099">_xlfn.IFS(T1099=1,"Poor",T1099=2,"Fair",T1099=3,"Good",T1099=4,"Excellent")</f>
        <v>Good</v>
      </c>
      <c r="V1099" s="5" t="s">
        <v>43</v>
      </c>
      <c r="W1099" s="5">
        <v>1</v>
      </c>
      <c r="X1099" s="28">
        <f t="shared" ca="1" si="194"/>
        <v>45746</v>
      </c>
      <c r="Y1099" s="28">
        <f t="shared" ca="1" si="195"/>
        <v>46476</v>
      </c>
      <c r="Z1099" s="28" t="str">
        <f t="shared" ca="1" si="196"/>
        <v>Due Soon</v>
      </c>
      <c r="AA1099" s="5" t="str" cm="1">
        <f t="array" ref="AA1099">_xlfn.IFS(W1099&gt;10,"Veteran",W1099&gt;=6,"Experienced",W1099&gt;=2,"Developing",W1099&gt;=0,"New")</f>
        <v>New</v>
      </c>
      <c r="AB1099" s="5" t="str" cm="1">
        <f t="array" ref="AB1099">_xlfn.IFS(G1099=1,"Junior",G1099=2,"Mid-Level",G1099=3,"Senior",G1099=4,"Lead",G1099=5,"Principal")&amp;" "&amp;TRIM(PROPER(H1099))</f>
        <v>Junior Laboratory Technician</v>
      </c>
      <c r="AC1099" s="19" t="str">
        <f t="shared" ca="1" si="197"/>
        <v>La-Res-2025-1098 is a Junior Laboratory Technician in the Research &amp; Development department, aged 24, divorced and has been with the Company for 1years</v>
      </c>
    </row>
    <row r="1100" spans="1:29">
      <c r="A1100" s="18" t="str">
        <f t="shared" ca="1" si="187"/>
        <v>He-Res-2024-1099</v>
      </c>
      <c r="B1100" s="5">
        <v>40</v>
      </c>
      <c r="C1100" s="5" t="str">
        <f t="shared" si="188"/>
        <v>40-49</v>
      </c>
      <c r="D1100" s="5" t="s">
        <v>43</v>
      </c>
      <c r="E1100" s="5" t="s">
        <v>45</v>
      </c>
      <c r="F1100" s="5" t="s">
        <v>46</v>
      </c>
      <c r="G1100" s="5">
        <v>2</v>
      </c>
      <c r="H1100" s="5" t="s">
        <v>54</v>
      </c>
      <c r="I1100" s="5" t="s">
        <v>52</v>
      </c>
      <c r="J1100" s="7">
        <v>4069</v>
      </c>
      <c r="K1100" s="7">
        <f t="shared" si="189"/>
        <v>610.35</v>
      </c>
      <c r="L1100" s="7">
        <f t="shared" si="190"/>
        <v>3458.65</v>
      </c>
      <c r="M1100" s="7">
        <v>8841</v>
      </c>
      <c r="N1100" s="5" t="s">
        <v>35</v>
      </c>
      <c r="O1100" s="5">
        <v>18</v>
      </c>
      <c r="P1100" s="7">
        <f t="shared" si="191"/>
        <v>4801.42</v>
      </c>
      <c r="Q1100" s="7">
        <f t="shared" si="192"/>
        <v>8789.0400000000009</v>
      </c>
      <c r="R1100" s="7" t="str">
        <f t="shared" si="193"/>
        <v>Normal</v>
      </c>
      <c r="S1100" s="5">
        <v>3</v>
      </c>
      <c r="T1100" s="5">
        <v>3</v>
      </c>
      <c r="U1100" s="5" t="str" cm="1">
        <f t="array" ref="U1100">_xlfn.IFS(T1100=1,"Poor",T1100=2,"Fair",T1100=3,"Good",T1100=4,"Excellent")</f>
        <v>Good</v>
      </c>
      <c r="V1100" s="5" t="s">
        <v>35</v>
      </c>
      <c r="W1100" s="5">
        <v>2</v>
      </c>
      <c r="X1100" s="28">
        <f t="shared" ca="1" si="194"/>
        <v>45381</v>
      </c>
      <c r="Y1100" s="28">
        <f t="shared" ca="1" si="195"/>
        <v>46842</v>
      </c>
      <c r="Z1100" s="28" t="str">
        <f t="shared" ca="1" si="196"/>
        <v>Upcoming</v>
      </c>
      <c r="AA1100" s="5" t="str" cm="1">
        <f t="array" ref="AA1100">_xlfn.IFS(W1100&gt;10,"Veteran",W1100&gt;=6,"Experienced",W1100&gt;=2,"Developing",W1100&gt;=0,"New")</f>
        <v>Developing</v>
      </c>
      <c r="AB1100" s="5" t="str" cm="1">
        <f t="array" ref="AB1100">_xlfn.IFS(G1100=1,"Junior",G1100=2,"Mid-Level",G1100=3,"Senior",G1100=4,"Lead",G1100=5,"Principal")&amp;" "&amp;TRIM(PROPER(H1100))</f>
        <v>Mid-Level Healthcare Representative</v>
      </c>
      <c r="AC1100" s="19" t="str">
        <f t="shared" ca="1" si="197"/>
        <v>He-Res-2024-1099 is a Mid-Level Healthcare Representative in the Research &amp; Development department, aged 40, divorced and has been with the Company for 2years</v>
      </c>
    </row>
    <row r="1101" spans="1:29">
      <c r="A1101" s="18" t="str">
        <f t="shared" ca="1" si="187"/>
        <v>He-Res-2016-1100</v>
      </c>
      <c r="B1101" s="5">
        <v>45</v>
      </c>
      <c r="C1101" s="5" t="str">
        <f t="shared" si="188"/>
        <v>40-49</v>
      </c>
      <c r="D1101" s="5" t="s">
        <v>43</v>
      </c>
      <c r="E1101" s="5" t="s">
        <v>45</v>
      </c>
      <c r="F1101" s="5" t="s">
        <v>46</v>
      </c>
      <c r="G1101" s="5">
        <v>3</v>
      </c>
      <c r="H1101" s="5" t="s">
        <v>54</v>
      </c>
      <c r="I1101" s="5" t="s">
        <v>52</v>
      </c>
      <c r="J1101" s="7">
        <v>7441</v>
      </c>
      <c r="K1101" s="7">
        <f t="shared" si="189"/>
        <v>1637.02</v>
      </c>
      <c r="L1101" s="7">
        <f t="shared" si="190"/>
        <v>5803.98</v>
      </c>
      <c r="M1101" s="7">
        <v>20933</v>
      </c>
      <c r="N1101" s="5" t="s">
        <v>43</v>
      </c>
      <c r="O1101" s="5">
        <v>12</v>
      </c>
      <c r="P1101" s="7">
        <f t="shared" si="191"/>
        <v>8333.92</v>
      </c>
      <c r="Q1101" s="7">
        <f t="shared" si="192"/>
        <v>10715.04</v>
      </c>
      <c r="R1101" s="7" t="str">
        <f t="shared" si="193"/>
        <v>Normal</v>
      </c>
      <c r="S1101" s="5">
        <v>3</v>
      </c>
      <c r="T1101" s="5">
        <v>3</v>
      </c>
      <c r="U1101" s="5" t="str" cm="1">
        <f t="array" ref="U1101">_xlfn.IFS(T1101=1,"Poor",T1101=2,"Fair",T1101=3,"Good",T1101=4,"Excellent")</f>
        <v>Good</v>
      </c>
      <c r="V1101" s="5" t="s">
        <v>43</v>
      </c>
      <c r="W1101" s="5">
        <v>10</v>
      </c>
      <c r="X1101" s="28">
        <f t="shared" ca="1" si="194"/>
        <v>42459</v>
      </c>
      <c r="Y1101" s="28">
        <f t="shared" ca="1" si="195"/>
        <v>46842</v>
      </c>
      <c r="Z1101" s="28" t="str">
        <f t="shared" ca="1" si="196"/>
        <v>Upcoming</v>
      </c>
      <c r="AA1101" s="5" t="str" cm="1">
        <f t="array" ref="AA1101">_xlfn.IFS(W1101&gt;10,"Veteran",W1101&gt;=6,"Experienced",W1101&gt;=2,"Developing",W1101&gt;=0,"New")</f>
        <v>Experienced</v>
      </c>
      <c r="AB1101" s="5" t="str" cm="1">
        <f t="array" ref="AB1101">_xlfn.IFS(G1101=1,"Junior",G1101=2,"Mid-Level",G1101=3,"Senior",G1101=4,"Lead",G1101=5,"Principal")&amp;" "&amp;TRIM(PROPER(H1101))</f>
        <v>Senior Healthcare Representative</v>
      </c>
      <c r="AC1101" s="19" t="str">
        <f t="shared" ca="1" si="197"/>
        <v>He-Res-2016-1100 is a Senior Healthcare Representative in the Research &amp; Development department, aged 45, divorced and has been with the Company for 10years</v>
      </c>
    </row>
    <row r="1102" spans="1:29">
      <c r="A1102" s="18" t="str">
        <f t="shared" ca="1" si="187"/>
        <v>Sa-Sal-2021-1101</v>
      </c>
      <c r="B1102" s="5">
        <v>35</v>
      </c>
      <c r="C1102" s="5" t="str">
        <f t="shared" si="188"/>
        <v>30-39</v>
      </c>
      <c r="D1102" s="5" t="s">
        <v>43</v>
      </c>
      <c r="E1102" s="5" t="s">
        <v>37</v>
      </c>
      <c r="F1102" s="5" t="s">
        <v>39</v>
      </c>
      <c r="G1102" s="5">
        <v>1</v>
      </c>
      <c r="H1102" s="5" t="s">
        <v>57</v>
      </c>
      <c r="I1102" s="5" t="s">
        <v>48</v>
      </c>
      <c r="J1102" s="7">
        <v>2430</v>
      </c>
      <c r="K1102" s="7">
        <f t="shared" si="189"/>
        <v>170.10000000000002</v>
      </c>
      <c r="L1102" s="7">
        <f t="shared" si="190"/>
        <v>2259.9</v>
      </c>
      <c r="M1102" s="7">
        <v>26204</v>
      </c>
      <c r="N1102" s="5" t="s">
        <v>43</v>
      </c>
      <c r="O1102" s="5">
        <v>23</v>
      </c>
      <c r="P1102" s="7">
        <f t="shared" si="191"/>
        <v>2988.9</v>
      </c>
      <c r="Q1102" s="7">
        <f t="shared" si="192"/>
        <v>6706.8000000000011</v>
      </c>
      <c r="R1102" s="7" t="str">
        <f t="shared" si="193"/>
        <v>Normal</v>
      </c>
      <c r="S1102" s="5">
        <v>4</v>
      </c>
      <c r="T1102" s="5">
        <v>3</v>
      </c>
      <c r="U1102" s="5" t="str" cm="1">
        <f t="array" ref="U1102">_xlfn.IFS(T1102=1,"Poor",T1102=2,"Fair",T1102=3,"Good",T1102=4,"Excellent")</f>
        <v>Good</v>
      </c>
      <c r="V1102" s="5" t="s">
        <v>43</v>
      </c>
      <c r="W1102" s="5">
        <v>5</v>
      </c>
      <c r="X1102" s="28">
        <f t="shared" ca="1" si="194"/>
        <v>44285</v>
      </c>
      <c r="Y1102" s="28">
        <f t="shared" ca="1" si="195"/>
        <v>46476</v>
      </c>
      <c r="Z1102" s="28" t="str">
        <f t="shared" ca="1" si="196"/>
        <v>Due Soon</v>
      </c>
      <c r="AA1102" s="5" t="str" cm="1">
        <f t="array" ref="AA1102">_xlfn.IFS(W1102&gt;10,"Veteran",W1102&gt;=6,"Experienced",W1102&gt;=2,"Developing",W1102&gt;=0,"New")</f>
        <v>Developing</v>
      </c>
      <c r="AB1102" s="5" t="str" cm="1">
        <f t="array" ref="AB1102">_xlfn.IFS(G1102=1,"Junior",G1102=2,"Mid-Level",G1102=3,"Senior",G1102=4,"Lead",G1102=5,"Principal")&amp;" "&amp;TRIM(PROPER(H1102))</f>
        <v>Junior Sales Representative</v>
      </c>
      <c r="AC1102" s="19" t="str">
        <f t="shared" ca="1" si="197"/>
        <v>Sa-Sal-2021-1101 is a Junior Sales Representative in the Sales department, aged 35, married and has been with the Company for 5years</v>
      </c>
    </row>
    <row r="1103" spans="1:29">
      <c r="A1103" s="18" t="str">
        <f t="shared" ca="1" si="187"/>
        <v>Re-Res-2019-1102</v>
      </c>
      <c r="B1103" s="5">
        <v>32</v>
      </c>
      <c r="C1103" s="5" t="str">
        <f t="shared" si="188"/>
        <v>30-39</v>
      </c>
      <c r="D1103" s="5" t="s">
        <v>43</v>
      </c>
      <c r="E1103" s="5" t="s">
        <v>45</v>
      </c>
      <c r="F1103" s="5" t="s">
        <v>39</v>
      </c>
      <c r="G1103" s="5">
        <v>2</v>
      </c>
      <c r="H1103" s="5" t="s">
        <v>47</v>
      </c>
      <c r="I1103" s="5" t="s">
        <v>48</v>
      </c>
      <c r="J1103" s="7">
        <v>5878</v>
      </c>
      <c r="K1103" s="7">
        <f t="shared" si="189"/>
        <v>881.69999999999993</v>
      </c>
      <c r="L1103" s="7">
        <f t="shared" si="190"/>
        <v>4996.3</v>
      </c>
      <c r="M1103" s="7">
        <v>15624</v>
      </c>
      <c r="N1103" s="5" t="s">
        <v>43</v>
      </c>
      <c r="O1103" s="5">
        <v>12</v>
      </c>
      <c r="P1103" s="7">
        <f t="shared" si="191"/>
        <v>6583.3600000000006</v>
      </c>
      <c r="Q1103" s="7">
        <f t="shared" si="192"/>
        <v>8464.320000000007</v>
      </c>
      <c r="R1103" s="7" t="str">
        <f t="shared" si="193"/>
        <v>Normal</v>
      </c>
      <c r="S1103" s="5">
        <v>3</v>
      </c>
      <c r="T1103" s="5">
        <v>3</v>
      </c>
      <c r="U1103" s="5" t="str" cm="1">
        <f t="array" ref="U1103">_xlfn.IFS(T1103=1,"Poor",T1103=2,"Fair",T1103=3,"Good",T1103=4,"Excellent")</f>
        <v>Good</v>
      </c>
      <c r="V1103" s="5" t="s">
        <v>43</v>
      </c>
      <c r="W1103" s="5">
        <v>7</v>
      </c>
      <c r="X1103" s="28">
        <f t="shared" ca="1" si="194"/>
        <v>43554</v>
      </c>
      <c r="Y1103" s="28">
        <f t="shared" ca="1" si="195"/>
        <v>46476</v>
      </c>
      <c r="Z1103" s="28" t="str">
        <f t="shared" ca="1" si="196"/>
        <v>Due Soon</v>
      </c>
      <c r="AA1103" s="5" t="str" cm="1">
        <f t="array" ref="AA1103">_xlfn.IFS(W1103&gt;10,"Veteran",W1103&gt;=6,"Experienced",W1103&gt;=2,"Developing",W1103&gt;=0,"New")</f>
        <v>Experienced</v>
      </c>
      <c r="AB1103" s="5" t="str" cm="1">
        <f t="array" ref="AB1103">_xlfn.IFS(G1103=1,"Junior",G1103=2,"Mid-Level",G1103=3,"Senior",G1103=4,"Lead",G1103=5,"Principal")&amp;" "&amp;TRIM(PROPER(H1103))</f>
        <v>Mid-Level Research Scientist</v>
      </c>
      <c r="AC1103" s="19" t="str">
        <f t="shared" ca="1" si="197"/>
        <v>Re-Res-2019-1102 is a Mid-Level Research Scientist in the Research &amp; Development department, aged 32, married and has been with the Company for 7years</v>
      </c>
    </row>
    <row r="1104" spans="1:29">
      <c r="A1104" s="18" t="str">
        <f t="shared" ca="1" si="187"/>
        <v>Sa-Sal-2023-1103</v>
      </c>
      <c r="B1104" s="5">
        <v>36</v>
      </c>
      <c r="C1104" s="5" t="str">
        <f t="shared" si="188"/>
        <v>30-39</v>
      </c>
      <c r="D1104" s="5" t="s">
        <v>43</v>
      </c>
      <c r="E1104" s="5" t="s">
        <v>37</v>
      </c>
      <c r="F1104" s="5" t="s">
        <v>46</v>
      </c>
      <c r="G1104" s="5">
        <v>1</v>
      </c>
      <c r="H1104" s="5" t="s">
        <v>57</v>
      </c>
      <c r="I1104" s="5" t="s">
        <v>41</v>
      </c>
      <c r="J1104" s="7">
        <v>2644</v>
      </c>
      <c r="K1104" s="7">
        <f t="shared" si="189"/>
        <v>185.08</v>
      </c>
      <c r="L1104" s="7">
        <f t="shared" si="190"/>
        <v>2458.92</v>
      </c>
      <c r="M1104" s="7">
        <v>17001</v>
      </c>
      <c r="N1104" s="5" t="s">
        <v>35</v>
      </c>
      <c r="O1104" s="5">
        <v>21</v>
      </c>
      <c r="P1104" s="7">
        <f t="shared" si="191"/>
        <v>3199.24</v>
      </c>
      <c r="Q1104" s="7">
        <f t="shared" si="192"/>
        <v>6662.8799999999974</v>
      </c>
      <c r="R1104" s="7" t="str">
        <f t="shared" si="193"/>
        <v>Normal</v>
      </c>
      <c r="S1104" s="5">
        <v>4</v>
      </c>
      <c r="T1104" s="5">
        <v>2</v>
      </c>
      <c r="U1104" s="5" t="str" cm="1">
        <f t="array" ref="U1104">_xlfn.IFS(T1104=1,"Poor",T1104=2,"Fair",T1104=3,"Good",T1104=4,"Excellent")</f>
        <v>Fair</v>
      </c>
      <c r="V1104" s="5" t="s">
        <v>35</v>
      </c>
      <c r="W1104" s="5">
        <v>3</v>
      </c>
      <c r="X1104" s="28">
        <f t="shared" ca="1" si="194"/>
        <v>45015</v>
      </c>
      <c r="Y1104" s="28">
        <f t="shared" ca="1" si="195"/>
        <v>46476</v>
      </c>
      <c r="Z1104" s="28" t="str">
        <f t="shared" ca="1" si="196"/>
        <v>Due Soon</v>
      </c>
      <c r="AA1104" s="5" t="str" cm="1">
        <f t="array" ref="AA1104">_xlfn.IFS(W1104&gt;10,"Veteran",W1104&gt;=6,"Experienced",W1104&gt;=2,"Developing",W1104&gt;=0,"New")</f>
        <v>Developing</v>
      </c>
      <c r="AB1104" s="5" t="str" cm="1">
        <f t="array" ref="AB1104">_xlfn.IFS(G1104=1,"Junior",G1104=2,"Mid-Level",G1104=3,"Senior",G1104=4,"Lead",G1104=5,"Principal")&amp;" "&amp;TRIM(PROPER(H1104))</f>
        <v>Junior Sales Representative</v>
      </c>
      <c r="AC1104" s="19" t="str">
        <f t="shared" ca="1" si="197"/>
        <v>Sa-Sal-2023-1103 is a Junior Sales Representative in the Sales department, aged 36, single and has been with the Company for 3years</v>
      </c>
    </row>
    <row r="1105" spans="1:29">
      <c r="A1105" s="18" t="str">
        <f t="shared" ca="1" si="187"/>
        <v>Sa-Sal-2018-1104</v>
      </c>
      <c r="B1105" s="5">
        <v>48</v>
      </c>
      <c r="C1105" s="5" t="str">
        <f t="shared" si="188"/>
        <v>40-49</v>
      </c>
      <c r="D1105" s="5" t="s">
        <v>43</v>
      </c>
      <c r="E1105" s="5" t="s">
        <v>37</v>
      </c>
      <c r="F1105" s="5" t="s">
        <v>39</v>
      </c>
      <c r="G1105" s="5">
        <v>2</v>
      </c>
      <c r="H1105" s="5" t="s">
        <v>40</v>
      </c>
      <c r="I1105" s="5" t="s">
        <v>52</v>
      </c>
      <c r="J1105" s="7">
        <v>6439</v>
      </c>
      <c r="K1105" s="7">
        <f t="shared" si="189"/>
        <v>965.84999999999991</v>
      </c>
      <c r="L1105" s="7">
        <f t="shared" si="190"/>
        <v>5473.15</v>
      </c>
      <c r="M1105" s="7">
        <v>13693</v>
      </c>
      <c r="N1105" s="5" t="s">
        <v>43</v>
      </c>
      <c r="O1105" s="5">
        <v>14</v>
      </c>
      <c r="P1105" s="7">
        <f t="shared" si="191"/>
        <v>7340.4600000000009</v>
      </c>
      <c r="Q1105" s="7">
        <f t="shared" si="192"/>
        <v>10817.520000000011</v>
      </c>
      <c r="R1105" s="7" t="str">
        <f t="shared" si="193"/>
        <v>Normal</v>
      </c>
      <c r="S1105" s="5">
        <v>3</v>
      </c>
      <c r="T1105" s="5">
        <v>3</v>
      </c>
      <c r="U1105" s="5" t="str" cm="1">
        <f t="array" ref="U1105">_xlfn.IFS(T1105=1,"Poor",T1105=2,"Fair",T1105=3,"Good",T1105=4,"Excellent")</f>
        <v>Good</v>
      </c>
      <c r="V1105" s="5" t="s">
        <v>43</v>
      </c>
      <c r="W1105" s="5">
        <v>8</v>
      </c>
      <c r="X1105" s="28">
        <f t="shared" ca="1" si="194"/>
        <v>43189</v>
      </c>
      <c r="Y1105" s="28">
        <f t="shared" ca="1" si="195"/>
        <v>46842</v>
      </c>
      <c r="Z1105" s="28" t="str">
        <f t="shared" ca="1" si="196"/>
        <v>Upcoming</v>
      </c>
      <c r="AA1105" s="5" t="str" cm="1">
        <f t="array" ref="AA1105">_xlfn.IFS(W1105&gt;10,"Veteran",W1105&gt;=6,"Experienced",W1105&gt;=2,"Developing",W1105&gt;=0,"New")</f>
        <v>Experienced</v>
      </c>
      <c r="AB1105" s="5" t="str" cm="1">
        <f t="array" ref="AB1105">_xlfn.IFS(G1105=1,"Junior",G1105=2,"Mid-Level",G1105=3,"Senior",G1105=4,"Lead",G1105=5,"Principal")&amp;" "&amp;TRIM(PROPER(H1105))</f>
        <v>Mid-Level Sales Executive</v>
      </c>
      <c r="AC1105" s="19" t="str">
        <f t="shared" ca="1" si="197"/>
        <v>Sa-Sal-2018-1104 is a Mid-Level Sales Executive in the Sales department, aged 48, divorced and has been with the Company for 8years</v>
      </c>
    </row>
    <row r="1106" spans="1:29">
      <c r="A1106" s="18" t="str">
        <f t="shared" ca="1" si="187"/>
        <v>Re-Res-2025-1105</v>
      </c>
      <c r="B1106" s="5">
        <v>29</v>
      </c>
      <c r="C1106" s="5" t="str">
        <f t="shared" si="188"/>
        <v>20-29</v>
      </c>
      <c r="D1106" s="5" t="s">
        <v>43</v>
      </c>
      <c r="E1106" s="5" t="s">
        <v>45</v>
      </c>
      <c r="F1106" s="5" t="s">
        <v>46</v>
      </c>
      <c r="G1106" s="5">
        <v>1</v>
      </c>
      <c r="H1106" s="5" t="s">
        <v>47</v>
      </c>
      <c r="I1106" s="5" t="s">
        <v>48</v>
      </c>
      <c r="J1106" s="7">
        <v>2451</v>
      </c>
      <c r="K1106" s="7">
        <f t="shared" si="189"/>
        <v>171.57000000000002</v>
      </c>
      <c r="L1106" s="7">
        <f t="shared" si="190"/>
        <v>2279.4299999999998</v>
      </c>
      <c r="M1106" s="7">
        <v>22376</v>
      </c>
      <c r="N1106" s="5" t="s">
        <v>43</v>
      </c>
      <c r="O1106" s="5">
        <v>18</v>
      </c>
      <c r="P1106" s="7">
        <f t="shared" si="191"/>
        <v>2892.18</v>
      </c>
      <c r="Q1106" s="7">
        <f t="shared" si="192"/>
        <v>5294.159999999998</v>
      </c>
      <c r="R1106" s="7" t="str">
        <f t="shared" si="193"/>
        <v>Normal</v>
      </c>
      <c r="S1106" s="5">
        <v>3</v>
      </c>
      <c r="T1106" s="5">
        <v>2</v>
      </c>
      <c r="U1106" s="5" t="str" cm="1">
        <f t="array" ref="U1106">_xlfn.IFS(T1106=1,"Poor",T1106=2,"Fair",T1106=3,"Good",T1106=4,"Excellent")</f>
        <v>Fair</v>
      </c>
      <c r="V1106" s="5" t="s">
        <v>43</v>
      </c>
      <c r="W1106" s="5">
        <v>1</v>
      </c>
      <c r="X1106" s="28">
        <f t="shared" ca="1" si="194"/>
        <v>45746</v>
      </c>
      <c r="Y1106" s="28">
        <f t="shared" ca="1" si="195"/>
        <v>46476</v>
      </c>
      <c r="Z1106" s="28" t="str">
        <f t="shared" ca="1" si="196"/>
        <v>Due Soon</v>
      </c>
      <c r="AA1106" s="5" t="str" cm="1">
        <f t="array" ref="AA1106">_xlfn.IFS(W1106&gt;10,"Veteran",W1106&gt;=6,"Experienced",W1106&gt;=2,"Developing",W1106&gt;=0,"New")</f>
        <v>New</v>
      </c>
      <c r="AB1106" s="5" t="str" cm="1">
        <f t="array" ref="AB1106">_xlfn.IFS(G1106=1,"Junior",G1106=2,"Mid-Level",G1106=3,"Senior",G1106=4,"Lead",G1106=5,"Principal")&amp;" "&amp;TRIM(PROPER(H1106))</f>
        <v>Junior Research Scientist</v>
      </c>
      <c r="AC1106" s="19" t="str">
        <f t="shared" ca="1" si="197"/>
        <v>Re-Res-2025-1105 is a Junior Research Scientist in the Research &amp; Development department, aged 29, married and has been with the Company for 1years</v>
      </c>
    </row>
    <row r="1107" spans="1:29">
      <c r="A1107" s="18" t="str">
        <f t="shared" ca="1" si="187"/>
        <v>Sa-Sal-2024-1106</v>
      </c>
      <c r="B1107" s="5">
        <v>33</v>
      </c>
      <c r="C1107" s="5" t="str">
        <f t="shared" si="188"/>
        <v>30-39</v>
      </c>
      <c r="D1107" s="5" t="s">
        <v>43</v>
      </c>
      <c r="E1107" s="5" t="s">
        <v>37</v>
      </c>
      <c r="F1107" s="5" t="s">
        <v>46</v>
      </c>
      <c r="G1107" s="5">
        <v>2</v>
      </c>
      <c r="H1107" s="5" t="s">
        <v>40</v>
      </c>
      <c r="I1107" s="5" t="s">
        <v>48</v>
      </c>
      <c r="J1107" s="7">
        <v>6392</v>
      </c>
      <c r="K1107" s="7">
        <f t="shared" si="189"/>
        <v>958.8</v>
      </c>
      <c r="L1107" s="7">
        <f t="shared" si="190"/>
        <v>5433.2</v>
      </c>
      <c r="M1107" s="7">
        <v>10589</v>
      </c>
      <c r="N1107" s="5" t="s">
        <v>43</v>
      </c>
      <c r="O1107" s="5">
        <v>13</v>
      </c>
      <c r="P1107" s="7">
        <f t="shared" si="191"/>
        <v>7222.9599999999991</v>
      </c>
      <c r="Q1107" s="7">
        <f t="shared" si="192"/>
        <v>9971.5199999999895</v>
      </c>
      <c r="R1107" s="7" t="str">
        <f t="shared" si="193"/>
        <v>Normal</v>
      </c>
      <c r="S1107" s="5">
        <v>3</v>
      </c>
      <c r="T1107" s="5">
        <v>1</v>
      </c>
      <c r="U1107" s="5" t="str" cm="1">
        <f t="array" ref="U1107">_xlfn.IFS(T1107=1,"Poor",T1107=2,"Fair",T1107=3,"Good",T1107=4,"Excellent")</f>
        <v>Poor</v>
      </c>
      <c r="V1107" s="5" t="s">
        <v>43</v>
      </c>
      <c r="W1107" s="5">
        <v>2</v>
      </c>
      <c r="X1107" s="28">
        <f t="shared" ca="1" si="194"/>
        <v>45381</v>
      </c>
      <c r="Y1107" s="28">
        <f t="shared" ca="1" si="195"/>
        <v>46842</v>
      </c>
      <c r="Z1107" s="28" t="str">
        <f t="shared" ca="1" si="196"/>
        <v>Upcoming</v>
      </c>
      <c r="AA1107" s="5" t="str" cm="1">
        <f t="array" ref="AA1107">_xlfn.IFS(W1107&gt;10,"Veteran",W1107&gt;=6,"Experienced",W1107&gt;=2,"Developing",W1107&gt;=0,"New")</f>
        <v>Developing</v>
      </c>
      <c r="AB1107" s="5" t="str" cm="1">
        <f t="array" ref="AB1107">_xlfn.IFS(G1107=1,"Junior",G1107=2,"Mid-Level",G1107=3,"Senior",G1107=4,"Lead",G1107=5,"Principal")&amp;" "&amp;TRIM(PROPER(H1107))</f>
        <v>Mid-Level Sales Executive</v>
      </c>
      <c r="AC1107" s="19" t="str">
        <f t="shared" ca="1" si="197"/>
        <v>Sa-Sal-2024-1106 is a Mid-Level Sales Executive in the Sales department, aged 33, married and has been with the Company for 2years</v>
      </c>
    </row>
    <row r="1108" spans="1:29">
      <c r="A1108" s="18" t="str">
        <f t="shared" ca="1" si="187"/>
        <v>Sa-Sal-2016-1107</v>
      </c>
      <c r="B1108" s="5">
        <v>30</v>
      </c>
      <c r="C1108" s="5" t="str">
        <f t="shared" si="188"/>
        <v>30-39</v>
      </c>
      <c r="D1108" s="5" t="s">
        <v>35</v>
      </c>
      <c r="E1108" s="5" t="s">
        <v>37</v>
      </c>
      <c r="F1108" s="5" t="s">
        <v>46</v>
      </c>
      <c r="G1108" s="5">
        <v>2</v>
      </c>
      <c r="H1108" s="5" t="s">
        <v>40</v>
      </c>
      <c r="I1108" s="5" t="s">
        <v>48</v>
      </c>
      <c r="J1108" s="7">
        <v>9714</v>
      </c>
      <c r="K1108" s="7">
        <f t="shared" si="189"/>
        <v>2137.08</v>
      </c>
      <c r="L1108" s="7">
        <f t="shared" si="190"/>
        <v>7576.92</v>
      </c>
      <c r="M1108" s="7">
        <v>5323</v>
      </c>
      <c r="N1108" s="5" t="s">
        <v>43</v>
      </c>
      <c r="O1108" s="5">
        <v>11</v>
      </c>
      <c r="P1108" s="7">
        <f t="shared" si="191"/>
        <v>10782.54</v>
      </c>
      <c r="Q1108" s="7">
        <f t="shared" si="192"/>
        <v>12822.48000000001</v>
      </c>
      <c r="R1108" s="7" t="str">
        <f t="shared" si="193"/>
        <v>Normal</v>
      </c>
      <c r="S1108" s="5">
        <v>3</v>
      </c>
      <c r="T1108" s="5">
        <v>3</v>
      </c>
      <c r="U1108" s="5" t="str" cm="1">
        <f t="array" ref="U1108">_xlfn.IFS(T1108=1,"Poor",T1108=2,"Fair",T1108=3,"Good",T1108=4,"Excellent")</f>
        <v>Good</v>
      </c>
      <c r="V1108" s="5" t="s">
        <v>43</v>
      </c>
      <c r="W1108" s="5">
        <v>10</v>
      </c>
      <c r="X1108" s="28">
        <f t="shared" ca="1" si="194"/>
        <v>42459</v>
      </c>
      <c r="Y1108" s="28">
        <f t="shared" ca="1" si="195"/>
        <v>46842</v>
      </c>
      <c r="Z1108" s="28" t="str">
        <f t="shared" ca="1" si="196"/>
        <v>Upcoming</v>
      </c>
      <c r="AA1108" s="5" t="str" cm="1">
        <f t="array" ref="AA1108">_xlfn.IFS(W1108&gt;10,"Veteran",W1108&gt;=6,"Experienced",W1108&gt;=2,"Developing",W1108&gt;=0,"New")</f>
        <v>Experienced</v>
      </c>
      <c r="AB1108" s="5" t="str" cm="1">
        <f t="array" ref="AB1108">_xlfn.IFS(G1108=1,"Junior",G1108=2,"Mid-Level",G1108=3,"Senior",G1108=4,"Lead",G1108=5,"Principal")&amp;" "&amp;TRIM(PROPER(H1108))</f>
        <v>Mid-Level Sales Executive</v>
      </c>
      <c r="AC1108" s="19" t="str">
        <f t="shared" ca="1" si="197"/>
        <v>Sa-Sal-2016-1107 is a Mid-Level Sales Executive in the Sales department, aged 30, married and has been with the Company for 10years</v>
      </c>
    </row>
    <row r="1109" spans="1:29">
      <c r="A1109" s="18" t="str">
        <f t="shared" ca="1" si="187"/>
        <v>Hu-Hum-2020-1108</v>
      </c>
      <c r="B1109" s="5">
        <v>38</v>
      </c>
      <c r="C1109" s="5" t="str">
        <f t="shared" si="188"/>
        <v>30-39</v>
      </c>
      <c r="D1109" s="5" t="s">
        <v>43</v>
      </c>
      <c r="E1109" s="5" t="s">
        <v>61</v>
      </c>
      <c r="F1109" s="5" t="s">
        <v>46</v>
      </c>
      <c r="G1109" s="5">
        <v>2</v>
      </c>
      <c r="H1109" s="5" t="s">
        <v>61</v>
      </c>
      <c r="I1109" s="5" t="s">
        <v>48</v>
      </c>
      <c r="J1109" s="7">
        <v>6077</v>
      </c>
      <c r="K1109" s="7">
        <f t="shared" si="189"/>
        <v>911.55</v>
      </c>
      <c r="L1109" s="7">
        <f t="shared" si="190"/>
        <v>5165.45</v>
      </c>
      <c r="M1109" s="7">
        <v>14814</v>
      </c>
      <c r="N1109" s="5" t="s">
        <v>43</v>
      </c>
      <c r="O1109" s="5">
        <v>11</v>
      </c>
      <c r="P1109" s="7">
        <f t="shared" si="191"/>
        <v>6745.47</v>
      </c>
      <c r="Q1109" s="7">
        <f t="shared" si="192"/>
        <v>8021.6400000000031</v>
      </c>
      <c r="R1109" s="7" t="str">
        <f t="shared" si="193"/>
        <v>Normal</v>
      </c>
      <c r="S1109" s="5">
        <v>3</v>
      </c>
      <c r="T1109" s="5">
        <v>3</v>
      </c>
      <c r="U1109" s="5" t="str" cm="1">
        <f t="array" ref="U1109">_xlfn.IFS(T1109=1,"Poor",T1109=2,"Fair",T1109=3,"Good",T1109=4,"Excellent")</f>
        <v>Good</v>
      </c>
      <c r="V1109" s="5" t="s">
        <v>43</v>
      </c>
      <c r="W1109" s="5">
        <v>6</v>
      </c>
      <c r="X1109" s="28">
        <f t="shared" ca="1" si="194"/>
        <v>43920</v>
      </c>
      <c r="Y1109" s="28">
        <f t="shared" ca="1" si="195"/>
        <v>46842</v>
      </c>
      <c r="Z1109" s="28" t="str">
        <f t="shared" ca="1" si="196"/>
        <v>Upcoming</v>
      </c>
      <c r="AA1109" s="5" t="str" cm="1">
        <f t="array" ref="AA1109">_xlfn.IFS(W1109&gt;10,"Veteran",W1109&gt;=6,"Experienced",W1109&gt;=2,"Developing",W1109&gt;=0,"New")</f>
        <v>Experienced</v>
      </c>
      <c r="AB1109" s="5" t="str" cm="1">
        <f t="array" ref="AB1109">_xlfn.IFS(G1109=1,"Junior",G1109=2,"Mid-Level",G1109=3,"Senior",G1109=4,"Lead",G1109=5,"Principal")&amp;" "&amp;TRIM(PROPER(H1109))</f>
        <v>Mid-Level Human Resources</v>
      </c>
      <c r="AC1109" s="19" t="str">
        <f t="shared" ca="1" si="197"/>
        <v>Hu-Hum-2020-1108 is a Mid-Level Human Resources in the Human Resources department, aged 38, married and has been with the Company for 6years</v>
      </c>
    </row>
    <row r="1110" spans="1:29">
      <c r="A1110" s="18" t="str">
        <f t="shared" ca="1" si="187"/>
        <v>La-Res-2023-1109</v>
      </c>
      <c r="B1110" s="5">
        <v>35</v>
      </c>
      <c r="C1110" s="5" t="str">
        <f t="shared" si="188"/>
        <v>30-39</v>
      </c>
      <c r="D1110" s="5" t="s">
        <v>43</v>
      </c>
      <c r="E1110" s="5" t="s">
        <v>45</v>
      </c>
      <c r="F1110" s="5" t="s">
        <v>46</v>
      </c>
      <c r="G1110" s="5">
        <v>1</v>
      </c>
      <c r="H1110" s="5" t="s">
        <v>50</v>
      </c>
      <c r="I1110" s="5" t="s">
        <v>41</v>
      </c>
      <c r="J1110" s="7">
        <v>2450</v>
      </c>
      <c r="K1110" s="7">
        <f t="shared" si="189"/>
        <v>171.50000000000003</v>
      </c>
      <c r="L1110" s="7">
        <f t="shared" si="190"/>
        <v>2278.5</v>
      </c>
      <c r="M1110" s="7">
        <v>21731</v>
      </c>
      <c r="N1110" s="5" t="s">
        <v>43</v>
      </c>
      <c r="O1110" s="5">
        <v>19</v>
      </c>
      <c r="P1110" s="7">
        <f t="shared" si="191"/>
        <v>2915.5</v>
      </c>
      <c r="Q1110" s="7">
        <f t="shared" si="192"/>
        <v>5586</v>
      </c>
      <c r="R1110" s="7" t="str">
        <f t="shared" si="193"/>
        <v>Normal</v>
      </c>
      <c r="S1110" s="5">
        <v>3</v>
      </c>
      <c r="T1110" s="5">
        <v>3</v>
      </c>
      <c r="U1110" s="5" t="str" cm="1">
        <f t="array" ref="U1110">_xlfn.IFS(T1110=1,"Poor",T1110=2,"Fair",T1110=3,"Good",T1110=4,"Excellent")</f>
        <v>Good</v>
      </c>
      <c r="V1110" s="5" t="s">
        <v>43</v>
      </c>
      <c r="W1110" s="5">
        <v>3</v>
      </c>
      <c r="X1110" s="28">
        <f t="shared" ca="1" si="194"/>
        <v>45015</v>
      </c>
      <c r="Y1110" s="28">
        <f t="shared" ca="1" si="195"/>
        <v>46476</v>
      </c>
      <c r="Z1110" s="28" t="str">
        <f t="shared" ca="1" si="196"/>
        <v>Due Soon</v>
      </c>
      <c r="AA1110" s="5" t="str" cm="1">
        <f t="array" ref="AA1110">_xlfn.IFS(W1110&gt;10,"Veteran",W1110&gt;=6,"Experienced",W1110&gt;=2,"Developing",W1110&gt;=0,"New")</f>
        <v>Developing</v>
      </c>
      <c r="AB1110" s="5" t="str" cm="1">
        <f t="array" ref="AB1110">_xlfn.IFS(G1110=1,"Junior",G1110=2,"Mid-Level",G1110=3,"Senior",G1110=4,"Lead",G1110=5,"Principal")&amp;" "&amp;TRIM(PROPER(H1110))</f>
        <v>Junior Laboratory Technician</v>
      </c>
      <c r="AC1110" s="19" t="str">
        <f t="shared" ca="1" si="197"/>
        <v>La-Res-2023-1109 is a Junior Laboratory Technician in the Research &amp; Development department, aged 35, single and has been with the Company for 3years</v>
      </c>
    </row>
    <row r="1111" spans="1:29">
      <c r="A1111" s="18" t="str">
        <f t="shared" ca="1" si="187"/>
        <v>Sa-Sal-2022-1110</v>
      </c>
      <c r="B1111" s="5">
        <v>30</v>
      </c>
      <c r="C1111" s="5" t="str">
        <f t="shared" si="188"/>
        <v>30-39</v>
      </c>
      <c r="D1111" s="5" t="s">
        <v>43</v>
      </c>
      <c r="E1111" s="5" t="s">
        <v>37</v>
      </c>
      <c r="F1111" s="5" t="s">
        <v>46</v>
      </c>
      <c r="G1111" s="5">
        <v>3</v>
      </c>
      <c r="H1111" s="5" t="s">
        <v>40</v>
      </c>
      <c r="I1111" s="5" t="s">
        <v>48</v>
      </c>
      <c r="J1111" s="7">
        <v>9250</v>
      </c>
      <c r="K1111" s="7">
        <f t="shared" si="189"/>
        <v>2035</v>
      </c>
      <c r="L1111" s="7">
        <f t="shared" si="190"/>
        <v>7215</v>
      </c>
      <c r="M1111" s="7">
        <v>17799</v>
      </c>
      <c r="N1111" s="5" t="s">
        <v>43</v>
      </c>
      <c r="O1111" s="5">
        <v>12</v>
      </c>
      <c r="P1111" s="7">
        <f t="shared" si="191"/>
        <v>10360.000000000002</v>
      </c>
      <c r="Q1111" s="7">
        <f t="shared" si="192"/>
        <v>13320.000000000022</v>
      </c>
      <c r="R1111" s="7" t="str">
        <f t="shared" si="193"/>
        <v>Normal</v>
      </c>
      <c r="S1111" s="5">
        <v>3</v>
      </c>
      <c r="T1111" s="5">
        <v>3</v>
      </c>
      <c r="U1111" s="5" t="str" cm="1">
        <f t="array" ref="U1111">_xlfn.IFS(T1111=1,"Poor",T1111=2,"Fair",T1111=3,"Good",T1111=4,"Excellent")</f>
        <v>Good</v>
      </c>
      <c r="V1111" s="5" t="s">
        <v>43</v>
      </c>
      <c r="W1111" s="5">
        <v>4</v>
      </c>
      <c r="X1111" s="28">
        <f t="shared" ca="1" si="194"/>
        <v>44650</v>
      </c>
      <c r="Y1111" s="28">
        <f t="shared" ca="1" si="195"/>
        <v>46842</v>
      </c>
      <c r="Z1111" s="28" t="str">
        <f t="shared" ca="1" si="196"/>
        <v>Upcoming</v>
      </c>
      <c r="AA1111" s="5" t="str" cm="1">
        <f t="array" ref="AA1111">_xlfn.IFS(W1111&gt;10,"Veteran",W1111&gt;=6,"Experienced",W1111&gt;=2,"Developing",W1111&gt;=0,"New")</f>
        <v>Developing</v>
      </c>
      <c r="AB1111" s="5" t="str" cm="1">
        <f t="array" ref="AB1111">_xlfn.IFS(G1111=1,"Junior",G1111=2,"Mid-Level",G1111=3,"Senior",G1111=4,"Lead",G1111=5,"Principal")&amp;" "&amp;TRIM(PROPER(H1111))</f>
        <v>Senior Sales Executive</v>
      </c>
      <c r="AC1111" s="19" t="str">
        <f t="shared" ca="1" si="197"/>
        <v>Sa-Sal-2022-1110 is a Senior Sales Executive in the Sales department, aged 30, married and has been with the Company for 4years</v>
      </c>
    </row>
    <row r="1112" spans="1:29">
      <c r="A1112" s="18" t="str">
        <f t="shared" ca="1" si="187"/>
        <v>La-Res-2025-1111</v>
      </c>
      <c r="B1112" s="5">
        <v>35</v>
      </c>
      <c r="C1112" s="5" t="str">
        <f t="shared" si="188"/>
        <v>30-39</v>
      </c>
      <c r="D1112" s="5" t="s">
        <v>35</v>
      </c>
      <c r="E1112" s="5" t="s">
        <v>45</v>
      </c>
      <c r="F1112" s="5" t="s">
        <v>39</v>
      </c>
      <c r="G1112" s="5">
        <v>1</v>
      </c>
      <c r="H1112" s="5" t="s">
        <v>50</v>
      </c>
      <c r="I1112" s="5" t="s">
        <v>52</v>
      </c>
      <c r="J1112" s="7">
        <v>2074</v>
      </c>
      <c r="K1112" s="7">
        <f t="shared" si="189"/>
        <v>145.18</v>
      </c>
      <c r="L1112" s="7">
        <f t="shared" si="190"/>
        <v>1928.82</v>
      </c>
      <c r="M1112" s="7">
        <v>26619</v>
      </c>
      <c r="N1112" s="5" t="s">
        <v>35</v>
      </c>
      <c r="O1112" s="5">
        <v>12</v>
      </c>
      <c r="P1112" s="7">
        <f t="shared" si="191"/>
        <v>2322.88</v>
      </c>
      <c r="Q1112" s="7">
        <f t="shared" si="192"/>
        <v>2986.5600000000013</v>
      </c>
      <c r="R1112" s="7" t="str">
        <f t="shared" si="193"/>
        <v>Normal</v>
      </c>
      <c r="S1112" s="5">
        <v>3</v>
      </c>
      <c r="T1112" s="5">
        <v>3</v>
      </c>
      <c r="U1112" s="5" t="str" cm="1">
        <f t="array" ref="U1112">_xlfn.IFS(T1112=1,"Poor",T1112=2,"Fair",T1112=3,"Good",T1112=4,"Excellent")</f>
        <v>Good</v>
      </c>
      <c r="V1112" s="5" t="s">
        <v>35</v>
      </c>
      <c r="W1112" s="5">
        <v>1</v>
      </c>
      <c r="X1112" s="28">
        <f t="shared" ca="1" si="194"/>
        <v>45746</v>
      </c>
      <c r="Y1112" s="28">
        <f t="shared" ca="1" si="195"/>
        <v>46476</v>
      </c>
      <c r="Z1112" s="28" t="str">
        <f t="shared" ca="1" si="196"/>
        <v>Due Soon</v>
      </c>
      <c r="AA1112" s="5" t="str" cm="1">
        <f t="array" ref="AA1112">_xlfn.IFS(W1112&gt;10,"Veteran",W1112&gt;=6,"Experienced",W1112&gt;=2,"Developing",W1112&gt;=0,"New")</f>
        <v>New</v>
      </c>
      <c r="AB1112" s="5" t="str" cm="1">
        <f t="array" ref="AB1112">_xlfn.IFS(G1112=1,"Junior",G1112=2,"Mid-Level",G1112=3,"Senior",G1112=4,"Lead",G1112=5,"Principal")&amp;" "&amp;TRIM(PROPER(H1112))</f>
        <v>Junior Laboratory Technician</v>
      </c>
      <c r="AC1112" s="19" t="str">
        <f t="shared" ca="1" si="197"/>
        <v>La-Res-2025-1111 is a Junior Laboratory Technician in the Research &amp; Development department, aged 35, divorced and has been with the Company for 1years</v>
      </c>
    </row>
    <row r="1113" spans="1:29">
      <c r="A1113" s="18" t="str">
        <f t="shared" ca="1" si="187"/>
        <v>Ma-Res-1993-1112</v>
      </c>
      <c r="B1113" s="5">
        <v>53</v>
      </c>
      <c r="C1113" s="5" t="str">
        <f t="shared" si="188"/>
        <v>50+</v>
      </c>
      <c r="D1113" s="5" t="s">
        <v>35</v>
      </c>
      <c r="E1113" s="5" t="s">
        <v>45</v>
      </c>
      <c r="F1113" s="5" t="s">
        <v>39</v>
      </c>
      <c r="G1113" s="5">
        <v>3</v>
      </c>
      <c r="H1113" s="5" t="s">
        <v>53</v>
      </c>
      <c r="I1113" s="5" t="s">
        <v>48</v>
      </c>
      <c r="J1113" s="7">
        <v>10169</v>
      </c>
      <c r="K1113" s="7">
        <f t="shared" si="189"/>
        <v>2237.1799999999998</v>
      </c>
      <c r="L1113" s="7">
        <f t="shared" si="190"/>
        <v>7931.82</v>
      </c>
      <c r="M1113" s="7">
        <v>14618</v>
      </c>
      <c r="N1113" s="5" t="s">
        <v>43</v>
      </c>
      <c r="O1113" s="5">
        <v>16</v>
      </c>
      <c r="P1113" s="7">
        <f t="shared" si="191"/>
        <v>11796.039999999999</v>
      </c>
      <c r="Q1113" s="7">
        <f t="shared" si="192"/>
        <v>19524.479999999989</v>
      </c>
      <c r="R1113" s="7" t="str">
        <f t="shared" si="193"/>
        <v>Normal</v>
      </c>
      <c r="S1113" s="5">
        <v>3</v>
      </c>
      <c r="T1113" s="5">
        <v>3</v>
      </c>
      <c r="U1113" s="5" t="str" cm="1">
        <f t="array" ref="U1113">_xlfn.IFS(T1113=1,"Poor",T1113=2,"Fair",T1113=3,"Good",T1113=4,"Excellent")</f>
        <v>Good</v>
      </c>
      <c r="V1113" s="5" t="s">
        <v>43</v>
      </c>
      <c r="W1113" s="5">
        <v>33</v>
      </c>
      <c r="X1113" s="28">
        <f t="shared" ca="1" si="194"/>
        <v>34058</v>
      </c>
      <c r="Y1113" s="28">
        <f t="shared" ca="1" si="195"/>
        <v>46476</v>
      </c>
      <c r="Z1113" s="28" t="str">
        <f t="shared" ca="1" si="196"/>
        <v>Due Soon</v>
      </c>
      <c r="AA1113" s="5" t="str" cm="1">
        <f t="array" ref="AA1113">_xlfn.IFS(W1113&gt;10,"Veteran",W1113&gt;=6,"Experienced",W1113&gt;=2,"Developing",W1113&gt;=0,"New")</f>
        <v>Veteran</v>
      </c>
      <c r="AB1113" s="5" t="str" cm="1">
        <f t="array" ref="AB1113">_xlfn.IFS(G1113=1,"Junior",G1113=2,"Mid-Level",G1113=3,"Senior",G1113=4,"Lead",G1113=5,"Principal")&amp;" "&amp;TRIM(PROPER(H1113))</f>
        <v>Senior Manufacturing Director</v>
      </c>
      <c r="AC1113" s="19" t="str">
        <f t="shared" ca="1" si="197"/>
        <v>Ma-Res-1993-1112 is a Senior Manufacturing Director in the Research &amp; Development department, aged 53, married and has been with the Company for 33years</v>
      </c>
    </row>
    <row r="1114" spans="1:29">
      <c r="A1114" s="18" t="str">
        <f t="shared" ca="1" si="187"/>
        <v>Ma-Res-2021-1113</v>
      </c>
      <c r="B1114" s="5">
        <v>38</v>
      </c>
      <c r="C1114" s="5" t="str">
        <f t="shared" si="188"/>
        <v>30-39</v>
      </c>
      <c r="D1114" s="5" t="s">
        <v>35</v>
      </c>
      <c r="E1114" s="5" t="s">
        <v>45</v>
      </c>
      <c r="F1114" s="5" t="s">
        <v>46</v>
      </c>
      <c r="G1114" s="5">
        <v>2</v>
      </c>
      <c r="H1114" s="5" t="s">
        <v>53</v>
      </c>
      <c r="I1114" s="5" t="s">
        <v>48</v>
      </c>
      <c r="J1114" s="7">
        <v>4855</v>
      </c>
      <c r="K1114" s="7">
        <f t="shared" si="189"/>
        <v>728.25</v>
      </c>
      <c r="L1114" s="7">
        <f t="shared" si="190"/>
        <v>4126.75</v>
      </c>
      <c r="M1114" s="7">
        <v>7653</v>
      </c>
      <c r="N1114" s="5" t="s">
        <v>43</v>
      </c>
      <c r="O1114" s="5">
        <v>11</v>
      </c>
      <c r="P1114" s="7">
        <f t="shared" si="191"/>
        <v>5389.05</v>
      </c>
      <c r="Q1114" s="7">
        <f t="shared" si="192"/>
        <v>6408.6000000000022</v>
      </c>
      <c r="R1114" s="7" t="str">
        <f t="shared" si="193"/>
        <v>Normal</v>
      </c>
      <c r="S1114" s="5">
        <v>3</v>
      </c>
      <c r="T1114" s="5">
        <v>3</v>
      </c>
      <c r="U1114" s="5" t="str" cm="1">
        <f t="array" ref="U1114">_xlfn.IFS(T1114=1,"Poor",T1114=2,"Fair",T1114=3,"Good",T1114=4,"Excellent")</f>
        <v>Good</v>
      </c>
      <c r="V1114" s="5" t="s">
        <v>43</v>
      </c>
      <c r="W1114" s="5">
        <v>5</v>
      </c>
      <c r="X1114" s="28">
        <f t="shared" ca="1" si="194"/>
        <v>44285</v>
      </c>
      <c r="Y1114" s="28">
        <f t="shared" ca="1" si="195"/>
        <v>46476</v>
      </c>
      <c r="Z1114" s="28" t="str">
        <f t="shared" ca="1" si="196"/>
        <v>Due Soon</v>
      </c>
      <c r="AA1114" s="5" t="str" cm="1">
        <f t="array" ref="AA1114">_xlfn.IFS(W1114&gt;10,"Veteran",W1114&gt;=6,"Experienced",W1114&gt;=2,"Developing",W1114&gt;=0,"New")</f>
        <v>Developing</v>
      </c>
      <c r="AB1114" s="5" t="str" cm="1">
        <f t="array" ref="AB1114">_xlfn.IFS(G1114=1,"Junior",G1114=2,"Mid-Level",G1114=3,"Senior",G1114=4,"Lead",G1114=5,"Principal")&amp;" "&amp;TRIM(PROPER(H1114))</f>
        <v>Mid-Level Manufacturing Director</v>
      </c>
      <c r="AC1114" s="19" t="str">
        <f t="shared" ca="1" si="197"/>
        <v>Ma-Res-2021-1113 is a Mid-Level Manufacturing Director in the Research &amp; Development department, aged 38, married and has been with the Company for 5years</v>
      </c>
    </row>
    <row r="1115" spans="1:29">
      <c r="A1115" s="18" t="str">
        <f t="shared" ca="1" si="187"/>
        <v>Re-Res-2020-1114</v>
      </c>
      <c r="B1115" s="5">
        <v>32</v>
      </c>
      <c r="C1115" s="5" t="str">
        <f t="shared" si="188"/>
        <v>30-39</v>
      </c>
      <c r="D1115" s="5" t="s">
        <v>43</v>
      </c>
      <c r="E1115" s="5" t="s">
        <v>45</v>
      </c>
      <c r="F1115" s="5" t="s">
        <v>46</v>
      </c>
      <c r="G1115" s="5">
        <v>2</v>
      </c>
      <c r="H1115" s="5" t="s">
        <v>47</v>
      </c>
      <c r="I1115" s="5" t="s">
        <v>48</v>
      </c>
      <c r="J1115" s="7">
        <v>4087</v>
      </c>
      <c r="K1115" s="7">
        <f t="shared" si="189"/>
        <v>613.04999999999995</v>
      </c>
      <c r="L1115" s="7">
        <f t="shared" si="190"/>
        <v>3473.95</v>
      </c>
      <c r="M1115" s="7">
        <v>25174</v>
      </c>
      <c r="N1115" s="5" t="s">
        <v>43</v>
      </c>
      <c r="O1115" s="5">
        <v>14</v>
      </c>
      <c r="P1115" s="7">
        <f t="shared" si="191"/>
        <v>4659.18</v>
      </c>
      <c r="Q1115" s="7">
        <f t="shared" si="192"/>
        <v>6866.1600000000035</v>
      </c>
      <c r="R1115" s="7" t="str">
        <f t="shared" si="193"/>
        <v>Normal</v>
      </c>
      <c r="S1115" s="5">
        <v>3</v>
      </c>
      <c r="T1115" s="5">
        <v>2</v>
      </c>
      <c r="U1115" s="5" t="str" cm="1">
        <f t="array" ref="U1115">_xlfn.IFS(T1115=1,"Poor",T1115=2,"Fair",T1115=3,"Good",T1115=4,"Excellent")</f>
        <v>Fair</v>
      </c>
      <c r="V1115" s="5" t="s">
        <v>43</v>
      </c>
      <c r="W1115" s="5">
        <v>6</v>
      </c>
      <c r="X1115" s="28">
        <f t="shared" ca="1" si="194"/>
        <v>43920</v>
      </c>
      <c r="Y1115" s="28">
        <f t="shared" ca="1" si="195"/>
        <v>46842</v>
      </c>
      <c r="Z1115" s="28" t="str">
        <f t="shared" ca="1" si="196"/>
        <v>Upcoming</v>
      </c>
      <c r="AA1115" s="5" t="str" cm="1">
        <f t="array" ref="AA1115">_xlfn.IFS(W1115&gt;10,"Veteran",W1115&gt;=6,"Experienced",W1115&gt;=2,"Developing",W1115&gt;=0,"New")</f>
        <v>Experienced</v>
      </c>
      <c r="AB1115" s="5" t="str" cm="1">
        <f t="array" ref="AB1115">_xlfn.IFS(G1115=1,"Junior",G1115=2,"Mid-Level",G1115=3,"Senior",G1115=4,"Lead",G1115=5,"Principal")&amp;" "&amp;TRIM(PROPER(H1115))</f>
        <v>Mid-Level Research Scientist</v>
      </c>
      <c r="AC1115" s="19" t="str">
        <f t="shared" ca="1" si="197"/>
        <v>Re-Res-2020-1114 is a Mid-Level Research Scientist in the Research &amp; Development department, aged 32, married and has been with the Company for 6years</v>
      </c>
    </row>
    <row r="1116" spans="1:29">
      <c r="A1116" s="18" t="str">
        <f t="shared" ca="1" si="187"/>
        <v>Re-Res-2018-1115</v>
      </c>
      <c r="B1116" s="5">
        <v>48</v>
      </c>
      <c r="C1116" s="5" t="str">
        <f t="shared" si="188"/>
        <v>40-49</v>
      </c>
      <c r="D1116" s="5" t="s">
        <v>43</v>
      </c>
      <c r="E1116" s="5" t="s">
        <v>45</v>
      </c>
      <c r="F1116" s="5" t="s">
        <v>39</v>
      </c>
      <c r="G1116" s="5">
        <v>1</v>
      </c>
      <c r="H1116" s="5" t="s">
        <v>47</v>
      </c>
      <c r="I1116" s="5" t="s">
        <v>48</v>
      </c>
      <c r="J1116" s="7">
        <v>2367</v>
      </c>
      <c r="K1116" s="7">
        <f t="shared" si="189"/>
        <v>165.69000000000003</v>
      </c>
      <c r="L1116" s="7">
        <f t="shared" si="190"/>
        <v>2201.31</v>
      </c>
      <c r="M1116" s="7">
        <v>16530</v>
      </c>
      <c r="N1116" s="5" t="s">
        <v>43</v>
      </c>
      <c r="O1116" s="5">
        <v>12</v>
      </c>
      <c r="P1116" s="7">
        <f t="shared" si="191"/>
        <v>2651.0400000000004</v>
      </c>
      <c r="Q1116" s="7">
        <f t="shared" si="192"/>
        <v>3408.480000000005</v>
      </c>
      <c r="R1116" s="7" t="str">
        <f t="shared" si="193"/>
        <v>Normal</v>
      </c>
      <c r="S1116" s="5">
        <v>3</v>
      </c>
      <c r="T1116" s="5">
        <v>2</v>
      </c>
      <c r="U1116" s="5" t="str" cm="1">
        <f t="array" ref="U1116">_xlfn.IFS(T1116=1,"Poor",T1116=2,"Fair",T1116=3,"Good",T1116=4,"Excellent")</f>
        <v>Fair</v>
      </c>
      <c r="V1116" s="5" t="s">
        <v>43</v>
      </c>
      <c r="W1116" s="5">
        <v>8</v>
      </c>
      <c r="X1116" s="28">
        <f t="shared" ca="1" si="194"/>
        <v>43189</v>
      </c>
      <c r="Y1116" s="28">
        <f t="shared" ca="1" si="195"/>
        <v>46842</v>
      </c>
      <c r="Z1116" s="28" t="str">
        <f t="shared" ca="1" si="196"/>
        <v>Upcoming</v>
      </c>
      <c r="AA1116" s="5" t="str" cm="1">
        <f t="array" ref="AA1116">_xlfn.IFS(W1116&gt;10,"Veteran",W1116&gt;=6,"Experienced",W1116&gt;=2,"Developing",W1116&gt;=0,"New")</f>
        <v>Experienced</v>
      </c>
      <c r="AB1116" s="5" t="str" cm="1">
        <f t="array" ref="AB1116">_xlfn.IFS(G1116=1,"Junior",G1116=2,"Mid-Level",G1116=3,"Senior",G1116=4,"Lead",G1116=5,"Principal")&amp;" "&amp;TRIM(PROPER(H1116))</f>
        <v>Junior Research Scientist</v>
      </c>
      <c r="AC1116" s="19" t="str">
        <f t="shared" ca="1" si="197"/>
        <v>Re-Res-2018-1115 is a Junior Research Scientist in the Research &amp; Development department, aged 48, married and has been with the Company for 8years</v>
      </c>
    </row>
    <row r="1117" spans="1:29">
      <c r="A1117" s="18" t="str">
        <f t="shared" ca="1" si="187"/>
        <v>Re-Res-2025-1116</v>
      </c>
      <c r="B1117" s="5">
        <v>34</v>
      </c>
      <c r="C1117" s="5" t="str">
        <f t="shared" si="188"/>
        <v>30-39</v>
      </c>
      <c r="D1117" s="5" t="s">
        <v>43</v>
      </c>
      <c r="E1117" s="5" t="s">
        <v>45</v>
      </c>
      <c r="F1117" s="5" t="s">
        <v>46</v>
      </c>
      <c r="G1117" s="5">
        <v>1</v>
      </c>
      <c r="H1117" s="5" t="s">
        <v>47</v>
      </c>
      <c r="I1117" s="5" t="s">
        <v>41</v>
      </c>
      <c r="J1117" s="7">
        <v>2972</v>
      </c>
      <c r="K1117" s="7">
        <f t="shared" si="189"/>
        <v>208.04000000000002</v>
      </c>
      <c r="L1117" s="7">
        <f t="shared" si="190"/>
        <v>2763.96</v>
      </c>
      <c r="M1117" s="7">
        <v>22061</v>
      </c>
      <c r="N1117" s="5" t="s">
        <v>43</v>
      </c>
      <c r="O1117" s="5">
        <v>13</v>
      </c>
      <c r="P1117" s="7">
        <f t="shared" si="191"/>
        <v>3358.3599999999997</v>
      </c>
      <c r="Q1117" s="7">
        <f t="shared" si="192"/>
        <v>4636.3199999999961</v>
      </c>
      <c r="R1117" s="7" t="str">
        <f t="shared" si="193"/>
        <v>Normal</v>
      </c>
      <c r="S1117" s="5">
        <v>3</v>
      </c>
      <c r="T1117" s="5">
        <v>1</v>
      </c>
      <c r="U1117" s="5" t="str" cm="1">
        <f t="array" ref="U1117">_xlfn.IFS(T1117=1,"Poor",T1117=2,"Fair",T1117=3,"Good",T1117=4,"Excellent")</f>
        <v>Poor</v>
      </c>
      <c r="V1117" s="5" t="s">
        <v>43</v>
      </c>
      <c r="W1117" s="5">
        <v>1</v>
      </c>
      <c r="X1117" s="28">
        <f t="shared" ca="1" si="194"/>
        <v>45746</v>
      </c>
      <c r="Y1117" s="28">
        <f t="shared" ca="1" si="195"/>
        <v>46476</v>
      </c>
      <c r="Z1117" s="28" t="str">
        <f t="shared" ca="1" si="196"/>
        <v>Due Soon</v>
      </c>
      <c r="AA1117" s="5" t="str" cm="1">
        <f t="array" ref="AA1117">_xlfn.IFS(W1117&gt;10,"Veteran",W1117&gt;=6,"Experienced",W1117&gt;=2,"Developing",W1117&gt;=0,"New")</f>
        <v>New</v>
      </c>
      <c r="AB1117" s="5" t="str" cm="1">
        <f t="array" ref="AB1117">_xlfn.IFS(G1117=1,"Junior",G1117=2,"Mid-Level",G1117=3,"Senior",G1117=4,"Lead",G1117=5,"Principal")&amp;" "&amp;TRIM(PROPER(H1117))</f>
        <v>Junior Research Scientist</v>
      </c>
      <c r="AC1117" s="19" t="str">
        <f t="shared" ca="1" si="197"/>
        <v>Re-Res-2025-1116 is a Junior Research Scientist in the Research &amp; Development department, aged 34, single and has been with the Company for 1years</v>
      </c>
    </row>
    <row r="1118" spans="1:29">
      <c r="A1118" s="18" t="str">
        <f t="shared" ca="1" si="187"/>
        <v>Ma-Sal-1990-1117</v>
      </c>
      <c r="B1118" s="5">
        <v>55</v>
      </c>
      <c r="C1118" s="5" t="str">
        <f t="shared" si="188"/>
        <v>50+</v>
      </c>
      <c r="D1118" s="5" t="s">
        <v>43</v>
      </c>
      <c r="E1118" s="5" t="s">
        <v>37</v>
      </c>
      <c r="F1118" s="5" t="s">
        <v>46</v>
      </c>
      <c r="G1118" s="5">
        <v>5</v>
      </c>
      <c r="H1118" s="5" t="s">
        <v>56</v>
      </c>
      <c r="I1118" s="5" t="s">
        <v>48</v>
      </c>
      <c r="J1118" s="7">
        <v>19586</v>
      </c>
      <c r="K1118" s="7">
        <f t="shared" si="189"/>
        <v>5875.8</v>
      </c>
      <c r="L1118" s="7">
        <f t="shared" si="190"/>
        <v>13710.2</v>
      </c>
      <c r="M1118" s="7">
        <v>23037</v>
      </c>
      <c r="N1118" s="5" t="s">
        <v>43</v>
      </c>
      <c r="O1118" s="5">
        <v>21</v>
      </c>
      <c r="P1118" s="7">
        <f t="shared" si="191"/>
        <v>23699.059999999998</v>
      </c>
      <c r="Q1118" s="7">
        <f t="shared" si="192"/>
        <v>49356.719999999972</v>
      </c>
      <c r="R1118" s="7" t="str">
        <f t="shared" si="193"/>
        <v>Normal</v>
      </c>
      <c r="S1118" s="5">
        <v>4</v>
      </c>
      <c r="T1118" s="5">
        <v>3</v>
      </c>
      <c r="U1118" s="5" t="str" cm="1">
        <f t="array" ref="U1118">_xlfn.IFS(T1118=1,"Poor",T1118=2,"Fair",T1118=3,"Good",T1118=4,"Excellent")</f>
        <v>Good</v>
      </c>
      <c r="V1118" s="5" t="s">
        <v>43</v>
      </c>
      <c r="W1118" s="5">
        <v>36</v>
      </c>
      <c r="X1118" s="28">
        <f t="shared" ca="1" si="194"/>
        <v>32962</v>
      </c>
      <c r="Y1118" s="28">
        <f t="shared" ca="1" si="195"/>
        <v>46842</v>
      </c>
      <c r="Z1118" s="28" t="str">
        <f t="shared" ca="1" si="196"/>
        <v>Upcoming</v>
      </c>
      <c r="AA1118" s="5" t="str" cm="1">
        <f t="array" ref="AA1118">_xlfn.IFS(W1118&gt;10,"Veteran",W1118&gt;=6,"Experienced",W1118&gt;=2,"Developing",W1118&gt;=0,"New")</f>
        <v>Veteran</v>
      </c>
      <c r="AB1118" s="5" t="str" cm="1">
        <f t="array" ref="AB1118">_xlfn.IFS(G1118=1,"Junior",G1118=2,"Mid-Level",G1118=3,"Senior",G1118=4,"Lead",G1118=5,"Principal")&amp;" "&amp;TRIM(PROPER(H1118))</f>
        <v>Principal Manager</v>
      </c>
      <c r="AC1118" s="19" t="str">
        <f t="shared" ca="1" si="197"/>
        <v>Ma-Sal-1990-1117 is a Principal Manager in the Sales department, aged 55, married and has been with the Company for 36years</v>
      </c>
    </row>
    <row r="1119" spans="1:29">
      <c r="A1119" s="18" t="str">
        <f t="shared" ca="1" si="187"/>
        <v>Re-Res-2024-1118</v>
      </c>
      <c r="B1119" s="5">
        <v>34</v>
      </c>
      <c r="C1119" s="5" t="str">
        <f t="shared" si="188"/>
        <v>30-39</v>
      </c>
      <c r="D1119" s="5" t="s">
        <v>43</v>
      </c>
      <c r="E1119" s="5" t="s">
        <v>45</v>
      </c>
      <c r="F1119" s="5" t="s">
        <v>46</v>
      </c>
      <c r="G1119" s="5">
        <v>2</v>
      </c>
      <c r="H1119" s="5" t="s">
        <v>47</v>
      </c>
      <c r="I1119" s="5" t="s">
        <v>48</v>
      </c>
      <c r="J1119" s="7">
        <v>5484</v>
      </c>
      <c r="K1119" s="7">
        <f t="shared" si="189"/>
        <v>822.6</v>
      </c>
      <c r="L1119" s="7">
        <f t="shared" si="190"/>
        <v>4661.3999999999996</v>
      </c>
      <c r="M1119" s="7">
        <v>13008</v>
      </c>
      <c r="N1119" s="5" t="s">
        <v>43</v>
      </c>
      <c r="O1119" s="5">
        <v>17</v>
      </c>
      <c r="P1119" s="7">
        <f t="shared" si="191"/>
        <v>6416.28</v>
      </c>
      <c r="Q1119" s="7">
        <f t="shared" si="192"/>
        <v>11187.359999999997</v>
      </c>
      <c r="R1119" s="7" t="str">
        <f t="shared" si="193"/>
        <v>Normal</v>
      </c>
      <c r="S1119" s="5">
        <v>3</v>
      </c>
      <c r="T1119" s="5">
        <v>2</v>
      </c>
      <c r="U1119" s="5" t="str" cm="1">
        <f t="array" ref="U1119">_xlfn.IFS(T1119=1,"Poor",T1119=2,"Fair",T1119=3,"Good",T1119=4,"Excellent")</f>
        <v>Fair</v>
      </c>
      <c r="V1119" s="5" t="s">
        <v>43</v>
      </c>
      <c r="W1119" s="5">
        <v>2</v>
      </c>
      <c r="X1119" s="28">
        <f t="shared" ca="1" si="194"/>
        <v>45381</v>
      </c>
      <c r="Y1119" s="28">
        <f t="shared" ca="1" si="195"/>
        <v>46842</v>
      </c>
      <c r="Z1119" s="28" t="str">
        <f t="shared" ca="1" si="196"/>
        <v>Upcoming</v>
      </c>
      <c r="AA1119" s="5" t="str" cm="1">
        <f t="array" ref="AA1119">_xlfn.IFS(W1119&gt;10,"Veteran",W1119&gt;=6,"Experienced",W1119&gt;=2,"Developing",W1119&gt;=0,"New")</f>
        <v>Developing</v>
      </c>
      <c r="AB1119" s="5" t="str" cm="1">
        <f t="array" ref="AB1119">_xlfn.IFS(G1119=1,"Junior",G1119=2,"Mid-Level",G1119=3,"Senior",G1119=4,"Lead",G1119=5,"Principal")&amp;" "&amp;TRIM(PROPER(H1119))</f>
        <v>Mid-Level Research Scientist</v>
      </c>
      <c r="AC1119" s="19" t="str">
        <f t="shared" ca="1" si="197"/>
        <v>Re-Res-2024-1118 is a Mid-Level Research Scientist in the Research &amp; Development department, aged 34, married and has been with the Company for 2years</v>
      </c>
    </row>
    <row r="1120" spans="1:29">
      <c r="A1120" s="18" t="str">
        <f t="shared" ca="1" si="187"/>
        <v>Re-Res-2025-1119</v>
      </c>
      <c r="B1120" s="5">
        <v>26</v>
      </c>
      <c r="C1120" s="5" t="str">
        <f t="shared" si="188"/>
        <v>20-29</v>
      </c>
      <c r="D1120" s="5" t="s">
        <v>43</v>
      </c>
      <c r="E1120" s="5" t="s">
        <v>45</v>
      </c>
      <c r="F1120" s="5" t="s">
        <v>39</v>
      </c>
      <c r="G1120" s="5">
        <v>1</v>
      </c>
      <c r="H1120" s="5" t="s">
        <v>47</v>
      </c>
      <c r="I1120" s="5" t="s">
        <v>48</v>
      </c>
      <c r="J1120" s="7">
        <v>2061</v>
      </c>
      <c r="K1120" s="7">
        <f t="shared" si="189"/>
        <v>144.27000000000001</v>
      </c>
      <c r="L1120" s="7">
        <f t="shared" si="190"/>
        <v>1916.73</v>
      </c>
      <c r="M1120" s="7">
        <v>11133</v>
      </c>
      <c r="N1120" s="5" t="s">
        <v>43</v>
      </c>
      <c r="O1120" s="5">
        <v>21</v>
      </c>
      <c r="P1120" s="7">
        <f t="shared" si="191"/>
        <v>2493.81</v>
      </c>
      <c r="Q1120" s="7">
        <f t="shared" si="192"/>
        <v>5193.7199999999993</v>
      </c>
      <c r="R1120" s="7" t="str">
        <f t="shared" si="193"/>
        <v>Normal</v>
      </c>
      <c r="S1120" s="5">
        <v>4</v>
      </c>
      <c r="T1120" s="5">
        <v>3</v>
      </c>
      <c r="U1120" s="5" t="str" cm="1">
        <f t="array" ref="U1120">_xlfn.IFS(T1120=1,"Poor",T1120=2,"Fair",T1120=3,"Good",T1120=4,"Excellent")</f>
        <v>Good</v>
      </c>
      <c r="V1120" s="5" t="s">
        <v>43</v>
      </c>
      <c r="W1120" s="5">
        <v>1</v>
      </c>
      <c r="X1120" s="28">
        <f t="shared" ca="1" si="194"/>
        <v>45746</v>
      </c>
      <c r="Y1120" s="28">
        <f t="shared" ca="1" si="195"/>
        <v>46476</v>
      </c>
      <c r="Z1120" s="28" t="str">
        <f t="shared" ca="1" si="196"/>
        <v>Due Soon</v>
      </c>
      <c r="AA1120" s="5" t="str" cm="1">
        <f t="array" ref="AA1120">_xlfn.IFS(W1120&gt;10,"Veteran",W1120&gt;=6,"Experienced",W1120&gt;=2,"Developing",W1120&gt;=0,"New")</f>
        <v>New</v>
      </c>
      <c r="AB1120" s="5" t="str" cm="1">
        <f t="array" ref="AB1120">_xlfn.IFS(G1120=1,"Junior",G1120=2,"Mid-Level",G1120=3,"Senior",G1120=4,"Lead",G1120=5,"Principal")&amp;" "&amp;TRIM(PROPER(H1120))</f>
        <v>Junior Research Scientist</v>
      </c>
      <c r="AC1120" s="19" t="str">
        <f t="shared" ca="1" si="197"/>
        <v>Re-Res-2025-1119 is a Junior Research Scientist in the Research &amp; Development department, aged 26, married and has been with the Company for 1years</v>
      </c>
    </row>
    <row r="1121" spans="1:29">
      <c r="A1121" s="18" t="str">
        <f t="shared" ca="1" si="187"/>
        <v>Sa-Sal-2017-1120</v>
      </c>
      <c r="B1121" s="5">
        <v>38</v>
      </c>
      <c r="C1121" s="5" t="str">
        <f t="shared" si="188"/>
        <v>30-39</v>
      </c>
      <c r="D1121" s="5" t="s">
        <v>43</v>
      </c>
      <c r="E1121" s="5" t="s">
        <v>37</v>
      </c>
      <c r="F1121" s="5" t="s">
        <v>46</v>
      </c>
      <c r="G1121" s="5">
        <v>2</v>
      </c>
      <c r="H1121" s="5" t="s">
        <v>40</v>
      </c>
      <c r="I1121" s="5" t="s">
        <v>48</v>
      </c>
      <c r="J1121" s="7">
        <v>9924</v>
      </c>
      <c r="K1121" s="7">
        <f t="shared" si="189"/>
        <v>2183.2800000000002</v>
      </c>
      <c r="L1121" s="7">
        <f t="shared" si="190"/>
        <v>7740.7199999999993</v>
      </c>
      <c r="M1121" s="7">
        <v>12355</v>
      </c>
      <c r="N1121" s="5" t="s">
        <v>43</v>
      </c>
      <c r="O1121" s="5">
        <v>11</v>
      </c>
      <c r="P1121" s="7">
        <f t="shared" si="191"/>
        <v>11015.640000000001</v>
      </c>
      <c r="Q1121" s="7">
        <f t="shared" si="192"/>
        <v>13099.680000000015</v>
      </c>
      <c r="R1121" s="7" t="str">
        <f t="shared" si="193"/>
        <v>Normal</v>
      </c>
      <c r="S1121" s="5">
        <v>3</v>
      </c>
      <c r="T1121" s="5">
        <v>3</v>
      </c>
      <c r="U1121" s="5" t="str" cm="1">
        <f t="array" ref="U1121">_xlfn.IFS(T1121=1,"Poor",T1121=2,"Fair",T1121=3,"Good",T1121=4,"Excellent")</f>
        <v>Good</v>
      </c>
      <c r="V1121" s="5" t="s">
        <v>43</v>
      </c>
      <c r="W1121" s="5">
        <v>9</v>
      </c>
      <c r="X1121" s="28">
        <f t="shared" ca="1" si="194"/>
        <v>42824</v>
      </c>
      <c r="Y1121" s="28">
        <f t="shared" ca="1" si="195"/>
        <v>46476</v>
      </c>
      <c r="Z1121" s="28" t="str">
        <f t="shared" ca="1" si="196"/>
        <v>Due Soon</v>
      </c>
      <c r="AA1121" s="5" t="str" cm="1">
        <f t="array" ref="AA1121">_xlfn.IFS(W1121&gt;10,"Veteran",W1121&gt;=6,"Experienced",W1121&gt;=2,"Developing",W1121&gt;=0,"New")</f>
        <v>Experienced</v>
      </c>
      <c r="AB1121" s="5" t="str" cm="1">
        <f t="array" ref="AB1121">_xlfn.IFS(G1121=1,"Junior",G1121=2,"Mid-Level",G1121=3,"Senior",G1121=4,"Lead",G1121=5,"Principal")&amp;" "&amp;TRIM(PROPER(H1121))</f>
        <v>Mid-Level Sales Executive</v>
      </c>
      <c r="AC1121" s="19" t="str">
        <f t="shared" ca="1" si="197"/>
        <v>Sa-Sal-2017-1120 is a Mid-Level Sales Executive in the Sales department, aged 38, married and has been with the Company for 9years</v>
      </c>
    </row>
    <row r="1122" spans="1:29">
      <c r="A1122" s="18" t="str">
        <f t="shared" ca="1" si="187"/>
        <v>Sa-Sal-2023-1121</v>
      </c>
      <c r="B1122" s="5">
        <v>38</v>
      </c>
      <c r="C1122" s="5" t="str">
        <f t="shared" si="188"/>
        <v>30-39</v>
      </c>
      <c r="D1122" s="5" t="s">
        <v>43</v>
      </c>
      <c r="E1122" s="5" t="s">
        <v>37</v>
      </c>
      <c r="F1122" s="5" t="s">
        <v>39</v>
      </c>
      <c r="G1122" s="5">
        <v>2</v>
      </c>
      <c r="H1122" s="5" t="s">
        <v>40</v>
      </c>
      <c r="I1122" s="5" t="s">
        <v>41</v>
      </c>
      <c r="J1122" s="7">
        <v>4198</v>
      </c>
      <c r="K1122" s="7">
        <f t="shared" si="189"/>
        <v>629.69999999999993</v>
      </c>
      <c r="L1122" s="7">
        <f t="shared" si="190"/>
        <v>3568.3</v>
      </c>
      <c r="M1122" s="7">
        <v>16379</v>
      </c>
      <c r="N1122" s="5" t="s">
        <v>43</v>
      </c>
      <c r="O1122" s="5">
        <v>12</v>
      </c>
      <c r="P1122" s="7">
        <f t="shared" si="191"/>
        <v>4701.76</v>
      </c>
      <c r="Q1122" s="7">
        <f t="shared" si="192"/>
        <v>6045.1200000000026</v>
      </c>
      <c r="R1122" s="7" t="str">
        <f t="shared" si="193"/>
        <v>Normal</v>
      </c>
      <c r="S1122" s="5">
        <v>3</v>
      </c>
      <c r="T1122" s="5">
        <v>4</v>
      </c>
      <c r="U1122" s="5" t="str" cm="1">
        <f t="array" ref="U1122">_xlfn.IFS(T1122=1,"Poor",T1122=2,"Fair",T1122=3,"Good",T1122=4,"Excellent")</f>
        <v>Excellent</v>
      </c>
      <c r="V1122" s="5" t="s">
        <v>43</v>
      </c>
      <c r="W1122" s="5">
        <v>3</v>
      </c>
      <c r="X1122" s="28">
        <f t="shared" ca="1" si="194"/>
        <v>45015</v>
      </c>
      <c r="Y1122" s="28">
        <f t="shared" ca="1" si="195"/>
        <v>46476</v>
      </c>
      <c r="Z1122" s="28" t="str">
        <f t="shared" ca="1" si="196"/>
        <v>Due Soon</v>
      </c>
      <c r="AA1122" s="5" t="str" cm="1">
        <f t="array" ref="AA1122">_xlfn.IFS(W1122&gt;10,"Veteran",W1122&gt;=6,"Experienced",W1122&gt;=2,"Developing",W1122&gt;=0,"New")</f>
        <v>Developing</v>
      </c>
      <c r="AB1122" s="5" t="str" cm="1">
        <f t="array" ref="AB1122">_xlfn.IFS(G1122=1,"Junior",G1122=2,"Mid-Level",G1122=3,"Senior",G1122=4,"Lead",G1122=5,"Principal")&amp;" "&amp;TRIM(PROPER(H1122))</f>
        <v>Mid-Level Sales Executive</v>
      </c>
      <c r="AC1122" s="19" t="str">
        <f t="shared" ca="1" si="197"/>
        <v>Sa-Sal-2023-1121 is a Mid-Level Sales Executive in the Sales department, aged 38, single and has been with the Company for 3years</v>
      </c>
    </row>
    <row r="1123" spans="1:29">
      <c r="A1123" s="18" t="str">
        <f t="shared" ca="1" si="187"/>
        <v>Sa-Sal-2025-1122</v>
      </c>
      <c r="B1123" s="5">
        <v>36</v>
      </c>
      <c r="C1123" s="5" t="str">
        <f t="shared" si="188"/>
        <v>30-39</v>
      </c>
      <c r="D1123" s="5" t="s">
        <v>43</v>
      </c>
      <c r="E1123" s="5" t="s">
        <v>37</v>
      </c>
      <c r="F1123" s="5" t="s">
        <v>39</v>
      </c>
      <c r="G1123" s="5">
        <v>2</v>
      </c>
      <c r="H1123" s="5" t="s">
        <v>40</v>
      </c>
      <c r="I1123" s="5" t="s">
        <v>41</v>
      </c>
      <c r="J1123" s="7">
        <v>6815</v>
      </c>
      <c r="K1123" s="7">
        <f t="shared" si="189"/>
        <v>1022.25</v>
      </c>
      <c r="L1123" s="7">
        <f t="shared" si="190"/>
        <v>5792.75</v>
      </c>
      <c r="M1123" s="7">
        <v>21447</v>
      </c>
      <c r="N1123" s="5" t="s">
        <v>43</v>
      </c>
      <c r="O1123" s="5">
        <v>13</v>
      </c>
      <c r="P1123" s="7">
        <f t="shared" si="191"/>
        <v>7700.9499999999989</v>
      </c>
      <c r="Q1123" s="7">
        <f t="shared" si="192"/>
        <v>10631.399999999987</v>
      </c>
      <c r="R1123" s="7" t="str">
        <f t="shared" si="193"/>
        <v>Normal</v>
      </c>
      <c r="S1123" s="5">
        <v>3</v>
      </c>
      <c r="T1123" s="5">
        <v>3</v>
      </c>
      <c r="U1123" s="5" t="str" cm="1">
        <f t="array" ref="U1123">_xlfn.IFS(T1123=1,"Poor",T1123=2,"Fair",T1123=3,"Good",T1123=4,"Excellent")</f>
        <v>Good</v>
      </c>
      <c r="V1123" s="5" t="s">
        <v>43</v>
      </c>
      <c r="W1123" s="5">
        <v>1</v>
      </c>
      <c r="X1123" s="28">
        <f t="shared" ca="1" si="194"/>
        <v>45746</v>
      </c>
      <c r="Y1123" s="28">
        <f t="shared" ca="1" si="195"/>
        <v>46476</v>
      </c>
      <c r="Z1123" s="28" t="str">
        <f t="shared" ca="1" si="196"/>
        <v>Due Soon</v>
      </c>
      <c r="AA1123" s="5" t="str" cm="1">
        <f t="array" ref="AA1123">_xlfn.IFS(W1123&gt;10,"Veteran",W1123&gt;=6,"Experienced",W1123&gt;=2,"Developing",W1123&gt;=0,"New")</f>
        <v>New</v>
      </c>
      <c r="AB1123" s="5" t="str" cm="1">
        <f t="array" ref="AB1123">_xlfn.IFS(G1123=1,"Junior",G1123=2,"Mid-Level",G1123=3,"Senior",G1123=4,"Lead",G1123=5,"Principal")&amp;" "&amp;TRIM(PROPER(H1123))</f>
        <v>Mid-Level Sales Executive</v>
      </c>
      <c r="AC1123" s="19" t="str">
        <f t="shared" ca="1" si="197"/>
        <v>Sa-Sal-2025-1122 is a Mid-Level Sales Executive in the Sales department, aged 36, single and has been with the Company for 1years</v>
      </c>
    </row>
    <row r="1124" spans="1:29">
      <c r="A1124" s="18" t="str">
        <f t="shared" ca="1" si="187"/>
        <v>La-Res-2016-1123</v>
      </c>
      <c r="B1124" s="5">
        <v>29</v>
      </c>
      <c r="C1124" s="5" t="str">
        <f t="shared" si="188"/>
        <v>20-29</v>
      </c>
      <c r="D1124" s="5" t="s">
        <v>43</v>
      </c>
      <c r="E1124" s="5" t="s">
        <v>45</v>
      </c>
      <c r="F1124" s="5" t="s">
        <v>46</v>
      </c>
      <c r="G1124" s="5">
        <v>1</v>
      </c>
      <c r="H1124" s="5" t="s">
        <v>50</v>
      </c>
      <c r="I1124" s="5" t="s">
        <v>41</v>
      </c>
      <c r="J1124" s="7">
        <v>4723</v>
      </c>
      <c r="K1124" s="7">
        <f t="shared" si="189"/>
        <v>708.44999999999993</v>
      </c>
      <c r="L1124" s="7">
        <f t="shared" si="190"/>
        <v>4014.55</v>
      </c>
      <c r="M1124" s="7">
        <v>16213</v>
      </c>
      <c r="N1124" s="5" t="s">
        <v>35</v>
      </c>
      <c r="O1124" s="5">
        <v>18</v>
      </c>
      <c r="P1124" s="7">
        <f t="shared" si="191"/>
        <v>5573.1399999999994</v>
      </c>
      <c r="Q1124" s="7">
        <f t="shared" si="192"/>
        <v>10201.679999999993</v>
      </c>
      <c r="R1124" s="7" t="str">
        <f t="shared" si="193"/>
        <v>Normal</v>
      </c>
      <c r="S1124" s="5">
        <v>3</v>
      </c>
      <c r="T1124" s="5">
        <v>3</v>
      </c>
      <c r="U1124" s="5" t="str" cm="1">
        <f t="array" ref="U1124">_xlfn.IFS(T1124=1,"Poor",T1124=2,"Fair",T1124=3,"Good",T1124=4,"Excellent")</f>
        <v>Good</v>
      </c>
      <c r="V1124" s="5" t="s">
        <v>35</v>
      </c>
      <c r="W1124" s="5">
        <v>10</v>
      </c>
      <c r="X1124" s="28">
        <f t="shared" ca="1" si="194"/>
        <v>42459</v>
      </c>
      <c r="Y1124" s="28">
        <f t="shared" ca="1" si="195"/>
        <v>46842</v>
      </c>
      <c r="Z1124" s="28" t="str">
        <f t="shared" ca="1" si="196"/>
        <v>Upcoming</v>
      </c>
      <c r="AA1124" s="5" t="str" cm="1">
        <f t="array" ref="AA1124">_xlfn.IFS(W1124&gt;10,"Veteran",W1124&gt;=6,"Experienced",W1124&gt;=2,"Developing",W1124&gt;=0,"New")</f>
        <v>Experienced</v>
      </c>
      <c r="AB1124" s="5" t="str" cm="1">
        <f t="array" ref="AB1124">_xlfn.IFS(G1124=1,"Junior",G1124=2,"Mid-Level",G1124=3,"Senior",G1124=4,"Lead",G1124=5,"Principal")&amp;" "&amp;TRIM(PROPER(H1124))</f>
        <v>Junior Laboratory Technician</v>
      </c>
      <c r="AC1124" s="19" t="str">
        <f t="shared" ca="1" si="197"/>
        <v>La-Res-2016-1123 is a Junior Laboratory Technician in the Research &amp; Development department, aged 29, single and has been with the Company for 10years</v>
      </c>
    </row>
    <row r="1125" spans="1:29">
      <c r="A1125" s="18" t="str">
        <f t="shared" ca="1" si="187"/>
        <v>He-Res-2021-1124</v>
      </c>
      <c r="B1125" s="5">
        <v>35</v>
      </c>
      <c r="C1125" s="5" t="str">
        <f t="shared" si="188"/>
        <v>30-39</v>
      </c>
      <c r="D1125" s="5" t="s">
        <v>43</v>
      </c>
      <c r="E1125" s="5" t="s">
        <v>45</v>
      </c>
      <c r="F1125" s="5" t="s">
        <v>39</v>
      </c>
      <c r="G1125" s="5">
        <v>2</v>
      </c>
      <c r="H1125" s="5" t="s">
        <v>54</v>
      </c>
      <c r="I1125" s="5" t="s">
        <v>41</v>
      </c>
      <c r="J1125" s="7">
        <v>6142</v>
      </c>
      <c r="K1125" s="7">
        <f t="shared" si="189"/>
        <v>921.3</v>
      </c>
      <c r="L1125" s="7">
        <f t="shared" si="190"/>
        <v>5220.7</v>
      </c>
      <c r="M1125" s="7">
        <v>4223</v>
      </c>
      <c r="N1125" s="5" t="s">
        <v>35</v>
      </c>
      <c r="O1125" s="5">
        <v>16</v>
      </c>
      <c r="P1125" s="7">
        <f t="shared" si="191"/>
        <v>7124.7199999999993</v>
      </c>
      <c r="Q1125" s="7">
        <f t="shared" si="192"/>
        <v>11792.639999999992</v>
      </c>
      <c r="R1125" s="7" t="str">
        <f t="shared" si="193"/>
        <v>Normal</v>
      </c>
      <c r="S1125" s="5">
        <v>3</v>
      </c>
      <c r="T1125" s="5">
        <v>3</v>
      </c>
      <c r="U1125" s="5" t="str" cm="1">
        <f t="array" ref="U1125">_xlfn.IFS(T1125=1,"Poor",T1125=2,"Fair",T1125=3,"Good",T1125=4,"Excellent")</f>
        <v>Good</v>
      </c>
      <c r="V1125" s="5" t="s">
        <v>35</v>
      </c>
      <c r="W1125" s="5">
        <v>5</v>
      </c>
      <c r="X1125" s="28">
        <f t="shared" ca="1" si="194"/>
        <v>44285</v>
      </c>
      <c r="Y1125" s="28">
        <f t="shared" ca="1" si="195"/>
        <v>46476</v>
      </c>
      <c r="Z1125" s="28" t="str">
        <f t="shared" ca="1" si="196"/>
        <v>Due Soon</v>
      </c>
      <c r="AA1125" s="5" t="str" cm="1">
        <f t="array" ref="AA1125">_xlfn.IFS(W1125&gt;10,"Veteran",W1125&gt;=6,"Experienced",W1125&gt;=2,"Developing",W1125&gt;=0,"New")</f>
        <v>Developing</v>
      </c>
      <c r="AB1125" s="5" t="str" cm="1">
        <f t="array" ref="AB1125">_xlfn.IFS(G1125=1,"Junior",G1125=2,"Mid-Level",G1125=3,"Senior",G1125=4,"Lead",G1125=5,"Principal")&amp;" "&amp;TRIM(PROPER(H1125))</f>
        <v>Mid-Level Healthcare Representative</v>
      </c>
      <c r="AC1125" s="19" t="str">
        <f t="shared" ca="1" si="197"/>
        <v>He-Res-2021-1124 is a Mid-Level Healthcare Representative in the Research &amp; Development department, aged 35, single and has been with the Company for 5years</v>
      </c>
    </row>
    <row r="1126" spans="1:29">
      <c r="A1126" s="18" t="str">
        <f t="shared" ca="1" si="187"/>
        <v>Sa-Sal-2019-1125</v>
      </c>
      <c r="B1126" s="5">
        <v>39</v>
      </c>
      <c r="C1126" s="5" t="str">
        <f t="shared" si="188"/>
        <v>30-39</v>
      </c>
      <c r="D1126" s="5" t="s">
        <v>43</v>
      </c>
      <c r="E1126" s="5" t="s">
        <v>37</v>
      </c>
      <c r="F1126" s="5" t="s">
        <v>46</v>
      </c>
      <c r="G1126" s="5">
        <v>3</v>
      </c>
      <c r="H1126" s="5" t="s">
        <v>40</v>
      </c>
      <c r="I1126" s="5" t="s">
        <v>48</v>
      </c>
      <c r="J1126" s="7">
        <v>8237</v>
      </c>
      <c r="K1126" s="7">
        <f t="shared" si="189"/>
        <v>1812.14</v>
      </c>
      <c r="L1126" s="7">
        <f t="shared" si="190"/>
        <v>6424.86</v>
      </c>
      <c r="M1126" s="7">
        <v>4658</v>
      </c>
      <c r="N1126" s="5" t="s">
        <v>43</v>
      </c>
      <c r="O1126" s="5">
        <v>11</v>
      </c>
      <c r="P1126" s="7">
        <f t="shared" si="191"/>
        <v>9143.0700000000015</v>
      </c>
      <c r="Q1126" s="7">
        <f t="shared" si="192"/>
        <v>10872.840000000018</v>
      </c>
      <c r="R1126" s="7" t="str">
        <f t="shared" si="193"/>
        <v>Normal</v>
      </c>
      <c r="S1126" s="5">
        <v>3</v>
      </c>
      <c r="T1126" s="5">
        <v>3</v>
      </c>
      <c r="U1126" s="5" t="str" cm="1">
        <f t="array" ref="U1126">_xlfn.IFS(T1126=1,"Poor",T1126=2,"Fair",T1126=3,"Good",T1126=4,"Excellent")</f>
        <v>Good</v>
      </c>
      <c r="V1126" s="5" t="s">
        <v>43</v>
      </c>
      <c r="W1126" s="5">
        <v>7</v>
      </c>
      <c r="X1126" s="28">
        <f t="shared" ca="1" si="194"/>
        <v>43554</v>
      </c>
      <c r="Y1126" s="28">
        <f t="shared" ca="1" si="195"/>
        <v>46476</v>
      </c>
      <c r="Z1126" s="28" t="str">
        <f t="shared" ca="1" si="196"/>
        <v>Due Soon</v>
      </c>
      <c r="AA1126" s="5" t="str" cm="1">
        <f t="array" ref="AA1126">_xlfn.IFS(W1126&gt;10,"Veteran",W1126&gt;=6,"Experienced",W1126&gt;=2,"Developing",W1126&gt;=0,"New")</f>
        <v>Experienced</v>
      </c>
      <c r="AB1126" s="5" t="str" cm="1">
        <f t="array" ref="AB1126">_xlfn.IFS(G1126=1,"Junior",G1126=2,"Mid-Level",G1126=3,"Senior",G1126=4,"Lead",G1126=5,"Principal")&amp;" "&amp;TRIM(PROPER(H1126))</f>
        <v>Senior Sales Executive</v>
      </c>
      <c r="AC1126" s="19" t="str">
        <f t="shared" ca="1" si="197"/>
        <v>Sa-Sal-2019-1125 is a Senior Sales Executive in the Sales department, aged 39, married and has been with the Company for 7years</v>
      </c>
    </row>
    <row r="1127" spans="1:29">
      <c r="A1127" s="18" t="str">
        <f t="shared" ca="1" si="187"/>
        <v>He-Res-2020-1126</v>
      </c>
      <c r="B1127" s="5">
        <v>29</v>
      </c>
      <c r="C1127" s="5" t="str">
        <f t="shared" si="188"/>
        <v>20-29</v>
      </c>
      <c r="D1127" s="5" t="s">
        <v>43</v>
      </c>
      <c r="E1127" s="5" t="s">
        <v>45</v>
      </c>
      <c r="F1127" s="5" t="s">
        <v>46</v>
      </c>
      <c r="G1127" s="5">
        <v>2</v>
      </c>
      <c r="H1127" s="5" t="s">
        <v>54</v>
      </c>
      <c r="I1127" s="5" t="s">
        <v>52</v>
      </c>
      <c r="J1127" s="7">
        <v>8853</v>
      </c>
      <c r="K1127" s="7">
        <f t="shared" si="189"/>
        <v>1947.66</v>
      </c>
      <c r="L1127" s="7">
        <f t="shared" si="190"/>
        <v>6905.34</v>
      </c>
      <c r="M1127" s="7">
        <v>24483</v>
      </c>
      <c r="N1127" s="5" t="s">
        <v>43</v>
      </c>
      <c r="O1127" s="5">
        <v>19</v>
      </c>
      <c r="P1127" s="7">
        <f t="shared" si="191"/>
        <v>10535.07</v>
      </c>
      <c r="Q1127" s="7">
        <f t="shared" si="192"/>
        <v>20184.839999999997</v>
      </c>
      <c r="R1127" s="7" t="str">
        <f t="shared" si="193"/>
        <v>Normal</v>
      </c>
      <c r="S1127" s="5">
        <v>3</v>
      </c>
      <c r="T1127" s="5">
        <v>4</v>
      </c>
      <c r="U1127" s="5" t="str" cm="1">
        <f t="array" ref="U1127">_xlfn.IFS(T1127=1,"Poor",T1127=2,"Fair",T1127=3,"Good",T1127=4,"Excellent")</f>
        <v>Excellent</v>
      </c>
      <c r="V1127" s="5" t="s">
        <v>43</v>
      </c>
      <c r="W1127" s="5">
        <v>6</v>
      </c>
      <c r="X1127" s="28">
        <f t="shared" ca="1" si="194"/>
        <v>43920</v>
      </c>
      <c r="Y1127" s="28">
        <f t="shared" ca="1" si="195"/>
        <v>46842</v>
      </c>
      <c r="Z1127" s="28" t="str">
        <f t="shared" ca="1" si="196"/>
        <v>Upcoming</v>
      </c>
      <c r="AA1127" s="5" t="str" cm="1">
        <f t="array" ref="AA1127">_xlfn.IFS(W1127&gt;10,"Veteran",W1127&gt;=6,"Experienced",W1127&gt;=2,"Developing",W1127&gt;=0,"New")</f>
        <v>Experienced</v>
      </c>
      <c r="AB1127" s="5" t="str" cm="1">
        <f t="array" ref="AB1127">_xlfn.IFS(G1127=1,"Junior",G1127=2,"Mid-Level",G1127=3,"Senior",G1127=4,"Lead",G1127=5,"Principal")&amp;" "&amp;TRIM(PROPER(H1127))</f>
        <v>Mid-Level Healthcare Representative</v>
      </c>
      <c r="AC1127" s="19" t="str">
        <f t="shared" ca="1" si="197"/>
        <v>He-Res-2020-1126 is a Mid-Level Healthcare Representative in the Research &amp; Development department, aged 29, divorced and has been with the Company for 6years</v>
      </c>
    </row>
    <row r="1128" spans="1:29">
      <c r="A1128" s="18" t="str">
        <f t="shared" ca="1" si="187"/>
        <v>Ma-Sal-2025-1127</v>
      </c>
      <c r="B1128" s="5">
        <v>50</v>
      </c>
      <c r="C1128" s="5" t="str">
        <f t="shared" si="188"/>
        <v>50+</v>
      </c>
      <c r="D1128" s="5" t="s">
        <v>43</v>
      </c>
      <c r="E1128" s="5" t="s">
        <v>37</v>
      </c>
      <c r="F1128" s="5" t="s">
        <v>46</v>
      </c>
      <c r="G1128" s="5">
        <v>5</v>
      </c>
      <c r="H1128" s="5" t="s">
        <v>56</v>
      </c>
      <c r="I1128" s="5" t="s">
        <v>48</v>
      </c>
      <c r="J1128" s="7">
        <v>19331</v>
      </c>
      <c r="K1128" s="7">
        <f t="shared" si="189"/>
        <v>5799.3</v>
      </c>
      <c r="L1128" s="7">
        <f t="shared" si="190"/>
        <v>13531.7</v>
      </c>
      <c r="M1128" s="7">
        <v>19519</v>
      </c>
      <c r="N1128" s="5" t="s">
        <v>35</v>
      </c>
      <c r="O1128" s="5">
        <v>16</v>
      </c>
      <c r="P1128" s="7">
        <f t="shared" si="191"/>
        <v>22423.96</v>
      </c>
      <c r="Q1128" s="7">
        <f t="shared" si="192"/>
        <v>37115.51999999999</v>
      </c>
      <c r="R1128" s="7" t="str">
        <f t="shared" si="193"/>
        <v>Normal</v>
      </c>
      <c r="S1128" s="5">
        <v>3</v>
      </c>
      <c r="T1128" s="5">
        <v>3</v>
      </c>
      <c r="U1128" s="5" t="str" cm="1">
        <f t="array" ref="U1128">_xlfn.IFS(T1128=1,"Poor",T1128=2,"Fair",T1128=3,"Good",T1128=4,"Excellent")</f>
        <v>Good</v>
      </c>
      <c r="V1128" s="5" t="s">
        <v>35</v>
      </c>
      <c r="W1128" s="5">
        <v>1</v>
      </c>
      <c r="X1128" s="28">
        <f t="shared" ca="1" si="194"/>
        <v>45746</v>
      </c>
      <c r="Y1128" s="28">
        <f t="shared" ca="1" si="195"/>
        <v>46476</v>
      </c>
      <c r="Z1128" s="28" t="str">
        <f t="shared" ca="1" si="196"/>
        <v>Due Soon</v>
      </c>
      <c r="AA1128" s="5" t="str" cm="1">
        <f t="array" ref="AA1128">_xlfn.IFS(W1128&gt;10,"Veteran",W1128&gt;=6,"Experienced",W1128&gt;=2,"Developing",W1128&gt;=0,"New")</f>
        <v>New</v>
      </c>
      <c r="AB1128" s="5" t="str" cm="1">
        <f t="array" ref="AB1128">_xlfn.IFS(G1128=1,"Junior",G1128=2,"Mid-Level",G1128=3,"Senior",G1128=4,"Lead",G1128=5,"Principal")&amp;" "&amp;TRIM(PROPER(H1128))</f>
        <v>Principal Manager</v>
      </c>
      <c r="AC1128" s="19" t="str">
        <f t="shared" ca="1" si="197"/>
        <v>Ma-Sal-2025-1127 is a Principal Manager in the Sales department, aged 50, married and has been with the Company for 1years</v>
      </c>
    </row>
    <row r="1129" spans="1:29">
      <c r="A1129" s="18" t="str">
        <f t="shared" ca="1" si="187"/>
        <v>Re-Res-2024-1128</v>
      </c>
      <c r="B1129" s="5">
        <v>23</v>
      </c>
      <c r="C1129" s="5" t="str">
        <f t="shared" si="188"/>
        <v>20-29</v>
      </c>
      <c r="D1129" s="5" t="s">
        <v>43</v>
      </c>
      <c r="E1129" s="5" t="s">
        <v>45</v>
      </c>
      <c r="F1129" s="5" t="s">
        <v>46</v>
      </c>
      <c r="G1129" s="5">
        <v>1</v>
      </c>
      <c r="H1129" s="5" t="s">
        <v>47</v>
      </c>
      <c r="I1129" s="5" t="s">
        <v>48</v>
      </c>
      <c r="J1129" s="7">
        <v>2073</v>
      </c>
      <c r="K1129" s="7">
        <f t="shared" si="189"/>
        <v>145.11000000000001</v>
      </c>
      <c r="L1129" s="7">
        <f t="shared" si="190"/>
        <v>1927.8899999999999</v>
      </c>
      <c r="M1129" s="7">
        <v>12826</v>
      </c>
      <c r="N1129" s="5" t="s">
        <v>43</v>
      </c>
      <c r="O1129" s="5">
        <v>16</v>
      </c>
      <c r="P1129" s="7">
        <f t="shared" si="191"/>
        <v>2404.6799999999998</v>
      </c>
      <c r="Q1129" s="7">
        <f t="shared" si="192"/>
        <v>3980.159999999998</v>
      </c>
      <c r="R1129" s="7" t="str">
        <f t="shared" si="193"/>
        <v>Normal</v>
      </c>
      <c r="S1129" s="5">
        <v>3</v>
      </c>
      <c r="T1129" s="5">
        <v>3</v>
      </c>
      <c r="U1129" s="5" t="str" cm="1">
        <f t="array" ref="U1129">_xlfn.IFS(T1129=1,"Poor",T1129=2,"Fair",T1129=3,"Good",T1129=4,"Excellent")</f>
        <v>Good</v>
      </c>
      <c r="V1129" s="5" t="s">
        <v>43</v>
      </c>
      <c r="W1129" s="5">
        <v>2</v>
      </c>
      <c r="X1129" s="28">
        <f t="shared" ca="1" si="194"/>
        <v>45381</v>
      </c>
      <c r="Y1129" s="28">
        <f t="shared" ca="1" si="195"/>
        <v>46842</v>
      </c>
      <c r="Z1129" s="28" t="str">
        <f t="shared" ca="1" si="196"/>
        <v>Upcoming</v>
      </c>
      <c r="AA1129" s="5" t="str" cm="1">
        <f t="array" ref="AA1129">_xlfn.IFS(W1129&gt;10,"Veteran",W1129&gt;=6,"Experienced",W1129&gt;=2,"Developing",W1129&gt;=0,"New")</f>
        <v>Developing</v>
      </c>
      <c r="AB1129" s="5" t="str" cm="1">
        <f t="array" ref="AB1129">_xlfn.IFS(G1129=1,"Junior",G1129=2,"Mid-Level",G1129=3,"Senior",G1129=4,"Lead",G1129=5,"Principal")&amp;" "&amp;TRIM(PROPER(H1129))</f>
        <v>Junior Research Scientist</v>
      </c>
      <c r="AC1129" s="19" t="str">
        <f t="shared" ca="1" si="197"/>
        <v>Re-Res-2024-1128 is a Junior Research Scientist in the Research &amp; Development department, aged 23, married and has been with the Company for 2years</v>
      </c>
    </row>
    <row r="1130" spans="1:29">
      <c r="A1130" s="18" t="str">
        <f t="shared" ca="1" si="187"/>
        <v>La-Res-2023-1129</v>
      </c>
      <c r="B1130" s="5">
        <v>36</v>
      </c>
      <c r="C1130" s="5" t="str">
        <f t="shared" si="188"/>
        <v>30-39</v>
      </c>
      <c r="D1130" s="5" t="s">
        <v>43</v>
      </c>
      <c r="E1130" s="5" t="s">
        <v>45</v>
      </c>
      <c r="F1130" s="5" t="s">
        <v>46</v>
      </c>
      <c r="G1130" s="5">
        <v>2</v>
      </c>
      <c r="H1130" s="5" t="s">
        <v>50</v>
      </c>
      <c r="I1130" s="5" t="s">
        <v>48</v>
      </c>
      <c r="J1130" s="7">
        <v>5562</v>
      </c>
      <c r="K1130" s="7">
        <f t="shared" si="189"/>
        <v>834.3</v>
      </c>
      <c r="L1130" s="7">
        <f t="shared" si="190"/>
        <v>4727.7</v>
      </c>
      <c r="M1130" s="7">
        <v>19711</v>
      </c>
      <c r="N1130" s="5" t="s">
        <v>35</v>
      </c>
      <c r="O1130" s="5">
        <v>13</v>
      </c>
      <c r="P1130" s="7">
        <f t="shared" si="191"/>
        <v>6285.0599999999995</v>
      </c>
      <c r="Q1130" s="7">
        <f t="shared" si="192"/>
        <v>8676.7199999999939</v>
      </c>
      <c r="R1130" s="7" t="str">
        <f t="shared" si="193"/>
        <v>Normal</v>
      </c>
      <c r="S1130" s="5">
        <v>3</v>
      </c>
      <c r="T1130" s="5">
        <v>3</v>
      </c>
      <c r="U1130" s="5" t="str" cm="1">
        <f t="array" ref="U1130">_xlfn.IFS(T1130=1,"Poor",T1130=2,"Fair",T1130=3,"Good",T1130=4,"Excellent")</f>
        <v>Good</v>
      </c>
      <c r="V1130" s="5" t="s">
        <v>35</v>
      </c>
      <c r="W1130" s="5">
        <v>3</v>
      </c>
      <c r="X1130" s="28">
        <f t="shared" ca="1" si="194"/>
        <v>45015</v>
      </c>
      <c r="Y1130" s="28">
        <f t="shared" ca="1" si="195"/>
        <v>46476</v>
      </c>
      <c r="Z1130" s="28" t="str">
        <f t="shared" ca="1" si="196"/>
        <v>Due Soon</v>
      </c>
      <c r="AA1130" s="5" t="str" cm="1">
        <f t="array" ref="AA1130">_xlfn.IFS(W1130&gt;10,"Veteran",W1130&gt;=6,"Experienced",W1130&gt;=2,"Developing",W1130&gt;=0,"New")</f>
        <v>Developing</v>
      </c>
      <c r="AB1130" s="5" t="str" cm="1">
        <f t="array" ref="AB1130">_xlfn.IFS(G1130=1,"Junior",G1130=2,"Mid-Level",G1130=3,"Senior",G1130=4,"Lead",G1130=5,"Principal")&amp;" "&amp;TRIM(PROPER(H1130))</f>
        <v>Mid-Level Laboratory Technician</v>
      </c>
      <c r="AC1130" s="19" t="str">
        <f t="shared" ca="1" si="197"/>
        <v>La-Res-2023-1129 is a Mid-Level Laboratory Technician in the Research &amp; Development department, aged 36, married and has been with the Company for 3years</v>
      </c>
    </row>
    <row r="1131" spans="1:29">
      <c r="A1131" s="18" t="str">
        <f t="shared" ca="1" si="187"/>
        <v>Ma-Res-2025-1130</v>
      </c>
      <c r="B1131" s="5">
        <v>42</v>
      </c>
      <c r="C1131" s="5" t="str">
        <f t="shared" si="188"/>
        <v>40-49</v>
      </c>
      <c r="D1131" s="5" t="s">
        <v>43</v>
      </c>
      <c r="E1131" s="5" t="s">
        <v>45</v>
      </c>
      <c r="F1131" s="5" t="s">
        <v>46</v>
      </c>
      <c r="G1131" s="5">
        <v>5</v>
      </c>
      <c r="H1131" s="5" t="s">
        <v>56</v>
      </c>
      <c r="I1131" s="5" t="s">
        <v>41</v>
      </c>
      <c r="J1131" s="7">
        <v>19613</v>
      </c>
      <c r="K1131" s="7">
        <f t="shared" si="189"/>
        <v>5883.9</v>
      </c>
      <c r="L1131" s="7">
        <f t="shared" si="190"/>
        <v>13729.1</v>
      </c>
      <c r="M1131" s="7">
        <v>26362</v>
      </c>
      <c r="N1131" s="5" t="s">
        <v>43</v>
      </c>
      <c r="O1131" s="5">
        <v>22</v>
      </c>
      <c r="P1131" s="7">
        <f t="shared" si="191"/>
        <v>23927.86</v>
      </c>
      <c r="Q1131" s="7">
        <f t="shared" si="192"/>
        <v>51778.320000000007</v>
      </c>
      <c r="R1131" s="7" t="str">
        <f t="shared" si="193"/>
        <v>Normal</v>
      </c>
      <c r="S1131" s="5">
        <v>4</v>
      </c>
      <c r="T1131" s="5">
        <v>3</v>
      </c>
      <c r="U1131" s="5" t="str" cm="1">
        <f t="array" ref="U1131">_xlfn.IFS(T1131=1,"Poor",T1131=2,"Fair",T1131=3,"Good",T1131=4,"Excellent")</f>
        <v>Good</v>
      </c>
      <c r="V1131" s="5" t="s">
        <v>43</v>
      </c>
      <c r="W1131" s="5">
        <v>1</v>
      </c>
      <c r="X1131" s="28">
        <f t="shared" ca="1" si="194"/>
        <v>45746</v>
      </c>
      <c r="Y1131" s="28">
        <f t="shared" ca="1" si="195"/>
        <v>46476</v>
      </c>
      <c r="Z1131" s="28" t="str">
        <f t="shared" ca="1" si="196"/>
        <v>Due Soon</v>
      </c>
      <c r="AA1131" s="5" t="str" cm="1">
        <f t="array" ref="AA1131">_xlfn.IFS(W1131&gt;10,"Veteran",W1131&gt;=6,"Experienced",W1131&gt;=2,"Developing",W1131&gt;=0,"New")</f>
        <v>New</v>
      </c>
      <c r="AB1131" s="5" t="str" cm="1">
        <f t="array" ref="AB1131">_xlfn.IFS(G1131=1,"Junior",G1131=2,"Mid-Level",G1131=3,"Senior",G1131=4,"Lead",G1131=5,"Principal")&amp;" "&amp;TRIM(PROPER(H1131))</f>
        <v>Principal Manager</v>
      </c>
      <c r="AC1131" s="19" t="str">
        <f t="shared" ca="1" si="197"/>
        <v>Ma-Res-2025-1130 is a Principal Manager in the Research &amp; Development department, aged 42, single and has been with the Company for 1years</v>
      </c>
    </row>
    <row r="1132" spans="1:29">
      <c r="A1132" s="18" t="str">
        <f t="shared" ca="1" si="187"/>
        <v>La-Res-2016-1131</v>
      </c>
      <c r="B1132" s="5">
        <v>35</v>
      </c>
      <c r="C1132" s="5" t="str">
        <f t="shared" si="188"/>
        <v>30-39</v>
      </c>
      <c r="D1132" s="5" t="s">
        <v>43</v>
      </c>
      <c r="E1132" s="5" t="s">
        <v>45</v>
      </c>
      <c r="F1132" s="5" t="s">
        <v>46</v>
      </c>
      <c r="G1132" s="5">
        <v>2</v>
      </c>
      <c r="H1132" s="5" t="s">
        <v>50</v>
      </c>
      <c r="I1132" s="5" t="s">
        <v>48</v>
      </c>
      <c r="J1132" s="7">
        <v>3407</v>
      </c>
      <c r="K1132" s="7">
        <f t="shared" si="189"/>
        <v>511.04999999999995</v>
      </c>
      <c r="L1132" s="7">
        <f t="shared" si="190"/>
        <v>2895.95</v>
      </c>
      <c r="M1132" s="7">
        <v>25348</v>
      </c>
      <c r="N1132" s="5" t="s">
        <v>43</v>
      </c>
      <c r="O1132" s="5">
        <v>17</v>
      </c>
      <c r="P1132" s="7">
        <f t="shared" si="191"/>
        <v>3986.1899999999996</v>
      </c>
      <c r="Q1132" s="7">
        <f t="shared" si="192"/>
        <v>6950.2799999999952</v>
      </c>
      <c r="R1132" s="7" t="str">
        <f t="shared" si="193"/>
        <v>Normal</v>
      </c>
      <c r="S1132" s="5">
        <v>3</v>
      </c>
      <c r="T1132" s="5">
        <v>2</v>
      </c>
      <c r="U1132" s="5" t="str" cm="1">
        <f t="array" ref="U1132">_xlfn.IFS(T1132=1,"Poor",T1132=2,"Fair",T1132=3,"Good",T1132=4,"Excellent")</f>
        <v>Fair</v>
      </c>
      <c r="V1132" s="5" t="s">
        <v>43</v>
      </c>
      <c r="W1132" s="5">
        <v>10</v>
      </c>
      <c r="X1132" s="28">
        <f t="shared" ca="1" si="194"/>
        <v>42459</v>
      </c>
      <c r="Y1132" s="28">
        <f t="shared" ca="1" si="195"/>
        <v>46842</v>
      </c>
      <c r="Z1132" s="28" t="str">
        <f t="shared" ca="1" si="196"/>
        <v>Upcoming</v>
      </c>
      <c r="AA1132" s="5" t="str" cm="1">
        <f t="array" ref="AA1132">_xlfn.IFS(W1132&gt;10,"Veteran",W1132&gt;=6,"Experienced",W1132&gt;=2,"Developing",W1132&gt;=0,"New")</f>
        <v>Experienced</v>
      </c>
      <c r="AB1132" s="5" t="str" cm="1">
        <f t="array" ref="AB1132">_xlfn.IFS(G1132=1,"Junior",G1132=2,"Mid-Level",G1132=3,"Senior",G1132=4,"Lead",G1132=5,"Principal")&amp;" "&amp;TRIM(PROPER(H1132))</f>
        <v>Mid-Level Laboratory Technician</v>
      </c>
      <c r="AC1132" s="19" t="str">
        <f t="shared" ca="1" si="197"/>
        <v>La-Res-2016-1131 is a Mid-Level Laboratory Technician in the Research &amp; Development department, aged 35, married and has been with the Company for 10years</v>
      </c>
    </row>
    <row r="1133" spans="1:29">
      <c r="A1133" s="18" t="str">
        <f t="shared" ca="1" si="187"/>
        <v>He-Res-2018-1132</v>
      </c>
      <c r="B1133" s="5">
        <v>34</v>
      </c>
      <c r="C1133" s="5" t="str">
        <f t="shared" si="188"/>
        <v>30-39</v>
      </c>
      <c r="D1133" s="5" t="s">
        <v>43</v>
      </c>
      <c r="E1133" s="5" t="s">
        <v>45</v>
      </c>
      <c r="F1133" s="5" t="s">
        <v>46</v>
      </c>
      <c r="G1133" s="5">
        <v>2</v>
      </c>
      <c r="H1133" s="5" t="s">
        <v>54</v>
      </c>
      <c r="I1133" s="5" t="s">
        <v>48</v>
      </c>
      <c r="J1133" s="7">
        <v>5063</v>
      </c>
      <c r="K1133" s="7">
        <f t="shared" si="189"/>
        <v>759.44999999999993</v>
      </c>
      <c r="L1133" s="7">
        <f t="shared" si="190"/>
        <v>4303.55</v>
      </c>
      <c r="M1133" s="7">
        <v>15332</v>
      </c>
      <c r="N1133" s="5" t="s">
        <v>43</v>
      </c>
      <c r="O1133" s="5">
        <v>14</v>
      </c>
      <c r="P1133" s="7">
        <f t="shared" si="191"/>
        <v>5771.8200000000006</v>
      </c>
      <c r="Q1133" s="7">
        <f t="shared" si="192"/>
        <v>8505.8400000000074</v>
      </c>
      <c r="R1133" s="7" t="str">
        <f t="shared" si="193"/>
        <v>Normal</v>
      </c>
      <c r="S1133" s="5">
        <v>3</v>
      </c>
      <c r="T1133" s="5">
        <v>2</v>
      </c>
      <c r="U1133" s="5" t="str" cm="1">
        <f t="array" ref="U1133">_xlfn.IFS(T1133=1,"Poor",T1133=2,"Fair",T1133=3,"Good",T1133=4,"Excellent")</f>
        <v>Fair</v>
      </c>
      <c r="V1133" s="5" t="s">
        <v>43</v>
      </c>
      <c r="W1133" s="5">
        <v>8</v>
      </c>
      <c r="X1133" s="28">
        <f t="shared" ca="1" si="194"/>
        <v>43189</v>
      </c>
      <c r="Y1133" s="28">
        <f t="shared" ca="1" si="195"/>
        <v>46842</v>
      </c>
      <c r="Z1133" s="28" t="str">
        <f t="shared" ca="1" si="196"/>
        <v>Upcoming</v>
      </c>
      <c r="AA1133" s="5" t="str" cm="1">
        <f t="array" ref="AA1133">_xlfn.IFS(W1133&gt;10,"Veteran",W1133&gt;=6,"Experienced",W1133&gt;=2,"Developing",W1133&gt;=0,"New")</f>
        <v>Experienced</v>
      </c>
      <c r="AB1133" s="5" t="str" cm="1">
        <f t="array" ref="AB1133">_xlfn.IFS(G1133=1,"Junior",G1133=2,"Mid-Level",G1133=3,"Senior",G1133=4,"Lead",G1133=5,"Principal")&amp;" "&amp;TRIM(PROPER(H1133))</f>
        <v>Mid-Level Healthcare Representative</v>
      </c>
      <c r="AC1133" s="19" t="str">
        <f t="shared" ca="1" si="197"/>
        <v>He-Res-2018-1132 is a Mid-Level Healthcare Representative in the Research &amp; Development department, aged 34, married and has been with the Company for 8years</v>
      </c>
    </row>
    <row r="1134" spans="1:29">
      <c r="A1134" s="18" t="str">
        <f t="shared" ca="1" si="187"/>
        <v>Sa-Sal-2021-1133</v>
      </c>
      <c r="B1134" s="5">
        <v>40</v>
      </c>
      <c r="C1134" s="5" t="str">
        <f t="shared" si="188"/>
        <v>40-49</v>
      </c>
      <c r="D1134" s="5" t="s">
        <v>43</v>
      </c>
      <c r="E1134" s="5" t="s">
        <v>37</v>
      </c>
      <c r="F1134" s="5" t="s">
        <v>39</v>
      </c>
      <c r="G1134" s="5">
        <v>2</v>
      </c>
      <c r="H1134" s="5" t="s">
        <v>40</v>
      </c>
      <c r="I1134" s="5" t="s">
        <v>48</v>
      </c>
      <c r="J1134" s="7">
        <v>4639</v>
      </c>
      <c r="K1134" s="7">
        <f t="shared" si="189"/>
        <v>695.85</v>
      </c>
      <c r="L1134" s="7">
        <f t="shared" si="190"/>
        <v>3943.15</v>
      </c>
      <c r="M1134" s="7">
        <v>11262</v>
      </c>
      <c r="N1134" s="5" t="s">
        <v>43</v>
      </c>
      <c r="O1134" s="5">
        <v>15</v>
      </c>
      <c r="P1134" s="7">
        <f t="shared" si="191"/>
        <v>5334.8499999999995</v>
      </c>
      <c r="Q1134" s="7">
        <f t="shared" si="192"/>
        <v>8350.1999999999935</v>
      </c>
      <c r="R1134" s="7" t="str">
        <f t="shared" si="193"/>
        <v>Normal</v>
      </c>
      <c r="S1134" s="5">
        <v>3</v>
      </c>
      <c r="T1134" s="5">
        <v>3</v>
      </c>
      <c r="U1134" s="5" t="str" cm="1">
        <f t="array" ref="U1134">_xlfn.IFS(T1134=1,"Poor",T1134=2,"Fair",T1134=3,"Good",T1134=4,"Excellent")</f>
        <v>Good</v>
      </c>
      <c r="V1134" s="5" t="s">
        <v>43</v>
      </c>
      <c r="W1134" s="5">
        <v>5</v>
      </c>
      <c r="X1134" s="28">
        <f t="shared" ca="1" si="194"/>
        <v>44285</v>
      </c>
      <c r="Y1134" s="28">
        <f t="shared" ca="1" si="195"/>
        <v>46476</v>
      </c>
      <c r="Z1134" s="28" t="str">
        <f t="shared" ca="1" si="196"/>
        <v>Due Soon</v>
      </c>
      <c r="AA1134" s="5" t="str" cm="1">
        <f t="array" ref="AA1134">_xlfn.IFS(W1134&gt;10,"Veteran",W1134&gt;=6,"Experienced",W1134&gt;=2,"Developing",W1134&gt;=0,"New")</f>
        <v>Developing</v>
      </c>
      <c r="AB1134" s="5" t="str" cm="1">
        <f t="array" ref="AB1134">_xlfn.IFS(G1134=1,"Junior",G1134=2,"Mid-Level",G1134=3,"Senior",G1134=4,"Lead",G1134=5,"Principal")&amp;" "&amp;TRIM(PROPER(H1134))</f>
        <v>Mid-Level Sales Executive</v>
      </c>
      <c r="AC1134" s="19" t="str">
        <f t="shared" ca="1" si="197"/>
        <v>Sa-Sal-2021-1133 is a Mid-Level Sales Executive in the Sales department, aged 40, married and has been with the Company for 5years</v>
      </c>
    </row>
    <row r="1135" spans="1:29">
      <c r="A1135" s="18" t="str">
        <f t="shared" ca="1" si="187"/>
        <v>La-Res-2020-1134</v>
      </c>
      <c r="B1135" s="5">
        <v>43</v>
      </c>
      <c r="C1135" s="5" t="str">
        <f t="shared" si="188"/>
        <v>40-49</v>
      </c>
      <c r="D1135" s="5" t="s">
        <v>43</v>
      </c>
      <c r="E1135" s="5" t="s">
        <v>45</v>
      </c>
      <c r="F1135" s="5" t="s">
        <v>46</v>
      </c>
      <c r="G1135" s="5">
        <v>1</v>
      </c>
      <c r="H1135" s="5" t="s">
        <v>50</v>
      </c>
      <c r="I1135" s="5" t="s">
        <v>52</v>
      </c>
      <c r="J1135" s="7">
        <v>4876</v>
      </c>
      <c r="K1135" s="7">
        <f t="shared" si="189"/>
        <v>731.4</v>
      </c>
      <c r="L1135" s="7">
        <f t="shared" si="190"/>
        <v>4144.6000000000004</v>
      </c>
      <c r="M1135" s="7">
        <v>5855</v>
      </c>
      <c r="N1135" s="5" t="s">
        <v>43</v>
      </c>
      <c r="O1135" s="5">
        <v>12</v>
      </c>
      <c r="P1135" s="7">
        <f t="shared" si="191"/>
        <v>5461.1200000000008</v>
      </c>
      <c r="Q1135" s="7">
        <f t="shared" si="192"/>
        <v>7021.4400000000096</v>
      </c>
      <c r="R1135" s="7" t="str">
        <f t="shared" si="193"/>
        <v>Normal</v>
      </c>
      <c r="S1135" s="5">
        <v>3</v>
      </c>
      <c r="T1135" s="5">
        <v>3</v>
      </c>
      <c r="U1135" s="5" t="str" cm="1">
        <f t="array" ref="U1135">_xlfn.IFS(T1135=1,"Poor",T1135=2,"Fair",T1135=3,"Good",T1135=4,"Excellent")</f>
        <v>Good</v>
      </c>
      <c r="V1135" s="5" t="s">
        <v>43</v>
      </c>
      <c r="W1135" s="5">
        <v>6</v>
      </c>
      <c r="X1135" s="28">
        <f t="shared" ca="1" si="194"/>
        <v>43920</v>
      </c>
      <c r="Y1135" s="28">
        <f t="shared" ca="1" si="195"/>
        <v>46842</v>
      </c>
      <c r="Z1135" s="28" t="str">
        <f t="shared" ca="1" si="196"/>
        <v>Upcoming</v>
      </c>
      <c r="AA1135" s="5" t="str" cm="1">
        <f t="array" ref="AA1135">_xlfn.IFS(W1135&gt;10,"Veteran",W1135&gt;=6,"Experienced",W1135&gt;=2,"Developing",W1135&gt;=0,"New")</f>
        <v>Experienced</v>
      </c>
      <c r="AB1135" s="5" t="str" cm="1">
        <f t="array" ref="AB1135">_xlfn.IFS(G1135=1,"Junior",G1135=2,"Mid-Level",G1135=3,"Senior",G1135=4,"Lead",G1135=5,"Principal")&amp;" "&amp;TRIM(PROPER(H1135))</f>
        <v>Junior Laboratory Technician</v>
      </c>
      <c r="AC1135" s="19" t="str">
        <f t="shared" ca="1" si="197"/>
        <v>La-Res-2020-1134 is a Junior Laboratory Technician in the Research &amp; Development department, aged 43, divorced and has been with the Company for 6years</v>
      </c>
    </row>
    <row r="1136" spans="1:29">
      <c r="A1136" s="18" t="str">
        <f t="shared" ca="1" si="187"/>
        <v>La-Res-2025-1135</v>
      </c>
      <c r="B1136" s="5">
        <v>35</v>
      </c>
      <c r="C1136" s="5" t="str">
        <f t="shared" si="188"/>
        <v>30-39</v>
      </c>
      <c r="D1136" s="5" t="s">
        <v>43</v>
      </c>
      <c r="E1136" s="5" t="s">
        <v>45</v>
      </c>
      <c r="F1136" s="5" t="s">
        <v>46</v>
      </c>
      <c r="G1136" s="5">
        <v>1</v>
      </c>
      <c r="H1136" s="5" t="s">
        <v>50</v>
      </c>
      <c r="I1136" s="5" t="s">
        <v>48</v>
      </c>
      <c r="J1136" s="7">
        <v>2690</v>
      </c>
      <c r="K1136" s="7">
        <f t="shared" si="189"/>
        <v>188.3</v>
      </c>
      <c r="L1136" s="7">
        <f t="shared" si="190"/>
        <v>2501.6999999999998</v>
      </c>
      <c r="M1136" s="7">
        <v>7713</v>
      </c>
      <c r="N1136" s="5" t="s">
        <v>43</v>
      </c>
      <c r="O1136" s="5">
        <v>18</v>
      </c>
      <c r="P1136" s="7">
        <f t="shared" si="191"/>
        <v>3174.2</v>
      </c>
      <c r="Q1136" s="7">
        <f t="shared" si="192"/>
        <v>5810.3999999999978</v>
      </c>
      <c r="R1136" s="7" t="str">
        <f t="shared" si="193"/>
        <v>Normal</v>
      </c>
      <c r="S1136" s="5">
        <v>3</v>
      </c>
      <c r="T1136" s="5">
        <v>2</v>
      </c>
      <c r="U1136" s="5" t="str" cm="1">
        <f t="array" ref="U1136">_xlfn.IFS(T1136=1,"Poor",T1136=2,"Fair",T1136=3,"Good",T1136=4,"Excellent")</f>
        <v>Fair</v>
      </c>
      <c r="V1136" s="5" t="s">
        <v>43</v>
      </c>
      <c r="W1136" s="5">
        <v>1</v>
      </c>
      <c r="X1136" s="28">
        <f t="shared" ca="1" si="194"/>
        <v>45746</v>
      </c>
      <c r="Y1136" s="28">
        <f t="shared" ca="1" si="195"/>
        <v>46476</v>
      </c>
      <c r="Z1136" s="28" t="str">
        <f t="shared" ca="1" si="196"/>
        <v>Due Soon</v>
      </c>
      <c r="AA1136" s="5" t="str" cm="1">
        <f t="array" ref="AA1136">_xlfn.IFS(W1136&gt;10,"Veteran",W1136&gt;=6,"Experienced",W1136&gt;=2,"Developing",W1136&gt;=0,"New")</f>
        <v>New</v>
      </c>
      <c r="AB1136" s="5" t="str" cm="1">
        <f t="array" ref="AB1136">_xlfn.IFS(G1136=1,"Junior",G1136=2,"Mid-Level",G1136=3,"Senior",G1136=4,"Lead",G1136=5,"Principal")&amp;" "&amp;TRIM(PROPER(H1136))</f>
        <v>Junior Laboratory Technician</v>
      </c>
      <c r="AC1136" s="19" t="str">
        <f t="shared" ca="1" si="197"/>
        <v>La-Res-2025-1135 is a Junior Laboratory Technician in the Research &amp; Development department, aged 35, married and has been with the Company for 1years</v>
      </c>
    </row>
    <row r="1137" spans="1:29">
      <c r="A1137" s="18" t="str">
        <f t="shared" ca="1" si="187"/>
        <v>Ma-Sal-2000-1136</v>
      </c>
      <c r="B1137" s="5">
        <v>46</v>
      </c>
      <c r="C1137" s="5" t="str">
        <f t="shared" si="188"/>
        <v>40-49</v>
      </c>
      <c r="D1137" s="5" t="s">
        <v>43</v>
      </c>
      <c r="E1137" s="5" t="s">
        <v>37</v>
      </c>
      <c r="F1137" s="5" t="s">
        <v>46</v>
      </c>
      <c r="G1137" s="5">
        <v>4</v>
      </c>
      <c r="H1137" s="5" t="s">
        <v>56</v>
      </c>
      <c r="I1137" s="5" t="s">
        <v>41</v>
      </c>
      <c r="J1137" s="7">
        <v>17567</v>
      </c>
      <c r="K1137" s="7">
        <f t="shared" si="189"/>
        <v>5270.0999999999995</v>
      </c>
      <c r="L1137" s="7">
        <f t="shared" si="190"/>
        <v>12296.900000000001</v>
      </c>
      <c r="M1137" s="7">
        <v>3156</v>
      </c>
      <c r="N1137" s="5" t="s">
        <v>43</v>
      </c>
      <c r="O1137" s="5">
        <v>15</v>
      </c>
      <c r="P1137" s="7">
        <f t="shared" si="191"/>
        <v>20202.05</v>
      </c>
      <c r="Q1137" s="7">
        <f t="shared" si="192"/>
        <v>31620.599999999991</v>
      </c>
      <c r="R1137" s="7" t="str">
        <f t="shared" si="193"/>
        <v>Normal</v>
      </c>
      <c r="S1137" s="5">
        <v>3</v>
      </c>
      <c r="T1137" s="5">
        <v>1</v>
      </c>
      <c r="U1137" s="5" t="str" cm="1">
        <f t="array" ref="U1137">_xlfn.IFS(T1137=1,"Poor",T1137=2,"Fair",T1137=3,"Good",T1137=4,"Excellent")</f>
        <v>Poor</v>
      </c>
      <c r="V1137" s="5" t="s">
        <v>43</v>
      </c>
      <c r="W1137" s="5">
        <v>26</v>
      </c>
      <c r="X1137" s="28">
        <f t="shared" ca="1" si="194"/>
        <v>36615</v>
      </c>
      <c r="Y1137" s="28">
        <f t="shared" ca="1" si="195"/>
        <v>46842</v>
      </c>
      <c r="Z1137" s="28" t="str">
        <f t="shared" ca="1" si="196"/>
        <v>Upcoming</v>
      </c>
      <c r="AA1137" s="5" t="str" cm="1">
        <f t="array" ref="AA1137">_xlfn.IFS(W1137&gt;10,"Veteran",W1137&gt;=6,"Experienced",W1137&gt;=2,"Developing",W1137&gt;=0,"New")</f>
        <v>Veteran</v>
      </c>
      <c r="AB1137" s="5" t="str" cm="1">
        <f t="array" ref="AB1137">_xlfn.IFS(G1137=1,"Junior",G1137=2,"Mid-Level",G1137=3,"Senior",G1137=4,"Lead",G1137=5,"Principal")&amp;" "&amp;TRIM(PROPER(H1137))</f>
        <v>Lead Manager</v>
      </c>
      <c r="AC1137" s="19" t="str">
        <f t="shared" ca="1" si="197"/>
        <v>Ma-Sal-2000-1136 is a Lead Manager in the Sales department, aged 46, single and has been with the Company for 26years</v>
      </c>
    </row>
    <row r="1138" spans="1:29">
      <c r="A1138" s="18" t="str">
        <f t="shared" ca="1" si="187"/>
        <v>La-Res-2025-1137</v>
      </c>
      <c r="B1138" s="5">
        <v>28</v>
      </c>
      <c r="C1138" s="5" t="str">
        <f t="shared" si="188"/>
        <v>20-29</v>
      </c>
      <c r="D1138" s="5" t="s">
        <v>35</v>
      </c>
      <c r="E1138" s="5" t="s">
        <v>45</v>
      </c>
      <c r="F1138" s="5" t="s">
        <v>46</v>
      </c>
      <c r="G1138" s="5">
        <v>1</v>
      </c>
      <c r="H1138" s="5" t="s">
        <v>50</v>
      </c>
      <c r="I1138" s="5" t="s">
        <v>48</v>
      </c>
      <c r="J1138" s="7">
        <v>2408</v>
      </c>
      <c r="K1138" s="7">
        <f t="shared" si="189"/>
        <v>168.56</v>
      </c>
      <c r="L1138" s="7">
        <f t="shared" si="190"/>
        <v>2239.44</v>
      </c>
      <c r="M1138" s="7">
        <v>7324</v>
      </c>
      <c r="N1138" s="5" t="s">
        <v>35</v>
      </c>
      <c r="O1138" s="5">
        <v>17</v>
      </c>
      <c r="P1138" s="7">
        <f t="shared" si="191"/>
        <v>2817.3599999999997</v>
      </c>
      <c r="Q1138" s="7">
        <f t="shared" si="192"/>
        <v>4912.3199999999961</v>
      </c>
      <c r="R1138" s="7" t="str">
        <f t="shared" si="193"/>
        <v>Normal</v>
      </c>
      <c r="S1138" s="5">
        <v>3</v>
      </c>
      <c r="T1138" s="5">
        <v>3</v>
      </c>
      <c r="U1138" s="5" t="str" cm="1">
        <f t="array" ref="U1138">_xlfn.IFS(T1138=1,"Poor",T1138=2,"Fair",T1138=3,"Good",T1138=4,"Excellent")</f>
        <v>Good</v>
      </c>
      <c r="V1138" s="5" t="s">
        <v>35</v>
      </c>
      <c r="W1138" s="5">
        <v>1</v>
      </c>
      <c r="X1138" s="28">
        <f t="shared" ca="1" si="194"/>
        <v>45746</v>
      </c>
      <c r="Y1138" s="28">
        <f t="shared" ca="1" si="195"/>
        <v>46476</v>
      </c>
      <c r="Z1138" s="28" t="str">
        <f t="shared" ca="1" si="196"/>
        <v>Due Soon</v>
      </c>
      <c r="AA1138" s="5" t="str" cm="1">
        <f t="array" ref="AA1138">_xlfn.IFS(W1138&gt;10,"Veteran",W1138&gt;=6,"Experienced",W1138&gt;=2,"Developing",W1138&gt;=0,"New")</f>
        <v>New</v>
      </c>
      <c r="AB1138" s="5" t="str" cm="1">
        <f t="array" ref="AB1138">_xlfn.IFS(G1138=1,"Junior",G1138=2,"Mid-Level",G1138=3,"Senior",G1138=4,"Lead",G1138=5,"Principal")&amp;" "&amp;TRIM(PROPER(H1138))</f>
        <v>Junior Laboratory Technician</v>
      </c>
      <c r="AC1138" s="19" t="str">
        <f t="shared" ca="1" si="197"/>
        <v>La-Res-2025-1137 is a Junior Laboratory Technician in the Research &amp; Development department, aged 28, married and has been with the Company for 1years</v>
      </c>
    </row>
    <row r="1139" spans="1:29">
      <c r="A1139" s="18" t="str">
        <f t="shared" ca="1" si="187"/>
        <v>Re-Res-2022-1138</v>
      </c>
      <c r="B1139" s="5">
        <v>22</v>
      </c>
      <c r="C1139" s="5" t="str">
        <f t="shared" si="188"/>
        <v>20-29</v>
      </c>
      <c r="D1139" s="5" t="s">
        <v>43</v>
      </c>
      <c r="E1139" s="5" t="s">
        <v>45</v>
      </c>
      <c r="F1139" s="5" t="s">
        <v>39</v>
      </c>
      <c r="G1139" s="5">
        <v>1</v>
      </c>
      <c r="H1139" s="5" t="s">
        <v>47</v>
      </c>
      <c r="I1139" s="5" t="s">
        <v>48</v>
      </c>
      <c r="J1139" s="7">
        <v>2814</v>
      </c>
      <c r="K1139" s="7">
        <f t="shared" si="189"/>
        <v>196.98000000000002</v>
      </c>
      <c r="L1139" s="7">
        <f t="shared" si="190"/>
        <v>2617.02</v>
      </c>
      <c r="M1139" s="7">
        <v>10293</v>
      </c>
      <c r="N1139" s="5" t="s">
        <v>35</v>
      </c>
      <c r="O1139" s="5">
        <v>14</v>
      </c>
      <c r="P1139" s="7">
        <f t="shared" si="191"/>
        <v>3207.9600000000005</v>
      </c>
      <c r="Q1139" s="7">
        <f t="shared" si="192"/>
        <v>4727.5200000000059</v>
      </c>
      <c r="R1139" s="7" t="str">
        <f t="shared" si="193"/>
        <v>Normal</v>
      </c>
      <c r="S1139" s="5">
        <v>3</v>
      </c>
      <c r="T1139" s="5">
        <v>2</v>
      </c>
      <c r="U1139" s="5" t="str" cm="1">
        <f t="array" ref="U1139">_xlfn.IFS(T1139=1,"Poor",T1139=2,"Fair",T1139=3,"Good",T1139=4,"Excellent")</f>
        <v>Fair</v>
      </c>
      <c r="V1139" s="5" t="s">
        <v>35</v>
      </c>
      <c r="W1139" s="5">
        <v>4</v>
      </c>
      <c r="X1139" s="28">
        <f t="shared" ca="1" si="194"/>
        <v>44650</v>
      </c>
      <c r="Y1139" s="28">
        <f t="shared" ca="1" si="195"/>
        <v>46842</v>
      </c>
      <c r="Z1139" s="28" t="str">
        <f t="shared" ca="1" si="196"/>
        <v>Upcoming</v>
      </c>
      <c r="AA1139" s="5" t="str" cm="1">
        <f t="array" ref="AA1139">_xlfn.IFS(W1139&gt;10,"Veteran",W1139&gt;=6,"Experienced",W1139&gt;=2,"Developing",W1139&gt;=0,"New")</f>
        <v>Developing</v>
      </c>
      <c r="AB1139" s="5" t="str" cm="1">
        <f t="array" ref="AB1139">_xlfn.IFS(G1139=1,"Junior",G1139=2,"Mid-Level",G1139=3,"Senior",G1139=4,"Lead",G1139=5,"Principal")&amp;" "&amp;TRIM(PROPER(H1139))</f>
        <v>Junior Research Scientist</v>
      </c>
      <c r="AC1139" s="19" t="str">
        <f t="shared" ca="1" si="197"/>
        <v>Re-Res-2022-1138 is a Junior Research Scientist in the Research &amp; Development department, aged 22, married and has been with the Company for 4years</v>
      </c>
    </row>
    <row r="1140" spans="1:29">
      <c r="A1140" s="18" t="str">
        <f t="shared" ca="1" si="187"/>
        <v>He-Res-1996-1139</v>
      </c>
      <c r="B1140" s="5">
        <v>50</v>
      </c>
      <c r="C1140" s="5" t="str">
        <f t="shared" si="188"/>
        <v>50+</v>
      </c>
      <c r="D1140" s="5" t="s">
        <v>43</v>
      </c>
      <c r="E1140" s="5" t="s">
        <v>45</v>
      </c>
      <c r="F1140" s="5" t="s">
        <v>46</v>
      </c>
      <c r="G1140" s="5">
        <v>4</v>
      </c>
      <c r="H1140" s="5" t="s">
        <v>54</v>
      </c>
      <c r="I1140" s="5" t="s">
        <v>48</v>
      </c>
      <c r="J1140" s="7">
        <v>11245</v>
      </c>
      <c r="K1140" s="7">
        <f t="shared" si="189"/>
        <v>2473.9</v>
      </c>
      <c r="L1140" s="7">
        <f t="shared" si="190"/>
        <v>8771.1</v>
      </c>
      <c r="M1140" s="7">
        <v>20689</v>
      </c>
      <c r="N1140" s="5" t="s">
        <v>35</v>
      </c>
      <c r="O1140" s="5">
        <v>15</v>
      </c>
      <c r="P1140" s="7">
        <f t="shared" si="191"/>
        <v>12931.749999999998</v>
      </c>
      <c r="Q1140" s="7">
        <f t="shared" si="192"/>
        <v>20240.999999999978</v>
      </c>
      <c r="R1140" s="7" t="str">
        <f t="shared" si="193"/>
        <v>Normal</v>
      </c>
      <c r="S1140" s="5">
        <v>3</v>
      </c>
      <c r="T1140" s="5">
        <v>3</v>
      </c>
      <c r="U1140" s="5" t="str" cm="1">
        <f t="array" ref="U1140">_xlfn.IFS(T1140=1,"Poor",T1140=2,"Fair",T1140=3,"Good",T1140=4,"Excellent")</f>
        <v>Good</v>
      </c>
      <c r="V1140" s="5" t="s">
        <v>35</v>
      </c>
      <c r="W1140" s="5">
        <v>30</v>
      </c>
      <c r="X1140" s="28">
        <f t="shared" ca="1" si="194"/>
        <v>35154</v>
      </c>
      <c r="Y1140" s="28">
        <f t="shared" ca="1" si="195"/>
        <v>46842</v>
      </c>
      <c r="Z1140" s="28" t="str">
        <f t="shared" ca="1" si="196"/>
        <v>Upcoming</v>
      </c>
      <c r="AA1140" s="5" t="str" cm="1">
        <f t="array" ref="AA1140">_xlfn.IFS(W1140&gt;10,"Veteran",W1140&gt;=6,"Experienced",W1140&gt;=2,"Developing",W1140&gt;=0,"New")</f>
        <v>Veteran</v>
      </c>
      <c r="AB1140" s="5" t="str" cm="1">
        <f t="array" ref="AB1140">_xlfn.IFS(G1140=1,"Junior",G1140=2,"Mid-Level",G1140=3,"Senior",G1140=4,"Lead",G1140=5,"Principal")&amp;" "&amp;TRIM(PROPER(H1140))</f>
        <v>Lead Healthcare Representative</v>
      </c>
      <c r="AC1140" s="19" t="str">
        <f t="shared" ca="1" si="197"/>
        <v>He-Res-1996-1139 is a Lead Healthcare Representative in the Research &amp; Development department, aged 50, married and has been with the Company for 30years</v>
      </c>
    </row>
    <row r="1141" spans="1:29">
      <c r="A1141" s="18" t="str">
        <f t="shared" ca="1" si="187"/>
        <v>Re-Res-2023-1140</v>
      </c>
      <c r="B1141" s="5">
        <v>32</v>
      </c>
      <c r="C1141" s="5" t="str">
        <f t="shared" si="188"/>
        <v>30-39</v>
      </c>
      <c r="D1141" s="5" t="s">
        <v>43</v>
      </c>
      <c r="E1141" s="5" t="s">
        <v>45</v>
      </c>
      <c r="F1141" s="5" t="s">
        <v>39</v>
      </c>
      <c r="G1141" s="5">
        <v>1</v>
      </c>
      <c r="H1141" s="5" t="s">
        <v>47</v>
      </c>
      <c r="I1141" s="5" t="s">
        <v>48</v>
      </c>
      <c r="J1141" s="7">
        <v>3312</v>
      </c>
      <c r="K1141" s="7">
        <f t="shared" si="189"/>
        <v>496.79999999999995</v>
      </c>
      <c r="L1141" s="7">
        <f t="shared" si="190"/>
        <v>2815.2</v>
      </c>
      <c r="M1141" s="7">
        <v>18783</v>
      </c>
      <c r="N1141" s="5" t="s">
        <v>43</v>
      </c>
      <c r="O1141" s="5">
        <v>17</v>
      </c>
      <c r="P1141" s="7">
        <f t="shared" si="191"/>
        <v>3875.04</v>
      </c>
      <c r="Q1141" s="7">
        <f t="shared" si="192"/>
        <v>6756.48</v>
      </c>
      <c r="R1141" s="7" t="str">
        <f t="shared" si="193"/>
        <v>Normal</v>
      </c>
      <c r="S1141" s="5">
        <v>3</v>
      </c>
      <c r="T1141" s="5">
        <v>3</v>
      </c>
      <c r="U1141" s="5" t="str" cm="1">
        <f t="array" ref="U1141">_xlfn.IFS(T1141=1,"Poor",T1141=2,"Fair",T1141=3,"Good",T1141=4,"Excellent")</f>
        <v>Good</v>
      </c>
      <c r="V1141" s="5" t="s">
        <v>43</v>
      </c>
      <c r="W1141" s="5">
        <v>3</v>
      </c>
      <c r="X1141" s="28">
        <f t="shared" ca="1" si="194"/>
        <v>45015</v>
      </c>
      <c r="Y1141" s="28">
        <f t="shared" ca="1" si="195"/>
        <v>46476</v>
      </c>
      <c r="Z1141" s="28" t="str">
        <f t="shared" ca="1" si="196"/>
        <v>Due Soon</v>
      </c>
      <c r="AA1141" s="5" t="str" cm="1">
        <f t="array" ref="AA1141">_xlfn.IFS(W1141&gt;10,"Veteran",W1141&gt;=6,"Experienced",W1141&gt;=2,"Developing",W1141&gt;=0,"New")</f>
        <v>Developing</v>
      </c>
      <c r="AB1141" s="5" t="str" cm="1">
        <f t="array" ref="AB1141">_xlfn.IFS(G1141=1,"Junior",G1141=2,"Mid-Level",G1141=3,"Senior",G1141=4,"Lead",G1141=5,"Principal")&amp;" "&amp;TRIM(PROPER(H1141))</f>
        <v>Junior Research Scientist</v>
      </c>
      <c r="AC1141" s="19" t="str">
        <f t="shared" ca="1" si="197"/>
        <v>Re-Res-2023-1140 is a Junior Research Scientist in the Research &amp; Development department, aged 32, married and has been with the Company for 3years</v>
      </c>
    </row>
    <row r="1142" spans="1:29">
      <c r="A1142" s="18" t="str">
        <f t="shared" ca="1" si="187"/>
        <v>Re-Res-2004-1141</v>
      </c>
      <c r="B1142" s="5">
        <v>44</v>
      </c>
      <c r="C1142" s="5" t="str">
        <f t="shared" si="188"/>
        <v>40-49</v>
      </c>
      <c r="D1142" s="5" t="s">
        <v>43</v>
      </c>
      <c r="E1142" s="5" t="s">
        <v>45</v>
      </c>
      <c r="F1142" s="5" t="s">
        <v>39</v>
      </c>
      <c r="G1142" s="5">
        <v>5</v>
      </c>
      <c r="H1142" s="5" t="s">
        <v>58</v>
      </c>
      <c r="I1142" s="5" t="s">
        <v>52</v>
      </c>
      <c r="J1142" s="7">
        <v>19049</v>
      </c>
      <c r="K1142" s="7">
        <f t="shared" si="189"/>
        <v>5714.7</v>
      </c>
      <c r="L1142" s="7">
        <f t="shared" si="190"/>
        <v>13334.3</v>
      </c>
      <c r="M1142" s="7">
        <v>3549</v>
      </c>
      <c r="N1142" s="5" t="s">
        <v>35</v>
      </c>
      <c r="O1142" s="5">
        <v>14</v>
      </c>
      <c r="P1142" s="7">
        <f t="shared" si="191"/>
        <v>21715.86</v>
      </c>
      <c r="Q1142" s="7">
        <f t="shared" si="192"/>
        <v>32002.320000000007</v>
      </c>
      <c r="R1142" s="7" t="str">
        <f t="shared" si="193"/>
        <v>Normal</v>
      </c>
      <c r="S1142" s="5">
        <v>3</v>
      </c>
      <c r="T1142" s="5">
        <v>2</v>
      </c>
      <c r="U1142" s="5" t="str" cm="1">
        <f t="array" ref="U1142">_xlfn.IFS(T1142=1,"Poor",T1142=2,"Fair",T1142=3,"Good",T1142=4,"Excellent")</f>
        <v>Fair</v>
      </c>
      <c r="V1142" s="5" t="s">
        <v>35</v>
      </c>
      <c r="W1142" s="5">
        <v>22</v>
      </c>
      <c r="X1142" s="28">
        <f t="shared" ca="1" si="194"/>
        <v>38076</v>
      </c>
      <c r="Y1142" s="28">
        <f t="shared" ca="1" si="195"/>
        <v>46842</v>
      </c>
      <c r="Z1142" s="28" t="str">
        <f t="shared" ca="1" si="196"/>
        <v>Upcoming</v>
      </c>
      <c r="AA1142" s="5" t="str" cm="1">
        <f t="array" ref="AA1142">_xlfn.IFS(W1142&gt;10,"Veteran",W1142&gt;=6,"Experienced",W1142&gt;=2,"Developing",W1142&gt;=0,"New")</f>
        <v>Veteran</v>
      </c>
      <c r="AB1142" s="5" t="str" cm="1">
        <f t="array" ref="AB1142">_xlfn.IFS(G1142=1,"Junior",G1142=2,"Mid-Level",G1142=3,"Senior",G1142=4,"Lead",G1142=5,"Principal")&amp;" "&amp;TRIM(PROPER(H1142))</f>
        <v>Principal Research Director</v>
      </c>
      <c r="AC1142" s="19" t="str">
        <f t="shared" ca="1" si="197"/>
        <v>Re-Res-2004-1141 is a Principal Research Director in the Research &amp; Development department, aged 44, divorced and has been with the Company for 22years</v>
      </c>
    </row>
    <row r="1143" spans="1:29">
      <c r="A1143" s="18" t="str">
        <f t="shared" ca="1" si="187"/>
        <v>Re-Res-2020-1142</v>
      </c>
      <c r="B1143" s="5">
        <v>30</v>
      </c>
      <c r="C1143" s="5" t="str">
        <f t="shared" si="188"/>
        <v>30-39</v>
      </c>
      <c r="D1143" s="5" t="s">
        <v>43</v>
      </c>
      <c r="E1143" s="5" t="s">
        <v>45</v>
      </c>
      <c r="F1143" s="5" t="s">
        <v>46</v>
      </c>
      <c r="G1143" s="5">
        <v>1</v>
      </c>
      <c r="H1143" s="5" t="s">
        <v>47</v>
      </c>
      <c r="I1143" s="5" t="s">
        <v>48</v>
      </c>
      <c r="J1143" s="7">
        <v>2141</v>
      </c>
      <c r="K1143" s="7">
        <f t="shared" si="189"/>
        <v>149.87</v>
      </c>
      <c r="L1143" s="7">
        <f t="shared" si="190"/>
        <v>1991.13</v>
      </c>
      <c r="M1143" s="7">
        <v>5348</v>
      </c>
      <c r="N1143" s="5" t="s">
        <v>43</v>
      </c>
      <c r="O1143" s="5">
        <v>12</v>
      </c>
      <c r="P1143" s="7">
        <f t="shared" si="191"/>
        <v>2397.92</v>
      </c>
      <c r="Q1143" s="7">
        <f t="shared" si="192"/>
        <v>3083.0400000000009</v>
      </c>
      <c r="R1143" s="7" t="str">
        <f t="shared" si="193"/>
        <v>Normal</v>
      </c>
      <c r="S1143" s="5">
        <v>3</v>
      </c>
      <c r="T1143" s="5">
        <v>2</v>
      </c>
      <c r="U1143" s="5" t="str" cm="1">
        <f t="array" ref="U1143">_xlfn.IFS(T1143=1,"Poor",T1143=2,"Fair",T1143=3,"Good",T1143=4,"Excellent")</f>
        <v>Fair</v>
      </c>
      <c r="V1143" s="5" t="s">
        <v>43</v>
      </c>
      <c r="W1143" s="5">
        <v>6</v>
      </c>
      <c r="X1143" s="28">
        <f t="shared" ca="1" si="194"/>
        <v>43920</v>
      </c>
      <c r="Y1143" s="28">
        <f t="shared" ca="1" si="195"/>
        <v>46842</v>
      </c>
      <c r="Z1143" s="28" t="str">
        <f t="shared" ca="1" si="196"/>
        <v>Upcoming</v>
      </c>
      <c r="AA1143" s="5" t="str" cm="1">
        <f t="array" ref="AA1143">_xlfn.IFS(W1143&gt;10,"Veteran",W1143&gt;=6,"Experienced",W1143&gt;=2,"Developing",W1143&gt;=0,"New")</f>
        <v>Experienced</v>
      </c>
      <c r="AB1143" s="5" t="str" cm="1">
        <f t="array" ref="AB1143">_xlfn.IFS(G1143=1,"Junior",G1143=2,"Mid-Level",G1143=3,"Senior",G1143=4,"Lead",G1143=5,"Principal")&amp;" "&amp;TRIM(PROPER(H1143))</f>
        <v>Junior Research Scientist</v>
      </c>
      <c r="AC1143" s="19" t="str">
        <f t="shared" ca="1" si="197"/>
        <v>Re-Res-2020-1142 is a Junior Research Scientist in the Research &amp; Development department, aged 30, married and has been with the Company for 6years</v>
      </c>
    </row>
    <row r="1144" spans="1:29">
      <c r="A1144" s="18" t="str">
        <f t="shared" ca="1" si="187"/>
        <v>La-Res-2016-1143</v>
      </c>
      <c r="B1144" s="5">
        <v>45</v>
      </c>
      <c r="C1144" s="5" t="str">
        <f t="shared" si="188"/>
        <v>40-49</v>
      </c>
      <c r="D1144" s="5" t="s">
        <v>43</v>
      </c>
      <c r="E1144" s="5" t="s">
        <v>45</v>
      </c>
      <c r="F1144" s="5" t="s">
        <v>39</v>
      </c>
      <c r="G1144" s="5">
        <v>2</v>
      </c>
      <c r="H1144" s="5" t="s">
        <v>50</v>
      </c>
      <c r="I1144" s="5" t="s">
        <v>41</v>
      </c>
      <c r="J1144" s="7">
        <v>5769</v>
      </c>
      <c r="K1144" s="7">
        <f t="shared" si="189"/>
        <v>865.35</v>
      </c>
      <c r="L1144" s="7">
        <f t="shared" si="190"/>
        <v>4903.6499999999996</v>
      </c>
      <c r="M1144" s="7">
        <v>23447</v>
      </c>
      <c r="N1144" s="5" t="s">
        <v>35</v>
      </c>
      <c r="O1144" s="5">
        <v>14</v>
      </c>
      <c r="P1144" s="7">
        <f t="shared" si="191"/>
        <v>6576.6600000000008</v>
      </c>
      <c r="Q1144" s="7">
        <f t="shared" si="192"/>
        <v>9691.9200000000092</v>
      </c>
      <c r="R1144" s="7" t="str">
        <f t="shared" si="193"/>
        <v>Normal</v>
      </c>
      <c r="S1144" s="5">
        <v>3</v>
      </c>
      <c r="T1144" s="5">
        <v>3</v>
      </c>
      <c r="U1144" s="5" t="str" cm="1">
        <f t="array" ref="U1144">_xlfn.IFS(T1144=1,"Poor",T1144=2,"Fair",T1144=3,"Good",T1144=4,"Excellent")</f>
        <v>Good</v>
      </c>
      <c r="V1144" s="5" t="s">
        <v>35</v>
      </c>
      <c r="W1144" s="5">
        <v>10</v>
      </c>
      <c r="X1144" s="28">
        <f t="shared" ca="1" si="194"/>
        <v>42459</v>
      </c>
      <c r="Y1144" s="28">
        <f t="shared" ca="1" si="195"/>
        <v>46842</v>
      </c>
      <c r="Z1144" s="28" t="str">
        <f t="shared" ca="1" si="196"/>
        <v>Upcoming</v>
      </c>
      <c r="AA1144" s="5" t="str" cm="1">
        <f t="array" ref="AA1144">_xlfn.IFS(W1144&gt;10,"Veteran",W1144&gt;=6,"Experienced",W1144&gt;=2,"Developing",W1144&gt;=0,"New")</f>
        <v>Experienced</v>
      </c>
      <c r="AB1144" s="5" t="str" cm="1">
        <f t="array" ref="AB1144">_xlfn.IFS(G1144=1,"Junior",G1144=2,"Mid-Level",G1144=3,"Senior",G1144=4,"Lead",G1144=5,"Principal")&amp;" "&amp;TRIM(PROPER(H1144))</f>
        <v>Mid-Level Laboratory Technician</v>
      </c>
      <c r="AC1144" s="19" t="str">
        <f t="shared" ca="1" si="197"/>
        <v>La-Res-2016-1143 is a Mid-Level Laboratory Technician in the Research &amp; Development department, aged 45, single and has been with the Company for 10years</v>
      </c>
    </row>
    <row r="1145" spans="1:29">
      <c r="A1145" s="18" t="str">
        <f t="shared" ca="1" si="187"/>
        <v>Sa-Sal-2016-1144</v>
      </c>
      <c r="B1145" s="5">
        <v>45</v>
      </c>
      <c r="C1145" s="5" t="str">
        <f t="shared" si="188"/>
        <v>40-49</v>
      </c>
      <c r="D1145" s="5" t="s">
        <v>43</v>
      </c>
      <c r="E1145" s="5" t="s">
        <v>37</v>
      </c>
      <c r="F1145" s="5" t="s">
        <v>46</v>
      </c>
      <c r="G1145" s="5">
        <v>2</v>
      </c>
      <c r="H1145" s="5" t="s">
        <v>40</v>
      </c>
      <c r="I1145" s="5" t="s">
        <v>48</v>
      </c>
      <c r="J1145" s="7">
        <v>4385</v>
      </c>
      <c r="K1145" s="7">
        <f t="shared" si="189"/>
        <v>657.75</v>
      </c>
      <c r="L1145" s="7">
        <f t="shared" si="190"/>
        <v>3727.25</v>
      </c>
      <c r="M1145" s="7">
        <v>24162</v>
      </c>
      <c r="N1145" s="5" t="s">
        <v>43</v>
      </c>
      <c r="O1145" s="5">
        <v>15</v>
      </c>
      <c r="P1145" s="7">
        <f t="shared" si="191"/>
        <v>5042.75</v>
      </c>
      <c r="Q1145" s="7">
        <f t="shared" si="192"/>
        <v>7893</v>
      </c>
      <c r="R1145" s="7" t="str">
        <f t="shared" si="193"/>
        <v>Normal</v>
      </c>
      <c r="S1145" s="5">
        <v>3</v>
      </c>
      <c r="T1145" s="5">
        <v>3</v>
      </c>
      <c r="U1145" s="5" t="str" cm="1">
        <f t="array" ref="U1145">_xlfn.IFS(T1145=1,"Poor",T1145=2,"Fair",T1145=3,"Good",T1145=4,"Excellent")</f>
        <v>Good</v>
      </c>
      <c r="V1145" s="5" t="s">
        <v>43</v>
      </c>
      <c r="W1145" s="5">
        <v>10</v>
      </c>
      <c r="X1145" s="28">
        <f t="shared" ca="1" si="194"/>
        <v>42459</v>
      </c>
      <c r="Y1145" s="28">
        <f t="shared" ca="1" si="195"/>
        <v>46842</v>
      </c>
      <c r="Z1145" s="28" t="str">
        <f t="shared" ca="1" si="196"/>
        <v>Upcoming</v>
      </c>
      <c r="AA1145" s="5" t="str" cm="1">
        <f t="array" ref="AA1145">_xlfn.IFS(W1145&gt;10,"Veteran",W1145&gt;=6,"Experienced",W1145&gt;=2,"Developing",W1145&gt;=0,"New")</f>
        <v>Experienced</v>
      </c>
      <c r="AB1145" s="5" t="str" cm="1">
        <f t="array" ref="AB1145">_xlfn.IFS(G1145=1,"Junior",G1145=2,"Mid-Level",G1145=3,"Senior",G1145=4,"Lead",G1145=5,"Principal")&amp;" "&amp;TRIM(PROPER(H1145))</f>
        <v>Mid-Level Sales Executive</v>
      </c>
      <c r="AC1145" s="19" t="str">
        <f t="shared" ca="1" si="197"/>
        <v>Sa-Sal-2016-1144 is a Mid-Level Sales Executive in the Sales department, aged 45, married and has been with the Company for 10years</v>
      </c>
    </row>
    <row r="1146" spans="1:29">
      <c r="A1146" s="18" t="str">
        <f t="shared" ca="1" si="187"/>
        <v>Sa-Sal-2021-1145</v>
      </c>
      <c r="B1146" s="5">
        <v>31</v>
      </c>
      <c r="C1146" s="5" t="str">
        <f t="shared" si="188"/>
        <v>30-39</v>
      </c>
      <c r="D1146" s="5" t="s">
        <v>43</v>
      </c>
      <c r="E1146" s="5" t="s">
        <v>37</v>
      </c>
      <c r="F1146" s="5" t="s">
        <v>46</v>
      </c>
      <c r="G1146" s="5">
        <v>2</v>
      </c>
      <c r="H1146" s="5" t="s">
        <v>40</v>
      </c>
      <c r="I1146" s="5" t="s">
        <v>41</v>
      </c>
      <c r="J1146" s="7">
        <v>5332</v>
      </c>
      <c r="K1146" s="7">
        <f t="shared" si="189"/>
        <v>799.8</v>
      </c>
      <c r="L1146" s="7">
        <f t="shared" si="190"/>
        <v>4532.2</v>
      </c>
      <c r="M1146" s="7">
        <v>21602</v>
      </c>
      <c r="N1146" s="5" t="s">
        <v>43</v>
      </c>
      <c r="O1146" s="5">
        <v>13</v>
      </c>
      <c r="P1146" s="7">
        <f t="shared" si="191"/>
        <v>6025.16</v>
      </c>
      <c r="Q1146" s="7">
        <f t="shared" si="192"/>
        <v>8317.9199999999983</v>
      </c>
      <c r="R1146" s="7" t="str">
        <f t="shared" si="193"/>
        <v>Normal</v>
      </c>
      <c r="S1146" s="5">
        <v>3</v>
      </c>
      <c r="T1146" s="5">
        <v>3</v>
      </c>
      <c r="U1146" s="5" t="str" cm="1">
        <f t="array" ref="U1146">_xlfn.IFS(T1146=1,"Poor",T1146=2,"Fair",T1146=3,"Good",T1146=4,"Excellent")</f>
        <v>Good</v>
      </c>
      <c r="V1146" s="5" t="s">
        <v>43</v>
      </c>
      <c r="W1146" s="5">
        <v>5</v>
      </c>
      <c r="X1146" s="28">
        <f t="shared" ca="1" si="194"/>
        <v>44285</v>
      </c>
      <c r="Y1146" s="28">
        <f t="shared" ca="1" si="195"/>
        <v>46476</v>
      </c>
      <c r="Z1146" s="28" t="str">
        <f t="shared" ca="1" si="196"/>
        <v>Due Soon</v>
      </c>
      <c r="AA1146" s="5" t="str" cm="1">
        <f t="array" ref="AA1146">_xlfn.IFS(W1146&gt;10,"Veteran",W1146&gt;=6,"Experienced",W1146&gt;=2,"Developing",W1146&gt;=0,"New")</f>
        <v>Developing</v>
      </c>
      <c r="AB1146" s="5" t="str" cm="1">
        <f t="array" ref="AB1146">_xlfn.IFS(G1146=1,"Junior",G1146=2,"Mid-Level",G1146=3,"Senior",G1146=4,"Lead",G1146=5,"Principal")&amp;" "&amp;TRIM(PROPER(H1146))</f>
        <v>Mid-Level Sales Executive</v>
      </c>
      <c r="AC1146" s="19" t="str">
        <f t="shared" ca="1" si="197"/>
        <v>Sa-Sal-2021-1145 is a Mid-Level Sales Executive in the Sales department, aged 31, single and has been with the Company for 5years</v>
      </c>
    </row>
    <row r="1147" spans="1:29">
      <c r="A1147" s="18" t="str">
        <f t="shared" ca="1" si="187"/>
        <v>Ma-Res-2023-1146</v>
      </c>
      <c r="B1147" s="5">
        <v>36</v>
      </c>
      <c r="C1147" s="5" t="str">
        <f t="shared" si="188"/>
        <v>30-39</v>
      </c>
      <c r="D1147" s="5" t="s">
        <v>43</v>
      </c>
      <c r="E1147" s="5" t="s">
        <v>45</v>
      </c>
      <c r="F1147" s="5" t="s">
        <v>39</v>
      </c>
      <c r="G1147" s="5">
        <v>2</v>
      </c>
      <c r="H1147" s="5" t="s">
        <v>53</v>
      </c>
      <c r="I1147" s="5" t="s">
        <v>48</v>
      </c>
      <c r="J1147" s="7">
        <v>4663</v>
      </c>
      <c r="K1147" s="7">
        <f t="shared" si="189"/>
        <v>699.44999999999993</v>
      </c>
      <c r="L1147" s="7">
        <f t="shared" si="190"/>
        <v>3963.55</v>
      </c>
      <c r="M1147" s="7">
        <v>12421</v>
      </c>
      <c r="N1147" s="5" t="s">
        <v>35</v>
      </c>
      <c r="O1147" s="5">
        <v>12</v>
      </c>
      <c r="P1147" s="7">
        <f t="shared" si="191"/>
        <v>5222.5600000000004</v>
      </c>
      <c r="Q1147" s="7">
        <f t="shared" si="192"/>
        <v>6714.7200000000048</v>
      </c>
      <c r="R1147" s="7" t="str">
        <f t="shared" si="193"/>
        <v>Normal</v>
      </c>
      <c r="S1147" s="5">
        <v>3</v>
      </c>
      <c r="T1147" s="5">
        <v>3</v>
      </c>
      <c r="U1147" s="5" t="str" cm="1">
        <f t="array" ref="U1147">_xlfn.IFS(T1147=1,"Poor",T1147=2,"Fair",T1147=3,"Good",T1147=4,"Excellent")</f>
        <v>Good</v>
      </c>
      <c r="V1147" s="5" t="s">
        <v>35</v>
      </c>
      <c r="W1147" s="5">
        <v>3</v>
      </c>
      <c r="X1147" s="28">
        <f t="shared" ca="1" si="194"/>
        <v>45015</v>
      </c>
      <c r="Y1147" s="28">
        <f t="shared" ca="1" si="195"/>
        <v>46476</v>
      </c>
      <c r="Z1147" s="28" t="str">
        <f t="shared" ca="1" si="196"/>
        <v>Due Soon</v>
      </c>
      <c r="AA1147" s="5" t="str" cm="1">
        <f t="array" ref="AA1147">_xlfn.IFS(W1147&gt;10,"Veteran",W1147&gt;=6,"Experienced",W1147&gt;=2,"Developing",W1147&gt;=0,"New")</f>
        <v>Developing</v>
      </c>
      <c r="AB1147" s="5" t="str" cm="1">
        <f t="array" ref="AB1147">_xlfn.IFS(G1147=1,"Junior",G1147=2,"Mid-Level",G1147=3,"Senior",G1147=4,"Lead",G1147=5,"Principal")&amp;" "&amp;TRIM(PROPER(H1147))</f>
        <v>Mid-Level Manufacturing Director</v>
      </c>
      <c r="AC1147" s="19" t="str">
        <f t="shared" ca="1" si="197"/>
        <v>Ma-Res-2023-1146 is a Mid-Level Manufacturing Director in the Research &amp; Development department, aged 36, married and has been with the Company for 3years</v>
      </c>
    </row>
    <row r="1148" spans="1:29">
      <c r="A1148" s="18" t="str">
        <f t="shared" ca="1" si="187"/>
        <v>Ma-Res-2017-1147</v>
      </c>
      <c r="B1148" s="5">
        <v>34</v>
      </c>
      <c r="C1148" s="5" t="str">
        <f t="shared" si="188"/>
        <v>30-39</v>
      </c>
      <c r="D1148" s="5" t="s">
        <v>43</v>
      </c>
      <c r="E1148" s="5" t="s">
        <v>45</v>
      </c>
      <c r="F1148" s="5" t="s">
        <v>46</v>
      </c>
      <c r="G1148" s="5">
        <v>2</v>
      </c>
      <c r="H1148" s="5" t="s">
        <v>53</v>
      </c>
      <c r="I1148" s="5" t="s">
        <v>52</v>
      </c>
      <c r="J1148" s="7">
        <v>4724</v>
      </c>
      <c r="K1148" s="7">
        <f t="shared" si="189"/>
        <v>708.6</v>
      </c>
      <c r="L1148" s="7">
        <f t="shared" si="190"/>
        <v>4015.4</v>
      </c>
      <c r="M1148" s="7">
        <v>17000</v>
      </c>
      <c r="N1148" s="5" t="s">
        <v>43</v>
      </c>
      <c r="O1148" s="5">
        <v>13</v>
      </c>
      <c r="P1148" s="7">
        <f t="shared" si="191"/>
        <v>5338.12</v>
      </c>
      <c r="Q1148" s="7">
        <f t="shared" si="192"/>
        <v>7369.4399999999987</v>
      </c>
      <c r="R1148" s="7" t="str">
        <f t="shared" si="193"/>
        <v>Normal</v>
      </c>
      <c r="S1148" s="5">
        <v>3</v>
      </c>
      <c r="T1148" s="5">
        <v>3</v>
      </c>
      <c r="U1148" s="5" t="str" cm="1">
        <f t="array" ref="U1148">_xlfn.IFS(T1148=1,"Poor",T1148=2,"Fair",T1148=3,"Good",T1148=4,"Excellent")</f>
        <v>Good</v>
      </c>
      <c r="V1148" s="5" t="s">
        <v>43</v>
      </c>
      <c r="W1148" s="5">
        <v>9</v>
      </c>
      <c r="X1148" s="28">
        <f t="shared" ca="1" si="194"/>
        <v>42824</v>
      </c>
      <c r="Y1148" s="28">
        <f t="shared" ca="1" si="195"/>
        <v>46476</v>
      </c>
      <c r="Z1148" s="28" t="str">
        <f t="shared" ca="1" si="196"/>
        <v>Due Soon</v>
      </c>
      <c r="AA1148" s="5" t="str" cm="1">
        <f t="array" ref="AA1148">_xlfn.IFS(W1148&gt;10,"Veteran",W1148&gt;=6,"Experienced",W1148&gt;=2,"Developing",W1148&gt;=0,"New")</f>
        <v>Experienced</v>
      </c>
      <c r="AB1148" s="5" t="str" cm="1">
        <f t="array" ref="AB1148">_xlfn.IFS(G1148=1,"Junior",G1148=2,"Mid-Level",G1148=3,"Senior",G1148=4,"Lead",G1148=5,"Principal")&amp;" "&amp;TRIM(PROPER(H1148))</f>
        <v>Mid-Level Manufacturing Director</v>
      </c>
      <c r="AC1148" s="19" t="str">
        <f t="shared" ca="1" si="197"/>
        <v>Ma-Res-2017-1147 is a Mid-Level Manufacturing Director in the Research &amp; Development department, aged 34, divorced and has been with the Company for 9years</v>
      </c>
    </row>
    <row r="1149" spans="1:29">
      <c r="A1149" s="18" t="str">
        <f t="shared" ca="1" si="187"/>
        <v>La-Res-2017-1148</v>
      </c>
      <c r="B1149" s="5">
        <v>49</v>
      </c>
      <c r="C1149" s="5" t="str">
        <f t="shared" si="188"/>
        <v>40-49</v>
      </c>
      <c r="D1149" s="5" t="s">
        <v>43</v>
      </c>
      <c r="E1149" s="5" t="s">
        <v>45</v>
      </c>
      <c r="F1149" s="5" t="s">
        <v>39</v>
      </c>
      <c r="G1149" s="5">
        <v>1</v>
      </c>
      <c r="H1149" s="5" t="s">
        <v>50</v>
      </c>
      <c r="I1149" s="5" t="s">
        <v>48</v>
      </c>
      <c r="J1149" s="7">
        <v>3211</v>
      </c>
      <c r="K1149" s="7">
        <f t="shared" si="189"/>
        <v>481.65</v>
      </c>
      <c r="L1149" s="7">
        <f t="shared" si="190"/>
        <v>2729.35</v>
      </c>
      <c r="M1149" s="7">
        <v>22102</v>
      </c>
      <c r="N1149" s="5" t="s">
        <v>43</v>
      </c>
      <c r="O1149" s="5">
        <v>14</v>
      </c>
      <c r="P1149" s="7">
        <f t="shared" si="191"/>
        <v>3660.5400000000004</v>
      </c>
      <c r="Q1149" s="7">
        <f t="shared" si="192"/>
        <v>5394.480000000005</v>
      </c>
      <c r="R1149" s="7" t="str">
        <f t="shared" si="193"/>
        <v>Normal</v>
      </c>
      <c r="S1149" s="5">
        <v>3</v>
      </c>
      <c r="T1149" s="5">
        <v>2</v>
      </c>
      <c r="U1149" s="5" t="str" cm="1">
        <f t="array" ref="U1149">_xlfn.IFS(T1149=1,"Poor",T1149=2,"Fair",T1149=3,"Good",T1149=4,"Excellent")</f>
        <v>Fair</v>
      </c>
      <c r="V1149" s="5" t="s">
        <v>43</v>
      </c>
      <c r="W1149" s="5">
        <v>9</v>
      </c>
      <c r="X1149" s="28">
        <f t="shared" ca="1" si="194"/>
        <v>42824</v>
      </c>
      <c r="Y1149" s="28">
        <f t="shared" ca="1" si="195"/>
        <v>46476</v>
      </c>
      <c r="Z1149" s="28" t="str">
        <f t="shared" ca="1" si="196"/>
        <v>Due Soon</v>
      </c>
      <c r="AA1149" s="5" t="str" cm="1">
        <f t="array" ref="AA1149">_xlfn.IFS(W1149&gt;10,"Veteran",W1149&gt;=6,"Experienced",W1149&gt;=2,"Developing",W1149&gt;=0,"New")</f>
        <v>Experienced</v>
      </c>
      <c r="AB1149" s="5" t="str" cm="1">
        <f t="array" ref="AB1149">_xlfn.IFS(G1149=1,"Junior",G1149=2,"Mid-Level",G1149=3,"Senior",G1149=4,"Lead",G1149=5,"Principal")&amp;" "&amp;TRIM(PROPER(H1149))</f>
        <v>Junior Laboratory Technician</v>
      </c>
      <c r="AC1149" s="19" t="str">
        <f t="shared" ca="1" si="197"/>
        <v>La-Res-2017-1148 is a Junior Laboratory Technician in the Research &amp; Development department, aged 49, married and has been with the Company for 9years</v>
      </c>
    </row>
    <row r="1150" spans="1:29">
      <c r="A1150" s="18" t="str">
        <f t="shared" ca="1" si="187"/>
        <v>Ma-Res-2019-1149</v>
      </c>
      <c r="B1150" s="5">
        <v>39</v>
      </c>
      <c r="C1150" s="5" t="str">
        <f t="shared" si="188"/>
        <v>30-39</v>
      </c>
      <c r="D1150" s="5" t="s">
        <v>43</v>
      </c>
      <c r="E1150" s="5" t="s">
        <v>45</v>
      </c>
      <c r="F1150" s="5" t="s">
        <v>46</v>
      </c>
      <c r="G1150" s="5">
        <v>2</v>
      </c>
      <c r="H1150" s="5" t="s">
        <v>53</v>
      </c>
      <c r="I1150" s="5" t="s">
        <v>48</v>
      </c>
      <c r="J1150" s="7">
        <v>5377</v>
      </c>
      <c r="K1150" s="7">
        <f t="shared" si="189"/>
        <v>806.55</v>
      </c>
      <c r="L1150" s="7">
        <f t="shared" si="190"/>
        <v>4570.45</v>
      </c>
      <c r="M1150" s="7">
        <v>3835</v>
      </c>
      <c r="N1150" s="5" t="s">
        <v>43</v>
      </c>
      <c r="O1150" s="5">
        <v>13</v>
      </c>
      <c r="P1150" s="7">
        <f t="shared" si="191"/>
        <v>6076.0099999999993</v>
      </c>
      <c r="Q1150" s="7">
        <f t="shared" si="192"/>
        <v>8388.1199999999917</v>
      </c>
      <c r="R1150" s="7" t="str">
        <f t="shared" si="193"/>
        <v>Normal</v>
      </c>
      <c r="S1150" s="5">
        <v>3</v>
      </c>
      <c r="T1150" s="5">
        <v>3</v>
      </c>
      <c r="U1150" s="5" t="str" cm="1">
        <f t="array" ref="U1150">_xlfn.IFS(T1150=1,"Poor",T1150=2,"Fair",T1150=3,"Good",T1150=4,"Excellent")</f>
        <v>Good</v>
      </c>
      <c r="V1150" s="5" t="s">
        <v>43</v>
      </c>
      <c r="W1150" s="5">
        <v>7</v>
      </c>
      <c r="X1150" s="28">
        <f t="shared" ca="1" si="194"/>
        <v>43554</v>
      </c>
      <c r="Y1150" s="28">
        <f t="shared" ca="1" si="195"/>
        <v>46476</v>
      </c>
      <c r="Z1150" s="28" t="str">
        <f t="shared" ca="1" si="196"/>
        <v>Due Soon</v>
      </c>
      <c r="AA1150" s="5" t="str" cm="1">
        <f t="array" ref="AA1150">_xlfn.IFS(W1150&gt;10,"Veteran",W1150&gt;=6,"Experienced",W1150&gt;=2,"Developing",W1150&gt;=0,"New")</f>
        <v>Experienced</v>
      </c>
      <c r="AB1150" s="5" t="str" cm="1">
        <f t="array" ref="AB1150">_xlfn.IFS(G1150=1,"Junior",G1150=2,"Mid-Level",G1150=3,"Senior",G1150=4,"Lead",G1150=5,"Principal")&amp;" "&amp;TRIM(PROPER(H1150))</f>
        <v>Mid-Level Manufacturing Director</v>
      </c>
      <c r="AC1150" s="19" t="str">
        <f t="shared" ca="1" si="197"/>
        <v>Ma-Res-2019-1149 is a Mid-Level Manufacturing Director in the Research &amp; Development department, aged 39, married and has been with the Company for 7years</v>
      </c>
    </row>
    <row r="1151" spans="1:29">
      <c r="A1151" s="18" t="str">
        <f t="shared" ca="1" si="187"/>
        <v>La-Res-2019-1150</v>
      </c>
      <c r="B1151" s="5">
        <v>27</v>
      </c>
      <c r="C1151" s="5" t="str">
        <f t="shared" si="188"/>
        <v>20-29</v>
      </c>
      <c r="D1151" s="5" t="s">
        <v>43</v>
      </c>
      <c r="E1151" s="5" t="s">
        <v>45</v>
      </c>
      <c r="F1151" s="5" t="s">
        <v>46</v>
      </c>
      <c r="G1151" s="5">
        <v>1</v>
      </c>
      <c r="H1151" s="5" t="s">
        <v>50</v>
      </c>
      <c r="I1151" s="5" t="s">
        <v>52</v>
      </c>
      <c r="J1151" s="7">
        <v>4066</v>
      </c>
      <c r="K1151" s="7">
        <f t="shared" si="189"/>
        <v>609.9</v>
      </c>
      <c r="L1151" s="7">
        <f t="shared" si="190"/>
        <v>3456.1</v>
      </c>
      <c r="M1151" s="7">
        <v>16290</v>
      </c>
      <c r="N1151" s="5" t="s">
        <v>43</v>
      </c>
      <c r="O1151" s="5">
        <v>11</v>
      </c>
      <c r="P1151" s="7">
        <f t="shared" si="191"/>
        <v>4513.26</v>
      </c>
      <c r="Q1151" s="7">
        <f t="shared" si="192"/>
        <v>5367.1200000000026</v>
      </c>
      <c r="R1151" s="7" t="str">
        <f t="shared" si="193"/>
        <v>Normal</v>
      </c>
      <c r="S1151" s="5">
        <v>3</v>
      </c>
      <c r="T1151" s="5">
        <v>3</v>
      </c>
      <c r="U1151" s="5" t="str" cm="1">
        <f t="array" ref="U1151">_xlfn.IFS(T1151=1,"Poor",T1151=2,"Fair",T1151=3,"Good",T1151=4,"Excellent")</f>
        <v>Good</v>
      </c>
      <c r="V1151" s="5" t="s">
        <v>43</v>
      </c>
      <c r="W1151" s="5">
        <v>7</v>
      </c>
      <c r="X1151" s="28">
        <f t="shared" ca="1" si="194"/>
        <v>43554</v>
      </c>
      <c r="Y1151" s="28">
        <f t="shared" ca="1" si="195"/>
        <v>46476</v>
      </c>
      <c r="Z1151" s="28" t="str">
        <f t="shared" ca="1" si="196"/>
        <v>Due Soon</v>
      </c>
      <c r="AA1151" s="5" t="str" cm="1">
        <f t="array" ref="AA1151">_xlfn.IFS(W1151&gt;10,"Veteran",W1151&gt;=6,"Experienced",W1151&gt;=2,"Developing",W1151&gt;=0,"New")</f>
        <v>Experienced</v>
      </c>
      <c r="AB1151" s="5" t="str" cm="1">
        <f t="array" ref="AB1151">_xlfn.IFS(G1151=1,"Junior",G1151=2,"Mid-Level",G1151=3,"Senior",G1151=4,"Lead",G1151=5,"Principal")&amp;" "&amp;TRIM(PROPER(H1151))</f>
        <v>Junior Laboratory Technician</v>
      </c>
      <c r="AC1151" s="19" t="str">
        <f t="shared" ca="1" si="197"/>
        <v>La-Res-2019-1150 is a Junior Laboratory Technician in the Research &amp; Development department, aged 27, divorced and has been with the Company for 7years</v>
      </c>
    </row>
    <row r="1152" spans="1:29">
      <c r="A1152" s="18" t="str">
        <f t="shared" ca="1" si="187"/>
        <v>Re-Res-2010-1151</v>
      </c>
      <c r="B1152" s="5">
        <v>35</v>
      </c>
      <c r="C1152" s="5" t="str">
        <f t="shared" si="188"/>
        <v>30-39</v>
      </c>
      <c r="D1152" s="5" t="s">
        <v>43</v>
      </c>
      <c r="E1152" s="5" t="s">
        <v>45</v>
      </c>
      <c r="F1152" s="5" t="s">
        <v>46</v>
      </c>
      <c r="G1152" s="5">
        <v>2</v>
      </c>
      <c r="H1152" s="5" t="s">
        <v>47</v>
      </c>
      <c r="I1152" s="5" t="s">
        <v>48</v>
      </c>
      <c r="J1152" s="7">
        <v>5208</v>
      </c>
      <c r="K1152" s="7">
        <f t="shared" si="189"/>
        <v>781.19999999999993</v>
      </c>
      <c r="L1152" s="7">
        <f t="shared" si="190"/>
        <v>4426.8</v>
      </c>
      <c r="M1152" s="7">
        <v>26312</v>
      </c>
      <c r="N1152" s="5" t="s">
        <v>43</v>
      </c>
      <c r="O1152" s="5">
        <v>11</v>
      </c>
      <c r="P1152" s="7">
        <f t="shared" si="191"/>
        <v>5780.88</v>
      </c>
      <c r="Q1152" s="7">
        <f t="shared" si="192"/>
        <v>6874.5600000000013</v>
      </c>
      <c r="R1152" s="7" t="str">
        <f t="shared" si="193"/>
        <v>Normal</v>
      </c>
      <c r="S1152" s="5">
        <v>3</v>
      </c>
      <c r="T1152" s="5">
        <v>3</v>
      </c>
      <c r="U1152" s="5" t="str" cm="1">
        <f t="array" ref="U1152">_xlfn.IFS(T1152=1,"Poor",T1152=2,"Fair",T1152=3,"Good",T1152=4,"Excellent")</f>
        <v>Good</v>
      </c>
      <c r="V1152" s="5" t="s">
        <v>43</v>
      </c>
      <c r="W1152" s="5">
        <v>16</v>
      </c>
      <c r="X1152" s="28">
        <f t="shared" ca="1" si="194"/>
        <v>40267</v>
      </c>
      <c r="Y1152" s="28">
        <f t="shared" ca="1" si="195"/>
        <v>46842</v>
      </c>
      <c r="Z1152" s="28" t="str">
        <f t="shared" ca="1" si="196"/>
        <v>Upcoming</v>
      </c>
      <c r="AA1152" s="5" t="str" cm="1">
        <f t="array" ref="AA1152">_xlfn.IFS(W1152&gt;10,"Veteran",W1152&gt;=6,"Experienced",W1152&gt;=2,"Developing",W1152&gt;=0,"New")</f>
        <v>Veteran</v>
      </c>
      <c r="AB1152" s="5" t="str" cm="1">
        <f t="array" ref="AB1152">_xlfn.IFS(G1152=1,"Junior",G1152=2,"Mid-Level",G1152=3,"Senior",G1152=4,"Lead",G1152=5,"Principal")&amp;" "&amp;TRIM(PROPER(H1152))</f>
        <v>Mid-Level Research Scientist</v>
      </c>
      <c r="AC1152" s="19" t="str">
        <f t="shared" ca="1" si="197"/>
        <v>Re-Res-2010-1151 is a Mid-Level Research Scientist in the Research &amp; Development department, aged 35, married and has been with the Company for 16years</v>
      </c>
    </row>
    <row r="1153" spans="1:29">
      <c r="A1153" s="18" t="str">
        <f t="shared" ca="1" si="187"/>
        <v>Ma-Res-2021-1152</v>
      </c>
      <c r="B1153" s="5">
        <v>28</v>
      </c>
      <c r="C1153" s="5" t="str">
        <f t="shared" si="188"/>
        <v>20-29</v>
      </c>
      <c r="D1153" s="5" t="s">
        <v>43</v>
      </c>
      <c r="E1153" s="5" t="s">
        <v>45</v>
      </c>
      <c r="F1153" s="5" t="s">
        <v>39</v>
      </c>
      <c r="G1153" s="5">
        <v>2</v>
      </c>
      <c r="H1153" s="5" t="s">
        <v>53</v>
      </c>
      <c r="I1153" s="5" t="s">
        <v>52</v>
      </c>
      <c r="J1153" s="7">
        <v>4877</v>
      </c>
      <c r="K1153" s="7">
        <f t="shared" si="189"/>
        <v>731.55</v>
      </c>
      <c r="L1153" s="7">
        <f t="shared" si="190"/>
        <v>4145.45</v>
      </c>
      <c r="M1153" s="7">
        <v>20460</v>
      </c>
      <c r="N1153" s="5" t="s">
        <v>43</v>
      </c>
      <c r="O1153" s="5">
        <v>21</v>
      </c>
      <c r="P1153" s="7">
        <f t="shared" si="191"/>
        <v>5901.17</v>
      </c>
      <c r="Q1153" s="7">
        <f t="shared" si="192"/>
        <v>12290.04</v>
      </c>
      <c r="R1153" s="7" t="str">
        <f t="shared" si="193"/>
        <v>Normal</v>
      </c>
      <c r="S1153" s="5">
        <v>4</v>
      </c>
      <c r="T1153" s="5">
        <v>2</v>
      </c>
      <c r="U1153" s="5" t="str" cm="1">
        <f t="array" ref="U1153">_xlfn.IFS(T1153=1,"Poor",T1153=2,"Fair",T1153=3,"Good",T1153=4,"Excellent")</f>
        <v>Fair</v>
      </c>
      <c r="V1153" s="5" t="s">
        <v>43</v>
      </c>
      <c r="W1153" s="5">
        <v>5</v>
      </c>
      <c r="X1153" s="28">
        <f t="shared" ca="1" si="194"/>
        <v>44285</v>
      </c>
      <c r="Y1153" s="28">
        <f t="shared" ca="1" si="195"/>
        <v>46476</v>
      </c>
      <c r="Z1153" s="28" t="str">
        <f t="shared" ca="1" si="196"/>
        <v>Due Soon</v>
      </c>
      <c r="AA1153" s="5" t="str" cm="1">
        <f t="array" ref="AA1153">_xlfn.IFS(W1153&gt;10,"Veteran",W1153&gt;=6,"Experienced",W1153&gt;=2,"Developing",W1153&gt;=0,"New")</f>
        <v>Developing</v>
      </c>
      <c r="AB1153" s="5" t="str" cm="1">
        <f t="array" ref="AB1153">_xlfn.IFS(G1153=1,"Junior",G1153=2,"Mid-Level",G1153=3,"Senior",G1153=4,"Lead",G1153=5,"Principal")&amp;" "&amp;TRIM(PROPER(H1153))</f>
        <v>Mid-Level Manufacturing Director</v>
      </c>
      <c r="AC1153" s="19" t="str">
        <f t="shared" ca="1" si="197"/>
        <v>Ma-Res-2021-1152 is a Mid-Level Manufacturing Director in the Research &amp; Development department, aged 28, divorced and has been with the Company for 5years</v>
      </c>
    </row>
    <row r="1154" spans="1:29">
      <c r="A1154" s="18" t="str">
        <f t="shared" ca="1" si="187"/>
        <v>Re-Res-2024-1153</v>
      </c>
      <c r="B1154" s="5">
        <v>21</v>
      </c>
      <c r="C1154" s="5" t="str">
        <f t="shared" si="188"/>
        <v>20-29</v>
      </c>
      <c r="D1154" s="5" t="s">
        <v>43</v>
      </c>
      <c r="E1154" s="5" t="s">
        <v>45</v>
      </c>
      <c r="F1154" s="5" t="s">
        <v>46</v>
      </c>
      <c r="G1154" s="5">
        <v>1</v>
      </c>
      <c r="H1154" s="5" t="s">
        <v>47</v>
      </c>
      <c r="I1154" s="5" t="s">
        <v>41</v>
      </c>
      <c r="J1154" s="7">
        <v>3117</v>
      </c>
      <c r="K1154" s="7">
        <f t="shared" si="189"/>
        <v>467.54999999999995</v>
      </c>
      <c r="L1154" s="7">
        <f t="shared" si="190"/>
        <v>2649.45</v>
      </c>
      <c r="M1154" s="7">
        <v>26009</v>
      </c>
      <c r="N1154" s="5" t="s">
        <v>43</v>
      </c>
      <c r="O1154" s="5">
        <v>18</v>
      </c>
      <c r="P1154" s="7">
        <f t="shared" si="191"/>
        <v>3678.06</v>
      </c>
      <c r="Q1154" s="7">
        <f t="shared" si="192"/>
        <v>6732.7199999999993</v>
      </c>
      <c r="R1154" s="7" t="str">
        <f t="shared" si="193"/>
        <v>Normal</v>
      </c>
      <c r="S1154" s="5">
        <v>3</v>
      </c>
      <c r="T1154" s="5">
        <v>3</v>
      </c>
      <c r="U1154" s="5" t="str" cm="1">
        <f t="array" ref="U1154">_xlfn.IFS(T1154=1,"Poor",T1154=2,"Fair",T1154=3,"Good",T1154=4,"Excellent")</f>
        <v>Good</v>
      </c>
      <c r="V1154" s="5" t="s">
        <v>43</v>
      </c>
      <c r="W1154" s="5">
        <v>2</v>
      </c>
      <c r="X1154" s="28">
        <f t="shared" ca="1" si="194"/>
        <v>45381</v>
      </c>
      <c r="Y1154" s="28">
        <f t="shared" ca="1" si="195"/>
        <v>46842</v>
      </c>
      <c r="Z1154" s="28" t="str">
        <f t="shared" ca="1" si="196"/>
        <v>Upcoming</v>
      </c>
      <c r="AA1154" s="5" t="str" cm="1">
        <f t="array" ref="AA1154">_xlfn.IFS(W1154&gt;10,"Veteran",W1154&gt;=6,"Experienced",W1154&gt;=2,"Developing",W1154&gt;=0,"New")</f>
        <v>Developing</v>
      </c>
      <c r="AB1154" s="5" t="str" cm="1">
        <f t="array" ref="AB1154">_xlfn.IFS(G1154=1,"Junior",G1154=2,"Mid-Level",G1154=3,"Senior",G1154=4,"Lead",G1154=5,"Principal")&amp;" "&amp;TRIM(PROPER(H1154))</f>
        <v>Junior Research Scientist</v>
      </c>
      <c r="AC1154" s="19" t="str">
        <f t="shared" ca="1" si="197"/>
        <v>Re-Res-2024-1153 is a Junior Research Scientist in the Research &amp; Development department, aged 21, single and has been with the Company for 2years</v>
      </c>
    </row>
    <row r="1155" spans="1:29">
      <c r="A1155" s="18" t="str">
        <f t="shared" ref="A1155:A1218" ca="1" si="198">LEFT(H1155,2)&amp;"-"&amp;LEFT(E1155,3)&amp;"-"&amp;YEAR(TODAY())-W1155&amp;"-"&amp;TEXT(ROW()-1,"000")</f>
        <v>Sa-Sal-2026-1154</v>
      </c>
      <c r="B1155" s="5">
        <v>18</v>
      </c>
      <c r="C1155" s="5" t="str">
        <f t="shared" ref="C1155:C1218" si="199">IF(B1155&lt;=29,"20-29",IF(B1155&lt;=39,"30-39",IF(B1155&lt;=49,"40-49","50+")))</f>
        <v>20-29</v>
      </c>
      <c r="D1155" s="5" t="s">
        <v>35</v>
      </c>
      <c r="E1155" s="5" t="s">
        <v>37</v>
      </c>
      <c r="F1155" s="5" t="s">
        <v>39</v>
      </c>
      <c r="G1155" s="5">
        <v>1</v>
      </c>
      <c r="H1155" s="5" t="s">
        <v>57</v>
      </c>
      <c r="I1155" s="5" t="s">
        <v>41</v>
      </c>
      <c r="J1155" s="7">
        <v>1569</v>
      </c>
      <c r="K1155" s="7">
        <f t="shared" ref="K1155:K1218" si="200">IF(J1155&gt;13000,J1155*30%,IF(J1155&gt;7000,J1155*22%,IF(J1155&gt;3000,J1155*15%,J1155*7%)))</f>
        <v>109.83000000000001</v>
      </c>
      <c r="L1155" s="7">
        <f t="shared" ref="L1155:L1218" si="201">J1155-K1155</f>
        <v>1459.17</v>
      </c>
      <c r="M1155" s="7">
        <v>18420</v>
      </c>
      <c r="N1155" s="5" t="s">
        <v>35</v>
      </c>
      <c r="O1155" s="5">
        <v>12</v>
      </c>
      <c r="P1155" s="7">
        <f t="shared" ref="P1155:P1218" si="202">J1155*(1+(O1155/100))</f>
        <v>1757.2800000000002</v>
      </c>
      <c r="Q1155" s="7">
        <f t="shared" ref="Q1155:Q1218" si="203">(P1155-J1155)*12</f>
        <v>2259.3600000000024</v>
      </c>
      <c r="R1155" s="7" t="str">
        <f t="shared" ref="R1155:R1218" si="204">IF(AND(O1155&lt;12,S1155=4),"UnderPaid","Normal")</f>
        <v>Normal</v>
      </c>
      <c r="S1155" s="5">
        <v>3</v>
      </c>
      <c r="T1155" s="5">
        <v>4</v>
      </c>
      <c r="U1155" s="5" t="str" cm="1">
        <f t="array" ref="U1155">_xlfn.IFS(T1155=1,"Poor",T1155=2,"Fair",T1155=3,"Good",T1155=4,"Excellent")</f>
        <v>Excellent</v>
      </c>
      <c r="V1155" s="5" t="s">
        <v>35</v>
      </c>
      <c r="W1155" s="5">
        <v>0</v>
      </c>
      <c r="X1155" s="28">
        <f t="shared" ref="X1155:X1218" ca="1" si="205">EDATE(TODAY(),-W1155*12)</f>
        <v>46111</v>
      </c>
      <c r="Y1155" s="28">
        <f t="shared" ref="Y1155:Y1218" ca="1" si="206">EDATE(X1155,(INT(W1155/2)+1)*24)</f>
        <v>46842</v>
      </c>
      <c r="Z1155" s="28" t="str">
        <f t="shared" ref="Z1155:Z1218" ca="1" si="207">IF(Y1155&lt;=EDATE(TODAY(),12),"Due Soon","Upcoming")</f>
        <v>Upcoming</v>
      </c>
      <c r="AA1155" s="5" t="str" cm="1">
        <f t="array" ref="AA1155">_xlfn.IFS(W1155&gt;10,"Veteran",W1155&gt;=6,"Experienced",W1155&gt;=2,"Developing",W1155&gt;=0,"New")</f>
        <v>New</v>
      </c>
      <c r="AB1155" s="5" t="str" cm="1">
        <f t="array" ref="AB1155">_xlfn.IFS(G1155=1,"Junior",G1155=2,"Mid-Level",G1155=3,"Senior",G1155=4,"Lead",G1155=5,"Principal")&amp;" "&amp;TRIM(PROPER(H1155))</f>
        <v>Junior Sales Representative</v>
      </c>
      <c r="AC1155" s="19" t="str">
        <f t="shared" ref="AC1155:AC1218" ca="1" si="208">A1155&amp;" is a "&amp;AB1155&amp;" in the "&amp;E1155&amp;" department, aged "&amp;B1155&amp;", "&amp;LOWER(I1155)&amp;" and has been with the Company for "&amp;W1155&amp;"years"</f>
        <v>Sa-Sal-2026-1154 is a Junior Sales Representative in the Sales department, aged 18, single and has been with the Company for 0years</v>
      </c>
    </row>
    <row r="1156" spans="1:29">
      <c r="A1156" s="18" t="str">
        <f t="shared" ca="1" si="198"/>
        <v>Ma-Hum-2021-1155</v>
      </c>
      <c r="B1156" s="5">
        <v>47</v>
      </c>
      <c r="C1156" s="5" t="str">
        <f t="shared" si="199"/>
        <v>40-49</v>
      </c>
      <c r="D1156" s="5" t="s">
        <v>43</v>
      </c>
      <c r="E1156" s="5" t="s">
        <v>61</v>
      </c>
      <c r="F1156" s="5" t="s">
        <v>39</v>
      </c>
      <c r="G1156" s="5">
        <v>5</v>
      </c>
      <c r="H1156" s="5" t="s">
        <v>56</v>
      </c>
      <c r="I1156" s="5" t="s">
        <v>48</v>
      </c>
      <c r="J1156" s="7">
        <v>19658</v>
      </c>
      <c r="K1156" s="7">
        <f t="shared" si="200"/>
        <v>5897.4</v>
      </c>
      <c r="L1156" s="7">
        <f t="shared" si="201"/>
        <v>13760.6</v>
      </c>
      <c r="M1156" s="7">
        <v>5220</v>
      </c>
      <c r="N1156" s="5" t="s">
        <v>43</v>
      </c>
      <c r="O1156" s="5">
        <v>11</v>
      </c>
      <c r="P1156" s="7">
        <f t="shared" si="202"/>
        <v>21820.38</v>
      </c>
      <c r="Q1156" s="7">
        <f t="shared" si="203"/>
        <v>25948.560000000012</v>
      </c>
      <c r="R1156" s="7" t="str">
        <f t="shared" si="204"/>
        <v>Normal</v>
      </c>
      <c r="S1156" s="5">
        <v>3</v>
      </c>
      <c r="T1156" s="5">
        <v>3</v>
      </c>
      <c r="U1156" s="5" t="str" cm="1">
        <f t="array" ref="U1156">_xlfn.IFS(T1156=1,"Poor",T1156=2,"Fair",T1156=3,"Good",T1156=4,"Excellent")</f>
        <v>Good</v>
      </c>
      <c r="V1156" s="5" t="s">
        <v>43</v>
      </c>
      <c r="W1156" s="5">
        <v>5</v>
      </c>
      <c r="X1156" s="28">
        <f t="shared" ca="1" si="205"/>
        <v>44285</v>
      </c>
      <c r="Y1156" s="28">
        <f t="shared" ca="1" si="206"/>
        <v>46476</v>
      </c>
      <c r="Z1156" s="28" t="str">
        <f t="shared" ca="1" si="207"/>
        <v>Due Soon</v>
      </c>
      <c r="AA1156" s="5" t="str" cm="1">
        <f t="array" ref="AA1156">_xlfn.IFS(W1156&gt;10,"Veteran",W1156&gt;=6,"Experienced",W1156&gt;=2,"Developing",W1156&gt;=0,"New")</f>
        <v>Developing</v>
      </c>
      <c r="AB1156" s="5" t="str" cm="1">
        <f t="array" ref="AB1156">_xlfn.IFS(G1156=1,"Junior",G1156=2,"Mid-Level",G1156=3,"Senior",G1156=4,"Lead",G1156=5,"Principal")&amp;" "&amp;TRIM(PROPER(H1156))</f>
        <v>Principal Manager</v>
      </c>
      <c r="AC1156" s="19" t="str">
        <f t="shared" ca="1" si="208"/>
        <v>Ma-Hum-2021-1155 is a Principal Manager in the Human Resources department, aged 47, married and has been with the Company for 5years</v>
      </c>
    </row>
    <row r="1157" spans="1:29">
      <c r="A1157" s="18" t="str">
        <f t="shared" ca="1" si="198"/>
        <v>La-Res-2016-1156</v>
      </c>
      <c r="B1157" s="5">
        <v>39</v>
      </c>
      <c r="C1157" s="5" t="str">
        <f t="shared" si="199"/>
        <v>30-39</v>
      </c>
      <c r="D1157" s="5" t="s">
        <v>43</v>
      </c>
      <c r="E1157" s="5" t="s">
        <v>45</v>
      </c>
      <c r="F1157" s="5" t="s">
        <v>46</v>
      </c>
      <c r="G1157" s="5">
        <v>2</v>
      </c>
      <c r="H1157" s="5" t="s">
        <v>50</v>
      </c>
      <c r="I1157" s="5" t="s">
        <v>52</v>
      </c>
      <c r="J1157" s="7">
        <v>3069</v>
      </c>
      <c r="K1157" s="7">
        <f t="shared" si="200"/>
        <v>460.34999999999997</v>
      </c>
      <c r="L1157" s="7">
        <f t="shared" si="201"/>
        <v>2608.65</v>
      </c>
      <c r="M1157" s="7">
        <v>10302</v>
      </c>
      <c r="N1157" s="5" t="s">
        <v>43</v>
      </c>
      <c r="O1157" s="5">
        <v>15</v>
      </c>
      <c r="P1157" s="7">
        <f t="shared" si="202"/>
        <v>3529.35</v>
      </c>
      <c r="Q1157" s="7">
        <f t="shared" si="203"/>
        <v>5524.1999999999989</v>
      </c>
      <c r="R1157" s="7" t="str">
        <f t="shared" si="204"/>
        <v>Normal</v>
      </c>
      <c r="S1157" s="5">
        <v>3</v>
      </c>
      <c r="T1157" s="5">
        <v>3</v>
      </c>
      <c r="U1157" s="5" t="str" cm="1">
        <f t="array" ref="U1157">_xlfn.IFS(T1157=1,"Poor",T1157=2,"Fair",T1157=3,"Good",T1157=4,"Excellent")</f>
        <v>Good</v>
      </c>
      <c r="V1157" s="5" t="s">
        <v>43</v>
      </c>
      <c r="W1157" s="5">
        <v>10</v>
      </c>
      <c r="X1157" s="28">
        <f t="shared" ca="1" si="205"/>
        <v>42459</v>
      </c>
      <c r="Y1157" s="28">
        <f t="shared" ca="1" si="206"/>
        <v>46842</v>
      </c>
      <c r="Z1157" s="28" t="str">
        <f t="shared" ca="1" si="207"/>
        <v>Upcoming</v>
      </c>
      <c r="AA1157" s="5" t="str" cm="1">
        <f t="array" ref="AA1157">_xlfn.IFS(W1157&gt;10,"Veteran",W1157&gt;=6,"Experienced",W1157&gt;=2,"Developing",W1157&gt;=0,"New")</f>
        <v>Experienced</v>
      </c>
      <c r="AB1157" s="5" t="str" cm="1">
        <f t="array" ref="AB1157">_xlfn.IFS(G1157=1,"Junior",G1157=2,"Mid-Level",G1157=3,"Senior",G1157=4,"Lead",G1157=5,"Principal")&amp;" "&amp;TRIM(PROPER(H1157))</f>
        <v>Mid-Level Laboratory Technician</v>
      </c>
      <c r="AC1157" s="19" t="str">
        <f t="shared" ca="1" si="208"/>
        <v>La-Res-2016-1156 is a Mid-Level Laboratory Technician in the Research &amp; Development department, aged 39, divorced and has been with the Company for 10years</v>
      </c>
    </row>
    <row r="1158" spans="1:29">
      <c r="A1158" s="18" t="str">
        <f t="shared" ca="1" si="198"/>
        <v>Ma-Res-2008-1157</v>
      </c>
      <c r="B1158" s="5">
        <v>40</v>
      </c>
      <c r="C1158" s="5" t="str">
        <f t="shared" si="199"/>
        <v>40-49</v>
      </c>
      <c r="D1158" s="5" t="s">
        <v>43</v>
      </c>
      <c r="E1158" s="5" t="s">
        <v>45</v>
      </c>
      <c r="F1158" s="5" t="s">
        <v>39</v>
      </c>
      <c r="G1158" s="5">
        <v>3</v>
      </c>
      <c r="H1158" s="5" t="s">
        <v>53</v>
      </c>
      <c r="I1158" s="5" t="s">
        <v>48</v>
      </c>
      <c r="J1158" s="7">
        <v>10435</v>
      </c>
      <c r="K1158" s="7">
        <f t="shared" si="200"/>
        <v>2295.6999999999998</v>
      </c>
      <c r="L1158" s="7">
        <f t="shared" si="201"/>
        <v>8139.3</v>
      </c>
      <c r="M1158" s="7">
        <v>25800</v>
      </c>
      <c r="N1158" s="5" t="s">
        <v>43</v>
      </c>
      <c r="O1158" s="5">
        <v>13</v>
      </c>
      <c r="P1158" s="7">
        <f t="shared" si="202"/>
        <v>11791.55</v>
      </c>
      <c r="Q1158" s="7">
        <f t="shared" si="203"/>
        <v>16278.599999999991</v>
      </c>
      <c r="R1158" s="7" t="str">
        <f t="shared" si="204"/>
        <v>Normal</v>
      </c>
      <c r="S1158" s="5">
        <v>3</v>
      </c>
      <c r="T1158" s="5">
        <v>3</v>
      </c>
      <c r="U1158" s="5" t="str" cm="1">
        <f t="array" ref="U1158">_xlfn.IFS(T1158=1,"Poor",T1158=2,"Fair",T1158=3,"Good",T1158=4,"Excellent")</f>
        <v>Good</v>
      </c>
      <c r="V1158" s="5" t="s">
        <v>43</v>
      </c>
      <c r="W1158" s="5">
        <v>18</v>
      </c>
      <c r="X1158" s="28">
        <f t="shared" ca="1" si="205"/>
        <v>39537</v>
      </c>
      <c r="Y1158" s="28">
        <f t="shared" ca="1" si="206"/>
        <v>46842</v>
      </c>
      <c r="Z1158" s="28" t="str">
        <f t="shared" ca="1" si="207"/>
        <v>Upcoming</v>
      </c>
      <c r="AA1158" s="5" t="str" cm="1">
        <f t="array" ref="AA1158">_xlfn.IFS(W1158&gt;10,"Veteran",W1158&gt;=6,"Experienced",W1158&gt;=2,"Developing",W1158&gt;=0,"New")</f>
        <v>Veteran</v>
      </c>
      <c r="AB1158" s="5" t="str" cm="1">
        <f t="array" ref="AB1158">_xlfn.IFS(G1158=1,"Junior",G1158=2,"Mid-Level",G1158=3,"Senior",G1158=4,"Lead",G1158=5,"Principal")&amp;" "&amp;TRIM(PROPER(H1158))</f>
        <v>Senior Manufacturing Director</v>
      </c>
      <c r="AC1158" s="19" t="str">
        <f t="shared" ca="1" si="208"/>
        <v>Ma-Res-2008-1157 is a Senior Manufacturing Director in the Research &amp; Development department, aged 40, married and has been with the Company for 18years</v>
      </c>
    </row>
    <row r="1159" spans="1:29">
      <c r="A1159" s="18" t="str">
        <f t="shared" ca="1" si="198"/>
        <v>He-Res-2012-1158</v>
      </c>
      <c r="B1159" s="5">
        <v>35</v>
      </c>
      <c r="C1159" s="5" t="str">
        <f t="shared" si="199"/>
        <v>30-39</v>
      </c>
      <c r="D1159" s="5" t="s">
        <v>43</v>
      </c>
      <c r="E1159" s="5" t="s">
        <v>45</v>
      </c>
      <c r="F1159" s="5" t="s">
        <v>39</v>
      </c>
      <c r="G1159" s="5">
        <v>2</v>
      </c>
      <c r="H1159" s="5" t="s">
        <v>54</v>
      </c>
      <c r="I1159" s="5" t="s">
        <v>48</v>
      </c>
      <c r="J1159" s="7">
        <v>4148</v>
      </c>
      <c r="K1159" s="7">
        <f t="shared" si="200"/>
        <v>622.19999999999993</v>
      </c>
      <c r="L1159" s="7">
        <f t="shared" si="201"/>
        <v>3525.8</v>
      </c>
      <c r="M1159" s="7">
        <v>12250</v>
      </c>
      <c r="N1159" s="5" t="s">
        <v>43</v>
      </c>
      <c r="O1159" s="5">
        <v>12</v>
      </c>
      <c r="P1159" s="7">
        <f t="shared" si="202"/>
        <v>4645.76</v>
      </c>
      <c r="Q1159" s="7">
        <f t="shared" si="203"/>
        <v>5973.1200000000026</v>
      </c>
      <c r="R1159" s="7" t="str">
        <f t="shared" si="204"/>
        <v>Normal</v>
      </c>
      <c r="S1159" s="5">
        <v>3</v>
      </c>
      <c r="T1159" s="5">
        <v>3</v>
      </c>
      <c r="U1159" s="5" t="str" cm="1">
        <f t="array" ref="U1159">_xlfn.IFS(T1159=1,"Poor",T1159=2,"Fair",T1159=3,"Good",T1159=4,"Excellent")</f>
        <v>Good</v>
      </c>
      <c r="V1159" s="5" t="s">
        <v>43</v>
      </c>
      <c r="W1159" s="5">
        <v>14</v>
      </c>
      <c r="X1159" s="28">
        <f t="shared" ca="1" si="205"/>
        <v>40998</v>
      </c>
      <c r="Y1159" s="28">
        <f t="shared" ca="1" si="206"/>
        <v>46842</v>
      </c>
      <c r="Z1159" s="28" t="str">
        <f t="shared" ca="1" si="207"/>
        <v>Upcoming</v>
      </c>
      <c r="AA1159" s="5" t="str" cm="1">
        <f t="array" ref="AA1159">_xlfn.IFS(W1159&gt;10,"Veteran",W1159&gt;=6,"Experienced",W1159&gt;=2,"Developing",W1159&gt;=0,"New")</f>
        <v>Veteran</v>
      </c>
      <c r="AB1159" s="5" t="str" cm="1">
        <f t="array" ref="AB1159">_xlfn.IFS(G1159=1,"Junior",G1159=2,"Mid-Level",G1159=3,"Senior",G1159=4,"Lead",G1159=5,"Principal")&amp;" "&amp;TRIM(PROPER(H1159))</f>
        <v>Mid-Level Healthcare Representative</v>
      </c>
      <c r="AC1159" s="19" t="str">
        <f t="shared" ca="1" si="208"/>
        <v>He-Res-2012-1158 is a Mid-Level Healthcare Representative in the Research &amp; Development department, aged 35, married and has been with the Company for 14years</v>
      </c>
    </row>
    <row r="1160" spans="1:29">
      <c r="A1160" s="18" t="str">
        <f t="shared" ca="1" si="198"/>
        <v>Ma-Res-2022-1159</v>
      </c>
      <c r="B1160" s="5">
        <v>37</v>
      </c>
      <c r="C1160" s="5" t="str">
        <f t="shared" si="199"/>
        <v>30-39</v>
      </c>
      <c r="D1160" s="5" t="s">
        <v>43</v>
      </c>
      <c r="E1160" s="5" t="s">
        <v>45</v>
      </c>
      <c r="F1160" s="5" t="s">
        <v>46</v>
      </c>
      <c r="G1160" s="5">
        <v>2</v>
      </c>
      <c r="H1160" s="5" t="s">
        <v>53</v>
      </c>
      <c r="I1160" s="5" t="s">
        <v>48</v>
      </c>
      <c r="J1160" s="7">
        <v>5768</v>
      </c>
      <c r="K1160" s="7">
        <f t="shared" si="200"/>
        <v>865.19999999999993</v>
      </c>
      <c r="L1160" s="7">
        <f t="shared" si="201"/>
        <v>4902.8</v>
      </c>
      <c r="M1160" s="7">
        <v>26493</v>
      </c>
      <c r="N1160" s="5" t="s">
        <v>43</v>
      </c>
      <c r="O1160" s="5">
        <v>17</v>
      </c>
      <c r="P1160" s="7">
        <f t="shared" si="202"/>
        <v>6748.5599999999995</v>
      </c>
      <c r="Q1160" s="7">
        <f t="shared" si="203"/>
        <v>11766.719999999994</v>
      </c>
      <c r="R1160" s="7" t="str">
        <f t="shared" si="204"/>
        <v>Normal</v>
      </c>
      <c r="S1160" s="5">
        <v>3</v>
      </c>
      <c r="T1160" s="5">
        <v>2</v>
      </c>
      <c r="U1160" s="5" t="str" cm="1">
        <f t="array" ref="U1160">_xlfn.IFS(T1160=1,"Poor",T1160=2,"Fair",T1160=3,"Good",T1160=4,"Excellent")</f>
        <v>Fair</v>
      </c>
      <c r="V1160" s="5" t="s">
        <v>43</v>
      </c>
      <c r="W1160" s="5">
        <v>4</v>
      </c>
      <c r="X1160" s="28">
        <f t="shared" ca="1" si="205"/>
        <v>44650</v>
      </c>
      <c r="Y1160" s="28">
        <f t="shared" ca="1" si="206"/>
        <v>46842</v>
      </c>
      <c r="Z1160" s="28" t="str">
        <f t="shared" ca="1" si="207"/>
        <v>Upcoming</v>
      </c>
      <c r="AA1160" s="5" t="str" cm="1">
        <f t="array" ref="AA1160">_xlfn.IFS(W1160&gt;10,"Veteran",W1160&gt;=6,"Experienced",W1160&gt;=2,"Developing",W1160&gt;=0,"New")</f>
        <v>Developing</v>
      </c>
      <c r="AB1160" s="5" t="str" cm="1">
        <f t="array" ref="AB1160">_xlfn.IFS(G1160=1,"Junior",G1160=2,"Mid-Level",G1160=3,"Senior",G1160=4,"Lead",G1160=5,"Principal")&amp;" "&amp;TRIM(PROPER(H1160))</f>
        <v>Mid-Level Manufacturing Director</v>
      </c>
      <c r="AC1160" s="19" t="str">
        <f t="shared" ca="1" si="208"/>
        <v>Ma-Res-2022-1159 is a Mid-Level Manufacturing Director in the Research &amp; Development department, aged 37, married and has been with the Company for 4years</v>
      </c>
    </row>
    <row r="1161" spans="1:29">
      <c r="A1161" s="18" t="str">
        <f t="shared" ca="1" si="198"/>
        <v>Ma-Res-2017-1160</v>
      </c>
      <c r="B1161" s="5">
        <v>39</v>
      </c>
      <c r="C1161" s="5" t="str">
        <f t="shared" si="199"/>
        <v>30-39</v>
      </c>
      <c r="D1161" s="5" t="s">
        <v>43</v>
      </c>
      <c r="E1161" s="5" t="s">
        <v>45</v>
      </c>
      <c r="F1161" s="5" t="s">
        <v>39</v>
      </c>
      <c r="G1161" s="5">
        <v>2</v>
      </c>
      <c r="H1161" s="5" t="s">
        <v>53</v>
      </c>
      <c r="I1161" s="5" t="s">
        <v>41</v>
      </c>
      <c r="J1161" s="7">
        <v>5042</v>
      </c>
      <c r="K1161" s="7">
        <f t="shared" si="200"/>
        <v>756.3</v>
      </c>
      <c r="L1161" s="7">
        <f t="shared" si="201"/>
        <v>4285.7</v>
      </c>
      <c r="M1161" s="7">
        <v>3140</v>
      </c>
      <c r="N1161" s="5" t="s">
        <v>43</v>
      </c>
      <c r="O1161" s="5">
        <v>13</v>
      </c>
      <c r="P1161" s="7">
        <f t="shared" si="202"/>
        <v>5697.4599999999991</v>
      </c>
      <c r="Q1161" s="7">
        <f t="shared" si="203"/>
        <v>7865.5199999999895</v>
      </c>
      <c r="R1161" s="7" t="str">
        <f t="shared" si="204"/>
        <v>Normal</v>
      </c>
      <c r="S1161" s="5">
        <v>3</v>
      </c>
      <c r="T1161" s="5">
        <v>1</v>
      </c>
      <c r="U1161" s="5" t="str" cm="1">
        <f t="array" ref="U1161">_xlfn.IFS(T1161=1,"Poor",T1161=2,"Fair",T1161=3,"Good",T1161=4,"Excellent")</f>
        <v>Poor</v>
      </c>
      <c r="V1161" s="5" t="s">
        <v>43</v>
      </c>
      <c r="W1161" s="5">
        <v>9</v>
      </c>
      <c r="X1161" s="28">
        <f t="shared" ca="1" si="205"/>
        <v>42824</v>
      </c>
      <c r="Y1161" s="28">
        <f t="shared" ca="1" si="206"/>
        <v>46476</v>
      </c>
      <c r="Z1161" s="28" t="str">
        <f t="shared" ca="1" si="207"/>
        <v>Due Soon</v>
      </c>
      <c r="AA1161" s="5" t="str" cm="1">
        <f t="array" ref="AA1161">_xlfn.IFS(W1161&gt;10,"Veteran",W1161&gt;=6,"Experienced",W1161&gt;=2,"Developing",W1161&gt;=0,"New")</f>
        <v>Experienced</v>
      </c>
      <c r="AB1161" s="5" t="str" cm="1">
        <f t="array" ref="AB1161">_xlfn.IFS(G1161=1,"Junior",G1161=2,"Mid-Level",G1161=3,"Senior",G1161=4,"Lead",G1161=5,"Principal")&amp;" "&amp;TRIM(PROPER(H1161))</f>
        <v>Mid-Level Manufacturing Director</v>
      </c>
      <c r="AC1161" s="19" t="str">
        <f t="shared" ca="1" si="208"/>
        <v>Ma-Res-2017-1160 is a Mid-Level Manufacturing Director in the Research &amp; Development department, aged 39, single and has been with the Company for 9years</v>
      </c>
    </row>
    <row r="1162" spans="1:29">
      <c r="A1162" s="18" t="str">
        <f t="shared" ca="1" si="198"/>
        <v>Ma-Res-2016-1161</v>
      </c>
      <c r="B1162" s="5">
        <v>45</v>
      </c>
      <c r="C1162" s="5" t="str">
        <f t="shared" si="199"/>
        <v>40-49</v>
      </c>
      <c r="D1162" s="5" t="s">
        <v>43</v>
      </c>
      <c r="E1162" s="5" t="s">
        <v>45</v>
      </c>
      <c r="F1162" s="5" t="s">
        <v>39</v>
      </c>
      <c r="G1162" s="5">
        <v>2</v>
      </c>
      <c r="H1162" s="5" t="s">
        <v>53</v>
      </c>
      <c r="I1162" s="5" t="s">
        <v>52</v>
      </c>
      <c r="J1162" s="7">
        <v>5770</v>
      </c>
      <c r="K1162" s="7">
        <f t="shared" si="200"/>
        <v>865.5</v>
      </c>
      <c r="L1162" s="7">
        <f t="shared" si="201"/>
        <v>4904.5</v>
      </c>
      <c r="M1162" s="7">
        <v>5388</v>
      </c>
      <c r="N1162" s="5" t="s">
        <v>43</v>
      </c>
      <c r="O1162" s="5">
        <v>19</v>
      </c>
      <c r="P1162" s="7">
        <f t="shared" si="202"/>
        <v>6866.2999999999993</v>
      </c>
      <c r="Q1162" s="7">
        <f t="shared" si="203"/>
        <v>13155.599999999991</v>
      </c>
      <c r="R1162" s="7" t="str">
        <f t="shared" si="204"/>
        <v>Normal</v>
      </c>
      <c r="S1162" s="5">
        <v>3</v>
      </c>
      <c r="T1162" s="5">
        <v>3</v>
      </c>
      <c r="U1162" s="5" t="str" cm="1">
        <f t="array" ref="U1162">_xlfn.IFS(T1162=1,"Poor",T1162=2,"Fair",T1162=3,"Good",T1162=4,"Excellent")</f>
        <v>Good</v>
      </c>
      <c r="V1162" s="5" t="s">
        <v>43</v>
      </c>
      <c r="W1162" s="5">
        <v>10</v>
      </c>
      <c r="X1162" s="28">
        <f t="shared" ca="1" si="205"/>
        <v>42459</v>
      </c>
      <c r="Y1162" s="28">
        <f t="shared" ca="1" si="206"/>
        <v>46842</v>
      </c>
      <c r="Z1162" s="28" t="str">
        <f t="shared" ca="1" si="207"/>
        <v>Upcoming</v>
      </c>
      <c r="AA1162" s="5" t="str" cm="1">
        <f t="array" ref="AA1162">_xlfn.IFS(W1162&gt;10,"Veteran",W1162&gt;=6,"Experienced",W1162&gt;=2,"Developing",W1162&gt;=0,"New")</f>
        <v>Experienced</v>
      </c>
      <c r="AB1162" s="5" t="str" cm="1">
        <f t="array" ref="AB1162">_xlfn.IFS(G1162=1,"Junior",G1162=2,"Mid-Level",G1162=3,"Senior",G1162=4,"Lead",G1162=5,"Principal")&amp;" "&amp;TRIM(PROPER(H1162))</f>
        <v>Mid-Level Manufacturing Director</v>
      </c>
      <c r="AC1162" s="19" t="str">
        <f t="shared" ca="1" si="208"/>
        <v>Ma-Res-2016-1161 is a Mid-Level Manufacturing Director in the Research &amp; Development department, aged 45, divorced and has been with the Company for 10years</v>
      </c>
    </row>
    <row r="1163" spans="1:29">
      <c r="A1163" s="18" t="str">
        <f t="shared" ca="1" si="198"/>
        <v>Ma-Res-2021-1162</v>
      </c>
      <c r="B1163" s="5">
        <v>38</v>
      </c>
      <c r="C1163" s="5" t="str">
        <f t="shared" si="199"/>
        <v>30-39</v>
      </c>
      <c r="D1163" s="5" t="s">
        <v>43</v>
      </c>
      <c r="E1163" s="5" t="s">
        <v>45</v>
      </c>
      <c r="F1163" s="5" t="s">
        <v>39</v>
      </c>
      <c r="G1163" s="5">
        <v>3</v>
      </c>
      <c r="H1163" s="5" t="s">
        <v>53</v>
      </c>
      <c r="I1163" s="5" t="s">
        <v>48</v>
      </c>
      <c r="J1163" s="7">
        <v>7756</v>
      </c>
      <c r="K1163" s="7">
        <f t="shared" si="200"/>
        <v>1706.32</v>
      </c>
      <c r="L1163" s="7">
        <f t="shared" si="201"/>
        <v>6049.68</v>
      </c>
      <c r="M1163" s="7">
        <v>14199</v>
      </c>
      <c r="N1163" s="5" t="s">
        <v>35</v>
      </c>
      <c r="O1163" s="5">
        <v>19</v>
      </c>
      <c r="P1163" s="7">
        <f t="shared" si="202"/>
        <v>9229.64</v>
      </c>
      <c r="Q1163" s="7">
        <f t="shared" si="203"/>
        <v>17683.679999999993</v>
      </c>
      <c r="R1163" s="7" t="str">
        <f t="shared" si="204"/>
        <v>Normal</v>
      </c>
      <c r="S1163" s="5">
        <v>3</v>
      </c>
      <c r="T1163" s="5">
        <v>4</v>
      </c>
      <c r="U1163" s="5" t="str" cm="1">
        <f t="array" ref="U1163">_xlfn.IFS(T1163=1,"Poor",T1163=2,"Fair",T1163=3,"Good",T1163=4,"Excellent")</f>
        <v>Excellent</v>
      </c>
      <c r="V1163" s="5" t="s">
        <v>35</v>
      </c>
      <c r="W1163" s="5">
        <v>5</v>
      </c>
      <c r="X1163" s="28">
        <f t="shared" ca="1" si="205"/>
        <v>44285</v>
      </c>
      <c r="Y1163" s="28">
        <f t="shared" ca="1" si="206"/>
        <v>46476</v>
      </c>
      <c r="Z1163" s="28" t="str">
        <f t="shared" ca="1" si="207"/>
        <v>Due Soon</v>
      </c>
      <c r="AA1163" s="5" t="str" cm="1">
        <f t="array" ref="AA1163">_xlfn.IFS(W1163&gt;10,"Veteran",W1163&gt;=6,"Experienced",W1163&gt;=2,"Developing",W1163&gt;=0,"New")</f>
        <v>Developing</v>
      </c>
      <c r="AB1163" s="5" t="str" cm="1">
        <f t="array" ref="AB1163">_xlfn.IFS(G1163=1,"Junior",G1163=2,"Mid-Level",G1163=3,"Senior",G1163=4,"Lead",G1163=5,"Principal")&amp;" "&amp;TRIM(PROPER(H1163))</f>
        <v>Senior Manufacturing Director</v>
      </c>
      <c r="AC1163" s="19" t="str">
        <f t="shared" ca="1" si="208"/>
        <v>Ma-Res-2021-1162 is a Senior Manufacturing Director in the Research &amp; Development department, aged 38, married and has been with the Company for 5years</v>
      </c>
    </row>
    <row r="1164" spans="1:29">
      <c r="A1164" s="18" t="str">
        <f t="shared" ca="1" si="198"/>
        <v>Sa-Sal-2013-1163</v>
      </c>
      <c r="B1164" s="5">
        <v>35</v>
      </c>
      <c r="C1164" s="5" t="str">
        <f t="shared" si="199"/>
        <v>30-39</v>
      </c>
      <c r="D1164" s="5" t="s">
        <v>35</v>
      </c>
      <c r="E1164" s="5" t="s">
        <v>37</v>
      </c>
      <c r="F1164" s="5" t="s">
        <v>46</v>
      </c>
      <c r="G1164" s="5">
        <v>3</v>
      </c>
      <c r="H1164" s="5" t="s">
        <v>40</v>
      </c>
      <c r="I1164" s="5" t="s">
        <v>48</v>
      </c>
      <c r="J1164" s="7">
        <v>10306</v>
      </c>
      <c r="K1164" s="7">
        <f t="shared" si="200"/>
        <v>2267.3200000000002</v>
      </c>
      <c r="L1164" s="7">
        <f t="shared" si="201"/>
        <v>8038.68</v>
      </c>
      <c r="M1164" s="7">
        <v>21530</v>
      </c>
      <c r="N1164" s="5" t="s">
        <v>43</v>
      </c>
      <c r="O1164" s="5">
        <v>17</v>
      </c>
      <c r="P1164" s="7">
        <f t="shared" si="202"/>
        <v>12058.019999999999</v>
      </c>
      <c r="Q1164" s="7">
        <f t="shared" si="203"/>
        <v>21024.239999999983</v>
      </c>
      <c r="R1164" s="7" t="str">
        <f t="shared" si="204"/>
        <v>Normal</v>
      </c>
      <c r="S1164" s="5">
        <v>3</v>
      </c>
      <c r="T1164" s="5">
        <v>3</v>
      </c>
      <c r="U1164" s="5" t="str" cm="1">
        <f t="array" ref="U1164">_xlfn.IFS(T1164=1,"Poor",T1164=2,"Fair",T1164=3,"Good",T1164=4,"Excellent")</f>
        <v>Good</v>
      </c>
      <c r="V1164" s="5" t="s">
        <v>43</v>
      </c>
      <c r="W1164" s="5">
        <v>13</v>
      </c>
      <c r="X1164" s="28">
        <f t="shared" ca="1" si="205"/>
        <v>41363</v>
      </c>
      <c r="Y1164" s="28">
        <f t="shared" ca="1" si="206"/>
        <v>46476</v>
      </c>
      <c r="Z1164" s="28" t="str">
        <f t="shared" ca="1" si="207"/>
        <v>Due Soon</v>
      </c>
      <c r="AA1164" s="5" t="str" cm="1">
        <f t="array" ref="AA1164">_xlfn.IFS(W1164&gt;10,"Veteran",W1164&gt;=6,"Experienced",W1164&gt;=2,"Developing",W1164&gt;=0,"New")</f>
        <v>Veteran</v>
      </c>
      <c r="AB1164" s="5" t="str" cm="1">
        <f t="array" ref="AB1164">_xlfn.IFS(G1164=1,"Junior",G1164=2,"Mid-Level",G1164=3,"Senior",G1164=4,"Lead",G1164=5,"Principal")&amp;" "&amp;TRIM(PROPER(H1164))</f>
        <v>Senior Sales Executive</v>
      </c>
      <c r="AC1164" s="19" t="str">
        <f t="shared" ca="1" si="208"/>
        <v>Sa-Sal-2013-1163 is a Senior Sales Executive in the Sales department, aged 35, married and has been with the Company for 13years</v>
      </c>
    </row>
    <row r="1165" spans="1:29">
      <c r="A1165" s="18" t="str">
        <f t="shared" ca="1" si="198"/>
        <v>Re-Res-2018-1164</v>
      </c>
      <c r="B1165" s="5">
        <v>37</v>
      </c>
      <c r="C1165" s="5" t="str">
        <f t="shared" si="199"/>
        <v>30-39</v>
      </c>
      <c r="D1165" s="5" t="s">
        <v>43</v>
      </c>
      <c r="E1165" s="5" t="s">
        <v>45</v>
      </c>
      <c r="F1165" s="5" t="s">
        <v>39</v>
      </c>
      <c r="G1165" s="5">
        <v>1</v>
      </c>
      <c r="H1165" s="5" t="s">
        <v>47</v>
      </c>
      <c r="I1165" s="5" t="s">
        <v>48</v>
      </c>
      <c r="J1165" s="7">
        <v>3936</v>
      </c>
      <c r="K1165" s="7">
        <f t="shared" si="200"/>
        <v>590.4</v>
      </c>
      <c r="L1165" s="7">
        <f t="shared" si="201"/>
        <v>3345.6</v>
      </c>
      <c r="M1165" s="7">
        <v>9953</v>
      </c>
      <c r="N1165" s="5" t="s">
        <v>43</v>
      </c>
      <c r="O1165" s="5">
        <v>11</v>
      </c>
      <c r="P1165" s="7">
        <f t="shared" si="202"/>
        <v>4368.96</v>
      </c>
      <c r="Q1165" s="7">
        <f t="shared" si="203"/>
        <v>5195.5200000000004</v>
      </c>
      <c r="R1165" s="7" t="str">
        <f t="shared" si="204"/>
        <v>Normal</v>
      </c>
      <c r="S1165" s="5">
        <v>3</v>
      </c>
      <c r="T1165" s="5">
        <v>1</v>
      </c>
      <c r="U1165" s="5" t="str" cm="1">
        <f t="array" ref="U1165">_xlfn.IFS(T1165=1,"Poor",T1165=2,"Fair",T1165=3,"Good",T1165=4,"Excellent")</f>
        <v>Poor</v>
      </c>
      <c r="V1165" s="5" t="s">
        <v>43</v>
      </c>
      <c r="W1165" s="5">
        <v>8</v>
      </c>
      <c r="X1165" s="28">
        <f t="shared" ca="1" si="205"/>
        <v>43189</v>
      </c>
      <c r="Y1165" s="28">
        <f t="shared" ca="1" si="206"/>
        <v>46842</v>
      </c>
      <c r="Z1165" s="28" t="str">
        <f t="shared" ca="1" si="207"/>
        <v>Upcoming</v>
      </c>
      <c r="AA1165" s="5" t="str" cm="1">
        <f t="array" ref="AA1165">_xlfn.IFS(W1165&gt;10,"Veteran",W1165&gt;=6,"Experienced",W1165&gt;=2,"Developing",W1165&gt;=0,"New")</f>
        <v>Experienced</v>
      </c>
      <c r="AB1165" s="5" t="str" cm="1">
        <f t="array" ref="AB1165">_xlfn.IFS(G1165=1,"Junior",G1165=2,"Mid-Level",G1165=3,"Senior",G1165=4,"Lead",G1165=5,"Principal")&amp;" "&amp;TRIM(PROPER(H1165))</f>
        <v>Junior Research Scientist</v>
      </c>
      <c r="AC1165" s="19" t="str">
        <f t="shared" ca="1" si="208"/>
        <v>Re-Res-2018-1164 is a Junior Research Scientist in the Research &amp; Development department, aged 37, married and has been with the Company for 8years</v>
      </c>
    </row>
    <row r="1166" spans="1:29">
      <c r="A1166" s="18" t="str">
        <f t="shared" ca="1" si="198"/>
        <v>Ma-Res-2022-1165</v>
      </c>
      <c r="B1166" s="5">
        <v>40</v>
      </c>
      <c r="C1166" s="5" t="str">
        <f t="shared" si="199"/>
        <v>40-49</v>
      </c>
      <c r="D1166" s="5" t="s">
        <v>43</v>
      </c>
      <c r="E1166" s="5" t="s">
        <v>45</v>
      </c>
      <c r="F1166" s="5" t="s">
        <v>39</v>
      </c>
      <c r="G1166" s="5">
        <v>3</v>
      </c>
      <c r="H1166" s="5" t="s">
        <v>53</v>
      </c>
      <c r="I1166" s="5" t="s">
        <v>41</v>
      </c>
      <c r="J1166" s="7">
        <v>7945</v>
      </c>
      <c r="K1166" s="7">
        <f t="shared" si="200"/>
        <v>1747.9</v>
      </c>
      <c r="L1166" s="7">
        <f t="shared" si="201"/>
        <v>6197.1</v>
      </c>
      <c r="M1166" s="7">
        <v>19948</v>
      </c>
      <c r="N1166" s="5" t="s">
        <v>35</v>
      </c>
      <c r="O1166" s="5">
        <v>15</v>
      </c>
      <c r="P1166" s="7">
        <f t="shared" si="202"/>
        <v>9136.75</v>
      </c>
      <c r="Q1166" s="7">
        <f t="shared" si="203"/>
        <v>14301</v>
      </c>
      <c r="R1166" s="7" t="str">
        <f t="shared" si="204"/>
        <v>Normal</v>
      </c>
      <c r="S1166" s="5">
        <v>3</v>
      </c>
      <c r="T1166" s="5">
        <v>2</v>
      </c>
      <c r="U1166" s="5" t="str" cm="1">
        <f t="array" ref="U1166">_xlfn.IFS(T1166=1,"Poor",T1166=2,"Fair",T1166=3,"Good",T1166=4,"Excellent")</f>
        <v>Fair</v>
      </c>
      <c r="V1166" s="5" t="s">
        <v>35</v>
      </c>
      <c r="W1166" s="5">
        <v>4</v>
      </c>
      <c r="X1166" s="28">
        <f t="shared" ca="1" si="205"/>
        <v>44650</v>
      </c>
      <c r="Y1166" s="28">
        <f t="shared" ca="1" si="206"/>
        <v>46842</v>
      </c>
      <c r="Z1166" s="28" t="str">
        <f t="shared" ca="1" si="207"/>
        <v>Upcoming</v>
      </c>
      <c r="AA1166" s="5" t="str" cm="1">
        <f t="array" ref="AA1166">_xlfn.IFS(W1166&gt;10,"Veteran",W1166&gt;=6,"Experienced",W1166&gt;=2,"Developing",W1166&gt;=0,"New")</f>
        <v>Developing</v>
      </c>
      <c r="AB1166" s="5" t="str" cm="1">
        <f t="array" ref="AB1166">_xlfn.IFS(G1166=1,"Junior",G1166=2,"Mid-Level",G1166=3,"Senior",G1166=4,"Lead",G1166=5,"Principal")&amp;" "&amp;TRIM(PROPER(H1166))</f>
        <v>Senior Manufacturing Director</v>
      </c>
      <c r="AC1166" s="19" t="str">
        <f t="shared" ca="1" si="208"/>
        <v>Ma-Res-2022-1165 is a Senior Manufacturing Director in the Research &amp; Development department, aged 40, single and has been with the Company for 4years</v>
      </c>
    </row>
    <row r="1167" spans="1:29">
      <c r="A1167" s="18" t="str">
        <f t="shared" ca="1" si="198"/>
        <v>Hu-Hum-2016-1166</v>
      </c>
      <c r="B1167" s="5">
        <v>44</v>
      </c>
      <c r="C1167" s="5" t="str">
        <f t="shared" si="199"/>
        <v>40-49</v>
      </c>
      <c r="D1167" s="5" t="s">
        <v>43</v>
      </c>
      <c r="E1167" s="5" t="s">
        <v>61</v>
      </c>
      <c r="F1167" s="5" t="s">
        <v>46</v>
      </c>
      <c r="G1167" s="5">
        <v>2</v>
      </c>
      <c r="H1167" s="5" t="s">
        <v>61</v>
      </c>
      <c r="I1167" s="5" t="s">
        <v>48</v>
      </c>
      <c r="J1167" s="7">
        <v>5743</v>
      </c>
      <c r="K1167" s="7">
        <f t="shared" si="200"/>
        <v>861.44999999999993</v>
      </c>
      <c r="L1167" s="7">
        <f t="shared" si="201"/>
        <v>4881.55</v>
      </c>
      <c r="M1167" s="7">
        <v>10503</v>
      </c>
      <c r="N1167" s="5" t="s">
        <v>35</v>
      </c>
      <c r="O1167" s="5">
        <v>11</v>
      </c>
      <c r="P1167" s="7">
        <f t="shared" si="202"/>
        <v>6374.7300000000005</v>
      </c>
      <c r="Q1167" s="7">
        <f t="shared" si="203"/>
        <v>7580.7600000000057</v>
      </c>
      <c r="R1167" s="7" t="str">
        <f t="shared" si="204"/>
        <v>Normal</v>
      </c>
      <c r="S1167" s="5">
        <v>3</v>
      </c>
      <c r="T1167" s="5">
        <v>3</v>
      </c>
      <c r="U1167" s="5" t="str" cm="1">
        <f t="array" ref="U1167">_xlfn.IFS(T1167=1,"Poor",T1167=2,"Fair",T1167=3,"Good",T1167=4,"Excellent")</f>
        <v>Good</v>
      </c>
      <c r="V1167" s="5" t="s">
        <v>35</v>
      </c>
      <c r="W1167" s="5">
        <v>10</v>
      </c>
      <c r="X1167" s="28">
        <f t="shared" ca="1" si="205"/>
        <v>42459</v>
      </c>
      <c r="Y1167" s="28">
        <f t="shared" ca="1" si="206"/>
        <v>46842</v>
      </c>
      <c r="Z1167" s="28" t="str">
        <f t="shared" ca="1" si="207"/>
        <v>Upcoming</v>
      </c>
      <c r="AA1167" s="5" t="str" cm="1">
        <f t="array" ref="AA1167">_xlfn.IFS(W1167&gt;10,"Veteran",W1167&gt;=6,"Experienced",W1167&gt;=2,"Developing",W1167&gt;=0,"New")</f>
        <v>Experienced</v>
      </c>
      <c r="AB1167" s="5" t="str" cm="1">
        <f t="array" ref="AB1167">_xlfn.IFS(G1167=1,"Junior",G1167=2,"Mid-Level",G1167=3,"Senior",G1167=4,"Lead",G1167=5,"Principal")&amp;" "&amp;TRIM(PROPER(H1167))</f>
        <v>Mid-Level Human Resources</v>
      </c>
      <c r="AC1167" s="19" t="str">
        <f t="shared" ca="1" si="208"/>
        <v>Hu-Hum-2016-1166 is a Mid-Level Human Resources in the Human Resources department, aged 44, married and has been with the Company for 10years</v>
      </c>
    </row>
    <row r="1168" spans="1:29">
      <c r="A1168" s="18" t="str">
        <f t="shared" ca="1" si="198"/>
        <v>Ma-Res-2024-1167</v>
      </c>
      <c r="B1168" s="5">
        <v>48</v>
      </c>
      <c r="C1168" s="5" t="str">
        <f t="shared" si="199"/>
        <v>40-49</v>
      </c>
      <c r="D1168" s="5" t="s">
        <v>43</v>
      </c>
      <c r="E1168" s="5" t="s">
        <v>45</v>
      </c>
      <c r="F1168" s="5" t="s">
        <v>46</v>
      </c>
      <c r="G1168" s="5">
        <v>4</v>
      </c>
      <c r="H1168" s="5" t="s">
        <v>56</v>
      </c>
      <c r="I1168" s="5" t="s">
        <v>48</v>
      </c>
      <c r="J1168" s="7">
        <v>15202</v>
      </c>
      <c r="K1168" s="7">
        <f t="shared" si="200"/>
        <v>4560.5999999999995</v>
      </c>
      <c r="L1168" s="7">
        <f t="shared" si="201"/>
        <v>10641.400000000001</v>
      </c>
      <c r="M1168" s="7">
        <v>5602</v>
      </c>
      <c r="N1168" s="5" t="s">
        <v>43</v>
      </c>
      <c r="O1168" s="5">
        <v>25</v>
      </c>
      <c r="P1168" s="7">
        <f t="shared" si="202"/>
        <v>19002.5</v>
      </c>
      <c r="Q1168" s="7">
        <f t="shared" si="203"/>
        <v>45606</v>
      </c>
      <c r="R1168" s="7" t="str">
        <f t="shared" si="204"/>
        <v>Normal</v>
      </c>
      <c r="S1168" s="5">
        <v>4</v>
      </c>
      <c r="T1168" s="5">
        <v>3</v>
      </c>
      <c r="U1168" s="5" t="str" cm="1">
        <f t="array" ref="U1168">_xlfn.IFS(T1168=1,"Poor",T1168=2,"Fair",T1168=3,"Good",T1168=4,"Excellent")</f>
        <v>Good</v>
      </c>
      <c r="V1168" s="5" t="s">
        <v>43</v>
      </c>
      <c r="W1168" s="5">
        <v>2</v>
      </c>
      <c r="X1168" s="28">
        <f t="shared" ca="1" si="205"/>
        <v>45381</v>
      </c>
      <c r="Y1168" s="28">
        <f t="shared" ca="1" si="206"/>
        <v>46842</v>
      </c>
      <c r="Z1168" s="28" t="str">
        <f t="shared" ca="1" si="207"/>
        <v>Upcoming</v>
      </c>
      <c r="AA1168" s="5" t="str" cm="1">
        <f t="array" ref="AA1168">_xlfn.IFS(W1168&gt;10,"Veteran",W1168&gt;=6,"Experienced",W1168&gt;=2,"Developing",W1168&gt;=0,"New")</f>
        <v>Developing</v>
      </c>
      <c r="AB1168" s="5" t="str" cm="1">
        <f t="array" ref="AB1168">_xlfn.IFS(G1168=1,"Junior",G1168=2,"Mid-Level",G1168=3,"Senior",G1168=4,"Lead",G1168=5,"Principal")&amp;" "&amp;TRIM(PROPER(H1168))</f>
        <v>Lead Manager</v>
      </c>
      <c r="AC1168" s="19" t="str">
        <f t="shared" ca="1" si="208"/>
        <v>Ma-Res-2024-1167 is a Lead Manager in the Research &amp; Development department, aged 48, married and has been with the Company for 2years</v>
      </c>
    </row>
    <row r="1169" spans="1:29">
      <c r="A1169" s="18" t="str">
        <f t="shared" ca="1" si="198"/>
        <v>Sa-Sal-2024-1168</v>
      </c>
      <c r="B1169" s="5">
        <v>35</v>
      </c>
      <c r="C1169" s="5" t="str">
        <f t="shared" si="199"/>
        <v>30-39</v>
      </c>
      <c r="D1169" s="5" t="s">
        <v>35</v>
      </c>
      <c r="E1169" s="5" t="s">
        <v>37</v>
      </c>
      <c r="F1169" s="5" t="s">
        <v>46</v>
      </c>
      <c r="G1169" s="5">
        <v>2</v>
      </c>
      <c r="H1169" s="5" t="s">
        <v>40</v>
      </c>
      <c r="I1169" s="5" t="s">
        <v>52</v>
      </c>
      <c r="J1169" s="7">
        <v>5440</v>
      </c>
      <c r="K1169" s="7">
        <f t="shared" si="200"/>
        <v>816</v>
      </c>
      <c r="L1169" s="7">
        <f t="shared" si="201"/>
        <v>4624</v>
      </c>
      <c r="M1169" s="7">
        <v>22098</v>
      </c>
      <c r="N1169" s="5" t="s">
        <v>35</v>
      </c>
      <c r="O1169" s="5">
        <v>14</v>
      </c>
      <c r="P1169" s="7">
        <f t="shared" si="202"/>
        <v>6201.6</v>
      </c>
      <c r="Q1169" s="7">
        <f t="shared" si="203"/>
        <v>9139.2000000000044</v>
      </c>
      <c r="R1169" s="7" t="str">
        <f t="shared" si="204"/>
        <v>Normal</v>
      </c>
      <c r="S1169" s="5">
        <v>3</v>
      </c>
      <c r="T1169" s="5">
        <v>2</v>
      </c>
      <c r="U1169" s="5" t="str" cm="1">
        <f t="array" ref="U1169">_xlfn.IFS(T1169=1,"Poor",T1169=2,"Fair",T1169=3,"Good",T1169=4,"Excellent")</f>
        <v>Fair</v>
      </c>
      <c r="V1169" s="5" t="s">
        <v>35</v>
      </c>
      <c r="W1169" s="5">
        <v>2</v>
      </c>
      <c r="X1169" s="28">
        <f t="shared" ca="1" si="205"/>
        <v>45381</v>
      </c>
      <c r="Y1169" s="28">
        <f t="shared" ca="1" si="206"/>
        <v>46842</v>
      </c>
      <c r="Z1169" s="28" t="str">
        <f t="shared" ca="1" si="207"/>
        <v>Upcoming</v>
      </c>
      <c r="AA1169" s="5" t="str" cm="1">
        <f t="array" ref="AA1169">_xlfn.IFS(W1169&gt;10,"Veteran",W1169&gt;=6,"Experienced",W1169&gt;=2,"Developing",W1169&gt;=0,"New")</f>
        <v>Developing</v>
      </c>
      <c r="AB1169" s="5" t="str" cm="1">
        <f t="array" ref="AB1169">_xlfn.IFS(G1169=1,"Junior",G1169=2,"Mid-Level",G1169=3,"Senior",G1169=4,"Lead",G1169=5,"Principal")&amp;" "&amp;TRIM(PROPER(H1169))</f>
        <v>Mid-Level Sales Executive</v>
      </c>
      <c r="AC1169" s="19" t="str">
        <f t="shared" ca="1" si="208"/>
        <v>Sa-Sal-2024-1168 is a Mid-Level Sales Executive in the Sales department, aged 35, divorced and has been with the Company for 2years</v>
      </c>
    </row>
    <row r="1170" spans="1:29">
      <c r="A1170" s="18" t="str">
        <f t="shared" ca="1" si="198"/>
        <v>Re-Res-2020-1169</v>
      </c>
      <c r="B1170" s="5">
        <v>24</v>
      </c>
      <c r="C1170" s="5" t="str">
        <f t="shared" si="199"/>
        <v>20-29</v>
      </c>
      <c r="D1170" s="5" t="s">
        <v>43</v>
      </c>
      <c r="E1170" s="5" t="s">
        <v>45</v>
      </c>
      <c r="F1170" s="5" t="s">
        <v>39</v>
      </c>
      <c r="G1170" s="5">
        <v>1</v>
      </c>
      <c r="H1170" s="5" t="s">
        <v>47</v>
      </c>
      <c r="I1170" s="5" t="s">
        <v>41</v>
      </c>
      <c r="J1170" s="7">
        <v>3760</v>
      </c>
      <c r="K1170" s="7">
        <f t="shared" si="200"/>
        <v>564</v>
      </c>
      <c r="L1170" s="7">
        <f t="shared" si="201"/>
        <v>3196</v>
      </c>
      <c r="M1170" s="7">
        <v>17218</v>
      </c>
      <c r="N1170" s="5" t="s">
        <v>35</v>
      </c>
      <c r="O1170" s="5">
        <v>13</v>
      </c>
      <c r="P1170" s="7">
        <f t="shared" si="202"/>
        <v>4248.7999999999993</v>
      </c>
      <c r="Q1170" s="7">
        <f t="shared" si="203"/>
        <v>5865.5999999999913</v>
      </c>
      <c r="R1170" s="7" t="str">
        <f t="shared" si="204"/>
        <v>Normal</v>
      </c>
      <c r="S1170" s="5">
        <v>3</v>
      </c>
      <c r="T1170" s="5">
        <v>3</v>
      </c>
      <c r="U1170" s="5" t="str" cm="1">
        <f t="array" ref="U1170">_xlfn.IFS(T1170=1,"Poor",T1170=2,"Fair",T1170=3,"Good",T1170=4,"Excellent")</f>
        <v>Good</v>
      </c>
      <c r="V1170" s="5" t="s">
        <v>35</v>
      </c>
      <c r="W1170" s="5">
        <v>6</v>
      </c>
      <c r="X1170" s="28">
        <f t="shared" ca="1" si="205"/>
        <v>43920</v>
      </c>
      <c r="Y1170" s="28">
        <f t="shared" ca="1" si="206"/>
        <v>46842</v>
      </c>
      <c r="Z1170" s="28" t="str">
        <f t="shared" ca="1" si="207"/>
        <v>Upcoming</v>
      </c>
      <c r="AA1170" s="5" t="str" cm="1">
        <f t="array" ref="AA1170">_xlfn.IFS(W1170&gt;10,"Veteran",W1170&gt;=6,"Experienced",W1170&gt;=2,"Developing",W1170&gt;=0,"New")</f>
        <v>Experienced</v>
      </c>
      <c r="AB1170" s="5" t="str" cm="1">
        <f t="array" ref="AB1170">_xlfn.IFS(G1170=1,"Junior",G1170=2,"Mid-Level",G1170=3,"Senior",G1170=4,"Lead",G1170=5,"Principal")&amp;" "&amp;TRIM(PROPER(H1170))</f>
        <v>Junior Research Scientist</v>
      </c>
      <c r="AC1170" s="19" t="str">
        <f t="shared" ca="1" si="208"/>
        <v>Re-Res-2020-1169 is a Junior Research Scientist in the Research &amp; Development department, aged 24, single and has been with the Company for 6years</v>
      </c>
    </row>
    <row r="1171" spans="1:29">
      <c r="A1171" s="18" t="str">
        <f t="shared" ca="1" si="198"/>
        <v>Re-Res-2023-1170</v>
      </c>
      <c r="B1171" s="5">
        <v>27</v>
      </c>
      <c r="C1171" s="5" t="str">
        <f t="shared" si="199"/>
        <v>20-29</v>
      </c>
      <c r="D1171" s="5" t="s">
        <v>43</v>
      </c>
      <c r="E1171" s="5" t="s">
        <v>45</v>
      </c>
      <c r="F1171" s="5" t="s">
        <v>39</v>
      </c>
      <c r="G1171" s="5">
        <v>1</v>
      </c>
      <c r="H1171" s="5" t="s">
        <v>47</v>
      </c>
      <c r="I1171" s="5" t="s">
        <v>48</v>
      </c>
      <c r="J1171" s="7">
        <v>3517</v>
      </c>
      <c r="K1171" s="7">
        <f t="shared" si="200"/>
        <v>527.54999999999995</v>
      </c>
      <c r="L1171" s="7">
        <f t="shared" si="201"/>
        <v>2989.45</v>
      </c>
      <c r="M1171" s="7">
        <v>22490</v>
      </c>
      <c r="N1171" s="5" t="s">
        <v>43</v>
      </c>
      <c r="O1171" s="5">
        <v>17</v>
      </c>
      <c r="P1171" s="7">
        <f t="shared" si="202"/>
        <v>4114.8899999999994</v>
      </c>
      <c r="Q1171" s="7">
        <f t="shared" si="203"/>
        <v>7174.679999999993</v>
      </c>
      <c r="R1171" s="7" t="str">
        <f t="shared" si="204"/>
        <v>Normal</v>
      </c>
      <c r="S1171" s="5">
        <v>3</v>
      </c>
      <c r="T1171" s="5">
        <v>3</v>
      </c>
      <c r="U1171" s="5" t="str" cm="1">
        <f t="array" ref="U1171">_xlfn.IFS(T1171=1,"Poor",T1171=2,"Fair",T1171=3,"Good",T1171=4,"Excellent")</f>
        <v>Good</v>
      </c>
      <c r="V1171" s="5" t="s">
        <v>43</v>
      </c>
      <c r="W1171" s="5">
        <v>3</v>
      </c>
      <c r="X1171" s="28">
        <f t="shared" ca="1" si="205"/>
        <v>45015</v>
      </c>
      <c r="Y1171" s="28">
        <f t="shared" ca="1" si="206"/>
        <v>46476</v>
      </c>
      <c r="Z1171" s="28" t="str">
        <f t="shared" ca="1" si="207"/>
        <v>Due Soon</v>
      </c>
      <c r="AA1171" s="5" t="str" cm="1">
        <f t="array" ref="AA1171">_xlfn.IFS(W1171&gt;10,"Veteran",W1171&gt;=6,"Experienced",W1171&gt;=2,"Developing",W1171&gt;=0,"New")</f>
        <v>Developing</v>
      </c>
      <c r="AB1171" s="5" t="str" cm="1">
        <f t="array" ref="AB1171">_xlfn.IFS(G1171=1,"Junior",G1171=2,"Mid-Level",G1171=3,"Senior",G1171=4,"Lead",G1171=5,"Principal")&amp;" "&amp;TRIM(PROPER(H1171))</f>
        <v>Junior Research Scientist</v>
      </c>
      <c r="AC1171" s="19" t="str">
        <f t="shared" ca="1" si="208"/>
        <v>Re-Res-2023-1170 is a Junior Research Scientist in the Research &amp; Development department, aged 27, married and has been with the Company for 3years</v>
      </c>
    </row>
    <row r="1172" spans="1:29">
      <c r="A1172" s="18" t="str">
        <f t="shared" ca="1" si="198"/>
        <v>Re-Res-2022-1171</v>
      </c>
      <c r="B1172" s="5">
        <v>27</v>
      </c>
      <c r="C1172" s="5" t="str">
        <f t="shared" si="199"/>
        <v>20-29</v>
      </c>
      <c r="D1172" s="5" t="s">
        <v>43</v>
      </c>
      <c r="E1172" s="5" t="s">
        <v>45</v>
      </c>
      <c r="F1172" s="5" t="s">
        <v>46</v>
      </c>
      <c r="G1172" s="5">
        <v>1</v>
      </c>
      <c r="H1172" s="5" t="s">
        <v>47</v>
      </c>
      <c r="I1172" s="5" t="s">
        <v>41</v>
      </c>
      <c r="J1172" s="7">
        <v>2580</v>
      </c>
      <c r="K1172" s="7">
        <f t="shared" si="200"/>
        <v>180.60000000000002</v>
      </c>
      <c r="L1172" s="7">
        <f t="shared" si="201"/>
        <v>2399.4</v>
      </c>
      <c r="M1172" s="7">
        <v>6297</v>
      </c>
      <c r="N1172" s="5" t="s">
        <v>43</v>
      </c>
      <c r="O1172" s="5">
        <v>13</v>
      </c>
      <c r="P1172" s="7">
        <f t="shared" si="202"/>
        <v>2915.3999999999996</v>
      </c>
      <c r="Q1172" s="7">
        <f t="shared" si="203"/>
        <v>4024.7999999999956</v>
      </c>
      <c r="R1172" s="7" t="str">
        <f t="shared" si="204"/>
        <v>Normal</v>
      </c>
      <c r="S1172" s="5">
        <v>3</v>
      </c>
      <c r="T1172" s="5">
        <v>2</v>
      </c>
      <c r="U1172" s="5" t="str" cm="1">
        <f t="array" ref="U1172">_xlfn.IFS(T1172=1,"Poor",T1172=2,"Fair",T1172=3,"Good",T1172=4,"Excellent")</f>
        <v>Fair</v>
      </c>
      <c r="V1172" s="5" t="s">
        <v>43</v>
      </c>
      <c r="W1172" s="5">
        <v>4</v>
      </c>
      <c r="X1172" s="28">
        <f t="shared" ca="1" si="205"/>
        <v>44650</v>
      </c>
      <c r="Y1172" s="28">
        <f t="shared" ca="1" si="206"/>
        <v>46842</v>
      </c>
      <c r="Z1172" s="28" t="str">
        <f t="shared" ca="1" si="207"/>
        <v>Upcoming</v>
      </c>
      <c r="AA1172" s="5" t="str" cm="1">
        <f t="array" ref="AA1172">_xlfn.IFS(W1172&gt;10,"Veteran",W1172&gt;=6,"Experienced",W1172&gt;=2,"Developing",W1172&gt;=0,"New")</f>
        <v>Developing</v>
      </c>
      <c r="AB1172" s="5" t="str" cm="1">
        <f t="array" ref="AB1172">_xlfn.IFS(G1172=1,"Junior",G1172=2,"Mid-Level",G1172=3,"Senior",G1172=4,"Lead",G1172=5,"Principal")&amp;" "&amp;TRIM(PROPER(H1172))</f>
        <v>Junior Research Scientist</v>
      </c>
      <c r="AC1172" s="19" t="str">
        <f t="shared" ca="1" si="208"/>
        <v>Re-Res-2022-1171 is a Junior Research Scientist in the Research &amp; Development department, aged 27, single and has been with the Company for 4years</v>
      </c>
    </row>
    <row r="1173" spans="1:29">
      <c r="A1173" s="18" t="str">
        <f t="shared" ca="1" si="198"/>
        <v>La-Res-2022-1172</v>
      </c>
      <c r="B1173" s="5">
        <v>40</v>
      </c>
      <c r="C1173" s="5" t="str">
        <f t="shared" si="199"/>
        <v>40-49</v>
      </c>
      <c r="D1173" s="5" t="s">
        <v>35</v>
      </c>
      <c r="E1173" s="5" t="s">
        <v>45</v>
      </c>
      <c r="F1173" s="5" t="s">
        <v>46</v>
      </c>
      <c r="G1173" s="5">
        <v>1</v>
      </c>
      <c r="H1173" s="5" t="s">
        <v>50</v>
      </c>
      <c r="I1173" s="5" t="s">
        <v>41</v>
      </c>
      <c r="J1173" s="7">
        <v>2166</v>
      </c>
      <c r="K1173" s="7">
        <f t="shared" si="200"/>
        <v>151.62</v>
      </c>
      <c r="L1173" s="7">
        <f t="shared" si="201"/>
        <v>2014.38</v>
      </c>
      <c r="M1173" s="7">
        <v>3339</v>
      </c>
      <c r="N1173" s="5" t="s">
        <v>35</v>
      </c>
      <c r="O1173" s="5">
        <v>14</v>
      </c>
      <c r="P1173" s="7">
        <f t="shared" si="202"/>
        <v>2469.2400000000002</v>
      </c>
      <c r="Q1173" s="7">
        <f t="shared" si="203"/>
        <v>3638.8800000000028</v>
      </c>
      <c r="R1173" s="7" t="str">
        <f t="shared" si="204"/>
        <v>Normal</v>
      </c>
      <c r="S1173" s="5">
        <v>3</v>
      </c>
      <c r="T1173" s="5">
        <v>1</v>
      </c>
      <c r="U1173" s="5" t="str" cm="1">
        <f t="array" ref="U1173">_xlfn.IFS(T1173=1,"Poor",T1173=2,"Fair",T1173=3,"Good",T1173=4,"Excellent")</f>
        <v>Poor</v>
      </c>
      <c r="V1173" s="5" t="s">
        <v>35</v>
      </c>
      <c r="W1173" s="5">
        <v>4</v>
      </c>
      <c r="X1173" s="28">
        <f t="shared" ca="1" si="205"/>
        <v>44650</v>
      </c>
      <c r="Y1173" s="28">
        <f t="shared" ca="1" si="206"/>
        <v>46842</v>
      </c>
      <c r="Z1173" s="28" t="str">
        <f t="shared" ca="1" si="207"/>
        <v>Upcoming</v>
      </c>
      <c r="AA1173" s="5" t="str" cm="1">
        <f t="array" ref="AA1173">_xlfn.IFS(W1173&gt;10,"Veteran",W1173&gt;=6,"Experienced",W1173&gt;=2,"Developing",W1173&gt;=0,"New")</f>
        <v>Developing</v>
      </c>
      <c r="AB1173" s="5" t="str" cm="1">
        <f t="array" ref="AB1173">_xlfn.IFS(G1173=1,"Junior",G1173=2,"Mid-Level",G1173=3,"Senior",G1173=4,"Lead",G1173=5,"Principal")&amp;" "&amp;TRIM(PROPER(H1173))</f>
        <v>Junior Laboratory Technician</v>
      </c>
      <c r="AC1173" s="19" t="str">
        <f t="shared" ca="1" si="208"/>
        <v>La-Res-2022-1172 is a Junior Laboratory Technician in the Research &amp; Development department, aged 40, single and has been with the Company for 4years</v>
      </c>
    </row>
    <row r="1174" spans="1:29">
      <c r="A1174" s="18" t="str">
        <f t="shared" ca="1" si="198"/>
        <v>Sa-Sal-2021-1173</v>
      </c>
      <c r="B1174" s="5">
        <v>29</v>
      </c>
      <c r="C1174" s="5" t="str">
        <f t="shared" si="199"/>
        <v>20-29</v>
      </c>
      <c r="D1174" s="5" t="s">
        <v>43</v>
      </c>
      <c r="E1174" s="5" t="s">
        <v>37</v>
      </c>
      <c r="F1174" s="5" t="s">
        <v>46</v>
      </c>
      <c r="G1174" s="5">
        <v>2</v>
      </c>
      <c r="H1174" s="5" t="s">
        <v>40</v>
      </c>
      <c r="I1174" s="5" t="s">
        <v>41</v>
      </c>
      <c r="J1174" s="7">
        <v>5869</v>
      </c>
      <c r="K1174" s="7">
        <f t="shared" si="200"/>
        <v>880.35</v>
      </c>
      <c r="L1174" s="7">
        <f t="shared" si="201"/>
        <v>4988.6499999999996</v>
      </c>
      <c r="M1174" s="7">
        <v>23413</v>
      </c>
      <c r="N1174" s="5" t="s">
        <v>43</v>
      </c>
      <c r="O1174" s="5">
        <v>11</v>
      </c>
      <c r="P1174" s="7">
        <f t="shared" si="202"/>
        <v>6514.59</v>
      </c>
      <c r="Q1174" s="7">
        <f t="shared" si="203"/>
        <v>7747.0800000000017</v>
      </c>
      <c r="R1174" s="7" t="str">
        <f t="shared" si="204"/>
        <v>Normal</v>
      </c>
      <c r="S1174" s="5">
        <v>3</v>
      </c>
      <c r="T1174" s="5">
        <v>3</v>
      </c>
      <c r="U1174" s="5" t="str" cm="1">
        <f t="array" ref="U1174">_xlfn.IFS(T1174=1,"Poor",T1174=2,"Fair",T1174=3,"Good",T1174=4,"Excellent")</f>
        <v>Good</v>
      </c>
      <c r="V1174" s="5" t="s">
        <v>43</v>
      </c>
      <c r="W1174" s="5">
        <v>5</v>
      </c>
      <c r="X1174" s="28">
        <f t="shared" ca="1" si="205"/>
        <v>44285</v>
      </c>
      <c r="Y1174" s="28">
        <f t="shared" ca="1" si="206"/>
        <v>46476</v>
      </c>
      <c r="Z1174" s="28" t="str">
        <f t="shared" ca="1" si="207"/>
        <v>Due Soon</v>
      </c>
      <c r="AA1174" s="5" t="str" cm="1">
        <f t="array" ref="AA1174">_xlfn.IFS(W1174&gt;10,"Veteran",W1174&gt;=6,"Experienced",W1174&gt;=2,"Developing",W1174&gt;=0,"New")</f>
        <v>Developing</v>
      </c>
      <c r="AB1174" s="5" t="str" cm="1">
        <f t="array" ref="AB1174">_xlfn.IFS(G1174=1,"Junior",G1174=2,"Mid-Level",G1174=3,"Senior",G1174=4,"Lead",G1174=5,"Principal")&amp;" "&amp;TRIM(PROPER(H1174))</f>
        <v>Mid-Level Sales Executive</v>
      </c>
      <c r="AC1174" s="19" t="str">
        <f t="shared" ca="1" si="208"/>
        <v>Sa-Sal-2021-1173 is a Mid-Level Sales Executive in the Sales department, aged 29, single and has been with the Company for 5years</v>
      </c>
    </row>
    <row r="1175" spans="1:29">
      <c r="A1175" s="18" t="str">
        <f t="shared" ca="1" si="198"/>
        <v>He-Res-2023-1174</v>
      </c>
      <c r="B1175" s="5">
        <v>36</v>
      </c>
      <c r="C1175" s="5" t="str">
        <f t="shared" si="199"/>
        <v>30-39</v>
      </c>
      <c r="D1175" s="5" t="s">
        <v>43</v>
      </c>
      <c r="E1175" s="5" t="s">
        <v>45</v>
      </c>
      <c r="F1175" s="5" t="s">
        <v>39</v>
      </c>
      <c r="G1175" s="5">
        <v>3</v>
      </c>
      <c r="H1175" s="5" t="s">
        <v>54</v>
      </c>
      <c r="I1175" s="5" t="s">
        <v>48</v>
      </c>
      <c r="J1175" s="7">
        <v>8008</v>
      </c>
      <c r="K1175" s="7">
        <f t="shared" si="200"/>
        <v>1761.76</v>
      </c>
      <c r="L1175" s="7">
        <f t="shared" si="201"/>
        <v>6246.24</v>
      </c>
      <c r="M1175" s="7">
        <v>22792</v>
      </c>
      <c r="N1175" s="5" t="s">
        <v>43</v>
      </c>
      <c r="O1175" s="5">
        <v>12</v>
      </c>
      <c r="P1175" s="7">
        <f t="shared" si="202"/>
        <v>8968.9600000000009</v>
      </c>
      <c r="Q1175" s="7">
        <f t="shared" si="203"/>
        <v>11531.520000000011</v>
      </c>
      <c r="R1175" s="7" t="str">
        <f t="shared" si="204"/>
        <v>Normal</v>
      </c>
      <c r="S1175" s="5">
        <v>3</v>
      </c>
      <c r="T1175" s="5">
        <v>3</v>
      </c>
      <c r="U1175" s="5" t="str" cm="1">
        <f t="array" ref="U1175">_xlfn.IFS(T1175=1,"Poor",T1175=2,"Fair",T1175=3,"Good",T1175=4,"Excellent")</f>
        <v>Good</v>
      </c>
      <c r="V1175" s="5" t="s">
        <v>43</v>
      </c>
      <c r="W1175" s="5">
        <v>3</v>
      </c>
      <c r="X1175" s="28">
        <f t="shared" ca="1" si="205"/>
        <v>45015</v>
      </c>
      <c r="Y1175" s="28">
        <f t="shared" ca="1" si="206"/>
        <v>46476</v>
      </c>
      <c r="Z1175" s="28" t="str">
        <f t="shared" ca="1" si="207"/>
        <v>Due Soon</v>
      </c>
      <c r="AA1175" s="5" t="str" cm="1">
        <f t="array" ref="AA1175">_xlfn.IFS(W1175&gt;10,"Veteran",W1175&gt;=6,"Experienced",W1175&gt;=2,"Developing",W1175&gt;=0,"New")</f>
        <v>Developing</v>
      </c>
      <c r="AB1175" s="5" t="str" cm="1">
        <f t="array" ref="AB1175">_xlfn.IFS(G1175=1,"Junior",G1175=2,"Mid-Level",G1175=3,"Senior",G1175=4,"Lead",G1175=5,"Principal")&amp;" "&amp;TRIM(PROPER(H1175))</f>
        <v>Senior Healthcare Representative</v>
      </c>
      <c r="AC1175" s="19" t="str">
        <f t="shared" ca="1" si="208"/>
        <v>He-Res-2023-1174 is a Senior Healthcare Representative in the Research &amp; Development department, aged 36, married and has been with the Company for 3years</v>
      </c>
    </row>
    <row r="1176" spans="1:29">
      <c r="A1176" s="18" t="str">
        <f t="shared" ca="1" si="198"/>
        <v>Ma-Res-2019-1175</v>
      </c>
      <c r="B1176" s="5">
        <v>25</v>
      </c>
      <c r="C1176" s="5" t="str">
        <f t="shared" si="199"/>
        <v>20-29</v>
      </c>
      <c r="D1176" s="5" t="s">
        <v>43</v>
      </c>
      <c r="E1176" s="5" t="s">
        <v>45</v>
      </c>
      <c r="F1176" s="5" t="s">
        <v>46</v>
      </c>
      <c r="G1176" s="5">
        <v>2</v>
      </c>
      <c r="H1176" s="5" t="s">
        <v>53</v>
      </c>
      <c r="I1176" s="5" t="s">
        <v>52</v>
      </c>
      <c r="J1176" s="7">
        <v>5206</v>
      </c>
      <c r="K1176" s="7">
        <f t="shared" si="200"/>
        <v>780.9</v>
      </c>
      <c r="L1176" s="7">
        <f t="shared" si="201"/>
        <v>4425.1000000000004</v>
      </c>
      <c r="M1176" s="7">
        <v>4973</v>
      </c>
      <c r="N1176" s="5" t="s">
        <v>43</v>
      </c>
      <c r="O1176" s="5">
        <v>17</v>
      </c>
      <c r="P1176" s="7">
        <f t="shared" si="202"/>
        <v>6091.0199999999995</v>
      </c>
      <c r="Q1176" s="7">
        <f t="shared" si="203"/>
        <v>10620.239999999994</v>
      </c>
      <c r="R1176" s="7" t="str">
        <f t="shared" si="204"/>
        <v>Normal</v>
      </c>
      <c r="S1176" s="5">
        <v>3</v>
      </c>
      <c r="T1176" s="5">
        <v>3</v>
      </c>
      <c r="U1176" s="5" t="str" cm="1">
        <f t="array" ref="U1176">_xlfn.IFS(T1176=1,"Poor",T1176=2,"Fair",T1176=3,"Good",T1176=4,"Excellent")</f>
        <v>Good</v>
      </c>
      <c r="V1176" s="5" t="s">
        <v>43</v>
      </c>
      <c r="W1176" s="5">
        <v>7</v>
      </c>
      <c r="X1176" s="28">
        <f t="shared" ca="1" si="205"/>
        <v>43554</v>
      </c>
      <c r="Y1176" s="28">
        <f t="shared" ca="1" si="206"/>
        <v>46476</v>
      </c>
      <c r="Z1176" s="28" t="str">
        <f t="shared" ca="1" si="207"/>
        <v>Due Soon</v>
      </c>
      <c r="AA1176" s="5" t="str" cm="1">
        <f t="array" ref="AA1176">_xlfn.IFS(W1176&gt;10,"Veteran",W1176&gt;=6,"Experienced",W1176&gt;=2,"Developing",W1176&gt;=0,"New")</f>
        <v>Experienced</v>
      </c>
      <c r="AB1176" s="5" t="str" cm="1">
        <f t="array" ref="AB1176">_xlfn.IFS(G1176=1,"Junior",G1176=2,"Mid-Level",G1176=3,"Senior",G1176=4,"Lead",G1176=5,"Principal")&amp;" "&amp;TRIM(PROPER(H1176))</f>
        <v>Mid-Level Manufacturing Director</v>
      </c>
      <c r="AC1176" s="19" t="str">
        <f t="shared" ca="1" si="208"/>
        <v>Ma-Res-2019-1175 is a Mid-Level Manufacturing Director in the Research &amp; Development department, aged 25, divorced and has been with the Company for 7years</v>
      </c>
    </row>
    <row r="1177" spans="1:29">
      <c r="A1177" s="18" t="str">
        <f t="shared" ca="1" si="198"/>
        <v>Ma-Res-2021-1176</v>
      </c>
      <c r="B1177" s="5">
        <v>39</v>
      </c>
      <c r="C1177" s="5" t="str">
        <f t="shared" si="199"/>
        <v>30-39</v>
      </c>
      <c r="D1177" s="5" t="s">
        <v>43</v>
      </c>
      <c r="E1177" s="5" t="s">
        <v>45</v>
      </c>
      <c r="F1177" s="5" t="s">
        <v>46</v>
      </c>
      <c r="G1177" s="5">
        <v>2</v>
      </c>
      <c r="H1177" s="5" t="s">
        <v>53</v>
      </c>
      <c r="I1177" s="5" t="s">
        <v>48</v>
      </c>
      <c r="J1177" s="7">
        <v>5295</v>
      </c>
      <c r="K1177" s="7">
        <f t="shared" si="200"/>
        <v>794.25</v>
      </c>
      <c r="L1177" s="7">
        <f t="shared" si="201"/>
        <v>4500.75</v>
      </c>
      <c r="M1177" s="7">
        <v>7693</v>
      </c>
      <c r="N1177" s="5" t="s">
        <v>43</v>
      </c>
      <c r="O1177" s="5">
        <v>21</v>
      </c>
      <c r="P1177" s="7">
        <f t="shared" si="202"/>
        <v>6406.95</v>
      </c>
      <c r="Q1177" s="7">
        <f t="shared" si="203"/>
        <v>13343.399999999998</v>
      </c>
      <c r="R1177" s="7" t="str">
        <f t="shared" si="204"/>
        <v>Normal</v>
      </c>
      <c r="S1177" s="5">
        <v>4</v>
      </c>
      <c r="T1177" s="5">
        <v>3</v>
      </c>
      <c r="U1177" s="5" t="str" cm="1">
        <f t="array" ref="U1177">_xlfn.IFS(T1177=1,"Poor",T1177=2,"Fair",T1177=3,"Good",T1177=4,"Excellent")</f>
        <v>Good</v>
      </c>
      <c r="V1177" s="5" t="s">
        <v>43</v>
      </c>
      <c r="W1177" s="5">
        <v>5</v>
      </c>
      <c r="X1177" s="28">
        <f t="shared" ca="1" si="205"/>
        <v>44285</v>
      </c>
      <c r="Y1177" s="28">
        <f t="shared" ca="1" si="206"/>
        <v>46476</v>
      </c>
      <c r="Z1177" s="28" t="str">
        <f t="shared" ca="1" si="207"/>
        <v>Due Soon</v>
      </c>
      <c r="AA1177" s="5" t="str" cm="1">
        <f t="array" ref="AA1177">_xlfn.IFS(W1177&gt;10,"Veteran",W1177&gt;=6,"Experienced",W1177&gt;=2,"Developing",W1177&gt;=0,"New")</f>
        <v>Developing</v>
      </c>
      <c r="AB1177" s="5" t="str" cm="1">
        <f t="array" ref="AB1177">_xlfn.IFS(G1177=1,"Junior",G1177=2,"Mid-Level",G1177=3,"Senior",G1177=4,"Lead",G1177=5,"Principal")&amp;" "&amp;TRIM(PROPER(H1177))</f>
        <v>Mid-Level Manufacturing Director</v>
      </c>
      <c r="AC1177" s="19" t="str">
        <f t="shared" ca="1" si="208"/>
        <v>Ma-Res-2021-1176 is a Mid-Level Manufacturing Director in the Research &amp; Development department, aged 39, married and has been with the Company for 5years</v>
      </c>
    </row>
    <row r="1178" spans="1:29">
      <c r="A1178" s="18" t="str">
        <f t="shared" ca="1" si="198"/>
        <v>Re-Res-2022-1177</v>
      </c>
      <c r="B1178" s="5">
        <v>49</v>
      </c>
      <c r="C1178" s="5" t="str">
        <f t="shared" si="199"/>
        <v>40-49</v>
      </c>
      <c r="D1178" s="5" t="s">
        <v>43</v>
      </c>
      <c r="E1178" s="5" t="s">
        <v>45</v>
      </c>
      <c r="F1178" s="5" t="s">
        <v>39</v>
      </c>
      <c r="G1178" s="5">
        <v>4</v>
      </c>
      <c r="H1178" s="5" t="s">
        <v>58</v>
      </c>
      <c r="I1178" s="5" t="s">
        <v>48</v>
      </c>
      <c r="J1178" s="7">
        <v>16413</v>
      </c>
      <c r="K1178" s="7">
        <f t="shared" si="200"/>
        <v>4923.8999999999996</v>
      </c>
      <c r="L1178" s="7">
        <f t="shared" si="201"/>
        <v>11489.1</v>
      </c>
      <c r="M1178" s="7">
        <v>3498</v>
      </c>
      <c r="N1178" s="5" t="s">
        <v>43</v>
      </c>
      <c r="O1178" s="5">
        <v>16</v>
      </c>
      <c r="P1178" s="7">
        <f t="shared" si="202"/>
        <v>19039.079999999998</v>
      </c>
      <c r="Q1178" s="7">
        <f t="shared" si="203"/>
        <v>31512.959999999977</v>
      </c>
      <c r="R1178" s="7" t="str">
        <f t="shared" si="204"/>
        <v>Normal</v>
      </c>
      <c r="S1178" s="5">
        <v>3</v>
      </c>
      <c r="T1178" s="5">
        <v>3</v>
      </c>
      <c r="U1178" s="5" t="str" cm="1">
        <f t="array" ref="U1178">_xlfn.IFS(T1178=1,"Poor",T1178=2,"Fair",T1178=3,"Good",T1178=4,"Excellent")</f>
        <v>Good</v>
      </c>
      <c r="V1178" s="5" t="s">
        <v>43</v>
      </c>
      <c r="W1178" s="5">
        <v>4</v>
      </c>
      <c r="X1178" s="28">
        <f t="shared" ca="1" si="205"/>
        <v>44650</v>
      </c>
      <c r="Y1178" s="28">
        <f t="shared" ca="1" si="206"/>
        <v>46842</v>
      </c>
      <c r="Z1178" s="28" t="str">
        <f t="shared" ca="1" si="207"/>
        <v>Upcoming</v>
      </c>
      <c r="AA1178" s="5" t="str" cm="1">
        <f t="array" ref="AA1178">_xlfn.IFS(W1178&gt;10,"Veteran",W1178&gt;=6,"Experienced",W1178&gt;=2,"Developing",W1178&gt;=0,"New")</f>
        <v>Developing</v>
      </c>
      <c r="AB1178" s="5" t="str" cm="1">
        <f t="array" ref="AB1178">_xlfn.IFS(G1178=1,"Junior",G1178=2,"Mid-Level",G1178=3,"Senior",G1178=4,"Lead",G1178=5,"Principal")&amp;" "&amp;TRIM(PROPER(H1178))</f>
        <v>Lead Research Director</v>
      </c>
      <c r="AC1178" s="19" t="str">
        <f t="shared" ca="1" si="208"/>
        <v>Re-Res-2022-1177 is a Lead Research Director in the Research &amp; Development department, aged 49, married and has been with the Company for 4years</v>
      </c>
    </row>
    <row r="1179" spans="1:29">
      <c r="A1179" s="18" t="str">
        <f t="shared" ca="1" si="198"/>
        <v>Re-Res-2012-1178</v>
      </c>
      <c r="B1179" s="5">
        <v>50</v>
      </c>
      <c r="C1179" s="5" t="str">
        <f t="shared" si="199"/>
        <v>50+</v>
      </c>
      <c r="D1179" s="5" t="s">
        <v>43</v>
      </c>
      <c r="E1179" s="5" t="s">
        <v>45</v>
      </c>
      <c r="F1179" s="5" t="s">
        <v>39</v>
      </c>
      <c r="G1179" s="5">
        <v>3</v>
      </c>
      <c r="H1179" s="5" t="s">
        <v>58</v>
      </c>
      <c r="I1179" s="5" t="s">
        <v>52</v>
      </c>
      <c r="J1179" s="7">
        <v>13269</v>
      </c>
      <c r="K1179" s="7">
        <f t="shared" si="200"/>
        <v>3980.7</v>
      </c>
      <c r="L1179" s="7">
        <f t="shared" si="201"/>
        <v>9288.2999999999993</v>
      </c>
      <c r="M1179" s="7">
        <v>21981</v>
      </c>
      <c r="N1179" s="5" t="s">
        <v>43</v>
      </c>
      <c r="O1179" s="5">
        <v>15</v>
      </c>
      <c r="P1179" s="7">
        <f t="shared" si="202"/>
        <v>15259.349999999999</v>
      </c>
      <c r="Q1179" s="7">
        <f t="shared" si="203"/>
        <v>23884.199999999983</v>
      </c>
      <c r="R1179" s="7" t="str">
        <f t="shared" si="204"/>
        <v>Normal</v>
      </c>
      <c r="S1179" s="5">
        <v>3</v>
      </c>
      <c r="T1179" s="5">
        <v>3</v>
      </c>
      <c r="U1179" s="5" t="str" cm="1">
        <f t="array" ref="U1179">_xlfn.IFS(T1179=1,"Poor",T1179=2,"Fair",T1179=3,"Good",T1179=4,"Excellent")</f>
        <v>Good</v>
      </c>
      <c r="V1179" s="5" t="s">
        <v>43</v>
      </c>
      <c r="W1179" s="5">
        <v>14</v>
      </c>
      <c r="X1179" s="28">
        <f t="shared" ca="1" si="205"/>
        <v>40998</v>
      </c>
      <c r="Y1179" s="28">
        <f t="shared" ca="1" si="206"/>
        <v>46842</v>
      </c>
      <c r="Z1179" s="28" t="str">
        <f t="shared" ca="1" si="207"/>
        <v>Upcoming</v>
      </c>
      <c r="AA1179" s="5" t="str" cm="1">
        <f t="array" ref="AA1179">_xlfn.IFS(W1179&gt;10,"Veteran",W1179&gt;=6,"Experienced",W1179&gt;=2,"Developing",W1179&gt;=0,"New")</f>
        <v>Veteran</v>
      </c>
      <c r="AB1179" s="5" t="str" cm="1">
        <f t="array" ref="AB1179">_xlfn.IFS(G1179=1,"Junior",G1179=2,"Mid-Level",G1179=3,"Senior",G1179=4,"Lead",G1179=5,"Principal")&amp;" "&amp;TRIM(PROPER(H1179))</f>
        <v>Senior Research Director</v>
      </c>
      <c r="AC1179" s="19" t="str">
        <f t="shared" ca="1" si="208"/>
        <v>Re-Res-2012-1178 is a Senior Research Director in the Research &amp; Development department, aged 50, divorced and has been with the Company for 14years</v>
      </c>
    </row>
    <row r="1180" spans="1:29">
      <c r="A1180" s="18" t="str">
        <f t="shared" ca="1" si="198"/>
        <v>Sa-Sal-2024-1179</v>
      </c>
      <c r="B1180" s="5">
        <v>20</v>
      </c>
      <c r="C1180" s="5" t="str">
        <f t="shared" si="199"/>
        <v>20-29</v>
      </c>
      <c r="D1180" s="5" t="s">
        <v>43</v>
      </c>
      <c r="E1180" s="5" t="s">
        <v>37</v>
      </c>
      <c r="F1180" s="5" t="s">
        <v>39</v>
      </c>
      <c r="G1180" s="5">
        <v>1</v>
      </c>
      <c r="H1180" s="5" t="s">
        <v>57</v>
      </c>
      <c r="I1180" s="5" t="s">
        <v>41</v>
      </c>
      <c r="J1180" s="7">
        <v>2783</v>
      </c>
      <c r="K1180" s="7">
        <f t="shared" si="200"/>
        <v>194.81000000000003</v>
      </c>
      <c r="L1180" s="7">
        <f t="shared" si="201"/>
        <v>2588.19</v>
      </c>
      <c r="M1180" s="7">
        <v>13251</v>
      </c>
      <c r="N1180" s="5" t="s">
        <v>43</v>
      </c>
      <c r="O1180" s="5">
        <v>19</v>
      </c>
      <c r="P1180" s="7">
        <f t="shared" si="202"/>
        <v>3311.77</v>
      </c>
      <c r="Q1180" s="7">
        <f t="shared" si="203"/>
        <v>6345.24</v>
      </c>
      <c r="R1180" s="7" t="str">
        <f t="shared" si="204"/>
        <v>Normal</v>
      </c>
      <c r="S1180" s="5">
        <v>3</v>
      </c>
      <c r="T1180" s="5">
        <v>3</v>
      </c>
      <c r="U1180" s="5" t="str" cm="1">
        <f t="array" ref="U1180">_xlfn.IFS(T1180=1,"Poor",T1180=2,"Fair",T1180=3,"Good",T1180=4,"Excellent")</f>
        <v>Good</v>
      </c>
      <c r="V1180" s="5" t="s">
        <v>43</v>
      </c>
      <c r="W1180" s="5">
        <v>2</v>
      </c>
      <c r="X1180" s="28">
        <f t="shared" ca="1" si="205"/>
        <v>45381</v>
      </c>
      <c r="Y1180" s="28">
        <f t="shared" ca="1" si="206"/>
        <v>46842</v>
      </c>
      <c r="Z1180" s="28" t="str">
        <f t="shared" ca="1" si="207"/>
        <v>Upcoming</v>
      </c>
      <c r="AA1180" s="5" t="str" cm="1">
        <f t="array" ref="AA1180">_xlfn.IFS(W1180&gt;10,"Veteran",W1180&gt;=6,"Experienced",W1180&gt;=2,"Developing",W1180&gt;=0,"New")</f>
        <v>Developing</v>
      </c>
      <c r="AB1180" s="5" t="str" cm="1">
        <f t="array" ref="AB1180">_xlfn.IFS(G1180=1,"Junior",G1180=2,"Mid-Level",G1180=3,"Senior",G1180=4,"Lead",G1180=5,"Principal")&amp;" "&amp;TRIM(PROPER(H1180))</f>
        <v>Junior Sales Representative</v>
      </c>
      <c r="AC1180" s="19" t="str">
        <f t="shared" ca="1" si="208"/>
        <v>Sa-Sal-2024-1179 is a Junior Sales Representative in the Sales department, aged 20, single and has been with the Company for 2years</v>
      </c>
    </row>
    <row r="1181" spans="1:29">
      <c r="A1181" s="18" t="str">
        <f t="shared" ca="1" si="198"/>
        <v>Re-Res-2015-1180</v>
      </c>
      <c r="B1181" s="5">
        <v>34</v>
      </c>
      <c r="C1181" s="5" t="str">
        <f t="shared" si="199"/>
        <v>30-39</v>
      </c>
      <c r="D1181" s="5" t="s">
        <v>43</v>
      </c>
      <c r="E1181" s="5" t="s">
        <v>45</v>
      </c>
      <c r="F1181" s="5" t="s">
        <v>39</v>
      </c>
      <c r="G1181" s="5">
        <v>2</v>
      </c>
      <c r="H1181" s="5" t="s">
        <v>47</v>
      </c>
      <c r="I1181" s="5" t="s">
        <v>52</v>
      </c>
      <c r="J1181" s="7">
        <v>5433</v>
      </c>
      <c r="K1181" s="7">
        <f t="shared" si="200"/>
        <v>814.94999999999993</v>
      </c>
      <c r="L1181" s="7">
        <f t="shared" si="201"/>
        <v>4618.05</v>
      </c>
      <c r="M1181" s="7">
        <v>19332</v>
      </c>
      <c r="N1181" s="5" t="s">
        <v>43</v>
      </c>
      <c r="O1181" s="5">
        <v>12</v>
      </c>
      <c r="P1181" s="7">
        <f t="shared" si="202"/>
        <v>6084.9600000000009</v>
      </c>
      <c r="Q1181" s="7">
        <f t="shared" si="203"/>
        <v>7823.5200000000114</v>
      </c>
      <c r="R1181" s="7" t="str">
        <f t="shared" si="204"/>
        <v>Normal</v>
      </c>
      <c r="S1181" s="5">
        <v>3</v>
      </c>
      <c r="T1181" s="5">
        <v>3</v>
      </c>
      <c r="U1181" s="5" t="str" cm="1">
        <f t="array" ref="U1181">_xlfn.IFS(T1181=1,"Poor",T1181=2,"Fair",T1181=3,"Good",T1181=4,"Excellent")</f>
        <v>Good</v>
      </c>
      <c r="V1181" s="5" t="s">
        <v>43</v>
      </c>
      <c r="W1181" s="5">
        <v>11</v>
      </c>
      <c r="X1181" s="28">
        <f t="shared" ca="1" si="205"/>
        <v>42093</v>
      </c>
      <c r="Y1181" s="28">
        <f t="shared" ca="1" si="206"/>
        <v>46476</v>
      </c>
      <c r="Z1181" s="28" t="str">
        <f t="shared" ca="1" si="207"/>
        <v>Due Soon</v>
      </c>
      <c r="AA1181" s="5" t="str" cm="1">
        <f t="array" ref="AA1181">_xlfn.IFS(W1181&gt;10,"Veteran",W1181&gt;=6,"Experienced",W1181&gt;=2,"Developing",W1181&gt;=0,"New")</f>
        <v>Veteran</v>
      </c>
      <c r="AB1181" s="5" t="str" cm="1">
        <f t="array" ref="AB1181">_xlfn.IFS(G1181=1,"Junior",G1181=2,"Mid-Level",G1181=3,"Senior",G1181=4,"Lead",G1181=5,"Principal")&amp;" "&amp;TRIM(PROPER(H1181))</f>
        <v>Mid-Level Research Scientist</v>
      </c>
      <c r="AC1181" s="19" t="str">
        <f t="shared" ca="1" si="208"/>
        <v>Re-Res-2015-1180 is a Mid-Level Research Scientist in the Research &amp; Development department, aged 34, divorced and has been with the Company for 11years</v>
      </c>
    </row>
    <row r="1182" spans="1:29">
      <c r="A1182" s="18" t="str">
        <f t="shared" ca="1" si="198"/>
        <v>La-Res-2022-1181</v>
      </c>
      <c r="B1182" s="5">
        <v>36</v>
      </c>
      <c r="C1182" s="5" t="str">
        <f t="shared" si="199"/>
        <v>30-39</v>
      </c>
      <c r="D1182" s="5" t="s">
        <v>43</v>
      </c>
      <c r="E1182" s="5" t="s">
        <v>45</v>
      </c>
      <c r="F1182" s="5" t="s">
        <v>46</v>
      </c>
      <c r="G1182" s="5">
        <v>1</v>
      </c>
      <c r="H1182" s="5" t="s">
        <v>50</v>
      </c>
      <c r="I1182" s="5" t="s">
        <v>41</v>
      </c>
      <c r="J1182" s="7">
        <v>2013</v>
      </c>
      <c r="K1182" s="7">
        <f t="shared" si="200"/>
        <v>140.91000000000003</v>
      </c>
      <c r="L1182" s="7">
        <f t="shared" si="201"/>
        <v>1872.09</v>
      </c>
      <c r="M1182" s="7">
        <v>10950</v>
      </c>
      <c r="N1182" s="5" t="s">
        <v>43</v>
      </c>
      <c r="O1182" s="5">
        <v>11</v>
      </c>
      <c r="P1182" s="7">
        <f t="shared" si="202"/>
        <v>2234.4300000000003</v>
      </c>
      <c r="Q1182" s="7">
        <f t="shared" si="203"/>
        <v>2657.1600000000035</v>
      </c>
      <c r="R1182" s="7" t="str">
        <f t="shared" si="204"/>
        <v>Normal</v>
      </c>
      <c r="S1182" s="5">
        <v>3</v>
      </c>
      <c r="T1182" s="5">
        <v>3</v>
      </c>
      <c r="U1182" s="5" t="str" cm="1">
        <f t="array" ref="U1182">_xlfn.IFS(T1182=1,"Poor",T1182=2,"Fair",T1182=3,"Good",T1182=4,"Excellent")</f>
        <v>Good</v>
      </c>
      <c r="V1182" s="5" t="s">
        <v>43</v>
      </c>
      <c r="W1182" s="5">
        <v>4</v>
      </c>
      <c r="X1182" s="28">
        <f t="shared" ca="1" si="205"/>
        <v>44650</v>
      </c>
      <c r="Y1182" s="28">
        <f t="shared" ca="1" si="206"/>
        <v>46842</v>
      </c>
      <c r="Z1182" s="28" t="str">
        <f t="shared" ca="1" si="207"/>
        <v>Upcoming</v>
      </c>
      <c r="AA1182" s="5" t="str" cm="1">
        <f t="array" ref="AA1182">_xlfn.IFS(W1182&gt;10,"Veteran",W1182&gt;=6,"Experienced",W1182&gt;=2,"Developing",W1182&gt;=0,"New")</f>
        <v>Developing</v>
      </c>
      <c r="AB1182" s="5" t="str" cm="1">
        <f t="array" ref="AB1182">_xlfn.IFS(G1182=1,"Junior",G1182=2,"Mid-Level",G1182=3,"Senior",G1182=4,"Lead",G1182=5,"Principal")&amp;" "&amp;TRIM(PROPER(H1182))</f>
        <v>Junior Laboratory Technician</v>
      </c>
      <c r="AC1182" s="19" t="str">
        <f t="shared" ca="1" si="208"/>
        <v>La-Res-2022-1181 is a Junior Laboratory Technician in the Research &amp; Development department, aged 36, single and has been with the Company for 4years</v>
      </c>
    </row>
    <row r="1183" spans="1:29">
      <c r="A1183" s="18" t="str">
        <f t="shared" ca="1" si="198"/>
        <v>He-Res-2011-1182</v>
      </c>
      <c r="B1183" s="5">
        <v>49</v>
      </c>
      <c r="C1183" s="5" t="str">
        <f t="shared" si="199"/>
        <v>40-49</v>
      </c>
      <c r="D1183" s="5" t="s">
        <v>43</v>
      </c>
      <c r="E1183" s="5" t="s">
        <v>45</v>
      </c>
      <c r="F1183" s="5" t="s">
        <v>39</v>
      </c>
      <c r="G1183" s="5">
        <v>4</v>
      </c>
      <c r="H1183" s="5" t="s">
        <v>54</v>
      </c>
      <c r="I1183" s="5" t="s">
        <v>48</v>
      </c>
      <c r="J1183" s="7">
        <v>13966</v>
      </c>
      <c r="K1183" s="7">
        <f t="shared" si="200"/>
        <v>4189.8</v>
      </c>
      <c r="L1183" s="7">
        <f t="shared" si="201"/>
        <v>9776.2000000000007</v>
      </c>
      <c r="M1183" s="7">
        <v>11652</v>
      </c>
      <c r="N1183" s="5" t="s">
        <v>35</v>
      </c>
      <c r="O1183" s="5">
        <v>19</v>
      </c>
      <c r="P1183" s="7">
        <f t="shared" si="202"/>
        <v>16619.54</v>
      </c>
      <c r="Q1183" s="7">
        <f t="shared" si="203"/>
        <v>31842.48000000001</v>
      </c>
      <c r="R1183" s="7" t="str">
        <f t="shared" si="204"/>
        <v>Normal</v>
      </c>
      <c r="S1183" s="5">
        <v>3</v>
      </c>
      <c r="T1183" s="5">
        <v>3</v>
      </c>
      <c r="U1183" s="5" t="str" cm="1">
        <f t="array" ref="U1183">_xlfn.IFS(T1183=1,"Poor",T1183=2,"Fair",T1183=3,"Good",T1183=4,"Excellent")</f>
        <v>Good</v>
      </c>
      <c r="V1183" s="5" t="s">
        <v>35</v>
      </c>
      <c r="W1183" s="5">
        <v>15</v>
      </c>
      <c r="X1183" s="28">
        <f t="shared" ca="1" si="205"/>
        <v>40632</v>
      </c>
      <c r="Y1183" s="28">
        <f t="shared" ca="1" si="206"/>
        <v>46476</v>
      </c>
      <c r="Z1183" s="28" t="str">
        <f t="shared" ca="1" si="207"/>
        <v>Due Soon</v>
      </c>
      <c r="AA1183" s="5" t="str" cm="1">
        <f t="array" ref="AA1183">_xlfn.IFS(W1183&gt;10,"Veteran",W1183&gt;=6,"Experienced",W1183&gt;=2,"Developing",W1183&gt;=0,"New")</f>
        <v>Veteran</v>
      </c>
      <c r="AB1183" s="5" t="str" cm="1">
        <f t="array" ref="AB1183">_xlfn.IFS(G1183=1,"Junior",G1183=2,"Mid-Level",G1183=3,"Senior",G1183=4,"Lead",G1183=5,"Principal")&amp;" "&amp;TRIM(PROPER(H1183))</f>
        <v>Lead Healthcare Representative</v>
      </c>
      <c r="AC1183" s="19" t="str">
        <f t="shared" ca="1" si="208"/>
        <v>He-Res-2011-1182 is a Lead Healthcare Representative in the Research &amp; Development department, aged 49, married and has been with the Company for 15years</v>
      </c>
    </row>
    <row r="1184" spans="1:29">
      <c r="A1184" s="18" t="str">
        <f t="shared" ca="1" si="198"/>
        <v>Ma-Res-2023-1183</v>
      </c>
      <c r="B1184" s="5">
        <v>36</v>
      </c>
      <c r="C1184" s="5" t="str">
        <f t="shared" si="199"/>
        <v>30-39</v>
      </c>
      <c r="D1184" s="5" t="s">
        <v>43</v>
      </c>
      <c r="E1184" s="5" t="s">
        <v>45</v>
      </c>
      <c r="F1184" s="5" t="s">
        <v>39</v>
      </c>
      <c r="G1184" s="5">
        <v>2</v>
      </c>
      <c r="H1184" s="5" t="s">
        <v>53</v>
      </c>
      <c r="I1184" s="5" t="s">
        <v>48</v>
      </c>
      <c r="J1184" s="7">
        <v>4374</v>
      </c>
      <c r="K1184" s="7">
        <f t="shared" si="200"/>
        <v>656.1</v>
      </c>
      <c r="L1184" s="7">
        <f t="shared" si="201"/>
        <v>3717.9</v>
      </c>
      <c r="M1184" s="7">
        <v>15411</v>
      </c>
      <c r="N1184" s="5" t="s">
        <v>43</v>
      </c>
      <c r="O1184" s="5">
        <v>15</v>
      </c>
      <c r="P1184" s="7">
        <f t="shared" si="202"/>
        <v>5030.0999999999995</v>
      </c>
      <c r="Q1184" s="7">
        <f t="shared" si="203"/>
        <v>7873.1999999999935</v>
      </c>
      <c r="R1184" s="7" t="str">
        <f t="shared" si="204"/>
        <v>Normal</v>
      </c>
      <c r="S1184" s="5">
        <v>3</v>
      </c>
      <c r="T1184" s="5">
        <v>3</v>
      </c>
      <c r="U1184" s="5" t="str" cm="1">
        <f t="array" ref="U1184">_xlfn.IFS(T1184=1,"Poor",T1184=2,"Fair",T1184=3,"Good",T1184=4,"Excellent")</f>
        <v>Good</v>
      </c>
      <c r="V1184" s="5" t="s">
        <v>43</v>
      </c>
      <c r="W1184" s="5">
        <v>3</v>
      </c>
      <c r="X1184" s="28">
        <f t="shared" ca="1" si="205"/>
        <v>45015</v>
      </c>
      <c r="Y1184" s="28">
        <f t="shared" ca="1" si="206"/>
        <v>46476</v>
      </c>
      <c r="Z1184" s="28" t="str">
        <f t="shared" ca="1" si="207"/>
        <v>Due Soon</v>
      </c>
      <c r="AA1184" s="5" t="str" cm="1">
        <f t="array" ref="AA1184">_xlfn.IFS(W1184&gt;10,"Veteran",W1184&gt;=6,"Experienced",W1184&gt;=2,"Developing",W1184&gt;=0,"New")</f>
        <v>Developing</v>
      </c>
      <c r="AB1184" s="5" t="str" cm="1">
        <f t="array" ref="AB1184">_xlfn.IFS(G1184=1,"Junior",G1184=2,"Mid-Level",G1184=3,"Senior",G1184=4,"Lead",G1184=5,"Principal")&amp;" "&amp;TRIM(PROPER(H1184))</f>
        <v>Mid-Level Manufacturing Director</v>
      </c>
      <c r="AC1184" s="19" t="str">
        <f t="shared" ca="1" si="208"/>
        <v>Ma-Res-2023-1183 is a Mid-Level Manufacturing Director in the Research &amp; Development department, aged 36, married and has been with the Company for 3years</v>
      </c>
    </row>
    <row r="1185" spans="1:29">
      <c r="A1185" s="18" t="str">
        <f t="shared" ca="1" si="198"/>
        <v>He-Res-2021-1184</v>
      </c>
      <c r="B1185" s="5">
        <v>36</v>
      </c>
      <c r="C1185" s="5" t="str">
        <f t="shared" si="199"/>
        <v>30-39</v>
      </c>
      <c r="D1185" s="5" t="s">
        <v>43</v>
      </c>
      <c r="E1185" s="5" t="s">
        <v>45</v>
      </c>
      <c r="F1185" s="5" t="s">
        <v>46</v>
      </c>
      <c r="G1185" s="5">
        <v>2</v>
      </c>
      <c r="H1185" s="5" t="s">
        <v>54</v>
      </c>
      <c r="I1185" s="5" t="s">
        <v>52</v>
      </c>
      <c r="J1185" s="7">
        <v>6842</v>
      </c>
      <c r="K1185" s="7">
        <f t="shared" si="200"/>
        <v>1026.3</v>
      </c>
      <c r="L1185" s="7">
        <f t="shared" si="201"/>
        <v>5815.7</v>
      </c>
      <c r="M1185" s="7">
        <v>26308</v>
      </c>
      <c r="N1185" s="5" t="s">
        <v>43</v>
      </c>
      <c r="O1185" s="5">
        <v>20</v>
      </c>
      <c r="P1185" s="7">
        <f t="shared" si="202"/>
        <v>8210.4</v>
      </c>
      <c r="Q1185" s="7">
        <f t="shared" si="203"/>
        <v>16420.799999999996</v>
      </c>
      <c r="R1185" s="7" t="str">
        <f t="shared" si="204"/>
        <v>Normal</v>
      </c>
      <c r="S1185" s="5">
        <v>4</v>
      </c>
      <c r="T1185" s="5">
        <v>3</v>
      </c>
      <c r="U1185" s="5" t="str" cm="1">
        <f t="array" ref="U1185">_xlfn.IFS(T1185=1,"Poor",T1185=2,"Fair",T1185=3,"Good",T1185=4,"Excellent")</f>
        <v>Good</v>
      </c>
      <c r="V1185" s="5" t="s">
        <v>43</v>
      </c>
      <c r="W1185" s="5">
        <v>5</v>
      </c>
      <c r="X1185" s="28">
        <f t="shared" ca="1" si="205"/>
        <v>44285</v>
      </c>
      <c r="Y1185" s="28">
        <f t="shared" ca="1" si="206"/>
        <v>46476</v>
      </c>
      <c r="Z1185" s="28" t="str">
        <f t="shared" ca="1" si="207"/>
        <v>Due Soon</v>
      </c>
      <c r="AA1185" s="5" t="str" cm="1">
        <f t="array" ref="AA1185">_xlfn.IFS(W1185&gt;10,"Veteran",W1185&gt;=6,"Experienced",W1185&gt;=2,"Developing",W1185&gt;=0,"New")</f>
        <v>Developing</v>
      </c>
      <c r="AB1185" s="5" t="str" cm="1">
        <f t="array" ref="AB1185">_xlfn.IFS(G1185=1,"Junior",G1185=2,"Mid-Level",G1185=3,"Senior",G1185=4,"Lead",G1185=5,"Principal")&amp;" "&amp;TRIM(PROPER(H1185))</f>
        <v>Mid-Level Healthcare Representative</v>
      </c>
      <c r="AC1185" s="19" t="str">
        <f t="shared" ca="1" si="208"/>
        <v>He-Res-2021-1184 is a Mid-Level Healthcare Representative in the Research &amp; Development department, aged 36, divorced and has been with the Company for 5years</v>
      </c>
    </row>
    <row r="1186" spans="1:29">
      <c r="A1186" s="18" t="str">
        <f t="shared" ca="1" si="198"/>
        <v>Ma-Res-2016-1185</v>
      </c>
      <c r="B1186" s="5">
        <v>54</v>
      </c>
      <c r="C1186" s="5" t="str">
        <f t="shared" si="199"/>
        <v>50+</v>
      </c>
      <c r="D1186" s="5" t="s">
        <v>43</v>
      </c>
      <c r="E1186" s="5" t="s">
        <v>45</v>
      </c>
      <c r="F1186" s="5" t="s">
        <v>39</v>
      </c>
      <c r="G1186" s="5">
        <v>4</v>
      </c>
      <c r="H1186" s="5" t="s">
        <v>56</v>
      </c>
      <c r="I1186" s="5" t="s">
        <v>48</v>
      </c>
      <c r="J1186" s="7">
        <v>17426</v>
      </c>
      <c r="K1186" s="7">
        <f t="shared" si="200"/>
        <v>5227.8</v>
      </c>
      <c r="L1186" s="7">
        <f t="shared" si="201"/>
        <v>12198.2</v>
      </c>
      <c r="M1186" s="7">
        <v>18685</v>
      </c>
      <c r="N1186" s="5" t="s">
        <v>43</v>
      </c>
      <c r="O1186" s="5">
        <v>25</v>
      </c>
      <c r="P1186" s="7">
        <f t="shared" si="202"/>
        <v>21782.5</v>
      </c>
      <c r="Q1186" s="7">
        <f t="shared" si="203"/>
        <v>52278</v>
      </c>
      <c r="R1186" s="7" t="str">
        <f t="shared" si="204"/>
        <v>Normal</v>
      </c>
      <c r="S1186" s="5">
        <v>4</v>
      </c>
      <c r="T1186" s="5">
        <v>3</v>
      </c>
      <c r="U1186" s="5" t="str" cm="1">
        <f t="array" ref="U1186">_xlfn.IFS(T1186=1,"Poor",T1186=2,"Fair",T1186=3,"Good",T1186=4,"Excellent")</f>
        <v>Good</v>
      </c>
      <c r="V1186" s="5" t="s">
        <v>43</v>
      </c>
      <c r="W1186" s="5">
        <v>10</v>
      </c>
      <c r="X1186" s="28">
        <f t="shared" ca="1" si="205"/>
        <v>42459</v>
      </c>
      <c r="Y1186" s="28">
        <f t="shared" ca="1" si="206"/>
        <v>46842</v>
      </c>
      <c r="Z1186" s="28" t="str">
        <f t="shared" ca="1" si="207"/>
        <v>Upcoming</v>
      </c>
      <c r="AA1186" s="5" t="str" cm="1">
        <f t="array" ref="AA1186">_xlfn.IFS(W1186&gt;10,"Veteran",W1186&gt;=6,"Experienced",W1186&gt;=2,"Developing",W1186&gt;=0,"New")</f>
        <v>Experienced</v>
      </c>
      <c r="AB1186" s="5" t="str" cm="1">
        <f t="array" ref="AB1186">_xlfn.IFS(G1186=1,"Junior",G1186=2,"Mid-Level",G1186=3,"Senior",G1186=4,"Lead",G1186=5,"Principal")&amp;" "&amp;TRIM(PROPER(H1186))</f>
        <v>Lead Manager</v>
      </c>
      <c r="AC1186" s="19" t="str">
        <f t="shared" ca="1" si="208"/>
        <v>Ma-Res-2016-1185 is a Lead Manager in the Research &amp; Development department, aged 54, married and has been with the Company for 10years</v>
      </c>
    </row>
    <row r="1187" spans="1:29">
      <c r="A1187" s="18" t="str">
        <f t="shared" ca="1" si="198"/>
        <v>Re-Res-2012-1186</v>
      </c>
      <c r="B1187" s="5">
        <v>43</v>
      </c>
      <c r="C1187" s="5" t="str">
        <f t="shared" si="199"/>
        <v>40-49</v>
      </c>
      <c r="D1187" s="5" t="s">
        <v>43</v>
      </c>
      <c r="E1187" s="5" t="s">
        <v>45</v>
      </c>
      <c r="F1187" s="5" t="s">
        <v>46</v>
      </c>
      <c r="G1187" s="5">
        <v>4</v>
      </c>
      <c r="H1187" s="5" t="s">
        <v>58</v>
      </c>
      <c r="I1187" s="5" t="s">
        <v>48</v>
      </c>
      <c r="J1187" s="7">
        <v>17603</v>
      </c>
      <c r="K1187" s="7">
        <f t="shared" si="200"/>
        <v>5280.9</v>
      </c>
      <c r="L1187" s="7">
        <f t="shared" si="201"/>
        <v>12322.1</v>
      </c>
      <c r="M1187" s="7">
        <v>3525</v>
      </c>
      <c r="N1187" s="5" t="s">
        <v>43</v>
      </c>
      <c r="O1187" s="5">
        <v>24</v>
      </c>
      <c r="P1187" s="7">
        <f t="shared" si="202"/>
        <v>21827.72</v>
      </c>
      <c r="Q1187" s="7">
        <f t="shared" si="203"/>
        <v>50696.640000000014</v>
      </c>
      <c r="R1187" s="7" t="str">
        <f t="shared" si="204"/>
        <v>Normal</v>
      </c>
      <c r="S1187" s="5">
        <v>4</v>
      </c>
      <c r="T1187" s="5">
        <v>3</v>
      </c>
      <c r="U1187" s="5" t="str" cm="1">
        <f t="array" ref="U1187">_xlfn.IFS(T1187=1,"Poor",T1187=2,"Fair",T1187=3,"Good",T1187=4,"Excellent")</f>
        <v>Good</v>
      </c>
      <c r="V1187" s="5" t="s">
        <v>43</v>
      </c>
      <c r="W1187" s="5">
        <v>14</v>
      </c>
      <c r="X1187" s="28">
        <f t="shared" ca="1" si="205"/>
        <v>40998</v>
      </c>
      <c r="Y1187" s="28">
        <f t="shared" ca="1" si="206"/>
        <v>46842</v>
      </c>
      <c r="Z1187" s="28" t="str">
        <f t="shared" ca="1" si="207"/>
        <v>Upcoming</v>
      </c>
      <c r="AA1187" s="5" t="str" cm="1">
        <f t="array" ref="AA1187">_xlfn.IFS(W1187&gt;10,"Veteran",W1187&gt;=6,"Experienced",W1187&gt;=2,"Developing",W1187&gt;=0,"New")</f>
        <v>Veteran</v>
      </c>
      <c r="AB1187" s="5" t="str" cm="1">
        <f t="array" ref="AB1187">_xlfn.IFS(G1187=1,"Junior",G1187=2,"Mid-Level",G1187=3,"Senior",G1187=4,"Lead",G1187=5,"Principal")&amp;" "&amp;TRIM(PROPER(H1187))</f>
        <v>Lead Research Director</v>
      </c>
      <c r="AC1187" s="19" t="str">
        <f t="shared" ca="1" si="208"/>
        <v>Re-Res-2012-1186 is a Lead Research Director in the Research &amp; Development department, aged 43, married and has been with the Company for 14years</v>
      </c>
    </row>
    <row r="1188" spans="1:29">
      <c r="A1188" s="18" t="str">
        <f t="shared" ca="1" si="198"/>
        <v>Sa-Sal-2015-1187</v>
      </c>
      <c r="B1188" s="5">
        <v>35</v>
      </c>
      <c r="C1188" s="5" t="str">
        <f t="shared" si="199"/>
        <v>30-39</v>
      </c>
      <c r="D1188" s="5" t="s">
        <v>35</v>
      </c>
      <c r="E1188" s="5" t="s">
        <v>37</v>
      </c>
      <c r="F1188" s="5" t="s">
        <v>46</v>
      </c>
      <c r="G1188" s="5">
        <v>2</v>
      </c>
      <c r="H1188" s="5" t="s">
        <v>40</v>
      </c>
      <c r="I1188" s="5" t="s">
        <v>41</v>
      </c>
      <c r="J1188" s="7">
        <v>4581</v>
      </c>
      <c r="K1188" s="7">
        <f t="shared" si="200"/>
        <v>687.15</v>
      </c>
      <c r="L1188" s="7">
        <f t="shared" si="201"/>
        <v>3893.85</v>
      </c>
      <c r="M1188" s="7">
        <v>10414</v>
      </c>
      <c r="N1188" s="5" t="s">
        <v>35</v>
      </c>
      <c r="O1188" s="5">
        <v>24</v>
      </c>
      <c r="P1188" s="7">
        <f t="shared" si="202"/>
        <v>5680.44</v>
      </c>
      <c r="Q1188" s="7">
        <f t="shared" si="203"/>
        <v>13193.279999999995</v>
      </c>
      <c r="R1188" s="7" t="str">
        <f t="shared" si="204"/>
        <v>Normal</v>
      </c>
      <c r="S1188" s="5">
        <v>4</v>
      </c>
      <c r="T1188" s="5">
        <v>4</v>
      </c>
      <c r="U1188" s="5" t="str" cm="1">
        <f t="array" ref="U1188">_xlfn.IFS(T1188=1,"Poor",T1188=2,"Fair",T1188=3,"Good",T1188=4,"Excellent")</f>
        <v>Excellent</v>
      </c>
      <c r="V1188" s="5" t="s">
        <v>35</v>
      </c>
      <c r="W1188" s="5">
        <v>11</v>
      </c>
      <c r="X1188" s="28">
        <f t="shared" ca="1" si="205"/>
        <v>42093</v>
      </c>
      <c r="Y1188" s="28">
        <f t="shared" ca="1" si="206"/>
        <v>46476</v>
      </c>
      <c r="Z1188" s="28" t="str">
        <f t="shared" ca="1" si="207"/>
        <v>Due Soon</v>
      </c>
      <c r="AA1188" s="5" t="str" cm="1">
        <f t="array" ref="AA1188">_xlfn.IFS(W1188&gt;10,"Veteran",W1188&gt;=6,"Experienced",W1188&gt;=2,"Developing",W1188&gt;=0,"New")</f>
        <v>Veteran</v>
      </c>
      <c r="AB1188" s="5" t="str" cm="1">
        <f t="array" ref="AB1188">_xlfn.IFS(G1188=1,"Junior",G1188=2,"Mid-Level",G1188=3,"Senior",G1188=4,"Lead",G1188=5,"Principal")&amp;" "&amp;TRIM(PROPER(H1188))</f>
        <v>Mid-Level Sales Executive</v>
      </c>
      <c r="AC1188" s="19" t="str">
        <f t="shared" ca="1" si="208"/>
        <v>Sa-Sal-2015-1187 is a Mid-Level Sales Executive in the Sales department, aged 35, single and has been with the Company for 11years</v>
      </c>
    </row>
    <row r="1189" spans="1:29">
      <c r="A1189" s="18" t="str">
        <f t="shared" ca="1" si="198"/>
        <v>Re-Res-2013-1188</v>
      </c>
      <c r="B1189" s="5">
        <v>38</v>
      </c>
      <c r="C1189" s="5" t="str">
        <f t="shared" si="199"/>
        <v>30-39</v>
      </c>
      <c r="D1189" s="5" t="s">
        <v>43</v>
      </c>
      <c r="E1189" s="5" t="s">
        <v>45</v>
      </c>
      <c r="F1189" s="5" t="s">
        <v>46</v>
      </c>
      <c r="G1189" s="5">
        <v>2</v>
      </c>
      <c r="H1189" s="5" t="s">
        <v>47</v>
      </c>
      <c r="I1189" s="5" t="s">
        <v>48</v>
      </c>
      <c r="J1189" s="7">
        <v>4735</v>
      </c>
      <c r="K1189" s="7">
        <f t="shared" si="200"/>
        <v>710.25</v>
      </c>
      <c r="L1189" s="7">
        <f t="shared" si="201"/>
        <v>4024.75</v>
      </c>
      <c r="M1189" s="7">
        <v>9867</v>
      </c>
      <c r="N1189" s="5" t="s">
        <v>43</v>
      </c>
      <c r="O1189" s="5">
        <v>15</v>
      </c>
      <c r="P1189" s="7">
        <f t="shared" si="202"/>
        <v>5445.25</v>
      </c>
      <c r="Q1189" s="7">
        <f t="shared" si="203"/>
        <v>8523</v>
      </c>
      <c r="R1189" s="7" t="str">
        <f t="shared" si="204"/>
        <v>Normal</v>
      </c>
      <c r="S1189" s="5">
        <v>3</v>
      </c>
      <c r="T1189" s="5">
        <v>4</v>
      </c>
      <c r="U1189" s="5" t="str" cm="1">
        <f t="array" ref="U1189">_xlfn.IFS(T1189=1,"Poor",T1189=2,"Fair",T1189=3,"Good",T1189=4,"Excellent")</f>
        <v>Excellent</v>
      </c>
      <c r="V1189" s="5" t="s">
        <v>43</v>
      </c>
      <c r="W1189" s="5">
        <v>13</v>
      </c>
      <c r="X1189" s="28">
        <f t="shared" ca="1" si="205"/>
        <v>41363</v>
      </c>
      <c r="Y1189" s="28">
        <f t="shared" ca="1" si="206"/>
        <v>46476</v>
      </c>
      <c r="Z1189" s="28" t="str">
        <f t="shared" ca="1" si="207"/>
        <v>Due Soon</v>
      </c>
      <c r="AA1189" s="5" t="str" cm="1">
        <f t="array" ref="AA1189">_xlfn.IFS(W1189&gt;10,"Veteran",W1189&gt;=6,"Experienced",W1189&gt;=2,"Developing",W1189&gt;=0,"New")</f>
        <v>Veteran</v>
      </c>
      <c r="AB1189" s="5" t="str" cm="1">
        <f t="array" ref="AB1189">_xlfn.IFS(G1189=1,"Junior",G1189=2,"Mid-Level",G1189=3,"Senior",G1189=4,"Lead",G1189=5,"Principal")&amp;" "&amp;TRIM(PROPER(H1189))</f>
        <v>Mid-Level Research Scientist</v>
      </c>
      <c r="AC1189" s="19" t="str">
        <f t="shared" ca="1" si="208"/>
        <v>Re-Res-2013-1188 is a Mid-Level Research Scientist in the Research &amp; Development department, aged 38, married and has been with the Company for 13years</v>
      </c>
    </row>
    <row r="1190" spans="1:29">
      <c r="A1190" s="18" t="str">
        <f t="shared" ca="1" si="198"/>
        <v>Sa-Sal-2016-1189</v>
      </c>
      <c r="B1190" s="5">
        <v>29</v>
      </c>
      <c r="C1190" s="5" t="str">
        <f t="shared" si="199"/>
        <v>20-29</v>
      </c>
      <c r="D1190" s="5" t="s">
        <v>43</v>
      </c>
      <c r="E1190" s="5" t="s">
        <v>37</v>
      </c>
      <c r="F1190" s="5" t="s">
        <v>46</v>
      </c>
      <c r="G1190" s="5">
        <v>2</v>
      </c>
      <c r="H1190" s="5" t="s">
        <v>40</v>
      </c>
      <c r="I1190" s="5" t="s">
        <v>52</v>
      </c>
      <c r="J1190" s="7">
        <v>4187</v>
      </c>
      <c r="K1190" s="7">
        <f t="shared" si="200"/>
        <v>628.04999999999995</v>
      </c>
      <c r="L1190" s="7">
        <f t="shared" si="201"/>
        <v>3558.95</v>
      </c>
      <c r="M1190" s="7">
        <v>3356</v>
      </c>
      <c r="N1190" s="5" t="s">
        <v>35</v>
      </c>
      <c r="O1190" s="5">
        <v>13</v>
      </c>
      <c r="P1190" s="7">
        <f t="shared" si="202"/>
        <v>4731.3099999999995</v>
      </c>
      <c r="Q1190" s="7">
        <f t="shared" si="203"/>
        <v>6531.7199999999939</v>
      </c>
      <c r="R1190" s="7" t="str">
        <f t="shared" si="204"/>
        <v>Normal</v>
      </c>
      <c r="S1190" s="5">
        <v>3</v>
      </c>
      <c r="T1190" s="5">
        <v>2</v>
      </c>
      <c r="U1190" s="5" t="str" cm="1">
        <f t="array" ref="U1190">_xlfn.IFS(T1190=1,"Poor",T1190=2,"Fair",T1190=3,"Good",T1190=4,"Excellent")</f>
        <v>Fair</v>
      </c>
      <c r="V1190" s="5" t="s">
        <v>35</v>
      </c>
      <c r="W1190" s="5">
        <v>10</v>
      </c>
      <c r="X1190" s="28">
        <f t="shared" ca="1" si="205"/>
        <v>42459</v>
      </c>
      <c r="Y1190" s="28">
        <f t="shared" ca="1" si="206"/>
        <v>46842</v>
      </c>
      <c r="Z1190" s="28" t="str">
        <f t="shared" ca="1" si="207"/>
        <v>Upcoming</v>
      </c>
      <c r="AA1190" s="5" t="str" cm="1">
        <f t="array" ref="AA1190">_xlfn.IFS(W1190&gt;10,"Veteran",W1190&gt;=6,"Experienced",W1190&gt;=2,"Developing",W1190&gt;=0,"New")</f>
        <v>Experienced</v>
      </c>
      <c r="AB1190" s="5" t="str" cm="1">
        <f t="array" ref="AB1190">_xlfn.IFS(G1190=1,"Junior",G1190=2,"Mid-Level",G1190=3,"Senior",G1190=4,"Lead",G1190=5,"Principal")&amp;" "&amp;TRIM(PROPER(H1190))</f>
        <v>Mid-Level Sales Executive</v>
      </c>
      <c r="AC1190" s="19" t="str">
        <f t="shared" ca="1" si="208"/>
        <v>Sa-Sal-2016-1189 is a Mid-Level Sales Executive in the Sales department, aged 29, divorced and has been with the Company for 10years</v>
      </c>
    </row>
    <row r="1191" spans="1:29">
      <c r="A1191" s="18" t="str">
        <f t="shared" ca="1" si="198"/>
        <v>Sa-Sal-2020-1190</v>
      </c>
      <c r="B1191" s="5">
        <v>33</v>
      </c>
      <c r="C1191" s="5" t="str">
        <f t="shared" si="199"/>
        <v>30-39</v>
      </c>
      <c r="D1191" s="5" t="s">
        <v>43</v>
      </c>
      <c r="E1191" s="5" t="s">
        <v>37</v>
      </c>
      <c r="F1191" s="5" t="s">
        <v>46</v>
      </c>
      <c r="G1191" s="5">
        <v>2</v>
      </c>
      <c r="H1191" s="5" t="s">
        <v>40</v>
      </c>
      <c r="I1191" s="5" t="s">
        <v>52</v>
      </c>
      <c r="J1191" s="7">
        <v>5505</v>
      </c>
      <c r="K1191" s="7">
        <f t="shared" si="200"/>
        <v>825.75</v>
      </c>
      <c r="L1191" s="7">
        <f t="shared" si="201"/>
        <v>4679.25</v>
      </c>
      <c r="M1191" s="7">
        <v>3921</v>
      </c>
      <c r="N1191" s="5" t="s">
        <v>43</v>
      </c>
      <c r="O1191" s="5">
        <v>14</v>
      </c>
      <c r="P1191" s="7">
        <f t="shared" si="202"/>
        <v>6275.7000000000007</v>
      </c>
      <c r="Q1191" s="7">
        <f t="shared" si="203"/>
        <v>9248.4000000000087</v>
      </c>
      <c r="R1191" s="7" t="str">
        <f t="shared" si="204"/>
        <v>Normal</v>
      </c>
      <c r="S1191" s="5">
        <v>3</v>
      </c>
      <c r="T1191" s="5">
        <v>3</v>
      </c>
      <c r="U1191" s="5" t="str" cm="1">
        <f t="array" ref="U1191">_xlfn.IFS(T1191=1,"Poor",T1191=2,"Fair",T1191=3,"Good",T1191=4,"Excellent")</f>
        <v>Good</v>
      </c>
      <c r="V1191" s="5" t="s">
        <v>43</v>
      </c>
      <c r="W1191" s="5">
        <v>6</v>
      </c>
      <c r="X1191" s="28">
        <f t="shared" ca="1" si="205"/>
        <v>43920</v>
      </c>
      <c r="Y1191" s="28">
        <f t="shared" ca="1" si="206"/>
        <v>46842</v>
      </c>
      <c r="Z1191" s="28" t="str">
        <f t="shared" ca="1" si="207"/>
        <v>Upcoming</v>
      </c>
      <c r="AA1191" s="5" t="str" cm="1">
        <f t="array" ref="AA1191">_xlfn.IFS(W1191&gt;10,"Veteran",W1191&gt;=6,"Experienced",W1191&gt;=2,"Developing",W1191&gt;=0,"New")</f>
        <v>Experienced</v>
      </c>
      <c r="AB1191" s="5" t="str" cm="1">
        <f t="array" ref="AB1191">_xlfn.IFS(G1191=1,"Junior",G1191=2,"Mid-Level",G1191=3,"Senior",G1191=4,"Lead",G1191=5,"Principal")&amp;" "&amp;TRIM(PROPER(H1191))</f>
        <v>Mid-Level Sales Executive</v>
      </c>
      <c r="AC1191" s="19" t="str">
        <f t="shared" ca="1" si="208"/>
        <v>Sa-Sal-2020-1190 is a Mid-Level Sales Executive in the Sales department, aged 33, divorced and has been with the Company for 6years</v>
      </c>
    </row>
    <row r="1192" spans="1:29">
      <c r="A1192" s="18" t="str">
        <f t="shared" ca="1" si="198"/>
        <v>Re-Res-2017-1191</v>
      </c>
      <c r="B1192" s="5">
        <v>32</v>
      </c>
      <c r="C1192" s="5" t="str">
        <f t="shared" si="199"/>
        <v>30-39</v>
      </c>
      <c r="D1192" s="5" t="s">
        <v>43</v>
      </c>
      <c r="E1192" s="5" t="s">
        <v>45</v>
      </c>
      <c r="F1192" s="5" t="s">
        <v>46</v>
      </c>
      <c r="G1192" s="5">
        <v>2</v>
      </c>
      <c r="H1192" s="5" t="s">
        <v>47</v>
      </c>
      <c r="I1192" s="5" t="s">
        <v>52</v>
      </c>
      <c r="J1192" s="7">
        <v>5470</v>
      </c>
      <c r="K1192" s="7">
        <f t="shared" si="200"/>
        <v>820.5</v>
      </c>
      <c r="L1192" s="7">
        <f t="shared" si="201"/>
        <v>4649.5</v>
      </c>
      <c r="M1192" s="7">
        <v>25518</v>
      </c>
      <c r="N1192" s="5" t="s">
        <v>43</v>
      </c>
      <c r="O1192" s="5">
        <v>13</v>
      </c>
      <c r="P1192" s="7">
        <f t="shared" si="202"/>
        <v>6181.0999999999995</v>
      </c>
      <c r="Q1192" s="7">
        <f t="shared" si="203"/>
        <v>8533.1999999999935</v>
      </c>
      <c r="R1192" s="7" t="str">
        <f t="shared" si="204"/>
        <v>Normal</v>
      </c>
      <c r="S1192" s="5">
        <v>3</v>
      </c>
      <c r="T1192" s="5">
        <v>2</v>
      </c>
      <c r="U1192" s="5" t="str" cm="1">
        <f t="array" ref="U1192">_xlfn.IFS(T1192=1,"Poor",T1192=2,"Fair",T1192=3,"Good",T1192=4,"Excellent")</f>
        <v>Fair</v>
      </c>
      <c r="V1192" s="5" t="s">
        <v>43</v>
      </c>
      <c r="W1192" s="5">
        <v>9</v>
      </c>
      <c r="X1192" s="28">
        <f t="shared" ca="1" si="205"/>
        <v>42824</v>
      </c>
      <c r="Y1192" s="28">
        <f t="shared" ca="1" si="206"/>
        <v>46476</v>
      </c>
      <c r="Z1192" s="28" t="str">
        <f t="shared" ca="1" si="207"/>
        <v>Due Soon</v>
      </c>
      <c r="AA1192" s="5" t="str" cm="1">
        <f t="array" ref="AA1192">_xlfn.IFS(W1192&gt;10,"Veteran",W1192&gt;=6,"Experienced",W1192&gt;=2,"Developing",W1192&gt;=0,"New")</f>
        <v>Experienced</v>
      </c>
      <c r="AB1192" s="5" t="str" cm="1">
        <f t="array" ref="AB1192">_xlfn.IFS(G1192=1,"Junior",G1192=2,"Mid-Level",G1192=3,"Senior",G1192=4,"Lead",G1192=5,"Principal")&amp;" "&amp;TRIM(PROPER(H1192))</f>
        <v>Mid-Level Research Scientist</v>
      </c>
      <c r="AC1192" s="19" t="str">
        <f t="shared" ca="1" si="208"/>
        <v>Re-Res-2017-1191 is a Mid-Level Research Scientist in the Research &amp; Development department, aged 32, divorced and has been with the Company for 9years</v>
      </c>
    </row>
    <row r="1193" spans="1:29">
      <c r="A1193" s="18" t="str">
        <f t="shared" ca="1" si="198"/>
        <v>Sa-Sal-2016-1192</v>
      </c>
      <c r="B1193" s="5">
        <v>31</v>
      </c>
      <c r="C1193" s="5" t="str">
        <f t="shared" si="199"/>
        <v>30-39</v>
      </c>
      <c r="D1193" s="5" t="s">
        <v>43</v>
      </c>
      <c r="E1193" s="5" t="s">
        <v>37</v>
      </c>
      <c r="F1193" s="5" t="s">
        <v>39</v>
      </c>
      <c r="G1193" s="5">
        <v>2</v>
      </c>
      <c r="H1193" s="5" t="s">
        <v>40</v>
      </c>
      <c r="I1193" s="5" t="s">
        <v>48</v>
      </c>
      <c r="J1193" s="7">
        <v>5476</v>
      </c>
      <c r="K1193" s="7">
        <f t="shared" si="200"/>
        <v>821.4</v>
      </c>
      <c r="L1193" s="7">
        <f t="shared" si="201"/>
        <v>4654.6000000000004</v>
      </c>
      <c r="M1193" s="7">
        <v>22589</v>
      </c>
      <c r="N1193" s="5" t="s">
        <v>43</v>
      </c>
      <c r="O1193" s="5">
        <v>11</v>
      </c>
      <c r="P1193" s="7">
        <f t="shared" si="202"/>
        <v>6078.3600000000006</v>
      </c>
      <c r="Q1193" s="7">
        <f t="shared" si="203"/>
        <v>7228.320000000007</v>
      </c>
      <c r="R1193" s="7" t="str">
        <f t="shared" si="204"/>
        <v>Normal</v>
      </c>
      <c r="S1193" s="5">
        <v>3</v>
      </c>
      <c r="T1193" s="5">
        <v>3</v>
      </c>
      <c r="U1193" s="5" t="str" cm="1">
        <f t="array" ref="U1193">_xlfn.IFS(T1193=1,"Poor",T1193=2,"Fair",T1193=3,"Good",T1193=4,"Excellent")</f>
        <v>Good</v>
      </c>
      <c r="V1193" s="5" t="s">
        <v>43</v>
      </c>
      <c r="W1193" s="5">
        <v>10</v>
      </c>
      <c r="X1193" s="28">
        <f t="shared" ca="1" si="205"/>
        <v>42459</v>
      </c>
      <c r="Y1193" s="28">
        <f t="shared" ca="1" si="206"/>
        <v>46842</v>
      </c>
      <c r="Z1193" s="28" t="str">
        <f t="shared" ca="1" si="207"/>
        <v>Upcoming</v>
      </c>
      <c r="AA1193" s="5" t="str" cm="1">
        <f t="array" ref="AA1193">_xlfn.IFS(W1193&gt;10,"Veteran",W1193&gt;=6,"Experienced",W1193&gt;=2,"Developing",W1193&gt;=0,"New")</f>
        <v>Experienced</v>
      </c>
      <c r="AB1193" s="5" t="str" cm="1">
        <f t="array" ref="AB1193">_xlfn.IFS(G1193=1,"Junior",G1193=2,"Mid-Level",G1193=3,"Senior",G1193=4,"Lead",G1193=5,"Principal")&amp;" "&amp;TRIM(PROPER(H1193))</f>
        <v>Mid-Level Sales Executive</v>
      </c>
      <c r="AC1193" s="19" t="str">
        <f t="shared" ca="1" si="208"/>
        <v>Sa-Sal-2016-1192 is a Mid-Level Sales Executive in the Sales department, aged 31, married and has been with the Company for 10years</v>
      </c>
    </row>
    <row r="1194" spans="1:29">
      <c r="A1194" s="18" t="str">
        <f t="shared" ca="1" si="198"/>
        <v>La-Res-2024-1193</v>
      </c>
      <c r="B1194" s="5">
        <v>49</v>
      </c>
      <c r="C1194" s="5" t="str">
        <f t="shared" si="199"/>
        <v>40-49</v>
      </c>
      <c r="D1194" s="5" t="s">
        <v>43</v>
      </c>
      <c r="E1194" s="5" t="s">
        <v>45</v>
      </c>
      <c r="F1194" s="5" t="s">
        <v>39</v>
      </c>
      <c r="G1194" s="5">
        <v>1</v>
      </c>
      <c r="H1194" s="5" t="s">
        <v>50</v>
      </c>
      <c r="I1194" s="5" t="s">
        <v>52</v>
      </c>
      <c r="J1194" s="7">
        <v>2587</v>
      </c>
      <c r="K1194" s="7">
        <f t="shared" si="200"/>
        <v>181.09</v>
      </c>
      <c r="L1194" s="7">
        <f t="shared" si="201"/>
        <v>2405.91</v>
      </c>
      <c r="M1194" s="7">
        <v>24941</v>
      </c>
      <c r="N1194" s="5" t="s">
        <v>35</v>
      </c>
      <c r="O1194" s="5">
        <v>16</v>
      </c>
      <c r="P1194" s="7">
        <f t="shared" si="202"/>
        <v>3000.9199999999996</v>
      </c>
      <c r="Q1194" s="7">
        <f t="shared" si="203"/>
        <v>4967.0399999999954</v>
      </c>
      <c r="R1194" s="7" t="str">
        <f t="shared" si="204"/>
        <v>Normal</v>
      </c>
      <c r="S1194" s="5">
        <v>3</v>
      </c>
      <c r="T1194" s="5">
        <v>2</v>
      </c>
      <c r="U1194" s="5" t="str" cm="1">
        <f t="array" ref="U1194">_xlfn.IFS(T1194=1,"Poor",T1194=2,"Fair",T1194=3,"Good",T1194=4,"Excellent")</f>
        <v>Fair</v>
      </c>
      <c r="V1194" s="5" t="s">
        <v>35</v>
      </c>
      <c r="W1194" s="5">
        <v>2</v>
      </c>
      <c r="X1194" s="28">
        <f t="shared" ca="1" si="205"/>
        <v>45381</v>
      </c>
      <c r="Y1194" s="28">
        <f t="shared" ca="1" si="206"/>
        <v>46842</v>
      </c>
      <c r="Z1194" s="28" t="str">
        <f t="shared" ca="1" si="207"/>
        <v>Upcoming</v>
      </c>
      <c r="AA1194" s="5" t="str" cm="1">
        <f t="array" ref="AA1194">_xlfn.IFS(W1194&gt;10,"Veteran",W1194&gt;=6,"Experienced",W1194&gt;=2,"Developing",W1194&gt;=0,"New")</f>
        <v>Developing</v>
      </c>
      <c r="AB1194" s="5" t="str" cm="1">
        <f t="array" ref="AB1194">_xlfn.IFS(G1194=1,"Junior",G1194=2,"Mid-Level",G1194=3,"Senior",G1194=4,"Lead",G1194=5,"Principal")&amp;" "&amp;TRIM(PROPER(H1194))</f>
        <v>Junior Laboratory Technician</v>
      </c>
      <c r="AC1194" s="19" t="str">
        <f t="shared" ca="1" si="208"/>
        <v>La-Res-2024-1193 is a Junior Laboratory Technician in the Research &amp; Development department, aged 49, divorced and has been with the Company for 2years</v>
      </c>
    </row>
    <row r="1195" spans="1:29">
      <c r="A1195" s="18" t="str">
        <f t="shared" ca="1" si="198"/>
        <v>La-Res-2022-1194</v>
      </c>
      <c r="B1195" s="5">
        <v>38</v>
      </c>
      <c r="C1195" s="5" t="str">
        <f t="shared" si="199"/>
        <v>30-39</v>
      </c>
      <c r="D1195" s="5" t="s">
        <v>43</v>
      </c>
      <c r="E1195" s="5" t="s">
        <v>45</v>
      </c>
      <c r="F1195" s="5" t="s">
        <v>39</v>
      </c>
      <c r="G1195" s="5">
        <v>1</v>
      </c>
      <c r="H1195" s="5" t="s">
        <v>50</v>
      </c>
      <c r="I1195" s="5" t="s">
        <v>41</v>
      </c>
      <c r="J1195" s="7">
        <v>2440</v>
      </c>
      <c r="K1195" s="7">
        <f t="shared" si="200"/>
        <v>170.8</v>
      </c>
      <c r="L1195" s="7">
        <f t="shared" si="201"/>
        <v>2269.1999999999998</v>
      </c>
      <c r="M1195" s="7">
        <v>23826</v>
      </c>
      <c r="N1195" s="5" t="s">
        <v>43</v>
      </c>
      <c r="O1195" s="5">
        <v>22</v>
      </c>
      <c r="P1195" s="7">
        <f t="shared" si="202"/>
        <v>2976.7999999999997</v>
      </c>
      <c r="Q1195" s="7">
        <f t="shared" si="203"/>
        <v>6441.5999999999967</v>
      </c>
      <c r="R1195" s="7" t="str">
        <f t="shared" si="204"/>
        <v>Normal</v>
      </c>
      <c r="S1195" s="5">
        <v>4</v>
      </c>
      <c r="T1195" s="5">
        <v>3</v>
      </c>
      <c r="U1195" s="5" t="str" cm="1">
        <f t="array" ref="U1195">_xlfn.IFS(T1195=1,"Poor",T1195=2,"Fair",T1195=3,"Good",T1195=4,"Excellent")</f>
        <v>Good</v>
      </c>
      <c r="V1195" s="5" t="s">
        <v>43</v>
      </c>
      <c r="W1195" s="5">
        <v>4</v>
      </c>
      <c r="X1195" s="28">
        <f t="shared" ca="1" si="205"/>
        <v>44650</v>
      </c>
      <c r="Y1195" s="28">
        <f t="shared" ca="1" si="206"/>
        <v>46842</v>
      </c>
      <c r="Z1195" s="28" t="str">
        <f t="shared" ca="1" si="207"/>
        <v>Upcoming</v>
      </c>
      <c r="AA1195" s="5" t="str" cm="1">
        <f t="array" ref="AA1195">_xlfn.IFS(W1195&gt;10,"Veteran",W1195&gt;=6,"Experienced",W1195&gt;=2,"Developing",W1195&gt;=0,"New")</f>
        <v>Developing</v>
      </c>
      <c r="AB1195" s="5" t="str" cm="1">
        <f t="array" ref="AB1195">_xlfn.IFS(G1195=1,"Junior",G1195=2,"Mid-Level",G1195=3,"Senior",G1195=4,"Lead",G1195=5,"Principal")&amp;" "&amp;TRIM(PROPER(H1195))</f>
        <v>Junior Laboratory Technician</v>
      </c>
      <c r="AC1195" s="19" t="str">
        <f t="shared" ca="1" si="208"/>
        <v>La-Res-2022-1194 is a Junior Laboratory Technician in the Research &amp; Development department, aged 38, single and has been with the Company for 4years</v>
      </c>
    </row>
    <row r="1196" spans="1:29">
      <c r="A1196" s="18" t="str">
        <f t="shared" ca="1" si="198"/>
        <v>Ma-Sal-2023-1195</v>
      </c>
      <c r="B1196" s="5">
        <v>47</v>
      </c>
      <c r="C1196" s="5" t="str">
        <f t="shared" si="199"/>
        <v>40-49</v>
      </c>
      <c r="D1196" s="5" t="s">
        <v>43</v>
      </c>
      <c r="E1196" s="5" t="s">
        <v>37</v>
      </c>
      <c r="F1196" s="5" t="s">
        <v>39</v>
      </c>
      <c r="G1196" s="5">
        <v>4</v>
      </c>
      <c r="H1196" s="5" t="s">
        <v>56</v>
      </c>
      <c r="I1196" s="5" t="s">
        <v>52</v>
      </c>
      <c r="J1196" s="7">
        <v>15972</v>
      </c>
      <c r="K1196" s="7">
        <f t="shared" si="200"/>
        <v>4791.5999999999995</v>
      </c>
      <c r="L1196" s="7">
        <f t="shared" si="201"/>
        <v>11180.400000000001</v>
      </c>
      <c r="M1196" s="7">
        <v>21086</v>
      </c>
      <c r="N1196" s="5" t="s">
        <v>43</v>
      </c>
      <c r="O1196" s="5">
        <v>14</v>
      </c>
      <c r="P1196" s="7">
        <f t="shared" si="202"/>
        <v>18208.080000000002</v>
      </c>
      <c r="Q1196" s="7">
        <f t="shared" si="203"/>
        <v>26832.960000000021</v>
      </c>
      <c r="R1196" s="7" t="str">
        <f t="shared" si="204"/>
        <v>Normal</v>
      </c>
      <c r="S1196" s="5">
        <v>3</v>
      </c>
      <c r="T1196" s="5">
        <v>3</v>
      </c>
      <c r="U1196" s="5" t="str" cm="1">
        <f t="array" ref="U1196">_xlfn.IFS(T1196=1,"Poor",T1196=2,"Fair",T1196=3,"Good",T1196=4,"Excellent")</f>
        <v>Good</v>
      </c>
      <c r="V1196" s="5" t="s">
        <v>43</v>
      </c>
      <c r="W1196" s="5">
        <v>3</v>
      </c>
      <c r="X1196" s="28">
        <f t="shared" ca="1" si="205"/>
        <v>45015</v>
      </c>
      <c r="Y1196" s="28">
        <f t="shared" ca="1" si="206"/>
        <v>46476</v>
      </c>
      <c r="Z1196" s="28" t="str">
        <f t="shared" ca="1" si="207"/>
        <v>Due Soon</v>
      </c>
      <c r="AA1196" s="5" t="str" cm="1">
        <f t="array" ref="AA1196">_xlfn.IFS(W1196&gt;10,"Veteran",W1196&gt;=6,"Experienced",W1196&gt;=2,"Developing",W1196&gt;=0,"New")</f>
        <v>Developing</v>
      </c>
      <c r="AB1196" s="5" t="str" cm="1">
        <f t="array" ref="AB1196">_xlfn.IFS(G1196=1,"Junior",G1196=2,"Mid-Level",G1196=3,"Senior",G1196=4,"Lead",G1196=5,"Principal")&amp;" "&amp;TRIM(PROPER(H1196))</f>
        <v>Lead Manager</v>
      </c>
      <c r="AC1196" s="19" t="str">
        <f t="shared" ca="1" si="208"/>
        <v>Ma-Sal-2023-1195 is a Lead Manager in the Sales department, aged 47, divorced and has been with the Company for 3years</v>
      </c>
    </row>
    <row r="1197" spans="1:29">
      <c r="A1197" s="18" t="str">
        <f t="shared" ca="1" si="198"/>
        <v>Ma-Res-2018-1196</v>
      </c>
      <c r="B1197" s="5">
        <v>49</v>
      </c>
      <c r="C1197" s="5" t="str">
        <f t="shared" si="199"/>
        <v>40-49</v>
      </c>
      <c r="D1197" s="5" t="s">
        <v>43</v>
      </c>
      <c r="E1197" s="5" t="s">
        <v>45</v>
      </c>
      <c r="F1197" s="5" t="s">
        <v>46</v>
      </c>
      <c r="G1197" s="5">
        <v>4</v>
      </c>
      <c r="H1197" s="5" t="s">
        <v>56</v>
      </c>
      <c r="I1197" s="5" t="s">
        <v>41</v>
      </c>
      <c r="J1197" s="7">
        <v>15379</v>
      </c>
      <c r="K1197" s="7">
        <f t="shared" si="200"/>
        <v>4613.7</v>
      </c>
      <c r="L1197" s="7">
        <f t="shared" si="201"/>
        <v>10765.3</v>
      </c>
      <c r="M1197" s="7">
        <v>22384</v>
      </c>
      <c r="N1197" s="5" t="s">
        <v>43</v>
      </c>
      <c r="O1197" s="5">
        <v>14</v>
      </c>
      <c r="P1197" s="7">
        <f t="shared" si="202"/>
        <v>17532.060000000001</v>
      </c>
      <c r="Q1197" s="7">
        <f t="shared" si="203"/>
        <v>25836.720000000016</v>
      </c>
      <c r="R1197" s="7" t="str">
        <f t="shared" si="204"/>
        <v>Normal</v>
      </c>
      <c r="S1197" s="5">
        <v>3</v>
      </c>
      <c r="T1197" s="5">
        <v>3</v>
      </c>
      <c r="U1197" s="5" t="str" cm="1">
        <f t="array" ref="U1197">_xlfn.IFS(T1197=1,"Poor",T1197=2,"Fair",T1197=3,"Good",T1197=4,"Excellent")</f>
        <v>Good</v>
      </c>
      <c r="V1197" s="5" t="s">
        <v>43</v>
      </c>
      <c r="W1197" s="5">
        <v>8</v>
      </c>
      <c r="X1197" s="28">
        <f t="shared" ca="1" si="205"/>
        <v>43189</v>
      </c>
      <c r="Y1197" s="28">
        <f t="shared" ca="1" si="206"/>
        <v>46842</v>
      </c>
      <c r="Z1197" s="28" t="str">
        <f t="shared" ca="1" si="207"/>
        <v>Upcoming</v>
      </c>
      <c r="AA1197" s="5" t="str" cm="1">
        <f t="array" ref="AA1197">_xlfn.IFS(W1197&gt;10,"Veteran",W1197&gt;=6,"Experienced",W1197&gt;=2,"Developing",W1197&gt;=0,"New")</f>
        <v>Experienced</v>
      </c>
      <c r="AB1197" s="5" t="str" cm="1">
        <f t="array" ref="AB1197">_xlfn.IFS(G1197=1,"Junior",G1197=2,"Mid-Level",G1197=3,"Senior",G1197=4,"Lead",G1197=5,"Principal")&amp;" "&amp;TRIM(PROPER(H1197))</f>
        <v>Lead Manager</v>
      </c>
      <c r="AC1197" s="19" t="str">
        <f t="shared" ca="1" si="208"/>
        <v>Ma-Res-2018-1196 is a Lead Manager in the Research &amp; Development department, aged 49, single and has been with the Company for 8years</v>
      </c>
    </row>
    <row r="1198" spans="1:29">
      <c r="A1198" s="18" t="str">
        <f t="shared" ca="1" si="198"/>
        <v>Sa-Sal-2024-1197</v>
      </c>
      <c r="B1198" s="5">
        <v>41</v>
      </c>
      <c r="C1198" s="5" t="str">
        <f t="shared" si="199"/>
        <v>40-49</v>
      </c>
      <c r="D1198" s="5" t="s">
        <v>43</v>
      </c>
      <c r="E1198" s="5" t="s">
        <v>37</v>
      </c>
      <c r="F1198" s="5" t="s">
        <v>46</v>
      </c>
      <c r="G1198" s="5">
        <v>3</v>
      </c>
      <c r="H1198" s="5" t="s">
        <v>40</v>
      </c>
      <c r="I1198" s="5" t="s">
        <v>41</v>
      </c>
      <c r="J1198" s="7">
        <v>7082</v>
      </c>
      <c r="K1198" s="7">
        <f t="shared" si="200"/>
        <v>1558.04</v>
      </c>
      <c r="L1198" s="7">
        <f t="shared" si="201"/>
        <v>5523.96</v>
      </c>
      <c r="M1198" s="7">
        <v>11591</v>
      </c>
      <c r="N1198" s="5" t="s">
        <v>35</v>
      </c>
      <c r="O1198" s="5">
        <v>16</v>
      </c>
      <c r="P1198" s="7">
        <f t="shared" si="202"/>
        <v>8215.119999999999</v>
      </c>
      <c r="Q1198" s="7">
        <f t="shared" si="203"/>
        <v>13597.439999999988</v>
      </c>
      <c r="R1198" s="7" t="str">
        <f t="shared" si="204"/>
        <v>Normal</v>
      </c>
      <c r="S1198" s="5">
        <v>3</v>
      </c>
      <c r="T1198" s="5">
        <v>3</v>
      </c>
      <c r="U1198" s="5" t="str" cm="1">
        <f t="array" ref="U1198">_xlfn.IFS(T1198=1,"Poor",T1198=2,"Fair",T1198=3,"Good",T1198=4,"Excellent")</f>
        <v>Good</v>
      </c>
      <c r="V1198" s="5" t="s">
        <v>35</v>
      </c>
      <c r="W1198" s="5">
        <v>2</v>
      </c>
      <c r="X1198" s="28">
        <f t="shared" ca="1" si="205"/>
        <v>45381</v>
      </c>
      <c r="Y1198" s="28">
        <f t="shared" ca="1" si="206"/>
        <v>46842</v>
      </c>
      <c r="Z1198" s="28" t="str">
        <f t="shared" ca="1" si="207"/>
        <v>Upcoming</v>
      </c>
      <c r="AA1198" s="5" t="str" cm="1">
        <f t="array" ref="AA1198">_xlfn.IFS(W1198&gt;10,"Veteran",W1198&gt;=6,"Experienced",W1198&gt;=2,"Developing",W1198&gt;=0,"New")</f>
        <v>Developing</v>
      </c>
      <c r="AB1198" s="5" t="str" cm="1">
        <f t="array" ref="AB1198">_xlfn.IFS(G1198=1,"Junior",G1198=2,"Mid-Level",G1198=3,"Senior",G1198=4,"Lead",G1198=5,"Principal")&amp;" "&amp;TRIM(PROPER(H1198))</f>
        <v>Senior Sales Executive</v>
      </c>
      <c r="AC1198" s="19" t="str">
        <f t="shared" ca="1" si="208"/>
        <v>Sa-Sal-2024-1197 is a Senior Sales Executive in the Sales department, aged 41, single and has been with the Company for 2years</v>
      </c>
    </row>
    <row r="1199" spans="1:29">
      <c r="A1199" s="18" t="str">
        <f t="shared" ca="1" si="198"/>
        <v>Sa-Sal-2024-1198</v>
      </c>
      <c r="B1199" s="5">
        <v>20</v>
      </c>
      <c r="C1199" s="5" t="str">
        <f t="shared" si="199"/>
        <v>20-29</v>
      </c>
      <c r="D1199" s="5" t="s">
        <v>43</v>
      </c>
      <c r="E1199" s="5" t="s">
        <v>37</v>
      </c>
      <c r="F1199" s="5" t="s">
        <v>46</v>
      </c>
      <c r="G1199" s="5">
        <v>1</v>
      </c>
      <c r="H1199" s="5" t="s">
        <v>57</v>
      </c>
      <c r="I1199" s="5" t="s">
        <v>41</v>
      </c>
      <c r="J1199" s="7">
        <v>2728</v>
      </c>
      <c r="K1199" s="7">
        <f t="shared" si="200"/>
        <v>190.96</v>
      </c>
      <c r="L1199" s="7">
        <f t="shared" si="201"/>
        <v>2537.04</v>
      </c>
      <c r="M1199" s="7">
        <v>21082</v>
      </c>
      <c r="N1199" s="5" t="s">
        <v>43</v>
      </c>
      <c r="O1199" s="5">
        <v>11</v>
      </c>
      <c r="P1199" s="7">
        <f t="shared" si="202"/>
        <v>3028.0800000000004</v>
      </c>
      <c r="Q1199" s="7">
        <f t="shared" si="203"/>
        <v>3600.9600000000046</v>
      </c>
      <c r="R1199" s="7" t="str">
        <f t="shared" si="204"/>
        <v>Normal</v>
      </c>
      <c r="S1199" s="5">
        <v>3</v>
      </c>
      <c r="T1199" s="5">
        <v>3</v>
      </c>
      <c r="U1199" s="5" t="str" cm="1">
        <f t="array" ref="U1199">_xlfn.IFS(T1199=1,"Poor",T1199=2,"Fair",T1199=3,"Good",T1199=4,"Excellent")</f>
        <v>Good</v>
      </c>
      <c r="V1199" s="5" t="s">
        <v>43</v>
      </c>
      <c r="W1199" s="5">
        <v>2</v>
      </c>
      <c r="X1199" s="28">
        <f t="shared" ca="1" si="205"/>
        <v>45381</v>
      </c>
      <c r="Y1199" s="28">
        <f t="shared" ca="1" si="206"/>
        <v>46842</v>
      </c>
      <c r="Z1199" s="28" t="str">
        <f t="shared" ca="1" si="207"/>
        <v>Upcoming</v>
      </c>
      <c r="AA1199" s="5" t="str" cm="1">
        <f t="array" ref="AA1199">_xlfn.IFS(W1199&gt;10,"Veteran",W1199&gt;=6,"Experienced",W1199&gt;=2,"Developing",W1199&gt;=0,"New")</f>
        <v>Developing</v>
      </c>
      <c r="AB1199" s="5" t="str" cm="1">
        <f t="array" ref="AB1199">_xlfn.IFS(G1199=1,"Junior",G1199=2,"Mid-Level",G1199=3,"Senior",G1199=4,"Lead",G1199=5,"Principal")&amp;" "&amp;TRIM(PROPER(H1199))</f>
        <v>Junior Sales Representative</v>
      </c>
      <c r="AC1199" s="19" t="str">
        <f t="shared" ca="1" si="208"/>
        <v>Sa-Sal-2024-1198 is a Junior Sales Representative in the Sales department, aged 20, single and has been with the Company for 2years</v>
      </c>
    </row>
    <row r="1200" spans="1:29">
      <c r="A1200" s="18" t="str">
        <f t="shared" ca="1" si="198"/>
        <v>Sa-Sal-2020-1199</v>
      </c>
      <c r="B1200" s="5">
        <v>33</v>
      </c>
      <c r="C1200" s="5" t="str">
        <f t="shared" si="199"/>
        <v>30-39</v>
      </c>
      <c r="D1200" s="5" t="s">
        <v>43</v>
      </c>
      <c r="E1200" s="5" t="s">
        <v>37</v>
      </c>
      <c r="F1200" s="5" t="s">
        <v>39</v>
      </c>
      <c r="G1200" s="5">
        <v>2</v>
      </c>
      <c r="H1200" s="5" t="s">
        <v>40</v>
      </c>
      <c r="I1200" s="5" t="s">
        <v>52</v>
      </c>
      <c r="J1200" s="7">
        <v>5368</v>
      </c>
      <c r="K1200" s="7">
        <f t="shared" si="200"/>
        <v>805.19999999999993</v>
      </c>
      <c r="L1200" s="7">
        <f t="shared" si="201"/>
        <v>4562.8</v>
      </c>
      <c r="M1200" s="7">
        <v>16130</v>
      </c>
      <c r="N1200" s="5" t="s">
        <v>35</v>
      </c>
      <c r="O1200" s="5">
        <v>25</v>
      </c>
      <c r="P1200" s="7">
        <f t="shared" si="202"/>
        <v>6710</v>
      </c>
      <c r="Q1200" s="7">
        <f t="shared" si="203"/>
        <v>16104</v>
      </c>
      <c r="R1200" s="7" t="str">
        <f t="shared" si="204"/>
        <v>Normal</v>
      </c>
      <c r="S1200" s="5">
        <v>4</v>
      </c>
      <c r="T1200" s="5">
        <v>3</v>
      </c>
      <c r="U1200" s="5" t="str" cm="1">
        <f t="array" ref="U1200">_xlfn.IFS(T1200=1,"Poor",T1200=2,"Fair",T1200=3,"Good",T1200=4,"Excellent")</f>
        <v>Good</v>
      </c>
      <c r="V1200" s="5" t="s">
        <v>35</v>
      </c>
      <c r="W1200" s="5">
        <v>6</v>
      </c>
      <c r="X1200" s="28">
        <f t="shared" ca="1" si="205"/>
        <v>43920</v>
      </c>
      <c r="Y1200" s="28">
        <f t="shared" ca="1" si="206"/>
        <v>46842</v>
      </c>
      <c r="Z1200" s="28" t="str">
        <f t="shared" ca="1" si="207"/>
        <v>Upcoming</v>
      </c>
      <c r="AA1200" s="5" t="str" cm="1">
        <f t="array" ref="AA1200">_xlfn.IFS(W1200&gt;10,"Veteran",W1200&gt;=6,"Experienced",W1200&gt;=2,"Developing",W1200&gt;=0,"New")</f>
        <v>Experienced</v>
      </c>
      <c r="AB1200" s="5" t="str" cm="1">
        <f t="array" ref="AB1200">_xlfn.IFS(G1200=1,"Junior",G1200=2,"Mid-Level",G1200=3,"Senior",G1200=4,"Lead",G1200=5,"Principal")&amp;" "&amp;TRIM(PROPER(H1200))</f>
        <v>Mid-Level Sales Executive</v>
      </c>
      <c r="AC1200" s="19" t="str">
        <f t="shared" ca="1" si="208"/>
        <v>Sa-Sal-2020-1199 is a Mid-Level Sales Executive in the Sales department, aged 33, divorced and has been with the Company for 6years</v>
      </c>
    </row>
    <row r="1201" spans="1:29">
      <c r="A1201" s="18" t="str">
        <f t="shared" ca="1" si="198"/>
        <v>He-Res-2023-1200</v>
      </c>
      <c r="B1201" s="5">
        <v>36</v>
      </c>
      <c r="C1201" s="5" t="str">
        <f t="shared" si="199"/>
        <v>30-39</v>
      </c>
      <c r="D1201" s="5" t="s">
        <v>43</v>
      </c>
      <c r="E1201" s="5" t="s">
        <v>45</v>
      </c>
      <c r="F1201" s="5" t="s">
        <v>46</v>
      </c>
      <c r="G1201" s="5">
        <v>2</v>
      </c>
      <c r="H1201" s="5" t="s">
        <v>54</v>
      </c>
      <c r="I1201" s="5" t="s">
        <v>48</v>
      </c>
      <c r="J1201" s="7">
        <v>5347</v>
      </c>
      <c r="K1201" s="7">
        <f t="shared" si="200"/>
        <v>802.05</v>
      </c>
      <c r="L1201" s="7">
        <f t="shared" si="201"/>
        <v>4544.95</v>
      </c>
      <c r="M1201" s="7">
        <v>7419</v>
      </c>
      <c r="N1201" s="5" t="s">
        <v>43</v>
      </c>
      <c r="O1201" s="5">
        <v>14</v>
      </c>
      <c r="P1201" s="7">
        <f t="shared" si="202"/>
        <v>6095.5800000000008</v>
      </c>
      <c r="Q1201" s="7">
        <f t="shared" si="203"/>
        <v>8982.96000000001</v>
      </c>
      <c r="R1201" s="7" t="str">
        <f t="shared" si="204"/>
        <v>Normal</v>
      </c>
      <c r="S1201" s="5">
        <v>3</v>
      </c>
      <c r="T1201" s="5">
        <v>2</v>
      </c>
      <c r="U1201" s="5" t="str" cm="1">
        <f t="array" ref="U1201">_xlfn.IFS(T1201=1,"Poor",T1201=2,"Fair",T1201=3,"Good",T1201=4,"Excellent")</f>
        <v>Fair</v>
      </c>
      <c r="V1201" s="5" t="s">
        <v>43</v>
      </c>
      <c r="W1201" s="5">
        <v>3</v>
      </c>
      <c r="X1201" s="28">
        <f t="shared" ca="1" si="205"/>
        <v>45015</v>
      </c>
      <c r="Y1201" s="28">
        <f t="shared" ca="1" si="206"/>
        <v>46476</v>
      </c>
      <c r="Z1201" s="28" t="str">
        <f t="shared" ca="1" si="207"/>
        <v>Due Soon</v>
      </c>
      <c r="AA1201" s="5" t="str" cm="1">
        <f t="array" ref="AA1201">_xlfn.IFS(W1201&gt;10,"Veteran",W1201&gt;=6,"Experienced",W1201&gt;=2,"Developing",W1201&gt;=0,"New")</f>
        <v>Developing</v>
      </c>
      <c r="AB1201" s="5" t="str" cm="1">
        <f t="array" ref="AB1201">_xlfn.IFS(G1201=1,"Junior",G1201=2,"Mid-Level",G1201=3,"Senior",G1201=4,"Lead",G1201=5,"Principal")&amp;" "&amp;TRIM(PROPER(H1201))</f>
        <v>Mid-Level Healthcare Representative</v>
      </c>
      <c r="AC1201" s="19" t="str">
        <f t="shared" ca="1" si="208"/>
        <v>He-Res-2023-1200 is a Mid-Level Healthcare Representative in the Research &amp; Development department, aged 36, married and has been with the Company for 3years</v>
      </c>
    </row>
    <row r="1202" spans="1:29">
      <c r="A1202" s="18" t="str">
        <f t="shared" ca="1" si="198"/>
        <v>Hu-Hum-2024-1201</v>
      </c>
      <c r="B1202" s="5">
        <v>44</v>
      </c>
      <c r="C1202" s="5" t="str">
        <f t="shared" si="199"/>
        <v>40-49</v>
      </c>
      <c r="D1202" s="5" t="s">
        <v>43</v>
      </c>
      <c r="E1202" s="5" t="s">
        <v>61</v>
      </c>
      <c r="F1202" s="5" t="s">
        <v>39</v>
      </c>
      <c r="G1202" s="5">
        <v>1</v>
      </c>
      <c r="H1202" s="5" t="s">
        <v>61</v>
      </c>
      <c r="I1202" s="5" t="s">
        <v>52</v>
      </c>
      <c r="J1202" s="7">
        <v>3195</v>
      </c>
      <c r="K1202" s="7">
        <f t="shared" si="200"/>
        <v>479.25</v>
      </c>
      <c r="L1202" s="7">
        <f t="shared" si="201"/>
        <v>2715.75</v>
      </c>
      <c r="M1202" s="7">
        <v>4167</v>
      </c>
      <c r="N1202" s="5" t="s">
        <v>35</v>
      </c>
      <c r="O1202" s="5">
        <v>18</v>
      </c>
      <c r="P1202" s="7">
        <f t="shared" si="202"/>
        <v>3770.1</v>
      </c>
      <c r="Q1202" s="7">
        <f t="shared" si="203"/>
        <v>6901.1999999999989</v>
      </c>
      <c r="R1202" s="7" t="str">
        <f t="shared" si="204"/>
        <v>Normal</v>
      </c>
      <c r="S1202" s="5">
        <v>3</v>
      </c>
      <c r="T1202" s="5">
        <v>3</v>
      </c>
      <c r="U1202" s="5" t="str" cm="1">
        <f t="array" ref="U1202">_xlfn.IFS(T1202=1,"Poor",T1202=2,"Fair",T1202=3,"Good",T1202=4,"Excellent")</f>
        <v>Good</v>
      </c>
      <c r="V1202" s="5" t="s">
        <v>35</v>
      </c>
      <c r="W1202" s="5">
        <v>2</v>
      </c>
      <c r="X1202" s="28">
        <f t="shared" ca="1" si="205"/>
        <v>45381</v>
      </c>
      <c r="Y1202" s="28">
        <f t="shared" ca="1" si="206"/>
        <v>46842</v>
      </c>
      <c r="Z1202" s="28" t="str">
        <f t="shared" ca="1" si="207"/>
        <v>Upcoming</v>
      </c>
      <c r="AA1202" s="5" t="str" cm="1">
        <f t="array" ref="AA1202">_xlfn.IFS(W1202&gt;10,"Veteran",W1202&gt;=6,"Experienced",W1202&gt;=2,"Developing",W1202&gt;=0,"New")</f>
        <v>Developing</v>
      </c>
      <c r="AB1202" s="5" t="str" cm="1">
        <f t="array" ref="AB1202">_xlfn.IFS(G1202=1,"Junior",G1202=2,"Mid-Level",G1202=3,"Senior",G1202=4,"Lead",G1202=5,"Principal")&amp;" "&amp;TRIM(PROPER(H1202))</f>
        <v>Junior Human Resources</v>
      </c>
      <c r="AC1202" s="19" t="str">
        <f t="shared" ca="1" si="208"/>
        <v>Hu-Hum-2024-1201 is a Junior Human Resources in the Human Resources department, aged 44, divorced and has been with the Company for 2years</v>
      </c>
    </row>
    <row r="1203" spans="1:29">
      <c r="A1203" s="18" t="str">
        <f t="shared" ca="1" si="198"/>
        <v>La-Res-2021-1202</v>
      </c>
      <c r="B1203" s="5">
        <v>23</v>
      </c>
      <c r="C1203" s="5" t="str">
        <f t="shared" si="199"/>
        <v>20-29</v>
      </c>
      <c r="D1203" s="5" t="s">
        <v>35</v>
      </c>
      <c r="E1203" s="5" t="s">
        <v>45</v>
      </c>
      <c r="F1203" s="5" t="s">
        <v>46</v>
      </c>
      <c r="G1203" s="5">
        <v>1</v>
      </c>
      <c r="H1203" s="5" t="s">
        <v>50</v>
      </c>
      <c r="I1203" s="5" t="s">
        <v>41</v>
      </c>
      <c r="J1203" s="7">
        <v>3989</v>
      </c>
      <c r="K1203" s="7">
        <f t="shared" si="200"/>
        <v>598.35</v>
      </c>
      <c r="L1203" s="7">
        <f t="shared" si="201"/>
        <v>3390.65</v>
      </c>
      <c r="M1203" s="7">
        <v>20586</v>
      </c>
      <c r="N1203" s="5" t="s">
        <v>35</v>
      </c>
      <c r="O1203" s="5">
        <v>11</v>
      </c>
      <c r="P1203" s="7">
        <f t="shared" si="202"/>
        <v>4427.79</v>
      </c>
      <c r="Q1203" s="7">
        <f t="shared" si="203"/>
        <v>5265.48</v>
      </c>
      <c r="R1203" s="7" t="str">
        <f t="shared" si="204"/>
        <v>Normal</v>
      </c>
      <c r="S1203" s="5">
        <v>3</v>
      </c>
      <c r="T1203" s="5">
        <v>3</v>
      </c>
      <c r="U1203" s="5" t="str" cm="1">
        <f t="array" ref="U1203">_xlfn.IFS(T1203=1,"Poor",T1203=2,"Fair",T1203=3,"Good",T1203=4,"Excellent")</f>
        <v>Good</v>
      </c>
      <c r="V1203" s="5" t="s">
        <v>35</v>
      </c>
      <c r="W1203" s="5">
        <v>5</v>
      </c>
      <c r="X1203" s="28">
        <f t="shared" ca="1" si="205"/>
        <v>44285</v>
      </c>
      <c r="Y1203" s="28">
        <f t="shared" ca="1" si="206"/>
        <v>46476</v>
      </c>
      <c r="Z1203" s="28" t="str">
        <f t="shared" ca="1" si="207"/>
        <v>Due Soon</v>
      </c>
      <c r="AA1203" s="5" t="str" cm="1">
        <f t="array" ref="AA1203">_xlfn.IFS(W1203&gt;10,"Veteran",W1203&gt;=6,"Experienced",W1203&gt;=2,"Developing",W1203&gt;=0,"New")</f>
        <v>Developing</v>
      </c>
      <c r="AB1203" s="5" t="str" cm="1">
        <f t="array" ref="AB1203">_xlfn.IFS(G1203=1,"Junior",G1203=2,"Mid-Level",G1203=3,"Senior",G1203=4,"Lead",G1203=5,"Principal")&amp;" "&amp;TRIM(PROPER(H1203))</f>
        <v>Junior Laboratory Technician</v>
      </c>
      <c r="AC1203" s="19" t="str">
        <f t="shared" ca="1" si="208"/>
        <v>La-Res-2021-1202 is a Junior Laboratory Technician in the Research &amp; Development department, aged 23, single and has been with the Company for 5years</v>
      </c>
    </row>
    <row r="1204" spans="1:29">
      <c r="A1204" s="18" t="str">
        <f t="shared" ca="1" si="198"/>
        <v>La-Res-2026-1203</v>
      </c>
      <c r="B1204" s="5">
        <v>38</v>
      </c>
      <c r="C1204" s="5" t="str">
        <f t="shared" si="199"/>
        <v>30-39</v>
      </c>
      <c r="D1204" s="5" t="s">
        <v>43</v>
      </c>
      <c r="E1204" s="5" t="s">
        <v>45</v>
      </c>
      <c r="F1204" s="5" t="s">
        <v>39</v>
      </c>
      <c r="G1204" s="5">
        <v>1</v>
      </c>
      <c r="H1204" s="5" t="s">
        <v>50</v>
      </c>
      <c r="I1204" s="5" t="s">
        <v>48</v>
      </c>
      <c r="J1204" s="7">
        <v>3306</v>
      </c>
      <c r="K1204" s="7">
        <f t="shared" si="200"/>
        <v>495.9</v>
      </c>
      <c r="L1204" s="7">
        <f t="shared" si="201"/>
        <v>2810.1</v>
      </c>
      <c r="M1204" s="7">
        <v>26176</v>
      </c>
      <c r="N1204" s="5" t="s">
        <v>43</v>
      </c>
      <c r="O1204" s="5">
        <v>19</v>
      </c>
      <c r="P1204" s="7">
        <f t="shared" si="202"/>
        <v>3934.14</v>
      </c>
      <c r="Q1204" s="7">
        <f t="shared" si="203"/>
        <v>7537.6799999999985</v>
      </c>
      <c r="R1204" s="7" t="str">
        <f t="shared" si="204"/>
        <v>Normal</v>
      </c>
      <c r="S1204" s="5">
        <v>3</v>
      </c>
      <c r="T1204" s="5">
        <v>2</v>
      </c>
      <c r="U1204" s="5" t="str" cm="1">
        <f t="array" ref="U1204">_xlfn.IFS(T1204=1,"Poor",T1204=2,"Fair",T1204=3,"Good",T1204=4,"Excellent")</f>
        <v>Fair</v>
      </c>
      <c r="V1204" s="5" t="s">
        <v>43</v>
      </c>
      <c r="W1204" s="5">
        <v>0</v>
      </c>
      <c r="X1204" s="28">
        <f t="shared" ca="1" si="205"/>
        <v>46111</v>
      </c>
      <c r="Y1204" s="28">
        <f t="shared" ca="1" si="206"/>
        <v>46842</v>
      </c>
      <c r="Z1204" s="28" t="str">
        <f t="shared" ca="1" si="207"/>
        <v>Upcoming</v>
      </c>
      <c r="AA1204" s="5" t="str" cm="1">
        <f t="array" ref="AA1204">_xlfn.IFS(W1204&gt;10,"Veteran",W1204&gt;=6,"Experienced",W1204&gt;=2,"Developing",W1204&gt;=0,"New")</f>
        <v>New</v>
      </c>
      <c r="AB1204" s="5" t="str" cm="1">
        <f t="array" ref="AB1204">_xlfn.IFS(G1204=1,"Junior",G1204=2,"Mid-Level",G1204=3,"Senior",G1204=4,"Lead",G1204=5,"Principal")&amp;" "&amp;TRIM(PROPER(H1204))</f>
        <v>Junior Laboratory Technician</v>
      </c>
      <c r="AC1204" s="19" t="str">
        <f t="shared" ca="1" si="208"/>
        <v>La-Res-2026-1203 is a Junior Laboratory Technician in the Research &amp; Development department, aged 38, married and has been with the Company for 0years</v>
      </c>
    </row>
    <row r="1205" spans="1:29">
      <c r="A1205" s="18" t="str">
        <f t="shared" ca="1" si="198"/>
        <v>He-Res-2022-1204</v>
      </c>
      <c r="B1205" s="5">
        <v>53</v>
      </c>
      <c r="C1205" s="5" t="str">
        <f t="shared" si="199"/>
        <v>50+</v>
      </c>
      <c r="D1205" s="5" t="s">
        <v>43</v>
      </c>
      <c r="E1205" s="5" t="s">
        <v>45</v>
      </c>
      <c r="F1205" s="5" t="s">
        <v>46</v>
      </c>
      <c r="G1205" s="5">
        <v>3</v>
      </c>
      <c r="H1205" s="5" t="s">
        <v>54</v>
      </c>
      <c r="I1205" s="5" t="s">
        <v>48</v>
      </c>
      <c r="J1205" s="7">
        <v>7005</v>
      </c>
      <c r="K1205" s="7">
        <f t="shared" si="200"/>
        <v>1541.1</v>
      </c>
      <c r="L1205" s="7">
        <f t="shared" si="201"/>
        <v>5463.9</v>
      </c>
      <c r="M1205" s="7">
        <v>3458</v>
      </c>
      <c r="N1205" s="5" t="s">
        <v>43</v>
      </c>
      <c r="O1205" s="5">
        <v>15</v>
      </c>
      <c r="P1205" s="7">
        <f t="shared" si="202"/>
        <v>8055.7499999999991</v>
      </c>
      <c r="Q1205" s="7">
        <f t="shared" si="203"/>
        <v>12608.999999999989</v>
      </c>
      <c r="R1205" s="7" t="str">
        <f t="shared" si="204"/>
        <v>Normal</v>
      </c>
      <c r="S1205" s="5">
        <v>3</v>
      </c>
      <c r="T1205" s="5">
        <v>3</v>
      </c>
      <c r="U1205" s="5" t="str" cm="1">
        <f t="array" ref="U1205">_xlfn.IFS(T1205=1,"Poor",T1205=2,"Fair",T1205=3,"Good",T1205=4,"Excellent")</f>
        <v>Good</v>
      </c>
      <c r="V1205" s="5" t="s">
        <v>43</v>
      </c>
      <c r="W1205" s="5">
        <v>4</v>
      </c>
      <c r="X1205" s="28">
        <f t="shared" ca="1" si="205"/>
        <v>44650</v>
      </c>
      <c r="Y1205" s="28">
        <f t="shared" ca="1" si="206"/>
        <v>46842</v>
      </c>
      <c r="Z1205" s="28" t="str">
        <f t="shared" ca="1" si="207"/>
        <v>Upcoming</v>
      </c>
      <c r="AA1205" s="5" t="str" cm="1">
        <f t="array" ref="AA1205">_xlfn.IFS(W1205&gt;10,"Veteran",W1205&gt;=6,"Experienced",W1205&gt;=2,"Developing",W1205&gt;=0,"New")</f>
        <v>Developing</v>
      </c>
      <c r="AB1205" s="5" t="str" cm="1">
        <f t="array" ref="AB1205">_xlfn.IFS(G1205=1,"Junior",G1205=2,"Mid-Level",G1205=3,"Senior",G1205=4,"Lead",G1205=5,"Principal")&amp;" "&amp;TRIM(PROPER(H1205))</f>
        <v>Senior Healthcare Representative</v>
      </c>
      <c r="AC1205" s="19" t="str">
        <f t="shared" ca="1" si="208"/>
        <v>He-Res-2022-1204 is a Senior Healthcare Representative in the Research &amp; Development department, aged 53, married and has been with the Company for 4years</v>
      </c>
    </row>
    <row r="1206" spans="1:29">
      <c r="A1206" s="18" t="str">
        <f t="shared" ca="1" si="198"/>
        <v>Sa-Sal-2017-1205</v>
      </c>
      <c r="B1206" s="5">
        <v>48</v>
      </c>
      <c r="C1206" s="5" t="str">
        <f t="shared" si="199"/>
        <v>40-49</v>
      </c>
      <c r="D1206" s="5" t="s">
        <v>35</v>
      </c>
      <c r="E1206" s="5" t="s">
        <v>37</v>
      </c>
      <c r="F1206" s="5" t="s">
        <v>39</v>
      </c>
      <c r="G1206" s="5">
        <v>1</v>
      </c>
      <c r="H1206" s="5" t="s">
        <v>57</v>
      </c>
      <c r="I1206" s="5" t="s">
        <v>48</v>
      </c>
      <c r="J1206" s="7">
        <v>2655</v>
      </c>
      <c r="K1206" s="7">
        <f t="shared" si="200"/>
        <v>185.85000000000002</v>
      </c>
      <c r="L1206" s="7">
        <f t="shared" si="201"/>
        <v>2469.15</v>
      </c>
      <c r="M1206" s="7">
        <v>11740</v>
      </c>
      <c r="N1206" s="5" t="s">
        <v>35</v>
      </c>
      <c r="O1206" s="5">
        <v>11</v>
      </c>
      <c r="P1206" s="7">
        <f t="shared" si="202"/>
        <v>2947.05</v>
      </c>
      <c r="Q1206" s="7">
        <f t="shared" si="203"/>
        <v>3504.6000000000022</v>
      </c>
      <c r="R1206" s="7" t="str">
        <f t="shared" si="204"/>
        <v>Normal</v>
      </c>
      <c r="S1206" s="5">
        <v>3</v>
      </c>
      <c r="T1206" s="5">
        <v>3</v>
      </c>
      <c r="U1206" s="5" t="str" cm="1">
        <f t="array" ref="U1206">_xlfn.IFS(T1206=1,"Poor",T1206=2,"Fair",T1206=3,"Good",T1206=4,"Excellent")</f>
        <v>Good</v>
      </c>
      <c r="V1206" s="5" t="s">
        <v>35</v>
      </c>
      <c r="W1206" s="5">
        <v>9</v>
      </c>
      <c r="X1206" s="28">
        <f t="shared" ca="1" si="205"/>
        <v>42824</v>
      </c>
      <c r="Y1206" s="28">
        <f t="shared" ca="1" si="206"/>
        <v>46476</v>
      </c>
      <c r="Z1206" s="28" t="str">
        <f t="shared" ca="1" si="207"/>
        <v>Due Soon</v>
      </c>
      <c r="AA1206" s="5" t="str" cm="1">
        <f t="array" ref="AA1206">_xlfn.IFS(W1206&gt;10,"Veteran",W1206&gt;=6,"Experienced",W1206&gt;=2,"Developing",W1206&gt;=0,"New")</f>
        <v>Experienced</v>
      </c>
      <c r="AB1206" s="5" t="str" cm="1">
        <f t="array" ref="AB1206">_xlfn.IFS(G1206=1,"Junior",G1206=2,"Mid-Level",G1206=3,"Senior",G1206=4,"Lead",G1206=5,"Principal")&amp;" "&amp;TRIM(PROPER(H1206))</f>
        <v>Junior Sales Representative</v>
      </c>
      <c r="AC1206" s="19" t="str">
        <f t="shared" ca="1" si="208"/>
        <v>Sa-Sal-2017-1205 is a Junior Sales Representative in the Sales department, aged 48, married and has been with the Company for 9years</v>
      </c>
    </row>
    <row r="1207" spans="1:29">
      <c r="A1207" s="18" t="str">
        <f t="shared" ca="1" si="198"/>
        <v>La-Res-2025-1206</v>
      </c>
      <c r="B1207" s="5">
        <v>32</v>
      </c>
      <c r="C1207" s="5" t="str">
        <f t="shared" si="199"/>
        <v>30-39</v>
      </c>
      <c r="D1207" s="5" t="s">
        <v>35</v>
      </c>
      <c r="E1207" s="5" t="s">
        <v>45</v>
      </c>
      <c r="F1207" s="5" t="s">
        <v>46</v>
      </c>
      <c r="G1207" s="5">
        <v>1</v>
      </c>
      <c r="H1207" s="5" t="s">
        <v>50</v>
      </c>
      <c r="I1207" s="5" t="s">
        <v>41</v>
      </c>
      <c r="J1207" s="7">
        <v>1393</v>
      </c>
      <c r="K1207" s="7">
        <f t="shared" si="200"/>
        <v>97.51</v>
      </c>
      <c r="L1207" s="7">
        <f t="shared" si="201"/>
        <v>1295.49</v>
      </c>
      <c r="M1207" s="7">
        <v>24852</v>
      </c>
      <c r="N1207" s="5" t="s">
        <v>43</v>
      </c>
      <c r="O1207" s="5">
        <v>12</v>
      </c>
      <c r="P1207" s="7">
        <f t="shared" si="202"/>
        <v>1560.16</v>
      </c>
      <c r="Q1207" s="7">
        <f t="shared" si="203"/>
        <v>2005.920000000001</v>
      </c>
      <c r="R1207" s="7" t="str">
        <f t="shared" si="204"/>
        <v>Normal</v>
      </c>
      <c r="S1207" s="5">
        <v>3</v>
      </c>
      <c r="T1207" s="5">
        <v>3</v>
      </c>
      <c r="U1207" s="5" t="str" cm="1">
        <f t="array" ref="U1207">_xlfn.IFS(T1207=1,"Poor",T1207=2,"Fair",T1207=3,"Good",T1207=4,"Excellent")</f>
        <v>Good</v>
      </c>
      <c r="V1207" s="5" t="s">
        <v>43</v>
      </c>
      <c r="W1207" s="5">
        <v>1</v>
      </c>
      <c r="X1207" s="28">
        <f t="shared" ca="1" si="205"/>
        <v>45746</v>
      </c>
      <c r="Y1207" s="28">
        <f t="shared" ca="1" si="206"/>
        <v>46476</v>
      </c>
      <c r="Z1207" s="28" t="str">
        <f t="shared" ca="1" si="207"/>
        <v>Due Soon</v>
      </c>
      <c r="AA1207" s="5" t="str" cm="1">
        <f t="array" ref="AA1207">_xlfn.IFS(W1207&gt;10,"Veteran",W1207&gt;=6,"Experienced",W1207&gt;=2,"Developing",W1207&gt;=0,"New")</f>
        <v>New</v>
      </c>
      <c r="AB1207" s="5" t="str" cm="1">
        <f t="array" ref="AB1207">_xlfn.IFS(G1207=1,"Junior",G1207=2,"Mid-Level",G1207=3,"Senior",G1207=4,"Lead",G1207=5,"Principal")&amp;" "&amp;TRIM(PROPER(H1207))</f>
        <v>Junior Laboratory Technician</v>
      </c>
      <c r="AC1207" s="19" t="str">
        <f t="shared" ca="1" si="208"/>
        <v>La-Res-2025-1206 is a Junior Laboratory Technician in the Research &amp; Development department, aged 32, single and has been with the Company for 1years</v>
      </c>
    </row>
    <row r="1208" spans="1:29">
      <c r="A1208" s="18" t="str">
        <f t="shared" ca="1" si="198"/>
        <v>La-Res-2019-1207</v>
      </c>
      <c r="B1208" s="5">
        <v>26</v>
      </c>
      <c r="C1208" s="5" t="str">
        <f t="shared" si="199"/>
        <v>20-29</v>
      </c>
      <c r="D1208" s="5" t="s">
        <v>43</v>
      </c>
      <c r="E1208" s="5" t="s">
        <v>45</v>
      </c>
      <c r="F1208" s="5" t="s">
        <v>46</v>
      </c>
      <c r="G1208" s="5">
        <v>1</v>
      </c>
      <c r="H1208" s="5" t="s">
        <v>50</v>
      </c>
      <c r="I1208" s="5" t="s">
        <v>41</v>
      </c>
      <c r="J1208" s="7">
        <v>2570</v>
      </c>
      <c r="K1208" s="7">
        <f t="shared" si="200"/>
        <v>179.9</v>
      </c>
      <c r="L1208" s="7">
        <f t="shared" si="201"/>
        <v>2390.1</v>
      </c>
      <c r="M1208" s="7">
        <v>11925</v>
      </c>
      <c r="N1208" s="5" t="s">
        <v>43</v>
      </c>
      <c r="O1208" s="5">
        <v>20</v>
      </c>
      <c r="P1208" s="7">
        <f t="shared" si="202"/>
        <v>3084</v>
      </c>
      <c r="Q1208" s="7">
        <f t="shared" si="203"/>
        <v>6168</v>
      </c>
      <c r="R1208" s="7" t="str">
        <f t="shared" si="204"/>
        <v>Normal</v>
      </c>
      <c r="S1208" s="5">
        <v>4</v>
      </c>
      <c r="T1208" s="5">
        <v>3</v>
      </c>
      <c r="U1208" s="5" t="str" cm="1">
        <f t="array" ref="U1208">_xlfn.IFS(T1208=1,"Poor",T1208=2,"Fair",T1208=3,"Good",T1208=4,"Excellent")</f>
        <v>Good</v>
      </c>
      <c r="V1208" s="5" t="s">
        <v>43</v>
      </c>
      <c r="W1208" s="5">
        <v>7</v>
      </c>
      <c r="X1208" s="28">
        <f t="shared" ca="1" si="205"/>
        <v>43554</v>
      </c>
      <c r="Y1208" s="28">
        <f t="shared" ca="1" si="206"/>
        <v>46476</v>
      </c>
      <c r="Z1208" s="28" t="str">
        <f t="shared" ca="1" si="207"/>
        <v>Due Soon</v>
      </c>
      <c r="AA1208" s="5" t="str" cm="1">
        <f t="array" ref="AA1208">_xlfn.IFS(W1208&gt;10,"Veteran",W1208&gt;=6,"Experienced",W1208&gt;=2,"Developing",W1208&gt;=0,"New")</f>
        <v>Experienced</v>
      </c>
      <c r="AB1208" s="5" t="str" cm="1">
        <f t="array" ref="AB1208">_xlfn.IFS(G1208=1,"Junior",G1208=2,"Mid-Level",G1208=3,"Senior",G1208=4,"Lead",G1208=5,"Principal")&amp;" "&amp;TRIM(PROPER(H1208))</f>
        <v>Junior Laboratory Technician</v>
      </c>
      <c r="AC1208" s="19" t="str">
        <f t="shared" ca="1" si="208"/>
        <v>La-Res-2019-1207 is a Junior Laboratory Technician in the Research &amp; Development department, aged 26, single and has been with the Company for 7years</v>
      </c>
    </row>
    <row r="1209" spans="1:29">
      <c r="A1209" s="18" t="str">
        <f t="shared" ca="1" si="198"/>
        <v>Re-Res-2022-1208</v>
      </c>
      <c r="B1209" s="5">
        <v>55</v>
      </c>
      <c r="C1209" s="5" t="str">
        <f t="shared" si="199"/>
        <v>50+</v>
      </c>
      <c r="D1209" s="5" t="s">
        <v>43</v>
      </c>
      <c r="E1209" s="5" t="s">
        <v>45</v>
      </c>
      <c r="F1209" s="5" t="s">
        <v>46</v>
      </c>
      <c r="G1209" s="5">
        <v>1</v>
      </c>
      <c r="H1209" s="5" t="s">
        <v>47</v>
      </c>
      <c r="I1209" s="5" t="s">
        <v>52</v>
      </c>
      <c r="J1209" s="7">
        <v>3537</v>
      </c>
      <c r="K1209" s="7">
        <f t="shared" si="200"/>
        <v>530.54999999999995</v>
      </c>
      <c r="L1209" s="7">
        <f t="shared" si="201"/>
        <v>3006.45</v>
      </c>
      <c r="M1209" s="7">
        <v>23737</v>
      </c>
      <c r="N1209" s="5" t="s">
        <v>43</v>
      </c>
      <c r="O1209" s="5">
        <v>12</v>
      </c>
      <c r="P1209" s="7">
        <f t="shared" si="202"/>
        <v>3961.4400000000005</v>
      </c>
      <c r="Q1209" s="7">
        <f t="shared" si="203"/>
        <v>5093.2800000000061</v>
      </c>
      <c r="R1209" s="7" t="str">
        <f t="shared" si="204"/>
        <v>Normal</v>
      </c>
      <c r="S1209" s="5">
        <v>3</v>
      </c>
      <c r="T1209" s="5">
        <v>3</v>
      </c>
      <c r="U1209" s="5" t="str" cm="1">
        <f t="array" ref="U1209">_xlfn.IFS(T1209=1,"Poor",T1209=2,"Fair",T1209=3,"Good",T1209=4,"Excellent")</f>
        <v>Good</v>
      </c>
      <c r="V1209" s="5" t="s">
        <v>43</v>
      </c>
      <c r="W1209" s="5">
        <v>4</v>
      </c>
      <c r="X1209" s="28">
        <f t="shared" ca="1" si="205"/>
        <v>44650</v>
      </c>
      <c r="Y1209" s="28">
        <f t="shared" ca="1" si="206"/>
        <v>46842</v>
      </c>
      <c r="Z1209" s="28" t="str">
        <f t="shared" ca="1" si="207"/>
        <v>Upcoming</v>
      </c>
      <c r="AA1209" s="5" t="str" cm="1">
        <f t="array" ref="AA1209">_xlfn.IFS(W1209&gt;10,"Veteran",W1209&gt;=6,"Experienced",W1209&gt;=2,"Developing",W1209&gt;=0,"New")</f>
        <v>Developing</v>
      </c>
      <c r="AB1209" s="5" t="str" cm="1">
        <f t="array" ref="AB1209">_xlfn.IFS(G1209=1,"Junior",G1209=2,"Mid-Level",G1209=3,"Senior",G1209=4,"Lead",G1209=5,"Principal")&amp;" "&amp;TRIM(PROPER(H1209))</f>
        <v>Junior Research Scientist</v>
      </c>
      <c r="AC1209" s="19" t="str">
        <f t="shared" ca="1" si="208"/>
        <v>Re-Res-2022-1208 is a Junior Research Scientist in the Research &amp; Development department, aged 55, divorced and has been with the Company for 4years</v>
      </c>
    </row>
    <row r="1210" spans="1:29">
      <c r="A1210" s="18" t="str">
        <f t="shared" ca="1" si="198"/>
        <v>La-Res-2011-1209</v>
      </c>
      <c r="B1210" s="5">
        <v>34</v>
      </c>
      <c r="C1210" s="5" t="str">
        <f t="shared" si="199"/>
        <v>30-39</v>
      </c>
      <c r="D1210" s="5" t="s">
        <v>43</v>
      </c>
      <c r="E1210" s="5" t="s">
        <v>45</v>
      </c>
      <c r="F1210" s="5" t="s">
        <v>46</v>
      </c>
      <c r="G1210" s="5">
        <v>2</v>
      </c>
      <c r="H1210" s="5" t="s">
        <v>50</v>
      </c>
      <c r="I1210" s="5" t="s">
        <v>48</v>
      </c>
      <c r="J1210" s="7">
        <v>3986</v>
      </c>
      <c r="K1210" s="7">
        <f t="shared" si="200"/>
        <v>597.9</v>
      </c>
      <c r="L1210" s="7">
        <f t="shared" si="201"/>
        <v>3388.1</v>
      </c>
      <c r="M1210" s="7">
        <v>11912</v>
      </c>
      <c r="N1210" s="5" t="s">
        <v>43</v>
      </c>
      <c r="O1210" s="5">
        <v>14</v>
      </c>
      <c r="P1210" s="7">
        <f t="shared" si="202"/>
        <v>4544.0400000000009</v>
      </c>
      <c r="Q1210" s="7">
        <f t="shared" si="203"/>
        <v>6696.4800000000105</v>
      </c>
      <c r="R1210" s="7" t="str">
        <f t="shared" si="204"/>
        <v>Normal</v>
      </c>
      <c r="S1210" s="5">
        <v>3</v>
      </c>
      <c r="T1210" s="5">
        <v>4</v>
      </c>
      <c r="U1210" s="5" t="str" cm="1">
        <f t="array" ref="U1210">_xlfn.IFS(T1210=1,"Poor",T1210=2,"Fair",T1210=3,"Good",T1210=4,"Excellent")</f>
        <v>Excellent</v>
      </c>
      <c r="V1210" s="5" t="s">
        <v>43</v>
      </c>
      <c r="W1210" s="5">
        <v>15</v>
      </c>
      <c r="X1210" s="28">
        <f t="shared" ca="1" si="205"/>
        <v>40632</v>
      </c>
      <c r="Y1210" s="28">
        <f t="shared" ca="1" si="206"/>
        <v>46476</v>
      </c>
      <c r="Z1210" s="28" t="str">
        <f t="shared" ca="1" si="207"/>
        <v>Due Soon</v>
      </c>
      <c r="AA1210" s="5" t="str" cm="1">
        <f t="array" ref="AA1210">_xlfn.IFS(W1210&gt;10,"Veteran",W1210&gt;=6,"Experienced",W1210&gt;=2,"Developing",W1210&gt;=0,"New")</f>
        <v>Veteran</v>
      </c>
      <c r="AB1210" s="5" t="str" cm="1">
        <f t="array" ref="AB1210">_xlfn.IFS(G1210=1,"Junior",G1210=2,"Mid-Level",G1210=3,"Senior",G1210=4,"Lead",G1210=5,"Principal")&amp;" "&amp;TRIM(PROPER(H1210))</f>
        <v>Mid-Level Laboratory Technician</v>
      </c>
      <c r="AC1210" s="19" t="str">
        <f t="shared" ca="1" si="208"/>
        <v>La-Res-2011-1209 is a Mid-Level Laboratory Technician in the Research &amp; Development department, aged 34, married and has been with the Company for 15years</v>
      </c>
    </row>
    <row r="1211" spans="1:29">
      <c r="A1211" s="18" t="str">
        <f t="shared" ca="1" si="198"/>
        <v>He-Res-2025-1210</v>
      </c>
      <c r="B1211" s="5">
        <v>60</v>
      </c>
      <c r="C1211" s="5" t="str">
        <f t="shared" si="199"/>
        <v>50+</v>
      </c>
      <c r="D1211" s="5" t="s">
        <v>43</v>
      </c>
      <c r="E1211" s="5" t="s">
        <v>45</v>
      </c>
      <c r="F1211" s="5" t="s">
        <v>46</v>
      </c>
      <c r="G1211" s="5">
        <v>3</v>
      </c>
      <c r="H1211" s="5" t="s">
        <v>54</v>
      </c>
      <c r="I1211" s="5" t="s">
        <v>52</v>
      </c>
      <c r="J1211" s="7">
        <v>10883</v>
      </c>
      <c r="K1211" s="7">
        <f t="shared" si="200"/>
        <v>2394.2600000000002</v>
      </c>
      <c r="L1211" s="7">
        <f t="shared" si="201"/>
        <v>8488.74</v>
      </c>
      <c r="M1211" s="7">
        <v>20467</v>
      </c>
      <c r="N1211" s="5" t="s">
        <v>43</v>
      </c>
      <c r="O1211" s="5">
        <v>20</v>
      </c>
      <c r="P1211" s="7">
        <f t="shared" si="202"/>
        <v>13059.6</v>
      </c>
      <c r="Q1211" s="7">
        <f t="shared" si="203"/>
        <v>26119.200000000004</v>
      </c>
      <c r="R1211" s="7" t="str">
        <f t="shared" si="204"/>
        <v>Normal</v>
      </c>
      <c r="S1211" s="5">
        <v>4</v>
      </c>
      <c r="T1211" s="5">
        <v>4</v>
      </c>
      <c r="U1211" s="5" t="str" cm="1">
        <f t="array" ref="U1211">_xlfn.IFS(T1211=1,"Poor",T1211=2,"Fair",T1211=3,"Good",T1211=4,"Excellent")</f>
        <v>Excellent</v>
      </c>
      <c r="V1211" s="5" t="s">
        <v>43</v>
      </c>
      <c r="W1211" s="5">
        <v>1</v>
      </c>
      <c r="X1211" s="28">
        <f t="shared" ca="1" si="205"/>
        <v>45746</v>
      </c>
      <c r="Y1211" s="28">
        <f t="shared" ca="1" si="206"/>
        <v>46476</v>
      </c>
      <c r="Z1211" s="28" t="str">
        <f t="shared" ca="1" si="207"/>
        <v>Due Soon</v>
      </c>
      <c r="AA1211" s="5" t="str" cm="1">
        <f t="array" ref="AA1211">_xlfn.IFS(W1211&gt;10,"Veteran",W1211&gt;=6,"Experienced",W1211&gt;=2,"Developing",W1211&gt;=0,"New")</f>
        <v>New</v>
      </c>
      <c r="AB1211" s="5" t="str" cm="1">
        <f t="array" ref="AB1211">_xlfn.IFS(G1211=1,"Junior",G1211=2,"Mid-Level",G1211=3,"Senior",G1211=4,"Lead",G1211=5,"Principal")&amp;" "&amp;TRIM(PROPER(H1211))</f>
        <v>Senior Healthcare Representative</v>
      </c>
      <c r="AC1211" s="19" t="str">
        <f t="shared" ca="1" si="208"/>
        <v>He-Res-2025-1210 is a Senior Healthcare Representative in the Research &amp; Development department, aged 60, divorced and has been with the Company for 1years</v>
      </c>
    </row>
    <row r="1212" spans="1:29">
      <c r="A1212" s="18" t="str">
        <f t="shared" ca="1" si="198"/>
        <v>La-Res-2012-1211</v>
      </c>
      <c r="B1212" s="5">
        <v>33</v>
      </c>
      <c r="C1212" s="5" t="str">
        <f t="shared" si="199"/>
        <v>30-39</v>
      </c>
      <c r="D1212" s="5" t="s">
        <v>43</v>
      </c>
      <c r="E1212" s="5" t="s">
        <v>45</v>
      </c>
      <c r="F1212" s="5" t="s">
        <v>46</v>
      </c>
      <c r="G1212" s="5">
        <v>1</v>
      </c>
      <c r="H1212" s="5" t="s">
        <v>50</v>
      </c>
      <c r="I1212" s="5" t="s">
        <v>48</v>
      </c>
      <c r="J1212" s="7">
        <v>2028</v>
      </c>
      <c r="K1212" s="7">
        <f t="shared" si="200"/>
        <v>141.96</v>
      </c>
      <c r="L1212" s="7">
        <f t="shared" si="201"/>
        <v>1886.04</v>
      </c>
      <c r="M1212" s="7">
        <v>13637</v>
      </c>
      <c r="N1212" s="5" t="s">
        <v>43</v>
      </c>
      <c r="O1212" s="5">
        <v>18</v>
      </c>
      <c r="P1212" s="7">
        <f t="shared" si="202"/>
        <v>2393.04</v>
      </c>
      <c r="Q1212" s="7">
        <f t="shared" si="203"/>
        <v>4380.4799999999996</v>
      </c>
      <c r="R1212" s="7" t="str">
        <f t="shared" si="204"/>
        <v>Normal</v>
      </c>
      <c r="S1212" s="5">
        <v>3</v>
      </c>
      <c r="T1212" s="5">
        <v>3</v>
      </c>
      <c r="U1212" s="5" t="str" cm="1">
        <f t="array" ref="U1212">_xlfn.IFS(T1212=1,"Poor",T1212=2,"Fair",T1212=3,"Good",T1212=4,"Excellent")</f>
        <v>Good</v>
      </c>
      <c r="V1212" s="5" t="s">
        <v>43</v>
      </c>
      <c r="W1212" s="5">
        <v>14</v>
      </c>
      <c r="X1212" s="28">
        <f t="shared" ca="1" si="205"/>
        <v>40998</v>
      </c>
      <c r="Y1212" s="28">
        <f t="shared" ca="1" si="206"/>
        <v>46842</v>
      </c>
      <c r="Z1212" s="28" t="str">
        <f t="shared" ca="1" si="207"/>
        <v>Upcoming</v>
      </c>
      <c r="AA1212" s="5" t="str" cm="1">
        <f t="array" ref="AA1212">_xlfn.IFS(W1212&gt;10,"Veteran",W1212&gt;=6,"Experienced",W1212&gt;=2,"Developing",W1212&gt;=0,"New")</f>
        <v>Veteran</v>
      </c>
      <c r="AB1212" s="5" t="str" cm="1">
        <f t="array" ref="AB1212">_xlfn.IFS(G1212=1,"Junior",G1212=2,"Mid-Level",G1212=3,"Senior",G1212=4,"Lead",G1212=5,"Principal")&amp;" "&amp;TRIM(PROPER(H1212))</f>
        <v>Junior Laboratory Technician</v>
      </c>
      <c r="AC1212" s="19" t="str">
        <f t="shared" ca="1" si="208"/>
        <v>La-Res-2012-1211 is a Junior Laboratory Technician in the Research &amp; Development department, aged 33, married and has been with the Company for 14years</v>
      </c>
    </row>
    <row r="1213" spans="1:29">
      <c r="A1213" s="18" t="str">
        <f t="shared" ca="1" si="198"/>
        <v>Sa-Sal-2020-1212</v>
      </c>
      <c r="B1213" s="5">
        <v>37</v>
      </c>
      <c r="C1213" s="5" t="str">
        <f t="shared" si="199"/>
        <v>30-39</v>
      </c>
      <c r="D1213" s="5" t="s">
        <v>43</v>
      </c>
      <c r="E1213" s="5" t="s">
        <v>37</v>
      </c>
      <c r="F1213" s="5" t="s">
        <v>46</v>
      </c>
      <c r="G1213" s="5">
        <v>2</v>
      </c>
      <c r="H1213" s="5" t="s">
        <v>40</v>
      </c>
      <c r="I1213" s="5" t="s">
        <v>52</v>
      </c>
      <c r="J1213" s="7">
        <v>9525</v>
      </c>
      <c r="K1213" s="7">
        <f t="shared" si="200"/>
        <v>2095.5</v>
      </c>
      <c r="L1213" s="7">
        <f t="shared" si="201"/>
        <v>7429.5</v>
      </c>
      <c r="M1213" s="7">
        <v>7677</v>
      </c>
      <c r="N1213" s="5" t="s">
        <v>43</v>
      </c>
      <c r="O1213" s="5">
        <v>14</v>
      </c>
      <c r="P1213" s="7">
        <f t="shared" si="202"/>
        <v>10858.500000000002</v>
      </c>
      <c r="Q1213" s="7">
        <f t="shared" si="203"/>
        <v>16002.000000000022</v>
      </c>
      <c r="R1213" s="7" t="str">
        <f t="shared" si="204"/>
        <v>Normal</v>
      </c>
      <c r="S1213" s="5">
        <v>3</v>
      </c>
      <c r="T1213" s="5">
        <v>2</v>
      </c>
      <c r="U1213" s="5" t="str" cm="1">
        <f t="array" ref="U1213">_xlfn.IFS(T1213=1,"Poor",T1213=2,"Fair",T1213=3,"Good",T1213=4,"Excellent")</f>
        <v>Fair</v>
      </c>
      <c r="V1213" s="5" t="s">
        <v>43</v>
      </c>
      <c r="W1213" s="5">
        <v>6</v>
      </c>
      <c r="X1213" s="28">
        <f t="shared" ca="1" si="205"/>
        <v>43920</v>
      </c>
      <c r="Y1213" s="28">
        <f t="shared" ca="1" si="206"/>
        <v>46842</v>
      </c>
      <c r="Z1213" s="28" t="str">
        <f t="shared" ca="1" si="207"/>
        <v>Upcoming</v>
      </c>
      <c r="AA1213" s="5" t="str" cm="1">
        <f t="array" ref="AA1213">_xlfn.IFS(W1213&gt;10,"Veteran",W1213&gt;=6,"Experienced",W1213&gt;=2,"Developing",W1213&gt;=0,"New")</f>
        <v>Experienced</v>
      </c>
      <c r="AB1213" s="5" t="str" cm="1">
        <f t="array" ref="AB1213">_xlfn.IFS(G1213=1,"Junior",G1213=2,"Mid-Level",G1213=3,"Senior",G1213=4,"Lead",G1213=5,"Principal")&amp;" "&amp;TRIM(PROPER(H1213))</f>
        <v>Mid-Level Sales Executive</v>
      </c>
      <c r="AC1213" s="19" t="str">
        <f t="shared" ca="1" si="208"/>
        <v>Sa-Sal-2020-1212 is a Mid-Level Sales Executive in the Sales department, aged 37, divorced and has been with the Company for 6years</v>
      </c>
    </row>
    <row r="1214" spans="1:29">
      <c r="A1214" s="18" t="str">
        <f t="shared" ca="1" si="198"/>
        <v>Re-Res-2016-1213</v>
      </c>
      <c r="B1214" s="5">
        <v>34</v>
      </c>
      <c r="C1214" s="5" t="str">
        <f t="shared" si="199"/>
        <v>30-39</v>
      </c>
      <c r="D1214" s="5" t="s">
        <v>43</v>
      </c>
      <c r="E1214" s="5" t="s">
        <v>45</v>
      </c>
      <c r="F1214" s="5" t="s">
        <v>39</v>
      </c>
      <c r="G1214" s="5">
        <v>1</v>
      </c>
      <c r="H1214" s="5" t="s">
        <v>47</v>
      </c>
      <c r="I1214" s="5" t="s">
        <v>48</v>
      </c>
      <c r="J1214" s="7">
        <v>2929</v>
      </c>
      <c r="K1214" s="7">
        <f t="shared" si="200"/>
        <v>205.03000000000003</v>
      </c>
      <c r="L1214" s="7">
        <f t="shared" si="201"/>
        <v>2723.97</v>
      </c>
      <c r="M1214" s="7">
        <v>20338</v>
      </c>
      <c r="N1214" s="5" t="s">
        <v>43</v>
      </c>
      <c r="O1214" s="5">
        <v>12</v>
      </c>
      <c r="P1214" s="7">
        <f t="shared" si="202"/>
        <v>3280.4800000000005</v>
      </c>
      <c r="Q1214" s="7">
        <f t="shared" si="203"/>
        <v>4217.7600000000057</v>
      </c>
      <c r="R1214" s="7" t="str">
        <f t="shared" si="204"/>
        <v>Normal</v>
      </c>
      <c r="S1214" s="5">
        <v>3</v>
      </c>
      <c r="T1214" s="5">
        <v>3</v>
      </c>
      <c r="U1214" s="5" t="str" cm="1">
        <f t="array" ref="U1214">_xlfn.IFS(T1214=1,"Poor",T1214=2,"Fair",T1214=3,"Good",T1214=4,"Excellent")</f>
        <v>Good</v>
      </c>
      <c r="V1214" s="5" t="s">
        <v>43</v>
      </c>
      <c r="W1214" s="5">
        <v>10</v>
      </c>
      <c r="X1214" s="28">
        <f t="shared" ca="1" si="205"/>
        <v>42459</v>
      </c>
      <c r="Y1214" s="28">
        <f t="shared" ca="1" si="206"/>
        <v>46842</v>
      </c>
      <c r="Z1214" s="28" t="str">
        <f t="shared" ca="1" si="207"/>
        <v>Upcoming</v>
      </c>
      <c r="AA1214" s="5" t="str" cm="1">
        <f t="array" ref="AA1214">_xlfn.IFS(W1214&gt;10,"Veteran",W1214&gt;=6,"Experienced",W1214&gt;=2,"Developing",W1214&gt;=0,"New")</f>
        <v>Experienced</v>
      </c>
      <c r="AB1214" s="5" t="str" cm="1">
        <f t="array" ref="AB1214">_xlfn.IFS(G1214=1,"Junior",G1214=2,"Mid-Level",G1214=3,"Senior",G1214=4,"Lead",G1214=5,"Principal")&amp;" "&amp;TRIM(PROPER(H1214))</f>
        <v>Junior Research Scientist</v>
      </c>
      <c r="AC1214" s="19" t="str">
        <f t="shared" ca="1" si="208"/>
        <v>Re-Res-2016-1213 is a Junior Research Scientist in the Research &amp; Development department, aged 34, married and has been with the Company for 10years</v>
      </c>
    </row>
    <row r="1215" spans="1:29">
      <c r="A1215" s="18" t="str">
        <f t="shared" ca="1" si="198"/>
        <v>Sa-Sal-2023-1214</v>
      </c>
      <c r="B1215" s="5">
        <v>23</v>
      </c>
      <c r="C1215" s="5" t="str">
        <f t="shared" si="199"/>
        <v>20-29</v>
      </c>
      <c r="D1215" s="5" t="s">
        <v>35</v>
      </c>
      <c r="E1215" s="5" t="s">
        <v>37</v>
      </c>
      <c r="F1215" s="5" t="s">
        <v>46</v>
      </c>
      <c r="G1215" s="5">
        <v>1</v>
      </c>
      <c r="H1215" s="5" t="s">
        <v>57</v>
      </c>
      <c r="I1215" s="5" t="s">
        <v>52</v>
      </c>
      <c r="J1215" s="7">
        <v>2275</v>
      </c>
      <c r="K1215" s="7">
        <f t="shared" si="200"/>
        <v>159.25000000000003</v>
      </c>
      <c r="L1215" s="7">
        <f t="shared" si="201"/>
        <v>2115.75</v>
      </c>
      <c r="M1215" s="7">
        <v>25103</v>
      </c>
      <c r="N1215" s="5" t="s">
        <v>35</v>
      </c>
      <c r="O1215" s="5">
        <v>21</v>
      </c>
      <c r="P1215" s="7">
        <f t="shared" si="202"/>
        <v>2752.75</v>
      </c>
      <c r="Q1215" s="7">
        <f t="shared" si="203"/>
        <v>5733</v>
      </c>
      <c r="R1215" s="7" t="str">
        <f t="shared" si="204"/>
        <v>Normal</v>
      </c>
      <c r="S1215" s="5">
        <v>4</v>
      </c>
      <c r="T1215" s="5">
        <v>3</v>
      </c>
      <c r="U1215" s="5" t="str" cm="1">
        <f t="array" ref="U1215">_xlfn.IFS(T1215=1,"Poor",T1215=2,"Fair",T1215=3,"Good",T1215=4,"Excellent")</f>
        <v>Good</v>
      </c>
      <c r="V1215" s="5" t="s">
        <v>35</v>
      </c>
      <c r="W1215" s="5">
        <v>3</v>
      </c>
      <c r="X1215" s="28">
        <f t="shared" ca="1" si="205"/>
        <v>45015</v>
      </c>
      <c r="Y1215" s="28">
        <f t="shared" ca="1" si="206"/>
        <v>46476</v>
      </c>
      <c r="Z1215" s="28" t="str">
        <f t="shared" ca="1" si="207"/>
        <v>Due Soon</v>
      </c>
      <c r="AA1215" s="5" t="str" cm="1">
        <f t="array" ref="AA1215">_xlfn.IFS(W1215&gt;10,"Veteran",W1215&gt;=6,"Experienced",W1215&gt;=2,"Developing",W1215&gt;=0,"New")</f>
        <v>Developing</v>
      </c>
      <c r="AB1215" s="5" t="str" cm="1">
        <f t="array" ref="AB1215">_xlfn.IFS(G1215=1,"Junior",G1215=2,"Mid-Level",G1215=3,"Senior",G1215=4,"Lead",G1215=5,"Principal")&amp;" "&amp;TRIM(PROPER(H1215))</f>
        <v>Junior Sales Representative</v>
      </c>
      <c r="AC1215" s="19" t="str">
        <f t="shared" ca="1" si="208"/>
        <v>Sa-Sal-2023-1214 is a Junior Sales Representative in the Sales department, aged 23, divorced and has been with the Company for 3years</v>
      </c>
    </row>
    <row r="1216" spans="1:29">
      <c r="A1216" s="18" t="str">
        <f t="shared" ca="1" si="198"/>
        <v>He-Res-2018-1215</v>
      </c>
      <c r="B1216" s="5">
        <v>44</v>
      </c>
      <c r="C1216" s="5" t="str">
        <f t="shared" si="199"/>
        <v>40-49</v>
      </c>
      <c r="D1216" s="5" t="s">
        <v>43</v>
      </c>
      <c r="E1216" s="5" t="s">
        <v>45</v>
      </c>
      <c r="F1216" s="5" t="s">
        <v>39</v>
      </c>
      <c r="G1216" s="5">
        <v>3</v>
      </c>
      <c r="H1216" s="5" t="s">
        <v>54</v>
      </c>
      <c r="I1216" s="5" t="s">
        <v>48</v>
      </c>
      <c r="J1216" s="7">
        <v>7879</v>
      </c>
      <c r="K1216" s="7">
        <f t="shared" si="200"/>
        <v>1733.38</v>
      </c>
      <c r="L1216" s="7">
        <f t="shared" si="201"/>
        <v>6145.62</v>
      </c>
      <c r="M1216" s="7">
        <v>14810</v>
      </c>
      <c r="N1216" s="5" t="s">
        <v>35</v>
      </c>
      <c r="O1216" s="5">
        <v>19</v>
      </c>
      <c r="P1216" s="7">
        <f t="shared" si="202"/>
        <v>9376.01</v>
      </c>
      <c r="Q1216" s="7">
        <f t="shared" si="203"/>
        <v>17964.120000000003</v>
      </c>
      <c r="R1216" s="7" t="str">
        <f t="shared" si="204"/>
        <v>Normal</v>
      </c>
      <c r="S1216" s="5">
        <v>3</v>
      </c>
      <c r="T1216" s="5">
        <v>3</v>
      </c>
      <c r="U1216" s="5" t="str" cm="1">
        <f t="array" ref="U1216">_xlfn.IFS(T1216=1,"Poor",T1216=2,"Fair",T1216=3,"Good",T1216=4,"Excellent")</f>
        <v>Good</v>
      </c>
      <c r="V1216" s="5" t="s">
        <v>35</v>
      </c>
      <c r="W1216" s="5">
        <v>8</v>
      </c>
      <c r="X1216" s="28">
        <f t="shared" ca="1" si="205"/>
        <v>43189</v>
      </c>
      <c r="Y1216" s="28">
        <f t="shared" ca="1" si="206"/>
        <v>46842</v>
      </c>
      <c r="Z1216" s="28" t="str">
        <f t="shared" ca="1" si="207"/>
        <v>Upcoming</v>
      </c>
      <c r="AA1216" s="5" t="str" cm="1">
        <f t="array" ref="AA1216">_xlfn.IFS(W1216&gt;10,"Veteran",W1216&gt;=6,"Experienced",W1216&gt;=2,"Developing",W1216&gt;=0,"New")</f>
        <v>Experienced</v>
      </c>
      <c r="AB1216" s="5" t="str" cm="1">
        <f t="array" ref="AB1216">_xlfn.IFS(G1216=1,"Junior",G1216=2,"Mid-Level",G1216=3,"Senior",G1216=4,"Lead",G1216=5,"Principal")&amp;" "&amp;TRIM(PROPER(H1216))</f>
        <v>Senior Healthcare Representative</v>
      </c>
      <c r="AC1216" s="19" t="str">
        <f t="shared" ca="1" si="208"/>
        <v>He-Res-2018-1215 is a Senior Healthcare Representative in the Research &amp; Development department, aged 44, married and has been with the Company for 8years</v>
      </c>
    </row>
    <row r="1217" spans="1:29">
      <c r="A1217" s="18" t="str">
        <f t="shared" ca="1" si="198"/>
        <v>Re-Res-2021-1216</v>
      </c>
      <c r="B1217" s="5">
        <v>35</v>
      </c>
      <c r="C1217" s="5" t="str">
        <f t="shared" si="199"/>
        <v>30-39</v>
      </c>
      <c r="D1217" s="5" t="s">
        <v>43</v>
      </c>
      <c r="E1217" s="5" t="s">
        <v>45</v>
      </c>
      <c r="F1217" s="5" t="s">
        <v>46</v>
      </c>
      <c r="G1217" s="5">
        <v>1</v>
      </c>
      <c r="H1217" s="5" t="s">
        <v>47</v>
      </c>
      <c r="I1217" s="5" t="s">
        <v>41</v>
      </c>
      <c r="J1217" s="7">
        <v>4930</v>
      </c>
      <c r="K1217" s="7">
        <f t="shared" si="200"/>
        <v>739.5</v>
      </c>
      <c r="L1217" s="7">
        <f t="shared" si="201"/>
        <v>4190.5</v>
      </c>
      <c r="M1217" s="7">
        <v>13970</v>
      </c>
      <c r="N1217" s="5" t="s">
        <v>35</v>
      </c>
      <c r="O1217" s="5">
        <v>14</v>
      </c>
      <c r="P1217" s="7">
        <f t="shared" si="202"/>
        <v>5620.2000000000007</v>
      </c>
      <c r="Q1217" s="7">
        <f t="shared" si="203"/>
        <v>8282.4000000000087</v>
      </c>
      <c r="R1217" s="7" t="str">
        <f t="shared" si="204"/>
        <v>Normal</v>
      </c>
      <c r="S1217" s="5">
        <v>3</v>
      </c>
      <c r="T1217" s="5">
        <v>4</v>
      </c>
      <c r="U1217" s="5" t="str" cm="1">
        <f t="array" ref="U1217">_xlfn.IFS(T1217=1,"Poor",T1217=2,"Fair",T1217=3,"Good",T1217=4,"Excellent")</f>
        <v>Excellent</v>
      </c>
      <c r="V1217" s="5" t="s">
        <v>35</v>
      </c>
      <c r="W1217" s="5">
        <v>5</v>
      </c>
      <c r="X1217" s="28">
        <f t="shared" ca="1" si="205"/>
        <v>44285</v>
      </c>
      <c r="Y1217" s="28">
        <f t="shared" ca="1" si="206"/>
        <v>46476</v>
      </c>
      <c r="Z1217" s="28" t="str">
        <f t="shared" ca="1" si="207"/>
        <v>Due Soon</v>
      </c>
      <c r="AA1217" s="5" t="str" cm="1">
        <f t="array" ref="AA1217">_xlfn.IFS(W1217&gt;10,"Veteran",W1217&gt;=6,"Experienced",W1217&gt;=2,"Developing",W1217&gt;=0,"New")</f>
        <v>Developing</v>
      </c>
      <c r="AB1217" s="5" t="str" cm="1">
        <f t="array" ref="AB1217">_xlfn.IFS(G1217=1,"Junior",G1217=2,"Mid-Level",G1217=3,"Senior",G1217=4,"Lead",G1217=5,"Principal")&amp;" "&amp;TRIM(PROPER(H1217))</f>
        <v>Junior Research Scientist</v>
      </c>
      <c r="AC1217" s="19" t="str">
        <f t="shared" ca="1" si="208"/>
        <v>Re-Res-2021-1216 is a Junior Research Scientist in the Research &amp; Development department, aged 35, single and has been with the Company for 5years</v>
      </c>
    </row>
    <row r="1218" spans="1:29">
      <c r="A1218" s="18" t="str">
        <f t="shared" ca="1" si="198"/>
        <v>Sa-Sal-2016-1217</v>
      </c>
      <c r="B1218" s="5">
        <v>43</v>
      </c>
      <c r="C1218" s="5" t="str">
        <f t="shared" si="199"/>
        <v>40-49</v>
      </c>
      <c r="D1218" s="5" t="s">
        <v>43</v>
      </c>
      <c r="E1218" s="5" t="s">
        <v>37</v>
      </c>
      <c r="F1218" s="5" t="s">
        <v>46</v>
      </c>
      <c r="G1218" s="5">
        <v>2</v>
      </c>
      <c r="H1218" s="5" t="s">
        <v>40</v>
      </c>
      <c r="I1218" s="5" t="s">
        <v>48</v>
      </c>
      <c r="J1218" s="7">
        <v>7847</v>
      </c>
      <c r="K1218" s="7">
        <f t="shared" si="200"/>
        <v>1726.34</v>
      </c>
      <c r="L1218" s="7">
        <f t="shared" si="201"/>
        <v>6120.66</v>
      </c>
      <c r="M1218" s="7">
        <v>6069</v>
      </c>
      <c r="N1218" s="5" t="s">
        <v>35</v>
      </c>
      <c r="O1218" s="5">
        <v>17</v>
      </c>
      <c r="P1218" s="7">
        <f t="shared" si="202"/>
        <v>9180.99</v>
      </c>
      <c r="Q1218" s="7">
        <f t="shared" si="203"/>
        <v>16007.879999999997</v>
      </c>
      <c r="R1218" s="7" t="str">
        <f t="shared" si="204"/>
        <v>Normal</v>
      </c>
      <c r="S1218" s="5">
        <v>3</v>
      </c>
      <c r="T1218" s="5">
        <v>3</v>
      </c>
      <c r="U1218" s="5" t="str" cm="1">
        <f t="array" ref="U1218">_xlfn.IFS(T1218=1,"Poor",T1218=2,"Fair",T1218=3,"Good",T1218=4,"Excellent")</f>
        <v>Good</v>
      </c>
      <c r="V1218" s="5" t="s">
        <v>35</v>
      </c>
      <c r="W1218" s="5">
        <v>10</v>
      </c>
      <c r="X1218" s="28">
        <f t="shared" ca="1" si="205"/>
        <v>42459</v>
      </c>
      <c r="Y1218" s="28">
        <f t="shared" ca="1" si="206"/>
        <v>46842</v>
      </c>
      <c r="Z1218" s="28" t="str">
        <f t="shared" ca="1" si="207"/>
        <v>Upcoming</v>
      </c>
      <c r="AA1218" s="5" t="str" cm="1">
        <f t="array" ref="AA1218">_xlfn.IFS(W1218&gt;10,"Veteran",W1218&gt;=6,"Experienced",W1218&gt;=2,"Developing",W1218&gt;=0,"New")</f>
        <v>Experienced</v>
      </c>
      <c r="AB1218" s="5" t="str" cm="1">
        <f t="array" ref="AB1218">_xlfn.IFS(G1218=1,"Junior",G1218=2,"Mid-Level",G1218=3,"Senior",G1218=4,"Lead",G1218=5,"Principal")&amp;" "&amp;TRIM(PROPER(H1218))</f>
        <v>Mid-Level Sales Executive</v>
      </c>
      <c r="AC1218" s="19" t="str">
        <f t="shared" ca="1" si="208"/>
        <v>Sa-Sal-2016-1217 is a Mid-Level Sales Executive in the Sales department, aged 43, married and has been with the Company for 10years</v>
      </c>
    </row>
    <row r="1219" spans="1:29">
      <c r="A1219" s="18" t="str">
        <f t="shared" ref="A1219:A1282" ca="1" si="209">LEFT(H1219,2)&amp;"-"&amp;LEFT(E1219,3)&amp;"-"&amp;YEAR(TODAY())-W1219&amp;"-"&amp;TEXT(ROW()-1,"000")</f>
        <v>Re-Res-2021-1218</v>
      </c>
      <c r="B1219" s="5">
        <v>24</v>
      </c>
      <c r="C1219" s="5" t="str">
        <f t="shared" ref="C1219:C1282" si="210">IF(B1219&lt;=29,"20-29",IF(B1219&lt;=39,"30-39",IF(B1219&lt;=49,"40-49","50+")))</f>
        <v>20-29</v>
      </c>
      <c r="D1219" s="5" t="s">
        <v>43</v>
      </c>
      <c r="E1219" s="5" t="s">
        <v>45</v>
      </c>
      <c r="F1219" s="5" t="s">
        <v>46</v>
      </c>
      <c r="G1219" s="5">
        <v>1</v>
      </c>
      <c r="H1219" s="5" t="s">
        <v>47</v>
      </c>
      <c r="I1219" s="5" t="s">
        <v>48</v>
      </c>
      <c r="J1219" s="7">
        <v>4401</v>
      </c>
      <c r="K1219" s="7">
        <f t="shared" ref="K1219:K1282" si="211">IF(J1219&gt;13000,J1219*30%,IF(J1219&gt;7000,J1219*22%,IF(J1219&gt;3000,J1219*15%,J1219*7%)))</f>
        <v>660.15</v>
      </c>
      <c r="L1219" s="7">
        <f t="shared" ref="L1219:L1282" si="212">J1219-K1219</f>
        <v>3740.85</v>
      </c>
      <c r="M1219" s="7">
        <v>17616</v>
      </c>
      <c r="N1219" s="5" t="s">
        <v>43</v>
      </c>
      <c r="O1219" s="5">
        <v>16</v>
      </c>
      <c r="P1219" s="7">
        <f t="shared" ref="P1219:P1282" si="213">J1219*(1+(O1219/100))</f>
        <v>5105.16</v>
      </c>
      <c r="Q1219" s="7">
        <f t="shared" ref="Q1219:Q1282" si="214">(P1219-J1219)*12</f>
        <v>8449.9199999999983</v>
      </c>
      <c r="R1219" s="7" t="str">
        <f t="shared" ref="R1219:R1282" si="215">IF(AND(O1219&lt;12,S1219=4),"UnderPaid","Normal")</f>
        <v>Normal</v>
      </c>
      <c r="S1219" s="5">
        <v>3</v>
      </c>
      <c r="T1219" s="5">
        <v>3</v>
      </c>
      <c r="U1219" s="5" t="str" cm="1">
        <f t="array" ref="U1219">_xlfn.IFS(T1219=1,"Poor",T1219=2,"Fair",T1219=3,"Good",T1219=4,"Excellent")</f>
        <v>Good</v>
      </c>
      <c r="V1219" s="5" t="s">
        <v>43</v>
      </c>
      <c r="W1219" s="5">
        <v>5</v>
      </c>
      <c r="X1219" s="28">
        <f t="shared" ref="X1219:X1282" ca="1" si="216">EDATE(TODAY(),-W1219*12)</f>
        <v>44285</v>
      </c>
      <c r="Y1219" s="28">
        <f t="shared" ref="Y1219:Y1282" ca="1" si="217">EDATE(X1219,(INT(W1219/2)+1)*24)</f>
        <v>46476</v>
      </c>
      <c r="Z1219" s="28" t="str">
        <f t="shared" ref="Z1219:Z1282" ca="1" si="218">IF(Y1219&lt;=EDATE(TODAY(),12),"Due Soon","Upcoming")</f>
        <v>Due Soon</v>
      </c>
      <c r="AA1219" s="5" t="str" cm="1">
        <f t="array" ref="AA1219">_xlfn.IFS(W1219&gt;10,"Veteran",W1219&gt;=6,"Experienced",W1219&gt;=2,"Developing",W1219&gt;=0,"New")</f>
        <v>Developing</v>
      </c>
      <c r="AB1219" s="5" t="str" cm="1">
        <f t="array" ref="AB1219">_xlfn.IFS(G1219=1,"Junior",G1219=2,"Mid-Level",G1219=3,"Senior",G1219=4,"Lead",G1219=5,"Principal")&amp;" "&amp;TRIM(PROPER(H1219))</f>
        <v>Junior Research Scientist</v>
      </c>
      <c r="AC1219" s="19" t="str">
        <f t="shared" ref="AC1219:AC1282" ca="1" si="219">A1219&amp;" is a "&amp;AB1219&amp;" in the "&amp;E1219&amp;" department, aged "&amp;B1219&amp;", "&amp;LOWER(I1219)&amp;" and has been with the Company for "&amp;W1219&amp;"years"</f>
        <v>Re-Res-2021-1218 is a Junior Research Scientist in the Research &amp; Development department, aged 24, married and has been with the Company for 5years</v>
      </c>
    </row>
    <row r="1220" spans="1:29">
      <c r="A1220" s="18" t="str">
        <f t="shared" ca="1" si="209"/>
        <v>Sa-Sal-2016-1219</v>
      </c>
      <c r="B1220" s="5">
        <v>41</v>
      </c>
      <c r="C1220" s="5" t="str">
        <f t="shared" si="210"/>
        <v>40-49</v>
      </c>
      <c r="D1220" s="5" t="s">
        <v>43</v>
      </c>
      <c r="E1220" s="5" t="s">
        <v>37</v>
      </c>
      <c r="F1220" s="5" t="s">
        <v>46</v>
      </c>
      <c r="G1220" s="5">
        <v>3</v>
      </c>
      <c r="H1220" s="5" t="s">
        <v>40</v>
      </c>
      <c r="I1220" s="5" t="s">
        <v>41</v>
      </c>
      <c r="J1220" s="7">
        <v>9241</v>
      </c>
      <c r="K1220" s="7">
        <f t="shared" si="211"/>
        <v>2033.02</v>
      </c>
      <c r="L1220" s="7">
        <f t="shared" si="212"/>
        <v>7207.98</v>
      </c>
      <c r="M1220" s="7">
        <v>15869</v>
      </c>
      <c r="N1220" s="5" t="s">
        <v>43</v>
      </c>
      <c r="O1220" s="5">
        <v>12</v>
      </c>
      <c r="P1220" s="7">
        <f t="shared" si="213"/>
        <v>10349.920000000002</v>
      </c>
      <c r="Q1220" s="7">
        <f t="shared" si="214"/>
        <v>13307.040000000023</v>
      </c>
      <c r="R1220" s="7" t="str">
        <f t="shared" si="215"/>
        <v>Normal</v>
      </c>
      <c r="S1220" s="5">
        <v>3</v>
      </c>
      <c r="T1220" s="5">
        <v>3</v>
      </c>
      <c r="U1220" s="5" t="str" cm="1">
        <f t="array" ref="U1220">_xlfn.IFS(T1220=1,"Poor",T1220=2,"Fair",T1220=3,"Good",T1220=4,"Excellent")</f>
        <v>Good</v>
      </c>
      <c r="V1220" s="5" t="s">
        <v>43</v>
      </c>
      <c r="W1220" s="5">
        <v>10</v>
      </c>
      <c r="X1220" s="28">
        <f t="shared" ca="1" si="216"/>
        <v>42459</v>
      </c>
      <c r="Y1220" s="28">
        <f t="shared" ca="1" si="217"/>
        <v>46842</v>
      </c>
      <c r="Z1220" s="28" t="str">
        <f t="shared" ca="1" si="218"/>
        <v>Upcoming</v>
      </c>
      <c r="AA1220" s="5" t="str" cm="1">
        <f t="array" ref="AA1220">_xlfn.IFS(W1220&gt;10,"Veteran",W1220&gt;=6,"Experienced",W1220&gt;=2,"Developing",W1220&gt;=0,"New")</f>
        <v>Experienced</v>
      </c>
      <c r="AB1220" s="5" t="str" cm="1">
        <f t="array" ref="AB1220">_xlfn.IFS(G1220=1,"Junior",G1220=2,"Mid-Level",G1220=3,"Senior",G1220=4,"Lead",G1220=5,"Principal")&amp;" "&amp;TRIM(PROPER(H1220))</f>
        <v>Senior Sales Executive</v>
      </c>
      <c r="AC1220" s="19" t="str">
        <f t="shared" ca="1" si="219"/>
        <v>Sa-Sal-2016-1219 is a Senior Sales Executive in the Sales department, aged 41, single and has been with the Company for 10years</v>
      </c>
    </row>
    <row r="1221" spans="1:29">
      <c r="A1221" s="18" t="str">
        <f t="shared" ca="1" si="209"/>
        <v>La-Res-2021-1220</v>
      </c>
      <c r="B1221" s="5">
        <v>29</v>
      </c>
      <c r="C1221" s="5" t="str">
        <f t="shared" si="210"/>
        <v>20-29</v>
      </c>
      <c r="D1221" s="5" t="s">
        <v>43</v>
      </c>
      <c r="E1221" s="5" t="s">
        <v>45</v>
      </c>
      <c r="F1221" s="5" t="s">
        <v>39</v>
      </c>
      <c r="G1221" s="5">
        <v>1</v>
      </c>
      <c r="H1221" s="5" t="s">
        <v>50</v>
      </c>
      <c r="I1221" s="5" t="s">
        <v>48</v>
      </c>
      <c r="J1221" s="7">
        <v>2974</v>
      </c>
      <c r="K1221" s="7">
        <f t="shared" si="211"/>
        <v>208.18</v>
      </c>
      <c r="L1221" s="7">
        <f t="shared" si="212"/>
        <v>2765.82</v>
      </c>
      <c r="M1221" s="7">
        <v>25412</v>
      </c>
      <c r="N1221" s="5" t="s">
        <v>43</v>
      </c>
      <c r="O1221" s="5">
        <v>17</v>
      </c>
      <c r="P1221" s="7">
        <f t="shared" si="213"/>
        <v>3479.58</v>
      </c>
      <c r="Q1221" s="7">
        <f t="shared" si="214"/>
        <v>6066.9599999999991</v>
      </c>
      <c r="R1221" s="7" t="str">
        <f t="shared" si="215"/>
        <v>Normal</v>
      </c>
      <c r="S1221" s="5">
        <v>3</v>
      </c>
      <c r="T1221" s="5">
        <v>3</v>
      </c>
      <c r="U1221" s="5" t="str" cm="1">
        <f t="array" ref="U1221">_xlfn.IFS(T1221=1,"Poor",T1221=2,"Fair",T1221=3,"Good",T1221=4,"Excellent")</f>
        <v>Good</v>
      </c>
      <c r="V1221" s="5" t="s">
        <v>43</v>
      </c>
      <c r="W1221" s="5">
        <v>5</v>
      </c>
      <c r="X1221" s="28">
        <f t="shared" ca="1" si="216"/>
        <v>44285</v>
      </c>
      <c r="Y1221" s="28">
        <f t="shared" ca="1" si="217"/>
        <v>46476</v>
      </c>
      <c r="Z1221" s="28" t="str">
        <f t="shared" ca="1" si="218"/>
        <v>Due Soon</v>
      </c>
      <c r="AA1221" s="5" t="str" cm="1">
        <f t="array" ref="AA1221">_xlfn.IFS(W1221&gt;10,"Veteran",W1221&gt;=6,"Experienced",W1221&gt;=2,"Developing",W1221&gt;=0,"New")</f>
        <v>Developing</v>
      </c>
      <c r="AB1221" s="5" t="str" cm="1">
        <f t="array" ref="AB1221">_xlfn.IFS(G1221=1,"Junior",G1221=2,"Mid-Level",G1221=3,"Senior",G1221=4,"Lead",G1221=5,"Principal")&amp;" "&amp;TRIM(PROPER(H1221))</f>
        <v>Junior Laboratory Technician</v>
      </c>
      <c r="AC1221" s="19" t="str">
        <f t="shared" ca="1" si="219"/>
        <v>La-Res-2021-1220 is a Junior Laboratory Technician in the Research &amp; Development department, aged 29, married and has been with the Company for 5years</v>
      </c>
    </row>
    <row r="1222" spans="1:29">
      <c r="A1222" s="18" t="str">
        <f t="shared" ca="1" si="209"/>
        <v>Sa-Sal-2013-1221</v>
      </c>
      <c r="B1222" s="5">
        <v>36</v>
      </c>
      <c r="C1222" s="5" t="str">
        <f t="shared" si="210"/>
        <v>30-39</v>
      </c>
      <c r="D1222" s="5" t="s">
        <v>43</v>
      </c>
      <c r="E1222" s="5" t="s">
        <v>37</v>
      </c>
      <c r="F1222" s="5" t="s">
        <v>39</v>
      </c>
      <c r="G1222" s="5">
        <v>2</v>
      </c>
      <c r="H1222" s="5" t="s">
        <v>57</v>
      </c>
      <c r="I1222" s="5" t="s">
        <v>41</v>
      </c>
      <c r="J1222" s="7">
        <v>4502</v>
      </c>
      <c r="K1222" s="7">
        <f t="shared" si="211"/>
        <v>675.3</v>
      </c>
      <c r="L1222" s="7">
        <f t="shared" si="212"/>
        <v>3826.7</v>
      </c>
      <c r="M1222" s="7">
        <v>7439</v>
      </c>
      <c r="N1222" s="5" t="s">
        <v>43</v>
      </c>
      <c r="O1222" s="5">
        <v>15</v>
      </c>
      <c r="P1222" s="7">
        <f t="shared" si="213"/>
        <v>5177.2999999999993</v>
      </c>
      <c r="Q1222" s="7">
        <f t="shared" si="214"/>
        <v>8103.5999999999913</v>
      </c>
      <c r="R1222" s="7" t="str">
        <f t="shared" si="215"/>
        <v>Normal</v>
      </c>
      <c r="S1222" s="5">
        <v>3</v>
      </c>
      <c r="T1222" s="5">
        <v>2</v>
      </c>
      <c r="U1222" s="5" t="str" cm="1">
        <f t="array" ref="U1222">_xlfn.IFS(T1222=1,"Poor",T1222=2,"Fair",T1222=3,"Good",T1222=4,"Excellent")</f>
        <v>Fair</v>
      </c>
      <c r="V1222" s="5" t="s">
        <v>43</v>
      </c>
      <c r="W1222" s="5">
        <v>13</v>
      </c>
      <c r="X1222" s="28">
        <f t="shared" ca="1" si="216"/>
        <v>41363</v>
      </c>
      <c r="Y1222" s="28">
        <f t="shared" ca="1" si="217"/>
        <v>46476</v>
      </c>
      <c r="Z1222" s="28" t="str">
        <f t="shared" ca="1" si="218"/>
        <v>Due Soon</v>
      </c>
      <c r="AA1222" s="5" t="str" cm="1">
        <f t="array" ref="AA1222">_xlfn.IFS(W1222&gt;10,"Veteran",W1222&gt;=6,"Experienced",W1222&gt;=2,"Developing",W1222&gt;=0,"New")</f>
        <v>Veteran</v>
      </c>
      <c r="AB1222" s="5" t="str" cm="1">
        <f t="array" ref="AB1222">_xlfn.IFS(G1222=1,"Junior",G1222=2,"Mid-Level",G1222=3,"Senior",G1222=4,"Lead",G1222=5,"Principal")&amp;" "&amp;TRIM(PROPER(H1222))</f>
        <v>Mid-Level Sales Representative</v>
      </c>
      <c r="AC1222" s="19" t="str">
        <f t="shared" ca="1" si="219"/>
        <v>Sa-Sal-2013-1221 is a Mid-Level Sales Representative in the Sales department, aged 36, single and has been with the Company for 13years</v>
      </c>
    </row>
    <row r="1223" spans="1:29">
      <c r="A1223" s="18" t="str">
        <f t="shared" ca="1" si="209"/>
        <v>He-Res-2003-1222</v>
      </c>
      <c r="B1223" s="5">
        <v>45</v>
      </c>
      <c r="C1223" s="5" t="str">
        <f t="shared" si="210"/>
        <v>40-49</v>
      </c>
      <c r="D1223" s="5" t="s">
        <v>43</v>
      </c>
      <c r="E1223" s="5" t="s">
        <v>45</v>
      </c>
      <c r="F1223" s="5" t="s">
        <v>46</v>
      </c>
      <c r="G1223" s="5">
        <v>3</v>
      </c>
      <c r="H1223" s="5" t="s">
        <v>54</v>
      </c>
      <c r="I1223" s="5" t="s">
        <v>48</v>
      </c>
      <c r="J1223" s="7">
        <v>10748</v>
      </c>
      <c r="K1223" s="7">
        <f t="shared" si="211"/>
        <v>2364.56</v>
      </c>
      <c r="L1223" s="7">
        <f t="shared" si="212"/>
        <v>8383.44</v>
      </c>
      <c r="M1223" s="7">
        <v>3395</v>
      </c>
      <c r="N1223" s="5" t="s">
        <v>43</v>
      </c>
      <c r="O1223" s="5">
        <v>23</v>
      </c>
      <c r="P1223" s="7">
        <f t="shared" si="213"/>
        <v>13220.039999999999</v>
      </c>
      <c r="Q1223" s="7">
        <f t="shared" si="214"/>
        <v>29664.479999999989</v>
      </c>
      <c r="R1223" s="7" t="str">
        <f t="shared" si="215"/>
        <v>Normal</v>
      </c>
      <c r="S1223" s="5">
        <v>4</v>
      </c>
      <c r="T1223" s="5">
        <v>2</v>
      </c>
      <c r="U1223" s="5" t="str" cm="1">
        <f t="array" ref="U1223">_xlfn.IFS(T1223=1,"Poor",T1223=2,"Fair",T1223=3,"Good",T1223=4,"Excellent")</f>
        <v>Fair</v>
      </c>
      <c r="V1223" s="5" t="s">
        <v>43</v>
      </c>
      <c r="W1223" s="5">
        <v>23</v>
      </c>
      <c r="X1223" s="28">
        <f t="shared" ca="1" si="216"/>
        <v>37710</v>
      </c>
      <c r="Y1223" s="28">
        <f t="shared" ca="1" si="217"/>
        <v>46476</v>
      </c>
      <c r="Z1223" s="28" t="str">
        <f t="shared" ca="1" si="218"/>
        <v>Due Soon</v>
      </c>
      <c r="AA1223" s="5" t="str" cm="1">
        <f t="array" ref="AA1223">_xlfn.IFS(W1223&gt;10,"Veteran",W1223&gt;=6,"Experienced",W1223&gt;=2,"Developing",W1223&gt;=0,"New")</f>
        <v>Veteran</v>
      </c>
      <c r="AB1223" s="5" t="str" cm="1">
        <f t="array" ref="AB1223">_xlfn.IFS(G1223=1,"Junior",G1223=2,"Mid-Level",G1223=3,"Senior",G1223=4,"Lead",G1223=5,"Principal")&amp;" "&amp;TRIM(PROPER(H1223))</f>
        <v>Senior Healthcare Representative</v>
      </c>
      <c r="AC1223" s="19" t="str">
        <f t="shared" ca="1" si="219"/>
        <v>He-Res-2003-1222 is a Senior Healthcare Representative in the Research &amp; Development department, aged 45, married and has been with the Company for 23years</v>
      </c>
    </row>
    <row r="1224" spans="1:29">
      <c r="A1224" s="18" t="str">
        <f t="shared" ca="1" si="209"/>
        <v>Hu-Hum-2025-1223</v>
      </c>
      <c r="B1224" s="5">
        <v>24</v>
      </c>
      <c r="C1224" s="5" t="str">
        <f t="shared" si="210"/>
        <v>20-29</v>
      </c>
      <c r="D1224" s="5" t="s">
        <v>35</v>
      </c>
      <c r="E1224" s="5" t="s">
        <v>61</v>
      </c>
      <c r="F1224" s="5" t="s">
        <v>46</v>
      </c>
      <c r="G1224" s="5">
        <v>1</v>
      </c>
      <c r="H1224" s="5" t="s">
        <v>61</v>
      </c>
      <c r="I1224" s="5" t="s">
        <v>48</v>
      </c>
      <c r="J1224" s="7">
        <v>1555</v>
      </c>
      <c r="K1224" s="7">
        <f t="shared" si="211"/>
        <v>108.85000000000001</v>
      </c>
      <c r="L1224" s="7">
        <f t="shared" si="212"/>
        <v>1446.15</v>
      </c>
      <c r="M1224" s="7">
        <v>11585</v>
      </c>
      <c r="N1224" s="5" t="s">
        <v>43</v>
      </c>
      <c r="O1224" s="5">
        <v>11</v>
      </c>
      <c r="P1224" s="7">
        <f t="shared" si="213"/>
        <v>1726.0500000000002</v>
      </c>
      <c r="Q1224" s="7">
        <f t="shared" si="214"/>
        <v>2052.6000000000022</v>
      </c>
      <c r="R1224" s="7" t="str">
        <f t="shared" si="215"/>
        <v>Normal</v>
      </c>
      <c r="S1224" s="5">
        <v>3</v>
      </c>
      <c r="T1224" s="5">
        <v>3</v>
      </c>
      <c r="U1224" s="5" t="str" cm="1">
        <f t="array" ref="U1224">_xlfn.IFS(T1224=1,"Poor",T1224=2,"Fair",T1224=3,"Good",T1224=4,"Excellent")</f>
        <v>Good</v>
      </c>
      <c r="V1224" s="5" t="s">
        <v>43</v>
      </c>
      <c r="W1224" s="5">
        <v>1</v>
      </c>
      <c r="X1224" s="28">
        <f t="shared" ca="1" si="216"/>
        <v>45746</v>
      </c>
      <c r="Y1224" s="28">
        <f t="shared" ca="1" si="217"/>
        <v>46476</v>
      </c>
      <c r="Z1224" s="28" t="str">
        <f t="shared" ca="1" si="218"/>
        <v>Due Soon</v>
      </c>
      <c r="AA1224" s="5" t="str" cm="1">
        <f t="array" ref="AA1224">_xlfn.IFS(W1224&gt;10,"Veteran",W1224&gt;=6,"Experienced",W1224&gt;=2,"Developing",W1224&gt;=0,"New")</f>
        <v>New</v>
      </c>
      <c r="AB1224" s="5" t="str" cm="1">
        <f t="array" ref="AB1224">_xlfn.IFS(G1224=1,"Junior",G1224=2,"Mid-Level",G1224=3,"Senior",G1224=4,"Lead",G1224=5,"Principal")&amp;" "&amp;TRIM(PROPER(H1224))</f>
        <v>Junior Human Resources</v>
      </c>
      <c r="AC1224" s="19" t="str">
        <f t="shared" ca="1" si="219"/>
        <v>Hu-Hum-2025-1223 is a Junior Human Resources in the Human Resources department, aged 24, married and has been with the Company for 1years</v>
      </c>
    </row>
    <row r="1225" spans="1:29">
      <c r="A1225" s="18" t="str">
        <f t="shared" ca="1" si="209"/>
        <v>Sa-Sal-2003-1224</v>
      </c>
      <c r="B1225" s="5">
        <v>47</v>
      </c>
      <c r="C1225" s="5" t="str">
        <f t="shared" si="210"/>
        <v>40-49</v>
      </c>
      <c r="D1225" s="5" t="s">
        <v>35</v>
      </c>
      <c r="E1225" s="5" t="s">
        <v>37</v>
      </c>
      <c r="F1225" s="5" t="s">
        <v>46</v>
      </c>
      <c r="G1225" s="5">
        <v>4</v>
      </c>
      <c r="H1225" s="5" t="s">
        <v>40</v>
      </c>
      <c r="I1225" s="5" t="s">
        <v>48</v>
      </c>
      <c r="J1225" s="7">
        <v>12936</v>
      </c>
      <c r="K1225" s="7">
        <f t="shared" si="211"/>
        <v>2845.92</v>
      </c>
      <c r="L1225" s="7">
        <f t="shared" si="212"/>
        <v>10090.08</v>
      </c>
      <c r="M1225" s="7">
        <v>24164</v>
      </c>
      <c r="N1225" s="5" t="s">
        <v>43</v>
      </c>
      <c r="O1225" s="5">
        <v>11</v>
      </c>
      <c r="P1225" s="7">
        <f t="shared" si="213"/>
        <v>14358.960000000001</v>
      </c>
      <c r="Q1225" s="7">
        <f t="shared" si="214"/>
        <v>17075.520000000011</v>
      </c>
      <c r="R1225" s="7" t="str">
        <f t="shared" si="215"/>
        <v>Normal</v>
      </c>
      <c r="S1225" s="5">
        <v>3</v>
      </c>
      <c r="T1225" s="5">
        <v>1</v>
      </c>
      <c r="U1225" s="5" t="str" cm="1">
        <f t="array" ref="U1225">_xlfn.IFS(T1225=1,"Poor",T1225=2,"Fair",T1225=3,"Good",T1225=4,"Excellent")</f>
        <v>Poor</v>
      </c>
      <c r="V1225" s="5" t="s">
        <v>43</v>
      </c>
      <c r="W1225" s="5">
        <v>23</v>
      </c>
      <c r="X1225" s="28">
        <f t="shared" ca="1" si="216"/>
        <v>37710</v>
      </c>
      <c r="Y1225" s="28">
        <f t="shared" ca="1" si="217"/>
        <v>46476</v>
      </c>
      <c r="Z1225" s="28" t="str">
        <f t="shared" ca="1" si="218"/>
        <v>Due Soon</v>
      </c>
      <c r="AA1225" s="5" t="str" cm="1">
        <f t="array" ref="AA1225">_xlfn.IFS(W1225&gt;10,"Veteran",W1225&gt;=6,"Experienced",W1225&gt;=2,"Developing",W1225&gt;=0,"New")</f>
        <v>Veteran</v>
      </c>
      <c r="AB1225" s="5" t="str" cm="1">
        <f t="array" ref="AB1225">_xlfn.IFS(G1225=1,"Junior",G1225=2,"Mid-Level",G1225=3,"Senior",G1225=4,"Lead",G1225=5,"Principal")&amp;" "&amp;TRIM(PROPER(H1225))</f>
        <v>Lead Sales Executive</v>
      </c>
      <c r="AC1225" s="19" t="str">
        <f t="shared" ca="1" si="219"/>
        <v>Sa-Sal-2003-1224 is a Lead Sales Executive in the Sales department, aged 47, married and has been with the Company for 23years</v>
      </c>
    </row>
    <row r="1226" spans="1:29">
      <c r="A1226" s="18" t="str">
        <f t="shared" ca="1" si="209"/>
        <v>La-Res-2023-1225</v>
      </c>
      <c r="B1226" s="5">
        <v>26</v>
      </c>
      <c r="C1226" s="5" t="str">
        <f t="shared" si="210"/>
        <v>20-29</v>
      </c>
      <c r="D1226" s="5" t="s">
        <v>43</v>
      </c>
      <c r="E1226" s="5" t="s">
        <v>45</v>
      </c>
      <c r="F1226" s="5" t="s">
        <v>46</v>
      </c>
      <c r="G1226" s="5">
        <v>1</v>
      </c>
      <c r="H1226" s="5" t="s">
        <v>50</v>
      </c>
      <c r="I1226" s="5" t="s">
        <v>48</v>
      </c>
      <c r="J1226" s="7">
        <v>2305</v>
      </c>
      <c r="K1226" s="7">
        <f t="shared" si="211"/>
        <v>161.35000000000002</v>
      </c>
      <c r="L1226" s="7">
        <f t="shared" si="212"/>
        <v>2143.65</v>
      </c>
      <c r="M1226" s="7">
        <v>6217</v>
      </c>
      <c r="N1226" s="5" t="s">
        <v>43</v>
      </c>
      <c r="O1226" s="5">
        <v>15</v>
      </c>
      <c r="P1226" s="7">
        <f t="shared" si="213"/>
        <v>2650.75</v>
      </c>
      <c r="Q1226" s="7">
        <f t="shared" si="214"/>
        <v>4149</v>
      </c>
      <c r="R1226" s="7" t="str">
        <f t="shared" si="215"/>
        <v>Normal</v>
      </c>
      <c r="S1226" s="5">
        <v>3</v>
      </c>
      <c r="T1226" s="5">
        <v>4</v>
      </c>
      <c r="U1226" s="5" t="str" cm="1">
        <f t="array" ref="U1226">_xlfn.IFS(T1226=1,"Poor",T1226=2,"Fair",T1226=3,"Good",T1226=4,"Excellent")</f>
        <v>Excellent</v>
      </c>
      <c r="V1226" s="5" t="s">
        <v>43</v>
      </c>
      <c r="W1226" s="5">
        <v>3</v>
      </c>
      <c r="X1226" s="28">
        <f t="shared" ca="1" si="216"/>
        <v>45015</v>
      </c>
      <c r="Y1226" s="28">
        <f t="shared" ca="1" si="217"/>
        <v>46476</v>
      </c>
      <c r="Z1226" s="28" t="str">
        <f t="shared" ca="1" si="218"/>
        <v>Due Soon</v>
      </c>
      <c r="AA1226" s="5" t="str" cm="1">
        <f t="array" ref="AA1226">_xlfn.IFS(W1226&gt;10,"Veteran",W1226&gt;=6,"Experienced",W1226&gt;=2,"Developing",W1226&gt;=0,"New")</f>
        <v>Developing</v>
      </c>
      <c r="AB1226" s="5" t="str" cm="1">
        <f t="array" ref="AB1226">_xlfn.IFS(G1226=1,"Junior",G1226=2,"Mid-Level",G1226=3,"Senior",G1226=4,"Lead",G1226=5,"Principal")&amp;" "&amp;TRIM(PROPER(H1226))</f>
        <v>Junior Laboratory Technician</v>
      </c>
      <c r="AC1226" s="19" t="str">
        <f t="shared" ca="1" si="219"/>
        <v>La-Res-2023-1225 is a Junior Laboratory Technician in the Research &amp; Development department, aged 26, married and has been with the Company for 3years</v>
      </c>
    </row>
    <row r="1227" spans="1:29">
      <c r="A1227" s="18" t="str">
        <f t="shared" ca="1" si="209"/>
        <v>Re-Res-2005-1226</v>
      </c>
      <c r="B1227" s="5">
        <v>45</v>
      </c>
      <c r="C1227" s="5" t="str">
        <f t="shared" si="210"/>
        <v>40-49</v>
      </c>
      <c r="D1227" s="5" t="s">
        <v>43</v>
      </c>
      <c r="E1227" s="5" t="s">
        <v>45</v>
      </c>
      <c r="F1227" s="5" t="s">
        <v>39</v>
      </c>
      <c r="G1227" s="5">
        <v>4</v>
      </c>
      <c r="H1227" s="5" t="s">
        <v>58</v>
      </c>
      <c r="I1227" s="5" t="s">
        <v>41</v>
      </c>
      <c r="J1227" s="7">
        <v>16704</v>
      </c>
      <c r="K1227" s="7">
        <f t="shared" si="211"/>
        <v>5011.2</v>
      </c>
      <c r="L1227" s="7">
        <f t="shared" si="212"/>
        <v>11692.8</v>
      </c>
      <c r="M1227" s="7">
        <v>17119</v>
      </c>
      <c r="N1227" s="5" t="s">
        <v>43</v>
      </c>
      <c r="O1227" s="5">
        <v>11</v>
      </c>
      <c r="P1227" s="7">
        <f t="shared" si="213"/>
        <v>18541.440000000002</v>
      </c>
      <c r="Q1227" s="7">
        <f t="shared" si="214"/>
        <v>22049.280000000028</v>
      </c>
      <c r="R1227" s="7" t="str">
        <f t="shared" si="215"/>
        <v>Normal</v>
      </c>
      <c r="S1227" s="5">
        <v>3</v>
      </c>
      <c r="T1227" s="5">
        <v>3</v>
      </c>
      <c r="U1227" s="5" t="str" cm="1">
        <f t="array" ref="U1227">_xlfn.IFS(T1227=1,"Poor",T1227=2,"Fair",T1227=3,"Good",T1227=4,"Excellent")</f>
        <v>Good</v>
      </c>
      <c r="V1227" s="5" t="s">
        <v>43</v>
      </c>
      <c r="W1227" s="5">
        <v>21</v>
      </c>
      <c r="X1227" s="28">
        <f t="shared" ca="1" si="216"/>
        <v>38441</v>
      </c>
      <c r="Y1227" s="28">
        <f t="shared" ca="1" si="217"/>
        <v>46476</v>
      </c>
      <c r="Z1227" s="28" t="str">
        <f t="shared" ca="1" si="218"/>
        <v>Due Soon</v>
      </c>
      <c r="AA1227" s="5" t="str" cm="1">
        <f t="array" ref="AA1227">_xlfn.IFS(W1227&gt;10,"Veteran",W1227&gt;=6,"Experienced",W1227&gt;=2,"Developing",W1227&gt;=0,"New")</f>
        <v>Veteran</v>
      </c>
      <c r="AB1227" s="5" t="str" cm="1">
        <f t="array" ref="AB1227">_xlfn.IFS(G1227=1,"Junior",G1227=2,"Mid-Level",G1227=3,"Senior",G1227=4,"Lead",G1227=5,"Principal")&amp;" "&amp;TRIM(PROPER(H1227))</f>
        <v>Lead Research Director</v>
      </c>
      <c r="AC1227" s="19" t="str">
        <f t="shared" ca="1" si="219"/>
        <v>Re-Res-2005-1226 is a Lead Research Director in the Research &amp; Development department, aged 45, single and has been with the Company for 21years</v>
      </c>
    </row>
    <row r="1228" spans="1:29">
      <c r="A1228" s="18" t="str">
        <f t="shared" ca="1" si="209"/>
        <v>Re-Res-2021-1227</v>
      </c>
      <c r="B1228" s="5">
        <v>32</v>
      </c>
      <c r="C1228" s="5" t="str">
        <f t="shared" si="210"/>
        <v>30-39</v>
      </c>
      <c r="D1228" s="5" t="s">
        <v>43</v>
      </c>
      <c r="E1228" s="5" t="s">
        <v>45</v>
      </c>
      <c r="F1228" s="5" t="s">
        <v>46</v>
      </c>
      <c r="G1228" s="5">
        <v>1</v>
      </c>
      <c r="H1228" s="5" t="s">
        <v>47</v>
      </c>
      <c r="I1228" s="5" t="s">
        <v>48</v>
      </c>
      <c r="J1228" s="7">
        <v>3433</v>
      </c>
      <c r="K1228" s="7">
        <f t="shared" si="211"/>
        <v>514.94999999999993</v>
      </c>
      <c r="L1228" s="7">
        <f t="shared" si="212"/>
        <v>2918.05</v>
      </c>
      <c r="M1228" s="7">
        <v>17360</v>
      </c>
      <c r="N1228" s="5" t="s">
        <v>43</v>
      </c>
      <c r="O1228" s="5">
        <v>13</v>
      </c>
      <c r="P1228" s="7">
        <f t="shared" si="213"/>
        <v>3879.2899999999995</v>
      </c>
      <c r="Q1228" s="7">
        <f t="shared" si="214"/>
        <v>5355.4799999999941</v>
      </c>
      <c r="R1228" s="7" t="str">
        <f t="shared" si="215"/>
        <v>Normal</v>
      </c>
      <c r="S1228" s="5">
        <v>3</v>
      </c>
      <c r="T1228" s="5">
        <v>2</v>
      </c>
      <c r="U1228" s="5" t="str" cm="1">
        <f t="array" ref="U1228">_xlfn.IFS(T1228=1,"Poor",T1228=2,"Fair",T1228=3,"Good",T1228=4,"Excellent")</f>
        <v>Fair</v>
      </c>
      <c r="V1228" s="5" t="s">
        <v>43</v>
      </c>
      <c r="W1228" s="5">
        <v>5</v>
      </c>
      <c r="X1228" s="28">
        <f t="shared" ca="1" si="216"/>
        <v>44285</v>
      </c>
      <c r="Y1228" s="28">
        <f t="shared" ca="1" si="217"/>
        <v>46476</v>
      </c>
      <c r="Z1228" s="28" t="str">
        <f t="shared" ca="1" si="218"/>
        <v>Due Soon</v>
      </c>
      <c r="AA1228" s="5" t="str" cm="1">
        <f t="array" ref="AA1228">_xlfn.IFS(W1228&gt;10,"Veteran",W1228&gt;=6,"Experienced",W1228&gt;=2,"Developing",W1228&gt;=0,"New")</f>
        <v>Developing</v>
      </c>
      <c r="AB1228" s="5" t="str" cm="1">
        <f t="array" ref="AB1228">_xlfn.IFS(G1228=1,"Junior",G1228=2,"Mid-Level",G1228=3,"Senior",G1228=4,"Lead",G1228=5,"Principal")&amp;" "&amp;TRIM(PROPER(H1228))</f>
        <v>Junior Research Scientist</v>
      </c>
      <c r="AC1228" s="19" t="str">
        <f t="shared" ca="1" si="219"/>
        <v>Re-Res-2021-1227 is a Junior Research Scientist in the Research &amp; Development department, aged 32, married and has been with the Company for 5years</v>
      </c>
    </row>
    <row r="1229" spans="1:29">
      <c r="A1229" s="18" t="str">
        <f t="shared" ca="1" si="209"/>
        <v>La-Res-2021-1228</v>
      </c>
      <c r="B1229" s="5">
        <v>31</v>
      </c>
      <c r="C1229" s="5" t="str">
        <f t="shared" si="210"/>
        <v>30-39</v>
      </c>
      <c r="D1229" s="5" t="s">
        <v>43</v>
      </c>
      <c r="E1229" s="5" t="s">
        <v>45</v>
      </c>
      <c r="F1229" s="5" t="s">
        <v>46</v>
      </c>
      <c r="G1229" s="5">
        <v>1</v>
      </c>
      <c r="H1229" s="5" t="s">
        <v>50</v>
      </c>
      <c r="I1229" s="5" t="s">
        <v>48</v>
      </c>
      <c r="J1229" s="7">
        <v>3477</v>
      </c>
      <c r="K1229" s="7">
        <f t="shared" si="211"/>
        <v>521.54999999999995</v>
      </c>
      <c r="L1229" s="7">
        <f t="shared" si="212"/>
        <v>2955.45</v>
      </c>
      <c r="M1229" s="7">
        <v>18103</v>
      </c>
      <c r="N1229" s="5" t="s">
        <v>43</v>
      </c>
      <c r="O1229" s="5">
        <v>14</v>
      </c>
      <c r="P1229" s="7">
        <f t="shared" si="213"/>
        <v>3963.7800000000007</v>
      </c>
      <c r="Q1229" s="7">
        <f t="shared" si="214"/>
        <v>5841.3600000000079</v>
      </c>
      <c r="R1229" s="7" t="str">
        <f t="shared" si="215"/>
        <v>Normal</v>
      </c>
      <c r="S1229" s="5">
        <v>3</v>
      </c>
      <c r="T1229" s="5">
        <v>4</v>
      </c>
      <c r="U1229" s="5" t="str" cm="1">
        <f t="array" ref="U1229">_xlfn.IFS(T1229=1,"Poor",T1229=2,"Fair",T1229=3,"Good",T1229=4,"Excellent")</f>
        <v>Excellent</v>
      </c>
      <c r="V1229" s="5" t="s">
        <v>43</v>
      </c>
      <c r="W1229" s="5">
        <v>5</v>
      </c>
      <c r="X1229" s="28">
        <f t="shared" ca="1" si="216"/>
        <v>44285</v>
      </c>
      <c r="Y1229" s="28">
        <f t="shared" ca="1" si="217"/>
        <v>46476</v>
      </c>
      <c r="Z1229" s="28" t="str">
        <f t="shared" ca="1" si="218"/>
        <v>Due Soon</v>
      </c>
      <c r="AA1229" s="5" t="str" cm="1">
        <f t="array" ref="AA1229">_xlfn.IFS(W1229&gt;10,"Veteran",W1229&gt;=6,"Experienced",W1229&gt;=2,"Developing",W1229&gt;=0,"New")</f>
        <v>Developing</v>
      </c>
      <c r="AB1229" s="5" t="str" cm="1">
        <f t="array" ref="AB1229">_xlfn.IFS(G1229=1,"Junior",G1229=2,"Mid-Level",G1229=3,"Senior",G1229=4,"Lead",G1229=5,"Principal")&amp;" "&amp;TRIM(PROPER(H1229))</f>
        <v>Junior Laboratory Technician</v>
      </c>
      <c r="AC1229" s="19" t="str">
        <f t="shared" ca="1" si="219"/>
        <v>La-Res-2021-1228 is a Junior Laboratory Technician in the Research &amp; Development department, aged 31, married and has been with the Company for 5years</v>
      </c>
    </row>
    <row r="1230" spans="1:29">
      <c r="A1230" s="18" t="str">
        <f t="shared" ca="1" si="209"/>
        <v>Hu-Hum-2023-1229</v>
      </c>
      <c r="B1230" s="5">
        <v>41</v>
      </c>
      <c r="C1230" s="5" t="str">
        <f t="shared" si="210"/>
        <v>40-49</v>
      </c>
      <c r="D1230" s="5" t="s">
        <v>43</v>
      </c>
      <c r="E1230" s="5" t="s">
        <v>61</v>
      </c>
      <c r="F1230" s="5" t="s">
        <v>46</v>
      </c>
      <c r="G1230" s="5">
        <v>2</v>
      </c>
      <c r="H1230" s="5" t="s">
        <v>61</v>
      </c>
      <c r="I1230" s="5" t="s">
        <v>48</v>
      </c>
      <c r="J1230" s="7">
        <v>6430</v>
      </c>
      <c r="K1230" s="7">
        <f t="shared" si="211"/>
        <v>964.5</v>
      </c>
      <c r="L1230" s="7">
        <f t="shared" si="212"/>
        <v>5465.5</v>
      </c>
      <c r="M1230" s="7">
        <v>20794</v>
      </c>
      <c r="N1230" s="5" t="s">
        <v>43</v>
      </c>
      <c r="O1230" s="5">
        <v>19</v>
      </c>
      <c r="P1230" s="7">
        <f t="shared" si="213"/>
        <v>7651.7</v>
      </c>
      <c r="Q1230" s="7">
        <f t="shared" si="214"/>
        <v>14660.399999999998</v>
      </c>
      <c r="R1230" s="7" t="str">
        <f t="shared" si="215"/>
        <v>Normal</v>
      </c>
      <c r="S1230" s="5">
        <v>3</v>
      </c>
      <c r="T1230" s="5">
        <v>3</v>
      </c>
      <c r="U1230" s="5" t="str" cm="1">
        <f t="array" ref="U1230">_xlfn.IFS(T1230=1,"Poor",T1230=2,"Fair",T1230=3,"Good",T1230=4,"Excellent")</f>
        <v>Good</v>
      </c>
      <c r="V1230" s="5" t="s">
        <v>43</v>
      </c>
      <c r="W1230" s="5">
        <v>3</v>
      </c>
      <c r="X1230" s="28">
        <f t="shared" ca="1" si="216"/>
        <v>45015</v>
      </c>
      <c r="Y1230" s="28">
        <f t="shared" ca="1" si="217"/>
        <v>46476</v>
      </c>
      <c r="Z1230" s="28" t="str">
        <f t="shared" ca="1" si="218"/>
        <v>Due Soon</v>
      </c>
      <c r="AA1230" s="5" t="str" cm="1">
        <f t="array" ref="AA1230">_xlfn.IFS(W1230&gt;10,"Veteran",W1230&gt;=6,"Experienced",W1230&gt;=2,"Developing",W1230&gt;=0,"New")</f>
        <v>Developing</v>
      </c>
      <c r="AB1230" s="5" t="str" cm="1">
        <f t="array" ref="AB1230">_xlfn.IFS(G1230=1,"Junior",G1230=2,"Mid-Level",G1230=3,"Senior",G1230=4,"Lead",G1230=5,"Principal")&amp;" "&amp;TRIM(PROPER(H1230))</f>
        <v>Mid-Level Human Resources</v>
      </c>
      <c r="AC1230" s="19" t="str">
        <f t="shared" ca="1" si="219"/>
        <v>Hu-Hum-2023-1229 is a Mid-Level Human Resources in the Human Resources department, aged 41, married and has been with the Company for 3years</v>
      </c>
    </row>
    <row r="1231" spans="1:29">
      <c r="A1231" s="18" t="str">
        <f t="shared" ca="1" si="209"/>
        <v>Ma-Res-2025-1230</v>
      </c>
      <c r="B1231" s="5">
        <v>40</v>
      </c>
      <c r="C1231" s="5" t="str">
        <f t="shared" si="210"/>
        <v>40-49</v>
      </c>
      <c r="D1231" s="5" t="s">
        <v>43</v>
      </c>
      <c r="E1231" s="5" t="s">
        <v>45</v>
      </c>
      <c r="F1231" s="5" t="s">
        <v>39</v>
      </c>
      <c r="G1231" s="5">
        <v>2</v>
      </c>
      <c r="H1231" s="5" t="s">
        <v>53</v>
      </c>
      <c r="I1231" s="5" t="s">
        <v>48</v>
      </c>
      <c r="J1231" s="7">
        <v>6516</v>
      </c>
      <c r="K1231" s="7">
        <f t="shared" si="211"/>
        <v>977.4</v>
      </c>
      <c r="L1231" s="7">
        <f t="shared" si="212"/>
        <v>5538.6</v>
      </c>
      <c r="M1231" s="7">
        <v>5041</v>
      </c>
      <c r="N1231" s="5" t="s">
        <v>35</v>
      </c>
      <c r="O1231" s="5">
        <v>16</v>
      </c>
      <c r="P1231" s="7">
        <f t="shared" si="213"/>
        <v>7558.5599999999995</v>
      </c>
      <c r="Q1231" s="7">
        <f t="shared" si="214"/>
        <v>12510.719999999994</v>
      </c>
      <c r="R1231" s="7" t="str">
        <f t="shared" si="215"/>
        <v>Normal</v>
      </c>
      <c r="S1231" s="5">
        <v>3</v>
      </c>
      <c r="T1231" s="5">
        <v>3</v>
      </c>
      <c r="U1231" s="5" t="str" cm="1">
        <f t="array" ref="U1231">_xlfn.IFS(T1231=1,"Poor",T1231=2,"Fair",T1231=3,"Good",T1231=4,"Excellent")</f>
        <v>Good</v>
      </c>
      <c r="V1231" s="5" t="s">
        <v>35</v>
      </c>
      <c r="W1231" s="5">
        <v>1</v>
      </c>
      <c r="X1231" s="28">
        <f t="shared" ca="1" si="216"/>
        <v>45746</v>
      </c>
      <c r="Y1231" s="28">
        <f t="shared" ca="1" si="217"/>
        <v>46476</v>
      </c>
      <c r="Z1231" s="28" t="str">
        <f t="shared" ca="1" si="218"/>
        <v>Due Soon</v>
      </c>
      <c r="AA1231" s="5" t="str" cm="1">
        <f t="array" ref="AA1231">_xlfn.IFS(W1231&gt;10,"Veteran",W1231&gt;=6,"Experienced",W1231&gt;=2,"Developing",W1231&gt;=0,"New")</f>
        <v>New</v>
      </c>
      <c r="AB1231" s="5" t="str" cm="1">
        <f t="array" ref="AB1231">_xlfn.IFS(G1231=1,"Junior",G1231=2,"Mid-Level",G1231=3,"Senior",G1231=4,"Lead",G1231=5,"Principal")&amp;" "&amp;TRIM(PROPER(H1231))</f>
        <v>Mid-Level Manufacturing Director</v>
      </c>
      <c r="AC1231" s="19" t="str">
        <f t="shared" ca="1" si="219"/>
        <v>Ma-Res-2025-1230 is a Mid-Level Manufacturing Director in the Research &amp; Development department, aged 40, married and has been with the Company for 1years</v>
      </c>
    </row>
    <row r="1232" spans="1:29">
      <c r="A1232" s="18" t="str">
        <f t="shared" ca="1" si="209"/>
        <v>La-Res-2020-1231</v>
      </c>
      <c r="B1232" s="5">
        <v>24</v>
      </c>
      <c r="C1232" s="5" t="str">
        <f t="shared" si="210"/>
        <v>20-29</v>
      </c>
      <c r="D1232" s="5" t="s">
        <v>43</v>
      </c>
      <c r="E1232" s="5" t="s">
        <v>45</v>
      </c>
      <c r="F1232" s="5" t="s">
        <v>46</v>
      </c>
      <c r="G1232" s="5">
        <v>1</v>
      </c>
      <c r="H1232" s="5" t="s">
        <v>50</v>
      </c>
      <c r="I1232" s="5" t="s">
        <v>52</v>
      </c>
      <c r="J1232" s="7">
        <v>3907</v>
      </c>
      <c r="K1232" s="7">
        <f t="shared" si="211"/>
        <v>586.04999999999995</v>
      </c>
      <c r="L1232" s="7">
        <f t="shared" si="212"/>
        <v>3320.95</v>
      </c>
      <c r="M1232" s="7">
        <v>3622</v>
      </c>
      <c r="N1232" s="5" t="s">
        <v>43</v>
      </c>
      <c r="O1232" s="5">
        <v>13</v>
      </c>
      <c r="P1232" s="7">
        <f t="shared" si="213"/>
        <v>4414.91</v>
      </c>
      <c r="Q1232" s="7">
        <f t="shared" si="214"/>
        <v>6094.9199999999983</v>
      </c>
      <c r="R1232" s="7" t="str">
        <f t="shared" si="215"/>
        <v>Normal</v>
      </c>
      <c r="S1232" s="5">
        <v>3</v>
      </c>
      <c r="T1232" s="5">
        <v>4</v>
      </c>
      <c r="U1232" s="5" t="str" cm="1">
        <f t="array" ref="U1232">_xlfn.IFS(T1232=1,"Poor",T1232=2,"Fair",T1232=3,"Good",T1232=4,"Excellent")</f>
        <v>Excellent</v>
      </c>
      <c r="V1232" s="5" t="s">
        <v>43</v>
      </c>
      <c r="W1232" s="5">
        <v>6</v>
      </c>
      <c r="X1232" s="28">
        <f t="shared" ca="1" si="216"/>
        <v>43920</v>
      </c>
      <c r="Y1232" s="28">
        <f t="shared" ca="1" si="217"/>
        <v>46842</v>
      </c>
      <c r="Z1232" s="28" t="str">
        <f t="shared" ca="1" si="218"/>
        <v>Upcoming</v>
      </c>
      <c r="AA1232" s="5" t="str" cm="1">
        <f t="array" ref="AA1232">_xlfn.IFS(W1232&gt;10,"Veteran",W1232&gt;=6,"Experienced",W1232&gt;=2,"Developing",W1232&gt;=0,"New")</f>
        <v>Experienced</v>
      </c>
      <c r="AB1232" s="5" t="str" cm="1">
        <f t="array" ref="AB1232">_xlfn.IFS(G1232=1,"Junior",G1232=2,"Mid-Level",G1232=3,"Senior",G1232=4,"Lead",G1232=5,"Principal")&amp;" "&amp;TRIM(PROPER(H1232))</f>
        <v>Junior Laboratory Technician</v>
      </c>
      <c r="AC1232" s="19" t="str">
        <f t="shared" ca="1" si="219"/>
        <v>La-Res-2020-1231 is a Junior Laboratory Technician in the Research &amp; Development department, aged 24, divorced and has been with the Company for 6years</v>
      </c>
    </row>
    <row r="1233" spans="1:29">
      <c r="A1233" s="18" t="str">
        <f t="shared" ca="1" si="209"/>
        <v>He-Res-2016-1232</v>
      </c>
      <c r="B1233" s="5">
        <v>46</v>
      </c>
      <c r="C1233" s="5" t="str">
        <f t="shared" si="210"/>
        <v>40-49</v>
      </c>
      <c r="D1233" s="5" t="s">
        <v>43</v>
      </c>
      <c r="E1233" s="5" t="s">
        <v>45</v>
      </c>
      <c r="F1233" s="5" t="s">
        <v>46</v>
      </c>
      <c r="G1233" s="5">
        <v>2</v>
      </c>
      <c r="H1233" s="5" t="s">
        <v>54</v>
      </c>
      <c r="I1233" s="5" t="s">
        <v>41</v>
      </c>
      <c r="J1233" s="7">
        <v>5562</v>
      </c>
      <c r="K1233" s="7">
        <f t="shared" si="211"/>
        <v>834.3</v>
      </c>
      <c r="L1233" s="7">
        <f t="shared" si="212"/>
        <v>4727.7</v>
      </c>
      <c r="M1233" s="7">
        <v>9697</v>
      </c>
      <c r="N1233" s="5" t="s">
        <v>43</v>
      </c>
      <c r="O1233" s="5">
        <v>14</v>
      </c>
      <c r="P1233" s="7">
        <f t="shared" si="213"/>
        <v>6340.68</v>
      </c>
      <c r="Q1233" s="7">
        <f t="shared" si="214"/>
        <v>9344.1600000000035</v>
      </c>
      <c r="R1233" s="7" t="str">
        <f t="shared" si="215"/>
        <v>Normal</v>
      </c>
      <c r="S1233" s="5">
        <v>3</v>
      </c>
      <c r="T1233" s="5">
        <v>3</v>
      </c>
      <c r="U1233" s="5" t="str" cm="1">
        <f t="array" ref="U1233">_xlfn.IFS(T1233=1,"Poor",T1233=2,"Fair",T1233=3,"Good",T1233=4,"Excellent")</f>
        <v>Good</v>
      </c>
      <c r="V1233" s="5" t="s">
        <v>43</v>
      </c>
      <c r="W1233" s="5">
        <v>10</v>
      </c>
      <c r="X1233" s="28">
        <f t="shared" ca="1" si="216"/>
        <v>42459</v>
      </c>
      <c r="Y1233" s="28">
        <f t="shared" ca="1" si="217"/>
        <v>46842</v>
      </c>
      <c r="Z1233" s="28" t="str">
        <f t="shared" ca="1" si="218"/>
        <v>Upcoming</v>
      </c>
      <c r="AA1233" s="5" t="str" cm="1">
        <f t="array" ref="AA1233">_xlfn.IFS(W1233&gt;10,"Veteran",W1233&gt;=6,"Experienced",W1233&gt;=2,"Developing",W1233&gt;=0,"New")</f>
        <v>Experienced</v>
      </c>
      <c r="AB1233" s="5" t="str" cm="1">
        <f t="array" ref="AB1233">_xlfn.IFS(G1233=1,"Junior",G1233=2,"Mid-Level",G1233=3,"Senior",G1233=4,"Lead",G1233=5,"Principal")&amp;" "&amp;TRIM(PROPER(H1233))</f>
        <v>Mid-Level Healthcare Representative</v>
      </c>
      <c r="AC1233" s="19" t="str">
        <f t="shared" ca="1" si="219"/>
        <v>He-Res-2016-1232 is a Mid-Level Healthcare Representative in the Research &amp; Development department, aged 46, single and has been with the Company for 10years</v>
      </c>
    </row>
    <row r="1234" spans="1:29">
      <c r="A1234" s="18" t="str">
        <f t="shared" ca="1" si="209"/>
        <v>Ma-Res-2019-1233</v>
      </c>
      <c r="B1234" s="5">
        <v>35</v>
      </c>
      <c r="C1234" s="5" t="str">
        <f t="shared" si="210"/>
        <v>30-39</v>
      </c>
      <c r="D1234" s="5" t="s">
        <v>43</v>
      </c>
      <c r="E1234" s="5" t="s">
        <v>45</v>
      </c>
      <c r="F1234" s="5" t="s">
        <v>46</v>
      </c>
      <c r="G1234" s="5">
        <v>2</v>
      </c>
      <c r="H1234" s="5" t="s">
        <v>53</v>
      </c>
      <c r="I1234" s="5" t="s">
        <v>48</v>
      </c>
      <c r="J1234" s="7">
        <v>6883</v>
      </c>
      <c r="K1234" s="7">
        <f t="shared" si="211"/>
        <v>1032.45</v>
      </c>
      <c r="L1234" s="7">
        <f t="shared" si="212"/>
        <v>5850.55</v>
      </c>
      <c r="M1234" s="7">
        <v>5151</v>
      </c>
      <c r="N1234" s="5" t="s">
        <v>43</v>
      </c>
      <c r="O1234" s="5">
        <v>16</v>
      </c>
      <c r="P1234" s="7">
        <f t="shared" si="213"/>
        <v>7984.28</v>
      </c>
      <c r="Q1234" s="7">
        <f t="shared" si="214"/>
        <v>13215.359999999997</v>
      </c>
      <c r="R1234" s="7" t="str">
        <f t="shared" si="215"/>
        <v>Normal</v>
      </c>
      <c r="S1234" s="5">
        <v>3</v>
      </c>
      <c r="T1234" s="5">
        <v>3</v>
      </c>
      <c r="U1234" s="5" t="str" cm="1">
        <f t="array" ref="U1234">_xlfn.IFS(T1234=1,"Poor",T1234=2,"Fair",T1234=3,"Good",T1234=4,"Excellent")</f>
        <v>Good</v>
      </c>
      <c r="V1234" s="5" t="s">
        <v>43</v>
      </c>
      <c r="W1234" s="5">
        <v>7</v>
      </c>
      <c r="X1234" s="28">
        <f t="shared" ca="1" si="216"/>
        <v>43554</v>
      </c>
      <c r="Y1234" s="28">
        <f t="shared" ca="1" si="217"/>
        <v>46476</v>
      </c>
      <c r="Z1234" s="28" t="str">
        <f t="shared" ca="1" si="218"/>
        <v>Due Soon</v>
      </c>
      <c r="AA1234" s="5" t="str" cm="1">
        <f t="array" ref="AA1234">_xlfn.IFS(W1234&gt;10,"Veteran",W1234&gt;=6,"Experienced",W1234&gt;=2,"Developing",W1234&gt;=0,"New")</f>
        <v>Experienced</v>
      </c>
      <c r="AB1234" s="5" t="str" cm="1">
        <f t="array" ref="AB1234">_xlfn.IFS(G1234=1,"Junior",G1234=2,"Mid-Level",G1234=3,"Senior",G1234=4,"Lead",G1234=5,"Principal")&amp;" "&amp;TRIM(PROPER(H1234))</f>
        <v>Mid-Level Manufacturing Director</v>
      </c>
      <c r="AC1234" s="19" t="str">
        <f t="shared" ca="1" si="219"/>
        <v>Ma-Res-2019-1233 is a Mid-Level Manufacturing Director in the Research &amp; Development department, aged 35, married and has been with the Company for 7years</v>
      </c>
    </row>
    <row r="1235" spans="1:29">
      <c r="A1235" s="18" t="str">
        <f t="shared" ca="1" si="209"/>
        <v>Re-Res-2016-1234</v>
      </c>
      <c r="B1235" s="5">
        <v>30</v>
      </c>
      <c r="C1235" s="5" t="str">
        <f t="shared" si="210"/>
        <v>30-39</v>
      </c>
      <c r="D1235" s="5" t="s">
        <v>43</v>
      </c>
      <c r="E1235" s="5" t="s">
        <v>45</v>
      </c>
      <c r="F1235" s="5" t="s">
        <v>46</v>
      </c>
      <c r="G1235" s="5">
        <v>1</v>
      </c>
      <c r="H1235" s="5" t="s">
        <v>47</v>
      </c>
      <c r="I1235" s="5" t="s">
        <v>48</v>
      </c>
      <c r="J1235" s="7">
        <v>2862</v>
      </c>
      <c r="K1235" s="7">
        <f t="shared" si="211"/>
        <v>200.34000000000003</v>
      </c>
      <c r="L1235" s="7">
        <f t="shared" si="212"/>
        <v>2661.66</v>
      </c>
      <c r="M1235" s="7">
        <v>3811</v>
      </c>
      <c r="N1235" s="5" t="s">
        <v>43</v>
      </c>
      <c r="O1235" s="5">
        <v>12</v>
      </c>
      <c r="P1235" s="7">
        <f t="shared" si="213"/>
        <v>3205.4400000000005</v>
      </c>
      <c r="Q1235" s="7">
        <f t="shared" si="214"/>
        <v>4121.2800000000061</v>
      </c>
      <c r="R1235" s="7" t="str">
        <f t="shared" si="215"/>
        <v>Normal</v>
      </c>
      <c r="S1235" s="5">
        <v>3</v>
      </c>
      <c r="T1235" s="5">
        <v>2</v>
      </c>
      <c r="U1235" s="5" t="str" cm="1">
        <f t="array" ref="U1235">_xlfn.IFS(T1235=1,"Poor",T1235=2,"Fair",T1235=3,"Good",T1235=4,"Excellent")</f>
        <v>Fair</v>
      </c>
      <c r="V1235" s="5" t="s">
        <v>43</v>
      </c>
      <c r="W1235" s="5">
        <v>10</v>
      </c>
      <c r="X1235" s="28">
        <f t="shared" ca="1" si="216"/>
        <v>42459</v>
      </c>
      <c r="Y1235" s="28">
        <f t="shared" ca="1" si="217"/>
        <v>46842</v>
      </c>
      <c r="Z1235" s="28" t="str">
        <f t="shared" ca="1" si="218"/>
        <v>Upcoming</v>
      </c>
      <c r="AA1235" s="5" t="str" cm="1">
        <f t="array" ref="AA1235">_xlfn.IFS(W1235&gt;10,"Veteran",W1235&gt;=6,"Experienced",W1235&gt;=2,"Developing",W1235&gt;=0,"New")</f>
        <v>Experienced</v>
      </c>
      <c r="AB1235" s="5" t="str" cm="1">
        <f t="array" ref="AB1235">_xlfn.IFS(G1235=1,"Junior",G1235=2,"Mid-Level",G1235=3,"Senior",G1235=4,"Lead",G1235=5,"Principal")&amp;" "&amp;TRIM(PROPER(H1235))</f>
        <v>Junior Research Scientist</v>
      </c>
      <c r="AC1235" s="19" t="str">
        <f t="shared" ca="1" si="219"/>
        <v>Re-Res-2016-1234 is a Junior Research Scientist in the Research &amp; Development department, aged 30, married and has been with the Company for 10years</v>
      </c>
    </row>
    <row r="1236" spans="1:29">
      <c r="A1236" s="18" t="str">
        <f t="shared" ca="1" si="209"/>
        <v>Sa-Sal-2025-1235</v>
      </c>
      <c r="B1236" s="5">
        <v>47</v>
      </c>
      <c r="C1236" s="5" t="str">
        <f t="shared" si="210"/>
        <v>40-49</v>
      </c>
      <c r="D1236" s="5" t="s">
        <v>43</v>
      </c>
      <c r="E1236" s="5" t="s">
        <v>37</v>
      </c>
      <c r="F1236" s="5" t="s">
        <v>46</v>
      </c>
      <c r="G1236" s="5">
        <v>2</v>
      </c>
      <c r="H1236" s="5" t="s">
        <v>40</v>
      </c>
      <c r="I1236" s="5" t="s">
        <v>48</v>
      </c>
      <c r="J1236" s="7">
        <v>4978</v>
      </c>
      <c r="K1236" s="7">
        <f t="shared" si="211"/>
        <v>746.69999999999993</v>
      </c>
      <c r="L1236" s="7">
        <f t="shared" si="212"/>
        <v>4231.3</v>
      </c>
      <c r="M1236" s="7">
        <v>3536</v>
      </c>
      <c r="N1236" s="5" t="s">
        <v>43</v>
      </c>
      <c r="O1236" s="5">
        <v>11</v>
      </c>
      <c r="P1236" s="7">
        <f t="shared" si="213"/>
        <v>5525.5800000000008</v>
      </c>
      <c r="Q1236" s="7">
        <f t="shared" si="214"/>
        <v>6570.96000000001</v>
      </c>
      <c r="R1236" s="7" t="str">
        <f t="shared" si="215"/>
        <v>Normal</v>
      </c>
      <c r="S1236" s="5">
        <v>3</v>
      </c>
      <c r="T1236" s="5">
        <v>1</v>
      </c>
      <c r="U1236" s="5" t="str" cm="1">
        <f t="array" ref="U1236">_xlfn.IFS(T1236=1,"Poor",T1236=2,"Fair",T1236=3,"Good",T1236=4,"Excellent")</f>
        <v>Poor</v>
      </c>
      <c r="V1236" s="5" t="s">
        <v>43</v>
      </c>
      <c r="W1236" s="5">
        <v>1</v>
      </c>
      <c r="X1236" s="28">
        <f t="shared" ca="1" si="216"/>
        <v>45746</v>
      </c>
      <c r="Y1236" s="28">
        <f t="shared" ca="1" si="217"/>
        <v>46476</v>
      </c>
      <c r="Z1236" s="28" t="str">
        <f t="shared" ca="1" si="218"/>
        <v>Due Soon</v>
      </c>
      <c r="AA1236" s="5" t="str" cm="1">
        <f t="array" ref="AA1236">_xlfn.IFS(W1236&gt;10,"Veteran",W1236&gt;=6,"Experienced",W1236&gt;=2,"Developing",W1236&gt;=0,"New")</f>
        <v>New</v>
      </c>
      <c r="AB1236" s="5" t="str" cm="1">
        <f t="array" ref="AB1236">_xlfn.IFS(G1236=1,"Junior",G1236=2,"Mid-Level",G1236=3,"Senior",G1236=4,"Lead",G1236=5,"Principal")&amp;" "&amp;TRIM(PROPER(H1236))</f>
        <v>Mid-Level Sales Executive</v>
      </c>
      <c r="AC1236" s="19" t="str">
        <f t="shared" ca="1" si="219"/>
        <v>Sa-Sal-2025-1235 is a Mid-Level Sales Executive in the Sales department, aged 47, married and has been with the Company for 1years</v>
      </c>
    </row>
    <row r="1237" spans="1:29">
      <c r="A1237" s="18" t="str">
        <f t="shared" ca="1" si="209"/>
        <v>Sa-Sal-2016-1236</v>
      </c>
      <c r="B1237" s="5">
        <v>46</v>
      </c>
      <c r="C1237" s="5" t="str">
        <f t="shared" si="210"/>
        <v>40-49</v>
      </c>
      <c r="D1237" s="5" t="s">
        <v>43</v>
      </c>
      <c r="E1237" s="5" t="s">
        <v>37</v>
      </c>
      <c r="F1237" s="5" t="s">
        <v>46</v>
      </c>
      <c r="G1237" s="5">
        <v>3</v>
      </c>
      <c r="H1237" s="5" t="s">
        <v>40</v>
      </c>
      <c r="I1237" s="5" t="s">
        <v>52</v>
      </c>
      <c r="J1237" s="7">
        <v>10368</v>
      </c>
      <c r="K1237" s="7">
        <f t="shared" si="211"/>
        <v>2280.96</v>
      </c>
      <c r="L1237" s="7">
        <f t="shared" si="212"/>
        <v>8087.04</v>
      </c>
      <c r="M1237" s="7">
        <v>5596</v>
      </c>
      <c r="N1237" s="5" t="s">
        <v>35</v>
      </c>
      <c r="O1237" s="5">
        <v>12</v>
      </c>
      <c r="P1237" s="7">
        <f t="shared" si="213"/>
        <v>11612.160000000002</v>
      </c>
      <c r="Q1237" s="7">
        <f t="shared" si="214"/>
        <v>14929.92000000002</v>
      </c>
      <c r="R1237" s="7" t="str">
        <f t="shared" si="215"/>
        <v>Normal</v>
      </c>
      <c r="S1237" s="5">
        <v>3</v>
      </c>
      <c r="T1237" s="5">
        <v>2</v>
      </c>
      <c r="U1237" s="5" t="str" cm="1">
        <f t="array" ref="U1237">_xlfn.IFS(T1237=1,"Poor",T1237=2,"Fair",T1237=3,"Good",T1237=4,"Excellent")</f>
        <v>Fair</v>
      </c>
      <c r="V1237" s="5" t="s">
        <v>35</v>
      </c>
      <c r="W1237" s="5">
        <v>10</v>
      </c>
      <c r="X1237" s="28">
        <f t="shared" ca="1" si="216"/>
        <v>42459</v>
      </c>
      <c r="Y1237" s="28">
        <f t="shared" ca="1" si="217"/>
        <v>46842</v>
      </c>
      <c r="Z1237" s="28" t="str">
        <f t="shared" ca="1" si="218"/>
        <v>Upcoming</v>
      </c>
      <c r="AA1237" s="5" t="str" cm="1">
        <f t="array" ref="AA1237">_xlfn.IFS(W1237&gt;10,"Veteran",W1237&gt;=6,"Experienced",W1237&gt;=2,"Developing",W1237&gt;=0,"New")</f>
        <v>Experienced</v>
      </c>
      <c r="AB1237" s="5" t="str" cm="1">
        <f t="array" ref="AB1237">_xlfn.IFS(G1237=1,"Junior",G1237=2,"Mid-Level",G1237=3,"Senior",G1237=4,"Lead",G1237=5,"Principal")&amp;" "&amp;TRIM(PROPER(H1237))</f>
        <v>Senior Sales Executive</v>
      </c>
      <c r="AC1237" s="19" t="str">
        <f t="shared" ca="1" si="219"/>
        <v>Sa-Sal-2016-1236 is a Senior Sales Executive in the Sales department, aged 46, divorced and has been with the Company for 10years</v>
      </c>
    </row>
    <row r="1238" spans="1:29">
      <c r="A1238" s="18" t="str">
        <f t="shared" ca="1" si="209"/>
        <v>Sa-Sal-2024-1237</v>
      </c>
      <c r="B1238" s="5">
        <v>36</v>
      </c>
      <c r="C1238" s="5" t="str">
        <f t="shared" si="210"/>
        <v>30-39</v>
      </c>
      <c r="D1238" s="5" t="s">
        <v>35</v>
      </c>
      <c r="E1238" s="5" t="s">
        <v>37</v>
      </c>
      <c r="F1238" s="5" t="s">
        <v>46</v>
      </c>
      <c r="G1238" s="5">
        <v>2</v>
      </c>
      <c r="H1238" s="5" t="s">
        <v>40</v>
      </c>
      <c r="I1238" s="5" t="s">
        <v>52</v>
      </c>
      <c r="J1238" s="7">
        <v>6134</v>
      </c>
      <c r="K1238" s="7">
        <f t="shared" si="211"/>
        <v>920.1</v>
      </c>
      <c r="L1238" s="7">
        <f t="shared" si="212"/>
        <v>5213.8999999999996</v>
      </c>
      <c r="M1238" s="7">
        <v>8658</v>
      </c>
      <c r="N1238" s="5" t="s">
        <v>35</v>
      </c>
      <c r="O1238" s="5">
        <v>13</v>
      </c>
      <c r="P1238" s="7">
        <f t="shared" si="213"/>
        <v>6931.4199999999992</v>
      </c>
      <c r="Q1238" s="7">
        <f t="shared" si="214"/>
        <v>9569.03999999999</v>
      </c>
      <c r="R1238" s="7" t="str">
        <f t="shared" si="215"/>
        <v>Normal</v>
      </c>
      <c r="S1238" s="5">
        <v>3</v>
      </c>
      <c r="T1238" s="5">
        <v>3</v>
      </c>
      <c r="U1238" s="5" t="str" cm="1">
        <f t="array" ref="U1238">_xlfn.IFS(T1238=1,"Poor",T1238=2,"Fair",T1238=3,"Good",T1238=4,"Excellent")</f>
        <v>Good</v>
      </c>
      <c r="V1238" s="5" t="s">
        <v>35</v>
      </c>
      <c r="W1238" s="5">
        <v>2</v>
      </c>
      <c r="X1238" s="28">
        <f t="shared" ca="1" si="216"/>
        <v>45381</v>
      </c>
      <c r="Y1238" s="28">
        <f t="shared" ca="1" si="217"/>
        <v>46842</v>
      </c>
      <c r="Z1238" s="28" t="str">
        <f t="shared" ca="1" si="218"/>
        <v>Upcoming</v>
      </c>
      <c r="AA1238" s="5" t="str" cm="1">
        <f t="array" ref="AA1238">_xlfn.IFS(W1238&gt;10,"Veteran",W1238&gt;=6,"Experienced",W1238&gt;=2,"Developing",W1238&gt;=0,"New")</f>
        <v>Developing</v>
      </c>
      <c r="AB1238" s="5" t="str" cm="1">
        <f t="array" ref="AB1238">_xlfn.IFS(G1238=1,"Junior",G1238=2,"Mid-Level",G1238=3,"Senior",G1238=4,"Lead",G1238=5,"Principal")&amp;" "&amp;TRIM(PROPER(H1238))</f>
        <v>Mid-Level Sales Executive</v>
      </c>
      <c r="AC1238" s="19" t="str">
        <f t="shared" ca="1" si="219"/>
        <v>Sa-Sal-2024-1237 is a Mid-Level Sales Executive in the Sales department, aged 36, divorced and has been with the Company for 2years</v>
      </c>
    </row>
    <row r="1239" spans="1:29">
      <c r="A1239" s="18" t="str">
        <f t="shared" ca="1" si="209"/>
        <v>Sa-Sal-2026-1238</v>
      </c>
      <c r="B1239" s="5">
        <v>32</v>
      </c>
      <c r="C1239" s="5" t="str">
        <f t="shared" si="210"/>
        <v>30-39</v>
      </c>
      <c r="D1239" s="5" t="s">
        <v>35</v>
      </c>
      <c r="E1239" s="5" t="s">
        <v>37</v>
      </c>
      <c r="F1239" s="5" t="s">
        <v>46</v>
      </c>
      <c r="G1239" s="5">
        <v>2</v>
      </c>
      <c r="H1239" s="5" t="s">
        <v>40</v>
      </c>
      <c r="I1239" s="5" t="s">
        <v>41</v>
      </c>
      <c r="J1239" s="7">
        <v>6735</v>
      </c>
      <c r="K1239" s="7">
        <f t="shared" si="211"/>
        <v>1010.25</v>
      </c>
      <c r="L1239" s="7">
        <f t="shared" si="212"/>
        <v>5724.75</v>
      </c>
      <c r="M1239" s="7">
        <v>12147</v>
      </c>
      <c r="N1239" s="5" t="s">
        <v>43</v>
      </c>
      <c r="O1239" s="5">
        <v>15</v>
      </c>
      <c r="P1239" s="7">
        <f t="shared" si="213"/>
        <v>7745.2499999999991</v>
      </c>
      <c r="Q1239" s="7">
        <f t="shared" si="214"/>
        <v>12122.999999999989</v>
      </c>
      <c r="R1239" s="7" t="str">
        <f t="shared" si="215"/>
        <v>Normal</v>
      </c>
      <c r="S1239" s="5">
        <v>3</v>
      </c>
      <c r="T1239" s="5">
        <v>3</v>
      </c>
      <c r="U1239" s="5" t="str" cm="1">
        <f t="array" ref="U1239">_xlfn.IFS(T1239=1,"Poor",T1239=2,"Fair",T1239=3,"Good",T1239=4,"Excellent")</f>
        <v>Good</v>
      </c>
      <c r="V1239" s="5" t="s">
        <v>43</v>
      </c>
      <c r="W1239" s="5">
        <v>0</v>
      </c>
      <c r="X1239" s="28">
        <f t="shared" ca="1" si="216"/>
        <v>46111</v>
      </c>
      <c r="Y1239" s="28">
        <f t="shared" ca="1" si="217"/>
        <v>46842</v>
      </c>
      <c r="Z1239" s="28" t="str">
        <f t="shared" ca="1" si="218"/>
        <v>Upcoming</v>
      </c>
      <c r="AA1239" s="5" t="str" cm="1">
        <f t="array" ref="AA1239">_xlfn.IFS(W1239&gt;10,"Veteran",W1239&gt;=6,"Experienced",W1239&gt;=2,"Developing",W1239&gt;=0,"New")</f>
        <v>New</v>
      </c>
      <c r="AB1239" s="5" t="str" cm="1">
        <f t="array" ref="AB1239">_xlfn.IFS(G1239=1,"Junior",G1239=2,"Mid-Level",G1239=3,"Senior",G1239=4,"Lead",G1239=5,"Principal")&amp;" "&amp;TRIM(PROPER(H1239))</f>
        <v>Mid-Level Sales Executive</v>
      </c>
      <c r="AC1239" s="19" t="str">
        <f t="shared" ca="1" si="219"/>
        <v>Sa-Sal-2026-1238 is a Mid-Level Sales Executive in the Sales department, aged 32, single and has been with the Company for 0years</v>
      </c>
    </row>
    <row r="1240" spans="1:29">
      <c r="A1240" s="18" t="str">
        <f t="shared" ca="1" si="209"/>
        <v>La-Res-2023-1239</v>
      </c>
      <c r="B1240" s="5">
        <v>23</v>
      </c>
      <c r="C1240" s="5" t="str">
        <f t="shared" si="210"/>
        <v>20-29</v>
      </c>
      <c r="D1240" s="5" t="s">
        <v>43</v>
      </c>
      <c r="E1240" s="5" t="s">
        <v>45</v>
      </c>
      <c r="F1240" s="5" t="s">
        <v>39</v>
      </c>
      <c r="G1240" s="5">
        <v>1</v>
      </c>
      <c r="H1240" s="5" t="s">
        <v>50</v>
      </c>
      <c r="I1240" s="5" t="s">
        <v>41</v>
      </c>
      <c r="J1240" s="7">
        <v>3295</v>
      </c>
      <c r="K1240" s="7">
        <f t="shared" si="211"/>
        <v>494.25</v>
      </c>
      <c r="L1240" s="7">
        <f t="shared" si="212"/>
        <v>2800.75</v>
      </c>
      <c r="M1240" s="7">
        <v>12862</v>
      </c>
      <c r="N1240" s="5" t="s">
        <v>43</v>
      </c>
      <c r="O1240" s="5">
        <v>13</v>
      </c>
      <c r="P1240" s="7">
        <f t="shared" si="213"/>
        <v>3723.3499999999995</v>
      </c>
      <c r="Q1240" s="7">
        <f t="shared" si="214"/>
        <v>5140.1999999999935</v>
      </c>
      <c r="R1240" s="7" t="str">
        <f t="shared" si="215"/>
        <v>Normal</v>
      </c>
      <c r="S1240" s="5">
        <v>3</v>
      </c>
      <c r="T1240" s="5">
        <v>1</v>
      </c>
      <c r="U1240" s="5" t="str" cm="1">
        <f t="array" ref="U1240">_xlfn.IFS(T1240=1,"Poor",T1240=2,"Fair",T1240=3,"Good",T1240=4,"Excellent")</f>
        <v>Poor</v>
      </c>
      <c r="V1240" s="5" t="s">
        <v>43</v>
      </c>
      <c r="W1240" s="5">
        <v>3</v>
      </c>
      <c r="X1240" s="28">
        <f t="shared" ca="1" si="216"/>
        <v>45015</v>
      </c>
      <c r="Y1240" s="28">
        <f t="shared" ca="1" si="217"/>
        <v>46476</v>
      </c>
      <c r="Z1240" s="28" t="str">
        <f t="shared" ca="1" si="218"/>
        <v>Due Soon</v>
      </c>
      <c r="AA1240" s="5" t="str" cm="1">
        <f t="array" ref="AA1240">_xlfn.IFS(W1240&gt;10,"Veteran",W1240&gt;=6,"Experienced",W1240&gt;=2,"Developing",W1240&gt;=0,"New")</f>
        <v>Developing</v>
      </c>
      <c r="AB1240" s="5" t="str" cm="1">
        <f t="array" ref="AB1240">_xlfn.IFS(G1240=1,"Junior",G1240=2,"Mid-Level",G1240=3,"Senior",G1240=4,"Lead",G1240=5,"Principal")&amp;" "&amp;TRIM(PROPER(H1240))</f>
        <v>Junior Laboratory Technician</v>
      </c>
      <c r="AC1240" s="19" t="str">
        <f t="shared" ca="1" si="219"/>
        <v>La-Res-2023-1239 is a Junior Laboratory Technician in the Research &amp; Development department, aged 23, single and has been with the Company for 3years</v>
      </c>
    </row>
    <row r="1241" spans="1:29">
      <c r="A1241" s="18" t="str">
        <f t="shared" ca="1" si="209"/>
        <v>Ma-Res-2021-1240</v>
      </c>
      <c r="B1241" s="5">
        <v>31</v>
      </c>
      <c r="C1241" s="5" t="str">
        <f t="shared" si="210"/>
        <v>30-39</v>
      </c>
      <c r="D1241" s="5" t="s">
        <v>43</v>
      </c>
      <c r="E1241" s="5" t="s">
        <v>45</v>
      </c>
      <c r="F1241" s="5" t="s">
        <v>39</v>
      </c>
      <c r="G1241" s="5">
        <v>2</v>
      </c>
      <c r="H1241" s="5" t="s">
        <v>53</v>
      </c>
      <c r="I1241" s="5" t="s">
        <v>41</v>
      </c>
      <c r="J1241" s="7">
        <v>5238</v>
      </c>
      <c r="K1241" s="7">
        <f t="shared" si="211"/>
        <v>785.69999999999993</v>
      </c>
      <c r="L1241" s="7">
        <f t="shared" si="212"/>
        <v>4452.3</v>
      </c>
      <c r="M1241" s="7">
        <v>6670</v>
      </c>
      <c r="N1241" s="5" t="s">
        <v>43</v>
      </c>
      <c r="O1241" s="5">
        <v>20</v>
      </c>
      <c r="P1241" s="7">
        <f t="shared" si="213"/>
        <v>6285.5999999999995</v>
      </c>
      <c r="Q1241" s="7">
        <f t="shared" si="214"/>
        <v>12571.199999999993</v>
      </c>
      <c r="R1241" s="7" t="str">
        <f t="shared" si="215"/>
        <v>Normal</v>
      </c>
      <c r="S1241" s="5">
        <v>4</v>
      </c>
      <c r="T1241" s="5">
        <v>2</v>
      </c>
      <c r="U1241" s="5" t="str" cm="1">
        <f t="array" ref="U1241">_xlfn.IFS(T1241=1,"Poor",T1241=2,"Fair",T1241=3,"Good",T1241=4,"Excellent")</f>
        <v>Fair</v>
      </c>
      <c r="V1241" s="5" t="s">
        <v>43</v>
      </c>
      <c r="W1241" s="5">
        <v>5</v>
      </c>
      <c r="X1241" s="28">
        <f t="shared" ca="1" si="216"/>
        <v>44285</v>
      </c>
      <c r="Y1241" s="28">
        <f t="shared" ca="1" si="217"/>
        <v>46476</v>
      </c>
      <c r="Z1241" s="28" t="str">
        <f t="shared" ca="1" si="218"/>
        <v>Due Soon</v>
      </c>
      <c r="AA1241" s="5" t="str" cm="1">
        <f t="array" ref="AA1241">_xlfn.IFS(W1241&gt;10,"Veteran",W1241&gt;=6,"Experienced",W1241&gt;=2,"Developing",W1241&gt;=0,"New")</f>
        <v>Developing</v>
      </c>
      <c r="AB1241" s="5" t="str" cm="1">
        <f t="array" ref="AB1241">_xlfn.IFS(G1241=1,"Junior",G1241=2,"Mid-Level",G1241=3,"Senior",G1241=4,"Lead",G1241=5,"Principal")&amp;" "&amp;TRIM(PROPER(H1241))</f>
        <v>Mid-Level Manufacturing Director</v>
      </c>
      <c r="AC1241" s="19" t="str">
        <f t="shared" ca="1" si="219"/>
        <v>Ma-Res-2021-1240 is a Mid-Level Manufacturing Director in the Research &amp; Development department, aged 31, single and has been with the Company for 5years</v>
      </c>
    </row>
    <row r="1242" spans="1:29">
      <c r="A1242" s="18" t="str">
        <f t="shared" ca="1" si="209"/>
        <v>La-Res-2017-1241</v>
      </c>
      <c r="B1242" s="5">
        <v>39</v>
      </c>
      <c r="C1242" s="5" t="str">
        <f t="shared" si="210"/>
        <v>30-39</v>
      </c>
      <c r="D1242" s="5" t="s">
        <v>43</v>
      </c>
      <c r="E1242" s="5" t="s">
        <v>45</v>
      </c>
      <c r="F1242" s="5" t="s">
        <v>46</v>
      </c>
      <c r="G1242" s="5">
        <v>2</v>
      </c>
      <c r="H1242" s="5" t="s">
        <v>50</v>
      </c>
      <c r="I1242" s="5" t="s">
        <v>48</v>
      </c>
      <c r="J1242" s="7">
        <v>6472</v>
      </c>
      <c r="K1242" s="7">
        <f t="shared" si="211"/>
        <v>970.8</v>
      </c>
      <c r="L1242" s="7">
        <f t="shared" si="212"/>
        <v>5501.2</v>
      </c>
      <c r="M1242" s="7">
        <v>8989</v>
      </c>
      <c r="N1242" s="5" t="s">
        <v>35</v>
      </c>
      <c r="O1242" s="5">
        <v>15</v>
      </c>
      <c r="P1242" s="7">
        <f t="shared" si="213"/>
        <v>7442.7999999999993</v>
      </c>
      <c r="Q1242" s="7">
        <f t="shared" si="214"/>
        <v>11649.599999999991</v>
      </c>
      <c r="R1242" s="7" t="str">
        <f t="shared" si="215"/>
        <v>Normal</v>
      </c>
      <c r="S1242" s="5">
        <v>3</v>
      </c>
      <c r="T1242" s="5">
        <v>3</v>
      </c>
      <c r="U1242" s="5" t="str" cm="1">
        <f t="array" ref="U1242">_xlfn.IFS(T1242=1,"Poor",T1242=2,"Fair",T1242=3,"Good",T1242=4,"Excellent")</f>
        <v>Good</v>
      </c>
      <c r="V1242" s="5" t="s">
        <v>35</v>
      </c>
      <c r="W1242" s="5">
        <v>9</v>
      </c>
      <c r="X1242" s="28">
        <f t="shared" ca="1" si="216"/>
        <v>42824</v>
      </c>
      <c r="Y1242" s="28">
        <f t="shared" ca="1" si="217"/>
        <v>46476</v>
      </c>
      <c r="Z1242" s="28" t="str">
        <f t="shared" ca="1" si="218"/>
        <v>Due Soon</v>
      </c>
      <c r="AA1242" s="5" t="str" cm="1">
        <f t="array" ref="AA1242">_xlfn.IFS(W1242&gt;10,"Veteran",W1242&gt;=6,"Experienced",W1242&gt;=2,"Developing",W1242&gt;=0,"New")</f>
        <v>Experienced</v>
      </c>
      <c r="AB1242" s="5" t="str" cm="1">
        <f t="array" ref="AB1242">_xlfn.IFS(G1242=1,"Junior",G1242=2,"Mid-Level",G1242=3,"Senior",G1242=4,"Lead",G1242=5,"Principal")&amp;" "&amp;TRIM(PROPER(H1242))</f>
        <v>Mid-Level Laboratory Technician</v>
      </c>
      <c r="AC1242" s="19" t="str">
        <f t="shared" ca="1" si="219"/>
        <v>La-Res-2017-1241 is a Mid-Level Laboratory Technician in the Research &amp; Development department, aged 39, married and has been with the Company for 9years</v>
      </c>
    </row>
    <row r="1243" spans="1:29">
      <c r="A1243" s="18" t="str">
        <f t="shared" ca="1" si="209"/>
        <v>Sa-Sal-2022-1242</v>
      </c>
      <c r="B1243" s="5">
        <v>32</v>
      </c>
      <c r="C1243" s="5" t="str">
        <f t="shared" si="210"/>
        <v>30-39</v>
      </c>
      <c r="D1243" s="5" t="s">
        <v>43</v>
      </c>
      <c r="E1243" s="5" t="s">
        <v>37</v>
      </c>
      <c r="F1243" s="5" t="s">
        <v>46</v>
      </c>
      <c r="G1243" s="5">
        <v>3</v>
      </c>
      <c r="H1243" s="5" t="s">
        <v>40</v>
      </c>
      <c r="I1243" s="5" t="s">
        <v>48</v>
      </c>
      <c r="J1243" s="7">
        <v>9610</v>
      </c>
      <c r="K1243" s="7">
        <f t="shared" si="211"/>
        <v>2114.1999999999998</v>
      </c>
      <c r="L1243" s="7">
        <f t="shared" si="212"/>
        <v>7495.8</v>
      </c>
      <c r="M1243" s="7">
        <v>3840</v>
      </c>
      <c r="N1243" s="5" t="s">
        <v>43</v>
      </c>
      <c r="O1243" s="5">
        <v>13</v>
      </c>
      <c r="P1243" s="7">
        <f t="shared" si="213"/>
        <v>10859.3</v>
      </c>
      <c r="Q1243" s="7">
        <f t="shared" si="214"/>
        <v>14991.599999999991</v>
      </c>
      <c r="R1243" s="7" t="str">
        <f t="shared" si="215"/>
        <v>Normal</v>
      </c>
      <c r="S1243" s="5">
        <v>3</v>
      </c>
      <c r="T1243" s="5">
        <v>1</v>
      </c>
      <c r="U1243" s="5" t="str" cm="1">
        <f t="array" ref="U1243">_xlfn.IFS(T1243=1,"Poor",T1243=2,"Fair",T1243=3,"Good",T1243=4,"Excellent")</f>
        <v>Poor</v>
      </c>
      <c r="V1243" s="5" t="s">
        <v>43</v>
      </c>
      <c r="W1243" s="5">
        <v>4</v>
      </c>
      <c r="X1243" s="28">
        <f t="shared" ca="1" si="216"/>
        <v>44650</v>
      </c>
      <c r="Y1243" s="28">
        <f t="shared" ca="1" si="217"/>
        <v>46842</v>
      </c>
      <c r="Z1243" s="28" t="str">
        <f t="shared" ca="1" si="218"/>
        <v>Upcoming</v>
      </c>
      <c r="AA1243" s="5" t="str" cm="1">
        <f t="array" ref="AA1243">_xlfn.IFS(W1243&gt;10,"Veteran",W1243&gt;=6,"Experienced",W1243&gt;=2,"Developing",W1243&gt;=0,"New")</f>
        <v>Developing</v>
      </c>
      <c r="AB1243" s="5" t="str" cm="1">
        <f t="array" ref="AB1243">_xlfn.IFS(G1243=1,"Junior",G1243=2,"Mid-Level",G1243=3,"Senior",G1243=4,"Lead",G1243=5,"Principal")&amp;" "&amp;TRIM(PROPER(H1243))</f>
        <v>Senior Sales Executive</v>
      </c>
      <c r="AC1243" s="19" t="str">
        <f t="shared" ca="1" si="219"/>
        <v>Sa-Sal-2022-1242 is a Senior Sales Executive in the Sales department, aged 32, married and has been with the Company for 4years</v>
      </c>
    </row>
    <row r="1244" spans="1:29">
      <c r="A1244" s="18" t="str">
        <f t="shared" ca="1" si="209"/>
        <v>Ma-Sal-2005-1243</v>
      </c>
      <c r="B1244" s="5">
        <v>40</v>
      </c>
      <c r="C1244" s="5" t="str">
        <f t="shared" si="210"/>
        <v>40-49</v>
      </c>
      <c r="D1244" s="5" t="s">
        <v>43</v>
      </c>
      <c r="E1244" s="5" t="s">
        <v>37</v>
      </c>
      <c r="F1244" s="5" t="s">
        <v>46</v>
      </c>
      <c r="G1244" s="5">
        <v>5</v>
      </c>
      <c r="H1244" s="5" t="s">
        <v>56</v>
      </c>
      <c r="I1244" s="5" t="s">
        <v>41</v>
      </c>
      <c r="J1244" s="7">
        <v>19833</v>
      </c>
      <c r="K1244" s="7">
        <f t="shared" si="211"/>
        <v>5949.9</v>
      </c>
      <c r="L1244" s="7">
        <f t="shared" si="212"/>
        <v>13883.1</v>
      </c>
      <c r="M1244" s="7">
        <v>4349</v>
      </c>
      <c r="N1244" s="5" t="s">
        <v>43</v>
      </c>
      <c r="O1244" s="5">
        <v>14</v>
      </c>
      <c r="P1244" s="7">
        <f t="shared" si="213"/>
        <v>22609.620000000003</v>
      </c>
      <c r="Q1244" s="7">
        <f t="shared" si="214"/>
        <v>33319.440000000031</v>
      </c>
      <c r="R1244" s="7" t="str">
        <f t="shared" si="215"/>
        <v>Normal</v>
      </c>
      <c r="S1244" s="5">
        <v>3</v>
      </c>
      <c r="T1244" s="5">
        <v>2</v>
      </c>
      <c r="U1244" s="5" t="str" cm="1">
        <f t="array" ref="U1244">_xlfn.IFS(T1244=1,"Poor",T1244=2,"Fair",T1244=3,"Good",T1244=4,"Excellent")</f>
        <v>Fair</v>
      </c>
      <c r="V1244" s="5" t="s">
        <v>43</v>
      </c>
      <c r="W1244" s="5">
        <v>21</v>
      </c>
      <c r="X1244" s="28">
        <f t="shared" ca="1" si="216"/>
        <v>38441</v>
      </c>
      <c r="Y1244" s="28">
        <f t="shared" ca="1" si="217"/>
        <v>46476</v>
      </c>
      <c r="Z1244" s="28" t="str">
        <f t="shared" ca="1" si="218"/>
        <v>Due Soon</v>
      </c>
      <c r="AA1244" s="5" t="str" cm="1">
        <f t="array" ref="AA1244">_xlfn.IFS(W1244&gt;10,"Veteran",W1244&gt;=6,"Experienced",W1244&gt;=2,"Developing",W1244&gt;=0,"New")</f>
        <v>Veteran</v>
      </c>
      <c r="AB1244" s="5" t="str" cm="1">
        <f t="array" ref="AB1244">_xlfn.IFS(G1244=1,"Junior",G1244=2,"Mid-Level",G1244=3,"Senior",G1244=4,"Lead",G1244=5,"Principal")&amp;" "&amp;TRIM(PROPER(H1244))</f>
        <v>Principal Manager</v>
      </c>
      <c r="AC1244" s="19" t="str">
        <f t="shared" ca="1" si="219"/>
        <v>Ma-Sal-2005-1243 is a Principal Manager in the Sales department, aged 40, single and has been with the Company for 21years</v>
      </c>
    </row>
    <row r="1245" spans="1:29">
      <c r="A1245" s="18" t="str">
        <f t="shared" ca="1" si="209"/>
        <v>Hu-Hum-2021-1244</v>
      </c>
      <c r="B1245" s="5">
        <v>45</v>
      </c>
      <c r="C1245" s="5" t="str">
        <f t="shared" si="210"/>
        <v>40-49</v>
      </c>
      <c r="D1245" s="5" t="s">
        <v>43</v>
      </c>
      <c r="E1245" s="5" t="s">
        <v>61</v>
      </c>
      <c r="F1245" s="5" t="s">
        <v>39</v>
      </c>
      <c r="G1245" s="5">
        <v>3</v>
      </c>
      <c r="H1245" s="5" t="s">
        <v>61</v>
      </c>
      <c r="I1245" s="5" t="s">
        <v>48</v>
      </c>
      <c r="J1245" s="7">
        <v>9756</v>
      </c>
      <c r="K1245" s="7">
        <f t="shared" si="211"/>
        <v>2146.3200000000002</v>
      </c>
      <c r="L1245" s="7">
        <f t="shared" si="212"/>
        <v>7609.68</v>
      </c>
      <c r="M1245" s="7">
        <v>6595</v>
      </c>
      <c r="N1245" s="5" t="s">
        <v>43</v>
      </c>
      <c r="O1245" s="5">
        <v>21</v>
      </c>
      <c r="P1245" s="7">
        <f t="shared" si="213"/>
        <v>11804.76</v>
      </c>
      <c r="Q1245" s="7">
        <f t="shared" si="214"/>
        <v>24585.120000000003</v>
      </c>
      <c r="R1245" s="7" t="str">
        <f t="shared" si="215"/>
        <v>Normal</v>
      </c>
      <c r="S1245" s="5">
        <v>4</v>
      </c>
      <c r="T1245" s="5">
        <v>4</v>
      </c>
      <c r="U1245" s="5" t="str" cm="1">
        <f t="array" ref="U1245">_xlfn.IFS(T1245=1,"Poor",T1245=2,"Fair",T1245=3,"Good",T1245=4,"Excellent")</f>
        <v>Excellent</v>
      </c>
      <c r="V1245" s="5" t="s">
        <v>43</v>
      </c>
      <c r="W1245" s="5">
        <v>5</v>
      </c>
      <c r="X1245" s="28">
        <f t="shared" ca="1" si="216"/>
        <v>44285</v>
      </c>
      <c r="Y1245" s="28">
        <f t="shared" ca="1" si="217"/>
        <v>46476</v>
      </c>
      <c r="Z1245" s="28" t="str">
        <f t="shared" ca="1" si="218"/>
        <v>Due Soon</v>
      </c>
      <c r="AA1245" s="5" t="str" cm="1">
        <f t="array" ref="AA1245">_xlfn.IFS(W1245&gt;10,"Veteran",W1245&gt;=6,"Experienced",W1245&gt;=2,"Developing",W1245&gt;=0,"New")</f>
        <v>Developing</v>
      </c>
      <c r="AB1245" s="5" t="str" cm="1">
        <f t="array" ref="AB1245">_xlfn.IFS(G1245=1,"Junior",G1245=2,"Mid-Level",G1245=3,"Senior",G1245=4,"Lead",G1245=5,"Principal")&amp;" "&amp;TRIM(PROPER(H1245))</f>
        <v>Senior Human Resources</v>
      </c>
      <c r="AC1245" s="19" t="str">
        <f t="shared" ca="1" si="219"/>
        <v>Hu-Hum-2021-1244 is a Senior Human Resources in the Human Resources department, aged 45, married and has been with the Company for 5years</v>
      </c>
    </row>
    <row r="1246" spans="1:29">
      <c r="A1246" s="18" t="str">
        <f t="shared" ca="1" si="209"/>
        <v>Re-Res-2017-1245</v>
      </c>
      <c r="B1246" s="5">
        <v>30</v>
      </c>
      <c r="C1246" s="5" t="str">
        <f t="shared" si="210"/>
        <v>30-39</v>
      </c>
      <c r="D1246" s="5" t="s">
        <v>43</v>
      </c>
      <c r="E1246" s="5" t="s">
        <v>45</v>
      </c>
      <c r="F1246" s="5" t="s">
        <v>39</v>
      </c>
      <c r="G1246" s="5">
        <v>1</v>
      </c>
      <c r="H1246" s="5" t="s">
        <v>47</v>
      </c>
      <c r="I1246" s="5" t="s">
        <v>41</v>
      </c>
      <c r="J1246" s="7">
        <v>4968</v>
      </c>
      <c r="K1246" s="7">
        <f t="shared" si="211"/>
        <v>745.19999999999993</v>
      </c>
      <c r="L1246" s="7">
        <f t="shared" si="212"/>
        <v>4222.8</v>
      </c>
      <c r="M1246" s="7">
        <v>26427</v>
      </c>
      <c r="N1246" s="5" t="s">
        <v>43</v>
      </c>
      <c r="O1246" s="5">
        <v>16</v>
      </c>
      <c r="P1246" s="7">
        <f t="shared" si="213"/>
        <v>5762.8799999999992</v>
      </c>
      <c r="Q1246" s="7">
        <f t="shared" si="214"/>
        <v>9538.5599999999904</v>
      </c>
      <c r="R1246" s="7" t="str">
        <f t="shared" si="215"/>
        <v>Normal</v>
      </c>
      <c r="S1246" s="5">
        <v>3</v>
      </c>
      <c r="T1246" s="5">
        <v>3</v>
      </c>
      <c r="U1246" s="5" t="str" cm="1">
        <f t="array" ref="U1246">_xlfn.IFS(T1246=1,"Poor",T1246=2,"Fair",T1246=3,"Good",T1246=4,"Excellent")</f>
        <v>Good</v>
      </c>
      <c r="V1246" s="5" t="s">
        <v>43</v>
      </c>
      <c r="W1246" s="5">
        <v>9</v>
      </c>
      <c r="X1246" s="28">
        <f t="shared" ca="1" si="216"/>
        <v>42824</v>
      </c>
      <c r="Y1246" s="28">
        <f t="shared" ca="1" si="217"/>
        <v>46476</v>
      </c>
      <c r="Z1246" s="28" t="str">
        <f t="shared" ca="1" si="218"/>
        <v>Due Soon</v>
      </c>
      <c r="AA1246" s="5" t="str" cm="1">
        <f t="array" ref="AA1246">_xlfn.IFS(W1246&gt;10,"Veteran",W1246&gt;=6,"Experienced",W1246&gt;=2,"Developing",W1246&gt;=0,"New")</f>
        <v>Experienced</v>
      </c>
      <c r="AB1246" s="5" t="str" cm="1">
        <f t="array" ref="AB1246">_xlfn.IFS(G1246=1,"Junior",G1246=2,"Mid-Level",G1246=3,"Senior",G1246=4,"Lead",G1246=5,"Principal")&amp;" "&amp;TRIM(PROPER(H1246))</f>
        <v>Junior Research Scientist</v>
      </c>
      <c r="AC1246" s="19" t="str">
        <f t="shared" ca="1" si="219"/>
        <v>Re-Res-2017-1245 is a Junior Research Scientist in the Research &amp; Development department, aged 30, single and has been with the Company for 9years</v>
      </c>
    </row>
    <row r="1247" spans="1:29">
      <c r="A1247" s="18" t="str">
        <f t="shared" ca="1" si="209"/>
        <v>Hu-Hum-2024-1246</v>
      </c>
      <c r="B1247" s="5">
        <v>24</v>
      </c>
      <c r="C1247" s="5" t="str">
        <f t="shared" si="210"/>
        <v>20-29</v>
      </c>
      <c r="D1247" s="5" t="s">
        <v>43</v>
      </c>
      <c r="E1247" s="5" t="s">
        <v>61</v>
      </c>
      <c r="F1247" s="5" t="s">
        <v>46</v>
      </c>
      <c r="G1247" s="5">
        <v>1</v>
      </c>
      <c r="H1247" s="5" t="s">
        <v>61</v>
      </c>
      <c r="I1247" s="5" t="s">
        <v>48</v>
      </c>
      <c r="J1247" s="7">
        <v>2145</v>
      </c>
      <c r="K1247" s="7">
        <f t="shared" si="211"/>
        <v>150.15</v>
      </c>
      <c r="L1247" s="7">
        <f t="shared" si="212"/>
        <v>1994.85</v>
      </c>
      <c r="M1247" s="7">
        <v>2097</v>
      </c>
      <c r="N1247" s="5" t="s">
        <v>43</v>
      </c>
      <c r="O1247" s="5">
        <v>14</v>
      </c>
      <c r="P1247" s="7">
        <f t="shared" si="213"/>
        <v>2445.3000000000002</v>
      </c>
      <c r="Q1247" s="7">
        <f t="shared" si="214"/>
        <v>3603.6000000000022</v>
      </c>
      <c r="R1247" s="7" t="str">
        <f t="shared" si="215"/>
        <v>Normal</v>
      </c>
      <c r="S1247" s="5">
        <v>3</v>
      </c>
      <c r="T1247" s="5">
        <v>3</v>
      </c>
      <c r="U1247" s="5" t="str" cm="1">
        <f t="array" ref="U1247">_xlfn.IFS(T1247=1,"Poor",T1247=2,"Fair",T1247=3,"Good",T1247=4,"Excellent")</f>
        <v>Good</v>
      </c>
      <c r="V1247" s="5" t="s">
        <v>43</v>
      </c>
      <c r="W1247" s="5">
        <v>2</v>
      </c>
      <c r="X1247" s="28">
        <f t="shared" ca="1" si="216"/>
        <v>45381</v>
      </c>
      <c r="Y1247" s="28">
        <f t="shared" ca="1" si="217"/>
        <v>46842</v>
      </c>
      <c r="Z1247" s="28" t="str">
        <f t="shared" ca="1" si="218"/>
        <v>Upcoming</v>
      </c>
      <c r="AA1247" s="5" t="str" cm="1">
        <f t="array" ref="AA1247">_xlfn.IFS(W1247&gt;10,"Veteran",W1247&gt;=6,"Experienced",W1247&gt;=2,"Developing",W1247&gt;=0,"New")</f>
        <v>Developing</v>
      </c>
      <c r="AB1247" s="5" t="str" cm="1">
        <f t="array" ref="AB1247">_xlfn.IFS(G1247=1,"Junior",G1247=2,"Mid-Level",G1247=3,"Senior",G1247=4,"Lead",G1247=5,"Principal")&amp;" "&amp;TRIM(PROPER(H1247))</f>
        <v>Junior Human Resources</v>
      </c>
      <c r="AC1247" s="19" t="str">
        <f t="shared" ca="1" si="219"/>
        <v>Hu-Hum-2024-1246 is a Junior Human Resources in the Human Resources department, aged 24, married and has been with the Company for 2years</v>
      </c>
    </row>
    <row r="1248" spans="1:29">
      <c r="A1248" s="18" t="str">
        <f t="shared" ca="1" si="209"/>
        <v>Hu-Hum-2022-1247</v>
      </c>
      <c r="B1248" s="5">
        <v>30</v>
      </c>
      <c r="C1248" s="5" t="str">
        <f t="shared" si="210"/>
        <v>30-39</v>
      </c>
      <c r="D1248" s="5" t="s">
        <v>35</v>
      </c>
      <c r="E1248" s="5" t="s">
        <v>61</v>
      </c>
      <c r="F1248" s="5" t="s">
        <v>39</v>
      </c>
      <c r="G1248" s="5">
        <v>1</v>
      </c>
      <c r="H1248" s="5" t="s">
        <v>61</v>
      </c>
      <c r="I1248" s="5" t="s">
        <v>52</v>
      </c>
      <c r="J1248" s="7">
        <v>2180</v>
      </c>
      <c r="K1248" s="7">
        <f t="shared" si="211"/>
        <v>152.60000000000002</v>
      </c>
      <c r="L1248" s="7">
        <f t="shared" si="212"/>
        <v>2027.4</v>
      </c>
      <c r="M1248" s="7">
        <v>9732</v>
      </c>
      <c r="N1248" s="5" t="s">
        <v>43</v>
      </c>
      <c r="O1248" s="5">
        <v>11</v>
      </c>
      <c r="P1248" s="7">
        <f t="shared" si="213"/>
        <v>2419.8000000000002</v>
      </c>
      <c r="Q1248" s="7">
        <f t="shared" si="214"/>
        <v>2877.6000000000022</v>
      </c>
      <c r="R1248" s="7" t="str">
        <f t="shared" si="215"/>
        <v>Normal</v>
      </c>
      <c r="S1248" s="5">
        <v>3</v>
      </c>
      <c r="T1248" s="5">
        <v>2</v>
      </c>
      <c r="U1248" s="5" t="str" cm="1">
        <f t="array" ref="U1248">_xlfn.IFS(T1248=1,"Poor",T1248=2,"Fair",T1248=3,"Good",T1248=4,"Excellent")</f>
        <v>Fair</v>
      </c>
      <c r="V1248" s="5" t="s">
        <v>43</v>
      </c>
      <c r="W1248" s="5">
        <v>4</v>
      </c>
      <c r="X1248" s="28">
        <f t="shared" ca="1" si="216"/>
        <v>44650</v>
      </c>
      <c r="Y1248" s="28">
        <f t="shared" ca="1" si="217"/>
        <v>46842</v>
      </c>
      <c r="Z1248" s="28" t="str">
        <f t="shared" ca="1" si="218"/>
        <v>Upcoming</v>
      </c>
      <c r="AA1248" s="5" t="str" cm="1">
        <f t="array" ref="AA1248">_xlfn.IFS(W1248&gt;10,"Veteran",W1248&gt;=6,"Experienced",W1248&gt;=2,"Developing",W1248&gt;=0,"New")</f>
        <v>Developing</v>
      </c>
      <c r="AB1248" s="5" t="str" cm="1">
        <f t="array" ref="AB1248">_xlfn.IFS(G1248=1,"Junior",G1248=2,"Mid-Level",G1248=3,"Senior",G1248=4,"Lead",G1248=5,"Principal")&amp;" "&amp;TRIM(PROPER(H1248))</f>
        <v>Junior Human Resources</v>
      </c>
      <c r="AC1248" s="19" t="str">
        <f t="shared" ca="1" si="219"/>
        <v>Hu-Hum-2022-1247 is a Junior Human Resources in the Human Resources department, aged 30, divorced and has been with the Company for 4years</v>
      </c>
    </row>
    <row r="1249" spans="1:29">
      <c r="A1249" s="18" t="str">
        <f t="shared" ca="1" si="209"/>
        <v>Sa-Sal-2021-1248</v>
      </c>
      <c r="B1249" s="5">
        <v>31</v>
      </c>
      <c r="C1249" s="5" t="str">
        <f t="shared" si="210"/>
        <v>30-39</v>
      </c>
      <c r="D1249" s="5" t="s">
        <v>43</v>
      </c>
      <c r="E1249" s="5" t="s">
        <v>37</v>
      </c>
      <c r="F1249" s="5" t="s">
        <v>46</v>
      </c>
      <c r="G1249" s="5">
        <v>2</v>
      </c>
      <c r="H1249" s="5" t="s">
        <v>40</v>
      </c>
      <c r="I1249" s="5" t="s">
        <v>48</v>
      </c>
      <c r="J1249" s="7">
        <v>8346</v>
      </c>
      <c r="K1249" s="7">
        <f t="shared" si="211"/>
        <v>1836.1200000000001</v>
      </c>
      <c r="L1249" s="7">
        <f t="shared" si="212"/>
        <v>6509.88</v>
      </c>
      <c r="M1249" s="7">
        <v>20943</v>
      </c>
      <c r="N1249" s="5" t="s">
        <v>43</v>
      </c>
      <c r="O1249" s="5">
        <v>19</v>
      </c>
      <c r="P1249" s="7">
        <f t="shared" si="213"/>
        <v>9931.74</v>
      </c>
      <c r="Q1249" s="7">
        <f t="shared" si="214"/>
        <v>19028.879999999997</v>
      </c>
      <c r="R1249" s="7" t="str">
        <f t="shared" si="215"/>
        <v>Normal</v>
      </c>
      <c r="S1249" s="5">
        <v>3</v>
      </c>
      <c r="T1249" s="5">
        <v>3</v>
      </c>
      <c r="U1249" s="5" t="str" cm="1">
        <f t="array" ref="U1249">_xlfn.IFS(T1249=1,"Poor",T1249=2,"Fair",T1249=3,"Good",T1249=4,"Excellent")</f>
        <v>Good</v>
      </c>
      <c r="V1249" s="5" t="s">
        <v>43</v>
      </c>
      <c r="W1249" s="5">
        <v>5</v>
      </c>
      <c r="X1249" s="28">
        <f t="shared" ca="1" si="216"/>
        <v>44285</v>
      </c>
      <c r="Y1249" s="28">
        <f t="shared" ca="1" si="217"/>
        <v>46476</v>
      </c>
      <c r="Z1249" s="28" t="str">
        <f t="shared" ca="1" si="218"/>
        <v>Due Soon</v>
      </c>
      <c r="AA1249" s="5" t="str" cm="1">
        <f t="array" ref="AA1249">_xlfn.IFS(W1249&gt;10,"Veteran",W1249&gt;=6,"Experienced",W1249&gt;=2,"Developing",W1249&gt;=0,"New")</f>
        <v>Developing</v>
      </c>
      <c r="AB1249" s="5" t="str" cm="1">
        <f t="array" ref="AB1249">_xlfn.IFS(G1249=1,"Junior",G1249=2,"Mid-Level",G1249=3,"Senior",G1249=4,"Lead",G1249=5,"Principal")&amp;" "&amp;TRIM(PROPER(H1249))</f>
        <v>Mid-Level Sales Executive</v>
      </c>
      <c r="AC1249" s="19" t="str">
        <f t="shared" ca="1" si="219"/>
        <v>Sa-Sal-2021-1248 is a Mid-Level Sales Executive in the Sales department, aged 31, married and has been with the Company for 5years</v>
      </c>
    </row>
    <row r="1250" spans="1:29">
      <c r="A1250" s="18" t="str">
        <f t="shared" ca="1" si="209"/>
        <v>Re-Res-2020-1249</v>
      </c>
      <c r="B1250" s="5">
        <v>27</v>
      </c>
      <c r="C1250" s="5" t="str">
        <f t="shared" si="210"/>
        <v>20-29</v>
      </c>
      <c r="D1250" s="5" t="s">
        <v>43</v>
      </c>
      <c r="E1250" s="5" t="s">
        <v>45</v>
      </c>
      <c r="F1250" s="5" t="s">
        <v>39</v>
      </c>
      <c r="G1250" s="5">
        <v>1</v>
      </c>
      <c r="H1250" s="5" t="s">
        <v>47</v>
      </c>
      <c r="I1250" s="5" t="s">
        <v>41</v>
      </c>
      <c r="J1250" s="7">
        <v>3445</v>
      </c>
      <c r="K1250" s="7">
        <f t="shared" si="211"/>
        <v>516.75</v>
      </c>
      <c r="L1250" s="7">
        <f t="shared" si="212"/>
        <v>2928.25</v>
      </c>
      <c r="M1250" s="7">
        <v>6152</v>
      </c>
      <c r="N1250" s="5" t="s">
        <v>43</v>
      </c>
      <c r="O1250" s="5">
        <v>11</v>
      </c>
      <c r="P1250" s="7">
        <f t="shared" si="213"/>
        <v>3823.9500000000003</v>
      </c>
      <c r="Q1250" s="7">
        <f t="shared" si="214"/>
        <v>4547.4000000000033</v>
      </c>
      <c r="R1250" s="7" t="str">
        <f t="shared" si="215"/>
        <v>Normal</v>
      </c>
      <c r="S1250" s="5">
        <v>3</v>
      </c>
      <c r="T1250" s="5">
        <v>2</v>
      </c>
      <c r="U1250" s="5" t="str" cm="1">
        <f t="array" ref="U1250">_xlfn.IFS(T1250=1,"Poor",T1250=2,"Fair",T1250=3,"Good",T1250=4,"Excellent")</f>
        <v>Fair</v>
      </c>
      <c r="V1250" s="5" t="s">
        <v>43</v>
      </c>
      <c r="W1250" s="5">
        <v>6</v>
      </c>
      <c r="X1250" s="28">
        <f t="shared" ca="1" si="216"/>
        <v>43920</v>
      </c>
      <c r="Y1250" s="28">
        <f t="shared" ca="1" si="217"/>
        <v>46842</v>
      </c>
      <c r="Z1250" s="28" t="str">
        <f t="shared" ca="1" si="218"/>
        <v>Upcoming</v>
      </c>
      <c r="AA1250" s="5" t="str" cm="1">
        <f t="array" ref="AA1250">_xlfn.IFS(W1250&gt;10,"Veteran",W1250&gt;=6,"Experienced",W1250&gt;=2,"Developing",W1250&gt;=0,"New")</f>
        <v>Experienced</v>
      </c>
      <c r="AB1250" s="5" t="str" cm="1">
        <f t="array" ref="AB1250">_xlfn.IFS(G1250=1,"Junior",G1250=2,"Mid-Level",G1250=3,"Senior",G1250=4,"Lead",G1250=5,"Principal")&amp;" "&amp;TRIM(PROPER(H1250))</f>
        <v>Junior Research Scientist</v>
      </c>
      <c r="AC1250" s="19" t="str">
        <f t="shared" ca="1" si="219"/>
        <v>Re-Res-2020-1249 is a Junior Research Scientist in the Research &amp; Development department, aged 27, single and has been with the Company for 6years</v>
      </c>
    </row>
    <row r="1251" spans="1:29">
      <c r="A1251" s="18" t="str">
        <f t="shared" ca="1" si="209"/>
        <v>Sa-Sal-2024-1250</v>
      </c>
      <c r="B1251" s="5">
        <v>29</v>
      </c>
      <c r="C1251" s="5" t="str">
        <f t="shared" si="210"/>
        <v>20-29</v>
      </c>
      <c r="D1251" s="5" t="s">
        <v>35</v>
      </c>
      <c r="E1251" s="5" t="s">
        <v>37</v>
      </c>
      <c r="F1251" s="5" t="s">
        <v>39</v>
      </c>
      <c r="G1251" s="5">
        <v>1</v>
      </c>
      <c r="H1251" s="5" t="s">
        <v>57</v>
      </c>
      <c r="I1251" s="5" t="s">
        <v>41</v>
      </c>
      <c r="J1251" s="7">
        <v>2760</v>
      </c>
      <c r="K1251" s="7">
        <f t="shared" si="211"/>
        <v>193.20000000000002</v>
      </c>
      <c r="L1251" s="7">
        <f t="shared" si="212"/>
        <v>2566.8000000000002</v>
      </c>
      <c r="M1251" s="7">
        <v>14630</v>
      </c>
      <c r="N1251" s="5" t="s">
        <v>43</v>
      </c>
      <c r="O1251" s="5">
        <v>13</v>
      </c>
      <c r="P1251" s="7">
        <f t="shared" si="213"/>
        <v>3118.7999999999997</v>
      </c>
      <c r="Q1251" s="7">
        <f t="shared" si="214"/>
        <v>4305.5999999999967</v>
      </c>
      <c r="R1251" s="7" t="str">
        <f t="shared" si="215"/>
        <v>Normal</v>
      </c>
      <c r="S1251" s="5">
        <v>3</v>
      </c>
      <c r="T1251" s="5">
        <v>3</v>
      </c>
      <c r="U1251" s="5" t="str" cm="1">
        <f t="array" ref="U1251">_xlfn.IFS(T1251=1,"Poor",T1251=2,"Fair",T1251=3,"Good",T1251=4,"Excellent")</f>
        <v>Good</v>
      </c>
      <c r="V1251" s="5" t="s">
        <v>43</v>
      </c>
      <c r="W1251" s="5">
        <v>2</v>
      </c>
      <c r="X1251" s="28">
        <f t="shared" ca="1" si="216"/>
        <v>45381</v>
      </c>
      <c r="Y1251" s="28">
        <f t="shared" ca="1" si="217"/>
        <v>46842</v>
      </c>
      <c r="Z1251" s="28" t="str">
        <f t="shared" ca="1" si="218"/>
        <v>Upcoming</v>
      </c>
      <c r="AA1251" s="5" t="str" cm="1">
        <f t="array" ref="AA1251">_xlfn.IFS(W1251&gt;10,"Veteran",W1251&gt;=6,"Experienced",W1251&gt;=2,"Developing",W1251&gt;=0,"New")</f>
        <v>Developing</v>
      </c>
      <c r="AB1251" s="5" t="str" cm="1">
        <f t="array" ref="AB1251">_xlfn.IFS(G1251=1,"Junior",G1251=2,"Mid-Level",G1251=3,"Senior",G1251=4,"Lead",G1251=5,"Principal")&amp;" "&amp;TRIM(PROPER(H1251))</f>
        <v>Junior Sales Representative</v>
      </c>
      <c r="AC1251" s="19" t="str">
        <f t="shared" ca="1" si="219"/>
        <v>Sa-Sal-2024-1250 is a Junior Sales Representative in the Sales department, aged 29, single and has been with the Company for 2years</v>
      </c>
    </row>
    <row r="1252" spans="1:29">
      <c r="A1252" s="18" t="str">
        <f t="shared" ca="1" si="209"/>
        <v>He-Res-2023-1251</v>
      </c>
      <c r="B1252" s="5">
        <v>29</v>
      </c>
      <c r="C1252" s="5" t="str">
        <f t="shared" si="210"/>
        <v>20-29</v>
      </c>
      <c r="D1252" s="5" t="s">
        <v>43</v>
      </c>
      <c r="E1252" s="5" t="s">
        <v>45</v>
      </c>
      <c r="F1252" s="5" t="s">
        <v>46</v>
      </c>
      <c r="G1252" s="5">
        <v>2</v>
      </c>
      <c r="H1252" s="5" t="s">
        <v>54</v>
      </c>
      <c r="I1252" s="5" t="s">
        <v>41</v>
      </c>
      <c r="J1252" s="7">
        <v>6294</v>
      </c>
      <c r="K1252" s="7">
        <f t="shared" si="211"/>
        <v>944.09999999999991</v>
      </c>
      <c r="L1252" s="7">
        <f t="shared" si="212"/>
        <v>5349.9</v>
      </c>
      <c r="M1252" s="7">
        <v>23060</v>
      </c>
      <c r="N1252" s="5" t="s">
        <v>35</v>
      </c>
      <c r="O1252" s="5">
        <v>12</v>
      </c>
      <c r="P1252" s="7">
        <f t="shared" si="213"/>
        <v>7049.2800000000007</v>
      </c>
      <c r="Q1252" s="7">
        <f t="shared" si="214"/>
        <v>9063.3600000000079</v>
      </c>
      <c r="R1252" s="7" t="str">
        <f t="shared" si="215"/>
        <v>Normal</v>
      </c>
      <c r="S1252" s="5">
        <v>3</v>
      </c>
      <c r="T1252" s="5">
        <v>4</v>
      </c>
      <c r="U1252" s="5" t="str" cm="1">
        <f t="array" ref="U1252">_xlfn.IFS(T1252=1,"Poor",T1252=2,"Fair",T1252=3,"Good",T1252=4,"Excellent")</f>
        <v>Excellent</v>
      </c>
      <c r="V1252" s="5" t="s">
        <v>35</v>
      </c>
      <c r="W1252" s="5">
        <v>3</v>
      </c>
      <c r="X1252" s="28">
        <f t="shared" ca="1" si="216"/>
        <v>45015</v>
      </c>
      <c r="Y1252" s="28">
        <f t="shared" ca="1" si="217"/>
        <v>46476</v>
      </c>
      <c r="Z1252" s="28" t="str">
        <f t="shared" ca="1" si="218"/>
        <v>Due Soon</v>
      </c>
      <c r="AA1252" s="5" t="str" cm="1">
        <f t="array" ref="AA1252">_xlfn.IFS(W1252&gt;10,"Veteran",W1252&gt;=6,"Experienced",W1252&gt;=2,"Developing",W1252&gt;=0,"New")</f>
        <v>Developing</v>
      </c>
      <c r="AB1252" s="5" t="str" cm="1">
        <f t="array" ref="AB1252">_xlfn.IFS(G1252=1,"Junior",G1252=2,"Mid-Level",G1252=3,"Senior",G1252=4,"Lead",G1252=5,"Principal")&amp;" "&amp;TRIM(PROPER(H1252))</f>
        <v>Mid-Level Healthcare Representative</v>
      </c>
      <c r="AC1252" s="19" t="str">
        <f t="shared" ca="1" si="219"/>
        <v>He-Res-2023-1251 is a Mid-Level Healthcare Representative in the Research &amp; Development department, aged 29, single and has been with the Company for 3years</v>
      </c>
    </row>
    <row r="1253" spans="1:29">
      <c r="A1253" s="18" t="str">
        <f t="shared" ca="1" si="209"/>
        <v>Sa-Sal-2019-1252</v>
      </c>
      <c r="B1253" s="5">
        <v>30</v>
      </c>
      <c r="C1253" s="5" t="str">
        <f t="shared" si="210"/>
        <v>30-39</v>
      </c>
      <c r="D1253" s="5" t="s">
        <v>43</v>
      </c>
      <c r="E1253" s="5" t="s">
        <v>37</v>
      </c>
      <c r="F1253" s="5" t="s">
        <v>46</v>
      </c>
      <c r="G1253" s="5">
        <v>3</v>
      </c>
      <c r="H1253" s="5" t="s">
        <v>40</v>
      </c>
      <c r="I1253" s="5" t="s">
        <v>52</v>
      </c>
      <c r="J1253" s="7">
        <v>7140</v>
      </c>
      <c r="K1253" s="7">
        <f t="shared" si="211"/>
        <v>1570.8</v>
      </c>
      <c r="L1253" s="7">
        <f t="shared" si="212"/>
        <v>5569.2</v>
      </c>
      <c r="M1253" s="7">
        <v>3088</v>
      </c>
      <c r="N1253" s="5" t="s">
        <v>43</v>
      </c>
      <c r="O1253" s="5">
        <v>11</v>
      </c>
      <c r="P1253" s="7">
        <f t="shared" si="213"/>
        <v>7925.4000000000005</v>
      </c>
      <c r="Q1253" s="7">
        <f t="shared" si="214"/>
        <v>9424.8000000000065</v>
      </c>
      <c r="R1253" s="7" t="str">
        <f t="shared" si="215"/>
        <v>Normal</v>
      </c>
      <c r="S1253" s="5">
        <v>3</v>
      </c>
      <c r="T1253" s="5">
        <v>3</v>
      </c>
      <c r="U1253" s="5" t="str" cm="1">
        <f t="array" ref="U1253">_xlfn.IFS(T1253=1,"Poor",T1253=2,"Fair",T1253=3,"Good",T1253=4,"Excellent")</f>
        <v>Good</v>
      </c>
      <c r="V1253" s="5" t="s">
        <v>43</v>
      </c>
      <c r="W1253" s="5">
        <v>7</v>
      </c>
      <c r="X1253" s="28">
        <f t="shared" ca="1" si="216"/>
        <v>43554</v>
      </c>
      <c r="Y1253" s="28">
        <f t="shared" ca="1" si="217"/>
        <v>46476</v>
      </c>
      <c r="Z1253" s="28" t="str">
        <f t="shared" ca="1" si="218"/>
        <v>Due Soon</v>
      </c>
      <c r="AA1253" s="5" t="str" cm="1">
        <f t="array" ref="AA1253">_xlfn.IFS(W1253&gt;10,"Veteran",W1253&gt;=6,"Experienced",W1253&gt;=2,"Developing",W1253&gt;=0,"New")</f>
        <v>Experienced</v>
      </c>
      <c r="AB1253" s="5" t="str" cm="1">
        <f t="array" ref="AB1253">_xlfn.IFS(G1253=1,"Junior",G1253=2,"Mid-Level",G1253=3,"Senior",G1253=4,"Lead",G1253=5,"Principal")&amp;" "&amp;TRIM(PROPER(H1253))</f>
        <v>Senior Sales Executive</v>
      </c>
      <c r="AC1253" s="19" t="str">
        <f t="shared" ca="1" si="219"/>
        <v>Sa-Sal-2019-1252 is a Senior Sales Executive in the Sales department, aged 30, divorced and has been with the Company for 7years</v>
      </c>
    </row>
    <row r="1254" spans="1:29">
      <c r="A1254" s="18" t="str">
        <f t="shared" ca="1" si="209"/>
        <v>Re-Res-2021-1253</v>
      </c>
      <c r="B1254" s="5">
        <v>34</v>
      </c>
      <c r="C1254" s="5" t="str">
        <f t="shared" si="210"/>
        <v>30-39</v>
      </c>
      <c r="D1254" s="5" t="s">
        <v>43</v>
      </c>
      <c r="E1254" s="5" t="s">
        <v>45</v>
      </c>
      <c r="F1254" s="5" t="s">
        <v>46</v>
      </c>
      <c r="G1254" s="5">
        <v>1</v>
      </c>
      <c r="H1254" s="5" t="s">
        <v>47</v>
      </c>
      <c r="I1254" s="5" t="s">
        <v>48</v>
      </c>
      <c r="J1254" s="7">
        <v>2932</v>
      </c>
      <c r="K1254" s="7">
        <f t="shared" si="211"/>
        <v>205.24</v>
      </c>
      <c r="L1254" s="7">
        <f t="shared" si="212"/>
        <v>2726.76</v>
      </c>
      <c r="M1254" s="7">
        <v>5586</v>
      </c>
      <c r="N1254" s="5" t="s">
        <v>35</v>
      </c>
      <c r="O1254" s="5">
        <v>14</v>
      </c>
      <c r="P1254" s="7">
        <f t="shared" si="213"/>
        <v>3342.4800000000005</v>
      </c>
      <c r="Q1254" s="7">
        <f t="shared" si="214"/>
        <v>4925.7600000000057</v>
      </c>
      <c r="R1254" s="7" t="str">
        <f t="shared" si="215"/>
        <v>Normal</v>
      </c>
      <c r="S1254" s="5">
        <v>3</v>
      </c>
      <c r="T1254" s="5">
        <v>3</v>
      </c>
      <c r="U1254" s="5" t="str" cm="1">
        <f t="array" ref="U1254">_xlfn.IFS(T1254=1,"Poor",T1254=2,"Fair",T1254=3,"Good",T1254=4,"Excellent")</f>
        <v>Good</v>
      </c>
      <c r="V1254" s="5" t="s">
        <v>35</v>
      </c>
      <c r="W1254" s="5">
        <v>5</v>
      </c>
      <c r="X1254" s="28">
        <f t="shared" ca="1" si="216"/>
        <v>44285</v>
      </c>
      <c r="Y1254" s="28">
        <f t="shared" ca="1" si="217"/>
        <v>46476</v>
      </c>
      <c r="Z1254" s="28" t="str">
        <f t="shared" ca="1" si="218"/>
        <v>Due Soon</v>
      </c>
      <c r="AA1254" s="5" t="str" cm="1">
        <f t="array" ref="AA1254">_xlfn.IFS(W1254&gt;10,"Veteran",W1254&gt;=6,"Experienced",W1254&gt;=2,"Developing",W1254&gt;=0,"New")</f>
        <v>Developing</v>
      </c>
      <c r="AB1254" s="5" t="str" cm="1">
        <f t="array" ref="AB1254">_xlfn.IFS(G1254=1,"Junior",G1254=2,"Mid-Level",G1254=3,"Senior",G1254=4,"Lead",G1254=5,"Principal")&amp;" "&amp;TRIM(PROPER(H1254))</f>
        <v>Junior Research Scientist</v>
      </c>
      <c r="AC1254" s="19" t="str">
        <f t="shared" ca="1" si="219"/>
        <v>Re-Res-2021-1253 is a Junior Research Scientist in the Research &amp; Development department, aged 34, married and has been with the Company for 5years</v>
      </c>
    </row>
    <row r="1255" spans="1:29">
      <c r="A1255" s="18" t="str">
        <f t="shared" ca="1" si="209"/>
        <v>Sa-Sal-2015-1254</v>
      </c>
      <c r="B1255" s="5">
        <v>33</v>
      </c>
      <c r="C1255" s="5" t="str">
        <f t="shared" si="210"/>
        <v>30-39</v>
      </c>
      <c r="D1255" s="5" t="s">
        <v>43</v>
      </c>
      <c r="E1255" s="5" t="s">
        <v>37</v>
      </c>
      <c r="F1255" s="5" t="s">
        <v>39</v>
      </c>
      <c r="G1255" s="5">
        <v>2</v>
      </c>
      <c r="H1255" s="5" t="s">
        <v>40</v>
      </c>
      <c r="I1255" s="5" t="s">
        <v>41</v>
      </c>
      <c r="J1255" s="7">
        <v>5147</v>
      </c>
      <c r="K1255" s="7">
        <f t="shared" si="211"/>
        <v>772.05</v>
      </c>
      <c r="L1255" s="7">
        <f t="shared" si="212"/>
        <v>4374.95</v>
      </c>
      <c r="M1255" s="7">
        <v>10697</v>
      </c>
      <c r="N1255" s="5" t="s">
        <v>43</v>
      </c>
      <c r="O1255" s="5">
        <v>15</v>
      </c>
      <c r="P1255" s="7">
        <f t="shared" si="213"/>
        <v>5919.0499999999993</v>
      </c>
      <c r="Q1255" s="7">
        <f t="shared" si="214"/>
        <v>9264.5999999999913</v>
      </c>
      <c r="R1255" s="7" t="str">
        <f t="shared" si="215"/>
        <v>Normal</v>
      </c>
      <c r="S1255" s="5">
        <v>3</v>
      </c>
      <c r="T1255" s="5">
        <v>2</v>
      </c>
      <c r="U1255" s="5" t="str" cm="1">
        <f t="array" ref="U1255">_xlfn.IFS(T1255=1,"Poor",T1255=2,"Fair",T1255=3,"Good",T1255=4,"Excellent")</f>
        <v>Fair</v>
      </c>
      <c r="V1255" s="5" t="s">
        <v>43</v>
      </c>
      <c r="W1255" s="5">
        <v>11</v>
      </c>
      <c r="X1255" s="28">
        <f t="shared" ca="1" si="216"/>
        <v>42093</v>
      </c>
      <c r="Y1255" s="28">
        <f t="shared" ca="1" si="217"/>
        <v>46476</v>
      </c>
      <c r="Z1255" s="28" t="str">
        <f t="shared" ca="1" si="218"/>
        <v>Due Soon</v>
      </c>
      <c r="AA1255" s="5" t="str" cm="1">
        <f t="array" ref="AA1255">_xlfn.IFS(W1255&gt;10,"Veteran",W1255&gt;=6,"Experienced",W1255&gt;=2,"Developing",W1255&gt;=0,"New")</f>
        <v>Veteran</v>
      </c>
      <c r="AB1255" s="5" t="str" cm="1">
        <f t="array" ref="AB1255">_xlfn.IFS(G1255=1,"Junior",G1255=2,"Mid-Level",G1255=3,"Senior",G1255=4,"Lead",G1255=5,"Principal")&amp;" "&amp;TRIM(PROPER(H1255))</f>
        <v>Mid-Level Sales Executive</v>
      </c>
      <c r="AC1255" s="19" t="str">
        <f t="shared" ca="1" si="219"/>
        <v>Sa-Sal-2015-1254 is a Mid-Level Sales Executive in the Sales department, aged 33, single and has been with the Company for 11years</v>
      </c>
    </row>
    <row r="1256" spans="1:29">
      <c r="A1256" s="18" t="str">
        <f t="shared" ca="1" si="209"/>
        <v>Sa-Sal-2021-1255</v>
      </c>
      <c r="B1256" s="5">
        <v>49</v>
      </c>
      <c r="C1256" s="5" t="str">
        <f t="shared" si="210"/>
        <v>40-49</v>
      </c>
      <c r="D1256" s="5" t="s">
        <v>43</v>
      </c>
      <c r="E1256" s="5" t="s">
        <v>37</v>
      </c>
      <c r="F1256" s="5" t="s">
        <v>39</v>
      </c>
      <c r="G1256" s="5">
        <v>2</v>
      </c>
      <c r="H1256" s="5" t="s">
        <v>40</v>
      </c>
      <c r="I1256" s="5" t="s">
        <v>41</v>
      </c>
      <c r="J1256" s="7">
        <v>4507</v>
      </c>
      <c r="K1256" s="7">
        <f t="shared" si="211"/>
        <v>676.05</v>
      </c>
      <c r="L1256" s="7">
        <f t="shared" si="212"/>
        <v>3830.95</v>
      </c>
      <c r="M1256" s="7">
        <v>8191</v>
      </c>
      <c r="N1256" s="5" t="s">
        <v>43</v>
      </c>
      <c r="O1256" s="5">
        <v>12</v>
      </c>
      <c r="P1256" s="7">
        <f t="shared" si="213"/>
        <v>5047.84</v>
      </c>
      <c r="Q1256" s="7">
        <f t="shared" si="214"/>
        <v>6490.0800000000017</v>
      </c>
      <c r="R1256" s="7" t="str">
        <f t="shared" si="215"/>
        <v>Normal</v>
      </c>
      <c r="S1256" s="5">
        <v>3</v>
      </c>
      <c r="T1256" s="5">
        <v>4</v>
      </c>
      <c r="U1256" s="5" t="str" cm="1">
        <f t="array" ref="U1256">_xlfn.IFS(T1256=1,"Poor",T1256=2,"Fair",T1256=3,"Good",T1256=4,"Excellent")</f>
        <v>Excellent</v>
      </c>
      <c r="V1256" s="5" t="s">
        <v>43</v>
      </c>
      <c r="W1256" s="5">
        <v>5</v>
      </c>
      <c r="X1256" s="28">
        <f t="shared" ca="1" si="216"/>
        <v>44285</v>
      </c>
      <c r="Y1256" s="28">
        <f t="shared" ca="1" si="217"/>
        <v>46476</v>
      </c>
      <c r="Z1256" s="28" t="str">
        <f t="shared" ca="1" si="218"/>
        <v>Due Soon</v>
      </c>
      <c r="AA1256" s="5" t="str" cm="1">
        <f t="array" ref="AA1256">_xlfn.IFS(W1256&gt;10,"Veteran",W1256&gt;=6,"Experienced",W1256&gt;=2,"Developing",W1256&gt;=0,"New")</f>
        <v>Developing</v>
      </c>
      <c r="AB1256" s="5" t="str" cm="1">
        <f t="array" ref="AB1256">_xlfn.IFS(G1256=1,"Junior",G1256=2,"Mid-Level",G1256=3,"Senior",G1256=4,"Lead",G1256=5,"Principal")&amp;" "&amp;TRIM(PROPER(H1256))</f>
        <v>Mid-Level Sales Executive</v>
      </c>
      <c r="AC1256" s="19" t="str">
        <f t="shared" ca="1" si="219"/>
        <v>Sa-Sal-2021-1255 is a Mid-Level Sales Executive in the Sales department, aged 49, single and has been with the Company for 5years</v>
      </c>
    </row>
    <row r="1257" spans="1:29">
      <c r="A1257" s="18" t="str">
        <f t="shared" ca="1" si="209"/>
        <v>Sa-Sal-2026-1256</v>
      </c>
      <c r="B1257" s="5">
        <v>33</v>
      </c>
      <c r="C1257" s="5" t="str">
        <f t="shared" si="210"/>
        <v>30-39</v>
      </c>
      <c r="D1257" s="5" t="s">
        <v>35</v>
      </c>
      <c r="E1257" s="5" t="s">
        <v>37</v>
      </c>
      <c r="F1257" s="5" t="s">
        <v>39</v>
      </c>
      <c r="G1257" s="5">
        <v>3</v>
      </c>
      <c r="H1257" s="5" t="s">
        <v>40</v>
      </c>
      <c r="I1257" s="5" t="s">
        <v>41</v>
      </c>
      <c r="J1257" s="7">
        <v>8564</v>
      </c>
      <c r="K1257" s="7">
        <f t="shared" si="211"/>
        <v>1884.08</v>
      </c>
      <c r="L1257" s="7">
        <f t="shared" si="212"/>
        <v>6679.92</v>
      </c>
      <c r="M1257" s="7">
        <v>10092</v>
      </c>
      <c r="N1257" s="5" t="s">
        <v>35</v>
      </c>
      <c r="O1257" s="5">
        <v>20</v>
      </c>
      <c r="P1257" s="7">
        <f t="shared" si="213"/>
        <v>10276.799999999999</v>
      </c>
      <c r="Q1257" s="7">
        <f t="shared" si="214"/>
        <v>20553.599999999991</v>
      </c>
      <c r="R1257" s="7" t="str">
        <f t="shared" si="215"/>
        <v>Normal</v>
      </c>
      <c r="S1257" s="5">
        <v>4</v>
      </c>
      <c r="T1257" s="5">
        <v>2</v>
      </c>
      <c r="U1257" s="5" t="str" cm="1">
        <f t="array" ref="U1257">_xlfn.IFS(T1257=1,"Poor",T1257=2,"Fair",T1257=3,"Good",T1257=4,"Excellent")</f>
        <v>Fair</v>
      </c>
      <c r="V1257" s="5" t="s">
        <v>35</v>
      </c>
      <c r="W1257" s="5">
        <v>0</v>
      </c>
      <c r="X1257" s="28">
        <f t="shared" ca="1" si="216"/>
        <v>46111</v>
      </c>
      <c r="Y1257" s="28">
        <f t="shared" ca="1" si="217"/>
        <v>46842</v>
      </c>
      <c r="Z1257" s="28" t="str">
        <f t="shared" ca="1" si="218"/>
        <v>Upcoming</v>
      </c>
      <c r="AA1257" s="5" t="str" cm="1">
        <f t="array" ref="AA1257">_xlfn.IFS(W1257&gt;10,"Veteran",W1257&gt;=6,"Experienced",W1257&gt;=2,"Developing",W1257&gt;=0,"New")</f>
        <v>New</v>
      </c>
      <c r="AB1257" s="5" t="str" cm="1">
        <f t="array" ref="AB1257">_xlfn.IFS(G1257=1,"Junior",G1257=2,"Mid-Level",G1257=3,"Senior",G1257=4,"Lead",G1257=5,"Principal")&amp;" "&amp;TRIM(PROPER(H1257))</f>
        <v>Senior Sales Executive</v>
      </c>
      <c r="AC1257" s="19" t="str">
        <f t="shared" ca="1" si="219"/>
        <v>Sa-Sal-2026-1256 is a Senior Sales Executive in the Sales department, aged 33, single and has been with the Company for 0years</v>
      </c>
    </row>
    <row r="1258" spans="1:29">
      <c r="A1258" s="18" t="str">
        <f t="shared" ca="1" si="209"/>
        <v>La-Res-2020-1257</v>
      </c>
      <c r="B1258" s="5">
        <v>38</v>
      </c>
      <c r="C1258" s="5" t="str">
        <f t="shared" si="210"/>
        <v>30-39</v>
      </c>
      <c r="D1258" s="5" t="s">
        <v>43</v>
      </c>
      <c r="E1258" s="5" t="s">
        <v>45</v>
      </c>
      <c r="F1258" s="5" t="s">
        <v>39</v>
      </c>
      <c r="G1258" s="5">
        <v>1</v>
      </c>
      <c r="H1258" s="5" t="s">
        <v>50</v>
      </c>
      <c r="I1258" s="5" t="s">
        <v>48</v>
      </c>
      <c r="J1258" s="7">
        <v>2468</v>
      </c>
      <c r="K1258" s="7">
        <f t="shared" si="211"/>
        <v>172.76000000000002</v>
      </c>
      <c r="L1258" s="7">
        <f t="shared" si="212"/>
        <v>2295.2399999999998</v>
      </c>
      <c r="M1258" s="7">
        <v>15963</v>
      </c>
      <c r="N1258" s="5" t="s">
        <v>43</v>
      </c>
      <c r="O1258" s="5">
        <v>14</v>
      </c>
      <c r="P1258" s="7">
        <f t="shared" si="213"/>
        <v>2813.5200000000004</v>
      </c>
      <c r="Q1258" s="7">
        <f t="shared" si="214"/>
        <v>4146.2400000000052</v>
      </c>
      <c r="R1258" s="7" t="str">
        <f t="shared" si="215"/>
        <v>Normal</v>
      </c>
      <c r="S1258" s="5">
        <v>3</v>
      </c>
      <c r="T1258" s="5">
        <v>2</v>
      </c>
      <c r="U1258" s="5" t="str" cm="1">
        <f t="array" ref="U1258">_xlfn.IFS(T1258=1,"Poor",T1258=2,"Fair",T1258=3,"Good",T1258=4,"Excellent")</f>
        <v>Fair</v>
      </c>
      <c r="V1258" s="5" t="s">
        <v>43</v>
      </c>
      <c r="W1258" s="5">
        <v>6</v>
      </c>
      <c r="X1258" s="28">
        <f t="shared" ca="1" si="216"/>
        <v>43920</v>
      </c>
      <c r="Y1258" s="28">
        <f t="shared" ca="1" si="217"/>
        <v>46842</v>
      </c>
      <c r="Z1258" s="28" t="str">
        <f t="shared" ca="1" si="218"/>
        <v>Upcoming</v>
      </c>
      <c r="AA1258" s="5" t="str" cm="1">
        <f t="array" ref="AA1258">_xlfn.IFS(W1258&gt;10,"Veteran",W1258&gt;=6,"Experienced",W1258&gt;=2,"Developing",W1258&gt;=0,"New")</f>
        <v>Experienced</v>
      </c>
      <c r="AB1258" s="5" t="str" cm="1">
        <f t="array" ref="AB1258">_xlfn.IFS(G1258=1,"Junior",G1258=2,"Mid-Level",G1258=3,"Senior",G1258=4,"Lead",G1258=5,"Principal")&amp;" "&amp;TRIM(PROPER(H1258))</f>
        <v>Junior Laboratory Technician</v>
      </c>
      <c r="AC1258" s="19" t="str">
        <f t="shared" ca="1" si="219"/>
        <v>La-Res-2020-1257 is a Junior Laboratory Technician in the Research &amp; Development department, aged 38, married and has been with the Company for 6years</v>
      </c>
    </row>
    <row r="1259" spans="1:29">
      <c r="A1259" s="18" t="str">
        <f t="shared" ca="1" si="209"/>
        <v>Sa-Sal-2025-1258</v>
      </c>
      <c r="B1259" s="5">
        <v>31</v>
      </c>
      <c r="C1259" s="5" t="str">
        <f t="shared" si="210"/>
        <v>30-39</v>
      </c>
      <c r="D1259" s="5" t="s">
        <v>35</v>
      </c>
      <c r="E1259" s="5" t="s">
        <v>37</v>
      </c>
      <c r="F1259" s="5" t="s">
        <v>46</v>
      </c>
      <c r="G1259" s="5">
        <v>3</v>
      </c>
      <c r="H1259" s="5" t="s">
        <v>40</v>
      </c>
      <c r="I1259" s="5" t="s">
        <v>48</v>
      </c>
      <c r="J1259" s="7">
        <v>8161</v>
      </c>
      <c r="K1259" s="7">
        <f t="shared" si="211"/>
        <v>1795.42</v>
      </c>
      <c r="L1259" s="7">
        <f t="shared" si="212"/>
        <v>6365.58</v>
      </c>
      <c r="M1259" s="7">
        <v>19002</v>
      </c>
      <c r="N1259" s="5" t="s">
        <v>43</v>
      </c>
      <c r="O1259" s="5">
        <v>13</v>
      </c>
      <c r="P1259" s="7">
        <f t="shared" si="213"/>
        <v>9221.9299999999985</v>
      </c>
      <c r="Q1259" s="7">
        <f t="shared" si="214"/>
        <v>12731.159999999982</v>
      </c>
      <c r="R1259" s="7" t="str">
        <f t="shared" si="215"/>
        <v>Normal</v>
      </c>
      <c r="S1259" s="5">
        <v>3</v>
      </c>
      <c r="T1259" s="5">
        <v>3</v>
      </c>
      <c r="U1259" s="5" t="str" cm="1">
        <f t="array" ref="U1259">_xlfn.IFS(T1259=1,"Poor",T1259=2,"Fair",T1259=3,"Good",T1259=4,"Excellent")</f>
        <v>Good</v>
      </c>
      <c r="V1259" s="5" t="s">
        <v>43</v>
      </c>
      <c r="W1259" s="5">
        <v>1</v>
      </c>
      <c r="X1259" s="28">
        <f t="shared" ca="1" si="216"/>
        <v>45746</v>
      </c>
      <c r="Y1259" s="28">
        <f t="shared" ca="1" si="217"/>
        <v>46476</v>
      </c>
      <c r="Z1259" s="28" t="str">
        <f t="shared" ca="1" si="218"/>
        <v>Due Soon</v>
      </c>
      <c r="AA1259" s="5" t="str" cm="1">
        <f t="array" ref="AA1259">_xlfn.IFS(W1259&gt;10,"Veteran",W1259&gt;=6,"Experienced",W1259&gt;=2,"Developing",W1259&gt;=0,"New")</f>
        <v>New</v>
      </c>
      <c r="AB1259" s="5" t="str" cm="1">
        <f t="array" ref="AB1259">_xlfn.IFS(G1259=1,"Junior",G1259=2,"Mid-Level",G1259=3,"Senior",G1259=4,"Lead",G1259=5,"Principal")&amp;" "&amp;TRIM(PROPER(H1259))</f>
        <v>Senior Sales Executive</v>
      </c>
      <c r="AC1259" s="19" t="str">
        <f t="shared" ca="1" si="219"/>
        <v>Sa-Sal-2025-1258 is a Senior Sales Executive in the Sales department, aged 31, married and has been with the Company for 1years</v>
      </c>
    </row>
    <row r="1260" spans="1:29">
      <c r="A1260" s="18" t="str">
        <f t="shared" ca="1" si="209"/>
        <v>Re-Res-2025-1259</v>
      </c>
      <c r="B1260" s="5">
        <v>29</v>
      </c>
      <c r="C1260" s="5" t="str">
        <f t="shared" si="210"/>
        <v>20-29</v>
      </c>
      <c r="D1260" s="5" t="s">
        <v>43</v>
      </c>
      <c r="E1260" s="5" t="s">
        <v>45</v>
      </c>
      <c r="F1260" s="5" t="s">
        <v>39</v>
      </c>
      <c r="G1260" s="5">
        <v>1</v>
      </c>
      <c r="H1260" s="5" t="s">
        <v>47</v>
      </c>
      <c r="I1260" s="5" t="s">
        <v>52</v>
      </c>
      <c r="J1260" s="7">
        <v>2109</v>
      </c>
      <c r="K1260" s="7">
        <f t="shared" si="211"/>
        <v>147.63000000000002</v>
      </c>
      <c r="L1260" s="7">
        <f t="shared" si="212"/>
        <v>1961.37</v>
      </c>
      <c r="M1260" s="7">
        <v>10007</v>
      </c>
      <c r="N1260" s="5" t="s">
        <v>43</v>
      </c>
      <c r="O1260" s="5">
        <v>13</v>
      </c>
      <c r="P1260" s="7">
        <f t="shared" si="213"/>
        <v>2383.1699999999996</v>
      </c>
      <c r="Q1260" s="7">
        <f t="shared" si="214"/>
        <v>3290.0399999999954</v>
      </c>
      <c r="R1260" s="7" t="str">
        <f t="shared" si="215"/>
        <v>Normal</v>
      </c>
      <c r="S1260" s="5">
        <v>3</v>
      </c>
      <c r="T1260" s="5">
        <v>3</v>
      </c>
      <c r="U1260" s="5" t="str" cm="1">
        <f t="array" ref="U1260">_xlfn.IFS(T1260=1,"Poor",T1260=2,"Fair",T1260=3,"Good",T1260=4,"Excellent")</f>
        <v>Good</v>
      </c>
      <c r="V1260" s="5" t="s">
        <v>43</v>
      </c>
      <c r="W1260" s="5">
        <v>1</v>
      </c>
      <c r="X1260" s="28">
        <f t="shared" ca="1" si="216"/>
        <v>45746</v>
      </c>
      <c r="Y1260" s="28">
        <f t="shared" ca="1" si="217"/>
        <v>46476</v>
      </c>
      <c r="Z1260" s="28" t="str">
        <f t="shared" ca="1" si="218"/>
        <v>Due Soon</v>
      </c>
      <c r="AA1260" s="5" t="str" cm="1">
        <f t="array" ref="AA1260">_xlfn.IFS(W1260&gt;10,"Veteran",W1260&gt;=6,"Experienced",W1260&gt;=2,"Developing",W1260&gt;=0,"New")</f>
        <v>New</v>
      </c>
      <c r="AB1260" s="5" t="str" cm="1">
        <f t="array" ref="AB1260">_xlfn.IFS(G1260=1,"Junior",G1260=2,"Mid-Level",G1260=3,"Senior",G1260=4,"Lead",G1260=5,"Principal")&amp;" "&amp;TRIM(PROPER(H1260))</f>
        <v>Junior Research Scientist</v>
      </c>
      <c r="AC1260" s="19" t="str">
        <f t="shared" ca="1" si="219"/>
        <v>Re-Res-2025-1259 is a Junior Research Scientist in the Research &amp; Development department, aged 29, divorced and has been with the Company for 1years</v>
      </c>
    </row>
    <row r="1261" spans="1:29">
      <c r="A1261" s="18" t="str">
        <f t="shared" ca="1" si="209"/>
        <v>He-Res-2019-1260</v>
      </c>
      <c r="B1261" s="5">
        <v>30</v>
      </c>
      <c r="C1261" s="5" t="str">
        <f t="shared" si="210"/>
        <v>30-39</v>
      </c>
      <c r="D1261" s="5" t="s">
        <v>43</v>
      </c>
      <c r="E1261" s="5" t="s">
        <v>45</v>
      </c>
      <c r="F1261" s="5" t="s">
        <v>46</v>
      </c>
      <c r="G1261" s="5">
        <v>2</v>
      </c>
      <c r="H1261" s="5" t="s">
        <v>54</v>
      </c>
      <c r="I1261" s="5" t="s">
        <v>48</v>
      </c>
      <c r="J1261" s="7">
        <v>5294</v>
      </c>
      <c r="K1261" s="7">
        <f t="shared" si="211"/>
        <v>794.1</v>
      </c>
      <c r="L1261" s="7">
        <f t="shared" si="212"/>
        <v>4499.8999999999996</v>
      </c>
      <c r="M1261" s="7">
        <v>9128</v>
      </c>
      <c r="N1261" s="5" t="s">
        <v>43</v>
      </c>
      <c r="O1261" s="5">
        <v>16</v>
      </c>
      <c r="P1261" s="7">
        <f t="shared" si="213"/>
        <v>6141.04</v>
      </c>
      <c r="Q1261" s="7">
        <f t="shared" si="214"/>
        <v>10164.48</v>
      </c>
      <c r="R1261" s="7" t="str">
        <f t="shared" si="215"/>
        <v>Normal</v>
      </c>
      <c r="S1261" s="5">
        <v>3</v>
      </c>
      <c r="T1261" s="5">
        <v>3</v>
      </c>
      <c r="U1261" s="5" t="str" cm="1">
        <f t="array" ref="U1261">_xlfn.IFS(T1261=1,"Poor",T1261=2,"Fair",T1261=3,"Good",T1261=4,"Excellent")</f>
        <v>Good</v>
      </c>
      <c r="V1261" s="5" t="s">
        <v>43</v>
      </c>
      <c r="W1261" s="5">
        <v>7</v>
      </c>
      <c r="X1261" s="28">
        <f t="shared" ca="1" si="216"/>
        <v>43554</v>
      </c>
      <c r="Y1261" s="28">
        <f t="shared" ca="1" si="217"/>
        <v>46476</v>
      </c>
      <c r="Z1261" s="28" t="str">
        <f t="shared" ca="1" si="218"/>
        <v>Due Soon</v>
      </c>
      <c r="AA1261" s="5" t="str" cm="1">
        <f t="array" ref="AA1261">_xlfn.IFS(W1261&gt;10,"Veteran",W1261&gt;=6,"Experienced",W1261&gt;=2,"Developing",W1261&gt;=0,"New")</f>
        <v>Experienced</v>
      </c>
      <c r="AB1261" s="5" t="str" cm="1">
        <f t="array" ref="AB1261">_xlfn.IFS(G1261=1,"Junior",G1261=2,"Mid-Level",G1261=3,"Senior",G1261=4,"Lead",G1261=5,"Principal")&amp;" "&amp;TRIM(PROPER(H1261))</f>
        <v>Mid-Level Healthcare Representative</v>
      </c>
      <c r="AC1261" s="19" t="str">
        <f t="shared" ca="1" si="219"/>
        <v>He-Res-2019-1260 is a Mid-Level Healthcare Representative in the Research &amp; Development department, aged 30, married and has been with the Company for 7years</v>
      </c>
    </row>
    <row r="1262" spans="1:29">
      <c r="A1262" s="18" t="str">
        <f t="shared" ca="1" si="209"/>
        <v>Re-Res-2019-1261</v>
      </c>
      <c r="B1262" s="5">
        <v>32</v>
      </c>
      <c r="C1262" s="5" t="str">
        <f t="shared" si="210"/>
        <v>30-39</v>
      </c>
      <c r="D1262" s="5" t="s">
        <v>43</v>
      </c>
      <c r="E1262" s="5" t="s">
        <v>45</v>
      </c>
      <c r="F1262" s="5" t="s">
        <v>46</v>
      </c>
      <c r="G1262" s="5">
        <v>1</v>
      </c>
      <c r="H1262" s="5" t="s">
        <v>47</v>
      </c>
      <c r="I1262" s="5" t="s">
        <v>41</v>
      </c>
      <c r="J1262" s="7">
        <v>2718</v>
      </c>
      <c r="K1262" s="7">
        <f t="shared" si="211"/>
        <v>190.26000000000002</v>
      </c>
      <c r="L1262" s="7">
        <f t="shared" si="212"/>
        <v>2527.7399999999998</v>
      </c>
      <c r="M1262" s="7">
        <v>17674</v>
      </c>
      <c r="N1262" s="5" t="s">
        <v>43</v>
      </c>
      <c r="O1262" s="5">
        <v>14</v>
      </c>
      <c r="P1262" s="7">
        <f t="shared" si="213"/>
        <v>3098.5200000000004</v>
      </c>
      <c r="Q1262" s="7">
        <f t="shared" si="214"/>
        <v>4566.2400000000052</v>
      </c>
      <c r="R1262" s="7" t="str">
        <f t="shared" si="215"/>
        <v>Normal</v>
      </c>
      <c r="S1262" s="5">
        <v>3</v>
      </c>
      <c r="T1262" s="5">
        <v>3</v>
      </c>
      <c r="U1262" s="5" t="str" cm="1">
        <f t="array" ref="U1262">_xlfn.IFS(T1262=1,"Poor",T1262=2,"Fair",T1262=3,"Good",T1262=4,"Excellent")</f>
        <v>Good</v>
      </c>
      <c r="V1262" s="5" t="s">
        <v>43</v>
      </c>
      <c r="W1262" s="5">
        <v>7</v>
      </c>
      <c r="X1262" s="28">
        <f t="shared" ca="1" si="216"/>
        <v>43554</v>
      </c>
      <c r="Y1262" s="28">
        <f t="shared" ca="1" si="217"/>
        <v>46476</v>
      </c>
      <c r="Z1262" s="28" t="str">
        <f t="shared" ca="1" si="218"/>
        <v>Due Soon</v>
      </c>
      <c r="AA1262" s="5" t="str" cm="1">
        <f t="array" ref="AA1262">_xlfn.IFS(W1262&gt;10,"Veteran",W1262&gt;=6,"Experienced",W1262&gt;=2,"Developing",W1262&gt;=0,"New")</f>
        <v>Experienced</v>
      </c>
      <c r="AB1262" s="5" t="str" cm="1">
        <f t="array" ref="AB1262">_xlfn.IFS(G1262=1,"Junior",G1262=2,"Mid-Level",G1262=3,"Senior",G1262=4,"Lead",G1262=5,"Principal")&amp;" "&amp;TRIM(PROPER(H1262))</f>
        <v>Junior Research Scientist</v>
      </c>
      <c r="AC1262" s="19" t="str">
        <f t="shared" ca="1" si="219"/>
        <v>Re-Res-2019-1261 is a Junior Research Scientist in the Research &amp; Development department, aged 32, single and has been with the Company for 7years</v>
      </c>
    </row>
    <row r="1263" spans="1:29">
      <c r="A1263" s="18" t="str">
        <f t="shared" ca="1" si="209"/>
        <v>He-Res-2025-1262</v>
      </c>
      <c r="B1263" s="5">
        <v>38</v>
      </c>
      <c r="C1263" s="5" t="str">
        <f t="shared" si="210"/>
        <v>30-39</v>
      </c>
      <c r="D1263" s="5" t="s">
        <v>43</v>
      </c>
      <c r="E1263" s="5" t="s">
        <v>45</v>
      </c>
      <c r="F1263" s="5" t="s">
        <v>46</v>
      </c>
      <c r="G1263" s="5">
        <v>2</v>
      </c>
      <c r="H1263" s="5" t="s">
        <v>54</v>
      </c>
      <c r="I1263" s="5" t="s">
        <v>48</v>
      </c>
      <c r="J1263" s="7">
        <v>5811</v>
      </c>
      <c r="K1263" s="7">
        <f t="shared" si="211"/>
        <v>871.65</v>
      </c>
      <c r="L1263" s="7">
        <f t="shared" si="212"/>
        <v>4939.3500000000004</v>
      </c>
      <c r="M1263" s="7">
        <v>24539</v>
      </c>
      <c r="N1263" s="5" t="s">
        <v>35</v>
      </c>
      <c r="O1263" s="5">
        <v>16</v>
      </c>
      <c r="P1263" s="7">
        <f t="shared" si="213"/>
        <v>6740.7599999999993</v>
      </c>
      <c r="Q1263" s="7">
        <f t="shared" si="214"/>
        <v>11157.119999999992</v>
      </c>
      <c r="R1263" s="7" t="str">
        <f t="shared" si="215"/>
        <v>Normal</v>
      </c>
      <c r="S1263" s="5">
        <v>3</v>
      </c>
      <c r="T1263" s="5">
        <v>3</v>
      </c>
      <c r="U1263" s="5" t="str" cm="1">
        <f t="array" ref="U1263">_xlfn.IFS(T1263=1,"Poor",T1263=2,"Fair",T1263=3,"Good",T1263=4,"Excellent")</f>
        <v>Good</v>
      </c>
      <c r="V1263" s="5" t="s">
        <v>35</v>
      </c>
      <c r="W1263" s="5">
        <v>1</v>
      </c>
      <c r="X1263" s="28">
        <f t="shared" ca="1" si="216"/>
        <v>45746</v>
      </c>
      <c r="Y1263" s="28">
        <f t="shared" ca="1" si="217"/>
        <v>46476</v>
      </c>
      <c r="Z1263" s="28" t="str">
        <f t="shared" ca="1" si="218"/>
        <v>Due Soon</v>
      </c>
      <c r="AA1263" s="5" t="str" cm="1">
        <f t="array" ref="AA1263">_xlfn.IFS(W1263&gt;10,"Veteran",W1263&gt;=6,"Experienced",W1263&gt;=2,"Developing",W1263&gt;=0,"New")</f>
        <v>New</v>
      </c>
      <c r="AB1263" s="5" t="str" cm="1">
        <f t="array" ref="AB1263">_xlfn.IFS(G1263=1,"Junior",G1263=2,"Mid-Level",G1263=3,"Senior",G1263=4,"Lead",G1263=5,"Principal")&amp;" "&amp;TRIM(PROPER(H1263))</f>
        <v>Mid-Level Healthcare Representative</v>
      </c>
      <c r="AC1263" s="19" t="str">
        <f t="shared" ca="1" si="219"/>
        <v>He-Res-2025-1262 is a Mid-Level Healthcare Representative in the Research &amp; Development department, aged 38, married and has been with the Company for 1years</v>
      </c>
    </row>
    <row r="1264" spans="1:29">
      <c r="A1264" s="18" t="str">
        <f t="shared" ca="1" si="209"/>
        <v>Re-Res-2025-1263</v>
      </c>
      <c r="B1264" s="5">
        <v>43</v>
      </c>
      <c r="C1264" s="5" t="str">
        <f t="shared" si="210"/>
        <v>40-49</v>
      </c>
      <c r="D1264" s="5" t="s">
        <v>35</v>
      </c>
      <c r="E1264" s="5" t="s">
        <v>45</v>
      </c>
      <c r="F1264" s="5" t="s">
        <v>46</v>
      </c>
      <c r="G1264" s="5">
        <v>1</v>
      </c>
      <c r="H1264" s="5" t="s">
        <v>47</v>
      </c>
      <c r="I1264" s="5" t="s">
        <v>48</v>
      </c>
      <c r="J1264" s="7">
        <v>2437</v>
      </c>
      <c r="K1264" s="7">
        <f t="shared" si="211"/>
        <v>170.59</v>
      </c>
      <c r="L1264" s="7">
        <f t="shared" si="212"/>
        <v>2266.41</v>
      </c>
      <c r="M1264" s="7">
        <v>15587</v>
      </c>
      <c r="N1264" s="5" t="s">
        <v>35</v>
      </c>
      <c r="O1264" s="5">
        <v>16</v>
      </c>
      <c r="P1264" s="7">
        <f t="shared" si="213"/>
        <v>2826.9199999999996</v>
      </c>
      <c r="Q1264" s="7">
        <f t="shared" si="214"/>
        <v>4679.0399999999954</v>
      </c>
      <c r="R1264" s="7" t="str">
        <f t="shared" si="215"/>
        <v>Normal</v>
      </c>
      <c r="S1264" s="5">
        <v>3</v>
      </c>
      <c r="T1264" s="5">
        <v>3</v>
      </c>
      <c r="U1264" s="5" t="str" cm="1">
        <f t="array" ref="U1264">_xlfn.IFS(T1264=1,"Poor",T1264=2,"Fair",T1264=3,"Good",T1264=4,"Excellent")</f>
        <v>Good</v>
      </c>
      <c r="V1264" s="5" t="s">
        <v>35</v>
      </c>
      <c r="W1264" s="5">
        <v>1</v>
      </c>
      <c r="X1264" s="28">
        <f t="shared" ca="1" si="216"/>
        <v>45746</v>
      </c>
      <c r="Y1264" s="28">
        <f t="shared" ca="1" si="217"/>
        <v>46476</v>
      </c>
      <c r="Z1264" s="28" t="str">
        <f t="shared" ca="1" si="218"/>
        <v>Due Soon</v>
      </c>
      <c r="AA1264" s="5" t="str" cm="1">
        <f t="array" ref="AA1264">_xlfn.IFS(W1264&gt;10,"Veteran",W1264&gt;=6,"Experienced",W1264&gt;=2,"Developing",W1264&gt;=0,"New")</f>
        <v>New</v>
      </c>
      <c r="AB1264" s="5" t="str" cm="1">
        <f t="array" ref="AB1264">_xlfn.IFS(G1264=1,"Junior",G1264=2,"Mid-Level",G1264=3,"Senior",G1264=4,"Lead",G1264=5,"Principal")&amp;" "&amp;TRIM(PROPER(H1264))</f>
        <v>Junior Research Scientist</v>
      </c>
      <c r="AC1264" s="19" t="str">
        <f t="shared" ca="1" si="219"/>
        <v>Re-Res-2025-1263 is a Junior Research Scientist in the Research &amp; Development department, aged 43, married and has been with the Company for 1years</v>
      </c>
    </row>
    <row r="1265" spans="1:29">
      <c r="A1265" s="18" t="str">
        <f t="shared" ca="1" si="209"/>
        <v>La-Res-2021-1264</v>
      </c>
      <c r="B1265" s="5">
        <v>42</v>
      </c>
      <c r="C1265" s="5" t="str">
        <f t="shared" si="210"/>
        <v>40-49</v>
      </c>
      <c r="D1265" s="5" t="s">
        <v>43</v>
      </c>
      <c r="E1265" s="5" t="s">
        <v>45</v>
      </c>
      <c r="F1265" s="5" t="s">
        <v>46</v>
      </c>
      <c r="G1265" s="5">
        <v>1</v>
      </c>
      <c r="H1265" s="5" t="s">
        <v>50</v>
      </c>
      <c r="I1265" s="5" t="s">
        <v>52</v>
      </c>
      <c r="J1265" s="7">
        <v>2766</v>
      </c>
      <c r="K1265" s="7">
        <f t="shared" si="211"/>
        <v>193.62</v>
      </c>
      <c r="L1265" s="7">
        <f t="shared" si="212"/>
        <v>2572.38</v>
      </c>
      <c r="M1265" s="7">
        <v>8952</v>
      </c>
      <c r="N1265" s="5" t="s">
        <v>43</v>
      </c>
      <c r="O1265" s="5">
        <v>22</v>
      </c>
      <c r="P1265" s="7">
        <f t="shared" si="213"/>
        <v>3374.52</v>
      </c>
      <c r="Q1265" s="7">
        <f t="shared" si="214"/>
        <v>7302.24</v>
      </c>
      <c r="R1265" s="7" t="str">
        <f t="shared" si="215"/>
        <v>Normal</v>
      </c>
      <c r="S1265" s="5">
        <v>4</v>
      </c>
      <c r="T1265" s="5">
        <v>2</v>
      </c>
      <c r="U1265" s="5" t="str" cm="1">
        <f t="array" ref="U1265">_xlfn.IFS(T1265=1,"Poor",T1265=2,"Fair",T1265=3,"Good",T1265=4,"Excellent")</f>
        <v>Fair</v>
      </c>
      <c r="V1265" s="5" t="s">
        <v>43</v>
      </c>
      <c r="W1265" s="5">
        <v>5</v>
      </c>
      <c r="X1265" s="28">
        <f t="shared" ca="1" si="216"/>
        <v>44285</v>
      </c>
      <c r="Y1265" s="28">
        <f t="shared" ca="1" si="217"/>
        <v>46476</v>
      </c>
      <c r="Z1265" s="28" t="str">
        <f t="shared" ca="1" si="218"/>
        <v>Due Soon</v>
      </c>
      <c r="AA1265" s="5" t="str" cm="1">
        <f t="array" ref="AA1265">_xlfn.IFS(W1265&gt;10,"Veteran",W1265&gt;=6,"Experienced",W1265&gt;=2,"Developing",W1265&gt;=0,"New")</f>
        <v>Developing</v>
      </c>
      <c r="AB1265" s="5" t="str" cm="1">
        <f t="array" ref="AB1265">_xlfn.IFS(G1265=1,"Junior",G1265=2,"Mid-Level",G1265=3,"Senior",G1265=4,"Lead",G1265=5,"Principal")&amp;" "&amp;TRIM(PROPER(H1265))</f>
        <v>Junior Laboratory Technician</v>
      </c>
      <c r="AC1265" s="19" t="str">
        <f t="shared" ca="1" si="219"/>
        <v>La-Res-2021-1264 is a Junior Laboratory Technician in the Research &amp; Development department, aged 42, divorced and has been with the Company for 5years</v>
      </c>
    </row>
    <row r="1266" spans="1:29">
      <c r="A1266" s="18" t="str">
        <f t="shared" ca="1" si="209"/>
        <v>Re-Res-2025-1265</v>
      </c>
      <c r="B1266" s="5">
        <v>55</v>
      </c>
      <c r="C1266" s="5" t="str">
        <f t="shared" si="210"/>
        <v>50+</v>
      </c>
      <c r="D1266" s="5" t="s">
        <v>43</v>
      </c>
      <c r="E1266" s="5" t="s">
        <v>45</v>
      </c>
      <c r="F1266" s="5" t="s">
        <v>46</v>
      </c>
      <c r="G1266" s="5">
        <v>5</v>
      </c>
      <c r="H1266" s="5" t="s">
        <v>58</v>
      </c>
      <c r="I1266" s="5" t="s">
        <v>48</v>
      </c>
      <c r="J1266" s="7">
        <v>19038</v>
      </c>
      <c r="K1266" s="7">
        <f t="shared" si="211"/>
        <v>5711.4</v>
      </c>
      <c r="L1266" s="7">
        <f t="shared" si="212"/>
        <v>13326.6</v>
      </c>
      <c r="M1266" s="7">
        <v>19805</v>
      </c>
      <c r="N1266" s="5" t="s">
        <v>43</v>
      </c>
      <c r="O1266" s="5">
        <v>12</v>
      </c>
      <c r="P1266" s="7">
        <f t="shared" si="213"/>
        <v>21322.560000000001</v>
      </c>
      <c r="Q1266" s="7">
        <f t="shared" si="214"/>
        <v>27414.720000000016</v>
      </c>
      <c r="R1266" s="7" t="str">
        <f t="shared" si="215"/>
        <v>Normal</v>
      </c>
      <c r="S1266" s="5">
        <v>3</v>
      </c>
      <c r="T1266" s="5">
        <v>3</v>
      </c>
      <c r="U1266" s="5" t="str" cm="1">
        <f t="array" ref="U1266">_xlfn.IFS(T1266=1,"Poor",T1266=2,"Fair",T1266=3,"Good",T1266=4,"Excellent")</f>
        <v>Good</v>
      </c>
      <c r="V1266" s="5" t="s">
        <v>43</v>
      </c>
      <c r="W1266" s="5">
        <v>1</v>
      </c>
      <c r="X1266" s="28">
        <f t="shared" ca="1" si="216"/>
        <v>45746</v>
      </c>
      <c r="Y1266" s="28">
        <f t="shared" ca="1" si="217"/>
        <v>46476</v>
      </c>
      <c r="Z1266" s="28" t="str">
        <f t="shared" ca="1" si="218"/>
        <v>Due Soon</v>
      </c>
      <c r="AA1266" s="5" t="str" cm="1">
        <f t="array" ref="AA1266">_xlfn.IFS(W1266&gt;10,"Veteran",W1266&gt;=6,"Experienced",W1266&gt;=2,"Developing",W1266&gt;=0,"New")</f>
        <v>New</v>
      </c>
      <c r="AB1266" s="5" t="str" cm="1">
        <f t="array" ref="AB1266">_xlfn.IFS(G1266=1,"Junior",G1266=2,"Mid-Level",G1266=3,"Senior",G1266=4,"Lead",G1266=5,"Principal")&amp;" "&amp;TRIM(PROPER(H1266))</f>
        <v>Principal Research Director</v>
      </c>
      <c r="AC1266" s="19" t="str">
        <f t="shared" ca="1" si="219"/>
        <v>Re-Res-2025-1265 is a Principal Research Director in the Research &amp; Development department, aged 55, married and has been with the Company for 1years</v>
      </c>
    </row>
    <row r="1267" spans="1:29">
      <c r="A1267" s="18" t="str">
        <f t="shared" ca="1" si="209"/>
        <v>Re-Res-2017-1266</v>
      </c>
      <c r="B1267" s="5">
        <v>33</v>
      </c>
      <c r="C1267" s="5" t="str">
        <f t="shared" si="210"/>
        <v>30-39</v>
      </c>
      <c r="D1267" s="5" t="s">
        <v>43</v>
      </c>
      <c r="E1267" s="5" t="s">
        <v>45</v>
      </c>
      <c r="F1267" s="5" t="s">
        <v>46</v>
      </c>
      <c r="G1267" s="5">
        <v>2</v>
      </c>
      <c r="H1267" s="5" t="s">
        <v>47</v>
      </c>
      <c r="I1267" s="5" t="s">
        <v>52</v>
      </c>
      <c r="J1267" s="7">
        <v>3055</v>
      </c>
      <c r="K1267" s="7">
        <f t="shared" si="211"/>
        <v>458.25</v>
      </c>
      <c r="L1267" s="7">
        <f t="shared" si="212"/>
        <v>2596.75</v>
      </c>
      <c r="M1267" s="7">
        <v>6194</v>
      </c>
      <c r="N1267" s="5" t="s">
        <v>43</v>
      </c>
      <c r="O1267" s="5">
        <v>15</v>
      </c>
      <c r="P1267" s="7">
        <f t="shared" si="213"/>
        <v>3513.2499999999995</v>
      </c>
      <c r="Q1267" s="7">
        <f t="shared" si="214"/>
        <v>5498.9999999999945</v>
      </c>
      <c r="R1267" s="7" t="str">
        <f t="shared" si="215"/>
        <v>Normal</v>
      </c>
      <c r="S1267" s="5">
        <v>3</v>
      </c>
      <c r="T1267" s="5">
        <v>2</v>
      </c>
      <c r="U1267" s="5" t="str" cm="1">
        <f t="array" ref="U1267">_xlfn.IFS(T1267=1,"Poor",T1267=2,"Fair",T1267=3,"Good",T1267=4,"Excellent")</f>
        <v>Fair</v>
      </c>
      <c r="V1267" s="5" t="s">
        <v>43</v>
      </c>
      <c r="W1267" s="5">
        <v>9</v>
      </c>
      <c r="X1267" s="28">
        <f t="shared" ca="1" si="216"/>
        <v>42824</v>
      </c>
      <c r="Y1267" s="28">
        <f t="shared" ca="1" si="217"/>
        <v>46476</v>
      </c>
      <c r="Z1267" s="28" t="str">
        <f t="shared" ca="1" si="218"/>
        <v>Due Soon</v>
      </c>
      <c r="AA1267" s="5" t="str" cm="1">
        <f t="array" ref="AA1267">_xlfn.IFS(W1267&gt;10,"Veteran",W1267&gt;=6,"Experienced",W1267&gt;=2,"Developing",W1267&gt;=0,"New")</f>
        <v>Experienced</v>
      </c>
      <c r="AB1267" s="5" t="str" cm="1">
        <f t="array" ref="AB1267">_xlfn.IFS(G1267=1,"Junior",G1267=2,"Mid-Level",G1267=3,"Senior",G1267=4,"Lead",G1267=5,"Principal")&amp;" "&amp;TRIM(PROPER(H1267))</f>
        <v>Mid-Level Research Scientist</v>
      </c>
      <c r="AC1267" s="19" t="str">
        <f t="shared" ca="1" si="219"/>
        <v>Re-Res-2017-1266 is a Mid-Level Research Scientist in the Research &amp; Development department, aged 33, divorced and has been with the Company for 9years</v>
      </c>
    </row>
    <row r="1268" spans="1:29">
      <c r="A1268" s="18" t="str">
        <f t="shared" ca="1" si="209"/>
        <v>La-Res-2021-1267</v>
      </c>
      <c r="B1268" s="5">
        <v>41</v>
      </c>
      <c r="C1268" s="5" t="str">
        <f t="shared" si="210"/>
        <v>40-49</v>
      </c>
      <c r="D1268" s="5" t="s">
        <v>43</v>
      </c>
      <c r="E1268" s="5" t="s">
        <v>45</v>
      </c>
      <c r="F1268" s="5" t="s">
        <v>46</v>
      </c>
      <c r="G1268" s="5">
        <v>1</v>
      </c>
      <c r="H1268" s="5" t="s">
        <v>50</v>
      </c>
      <c r="I1268" s="5" t="s">
        <v>52</v>
      </c>
      <c r="J1268" s="7">
        <v>2289</v>
      </c>
      <c r="K1268" s="7">
        <f t="shared" si="211"/>
        <v>160.23000000000002</v>
      </c>
      <c r="L1268" s="7">
        <f t="shared" si="212"/>
        <v>2128.77</v>
      </c>
      <c r="M1268" s="7">
        <v>20520</v>
      </c>
      <c r="N1268" s="5" t="s">
        <v>43</v>
      </c>
      <c r="O1268" s="5">
        <v>20</v>
      </c>
      <c r="P1268" s="7">
        <f t="shared" si="213"/>
        <v>2746.7999999999997</v>
      </c>
      <c r="Q1268" s="7">
        <f t="shared" si="214"/>
        <v>5493.5999999999967</v>
      </c>
      <c r="R1268" s="7" t="str">
        <f t="shared" si="215"/>
        <v>Normal</v>
      </c>
      <c r="S1268" s="5">
        <v>4</v>
      </c>
      <c r="T1268" s="5">
        <v>3</v>
      </c>
      <c r="U1268" s="5" t="str" cm="1">
        <f t="array" ref="U1268">_xlfn.IFS(T1268=1,"Poor",T1268=2,"Fair",T1268=3,"Good",T1268=4,"Excellent")</f>
        <v>Good</v>
      </c>
      <c r="V1268" s="5" t="s">
        <v>43</v>
      </c>
      <c r="W1268" s="5">
        <v>5</v>
      </c>
      <c r="X1268" s="28">
        <f t="shared" ca="1" si="216"/>
        <v>44285</v>
      </c>
      <c r="Y1268" s="28">
        <f t="shared" ca="1" si="217"/>
        <v>46476</v>
      </c>
      <c r="Z1268" s="28" t="str">
        <f t="shared" ca="1" si="218"/>
        <v>Due Soon</v>
      </c>
      <c r="AA1268" s="5" t="str" cm="1">
        <f t="array" ref="AA1268">_xlfn.IFS(W1268&gt;10,"Veteran",W1268&gt;=6,"Experienced",W1268&gt;=2,"Developing",W1268&gt;=0,"New")</f>
        <v>Developing</v>
      </c>
      <c r="AB1268" s="5" t="str" cm="1">
        <f t="array" ref="AB1268">_xlfn.IFS(G1268=1,"Junior",G1268=2,"Mid-Level",G1268=3,"Senior",G1268=4,"Lead",G1268=5,"Principal")&amp;" "&amp;TRIM(PROPER(H1268))</f>
        <v>Junior Laboratory Technician</v>
      </c>
      <c r="AC1268" s="19" t="str">
        <f t="shared" ca="1" si="219"/>
        <v>La-Res-2021-1267 is a Junior Laboratory Technician in the Research &amp; Development department, aged 41, divorced and has been with the Company for 5years</v>
      </c>
    </row>
    <row r="1269" spans="1:29">
      <c r="A1269" s="18" t="str">
        <f t="shared" ca="1" si="209"/>
        <v>Sa-Sal-2011-1268</v>
      </c>
      <c r="B1269" s="5">
        <v>34</v>
      </c>
      <c r="C1269" s="5" t="str">
        <f t="shared" si="210"/>
        <v>30-39</v>
      </c>
      <c r="D1269" s="5" t="s">
        <v>43</v>
      </c>
      <c r="E1269" s="5" t="s">
        <v>37</v>
      </c>
      <c r="F1269" s="5" t="s">
        <v>46</v>
      </c>
      <c r="G1269" s="5">
        <v>2</v>
      </c>
      <c r="H1269" s="5" t="s">
        <v>40</v>
      </c>
      <c r="I1269" s="5" t="s">
        <v>52</v>
      </c>
      <c r="J1269" s="7">
        <v>4001</v>
      </c>
      <c r="K1269" s="7">
        <f t="shared" si="211"/>
        <v>600.15</v>
      </c>
      <c r="L1269" s="7">
        <f t="shared" si="212"/>
        <v>3400.85</v>
      </c>
      <c r="M1269" s="7">
        <v>12313</v>
      </c>
      <c r="N1269" s="5" t="s">
        <v>35</v>
      </c>
      <c r="O1269" s="5">
        <v>14</v>
      </c>
      <c r="P1269" s="7">
        <f t="shared" si="213"/>
        <v>4561.1400000000003</v>
      </c>
      <c r="Q1269" s="7">
        <f t="shared" si="214"/>
        <v>6721.6800000000039</v>
      </c>
      <c r="R1269" s="7" t="str">
        <f t="shared" si="215"/>
        <v>Normal</v>
      </c>
      <c r="S1269" s="5">
        <v>3</v>
      </c>
      <c r="T1269" s="5">
        <v>3</v>
      </c>
      <c r="U1269" s="5" t="str" cm="1">
        <f t="array" ref="U1269">_xlfn.IFS(T1269=1,"Poor",T1269=2,"Fair",T1269=3,"Good",T1269=4,"Excellent")</f>
        <v>Good</v>
      </c>
      <c r="V1269" s="5" t="s">
        <v>35</v>
      </c>
      <c r="W1269" s="5">
        <v>15</v>
      </c>
      <c r="X1269" s="28">
        <f t="shared" ca="1" si="216"/>
        <v>40632</v>
      </c>
      <c r="Y1269" s="28">
        <f t="shared" ca="1" si="217"/>
        <v>46476</v>
      </c>
      <c r="Z1269" s="28" t="str">
        <f t="shared" ca="1" si="218"/>
        <v>Due Soon</v>
      </c>
      <c r="AA1269" s="5" t="str" cm="1">
        <f t="array" ref="AA1269">_xlfn.IFS(W1269&gt;10,"Veteran",W1269&gt;=6,"Experienced",W1269&gt;=2,"Developing",W1269&gt;=0,"New")</f>
        <v>Veteran</v>
      </c>
      <c r="AB1269" s="5" t="str" cm="1">
        <f t="array" ref="AB1269">_xlfn.IFS(G1269=1,"Junior",G1269=2,"Mid-Level",G1269=3,"Senior",G1269=4,"Lead",G1269=5,"Principal")&amp;" "&amp;TRIM(PROPER(H1269))</f>
        <v>Mid-Level Sales Executive</v>
      </c>
      <c r="AC1269" s="19" t="str">
        <f t="shared" ca="1" si="219"/>
        <v>Sa-Sal-2011-1268 is a Mid-Level Sales Executive in the Sales department, aged 34, divorced and has been with the Company for 15years</v>
      </c>
    </row>
    <row r="1270" spans="1:29">
      <c r="A1270" s="18" t="str">
        <f t="shared" ca="1" si="209"/>
        <v>Ma-Res-2023-1269</v>
      </c>
      <c r="B1270" s="5">
        <v>53</v>
      </c>
      <c r="C1270" s="5" t="str">
        <f t="shared" si="210"/>
        <v>50+</v>
      </c>
      <c r="D1270" s="5" t="s">
        <v>43</v>
      </c>
      <c r="E1270" s="5" t="s">
        <v>45</v>
      </c>
      <c r="F1270" s="5" t="s">
        <v>39</v>
      </c>
      <c r="G1270" s="5">
        <v>4</v>
      </c>
      <c r="H1270" s="5" t="s">
        <v>53</v>
      </c>
      <c r="I1270" s="5" t="s">
        <v>48</v>
      </c>
      <c r="J1270" s="7">
        <v>12965</v>
      </c>
      <c r="K1270" s="7">
        <f t="shared" si="211"/>
        <v>2852.3</v>
      </c>
      <c r="L1270" s="7">
        <f t="shared" si="212"/>
        <v>10112.700000000001</v>
      </c>
      <c r="M1270" s="7">
        <v>22308</v>
      </c>
      <c r="N1270" s="5" t="s">
        <v>35</v>
      </c>
      <c r="O1270" s="5">
        <v>20</v>
      </c>
      <c r="P1270" s="7">
        <f t="shared" si="213"/>
        <v>15558</v>
      </c>
      <c r="Q1270" s="7">
        <f t="shared" si="214"/>
        <v>31116</v>
      </c>
      <c r="R1270" s="7" t="str">
        <f t="shared" si="215"/>
        <v>Normal</v>
      </c>
      <c r="S1270" s="5">
        <v>4</v>
      </c>
      <c r="T1270" s="5">
        <v>2</v>
      </c>
      <c r="U1270" s="5" t="str" cm="1">
        <f t="array" ref="U1270">_xlfn.IFS(T1270=1,"Poor",T1270=2,"Fair",T1270=3,"Good",T1270=4,"Excellent")</f>
        <v>Fair</v>
      </c>
      <c r="V1270" s="5" t="s">
        <v>35</v>
      </c>
      <c r="W1270" s="5">
        <v>3</v>
      </c>
      <c r="X1270" s="28">
        <f t="shared" ca="1" si="216"/>
        <v>45015</v>
      </c>
      <c r="Y1270" s="28">
        <f t="shared" ca="1" si="217"/>
        <v>46476</v>
      </c>
      <c r="Z1270" s="28" t="str">
        <f t="shared" ca="1" si="218"/>
        <v>Due Soon</v>
      </c>
      <c r="AA1270" s="5" t="str" cm="1">
        <f t="array" ref="AA1270">_xlfn.IFS(W1270&gt;10,"Veteran",W1270&gt;=6,"Experienced",W1270&gt;=2,"Developing",W1270&gt;=0,"New")</f>
        <v>Developing</v>
      </c>
      <c r="AB1270" s="5" t="str" cm="1">
        <f t="array" ref="AB1270">_xlfn.IFS(G1270=1,"Junior",G1270=2,"Mid-Level",G1270=3,"Senior",G1270=4,"Lead",G1270=5,"Principal")&amp;" "&amp;TRIM(PROPER(H1270))</f>
        <v>Lead Manufacturing Director</v>
      </c>
      <c r="AC1270" s="19" t="str">
        <f t="shared" ca="1" si="219"/>
        <v>Ma-Res-2023-1269 is a Lead Manufacturing Director in the Research &amp; Development department, aged 53, married and has been with the Company for 3years</v>
      </c>
    </row>
    <row r="1271" spans="1:29">
      <c r="A1271" s="18" t="str">
        <f t="shared" ca="1" si="209"/>
        <v>Hu-Hum-2017-1270</v>
      </c>
      <c r="B1271" s="5">
        <v>43</v>
      </c>
      <c r="C1271" s="5" t="str">
        <f t="shared" si="210"/>
        <v>40-49</v>
      </c>
      <c r="D1271" s="5" t="s">
        <v>43</v>
      </c>
      <c r="E1271" s="5" t="s">
        <v>61</v>
      </c>
      <c r="F1271" s="5" t="s">
        <v>46</v>
      </c>
      <c r="G1271" s="5">
        <v>1</v>
      </c>
      <c r="H1271" s="5" t="s">
        <v>61</v>
      </c>
      <c r="I1271" s="5" t="s">
        <v>41</v>
      </c>
      <c r="J1271" s="7">
        <v>3539</v>
      </c>
      <c r="K1271" s="7">
        <f t="shared" si="211"/>
        <v>530.85</v>
      </c>
      <c r="L1271" s="7">
        <f t="shared" si="212"/>
        <v>3008.15</v>
      </c>
      <c r="M1271" s="7">
        <v>5033</v>
      </c>
      <c r="N1271" s="5" t="s">
        <v>43</v>
      </c>
      <c r="O1271" s="5">
        <v>13</v>
      </c>
      <c r="P1271" s="7">
        <f t="shared" si="213"/>
        <v>3999.0699999999997</v>
      </c>
      <c r="Q1271" s="7">
        <f t="shared" si="214"/>
        <v>5520.8399999999965</v>
      </c>
      <c r="R1271" s="7" t="str">
        <f t="shared" si="215"/>
        <v>Normal</v>
      </c>
      <c r="S1271" s="5">
        <v>3</v>
      </c>
      <c r="T1271" s="5">
        <v>3</v>
      </c>
      <c r="U1271" s="5" t="str" cm="1">
        <f t="array" ref="U1271">_xlfn.IFS(T1271=1,"Poor",T1271=2,"Fair",T1271=3,"Good",T1271=4,"Excellent")</f>
        <v>Good</v>
      </c>
      <c r="V1271" s="5" t="s">
        <v>43</v>
      </c>
      <c r="W1271" s="5">
        <v>9</v>
      </c>
      <c r="X1271" s="28">
        <f t="shared" ca="1" si="216"/>
        <v>42824</v>
      </c>
      <c r="Y1271" s="28">
        <f t="shared" ca="1" si="217"/>
        <v>46476</v>
      </c>
      <c r="Z1271" s="28" t="str">
        <f t="shared" ca="1" si="218"/>
        <v>Due Soon</v>
      </c>
      <c r="AA1271" s="5" t="str" cm="1">
        <f t="array" ref="AA1271">_xlfn.IFS(W1271&gt;10,"Veteran",W1271&gt;=6,"Experienced",W1271&gt;=2,"Developing",W1271&gt;=0,"New")</f>
        <v>Experienced</v>
      </c>
      <c r="AB1271" s="5" t="str" cm="1">
        <f t="array" ref="AB1271">_xlfn.IFS(G1271=1,"Junior",G1271=2,"Mid-Level",G1271=3,"Senior",G1271=4,"Lead",G1271=5,"Principal")&amp;" "&amp;TRIM(PROPER(H1271))</f>
        <v>Junior Human Resources</v>
      </c>
      <c r="AC1271" s="19" t="str">
        <f t="shared" ca="1" si="219"/>
        <v>Hu-Hum-2017-1270 is a Junior Human Resources in the Human Resources department, aged 43, single and has been with the Company for 9years</v>
      </c>
    </row>
    <row r="1272" spans="1:29">
      <c r="A1272" s="18" t="str">
        <f t="shared" ca="1" si="209"/>
        <v>Sa-Sal-2024-1271</v>
      </c>
      <c r="B1272" s="5">
        <v>34</v>
      </c>
      <c r="C1272" s="5" t="str">
        <f t="shared" si="210"/>
        <v>30-39</v>
      </c>
      <c r="D1272" s="5" t="s">
        <v>43</v>
      </c>
      <c r="E1272" s="5" t="s">
        <v>37</v>
      </c>
      <c r="F1272" s="5" t="s">
        <v>39</v>
      </c>
      <c r="G1272" s="5">
        <v>2</v>
      </c>
      <c r="H1272" s="5" t="s">
        <v>40</v>
      </c>
      <c r="I1272" s="5" t="s">
        <v>41</v>
      </c>
      <c r="J1272" s="7">
        <v>6029</v>
      </c>
      <c r="K1272" s="7">
        <f t="shared" si="211"/>
        <v>904.35</v>
      </c>
      <c r="L1272" s="7">
        <f t="shared" si="212"/>
        <v>5124.6499999999996</v>
      </c>
      <c r="M1272" s="7">
        <v>25353</v>
      </c>
      <c r="N1272" s="5" t="s">
        <v>43</v>
      </c>
      <c r="O1272" s="5">
        <v>12</v>
      </c>
      <c r="P1272" s="7">
        <f t="shared" si="213"/>
        <v>6752.4800000000005</v>
      </c>
      <c r="Q1272" s="7">
        <f t="shared" si="214"/>
        <v>8681.7600000000057</v>
      </c>
      <c r="R1272" s="7" t="str">
        <f t="shared" si="215"/>
        <v>Normal</v>
      </c>
      <c r="S1272" s="5">
        <v>3</v>
      </c>
      <c r="T1272" s="5">
        <v>3</v>
      </c>
      <c r="U1272" s="5" t="str" cm="1">
        <f t="array" ref="U1272">_xlfn.IFS(T1272=1,"Poor",T1272=2,"Fair",T1272=3,"Good",T1272=4,"Excellent")</f>
        <v>Good</v>
      </c>
      <c r="V1272" s="5" t="s">
        <v>43</v>
      </c>
      <c r="W1272" s="5">
        <v>2</v>
      </c>
      <c r="X1272" s="28">
        <f t="shared" ca="1" si="216"/>
        <v>45381</v>
      </c>
      <c r="Y1272" s="28">
        <f t="shared" ca="1" si="217"/>
        <v>46842</v>
      </c>
      <c r="Z1272" s="28" t="str">
        <f t="shared" ca="1" si="218"/>
        <v>Upcoming</v>
      </c>
      <c r="AA1272" s="5" t="str" cm="1">
        <f t="array" ref="AA1272">_xlfn.IFS(W1272&gt;10,"Veteran",W1272&gt;=6,"Experienced",W1272&gt;=2,"Developing",W1272&gt;=0,"New")</f>
        <v>Developing</v>
      </c>
      <c r="AB1272" s="5" t="str" cm="1">
        <f t="array" ref="AB1272">_xlfn.IFS(G1272=1,"Junior",G1272=2,"Mid-Level",G1272=3,"Senior",G1272=4,"Lead",G1272=5,"Principal")&amp;" "&amp;TRIM(PROPER(H1272))</f>
        <v>Mid-Level Sales Executive</v>
      </c>
      <c r="AC1272" s="19" t="str">
        <f t="shared" ca="1" si="219"/>
        <v>Sa-Sal-2024-1271 is a Mid-Level Sales Executive in the Sales department, aged 34, single and has been with the Company for 2years</v>
      </c>
    </row>
    <row r="1273" spans="1:29">
      <c r="A1273" s="18" t="str">
        <f t="shared" ca="1" si="209"/>
        <v>Sa-Sal-2025-1272</v>
      </c>
      <c r="B1273" s="5">
        <v>21</v>
      </c>
      <c r="C1273" s="5" t="str">
        <f t="shared" si="210"/>
        <v>20-29</v>
      </c>
      <c r="D1273" s="5" t="s">
        <v>35</v>
      </c>
      <c r="E1273" s="5" t="s">
        <v>37</v>
      </c>
      <c r="F1273" s="5" t="s">
        <v>46</v>
      </c>
      <c r="G1273" s="5">
        <v>1</v>
      </c>
      <c r="H1273" s="5" t="s">
        <v>57</v>
      </c>
      <c r="I1273" s="5" t="s">
        <v>41</v>
      </c>
      <c r="J1273" s="7">
        <v>2679</v>
      </c>
      <c r="K1273" s="7">
        <f t="shared" si="211"/>
        <v>187.53000000000003</v>
      </c>
      <c r="L1273" s="7">
        <f t="shared" si="212"/>
        <v>2491.4699999999998</v>
      </c>
      <c r="M1273" s="7">
        <v>4567</v>
      </c>
      <c r="N1273" s="5" t="s">
        <v>43</v>
      </c>
      <c r="O1273" s="5">
        <v>13</v>
      </c>
      <c r="P1273" s="7">
        <f t="shared" si="213"/>
        <v>3027.2699999999995</v>
      </c>
      <c r="Q1273" s="7">
        <f t="shared" si="214"/>
        <v>4179.2399999999943</v>
      </c>
      <c r="R1273" s="7" t="str">
        <f t="shared" si="215"/>
        <v>Normal</v>
      </c>
      <c r="S1273" s="5">
        <v>3</v>
      </c>
      <c r="T1273" s="5">
        <v>3</v>
      </c>
      <c r="U1273" s="5" t="str" cm="1">
        <f t="array" ref="U1273">_xlfn.IFS(T1273=1,"Poor",T1273=2,"Fair",T1273=3,"Good",T1273=4,"Excellent")</f>
        <v>Good</v>
      </c>
      <c r="V1273" s="5" t="s">
        <v>43</v>
      </c>
      <c r="W1273" s="5">
        <v>1</v>
      </c>
      <c r="X1273" s="28">
        <f t="shared" ca="1" si="216"/>
        <v>45746</v>
      </c>
      <c r="Y1273" s="28">
        <f t="shared" ca="1" si="217"/>
        <v>46476</v>
      </c>
      <c r="Z1273" s="28" t="str">
        <f t="shared" ca="1" si="218"/>
        <v>Due Soon</v>
      </c>
      <c r="AA1273" s="5" t="str" cm="1">
        <f t="array" ref="AA1273">_xlfn.IFS(W1273&gt;10,"Veteran",W1273&gt;=6,"Experienced",W1273&gt;=2,"Developing",W1273&gt;=0,"New")</f>
        <v>New</v>
      </c>
      <c r="AB1273" s="5" t="str" cm="1">
        <f t="array" ref="AB1273">_xlfn.IFS(G1273=1,"Junior",G1273=2,"Mid-Level",G1273=3,"Senior",G1273=4,"Lead",G1273=5,"Principal")&amp;" "&amp;TRIM(PROPER(H1273))</f>
        <v>Junior Sales Representative</v>
      </c>
      <c r="AC1273" s="19" t="str">
        <f t="shared" ca="1" si="219"/>
        <v>Sa-Sal-2025-1272 is a Junior Sales Representative in the Sales department, aged 21, single and has been with the Company for 1years</v>
      </c>
    </row>
    <row r="1274" spans="1:29">
      <c r="A1274" s="18" t="str">
        <f t="shared" ca="1" si="209"/>
        <v>La-Res-2021-1273</v>
      </c>
      <c r="B1274" s="5">
        <v>38</v>
      </c>
      <c r="C1274" s="5" t="str">
        <f t="shared" si="210"/>
        <v>30-39</v>
      </c>
      <c r="D1274" s="5" t="s">
        <v>43</v>
      </c>
      <c r="E1274" s="5" t="s">
        <v>45</v>
      </c>
      <c r="F1274" s="5" t="s">
        <v>39</v>
      </c>
      <c r="G1274" s="5">
        <v>1</v>
      </c>
      <c r="H1274" s="5" t="s">
        <v>50</v>
      </c>
      <c r="I1274" s="5" t="s">
        <v>48</v>
      </c>
      <c r="J1274" s="7">
        <v>3702</v>
      </c>
      <c r="K1274" s="7">
        <f t="shared" si="211"/>
        <v>555.29999999999995</v>
      </c>
      <c r="L1274" s="7">
        <f t="shared" si="212"/>
        <v>3146.7</v>
      </c>
      <c r="M1274" s="7">
        <v>16376</v>
      </c>
      <c r="N1274" s="5" t="s">
        <v>43</v>
      </c>
      <c r="O1274" s="5">
        <v>11</v>
      </c>
      <c r="P1274" s="7">
        <f t="shared" si="213"/>
        <v>4109.22</v>
      </c>
      <c r="Q1274" s="7">
        <f t="shared" si="214"/>
        <v>4886.6400000000031</v>
      </c>
      <c r="R1274" s="7" t="str">
        <f t="shared" si="215"/>
        <v>Normal</v>
      </c>
      <c r="S1274" s="5">
        <v>3</v>
      </c>
      <c r="T1274" s="5">
        <v>3</v>
      </c>
      <c r="U1274" s="5" t="str" cm="1">
        <f t="array" ref="U1274">_xlfn.IFS(T1274=1,"Poor",T1274=2,"Fair",T1274=3,"Good",T1274=4,"Excellent")</f>
        <v>Good</v>
      </c>
      <c r="V1274" s="5" t="s">
        <v>43</v>
      </c>
      <c r="W1274" s="5">
        <v>5</v>
      </c>
      <c r="X1274" s="28">
        <f t="shared" ca="1" si="216"/>
        <v>44285</v>
      </c>
      <c r="Y1274" s="28">
        <f t="shared" ca="1" si="217"/>
        <v>46476</v>
      </c>
      <c r="Z1274" s="28" t="str">
        <f t="shared" ca="1" si="218"/>
        <v>Due Soon</v>
      </c>
      <c r="AA1274" s="5" t="str" cm="1">
        <f t="array" ref="AA1274">_xlfn.IFS(W1274&gt;10,"Veteran",W1274&gt;=6,"Experienced",W1274&gt;=2,"Developing",W1274&gt;=0,"New")</f>
        <v>Developing</v>
      </c>
      <c r="AB1274" s="5" t="str" cm="1">
        <f t="array" ref="AB1274">_xlfn.IFS(G1274=1,"Junior",G1274=2,"Mid-Level",G1274=3,"Senior",G1274=4,"Lead",G1274=5,"Principal")&amp;" "&amp;TRIM(PROPER(H1274))</f>
        <v>Junior Laboratory Technician</v>
      </c>
      <c r="AC1274" s="19" t="str">
        <f t="shared" ca="1" si="219"/>
        <v>La-Res-2021-1273 is a Junior Laboratory Technician in the Research &amp; Development department, aged 38, married and has been with the Company for 5years</v>
      </c>
    </row>
    <row r="1275" spans="1:29">
      <c r="A1275" s="18" t="str">
        <f t="shared" ca="1" si="209"/>
        <v>La-Res-2025-1274</v>
      </c>
      <c r="B1275" s="5">
        <v>22</v>
      </c>
      <c r="C1275" s="5" t="str">
        <f t="shared" si="210"/>
        <v>20-29</v>
      </c>
      <c r="D1275" s="5" t="s">
        <v>35</v>
      </c>
      <c r="E1275" s="5" t="s">
        <v>45</v>
      </c>
      <c r="F1275" s="5" t="s">
        <v>39</v>
      </c>
      <c r="G1275" s="5">
        <v>1</v>
      </c>
      <c r="H1275" s="5" t="s">
        <v>50</v>
      </c>
      <c r="I1275" s="5" t="s">
        <v>48</v>
      </c>
      <c r="J1275" s="7">
        <v>2398</v>
      </c>
      <c r="K1275" s="7">
        <f t="shared" si="211"/>
        <v>167.86</v>
      </c>
      <c r="L1275" s="7">
        <f t="shared" si="212"/>
        <v>2230.14</v>
      </c>
      <c r="M1275" s="7">
        <v>15999</v>
      </c>
      <c r="N1275" s="5" t="s">
        <v>35</v>
      </c>
      <c r="O1275" s="5">
        <v>17</v>
      </c>
      <c r="P1275" s="7">
        <f t="shared" si="213"/>
        <v>2805.66</v>
      </c>
      <c r="Q1275" s="7">
        <f t="shared" si="214"/>
        <v>4891.9199999999983</v>
      </c>
      <c r="R1275" s="7" t="str">
        <f t="shared" si="215"/>
        <v>Normal</v>
      </c>
      <c r="S1275" s="5">
        <v>3</v>
      </c>
      <c r="T1275" s="5">
        <v>3</v>
      </c>
      <c r="U1275" s="5" t="str" cm="1">
        <f t="array" ref="U1275">_xlfn.IFS(T1275=1,"Poor",T1275=2,"Fair",T1275=3,"Good",T1275=4,"Excellent")</f>
        <v>Good</v>
      </c>
      <c r="V1275" s="5" t="s">
        <v>35</v>
      </c>
      <c r="W1275" s="5">
        <v>1</v>
      </c>
      <c r="X1275" s="28">
        <f t="shared" ca="1" si="216"/>
        <v>45746</v>
      </c>
      <c r="Y1275" s="28">
        <f t="shared" ca="1" si="217"/>
        <v>46476</v>
      </c>
      <c r="Z1275" s="28" t="str">
        <f t="shared" ca="1" si="218"/>
        <v>Due Soon</v>
      </c>
      <c r="AA1275" s="5" t="str" cm="1">
        <f t="array" ref="AA1275">_xlfn.IFS(W1275&gt;10,"Veteran",W1275&gt;=6,"Experienced",W1275&gt;=2,"Developing",W1275&gt;=0,"New")</f>
        <v>New</v>
      </c>
      <c r="AB1275" s="5" t="str" cm="1">
        <f t="array" ref="AB1275">_xlfn.IFS(G1275=1,"Junior",G1275=2,"Mid-Level",G1275=3,"Senior",G1275=4,"Lead",G1275=5,"Principal")&amp;" "&amp;TRIM(PROPER(H1275))</f>
        <v>Junior Laboratory Technician</v>
      </c>
      <c r="AC1275" s="19" t="str">
        <f t="shared" ca="1" si="219"/>
        <v>La-Res-2025-1274 is a Junior Laboratory Technician in the Research &amp; Development department, aged 22, married and has been with the Company for 1years</v>
      </c>
    </row>
    <row r="1276" spans="1:29">
      <c r="A1276" s="18" t="str">
        <f t="shared" ca="1" si="209"/>
        <v>Sa-Sal-2014-1275</v>
      </c>
      <c r="B1276" s="5">
        <v>31</v>
      </c>
      <c r="C1276" s="5" t="str">
        <f t="shared" si="210"/>
        <v>30-39</v>
      </c>
      <c r="D1276" s="5" t="s">
        <v>43</v>
      </c>
      <c r="E1276" s="5" t="s">
        <v>37</v>
      </c>
      <c r="F1276" s="5" t="s">
        <v>39</v>
      </c>
      <c r="G1276" s="5">
        <v>2</v>
      </c>
      <c r="H1276" s="5" t="s">
        <v>40</v>
      </c>
      <c r="I1276" s="5" t="s">
        <v>48</v>
      </c>
      <c r="J1276" s="7">
        <v>5468</v>
      </c>
      <c r="K1276" s="7">
        <f t="shared" si="211"/>
        <v>820.19999999999993</v>
      </c>
      <c r="L1276" s="7">
        <f t="shared" si="212"/>
        <v>4647.8</v>
      </c>
      <c r="M1276" s="7">
        <v>13402</v>
      </c>
      <c r="N1276" s="5" t="s">
        <v>43</v>
      </c>
      <c r="O1276" s="5">
        <v>14</v>
      </c>
      <c r="P1276" s="7">
        <f t="shared" si="213"/>
        <v>6233.52</v>
      </c>
      <c r="Q1276" s="7">
        <f t="shared" si="214"/>
        <v>9186.2400000000052</v>
      </c>
      <c r="R1276" s="7" t="str">
        <f t="shared" si="215"/>
        <v>Normal</v>
      </c>
      <c r="S1276" s="5">
        <v>3</v>
      </c>
      <c r="T1276" s="5">
        <v>3</v>
      </c>
      <c r="U1276" s="5" t="str" cm="1">
        <f t="array" ref="U1276">_xlfn.IFS(T1276=1,"Poor",T1276=2,"Fair",T1276=3,"Good",T1276=4,"Excellent")</f>
        <v>Good</v>
      </c>
      <c r="V1276" s="5" t="s">
        <v>43</v>
      </c>
      <c r="W1276" s="5">
        <v>12</v>
      </c>
      <c r="X1276" s="28">
        <f t="shared" ca="1" si="216"/>
        <v>41728</v>
      </c>
      <c r="Y1276" s="28">
        <f t="shared" ca="1" si="217"/>
        <v>46842</v>
      </c>
      <c r="Z1276" s="28" t="str">
        <f t="shared" ca="1" si="218"/>
        <v>Upcoming</v>
      </c>
      <c r="AA1276" s="5" t="str" cm="1">
        <f t="array" ref="AA1276">_xlfn.IFS(W1276&gt;10,"Veteran",W1276&gt;=6,"Experienced",W1276&gt;=2,"Developing",W1276&gt;=0,"New")</f>
        <v>Veteran</v>
      </c>
      <c r="AB1276" s="5" t="str" cm="1">
        <f t="array" ref="AB1276">_xlfn.IFS(G1276=1,"Junior",G1276=2,"Mid-Level",G1276=3,"Senior",G1276=4,"Lead",G1276=5,"Principal")&amp;" "&amp;TRIM(PROPER(H1276))</f>
        <v>Mid-Level Sales Executive</v>
      </c>
      <c r="AC1276" s="19" t="str">
        <f t="shared" ca="1" si="219"/>
        <v>Sa-Sal-2014-1275 is a Mid-Level Sales Executive in the Sales department, aged 31, married and has been with the Company for 12years</v>
      </c>
    </row>
    <row r="1277" spans="1:29">
      <c r="A1277" s="18" t="str">
        <f t="shared" ca="1" si="209"/>
        <v>Ma-Res-2024-1276</v>
      </c>
      <c r="B1277" s="5">
        <v>51</v>
      </c>
      <c r="C1277" s="5" t="str">
        <f t="shared" si="210"/>
        <v>50+</v>
      </c>
      <c r="D1277" s="5" t="s">
        <v>43</v>
      </c>
      <c r="E1277" s="5" t="s">
        <v>45</v>
      </c>
      <c r="F1277" s="5" t="s">
        <v>39</v>
      </c>
      <c r="G1277" s="5">
        <v>3</v>
      </c>
      <c r="H1277" s="5" t="s">
        <v>56</v>
      </c>
      <c r="I1277" s="5" t="s">
        <v>48</v>
      </c>
      <c r="J1277" s="7">
        <v>13116</v>
      </c>
      <c r="K1277" s="7">
        <f t="shared" si="211"/>
        <v>3934.7999999999997</v>
      </c>
      <c r="L1277" s="7">
        <f t="shared" si="212"/>
        <v>9181.2000000000007</v>
      </c>
      <c r="M1277" s="7">
        <v>22984</v>
      </c>
      <c r="N1277" s="5" t="s">
        <v>43</v>
      </c>
      <c r="O1277" s="5">
        <v>11</v>
      </c>
      <c r="P1277" s="7">
        <f t="shared" si="213"/>
        <v>14558.760000000002</v>
      </c>
      <c r="Q1277" s="7">
        <f t="shared" si="214"/>
        <v>17313.120000000024</v>
      </c>
      <c r="R1277" s="7" t="str">
        <f t="shared" si="215"/>
        <v>Normal</v>
      </c>
      <c r="S1277" s="5">
        <v>3</v>
      </c>
      <c r="T1277" s="5">
        <v>3</v>
      </c>
      <c r="U1277" s="5" t="str" cm="1">
        <f t="array" ref="U1277">_xlfn.IFS(T1277=1,"Poor",T1277=2,"Fair",T1277=3,"Good",T1277=4,"Excellent")</f>
        <v>Good</v>
      </c>
      <c r="V1277" s="5" t="s">
        <v>43</v>
      </c>
      <c r="W1277" s="5">
        <v>2</v>
      </c>
      <c r="X1277" s="28">
        <f t="shared" ca="1" si="216"/>
        <v>45381</v>
      </c>
      <c r="Y1277" s="28">
        <f t="shared" ca="1" si="217"/>
        <v>46842</v>
      </c>
      <c r="Z1277" s="28" t="str">
        <f t="shared" ca="1" si="218"/>
        <v>Upcoming</v>
      </c>
      <c r="AA1277" s="5" t="str" cm="1">
        <f t="array" ref="AA1277">_xlfn.IFS(W1277&gt;10,"Veteran",W1277&gt;=6,"Experienced",W1277&gt;=2,"Developing",W1277&gt;=0,"New")</f>
        <v>Developing</v>
      </c>
      <c r="AB1277" s="5" t="str" cm="1">
        <f t="array" ref="AB1277">_xlfn.IFS(G1277=1,"Junior",G1277=2,"Mid-Level",G1277=3,"Senior",G1277=4,"Lead",G1277=5,"Principal")&amp;" "&amp;TRIM(PROPER(H1277))</f>
        <v>Senior Manager</v>
      </c>
      <c r="AC1277" s="19" t="str">
        <f t="shared" ca="1" si="219"/>
        <v>Ma-Res-2024-1276 is a Senior Manager in the Research &amp; Development department, aged 51, married and has been with the Company for 2years</v>
      </c>
    </row>
    <row r="1278" spans="1:29">
      <c r="A1278" s="18" t="str">
        <f t="shared" ca="1" si="209"/>
        <v>Sa-Sal-2021-1277</v>
      </c>
      <c r="B1278" s="5">
        <v>37</v>
      </c>
      <c r="C1278" s="5" t="str">
        <f t="shared" si="210"/>
        <v>30-39</v>
      </c>
      <c r="D1278" s="5" t="s">
        <v>43</v>
      </c>
      <c r="E1278" s="5" t="s">
        <v>37</v>
      </c>
      <c r="F1278" s="5" t="s">
        <v>46</v>
      </c>
      <c r="G1278" s="5">
        <v>2</v>
      </c>
      <c r="H1278" s="5" t="s">
        <v>40</v>
      </c>
      <c r="I1278" s="5" t="s">
        <v>48</v>
      </c>
      <c r="J1278" s="7">
        <v>4189</v>
      </c>
      <c r="K1278" s="7">
        <f t="shared" si="211"/>
        <v>628.35</v>
      </c>
      <c r="L1278" s="7">
        <f t="shared" si="212"/>
        <v>3560.65</v>
      </c>
      <c r="M1278" s="7">
        <v>8800</v>
      </c>
      <c r="N1278" s="5" t="s">
        <v>43</v>
      </c>
      <c r="O1278" s="5">
        <v>14</v>
      </c>
      <c r="P1278" s="7">
        <f t="shared" si="213"/>
        <v>4775.4600000000009</v>
      </c>
      <c r="Q1278" s="7">
        <f t="shared" si="214"/>
        <v>7037.5200000000114</v>
      </c>
      <c r="R1278" s="7" t="str">
        <f t="shared" si="215"/>
        <v>Normal</v>
      </c>
      <c r="S1278" s="5">
        <v>3</v>
      </c>
      <c r="T1278" s="5">
        <v>3</v>
      </c>
      <c r="U1278" s="5" t="str" cm="1">
        <f t="array" ref="U1278">_xlfn.IFS(T1278=1,"Poor",T1278=2,"Fair",T1278=3,"Good",T1278=4,"Excellent")</f>
        <v>Good</v>
      </c>
      <c r="V1278" s="5" t="s">
        <v>43</v>
      </c>
      <c r="W1278" s="5">
        <v>5</v>
      </c>
      <c r="X1278" s="28">
        <f t="shared" ca="1" si="216"/>
        <v>44285</v>
      </c>
      <c r="Y1278" s="28">
        <f t="shared" ca="1" si="217"/>
        <v>46476</v>
      </c>
      <c r="Z1278" s="28" t="str">
        <f t="shared" ca="1" si="218"/>
        <v>Due Soon</v>
      </c>
      <c r="AA1278" s="5" t="str" cm="1">
        <f t="array" ref="AA1278">_xlfn.IFS(W1278&gt;10,"Veteran",W1278&gt;=6,"Experienced",W1278&gt;=2,"Developing",W1278&gt;=0,"New")</f>
        <v>Developing</v>
      </c>
      <c r="AB1278" s="5" t="str" cm="1">
        <f t="array" ref="AB1278">_xlfn.IFS(G1278=1,"Junior",G1278=2,"Mid-Level",G1278=3,"Senior",G1278=4,"Lead",G1278=5,"Principal")&amp;" "&amp;TRIM(PROPER(H1278))</f>
        <v>Mid-Level Sales Executive</v>
      </c>
      <c r="AC1278" s="19" t="str">
        <f t="shared" ca="1" si="219"/>
        <v>Sa-Sal-2021-1277 is a Mid-Level Sales Executive in the Sales department, aged 37, married and has been with the Company for 5years</v>
      </c>
    </row>
    <row r="1279" spans="1:29">
      <c r="A1279" s="18" t="str">
        <f t="shared" ca="1" si="209"/>
        <v>Re-Res-2024-1278</v>
      </c>
      <c r="B1279" s="5">
        <v>46</v>
      </c>
      <c r="C1279" s="5" t="str">
        <f t="shared" si="210"/>
        <v>40-49</v>
      </c>
      <c r="D1279" s="5" t="s">
        <v>43</v>
      </c>
      <c r="E1279" s="5" t="s">
        <v>45</v>
      </c>
      <c r="F1279" s="5" t="s">
        <v>46</v>
      </c>
      <c r="G1279" s="5">
        <v>5</v>
      </c>
      <c r="H1279" s="5" t="s">
        <v>58</v>
      </c>
      <c r="I1279" s="5" t="s">
        <v>52</v>
      </c>
      <c r="J1279" s="7">
        <v>19328</v>
      </c>
      <c r="K1279" s="7">
        <f t="shared" si="211"/>
        <v>5798.4</v>
      </c>
      <c r="L1279" s="7">
        <f t="shared" si="212"/>
        <v>13529.6</v>
      </c>
      <c r="M1279" s="7">
        <v>14218</v>
      </c>
      <c r="N1279" s="5" t="s">
        <v>35</v>
      </c>
      <c r="O1279" s="5">
        <v>17</v>
      </c>
      <c r="P1279" s="7">
        <f t="shared" si="213"/>
        <v>22613.759999999998</v>
      </c>
      <c r="Q1279" s="7">
        <f t="shared" si="214"/>
        <v>39429.119999999981</v>
      </c>
      <c r="R1279" s="7" t="str">
        <f t="shared" si="215"/>
        <v>Normal</v>
      </c>
      <c r="S1279" s="5">
        <v>3</v>
      </c>
      <c r="T1279" s="5">
        <v>3</v>
      </c>
      <c r="U1279" s="5" t="str" cm="1">
        <f t="array" ref="U1279">_xlfn.IFS(T1279=1,"Poor",T1279=2,"Fair",T1279=3,"Good",T1279=4,"Excellent")</f>
        <v>Good</v>
      </c>
      <c r="V1279" s="5" t="s">
        <v>35</v>
      </c>
      <c r="W1279" s="5">
        <v>2</v>
      </c>
      <c r="X1279" s="28">
        <f t="shared" ca="1" si="216"/>
        <v>45381</v>
      </c>
      <c r="Y1279" s="28">
        <f t="shared" ca="1" si="217"/>
        <v>46842</v>
      </c>
      <c r="Z1279" s="28" t="str">
        <f t="shared" ca="1" si="218"/>
        <v>Upcoming</v>
      </c>
      <c r="AA1279" s="5" t="str" cm="1">
        <f t="array" ref="AA1279">_xlfn.IFS(W1279&gt;10,"Veteran",W1279&gt;=6,"Experienced",W1279&gt;=2,"Developing",W1279&gt;=0,"New")</f>
        <v>Developing</v>
      </c>
      <c r="AB1279" s="5" t="str" cm="1">
        <f t="array" ref="AB1279">_xlfn.IFS(G1279=1,"Junior",G1279=2,"Mid-Level",G1279=3,"Senior",G1279=4,"Lead",G1279=5,"Principal")&amp;" "&amp;TRIM(PROPER(H1279))</f>
        <v>Principal Research Director</v>
      </c>
      <c r="AC1279" s="19" t="str">
        <f t="shared" ca="1" si="219"/>
        <v>Re-Res-2024-1278 is a Principal Research Director in the Research &amp; Development department, aged 46, divorced and has been with the Company for 2years</v>
      </c>
    </row>
    <row r="1280" spans="1:29">
      <c r="A1280" s="18" t="str">
        <f t="shared" ca="1" si="209"/>
        <v>He-Res-2014-1279</v>
      </c>
      <c r="B1280" s="5">
        <v>36</v>
      </c>
      <c r="C1280" s="5" t="str">
        <f t="shared" si="210"/>
        <v>30-39</v>
      </c>
      <c r="D1280" s="5" t="s">
        <v>43</v>
      </c>
      <c r="E1280" s="5" t="s">
        <v>45</v>
      </c>
      <c r="F1280" s="5" t="s">
        <v>46</v>
      </c>
      <c r="G1280" s="5">
        <v>3</v>
      </c>
      <c r="H1280" s="5" t="s">
        <v>54</v>
      </c>
      <c r="I1280" s="5" t="s">
        <v>48</v>
      </c>
      <c r="J1280" s="7">
        <v>8321</v>
      </c>
      <c r="K1280" s="7">
        <f t="shared" si="211"/>
        <v>1830.6200000000001</v>
      </c>
      <c r="L1280" s="7">
        <f t="shared" si="212"/>
        <v>6490.38</v>
      </c>
      <c r="M1280" s="7">
        <v>25949</v>
      </c>
      <c r="N1280" s="5" t="s">
        <v>35</v>
      </c>
      <c r="O1280" s="5">
        <v>13</v>
      </c>
      <c r="P1280" s="7">
        <f t="shared" si="213"/>
        <v>9402.73</v>
      </c>
      <c r="Q1280" s="7">
        <f t="shared" si="214"/>
        <v>12980.759999999995</v>
      </c>
      <c r="R1280" s="7" t="str">
        <f t="shared" si="215"/>
        <v>Normal</v>
      </c>
      <c r="S1280" s="5">
        <v>3</v>
      </c>
      <c r="T1280" s="5">
        <v>3</v>
      </c>
      <c r="U1280" s="5" t="str" cm="1">
        <f t="array" ref="U1280">_xlfn.IFS(T1280=1,"Poor",T1280=2,"Fair",T1280=3,"Good",T1280=4,"Excellent")</f>
        <v>Good</v>
      </c>
      <c r="V1280" s="5" t="s">
        <v>35</v>
      </c>
      <c r="W1280" s="5">
        <v>12</v>
      </c>
      <c r="X1280" s="28">
        <f t="shared" ca="1" si="216"/>
        <v>41728</v>
      </c>
      <c r="Y1280" s="28">
        <f t="shared" ca="1" si="217"/>
        <v>46842</v>
      </c>
      <c r="Z1280" s="28" t="str">
        <f t="shared" ca="1" si="218"/>
        <v>Upcoming</v>
      </c>
      <c r="AA1280" s="5" t="str" cm="1">
        <f t="array" ref="AA1280">_xlfn.IFS(W1280&gt;10,"Veteran",W1280&gt;=6,"Experienced",W1280&gt;=2,"Developing",W1280&gt;=0,"New")</f>
        <v>Veteran</v>
      </c>
      <c r="AB1280" s="5" t="str" cm="1">
        <f t="array" ref="AB1280">_xlfn.IFS(G1280=1,"Junior",G1280=2,"Mid-Level",G1280=3,"Senior",G1280=4,"Lead",G1280=5,"Principal")&amp;" "&amp;TRIM(PROPER(H1280))</f>
        <v>Senior Healthcare Representative</v>
      </c>
      <c r="AC1280" s="19" t="str">
        <f t="shared" ca="1" si="219"/>
        <v>He-Res-2014-1279 is a Senior Healthcare Representative in the Research &amp; Development department, aged 36, married and has been with the Company for 12years</v>
      </c>
    </row>
    <row r="1281" spans="1:29">
      <c r="A1281" s="18" t="str">
        <f t="shared" ca="1" si="209"/>
        <v>Re-Res-2021-1280</v>
      </c>
      <c r="B1281" s="5">
        <v>44</v>
      </c>
      <c r="C1281" s="5" t="str">
        <f t="shared" si="210"/>
        <v>40-49</v>
      </c>
      <c r="D1281" s="5" t="s">
        <v>35</v>
      </c>
      <c r="E1281" s="5" t="s">
        <v>45</v>
      </c>
      <c r="F1281" s="5" t="s">
        <v>46</v>
      </c>
      <c r="G1281" s="5">
        <v>1</v>
      </c>
      <c r="H1281" s="5" t="s">
        <v>47</v>
      </c>
      <c r="I1281" s="5" t="s">
        <v>52</v>
      </c>
      <c r="J1281" s="7">
        <v>2342</v>
      </c>
      <c r="K1281" s="7">
        <f t="shared" si="211"/>
        <v>163.94000000000003</v>
      </c>
      <c r="L1281" s="7">
        <f t="shared" si="212"/>
        <v>2178.06</v>
      </c>
      <c r="M1281" s="7">
        <v>11092</v>
      </c>
      <c r="N1281" s="5" t="s">
        <v>35</v>
      </c>
      <c r="O1281" s="5">
        <v>12</v>
      </c>
      <c r="P1281" s="7">
        <f t="shared" si="213"/>
        <v>2623.0400000000004</v>
      </c>
      <c r="Q1281" s="7">
        <f t="shared" si="214"/>
        <v>3372.480000000005</v>
      </c>
      <c r="R1281" s="7" t="str">
        <f t="shared" si="215"/>
        <v>Normal</v>
      </c>
      <c r="S1281" s="5">
        <v>3</v>
      </c>
      <c r="T1281" s="5">
        <v>2</v>
      </c>
      <c r="U1281" s="5" t="str" cm="1">
        <f t="array" ref="U1281">_xlfn.IFS(T1281=1,"Poor",T1281=2,"Fair",T1281=3,"Good",T1281=4,"Excellent")</f>
        <v>Fair</v>
      </c>
      <c r="V1281" s="5" t="s">
        <v>35</v>
      </c>
      <c r="W1281" s="5">
        <v>5</v>
      </c>
      <c r="X1281" s="28">
        <f t="shared" ca="1" si="216"/>
        <v>44285</v>
      </c>
      <c r="Y1281" s="28">
        <f t="shared" ca="1" si="217"/>
        <v>46476</v>
      </c>
      <c r="Z1281" s="28" t="str">
        <f t="shared" ca="1" si="218"/>
        <v>Due Soon</v>
      </c>
      <c r="AA1281" s="5" t="str" cm="1">
        <f t="array" ref="AA1281">_xlfn.IFS(W1281&gt;10,"Veteran",W1281&gt;=6,"Experienced",W1281&gt;=2,"Developing",W1281&gt;=0,"New")</f>
        <v>Developing</v>
      </c>
      <c r="AB1281" s="5" t="str" cm="1">
        <f t="array" ref="AB1281">_xlfn.IFS(G1281=1,"Junior",G1281=2,"Mid-Level",G1281=3,"Senior",G1281=4,"Lead",G1281=5,"Principal")&amp;" "&amp;TRIM(PROPER(H1281))</f>
        <v>Junior Research Scientist</v>
      </c>
      <c r="AC1281" s="19" t="str">
        <f t="shared" ca="1" si="219"/>
        <v>Re-Res-2021-1280 is a Junior Research Scientist in the Research &amp; Development department, aged 44, divorced and has been with the Company for 5years</v>
      </c>
    </row>
    <row r="1282" spans="1:29">
      <c r="A1282" s="18" t="str">
        <f t="shared" ca="1" si="209"/>
        <v>Hu-Hum-2016-1281</v>
      </c>
      <c r="B1282" s="5">
        <v>37</v>
      </c>
      <c r="C1282" s="5" t="str">
        <f t="shared" si="210"/>
        <v>30-39</v>
      </c>
      <c r="D1282" s="5" t="s">
        <v>43</v>
      </c>
      <c r="E1282" s="5" t="s">
        <v>61</v>
      </c>
      <c r="F1282" s="5" t="s">
        <v>46</v>
      </c>
      <c r="G1282" s="5">
        <v>2</v>
      </c>
      <c r="H1282" s="5" t="s">
        <v>61</v>
      </c>
      <c r="I1282" s="5" t="s">
        <v>52</v>
      </c>
      <c r="J1282" s="7">
        <v>4071</v>
      </c>
      <c r="K1282" s="7">
        <f t="shared" si="211"/>
        <v>610.65</v>
      </c>
      <c r="L1282" s="7">
        <f t="shared" si="212"/>
        <v>3460.35</v>
      </c>
      <c r="M1282" s="7">
        <v>12832</v>
      </c>
      <c r="N1282" s="5" t="s">
        <v>43</v>
      </c>
      <c r="O1282" s="5">
        <v>13</v>
      </c>
      <c r="P1282" s="7">
        <f t="shared" si="213"/>
        <v>4600.2299999999996</v>
      </c>
      <c r="Q1282" s="7">
        <f t="shared" si="214"/>
        <v>6350.7599999999948</v>
      </c>
      <c r="R1282" s="7" t="str">
        <f t="shared" si="215"/>
        <v>Normal</v>
      </c>
      <c r="S1282" s="5">
        <v>3</v>
      </c>
      <c r="T1282" s="5">
        <v>2</v>
      </c>
      <c r="U1282" s="5" t="str" cm="1">
        <f t="array" ref="U1282">_xlfn.IFS(T1282=1,"Poor",T1282=2,"Fair",T1282=3,"Good",T1282=4,"Excellent")</f>
        <v>Fair</v>
      </c>
      <c r="V1282" s="5" t="s">
        <v>43</v>
      </c>
      <c r="W1282" s="5">
        <v>10</v>
      </c>
      <c r="X1282" s="28">
        <f t="shared" ca="1" si="216"/>
        <v>42459</v>
      </c>
      <c r="Y1282" s="28">
        <f t="shared" ca="1" si="217"/>
        <v>46842</v>
      </c>
      <c r="Z1282" s="28" t="str">
        <f t="shared" ca="1" si="218"/>
        <v>Upcoming</v>
      </c>
      <c r="AA1282" s="5" t="str" cm="1">
        <f t="array" ref="AA1282">_xlfn.IFS(W1282&gt;10,"Veteran",W1282&gt;=6,"Experienced",W1282&gt;=2,"Developing",W1282&gt;=0,"New")</f>
        <v>Experienced</v>
      </c>
      <c r="AB1282" s="5" t="str" cm="1">
        <f t="array" ref="AB1282">_xlfn.IFS(G1282=1,"Junior",G1282=2,"Mid-Level",G1282=3,"Senior",G1282=4,"Lead",G1282=5,"Principal")&amp;" "&amp;TRIM(PROPER(H1282))</f>
        <v>Mid-Level Human Resources</v>
      </c>
      <c r="AC1282" s="19" t="str">
        <f t="shared" ca="1" si="219"/>
        <v>Hu-Hum-2016-1281 is a Mid-Level Human Resources in the Human Resources department, aged 37, divorced and has been with the Company for 10years</v>
      </c>
    </row>
    <row r="1283" spans="1:29">
      <c r="A1283" s="18" t="str">
        <f t="shared" ref="A1283:A1346" ca="1" si="220">LEFT(H1283,2)&amp;"-"&amp;LEFT(E1283,3)&amp;"-"&amp;YEAR(TODAY())-W1283&amp;"-"&amp;TEXT(ROW()-1,"000")</f>
        <v>Sa-Sal-2016-1282</v>
      </c>
      <c r="B1283" s="5">
        <v>35</v>
      </c>
      <c r="C1283" s="5" t="str">
        <f t="shared" ref="C1283:C1346" si="221">IF(B1283&lt;=29,"20-29",IF(B1283&lt;=39,"30-39",IF(B1283&lt;=49,"40-49","50+")))</f>
        <v>30-39</v>
      </c>
      <c r="D1283" s="5" t="s">
        <v>35</v>
      </c>
      <c r="E1283" s="5" t="s">
        <v>37</v>
      </c>
      <c r="F1283" s="5" t="s">
        <v>46</v>
      </c>
      <c r="G1283" s="5">
        <v>2</v>
      </c>
      <c r="H1283" s="5" t="s">
        <v>40</v>
      </c>
      <c r="I1283" s="5" t="s">
        <v>41</v>
      </c>
      <c r="J1283" s="7">
        <v>5813</v>
      </c>
      <c r="K1283" s="7">
        <f t="shared" ref="K1283:K1346" si="222">IF(J1283&gt;13000,J1283*30%,IF(J1283&gt;7000,J1283*22%,IF(J1283&gt;3000,J1283*15%,J1283*7%)))</f>
        <v>871.94999999999993</v>
      </c>
      <c r="L1283" s="7">
        <f t="shared" ref="L1283:L1346" si="223">J1283-K1283</f>
        <v>4941.05</v>
      </c>
      <c r="M1283" s="7">
        <v>13492</v>
      </c>
      <c r="N1283" s="5" t="s">
        <v>35</v>
      </c>
      <c r="O1283" s="5">
        <v>18</v>
      </c>
      <c r="P1283" s="7">
        <f t="shared" ref="P1283:P1346" si="224">J1283*(1+(O1283/100))</f>
        <v>6859.3399999999992</v>
      </c>
      <c r="Q1283" s="7">
        <f t="shared" ref="Q1283:Q1346" si="225">(P1283-J1283)*12</f>
        <v>12556.079999999991</v>
      </c>
      <c r="R1283" s="7" t="str">
        <f t="shared" ref="R1283:R1346" si="226">IF(AND(O1283&lt;12,S1283=4),"UnderPaid","Normal")</f>
        <v>Normal</v>
      </c>
      <c r="S1283" s="5">
        <v>3</v>
      </c>
      <c r="T1283" s="5">
        <v>3</v>
      </c>
      <c r="U1283" s="5" t="str" cm="1">
        <f t="array" ref="U1283">_xlfn.IFS(T1283=1,"Poor",T1283=2,"Fair",T1283=3,"Good",T1283=4,"Excellent")</f>
        <v>Good</v>
      </c>
      <c r="V1283" s="5" t="s">
        <v>35</v>
      </c>
      <c r="W1283" s="5">
        <v>10</v>
      </c>
      <c r="X1283" s="28">
        <f t="shared" ref="X1283:X1346" ca="1" si="227">EDATE(TODAY(),-W1283*12)</f>
        <v>42459</v>
      </c>
      <c r="Y1283" s="28">
        <f t="shared" ref="Y1283:Y1346" ca="1" si="228">EDATE(X1283,(INT(W1283/2)+1)*24)</f>
        <v>46842</v>
      </c>
      <c r="Z1283" s="28" t="str">
        <f t="shared" ref="Z1283:Z1346" ca="1" si="229">IF(Y1283&lt;=EDATE(TODAY(),12),"Due Soon","Upcoming")</f>
        <v>Upcoming</v>
      </c>
      <c r="AA1283" s="5" t="str" cm="1">
        <f t="array" ref="AA1283">_xlfn.IFS(W1283&gt;10,"Veteran",W1283&gt;=6,"Experienced",W1283&gt;=2,"Developing",W1283&gt;=0,"New")</f>
        <v>Experienced</v>
      </c>
      <c r="AB1283" s="5" t="str" cm="1">
        <f t="array" ref="AB1283">_xlfn.IFS(G1283=1,"Junior",G1283=2,"Mid-Level",G1283=3,"Senior",G1283=4,"Lead",G1283=5,"Principal")&amp;" "&amp;TRIM(PROPER(H1283))</f>
        <v>Mid-Level Sales Executive</v>
      </c>
      <c r="AC1283" s="19" t="str">
        <f t="shared" ref="AC1283:AC1346" ca="1" si="230">A1283&amp;" is a "&amp;AB1283&amp;" in the "&amp;E1283&amp;" department, aged "&amp;B1283&amp;", "&amp;LOWER(I1283)&amp;" and has been with the Company for "&amp;W1283&amp;"years"</f>
        <v>Sa-Sal-2016-1282 is a Mid-Level Sales Executive in the Sales department, aged 35, single and has been with the Company for 10years</v>
      </c>
    </row>
    <row r="1284" spans="1:29">
      <c r="A1284" s="18" t="str">
        <f t="shared" ca="1" si="220"/>
        <v>Re-Res-2016-1283</v>
      </c>
      <c r="B1284" s="5">
        <v>33</v>
      </c>
      <c r="C1284" s="5" t="str">
        <f t="shared" si="221"/>
        <v>30-39</v>
      </c>
      <c r="D1284" s="5" t="s">
        <v>43</v>
      </c>
      <c r="E1284" s="5" t="s">
        <v>45</v>
      </c>
      <c r="F1284" s="5" t="s">
        <v>46</v>
      </c>
      <c r="G1284" s="5">
        <v>1</v>
      </c>
      <c r="H1284" s="5" t="s">
        <v>47</v>
      </c>
      <c r="I1284" s="5" t="s">
        <v>48</v>
      </c>
      <c r="J1284" s="7">
        <v>3143</v>
      </c>
      <c r="K1284" s="7">
        <f t="shared" si="222"/>
        <v>471.45</v>
      </c>
      <c r="L1284" s="7">
        <f t="shared" si="223"/>
        <v>2671.55</v>
      </c>
      <c r="M1284" s="7">
        <v>6076</v>
      </c>
      <c r="N1284" s="5" t="s">
        <v>43</v>
      </c>
      <c r="O1284" s="5">
        <v>19</v>
      </c>
      <c r="P1284" s="7">
        <f t="shared" si="224"/>
        <v>3740.1699999999996</v>
      </c>
      <c r="Q1284" s="7">
        <f t="shared" si="225"/>
        <v>7166.0399999999954</v>
      </c>
      <c r="R1284" s="7" t="str">
        <f t="shared" si="226"/>
        <v>Normal</v>
      </c>
      <c r="S1284" s="5">
        <v>3</v>
      </c>
      <c r="T1284" s="5">
        <v>3</v>
      </c>
      <c r="U1284" s="5" t="str" cm="1">
        <f t="array" ref="U1284">_xlfn.IFS(T1284=1,"Poor",T1284=2,"Fair",T1284=3,"Good",T1284=4,"Excellent")</f>
        <v>Good</v>
      </c>
      <c r="V1284" s="5" t="s">
        <v>43</v>
      </c>
      <c r="W1284" s="5">
        <v>10</v>
      </c>
      <c r="X1284" s="28">
        <f t="shared" ca="1" si="227"/>
        <v>42459</v>
      </c>
      <c r="Y1284" s="28">
        <f t="shared" ca="1" si="228"/>
        <v>46842</v>
      </c>
      <c r="Z1284" s="28" t="str">
        <f t="shared" ca="1" si="229"/>
        <v>Upcoming</v>
      </c>
      <c r="AA1284" s="5" t="str" cm="1">
        <f t="array" ref="AA1284">_xlfn.IFS(W1284&gt;10,"Veteran",W1284&gt;=6,"Experienced",W1284&gt;=2,"Developing",W1284&gt;=0,"New")</f>
        <v>Experienced</v>
      </c>
      <c r="AB1284" s="5" t="str" cm="1">
        <f t="array" ref="AB1284">_xlfn.IFS(G1284=1,"Junior",G1284=2,"Mid-Level",G1284=3,"Senior",G1284=4,"Lead",G1284=5,"Principal")&amp;" "&amp;TRIM(PROPER(H1284))</f>
        <v>Junior Research Scientist</v>
      </c>
      <c r="AC1284" s="19" t="str">
        <f t="shared" ca="1" si="230"/>
        <v>Re-Res-2016-1283 is a Junior Research Scientist in the Research &amp; Development department, aged 33, married and has been with the Company for 10years</v>
      </c>
    </row>
    <row r="1285" spans="1:29">
      <c r="A1285" s="18" t="str">
        <f t="shared" ca="1" si="220"/>
        <v>Re-Res-2021-1284</v>
      </c>
      <c r="B1285" s="5">
        <v>28</v>
      </c>
      <c r="C1285" s="5" t="str">
        <f t="shared" si="221"/>
        <v>20-29</v>
      </c>
      <c r="D1285" s="5" t="s">
        <v>43</v>
      </c>
      <c r="E1285" s="5" t="s">
        <v>45</v>
      </c>
      <c r="F1285" s="5" t="s">
        <v>46</v>
      </c>
      <c r="G1285" s="5">
        <v>1</v>
      </c>
      <c r="H1285" s="5" t="s">
        <v>47</v>
      </c>
      <c r="I1285" s="5" t="s">
        <v>48</v>
      </c>
      <c r="J1285" s="7">
        <v>2044</v>
      </c>
      <c r="K1285" s="7">
        <f t="shared" si="222"/>
        <v>143.08000000000001</v>
      </c>
      <c r="L1285" s="7">
        <f t="shared" si="223"/>
        <v>1900.92</v>
      </c>
      <c r="M1285" s="7">
        <v>5531</v>
      </c>
      <c r="N1285" s="5" t="s">
        <v>43</v>
      </c>
      <c r="O1285" s="5">
        <v>11</v>
      </c>
      <c r="P1285" s="7">
        <f t="shared" si="224"/>
        <v>2268.84</v>
      </c>
      <c r="Q1285" s="7">
        <f t="shared" si="225"/>
        <v>2698.0800000000017</v>
      </c>
      <c r="R1285" s="7" t="str">
        <f t="shared" si="226"/>
        <v>Normal</v>
      </c>
      <c r="S1285" s="5">
        <v>3</v>
      </c>
      <c r="T1285" s="5">
        <v>4</v>
      </c>
      <c r="U1285" s="5" t="str" cm="1">
        <f t="array" ref="U1285">_xlfn.IFS(T1285=1,"Poor",T1285=2,"Fair",T1285=3,"Good",T1285=4,"Excellent")</f>
        <v>Excellent</v>
      </c>
      <c r="V1285" s="5" t="s">
        <v>43</v>
      </c>
      <c r="W1285" s="5">
        <v>5</v>
      </c>
      <c r="X1285" s="28">
        <f t="shared" ca="1" si="227"/>
        <v>44285</v>
      </c>
      <c r="Y1285" s="28">
        <f t="shared" ca="1" si="228"/>
        <v>46476</v>
      </c>
      <c r="Z1285" s="28" t="str">
        <f t="shared" ca="1" si="229"/>
        <v>Due Soon</v>
      </c>
      <c r="AA1285" s="5" t="str" cm="1">
        <f t="array" ref="AA1285">_xlfn.IFS(W1285&gt;10,"Veteran",W1285&gt;=6,"Experienced",W1285&gt;=2,"Developing",W1285&gt;=0,"New")</f>
        <v>Developing</v>
      </c>
      <c r="AB1285" s="5" t="str" cm="1">
        <f t="array" ref="AB1285">_xlfn.IFS(G1285=1,"Junior",G1285=2,"Mid-Level",G1285=3,"Senior",G1285=4,"Lead",G1285=5,"Principal")&amp;" "&amp;TRIM(PROPER(H1285))</f>
        <v>Junior Research Scientist</v>
      </c>
      <c r="AC1285" s="19" t="str">
        <f t="shared" ca="1" si="230"/>
        <v>Re-Res-2021-1284 is a Junior Research Scientist in the Research &amp; Development department, aged 28, married and has been with the Company for 5years</v>
      </c>
    </row>
    <row r="1286" spans="1:29">
      <c r="A1286" s="18" t="str">
        <f t="shared" ca="1" si="220"/>
        <v>Re-Res-2022-1285</v>
      </c>
      <c r="B1286" s="5">
        <v>39</v>
      </c>
      <c r="C1286" s="5" t="str">
        <f t="shared" si="221"/>
        <v>30-39</v>
      </c>
      <c r="D1286" s="5" t="s">
        <v>43</v>
      </c>
      <c r="E1286" s="5" t="s">
        <v>45</v>
      </c>
      <c r="F1286" s="5" t="s">
        <v>46</v>
      </c>
      <c r="G1286" s="5">
        <v>3</v>
      </c>
      <c r="H1286" s="5" t="s">
        <v>58</v>
      </c>
      <c r="I1286" s="5" t="s">
        <v>41</v>
      </c>
      <c r="J1286" s="7">
        <v>13464</v>
      </c>
      <c r="K1286" s="7">
        <f t="shared" si="222"/>
        <v>4039.2</v>
      </c>
      <c r="L1286" s="7">
        <f t="shared" si="223"/>
        <v>9424.7999999999993</v>
      </c>
      <c r="M1286" s="7">
        <v>7914</v>
      </c>
      <c r="N1286" s="5" t="s">
        <v>43</v>
      </c>
      <c r="O1286" s="5">
        <v>21</v>
      </c>
      <c r="P1286" s="7">
        <f t="shared" si="224"/>
        <v>16291.439999999999</v>
      </c>
      <c r="Q1286" s="7">
        <f t="shared" si="225"/>
        <v>33929.279999999984</v>
      </c>
      <c r="R1286" s="7" t="str">
        <f t="shared" si="226"/>
        <v>Normal</v>
      </c>
      <c r="S1286" s="5">
        <v>4</v>
      </c>
      <c r="T1286" s="5">
        <v>3</v>
      </c>
      <c r="U1286" s="5" t="str" cm="1">
        <f t="array" ref="U1286">_xlfn.IFS(T1286=1,"Poor",T1286=2,"Fair",T1286=3,"Good",T1286=4,"Excellent")</f>
        <v>Good</v>
      </c>
      <c r="V1286" s="5" t="s">
        <v>43</v>
      </c>
      <c r="W1286" s="5">
        <v>4</v>
      </c>
      <c r="X1286" s="28">
        <f t="shared" ca="1" si="227"/>
        <v>44650</v>
      </c>
      <c r="Y1286" s="28">
        <f t="shared" ca="1" si="228"/>
        <v>46842</v>
      </c>
      <c r="Z1286" s="28" t="str">
        <f t="shared" ca="1" si="229"/>
        <v>Upcoming</v>
      </c>
      <c r="AA1286" s="5" t="str" cm="1">
        <f t="array" ref="AA1286">_xlfn.IFS(W1286&gt;10,"Veteran",W1286&gt;=6,"Experienced",W1286&gt;=2,"Developing",W1286&gt;=0,"New")</f>
        <v>Developing</v>
      </c>
      <c r="AB1286" s="5" t="str" cm="1">
        <f t="array" ref="AB1286">_xlfn.IFS(G1286=1,"Junior",G1286=2,"Mid-Level",G1286=3,"Senior",G1286=4,"Lead",G1286=5,"Principal")&amp;" "&amp;TRIM(PROPER(H1286))</f>
        <v>Senior Research Director</v>
      </c>
      <c r="AC1286" s="19" t="str">
        <f t="shared" ca="1" si="230"/>
        <v>Re-Res-2022-1285 is a Senior Research Director in the Research &amp; Development department, aged 39, single and has been with the Company for 4years</v>
      </c>
    </row>
    <row r="1287" spans="1:29">
      <c r="A1287" s="18" t="str">
        <f t="shared" ca="1" si="220"/>
        <v>Sa-Sal-2024-1286</v>
      </c>
      <c r="B1287" s="5">
        <v>46</v>
      </c>
      <c r="C1287" s="5" t="str">
        <f t="shared" si="221"/>
        <v>40-49</v>
      </c>
      <c r="D1287" s="5" t="s">
        <v>43</v>
      </c>
      <c r="E1287" s="5" t="s">
        <v>37</v>
      </c>
      <c r="F1287" s="5" t="s">
        <v>46</v>
      </c>
      <c r="G1287" s="5">
        <v>2</v>
      </c>
      <c r="H1287" s="5" t="s">
        <v>40</v>
      </c>
      <c r="I1287" s="5" t="s">
        <v>41</v>
      </c>
      <c r="J1287" s="7">
        <v>7991</v>
      </c>
      <c r="K1287" s="7">
        <f t="shared" si="222"/>
        <v>1758.02</v>
      </c>
      <c r="L1287" s="7">
        <f t="shared" si="223"/>
        <v>6232.98</v>
      </c>
      <c r="M1287" s="7">
        <v>25166</v>
      </c>
      <c r="N1287" s="5" t="s">
        <v>43</v>
      </c>
      <c r="O1287" s="5">
        <v>15</v>
      </c>
      <c r="P1287" s="7">
        <f t="shared" si="224"/>
        <v>9189.65</v>
      </c>
      <c r="Q1287" s="7">
        <f t="shared" si="225"/>
        <v>14383.799999999996</v>
      </c>
      <c r="R1287" s="7" t="str">
        <f t="shared" si="226"/>
        <v>Normal</v>
      </c>
      <c r="S1287" s="5">
        <v>3</v>
      </c>
      <c r="T1287" s="5">
        <v>3</v>
      </c>
      <c r="U1287" s="5" t="str" cm="1">
        <f t="array" ref="U1287">_xlfn.IFS(T1287=1,"Poor",T1287=2,"Fair",T1287=3,"Good",T1287=4,"Excellent")</f>
        <v>Good</v>
      </c>
      <c r="V1287" s="5" t="s">
        <v>43</v>
      </c>
      <c r="W1287" s="5">
        <v>2</v>
      </c>
      <c r="X1287" s="28">
        <f t="shared" ca="1" si="227"/>
        <v>45381</v>
      </c>
      <c r="Y1287" s="28">
        <f t="shared" ca="1" si="228"/>
        <v>46842</v>
      </c>
      <c r="Z1287" s="28" t="str">
        <f t="shared" ca="1" si="229"/>
        <v>Upcoming</v>
      </c>
      <c r="AA1287" s="5" t="str" cm="1">
        <f t="array" ref="AA1287">_xlfn.IFS(W1287&gt;10,"Veteran",W1287&gt;=6,"Experienced",W1287&gt;=2,"Developing",W1287&gt;=0,"New")</f>
        <v>Developing</v>
      </c>
      <c r="AB1287" s="5" t="str" cm="1">
        <f t="array" ref="AB1287">_xlfn.IFS(G1287=1,"Junior",G1287=2,"Mid-Level",G1287=3,"Senior",G1287=4,"Lead",G1287=5,"Principal")&amp;" "&amp;TRIM(PROPER(H1287))</f>
        <v>Mid-Level Sales Executive</v>
      </c>
      <c r="AC1287" s="19" t="str">
        <f t="shared" ca="1" si="230"/>
        <v>Sa-Sal-2024-1286 is a Mid-Level Sales Executive in the Sales department, aged 46, single and has been with the Company for 2years</v>
      </c>
    </row>
    <row r="1288" spans="1:29">
      <c r="A1288" s="18" t="str">
        <f t="shared" ca="1" si="220"/>
        <v>La-Res-2022-1287</v>
      </c>
      <c r="B1288" s="5">
        <v>40</v>
      </c>
      <c r="C1288" s="5" t="str">
        <f t="shared" si="221"/>
        <v>40-49</v>
      </c>
      <c r="D1288" s="5" t="s">
        <v>43</v>
      </c>
      <c r="E1288" s="5" t="s">
        <v>45</v>
      </c>
      <c r="F1288" s="5" t="s">
        <v>39</v>
      </c>
      <c r="G1288" s="5">
        <v>1</v>
      </c>
      <c r="H1288" s="5" t="s">
        <v>50</v>
      </c>
      <c r="I1288" s="5" t="s">
        <v>48</v>
      </c>
      <c r="J1288" s="7">
        <v>3377</v>
      </c>
      <c r="K1288" s="7">
        <f t="shared" si="222"/>
        <v>506.54999999999995</v>
      </c>
      <c r="L1288" s="7">
        <f t="shared" si="223"/>
        <v>2870.45</v>
      </c>
      <c r="M1288" s="7">
        <v>25605</v>
      </c>
      <c r="N1288" s="5" t="s">
        <v>43</v>
      </c>
      <c r="O1288" s="5">
        <v>17</v>
      </c>
      <c r="P1288" s="7">
        <f t="shared" si="224"/>
        <v>3951.0899999999997</v>
      </c>
      <c r="Q1288" s="7">
        <f t="shared" si="225"/>
        <v>6889.0799999999963</v>
      </c>
      <c r="R1288" s="7" t="str">
        <f t="shared" si="226"/>
        <v>Normal</v>
      </c>
      <c r="S1288" s="5">
        <v>3</v>
      </c>
      <c r="T1288" s="5">
        <v>2</v>
      </c>
      <c r="U1288" s="5" t="str" cm="1">
        <f t="array" ref="U1288">_xlfn.IFS(T1288=1,"Poor",T1288=2,"Fair",T1288=3,"Good",T1288=4,"Excellent")</f>
        <v>Fair</v>
      </c>
      <c r="V1288" s="5" t="s">
        <v>43</v>
      </c>
      <c r="W1288" s="5">
        <v>4</v>
      </c>
      <c r="X1288" s="28">
        <f t="shared" ca="1" si="227"/>
        <v>44650</v>
      </c>
      <c r="Y1288" s="28">
        <f t="shared" ca="1" si="228"/>
        <v>46842</v>
      </c>
      <c r="Z1288" s="28" t="str">
        <f t="shared" ca="1" si="229"/>
        <v>Upcoming</v>
      </c>
      <c r="AA1288" s="5" t="str" cm="1">
        <f t="array" ref="AA1288">_xlfn.IFS(W1288&gt;10,"Veteran",W1288&gt;=6,"Experienced",W1288&gt;=2,"Developing",W1288&gt;=0,"New")</f>
        <v>Developing</v>
      </c>
      <c r="AB1288" s="5" t="str" cm="1">
        <f t="array" ref="AB1288">_xlfn.IFS(G1288=1,"Junior",G1288=2,"Mid-Level",G1288=3,"Senior",G1288=4,"Lead",G1288=5,"Principal")&amp;" "&amp;TRIM(PROPER(H1288))</f>
        <v>Junior Laboratory Technician</v>
      </c>
      <c r="AC1288" s="19" t="str">
        <f t="shared" ca="1" si="230"/>
        <v>La-Res-2022-1287 is a Junior Laboratory Technician in the Research &amp; Development department, aged 40, married and has been with the Company for 4years</v>
      </c>
    </row>
    <row r="1289" spans="1:29">
      <c r="A1289" s="18" t="str">
        <f t="shared" ca="1" si="220"/>
        <v>He-Res-2026-1288</v>
      </c>
      <c r="B1289" s="5">
        <v>42</v>
      </c>
      <c r="C1289" s="5" t="str">
        <f t="shared" si="221"/>
        <v>40-49</v>
      </c>
      <c r="D1289" s="5" t="s">
        <v>43</v>
      </c>
      <c r="E1289" s="5" t="s">
        <v>45</v>
      </c>
      <c r="F1289" s="5" t="s">
        <v>46</v>
      </c>
      <c r="G1289" s="5">
        <v>2</v>
      </c>
      <c r="H1289" s="5" t="s">
        <v>54</v>
      </c>
      <c r="I1289" s="5" t="s">
        <v>48</v>
      </c>
      <c r="J1289" s="7">
        <v>5538</v>
      </c>
      <c r="K1289" s="7">
        <f t="shared" si="222"/>
        <v>830.69999999999993</v>
      </c>
      <c r="L1289" s="7">
        <f t="shared" si="223"/>
        <v>4707.3</v>
      </c>
      <c r="M1289" s="7">
        <v>5696</v>
      </c>
      <c r="N1289" s="5" t="s">
        <v>43</v>
      </c>
      <c r="O1289" s="5">
        <v>18</v>
      </c>
      <c r="P1289" s="7">
        <f t="shared" si="224"/>
        <v>6534.8399999999992</v>
      </c>
      <c r="Q1289" s="7">
        <f t="shared" si="225"/>
        <v>11962.079999999991</v>
      </c>
      <c r="R1289" s="7" t="str">
        <f t="shared" si="226"/>
        <v>Normal</v>
      </c>
      <c r="S1289" s="5">
        <v>3</v>
      </c>
      <c r="T1289" s="5">
        <v>2</v>
      </c>
      <c r="U1289" s="5" t="str" cm="1">
        <f t="array" ref="U1289">_xlfn.IFS(T1289=1,"Poor",T1289=2,"Fair",T1289=3,"Good",T1289=4,"Excellent")</f>
        <v>Fair</v>
      </c>
      <c r="V1289" s="5" t="s">
        <v>43</v>
      </c>
      <c r="W1289" s="5">
        <v>0</v>
      </c>
      <c r="X1289" s="28">
        <f t="shared" ca="1" si="227"/>
        <v>46111</v>
      </c>
      <c r="Y1289" s="28">
        <f t="shared" ca="1" si="228"/>
        <v>46842</v>
      </c>
      <c r="Z1289" s="28" t="str">
        <f t="shared" ca="1" si="229"/>
        <v>Upcoming</v>
      </c>
      <c r="AA1289" s="5" t="str" cm="1">
        <f t="array" ref="AA1289">_xlfn.IFS(W1289&gt;10,"Veteran",W1289&gt;=6,"Experienced",W1289&gt;=2,"Developing",W1289&gt;=0,"New")</f>
        <v>New</v>
      </c>
      <c r="AB1289" s="5" t="str" cm="1">
        <f t="array" ref="AB1289">_xlfn.IFS(G1289=1,"Junior",G1289=2,"Mid-Level",G1289=3,"Senior",G1289=4,"Lead",G1289=5,"Principal")&amp;" "&amp;TRIM(PROPER(H1289))</f>
        <v>Mid-Level Healthcare Representative</v>
      </c>
      <c r="AC1289" s="19" t="str">
        <f t="shared" ca="1" si="230"/>
        <v>He-Res-2026-1288 is a Mid-Level Healthcare Representative in the Research &amp; Development department, aged 42, married and has been with the Company for 0years</v>
      </c>
    </row>
    <row r="1290" spans="1:29">
      <c r="A1290" s="18" t="str">
        <f t="shared" ca="1" si="220"/>
        <v>Ma-Res-2019-1289</v>
      </c>
      <c r="B1290" s="5">
        <v>35</v>
      </c>
      <c r="C1290" s="5" t="str">
        <f t="shared" si="221"/>
        <v>30-39</v>
      </c>
      <c r="D1290" s="5" t="s">
        <v>43</v>
      </c>
      <c r="E1290" s="5" t="s">
        <v>45</v>
      </c>
      <c r="F1290" s="5" t="s">
        <v>46</v>
      </c>
      <c r="G1290" s="5">
        <v>2</v>
      </c>
      <c r="H1290" s="5" t="s">
        <v>53</v>
      </c>
      <c r="I1290" s="5" t="s">
        <v>52</v>
      </c>
      <c r="J1290" s="7">
        <v>5762</v>
      </c>
      <c r="K1290" s="7">
        <f t="shared" si="222"/>
        <v>864.3</v>
      </c>
      <c r="L1290" s="7">
        <f t="shared" si="223"/>
        <v>4897.7</v>
      </c>
      <c r="M1290" s="7">
        <v>24442</v>
      </c>
      <c r="N1290" s="5" t="s">
        <v>43</v>
      </c>
      <c r="O1290" s="5">
        <v>14</v>
      </c>
      <c r="P1290" s="7">
        <f t="shared" si="224"/>
        <v>6568.68</v>
      </c>
      <c r="Q1290" s="7">
        <f t="shared" si="225"/>
        <v>9680.1600000000035</v>
      </c>
      <c r="R1290" s="7" t="str">
        <f t="shared" si="226"/>
        <v>Normal</v>
      </c>
      <c r="S1290" s="5">
        <v>3</v>
      </c>
      <c r="T1290" s="5">
        <v>3</v>
      </c>
      <c r="U1290" s="5" t="str" cm="1">
        <f t="array" ref="U1290">_xlfn.IFS(T1290=1,"Poor",T1290=2,"Fair",T1290=3,"Good",T1290=4,"Excellent")</f>
        <v>Good</v>
      </c>
      <c r="V1290" s="5" t="s">
        <v>43</v>
      </c>
      <c r="W1290" s="5">
        <v>7</v>
      </c>
      <c r="X1290" s="28">
        <f t="shared" ca="1" si="227"/>
        <v>43554</v>
      </c>
      <c r="Y1290" s="28">
        <f t="shared" ca="1" si="228"/>
        <v>46476</v>
      </c>
      <c r="Z1290" s="28" t="str">
        <f t="shared" ca="1" si="229"/>
        <v>Due Soon</v>
      </c>
      <c r="AA1290" s="5" t="str" cm="1">
        <f t="array" ref="AA1290">_xlfn.IFS(W1290&gt;10,"Veteran",W1290&gt;=6,"Experienced",W1290&gt;=2,"Developing",W1290&gt;=0,"New")</f>
        <v>Experienced</v>
      </c>
      <c r="AB1290" s="5" t="str" cm="1">
        <f t="array" ref="AB1290">_xlfn.IFS(G1290=1,"Junior",G1290=2,"Mid-Level",G1290=3,"Senior",G1290=4,"Lead",G1290=5,"Principal")&amp;" "&amp;TRIM(PROPER(H1290))</f>
        <v>Mid-Level Manufacturing Director</v>
      </c>
      <c r="AC1290" s="19" t="str">
        <f t="shared" ca="1" si="230"/>
        <v>Ma-Res-2019-1289 is a Mid-Level Manufacturing Director in the Research &amp; Development department, aged 35, divorced and has been with the Company for 7years</v>
      </c>
    </row>
    <row r="1291" spans="1:29">
      <c r="A1291" s="18" t="str">
        <f t="shared" ca="1" si="220"/>
        <v>Hu-Hum-2015-1290</v>
      </c>
      <c r="B1291" s="5">
        <v>38</v>
      </c>
      <c r="C1291" s="5" t="str">
        <f t="shared" si="221"/>
        <v>30-39</v>
      </c>
      <c r="D1291" s="5" t="s">
        <v>43</v>
      </c>
      <c r="E1291" s="5" t="s">
        <v>61</v>
      </c>
      <c r="F1291" s="5" t="s">
        <v>46</v>
      </c>
      <c r="G1291" s="5">
        <v>1</v>
      </c>
      <c r="H1291" s="5" t="s">
        <v>61</v>
      </c>
      <c r="I1291" s="5" t="s">
        <v>52</v>
      </c>
      <c r="J1291" s="7">
        <v>2592</v>
      </c>
      <c r="K1291" s="7">
        <f t="shared" si="222"/>
        <v>181.44000000000003</v>
      </c>
      <c r="L1291" s="7">
        <f t="shared" si="223"/>
        <v>2410.56</v>
      </c>
      <c r="M1291" s="7">
        <v>7129</v>
      </c>
      <c r="N1291" s="5" t="s">
        <v>43</v>
      </c>
      <c r="O1291" s="5">
        <v>13</v>
      </c>
      <c r="P1291" s="7">
        <f t="shared" si="224"/>
        <v>2928.9599999999996</v>
      </c>
      <c r="Q1291" s="7">
        <f t="shared" si="225"/>
        <v>4043.519999999995</v>
      </c>
      <c r="R1291" s="7" t="str">
        <f t="shared" si="226"/>
        <v>Normal</v>
      </c>
      <c r="S1291" s="5">
        <v>3</v>
      </c>
      <c r="T1291" s="5">
        <v>3</v>
      </c>
      <c r="U1291" s="5" t="str" cm="1">
        <f t="array" ref="U1291">_xlfn.IFS(T1291=1,"Poor",T1291=2,"Fair",T1291=3,"Good",T1291=4,"Excellent")</f>
        <v>Good</v>
      </c>
      <c r="V1291" s="5" t="s">
        <v>43</v>
      </c>
      <c r="W1291" s="5">
        <v>11</v>
      </c>
      <c r="X1291" s="28">
        <f t="shared" ca="1" si="227"/>
        <v>42093</v>
      </c>
      <c r="Y1291" s="28">
        <f t="shared" ca="1" si="228"/>
        <v>46476</v>
      </c>
      <c r="Z1291" s="28" t="str">
        <f t="shared" ca="1" si="229"/>
        <v>Due Soon</v>
      </c>
      <c r="AA1291" s="5" t="str" cm="1">
        <f t="array" ref="AA1291">_xlfn.IFS(W1291&gt;10,"Veteran",W1291&gt;=6,"Experienced",W1291&gt;=2,"Developing",W1291&gt;=0,"New")</f>
        <v>Veteran</v>
      </c>
      <c r="AB1291" s="5" t="str" cm="1">
        <f t="array" ref="AB1291">_xlfn.IFS(G1291=1,"Junior",G1291=2,"Mid-Level",G1291=3,"Senior",G1291=4,"Lead",G1291=5,"Principal")&amp;" "&amp;TRIM(PROPER(H1291))</f>
        <v>Junior Human Resources</v>
      </c>
      <c r="AC1291" s="19" t="str">
        <f t="shared" ca="1" si="230"/>
        <v>Hu-Hum-2015-1290 is a Junior Human Resources in the Human Resources department, aged 38, divorced and has been with the Company for 11years</v>
      </c>
    </row>
    <row r="1292" spans="1:29">
      <c r="A1292" s="18" t="str">
        <f t="shared" ca="1" si="220"/>
        <v>La-Res-2019-1291</v>
      </c>
      <c r="B1292" s="5">
        <v>34</v>
      </c>
      <c r="C1292" s="5" t="str">
        <f t="shared" si="221"/>
        <v>30-39</v>
      </c>
      <c r="D1292" s="5" t="s">
        <v>35</v>
      </c>
      <c r="E1292" s="5" t="s">
        <v>45</v>
      </c>
      <c r="F1292" s="5" t="s">
        <v>46</v>
      </c>
      <c r="G1292" s="5">
        <v>2</v>
      </c>
      <c r="H1292" s="5" t="s">
        <v>50</v>
      </c>
      <c r="I1292" s="5" t="s">
        <v>48</v>
      </c>
      <c r="J1292" s="7">
        <v>5346</v>
      </c>
      <c r="K1292" s="7">
        <f t="shared" si="222"/>
        <v>801.9</v>
      </c>
      <c r="L1292" s="7">
        <f t="shared" si="223"/>
        <v>4544.1000000000004</v>
      </c>
      <c r="M1292" s="7">
        <v>6208</v>
      </c>
      <c r="N1292" s="5" t="s">
        <v>43</v>
      </c>
      <c r="O1292" s="5">
        <v>17</v>
      </c>
      <c r="P1292" s="7">
        <f t="shared" si="224"/>
        <v>6254.82</v>
      </c>
      <c r="Q1292" s="7">
        <f t="shared" si="225"/>
        <v>10905.839999999997</v>
      </c>
      <c r="R1292" s="7" t="str">
        <f t="shared" si="226"/>
        <v>Normal</v>
      </c>
      <c r="S1292" s="5">
        <v>3</v>
      </c>
      <c r="T1292" s="5">
        <v>2</v>
      </c>
      <c r="U1292" s="5" t="str" cm="1">
        <f t="array" ref="U1292">_xlfn.IFS(T1292=1,"Poor",T1292=2,"Fair",T1292=3,"Good",T1292=4,"Excellent")</f>
        <v>Fair</v>
      </c>
      <c r="V1292" s="5" t="s">
        <v>43</v>
      </c>
      <c r="W1292" s="5">
        <v>7</v>
      </c>
      <c r="X1292" s="28">
        <f t="shared" ca="1" si="227"/>
        <v>43554</v>
      </c>
      <c r="Y1292" s="28">
        <f t="shared" ca="1" si="228"/>
        <v>46476</v>
      </c>
      <c r="Z1292" s="28" t="str">
        <f t="shared" ca="1" si="229"/>
        <v>Due Soon</v>
      </c>
      <c r="AA1292" s="5" t="str" cm="1">
        <f t="array" ref="AA1292">_xlfn.IFS(W1292&gt;10,"Veteran",W1292&gt;=6,"Experienced",W1292&gt;=2,"Developing",W1292&gt;=0,"New")</f>
        <v>Experienced</v>
      </c>
      <c r="AB1292" s="5" t="str" cm="1">
        <f t="array" ref="AB1292">_xlfn.IFS(G1292=1,"Junior",G1292=2,"Mid-Level",G1292=3,"Senior",G1292=4,"Lead",G1292=5,"Principal")&amp;" "&amp;TRIM(PROPER(H1292))</f>
        <v>Mid-Level Laboratory Technician</v>
      </c>
      <c r="AC1292" s="19" t="str">
        <f t="shared" ca="1" si="230"/>
        <v>La-Res-2019-1291 is a Mid-Level Laboratory Technician in the Research &amp; Development department, aged 34, married and has been with the Company for 7years</v>
      </c>
    </row>
    <row r="1293" spans="1:29">
      <c r="A1293" s="18" t="str">
        <f t="shared" ca="1" si="220"/>
        <v>Ma-Res-2016-1292</v>
      </c>
      <c r="B1293" s="5">
        <v>37</v>
      </c>
      <c r="C1293" s="5" t="str">
        <f t="shared" si="221"/>
        <v>30-39</v>
      </c>
      <c r="D1293" s="5" t="s">
        <v>35</v>
      </c>
      <c r="E1293" s="5" t="s">
        <v>45</v>
      </c>
      <c r="F1293" s="5" t="s">
        <v>46</v>
      </c>
      <c r="G1293" s="5">
        <v>2</v>
      </c>
      <c r="H1293" s="5" t="s">
        <v>53</v>
      </c>
      <c r="I1293" s="5" t="s">
        <v>41</v>
      </c>
      <c r="J1293" s="7">
        <v>4213</v>
      </c>
      <c r="K1293" s="7">
        <f t="shared" si="222"/>
        <v>631.94999999999993</v>
      </c>
      <c r="L1293" s="7">
        <f t="shared" si="223"/>
        <v>3581.05</v>
      </c>
      <c r="M1293" s="7">
        <v>4992</v>
      </c>
      <c r="N1293" s="5" t="s">
        <v>43</v>
      </c>
      <c r="O1293" s="5">
        <v>15</v>
      </c>
      <c r="P1293" s="7">
        <f t="shared" si="224"/>
        <v>4844.95</v>
      </c>
      <c r="Q1293" s="7">
        <f t="shared" si="225"/>
        <v>7583.3999999999978</v>
      </c>
      <c r="R1293" s="7" t="str">
        <f t="shared" si="226"/>
        <v>Normal</v>
      </c>
      <c r="S1293" s="5">
        <v>3</v>
      </c>
      <c r="T1293" s="5">
        <v>1</v>
      </c>
      <c r="U1293" s="5" t="str" cm="1">
        <f t="array" ref="U1293">_xlfn.IFS(T1293=1,"Poor",T1293=2,"Fair",T1293=3,"Good",T1293=4,"Excellent")</f>
        <v>Poor</v>
      </c>
      <c r="V1293" s="5" t="s">
        <v>43</v>
      </c>
      <c r="W1293" s="5">
        <v>10</v>
      </c>
      <c r="X1293" s="28">
        <f t="shared" ca="1" si="227"/>
        <v>42459</v>
      </c>
      <c r="Y1293" s="28">
        <f t="shared" ca="1" si="228"/>
        <v>46842</v>
      </c>
      <c r="Z1293" s="28" t="str">
        <f t="shared" ca="1" si="229"/>
        <v>Upcoming</v>
      </c>
      <c r="AA1293" s="5" t="str" cm="1">
        <f t="array" ref="AA1293">_xlfn.IFS(W1293&gt;10,"Veteran",W1293&gt;=6,"Experienced",W1293&gt;=2,"Developing",W1293&gt;=0,"New")</f>
        <v>Experienced</v>
      </c>
      <c r="AB1293" s="5" t="str" cm="1">
        <f t="array" ref="AB1293">_xlfn.IFS(G1293=1,"Junior",G1293=2,"Mid-Level",G1293=3,"Senior",G1293=4,"Lead",G1293=5,"Principal")&amp;" "&amp;TRIM(PROPER(H1293))</f>
        <v>Mid-Level Manufacturing Director</v>
      </c>
      <c r="AC1293" s="19" t="str">
        <f t="shared" ca="1" si="230"/>
        <v>Ma-Res-2016-1292 is a Mid-Level Manufacturing Director in the Research &amp; Development department, aged 37, single and has been with the Company for 10years</v>
      </c>
    </row>
    <row r="1294" spans="1:29">
      <c r="A1294" s="18" t="str">
        <f t="shared" ca="1" si="220"/>
        <v>Sa-Sal-2024-1293</v>
      </c>
      <c r="B1294" s="5">
        <v>39</v>
      </c>
      <c r="C1294" s="5" t="str">
        <f t="shared" si="221"/>
        <v>30-39</v>
      </c>
      <c r="D1294" s="5" t="s">
        <v>43</v>
      </c>
      <c r="E1294" s="5" t="s">
        <v>37</v>
      </c>
      <c r="F1294" s="5" t="s">
        <v>46</v>
      </c>
      <c r="G1294" s="5">
        <v>2</v>
      </c>
      <c r="H1294" s="5" t="s">
        <v>40</v>
      </c>
      <c r="I1294" s="5" t="s">
        <v>52</v>
      </c>
      <c r="J1294" s="7">
        <v>4127</v>
      </c>
      <c r="K1294" s="7">
        <f t="shared" si="222"/>
        <v>619.04999999999995</v>
      </c>
      <c r="L1294" s="7">
        <f t="shared" si="223"/>
        <v>3507.95</v>
      </c>
      <c r="M1294" s="7">
        <v>19188</v>
      </c>
      <c r="N1294" s="5" t="s">
        <v>43</v>
      </c>
      <c r="O1294" s="5">
        <v>18</v>
      </c>
      <c r="P1294" s="7">
        <f t="shared" si="224"/>
        <v>4869.8599999999997</v>
      </c>
      <c r="Q1294" s="7">
        <f t="shared" si="225"/>
        <v>8914.3199999999961</v>
      </c>
      <c r="R1294" s="7" t="str">
        <f t="shared" si="226"/>
        <v>Normal</v>
      </c>
      <c r="S1294" s="5">
        <v>3</v>
      </c>
      <c r="T1294" s="5">
        <v>3</v>
      </c>
      <c r="U1294" s="5" t="str" cm="1">
        <f t="array" ref="U1294">_xlfn.IFS(T1294=1,"Poor",T1294=2,"Fair",T1294=3,"Good",T1294=4,"Excellent")</f>
        <v>Good</v>
      </c>
      <c r="V1294" s="5" t="s">
        <v>43</v>
      </c>
      <c r="W1294" s="5">
        <v>2</v>
      </c>
      <c r="X1294" s="28">
        <f t="shared" ca="1" si="227"/>
        <v>45381</v>
      </c>
      <c r="Y1294" s="28">
        <f t="shared" ca="1" si="228"/>
        <v>46842</v>
      </c>
      <c r="Z1294" s="28" t="str">
        <f t="shared" ca="1" si="229"/>
        <v>Upcoming</v>
      </c>
      <c r="AA1294" s="5" t="str" cm="1">
        <f t="array" ref="AA1294">_xlfn.IFS(W1294&gt;10,"Veteran",W1294&gt;=6,"Experienced",W1294&gt;=2,"Developing",W1294&gt;=0,"New")</f>
        <v>Developing</v>
      </c>
      <c r="AB1294" s="5" t="str" cm="1">
        <f t="array" ref="AB1294">_xlfn.IFS(G1294=1,"Junior",G1294=2,"Mid-Level",G1294=3,"Senior",G1294=4,"Lead",G1294=5,"Principal")&amp;" "&amp;TRIM(PROPER(H1294))</f>
        <v>Mid-Level Sales Executive</v>
      </c>
      <c r="AC1294" s="19" t="str">
        <f t="shared" ca="1" si="230"/>
        <v>Sa-Sal-2024-1293 is a Mid-Level Sales Executive in the Sales department, aged 39, divorced and has been with the Company for 2years</v>
      </c>
    </row>
    <row r="1295" spans="1:29">
      <c r="A1295" s="18" t="str">
        <f t="shared" ca="1" si="220"/>
        <v>Re-Res-2023-1294</v>
      </c>
      <c r="B1295" s="5">
        <v>43</v>
      </c>
      <c r="C1295" s="5" t="str">
        <f t="shared" si="221"/>
        <v>40-49</v>
      </c>
      <c r="D1295" s="5" t="s">
        <v>43</v>
      </c>
      <c r="E1295" s="5" t="s">
        <v>45</v>
      </c>
      <c r="F1295" s="5" t="s">
        <v>46</v>
      </c>
      <c r="G1295" s="5">
        <v>1</v>
      </c>
      <c r="H1295" s="5" t="s">
        <v>47</v>
      </c>
      <c r="I1295" s="5" t="s">
        <v>41</v>
      </c>
      <c r="J1295" s="7">
        <v>2438</v>
      </c>
      <c r="K1295" s="7">
        <f t="shared" si="222"/>
        <v>170.66000000000003</v>
      </c>
      <c r="L1295" s="7">
        <f t="shared" si="223"/>
        <v>2267.34</v>
      </c>
      <c r="M1295" s="7">
        <v>24978</v>
      </c>
      <c r="N1295" s="5" t="s">
        <v>43</v>
      </c>
      <c r="O1295" s="5">
        <v>13</v>
      </c>
      <c r="P1295" s="7">
        <f t="shared" si="224"/>
        <v>2754.9399999999996</v>
      </c>
      <c r="Q1295" s="7">
        <f t="shared" si="225"/>
        <v>3803.2799999999952</v>
      </c>
      <c r="R1295" s="7" t="str">
        <f t="shared" si="226"/>
        <v>Normal</v>
      </c>
      <c r="S1295" s="5">
        <v>3</v>
      </c>
      <c r="T1295" s="5">
        <v>2</v>
      </c>
      <c r="U1295" s="5" t="str" cm="1">
        <f t="array" ref="U1295">_xlfn.IFS(T1295=1,"Poor",T1295=2,"Fair",T1295=3,"Good",T1295=4,"Excellent")</f>
        <v>Fair</v>
      </c>
      <c r="V1295" s="5" t="s">
        <v>43</v>
      </c>
      <c r="W1295" s="5">
        <v>3</v>
      </c>
      <c r="X1295" s="28">
        <f t="shared" ca="1" si="227"/>
        <v>45015</v>
      </c>
      <c r="Y1295" s="28">
        <f t="shared" ca="1" si="228"/>
        <v>46476</v>
      </c>
      <c r="Z1295" s="28" t="str">
        <f t="shared" ca="1" si="229"/>
        <v>Due Soon</v>
      </c>
      <c r="AA1295" s="5" t="str" cm="1">
        <f t="array" ref="AA1295">_xlfn.IFS(W1295&gt;10,"Veteran",W1295&gt;=6,"Experienced",W1295&gt;=2,"Developing",W1295&gt;=0,"New")</f>
        <v>Developing</v>
      </c>
      <c r="AB1295" s="5" t="str" cm="1">
        <f t="array" ref="AB1295">_xlfn.IFS(G1295=1,"Junior",G1295=2,"Mid-Level",G1295=3,"Senior",G1295=4,"Lead",G1295=5,"Principal")&amp;" "&amp;TRIM(PROPER(H1295))</f>
        <v>Junior Research Scientist</v>
      </c>
      <c r="AC1295" s="19" t="str">
        <f t="shared" ca="1" si="230"/>
        <v>Re-Res-2023-1294 is a Junior Research Scientist in the Research &amp; Development department, aged 43, single and has been with the Company for 3years</v>
      </c>
    </row>
    <row r="1296" spans="1:29">
      <c r="A1296" s="18" t="str">
        <f t="shared" ca="1" si="220"/>
        <v>He-Res-2023-1295</v>
      </c>
      <c r="B1296" s="5">
        <v>41</v>
      </c>
      <c r="C1296" s="5" t="str">
        <f t="shared" si="221"/>
        <v>40-49</v>
      </c>
      <c r="D1296" s="5" t="s">
        <v>43</v>
      </c>
      <c r="E1296" s="5" t="s">
        <v>45</v>
      </c>
      <c r="F1296" s="5" t="s">
        <v>46</v>
      </c>
      <c r="G1296" s="5">
        <v>2</v>
      </c>
      <c r="H1296" s="5" t="s">
        <v>54</v>
      </c>
      <c r="I1296" s="5" t="s">
        <v>41</v>
      </c>
      <c r="J1296" s="7">
        <v>6870</v>
      </c>
      <c r="K1296" s="7">
        <f t="shared" si="222"/>
        <v>1030.5</v>
      </c>
      <c r="L1296" s="7">
        <f t="shared" si="223"/>
        <v>5839.5</v>
      </c>
      <c r="M1296" s="7">
        <v>15530</v>
      </c>
      <c r="N1296" s="5" t="s">
        <v>43</v>
      </c>
      <c r="O1296" s="5">
        <v>12</v>
      </c>
      <c r="P1296" s="7">
        <f t="shared" si="224"/>
        <v>7694.4000000000005</v>
      </c>
      <c r="Q1296" s="7">
        <f t="shared" si="225"/>
        <v>9892.8000000000065</v>
      </c>
      <c r="R1296" s="7" t="str">
        <f t="shared" si="226"/>
        <v>Normal</v>
      </c>
      <c r="S1296" s="5">
        <v>3</v>
      </c>
      <c r="T1296" s="5">
        <v>1</v>
      </c>
      <c r="U1296" s="5" t="str" cm="1">
        <f t="array" ref="U1296">_xlfn.IFS(T1296=1,"Poor",T1296=2,"Fair",T1296=3,"Good",T1296=4,"Excellent")</f>
        <v>Poor</v>
      </c>
      <c r="V1296" s="5" t="s">
        <v>43</v>
      </c>
      <c r="W1296" s="5">
        <v>3</v>
      </c>
      <c r="X1296" s="28">
        <f t="shared" ca="1" si="227"/>
        <v>45015</v>
      </c>
      <c r="Y1296" s="28">
        <f t="shared" ca="1" si="228"/>
        <v>46476</v>
      </c>
      <c r="Z1296" s="28" t="str">
        <f t="shared" ca="1" si="229"/>
        <v>Due Soon</v>
      </c>
      <c r="AA1296" s="5" t="str" cm="1">
        <f t="array" ref="AA1296">_xlfn.IFS(W1296&gt;10,"Veteran",W1296&gt;=6,"Experienced",W1296&gt;=2,"Developing",W1296&gt;=0,"New")</f>
        <v>Developing</v>
      </c>
      <c r="AB1296" s="5" t="str" cm="1">
        <f t="array" ref="AB1296">_xlfn.IFS(G1296=1,"Junior",G1296=2,"Mid-Level",G1296=3,"Senior",G1296=4,"Lead",G1296=5,"Principal")&amp;" "&amp;TRIM(PROPER(H1296))</f>
        <v>Mid-Level Healthcare Representative</v>
      </c>
      <c r="AC1296" s="19" t="str">
        <f t="shared" ca="1" si="230"/>
        <v>He-Res-2023-1295 is a Mid-Level Healthcare Representative in the Research &amp; Development department, aged 41, single and has been with the Company for 3years</v>
      </c>
    </row>
    <row r="1297" spans="1:29">
      <c r="A1297" s="18" t="str">
        <f t="shared" ca="1" si="220"/>
        <v>Sa-Sal-2004-1296</v>
      </c>
      <c r="B1297" s="5">
        <v>41</v>
      </c>
      <c r="C1297" s="5" t="str">
        <f t="shared" si="221"/>
        <v>40-49</v>
      </c>
      <c r="D1297" s="5" t="s">
        <v>43</v>
      </c>
      <c r="E1297" s="5" t="s">
        <v>37</v>
      </c>
      <c r="F1297" s="5" t="s">
        <v>39</v>
      </c>
      <c r="G1297" s="5">
        <v>3</v>
      </c>
      <c r="H1297" s="5" t="s">
        <v>40</v>
      </c>
      <c r="I1297" s="5" t="s">
        <v>52</v>
      </c>
      <c r="J1297" s="7">
        <v>10447</v>
      </c>
      <c r="K1297" s="7">
        <f t="shared" si="222"/>
        <v>2298.34</v>
      </c>
      <c r="L1297" s="7">
        <f t="shared" si="223"/>
        <v>8148.66</v>
      </c>
      <c r="M1297" s="7">
        <v>26458</v>
      </c>
      <c r="N1297" s="5" t="s">
        <v>35</v>
      </c>
      <c r="O1297" s="5">
        <v>13</v>
      </c>
      <c r="P1297" s="7">
        <f t="shared" si="224"/>
        <v>11805.109999999999</v>
      </c>
      <c r="Q1297" s="7">
        <f t="shared" si="225"/>
        <v>16297.319999999985</v>
      </c>
      <c r="R1297" s="7" t="str">
        <f t="shared" si="226"/>
        <v>Normal</v>
      </c>
      <c r="S1297" s="5">
        <v>3</v>
      </c>
      <c r="T1297" s="5">
        <v>4</v>
      </c>
      <c r="U1297" s="5" t="str" cm="1">
        <f t="array" ref="U1297">_xlfn.IFS(T1297=1,"Poor",T1297=2,"Fair",T1297=3,"Good",T1297=4,"Excellent")</f>
        <v>Excellent</v>
      </c>
      <c r="V1297" s="5" t="s">
        <v>35</v>
      </c>
      <c r="W1297" s="5">
        <v>22</v>
      </c>
      <c r="X1297" s="28">
        <f t="shared" ca="1" si="227"/>
        <v>38076</v>
      </c>
      <c r="Y1297" s="28">
        <f t="shared" ca="1" si="228"/>
        <v>46842</v>
      </c>
      <c r="Z1297" s="28" t="str">
        <f t="shared" ca="1" si="229"/>
        <v>Upcoming</v>
      </c>
      <c r="AA1297" s="5" t="str" cm="1">
        <f t="array" ref="AA1297">_xlfn.IFS(W1297&gt;10,"Veteran",W1297&gt;=6,"Experienced",W1297&gt;=2,"Developing",W1297&gt;=0,"New")</f>
        <v>Veteran</v>
      </c>
      <c r="AB1297" s="5" t="str" cm="1">
        <f t="array" ref="AB1297">_xlfn.IFS(G1297=1,"Junior",G1297=2,"Mid-Level",G1297=3,"Senior",G1297=4,"Lead",G1297=5,"Principal")&amp;" "&amp;TRIM(PROPER(H1297))</f>
        <v>Senior Sales Executive</v>
      </c>
      <c r="AC1297" s="19" t="str">
        <f t="shared" ca="1" si="230"/>
        <v>Sa-Sal-2004-1296 is a Senior Sales Executive in the Sales department, aged 41, divorced and has been with the Company for 22years</v>
      </c>
    </row>
    <row r="1298" spans="1:29">
      <c r="A1298" s="18" t="str">
        <f t="shared" ca="1" si="220"/>
        <v>Ma-Res-2019-1297</v>
      </c>
      <c r="B1298" s="5">
        <v>30</v>
      </c>
      <c r="C1298" s="5" t="str">
        <f t="shared" si="221"/>
        <v>30-39</v>
      </c>
      <c r="D1298" s="5" t="s">
        <v>43</v>
      </c>
      <c r="E1298" s="5" t="s">
        <v>45</v>
      </c>
      <c r="F1298" s="5" t="s">
        <v>39</v>
      </c>
      <c r="G1298" s="5">
        <v>3</v>
      </c>
      <c r="H1298" s="5" t="s">
        <v>53</v>
      </c>
      <c r="I1298" s="5" t="s">
        <v>41</v>
      </c>
      <c r="J1298" s="7">
        <v>9667</v>
      </c>
      <c r="K1298" s="7">
        <f t="shared" si="222"/>
        <v>2126.7400000000002</v>
      </c>
      <c r="L1298" s="7">
        <f t="shared" si="223"/>
        <v>7540.26</v>
      </c>
      <c r="M1298" s="7">
        <v>2739</v>
      </c>
      <c r="N1298" s="5" t="s">
        <v>43</v>
      </c>
      <c r="O1298" s="5">
        <v>14</v>
      </c>
      <c r="P1298" s="7">
        <f t="shared" si="224"/>
        <v>11020.380000000001</v>
      </c>
      <c r="Q1298" s="7">
        <f t="shared" si="225"/>
        <v>16240.560000000012</v>
      </c>
      <c r="R1298" s="7" t="str">
        <f t="shared" si="226"/>
        <v>Normal</v>
      </c>
      <c r="S1298" s="5">
        <v>3</v>
      </c>
      <c r="T1298" s="5">
        <v>3</v>
      </c>
      <c r="U1298" s="5" t="str" cm="1">
        <f t="array" ref="U1298">_xlfn.IFS(T1298=1,"Poor",T1298=2,"Fair",T1298=3,"Good",T1298=4,"Excellent")</f>
        <v>Good</v>
      </c>
      <c r="V1298" s="5" t="s">
        <v>43</v>
      </c>
      <c r="W1298" s="5">
        <v>7</v>
      </c>
      <c r="X1298" s="28">
        <f t="shared" ca="1" si="227"/>
        <v>43554</v>
      </c>
      <c r="Y1298" s="28">
        <f t="shared" ca="1" si="228"/>
        <v>46476</v>
      </c>
      <c r="Z1298" s="28" t="str">
        <f t="shared" ca="1" si="229"/>
        <v>Due Soon</v>
      </c>
      <c r="AA1298" s="5" t="str" cm="1">
        <f t="array" ref="AA1298">_xlfn.IFS(W1298&gt;10,"Veteran",W1298&gt;=6,"Experienced",W1298&gt;=2,"Developing",W1298&gt;=0,"New")</f>
        <v>Experienced</v>
      </c>
      <c r="AB1298" s="5" t="str" cm="1">
        <f t="array" ref="AB1298">_xlfn.IFS(G1298=1,"Junior",G1298=2,"Mid-Level",G1298=3,"Senior",G1298=4,"Lead",G1298=5,"Principal")&amp;" "&amp;TRIM(PROPER(H1298))</f>
        <v>Senior Manufacturing Director</v>
      </c>
      <c r="AC1298" s="19" t="str">
        <f t="shared" ca="1" si="230"/>
        <v>Ma-Res-2019-1297 is a Senior Manufacturing Director in the Research &amp; Development department, aged 30, single and has been with the Company for 7years</v>
      </c>
    </row>
    <row r="1299" spans="1:29">
      <c r="A1299" s="18" t="str">
        <f t="shared" ca="1" si="220"/>
        <v>Hu-Hum-2021-1298</v>
      </c>
      <c r="B1299" s="5">
        <v>26</v>
      </c>
      <c r="C1299" s="5" t="str">
        <f t="shared" si="221"/>
        <v>20-29</v>
      </c>
      <c r="D1299" s="5" t="s">
        <v>35</v>
      </c>
      <c r="E1299" s="5" t="s">
        <v>61</v>
      </c>
      <c r="F1299" s="5" t="s">
        <v>39</v>
      </c>
      <c r="G1299" s="5">
        <v>1</v>
      </c>
      <c r="H1299" s="5" t="s">
        <v>61</v>
      </c>
      <c r="I1299" s="5" t="s">
        <v>48</v>
      </c>
      <c r="J1299" s="7">
        <v>2148</v>
      </c>
      <c r="K1299" s="7">
        <f t="shared" si="222"/>
        <v>150.36000000000001</v>
      </c>
      <c r="L1299" s="7">
        <f t="shared" si="223"/>
        <v>1997.6399999999999</v>
      </c>
      <c r="M1299" s="7">
        <v>6889</v>
      </c>
      <c r="N1299" s="5" t="s">
        <v>35</v>
      </c>
      <c r="O1299" s="5">
        <v>11</v>
      </c>
      <c r="P1299" s="7">
        <f t="shared" si="224"/>
        <v>2384.2800000000002</v>
      </c>
      <c r="Q1299" s="7">
        <f t="shared" si="225"/>
        <v>2835.3600000000024</v>
      </c>
      <c r="R1299" s="7" t="str">
        <f t="shared" si="226"/>
        <v>Normal</v>
      </c>
      <c r="S1299" s="5">
        <v>3</v>
      </c>
      <c r="T1299" s="5">
        <v>3</v>
      </c>
      <c r="U1299" s="5" t="str" cm="1">
        <f t="array" ref="U1299">_xlfn.IFS(T1299=1,"Poor",T1299=2,"Fair",T1299=3,"Good",T1299=4,"Excellent")</f>
        <v>Good</v>
      </c>
      <c r="V1299" s="5" t="s">
        <v>35</v>
      </c>
      <c r="W1299" s="5">
        <v>5</v>
      </c>
      <c r="X1299" s="28">
        <f t="shared" ca="1" si="227"/>
        <v>44285</v>
      </c>
      <c r="Y1299" s="28">
        <f t="shared" ca="1" si="228"/>
        <v>46476</v>
      </c>
      <c r="Z1299" s="28" t="str">
        <f t="shared" ca="1" si="229"/>
        <v>Due Soon</v>
      </c>
      <c r="AA1299" s="5" t="str" cm="1">
        <f t="array" ref="AA1299">_xlfn.IFS(W1299&gt;10,"Veteran",W1299&gt;=6,"Experienced",W1299&gt;=2,"Developing",W1299&gt;=0,"New")</f>
        <v>Developing</v>
      </c>
      <c r="AB1299" s="5" t="str" cm="1">
        <f t="array" ref="AB1299">_xlfn.IFS(G1299=1,"Junior",G1299=2,"Mid-Level",G1299=3,"Senior",G1299=4,"Lead",G1299=5,"Principal")&amp;" "&amp;TRIM(PROPER(H1299))</f>
        <v>Junior Human Resources</v>
      </c>
      <c r="AC1299" s="19" t="str">
        <f t="shared" ca="1" si="230"/>
        <v>Hu-Hum-2021-1298 is a Junior Human Resources in the Human Resources department, aged 26, married and has been with the Company for 5years</v>
      </c>
    </row>
    <row r="1300" spans="1:29">
      <c r="A1300" s="18" t="str">
        <f t="shared" ca="1" si="220"/>
        <v>He-Res-2017-1299</v>
      </c>
      <c r="B1300" s="5">
        <v>46</v>
      </c>
      <c r="C1300" s="5" t="str">
        <f t="shared" si="221"/>
        <v>40-49</v>
      </c>
      <c r="D1300" s="5" t="s">
        <v>35</v>
      </c>
      <c r="E1300" s="5" t="s">
        <v>45</v>
      </c>
      <c r="F1300" s="5" t="s">
        <v>39</v>
      </c>
      <c r="G1300" s="5">
        <v>2</v>
      </c>
      <c r="H1300" s="5" t="s">
        <v>54</v>
      </c>
      <c r="I1300" s="5" t="s">
        <v>48</v>
      </c>
      <c r="J1300" s="7">
        <v>8926</v>
      </c>
      <c r="K1300" s="7">
        <f t="shared" si="222"/>
        <v>1963.72</v>
      </c>
      <c r="L1300" s="7">
        <f t="shared" si="223"/>
        <v>6962.28</v>
      </c>
      <c r="M1300" s="7">
        <v>10842</v>
      </c>
      <c r="N1300" s="5" t="s">
        <v>43</v>
      </c>
      <c r="O1300" s="5">
        <v>22</v>
      </c>
      <c r="P1300" s="7">
        <f t="shared" si="224"/>
        <v>10889.72</v>
      </c>
      <c r="Q1300" s="7">
        <f t="shared" si="225"/>
        <v>23564.639999999992</v>
      </c>
      <c r="R1300" s="7" t="str">
        <f t="shared" si="226"/>
        <v>Normal</v>
      </c>
      <c r="S1300" s="5">
        <v>4</v>
      </c>
      <c r="T1300" s="5">
        <v>4</v>
      </c>
      <c r="U1300" s="5" t="str" cm="1">
        <f t="array" ref="U1300">_xlfn.IFS(T1300=1,"Poor",T1300=2,"Fair",T1300=3,"Good",T1300=4,"Excellent")</f>
        <v>Excellent</v>
      </c>
      <c r="V1300" s="5" t="s">
        <v>43</v>
      </c>
      <c r="W1300" s="5">
        <v>9</v>
      </c>
      <c r="X1300" s="28">
        <f t="shared" ca="1" si="227"/>
        <v>42824</v>
      </c>
      <c r="Y1300" s="28">
        <f t="shared" ca="1" si="228"/>
        <v>46476</v>
      </c>
      <c r="Z1300" s="28" t="str">
        <f t="shared" ca="1" si="229"/>
        <v>Due Soon</v>
      </c>
      <c r="AA1300" s="5" t="str" cm="1">
        <f t="array" ref="AA1300">_xlfn.IFS(W1300&gt;10,"Veteran",W1300&gt;=6,"Experienced",W1300&gt;=2,"Developing",W1300&gt;=0,"New")</f>
        <v>Experienced</v>
      </c>
      <c r="AB1300" s="5" t="str" cm="1">
        <f t="array" ref="AB1300">_xlfn.IFS(G1300=1,"Junior",G1300=2,"Mid-Level",G1300=3,"Senior",G1300=4,"Lead",G1300=5,"Principal")&amp;" "&amp;TRIM(PROPER(H1300))</f>
        <v>Mid-Level Healthcare Representative</v>
      </c>
      <c r="AC1300" s="19" t="str">
        <f t="shared" ca="1" si="230"/>
        <v>He-Res-2017-1299 is a Mid-Level Healthcare Representative in the Research &amp; Development department, aged 46, married and has been with the Company for 9years</v>
      </c>
    </row>
    <row r="1301" spans="1:29">
      <c r="A1301" s="18" t="str">
        <f t="shared" ca="1" si="220"/>
        <v>He-Res-2021-1300</v>
      </c>
      <c r="B1301" s="5">
        <v>40</v>
      </c>
      <c r="C1301" s="5" t="str">
        <f t="shared" si="221"/>
        <v>40-49</v>
      </c>
      <c r="D1301" s="5" t="s">
        <v>43</v>
      </c>
      <c r="E1301" s="5" t="s">
        <v>45</v>
      </c>
      <c r="F1301" s="5" t="s">
        <v>39</v>
      </c>
      <c r="G1301" s="5">
        <v>2</v>
      </c>
      <c r="H1301" s="5" t="s">
        <v>54</v>
      </c>
      <c r="I1301" s="5" t="s">
        <v>52</v>
      </c>
      <c r="J1301" s="7">
        <v>6513</v>
      </c>
      <c r="K1301" s="7">
        <f t="shared" si="222"/>
        <v>976.94999999999993</v>
      </c>
      <c r="L1301" s="7">
        <f t="shared" si="223"/>
        <v>5536.05</v>
      </c>
      <c r="M1301" s="7">
        <v>9060</v>
      </c>
      <c r="N1301" s="5" t="s">
        <v>43</v>
      </c>
      <c r="O1301" s="5">
        <v>17</v>
      </c>
      <c r="P1301" s="7">
        <f t="shared" si="224"/>
        <v>7620.2099999999991</v>
      </c>
      <c r="Q1301" s="7">
        <f t="shared" si="225"/>
        <v>13286.51999999999</v>
      </c>
      <c r="R1301" s="7" t="str">
        <f t="shared" si="226"/>
        <v>Normal</v>
      </c>
      <c r="S1301" s="5">
        <v>3</v>
      </c>
      <c r="T1301" s="5">
        <v>3</v>
      </c>
      <c r="U1301" s="5" t="str" cm="1">
        <f t="array" ref="U1301">_xlfn.IFS(T1301=1,"Poor",T1301=2,"Fair",T1301=3,"Good",T1301=4,"Excellent")</f>
        <v>Good</v>
      </c>
      <c r="V1301" s="5" t="s">
        <v>43</v>
      </c>
      <c r="W1301" s="5">
        <v>5</v>
      </c>
      <c r="X1301" s="28">
        <f t="shared" ca="1" si="227"/>
        <v>44285</v>
      </c>
      <c r="Y1301" s="28">
        <f t="shared" ca="1" si="228"/>
        <v>46476</v>
      </c>
      <c r="Z1301" s="28" t="str">
        <f t="shared" ca="1" si="229"/>
        <v>Due Soon</v>
      </c>
      <c r="AA1301" s="5" t="str" cm="1">
        <f t="array" ref="AA1301">_xlfn.IFS(W1301&gt;10,"Veteran",W1301&gt;=6,"Experienced",W1301&gt;=2,"Developing",W1301&gt;=0,"New")</f>
        <v>Developing</v>
      </c>
      <c r="AB1301" s="5" t="str" cm="1">
        <f t="array" ref="AB1301">_xlfn.IFS(G1301=1,"Junior",G1301=2,"Mid-Level",G1301=3,"Senior",G1301=4,"Lead",G1301=5,"Principal")&amp;" "&amp;TRIM(PROPER(H1301))</f>
        <v>Mid-Level Healthcare Representative</v>
      </c>
      <c r="AC1301" s="19" t="str">
        <f t="shared" ca="1" si="230"/>
        <v>He-Res-2021-1300 is a Mid-Level Healthcare Representative in the Research &amp; Development department, aged 40, divorced and has been with the Company for 5years</v>
      </c>
    </row>
    <row r="1302" spans="1:29">
      <c r="A1302" s="18" t="str">
        <f t="shared" ca="1" si="220"/>
        <v>Sa-Sal-2016-1301</v>
      </c>
      <c r="B1302" s="5">
        <v>34</v>
      </c>
      <c r="C1302" s="5" t="str">
        <f t="shared" si="221"/>
        <v>30-39</v>
      </c>
      <c r="D1302" s="5" t="s">
        <v>43</v>
      </c>
      <c r="E1302" s="5" t="s">
        <v>37</v>
      </c>
      <c r="F1302" s="5" t="s">
        <v>46</v>
      </c>
      <c r="G1302" s="5">
        <v>2</v>
      </c>
      <c r="H1302" s="5" t="s">
        <v>40</v>
      </c>
      <c r="I1302" s="5" t="s">
        <v>48</v>
      </c>
      <c r="J1302" s="7">
        <v>6799</v>
      </c>
      <c r="K1302" s="7">
        <f t="shared" si="222"/>
        <v>1019.8499999999999</v>
      </c>
      <c r="L1302" s="7">
        <f t="shared" si="223"/>
        <v>5779.15</v>
      </c>
      <c r="M1302" s="7">
        <v>22128</v>
      </c>
      <c r="N1302" s="5" t="s">
        <v>43</v>
      </c>
      <c r="O1302" s="5">
        <v>21</v>
      </c>
      <c r="P1302" s="7">
        <f t="shared" si="224"/>
        <v>8226.7899999999991</v>
      </c>
      <c r="Q1302" s="7">
        <f t="shared" si="225"/>
        <v>17133.479999999989</v>
      </c>
      <c r="R1302" s="7" t="str">
        <f t="shared" si="226"/>
        <v>Normal</v>
      </c>
      <c r="S1302" s="5">
        <v>4</v>
      </c>
      <c r="T1302" s="5">
        <v>3</v>
      </c>
      <c r="U1302" s="5" t="str" cm="1">
        <f t="array" ref="U1302">_xlfn.IFS(T1302=1,"Poor",T1302=2,"Fair",T1302=3,"Good",T1302=4,"Excellent")</f>
        <v>Good</v>
      </c>
      <c r="V1302" s="5" t="s">
        <v>43</v>
      </c>
      <c r="W1302" s="5">
        <v>10</v>
      </c>
      <c r="X1302" s="28">
        <f t="shared" ca="1" si="227"/>
        <v>42459</v>
      </c>
      <c r="Y1302" s="28">
        <f t="shared" ca="1" si="228"/>
        <v>46842</v>
      </c>
      <c r="Z1302" s="28" t="str">
        <f t="shared" ca="1" si="229"/>
        <v>Upcoming</v>
      </c>
      <c r="AA1302" s="5" t="str" cm="1">
        <f t="array" ref="AA1302">_xlfn.IFS(W1302&gt;10,"Veteran",W1302&gt;=6,"Experienced",W1302&gt;=2,"Developing",W1302&gt;=0,"New")</f>
        <v>Experienced</v>
      </c>
      <c r="AB1302" s="5" t="str" cm="1">
        <f t="array" ref="AB1302">_xlfn.IFS(G1302=1,"Junior",G1302=2,"Mid-Level",G1302=3,"Senior",G1302=4,"Lead",G1302=5,"Principal")&amp;" "&amp;TRIM(PROPER(H1302))</f>
        <v>Mid-Level Sales Executive</v>
      </c>
      <c r="AC1302" s="19" t="str">
        <f t="shared" ca="1" si="230"/>
        <v>Sa-Sal-2016-1301 is a Mid-Level Sales Executive in the Sales department, aged 34, married and has been with the Company for 10years</v>
      </c>
    </row>
    <row r="1303" spans="1:29">
      <c r="A1303" s="18" t="str">
        <f t="shared" ca="1" si="220"/>
        <v>Ma-Sal-2010-1302</v>
      </c>
      <c r="B1303" s="5">
        <v>58</v>
      </c>
      <c r="C1303" s="5" t="str">
        <f t="shared" si="221"/>
        <v>50+</v>
      </c>
      <c r="D1303" s="5" t="s">
        <v>43</v>
      </c>
      <c r="E1303" s="5" t="s">
        <v>37</v>
      </c>
      <c r="F1303" s="5" t="s">
        <v>46</v>
      </c>
      <c r="G1303" s="5">
        <v>4</v>
      </c>
      <c r="H1303" s="5" t="s">
        <v>56</v>
      </c>
      <c r="I1303" s="5" t="s">
        <v>52</v>
      </c>
      <c r="J1303" s="7">
        <v>16291</v>
      </c>
      <c r="K1303" s="7">
        <f t="shared" si="222"/>
        <v>4887.3</v>
      </c>
      <c r="L1303" s="7">
        <f t="shared" si="223"/>
        <v>11403.7</v>
      </c>
      <c r="M1303" s="7">
        <v>22577</v>
      </c>
      <c r="N1303" s="5" t="s">
        <v>43</v>
      </c>
      <c r="O1303" s="5">
        <v>22</v>
      </c>
      <c r="P1303" s="7">
        <f t="shared" si="224"/>
        <v>19875.02</v>
      </c>
      <c r="Q1303" s="7">
        <f t="shared" si="225"/>
        <v>43008.240000000005</v>
      </c>
      <c r="R1303" s="7" t="str">
        <f t="shared" si="226"/>
        <v>Normal</v>
      </c>
      <c r="S1303" s="5">
        <v>4</v>
      </c>
      <c r="T1303" s="5">
        <v>2</v>
      </c>
      <c r="U1303" s="5" t="str" cm="1">
        <f t="array" ref="U1303">_xlfn.IFS(T1303=1,"Poor",T1303=2,"Fair",T1303=3,"Good",T1303=4,"Excellent")</f>
        <v>Fair</v>
      </c>
      <c r="V1303" s="5" t="s">
        <v>43</v>
      </c>
      <c r="W1303" s="5">
        <v>16</v>
      </c>
      <c r="X1303" s="28">
        <f t="shared" ca="1" si="227"/>
        <v>40267</v>
      </c>
      <c r="Y1303" s="28">
        <f t="shared" ca="1" si="228"/>
        <v>46842</v>
      </c>
      <c r="Z1303" s="28" t="str">
        <f t="shared" ca="1" si="229"/>
        <v>Upcoming</v>
      </c>
      <c r="AA1303" s="5" t="str" cm="1">
        <f t="array" ref="AA1303">_xlfn.IFS(W1303&gt;10,"Veteran",W1303&gt;=6,"Experienced",W1303&gt;=2,"Developing",W1303&gt;=0,"New")</f>
        <v>Veteran</v>
      </c>
      <c r="AB1303" s="5" t="str" cm="1">
        <f t="array" ref="AB1303">_xlfn.IFS(G1303=1,"Junior",G1303=2,"Mid-Level",G1303=3,"Senior",G1303=4,"Lead",G1303=5,"Principal")&amp;" "&amp;TRIM(PROPER(H1303))</f>
        <v>Lead Manager</v>
      </c>
      <c r="AC1303" s="19" t="str">
        <f t="shared" ca="1" si="230"/>
        <v>Ma-Sal-2010-1302 is a Lead Manager in the Sales department, aged 58, divorced and has been with the Company for 16years</v>
      </c>
    </row>
    <row r="1304" spans="1:29">
      <c r="A1304" s="18" t="str">
        <f t="shared" ca="1" si="220"/>
        <v>La-Res-2021-1303</v>
      </c>
      <c r="B1304" s="5">
        <v>35</v>
      </c>
      <c r="C1304" s="5" t="str">
        <f t="shared" si="221"/>
        <v>30-39</v>
      </c>
      <c r="D1304" s="5" t="s">
        <v>43</v>
      </c>
      <c r="E1304" s="5" t="s">
        <v>45</v>
      </c>
      <c r="F1304" s="5" t="s">
        <v>46</v>
      </c>
      <c r="G1304" s="5">
        <v>1</v>
      </c>
      <c r="H1304" s="5" t="s">
        <v>50</v>
      </c>
      <c r="I1304" s="5" t="s">
        <v>48</v>
      </c>
      <c r="J1304" s="7">
        <v>2705</v>
      </c>
      <c r="K1304" s="7">
        <f t="shared" si="222"/>
        <v>189.35000000000002</v>
      </c>
      <c r="L1304" s="7">
        <f t="shared" si="223"/>
        <v>2515.65</v>
      </c>
      <c r="M1304" s="7">
        <v>9696</v>
      </c>
      <c r="N1304" s="5" t="s">
        <v>43</v>
      </c>
      <c r="O1304" s="5">
        <v>16</v>
      </c>
      <c r="P1304" s="7">
        <f t="shared" si="224"/>
        <v>3137.7999999999997</v>
      </c>
      <c r="Q1304" s="7">
        <f t="shared" si="225"/>
        <v>5193.5999999999967</v>
      </c>
      <c r="R1304" s="7" t="str">
        <f t="shared" si="226"/>
        <v>Normal</v>
      </c>
      <c r="S1304" s="5">
        <v>3</v>
      </c>
      <c r="T1304" s="5">
        <v>4</v>
      </c>
      <c r="U1304" s="5" t="str" cm="1">
        <f t="array" ref="U1304">_xlfn.IFS(T1304=1,"Poor",T1304=2,"Fair",T1304=3,"Good",T1304=4,"Excellent")</f>
        <v>Excellent</v>
      </c>
      <c r="V1304" s="5" t="s">
        <v>43</v>
      </c>
      <c r="W1304" s="5">
        <v>5</v>
      </c>
      <c r="X1304" s="28">
        <f t="shared" ca="1" si="227"/>
        <v>44285</v>
      </c>
      <c r="Y1304" s="28">
        <f t="shared" ca="1" si="228"/>
        <v>46476</v>
      </c>
      <c r="Z1304" s="28" t="str">
        <f t="shared" ca="1" si="229"/>
        <v>Due Soon</v>
      </c>
      <c r="AA1304" s="5" t="str" cm="1">
        <f t="array" ref="AA1304">_xlfn.IFS(W1304&gt;10,"Veteran",W1304&gt;=6,"Experienced",W1304&gt;=2,"Developing",W1304&gt;=0,"New")</f>
        <v>Developing</v>
      </c>
      <c r="AB1304" s="5" t="str" cm="1">
        <f t="array" ref="AB1304">_xlfn.IFS(G1304=1,"Junior",G1304=2,"Mid-Level",G1304=3,"Senior",G1304=4,"Lead",G1304=5,"Principal")&amp;" "&amp;TRIM(PROPER(H1304))</f>
        <v>Junior Laboratory Technician</v>
      </c>
      <c r="AC1304" s="19" t="str">
        <f t="shared" ca="1" si="230"/>
        <v>La-Res-2021-1303 is a Junior Laboratory Technician in the Research &amp; Development department, aged 35, married and has been with the Company for 5years</v>
      </c>
    </row>
    <row r="1305" spans="1:29">
      <c r="A1305" s="18" t="str">
        <f t="shared" ca="1" si="220"/>
        <v>Ma-Res-2004-1304</v>
      </c>
      <c r="B1305" s="5">
        <v>47</v>
      </c>
      <c r="C1305" s="5" t="str">
        <f t="shared" si="221"/>
        <v>40-49</v>
      </c>
      <c r="D1305" s="5" t="s">
        <v>43</v>
      </c>
      <c r="E1305" s="5" t="s">
        <v>45</v>
      </c>
      <c r="F1305" s="5" t="s">
        <v>39</v>
      </c>
      <c r="G1305" s="5">
        <v>3</v>
      </c>
      <c r="H1305" s="5" t="s">
        <v>53</v>
      </c>
      <c r="I1305" s="5" t="s">
        <v>52</v>
      </c>
      <c r="J1305" s="7">
        <v>10333</v>
      </c>
      <c r="K1305" s="7">
        <f t="shared" si="222"/>
        <v>2273.2600000000002</v>
      </c>
      <c r="L1305" s="7">
        <f t="shared" si="223"/>
        <v>8059.74</v>
      </c>
      <c r="M1305" s="7">
        <v>19271</v>
      </c>
      <c r="N1305" s="5" t="s">
        <v>35</v>
      </c>
      <c r="O1305" s="5">
        <v>12</v>
      </c>
      <c r="P1305" s="7">
        <f t="shared" si="224"/>
        <v>11572.960000000001</v>
      </c>
      <c r="Q1305" s="7">
        <f t="shared" si="225"/>
        <v>14879.520000000011</v>
      </c>
      <c r="R1305" s="7" t="str">
        <f t="shared" si="226"/>
        <v>Normal</v>
      </c>
      <c r="S1305" s="5">
        <v>3</v>
      </c>
      <c r="T1305" s="5">
        <v>3</v>
      </c>
      <c r="U1305" s="5" t="str" cm="1">
        <f t="array" ref="U1305">_xlfn.IFS(T1305=1,"Poor",T1305=2,"Fair",T1305=3,"Good",T1305=4,"Excellent")</f>
        <v>Good</v>
      </c>
      <c r="V1305" s="5" t="s">
        <v>35</v>
      </c>
      <c r="W1305" s="5">
        <v>22</v>
      </c>
      <c r="X1305" s="28">
        <f t="shared" ca="1" si="227"/>
        <v>38076</v>
      </c>
      <c r="Y1305" s="28">
        <f t="shared" ca="1" si="228"/>
        <v>46842</v>
      </c>
      <c r="Z1305" s="28" t="str">
        <f t="shared" ca="1" si="229"/>
        <v>Upcoming</v>
      </c>
      <c r="AA1305" s="5" t="str" cm="1">
        <f t="array" ref="AA1305">_xlfn.IFS(W1305&gt;10,"Veteran",W1305&gt;=6,"Experienced",W1305&gt;=2,"Developing",W1305&gt;=0,"New")</f>
        <v>Veteran</v>
      </c>
      <c r="AB1305" s="5" t="str" cm="1">
        <f t="array" ref="AB1305">_xlfn.IFS(G1305=1,"Junior",G1305=2,"Mid-Level",G1305=3,"Senior",G1305=4,"Lead",G1305=5,"Principal")&amp;" "&amp;TRIM(PROPER(H1305))</f>
        <v>Senior Manufacturing Director</v>
      </c>
      <c r="AC1305" s="19" t="str">
        <f t="shared" ca="1" si="230"/>
        <v>Ma-Res-2004-1304 is a Senior Manufacturing Director in the Research &amp; Development department, aged 47, divorced and has been with the Company for 22years</v>
      </c>
    </row>
    <row r="1306" spans="1:29">
      <c r="A1306" s="18" t="str">
        <f t="shared" ca="1" si="220"/>
        <v>He-Res-2019-1305</v>
      </c>
      <c r="B1306" s="5">
        <v>40</v>
      </c>
      <c r="C1306" s="5" t="str">
        <f t="shared" si="221"/>
        <v>40-49</v>
      </c>
      <c r="D1306" s="5" t="s">
        <v>43</v>
      </c>
      <c r="E1306" s="5" t="s">
        <v>45</v>
      </c>
      <c r="F1306" s="5" t="s">
        <v>39</v>
      </c>
      <c r="G1306" s="5">
        <v>2</v>
      </c>
      <c r="H1306" s="5" t="s">
        <v>54</v>
      </c>
      <c r="I1306" s="5" t="s">
        <v>52</v>
      </c>
      <c r="J1306" s="7">
        <v>4448</v>
      </c>
      <c r="K1306" s="7">
        <f t="shared" si="222"/>
        <v>667.19999999999993</v>
      </c>
      <c r="L1306" s="7">
        <f t="shared" si="223"/>
        <v>3780.8</v>
      </c>
      <c r="M1306" s="7">
        <v>10748</v>
      </c>
      <c r="N1306" s="5" t="s">
        <v>43</v>
      </c>
      <c r="O1306" s="5">
        <v>12</v>
      </c>
      <c r="P1306" s="7">
        <f t="shared" si="224"/>
        <v>4981.76</v>
      </c>
      <c r="Q1306" s="7">
        <f t="shared" si="225"/>
        <v>6405.1200000000026</v>
      </c>
      <c r="R1306" s="7" t="str">
        <f t="shared" si="226"/>
        <v>Normal</v>
      </c>
      <c r="S1306" s="5">
        <v>3</v>
      </c>
      <c r="T1306" s="5">
        <v>3</v>
      </c>
      <c r="U1306" s="5" t="str" cm="1">
        <f t="array" ref="U1306">_xlfn.IFS(T1306=1,"Poor",T1306=2,"Fair",T1306=3,"Good",T1306=4,"Excellent")</f>
        <v>Good</v>
      </c>
      <c r="V1306" s="5" t="s">
        <v>43</v>
      </c>
      <c r="W1306" s="5">
        <v>7</v>
      </c>
      <c r="X1306" s="28">
        <f t="shared" ca="1" si="227"/>
        <v>43554</v>
      </c>
      <c r="Y1306" s="28">
        <f t="shared" ca="1" si="228"/>
        <v>46476</v>
      </c>
      <c r="Z1306" s="28" t="str">
        <f t="shared" ca="1" si="229"/>
        <v>Due Soon</v>
      </c>
      <c r="AA1306" s="5" t="str" cm="1">
        <f t="array" ref="AA1306">_xlfn.IFS(W1306&gt;10,"Veteran",W1306&gt;=6,"Experienced",W1306&gt;=2,"Developing",W1306&gt;=0,"New")</f>
        <v>Experienced</v>
      </c>
      <c r="AB1306" s="5" t="str" cm="1">
        <f t="array" ref="AB1306">_xlfn.IFS(G1306=1,"Junior",G1306=2,"Mid-Level",G1306=3,"Senior",G1306=4,"Lead",G1306=5,"Principal")&amp;" "&amp;TRIM(PROPER(H1306))</f>
        <v>Mid-Level Healthcare Representative</v>
      </c>
      <c r="AC1306" s="19" t="str">
        <f t="shared" ca="1" si="230"/>
        <v>He-Res-2019-1305 is a Mid-Level Healthcare Representative in the Research &amp; Development department, aged 40, divorced and has been with the Company for 7years</v>
      </c>
    </row>
    <row r="1307" spans="1:29">
      <c r="A1307" s="18" t="str">
        <f t="shared" ca="1" si="220"/>
        <v>Re-Res-2019-1306</v>
      </c>
      <c r="B1307" s="5">
        <v>54</v>
      </c>
      <c r="C1307" s="5" t="str">
        <f t="shared" si="221"/>
        <v>50+</v>
      </c>
      <c r="D1307" s="5" t="s">
        <v>43</v>
      </c>
      <c r="E1307" s="5" t="s">
        <v>45</v>
      </c>
      <c r="F1307" s="5" t="s">
        <v>39</v>
      </c>
      <c r="G1307" s="5">
        <v>2</v>
      </c>
      <c r="H1307" s="5" t="s">
        <v>47</v>
      </c>
      <c r="I1307" s="5" t="s">
        <v>48</v>
      </c>
      <c r="J1307" s="7">
        <v>6854</v>
      </c>
      <c r="K1307" s="7">
        <f t="shared" si="222"/>
        <v>1028.0999999999999</v>
      </c>
      <c r="L1307" s="7">
        <f t="shared" si="223"/>
        <v>5825.9</v>
      </c>
      <c r="M1307" s="7">
        <v>15696</v>
      </c>
      <c r="N1307" s="5" t="s">
        <v>43</v>
      </c>
      <c r="O1307" s="5">
        <v>15</v>
      </c>
      <c r="P1307" s="7">
        <f t="shared" si="224"/>
        <v>7882.0999999999995</v>
      </c>
      <c r="Q1307" s="7">
        <f t="shared" si="225"/>
        <v>12337.199999999993</v>
      </c>
      <c r="R1307" s="7" t="str">
        <f t="shared" si="226"/>
        <v>Normal</v>
      </c>
      <c r="S1307" s="5">
        <v>3</v>
      </c>
      <c r="T1307" s="5">
        <v>2</v>
      </c>
      <c r="U1307" s="5" t="str" cm="1">
        <f t="array" ref="U1307">_xlfn.IFS(T1307=1,"Poor",T1307=2,"Fair",T1307=3,"Good",T1307=4,"Excellent")</f>
        <v>Fair</v>
      </c>
      <c r="V1307" s="5" t="s">
        <v>43</v>
      </c>
      <c r="W1307" s="5">
        <v>7</v>
      </c>
      <c r="X1307" s="28">
        <f t="shared" ca="1" si="227"/>
        <v>43554</v>
      </c>
      <c r="Y1307" s="28">
        <f t="shared" ca="1" si="228"/>
        <v>46476</v>
      </c>
      <c r="Z1307" s="28" t="str">
        <f t="shared" ca="1" si="229"/>
        <v>Due Soon</v>
      </c>
      <c r="AA1307" s="5" t="str" cm="1">
        <f t="array" ref="AA1307">_xlfn.IFS(W1307&gt;10,"Veteran",W1307&gt;=6,"Experienced",W1307&gt;=2,"Developing",W1307&gt;=0,"New")</f>
        <v>Experienced</v>
      </c>
      <c r="AB1307" s="5" t="str" cm="1">
        <f t="array" ref="AB1307">_xlfn.IFS(G1307=1,"Junior",G1307=2,"Mid-Level",G1307=3,"Senior",G1307=4,"Lead",G1307=5,"Principal")&amp;" "&amp;TRIM(PROPER(H1307))</f>
        <v>Mid-Level Research Scientist</v>
      </c>
      <c r="AC1307" s="19" t="str">
        <f t="shared" ca="1" si="230"/>
        <v>Re-Res-2019-1306 is a Mid-Level Research Scientist in the Research &amp; Development department, aged 54, married and has been with the Company for 7years</v>
      </c>
    </row>
    <row r="1308" spans="1:29">
      <c r="A1308" s="18" t="str">
        <f t="shared" ca="1" si="220"/>
        <v>Sa-Sal-2023-1307</v>
      </c>
      <c r="B1308" s="5">
        <v>31</v>
      </c>
      <c r="C1308" s="5" t="str">
        <f t="shared" si="221"/>
        <v>30-39</v>
      </c>
      <c r="D1308" s="5" t="s">
        <v>43</v>
      </c>
      <c r="E1308" s="5" t="s">
        <v>37</v>
      </c>
      <c r="F1308" s="5" t="s">
        <v>39</v>
      </c>
      <c r="G1308" s="5">
        <v>3</v>
      </c>
      <c r="H1308" s="5" t="s">
        <v>40</v>
      </c>
      <c r="I1308" s="5" t="s">
        <v>48</v>
      </c>
      <c r="J1308" s="7">
        <v>9637</v>
      </c>
      <c r="K1308" s="7">
        <f t="shared" si="222"/>
        <v>2120.14</v>
      </c>
      <c r="L1308" s="7">
        <f t="shared" si="223"/>
        <v>7516.8600000000006</v>
      </c>
      <c r="M1308" s="7">
        <v>8277</v>
      </c>
      <c r="N1308" s="5" t="s">
        <v>43</v>
      </c>
      <c r="O1308" s="5">
        <v>14</v>
      </c>
      <c r="P1308" s="7">
        <f t="shared" si="224"/>
        <v>10986.18</v>
      </c>
      <c r="Q1308" s="7">
        <f t="shared" si="225"/>
        <v>16190.160000000003</v>
      </c>
      <c r="R1308" s="7" t="str">
        <f t="shared" si="226"/>
        <v>Normal</v>
      </c>
      <c r="S1308" s="5">
        <v>3</v>
      </c>
      <c r="T1308" s="5">
        <v>3</v>
      </c>
      <c r="U1308" s="5" t="str" cm="1">
        <f t="array" ref="U1308">_xlfn.IFS(T1308=1,"Poor",T1308=2,"Fair",T1308=3,"Good",T1308=4,"Excellent")</f>
        <v>Good</v>
      </c>
      <c r="V1308" s="5" t="s">
        <v>43</v>
      </c>
      <c r="W1308" s="5">
        <v>3</v>
      </c>
      <c r="X1308" s="28">
        <f t="shared" ca="1" si="227"/>
        <v>45015</v>
      </c>
      <c r="Y1308" s="28">
        <f t="shared" ca="1" si="228"/>
        <v>46476</v>
      </c>
      <c r="Z1308" s="28" t="str">
        <f t="shared" ca="1" si="229"/>
        <v>Due Soon</v>
      </c>
      <c r="AA1308" s="5" t="str" cm="1">
        <f t="array" ref="AA1308">_xlfn.IFS(W1308&gt;10,"Veteran",W1308&gt;=6,"Experienced",W1308&gt;=2,"Developing",W1308&gt;=0,"New")</f>
        <v>Developing</v>
      </c>
      <c r="AB1308" s="5" t="str" cm="1">
        <f t="array" ref="AB1308">_xlfn.IFS(G1308=1,"Junior",G1308=2,"Mid-Level",G1308=3,"Senior",G1308=4,"Lead",G1308=5,"Principal")&amp;" "&amp;TRIM(PROPER(H1308))</f>
        <v>Senior Sales Executive</v>
      </c>
      <c r="AC1308" s="19" t="str">
        <f t="shared" ca="1" si="230"/>
        <v>Sa-Sal-2023-1307 is a Senior Sales Executive in the Sales department, aged 31, married and has been with the Company for 3years</v>
      </c>
    </row>
    <row r="1309" spans="1:29">
      <c r="A1309" s="18" t="str">
        <f t="shared" ca="1" si="220"/>
        <v>Re-Res-2023-1308</v>
      </c>
      <c r="B1309" s="5">
        <v>28</v>
      </c>
      <c r="C1309" s="5" t="str">
        <f t="shared" si="221"/>
        <v>20-29</v>
      </c>
      <c r="D1309" s="5" t="s">
        <v>43</v>
      </c>
      <c r="E1309" s="5" t="s">
        <v>45</v>
      </c>
      <c r="F1309" s="5" t="s">
        <v>39</v>
      </c>
      <c r="G1309" s="5">
        <v>1</v>
      </c>
      <c r="H1309" s="5" t="s">
        <v>47</v>
      </c>
      <c r="I1309" s="5" t="s">
        <v>48</v>
      </c>
      <c r="J1309" s="7">
        <v>3591</v>
      </c>
      <c r="K1309" s="7">
        <f t="shared" si="222"/>
        <v>538.65</v>
      </c>
      <c r="L1309" s="7">
        <f t="shared" si="223"/>
        <v>3052.35</v>
      </c>
      <c r="M1309" s="7">
        <v>12719</v>
      </c>
      <c r="N1309" s="5" t="s">
        <v>43</v>
      </c>
      <c r="O1309" s="5">
        <v>25</v>
      </c>
      <c r="P1309" s="7">
        <f t="shared" si="224"/>
        <v>4488.75</v>
      </c>
      <c r="Q1309" s="7">
        <f t="shared" si="225"/>
        <v>10773</v>
      </c>
      <c r="R1309" s="7" t="str">
        <f t="shared" si="226"/>
        <v>Normal</v>
      </c>
      <c r="S1309" s="5">
        <v>4</v>
      </c>
      <c r="T1309" s="5">
        <v>3</v>
      </c>
      <c r="U1309" s="5" t="str" cm="1">
        <f t="array" ref="U1309">_xlfn.IFS(T1309=1,"Poor",T1309=2,"Fair",T1309=3,"Good",T1309=4,"Excellent")</f>
        <v>Good</v>
      </c>
      <c r="V1309" s="5" t="s">
        <v>43</v>
      </c>
      <c r="W1309" s="5">
        <v>3</v>
      </c>
      <c r="X1309" s="28">
        <f t="shared" ca="1" si="227"/>
        <v>45015</v>
      </c>
      <c r="Y1309" s="28">
        <f t="shared" ca="1" si="228"/>
        <v>46476</v>
      </c>
      <c r="Z1309" s="28" t="str">
        <f t="shared" ca="1" si="229"/>
        <v>Due Soon</v>
      </c>
      <c r="AA1309" s="5" t="str" cm="1">
        <f t="array" ref="AA1309">_xlfn.IFS(W1309&gt;10,"Veteran",W1309&gt;=6,"Experienced",W1309&gt;=2,"Developing",W1309&gt;=0,"New")</f>
        <v>Developing</v>
      </c>
      <c r="AB1309" s="5" t="str" cm="1">
        <f t="array" ref="AB1309">_xlfn.IFS(G1309=1,"Junior",G1309=2,"Mid-Level",G1309=3,"Senior",G1309=4,"Lead",G1309=5,"Principal")&amp;" "&amp;TRIM(PROPER(H1309))</f>
        <v>Junior Research Scientist</v>
      </c>
      <c r="AC1309" s="19" t="str">
        <f t="shared" ca="1" si="230"/>
        <v>Re-Res-2023-1308 is a Junior Research Scientist in the Research &amp; Development department, aged 28, married and has been with the Company for 3years</v>
      </c>
    </row>
    <row r="1310" spans="1:29">
      <c r="A1310" s="18" t="str">
        <f t="shared" ca="1" si="220"/>
        <v>Sa-Sal-2022-1309</v>
      </c>
      <c r="B1310" s="5">
        <v>38</v>
      </c>
      <c r="C1310" s="5" t="str">
        <f t="shared" si="221"/>
        <v>30-39</v>
      </c>
      <c r="D1310" s="5" t="s">
        <v>43</v>
      </c>
      <c r="E1310" s="5" t="s">
        <v>37</v>
      </c>
      <c r="F1310" s="5" t="s">
        <v>39</v>
      </c>
      <c r="G1310" s="5">
        <v>2</v>
      </c>
      <c r="H1310" s="5" t="s">
        <v>57</v>
      </c>
      <c r="I1310" s="5" t="s">
        <v>48</v>
      </c>
      <c r="J1310" s="7">
        <v>5405</v>
      </c>
      <c r="K1310" s="7">
        <f t="shared" si="222"/>
        <v>810.75</v>
      </c>
      <c r="L1310" s="7">
        <f t="shared" si="223"/>
        <v>4594.25</v>
      </c>
      <c r="M1310" s="7">
        <v>4244</v>
      </c>
      <c r="N1310" s="5" t="s">
        <v>35</v>
      </c>
      <c r="O1310" s="5">
        <v>20</v>
      </c>
      <c r="P1310" s="7">
        <f t="shared" si="224"/>
        <v>6486</v>
      </c>
      <c r="Q1310" s="7">
        <f t="shared" si="225"/>
        <v>12972</v>
      </c>
      <c r="R1310" s="7" t="str">
        <f t="shared" si="226"/>
        <v>Normal</v>
      </c>
      <c r="S1310" s="5">
        <v>4</v>
      </c>
      <c r="T1310" s="5">
        <v>2</v>
      </c>
      <c r="U1310" s="5" t="str" cm="1">
        <f t="array" ref="U1310">_xlfn.IFS(T1310=1,"Poor",T1310=2,"Fair",T1310=3,"Good",T1310=4,"Excellent")</f>
        <v>Fair</v>
      </c>
      <c r="V1310" s="5" t="s">
        <v>35</v>
      </c>
      <c r="W1310" s="5">
        <v>4</v>
      </c>
      <c r="X1310" s="28">
        <f t="shared" ca="1" si="227"/>
        <v>44650</v>
      </c>
      <c r="Y1310" s="28">
        <f t="shared" ca="1" si="228"/>
        <v>46842</v>
      </c>
      <c r="Z1310" s="28" t="str">
        <f t="shared" ca="1" si="229"/>
        <v>Upcoming</v>
      </c>
      <c r="AA1310" s="5" t="str" cm="1">
        <f t="array" ref="AA1310">_xlfn.IFS(W1310&gt;10,"Veteran",W1310&gt;=6,"Experienced",W1310&gt;=2,"Developing",W1310&gt;=0,"New")</f>
        <v>Developing</v>
      </c>
      <c r="AB1310" s="5" t="str" cm="1">
        <f t="array" ref="AB1310">_xlfn.IFS(G1310=1,"Junior",G1310=2,"Mid-Level",G1310=3,"Senior",G1310=4,"Lead",G1310=5,"Principal")&amp;" "&amp;TRIM(PROPER(H1310))</f>
        <v>Mid-Level Sales Representative</v>
      </c>
      <c r="AC1310" s="19" t="str">
        <f t="shared" ca="1" si="230"/>
        <v>Sa-Sal-2022-1309 is a Mid-Level Sales Representative in the Sales department, aged 38, married and has been with the Company for 4years</v>
      </c>
    </row>
    <row r="1311" spans="1:29">
      <c r="A1311" s="18" t="str">
        <f t="shared" ca="1" si="220"/>
        <v>Sa-Sal-2021-1310</v>
      </c>
      <c r="B1311" s="5">
        <v>26</v>
      </c>
      <c r="C1311" s="5" t="str">
        <f t="shared" si="221"/>
        <v>20-29</v>
      </c>
      <c r="D1311" s="5" t="s">
        <v>43</v>
      </c>
      <c r="E1311" s="5" t="s">
        <v>37</v>
      </c>
      <c r="F1311" s="5" t="s">
        <v>46</v>
      </c>
      <c r="G1311" s="5">
        <v>2</v>
      </c>
      <c r="H1311" s="5" t="s">
        <v>40</v>
      </c>
      <c r="I1311" s="5" t="s">
        <v>41</v>
      </c>
      <c r="J1311" s="7">
        <v>4684</v>
      </c>
      <c r="K1311" s="7">
        <f t="shared" si="222"/>
        <v>702.6</v>
      </c>
      <c r="L1311" s="7">
        <f t="shared" si="223"/>
        <v>3981.4</v>
      </c>
      <c r="M1311" s="7">
        <v>9125</v>
      </c>
      <c r="N1311" s="5" t="s">
        <v>43</v>
      </c>
      <c r="O1311" s="5">
        <v>13</v>
      </c>
      <c r="P1311" s="7">
        <f t="shared" si="224"/>
        <v>5292.9199999999992</v>
      </c>
      <c r="Q1311" s="7">
        <f t="shared" si="225"/>
        <v>7307.03999999999</v>
      </c>
      <c r="R1311" s="7" t="str">
        <f t="shared" si="226"/>
        <v>Normal</v>
      </c>
      <c r="S1311" s="5">
        <v>3</v>
      </c>
      <c r="T1311" s="5">
        <v>3</v>
      </c>
      <c r="U1311" s="5" t="str" cm="1">
        <f t="array" ref="U1311">_xlfn.IFS(T1311=1,"Poor",T1311=2,"Fair",T1311=3,"Good",T1311=4,"Excellent")</f>
        <v>Good</v>
      </c>
      <c r="V1311" s="5" t="s">
        <v>43</v>
      </c>
      <c r="W1311" s="5">
        <v>5</v>
      </c>
      <c r="X1311" s="28">
        <f t="shared" ca="1" si="227"/>
        <v>44285</v>
      </c>
      <c r="Y1311" s="28">
        <f t="shared" ca="1" si="228"/>
        <v>46476</v>
      </c>
      <c r="Z1311" s="28" t="str">
        <f t="shared" ca="1" si="229"/>
        <v>Due Soon</v>
      </c>
      <c r="AA1311" s="5" t="str" cm="1">
        <f t="array" ref="AA1311">_xlfn.IFS(W1311&gt;10,"Veteran",W1311&gt;=6,"Experienced",W1311&gt;=2,"Developing",W1311&gt;=0,"New")</f>
        <v>Developing</v>
      </c>
      <c r="AB1311" s="5" t="str" cm="1">
        <f t="array" ref="AB1311">_xlfn.IFS(G1311=1,"Junior",G1311=2,"Mid-Level",G1311=3,"Senior",G1311=4,"Lead",G1311=5,"Principal")&amp;" "&amp;TRIM(PROPER(H1311))</f>
        <v>Mid-Level Sales Executive</v>
      </c>
      <c r="AC1311" s="19" t="str">
        <f t="shared" ca="1" si="230"/>
        <v>Sa-Sal-2021-1310 is a Mid-Level Sales Executive in the Sales department, aged 26, single and has been with the Company for 5years</v>
      </c>
    </row>
    <row r="1312" spans="1:29">
      <c r="A1312" s="18" t="str">
        <f t="shared" ca="1" si="220"/>
        <v>Re-Res-2024-1311</v>
      </c>
      <c r="B1312" s="5">
        <v>58</v>
      </c>
      <c r="C1312" s="5" t="str">
        <f t="shared" si="221"/>
        <v>50+</v>
      </c>
      <c r="D1312" s="5" t="s">
        <v>43</v>
      </c>
      <c r="E1312" s="5" t="s">
        <v>45</v>
      </c>
      <c r="F1312" s="5" t="s">
        <v>46</v>
      </c>
      <c r="G1312" s="5">
        <v>4</v>
      </c>
      <c r="H1312" s="5" t="s">
        <v>58</v>
      </c>
      <c r="I1312" s="5" t="s">
        <v>48</v>
      </c>
      <c r="J1312" s="7">
        <v>15787</v>
      </c>
      <c r="K1312" s="7">
        <f t="shared" si="222"/>
        <v>4736.0999999999995</v>
      </c>
      <c r="L1312" s="7">
        <f t="shared" si="223"/>
        <v>11050.900000000001</v>
      </c>
      <c r="M1312" s="7">
        <v>21624</v>
      </c>
      <c r="N1312" s="5" t="s">
        <v>35</v>
      </c>
      <c r="O1312" s="5">
        <v>14</v>
      </c>
      <c r="P1312" s="7">
        <f t="shared" si="224"/>
        <v>17997.18</v>
      </c>
      <c r="Q1312" s="7">
        <f t="shared" si="225"/>
        <v>26522.160000000003</v>
      </c>
      <c r="R1312" s="7" t="str">
        <f t="shared" si="226"/>
        <v>Normal</v>
      </c>
      <c r="S1312" s="5">
        <v>3</v>
      </c>
      <c r="T1312" s="5">
        <v>3</v>
      </c>
      <c r="U1312" s="5" t="str" cm="1">
        <f t="array" ref="U1312">_xlfn.IFS(T1312=1,"Poor",T1312=2,"Fair",T1312=3,"Good",T1312=4,"Excellent")</f>
        <v>Good</v>
      </c>
      <c r="V1312" s="5" t="s">
        <v>35</v>
      </c>
      <c r="W1312" s="5">
        <v>2</v>
      </c>
      <c r="X1312" s="28">
        <f t="shared" ca="1" si="227"/>
        <v>45381</v>
      </c>
      <c r="Y1312" s="28">
        <f t="shared" ca="1" si="228"/>
        <v>46842</v>
      </c>
      <c r="Z1312" s="28" t="str">
        <f t="shared" ca="1" si="229"/>
        <v>Upcoming</v>
      </c>
      <c r="AA1312" s="5" t="str" cm="1">
        <f t="array" ref="AA1312">_xlfn.IFS(W1312&gt;10,"Veteran",W1312&gt;=6,"Experienced",W1312&gt;=2,"Developing",W1312&gt;=0,"New")</f>
        <v>Developing</v>
      </c>
      <c r="AB1312" s="5" t="str" cm="1">
        <f t="array" ref="AB1312">_xlfn.IFS(G1312=1,"Junior",G1312=2,"Mid-Level",G1312=3,"Senior",G1312=4,"Lead",G1312=5,"Principal")&amp;" "&amp;TRIM(PROPER(H1312))</f>
        <v>Lead Research Director</v>
      </c>
      <c r="AC1312" s="19" t="str">
        <f t="shared" ca="1" si="230"/>
        <v>Re-Res-2024-1311 is a Lead Research Director in the Research &amp; Development department, aged 58, married and has been with the Company for 2years</v>
      </c>
    </row>
    <row r="1313" spans="1:29">
      <c r="A1313" s="18" t="str">
        <f t="shared" ca="1" si="220"/>
        <v>Re-Res-2026-1312</v>
      </c>
      <c r="B1313" s="5">
        <v>18</v>
      </c>
      <c r="C1313" s="5" t="str">
        <f t="shared" si="221"/>
        <v>20-29</v>
      </c>
      <c r="D1313" s="5" t="s">
        <v>43</v>
      </c>
      <c r="E1313" s="5" t="s">
        <v>45</v>
      </c>
      <c r="F1313" s="5" t="s">
        <v>39</v>
      </c>
      <c r="G1313" s="5">
        <v>1</v>
      </c>
      <c r="H1313" s="5" t="s">
        <v>47</v>
      </c>
      <c r="I1313" s="5" t="s">
        <v>41</v>
      </c>
      <c r="J1313" s="7">
        <v>1514</v>
      </c>
      <c r="K1313" s="7">
        <f t="shared" si="222"/>
        <v>105.98</v>
      </c>
      <c r="L1313" s="7">
        <f t="shared" si="223"/>
        <v>1408.02</v>
      </c>
      <c r="M1313" s="7">
        <v>8018</v>
      </c>
      <c r="N1313" s="5" t="s">
        <v>43</v>
      </c>
      <c r="O1313" s="5">
        <v>16</v>
      </c>
      <c r="P1313" s="7">
        <f t="shared" si="224"/>
        <v>1756.2399999999998</v>
      </c>
      <c r="Q1313" s="7">
        <f t="shared" si="225"/>
        <v>2906.8799999999974</v>
      </c>
      <c r="R1313" s="7" t="str">
        <f t="shared" si="226"/>
        <v>Normal</v>
      </c>
      <c r="S1313" s="5">
        <v>3</v>
      </c>
      <c r="T1313" s="5">
        <v>1</v>
      </c>
      <c r="U1313" s="5" t="str" cm="1">
        <f t="array" ref="U1313">_xlfn.IFS(T1313=1,"Poor",T1313=2,"Fair",T1313=3,"Good",T1313=4,"Excellent")</f>
        <v>Poor</v>
      </c>
      <c r="V1313" s="5" t="s">
        <v>43</v>
      </c>
      <c r="W1313" s="5">
        <v>0</v>
      </c>
      <c r="X1313" s="28">
        <f t="shared" ca="1" si="227"/>
        <v>46111</v>
      </c>
      <c r="Y1313" s="28">
        <f t="shared" ca="1" si="228"/>
        <v>46842</v>
      </c>
      <c r="Z1313" s="28" t="str">
        <f t="shared" ca="1" si="229"/>
        <v>Upcoming</v>
      </c>
      <c r="AA1313" s="5" t="str" cm="1">
        <f t="array" ref="AA1313">_xlfn.IFS(W1313&gt;10,"Veteran",W1313&gt;=6,"Experienced",W1313&gt;=2,"Developing",W1313&gt;=0,"New")</f>
        <v>New</v>
      </c>
      <c r="AB1313" s="5" t="str" cm="1">
        <f t="array" ref="AB1313">_xlfn.IFS(G1313=1,"Junior",G1313=2,"Mid-Level",G1313=3,"Senior",G1313=4,"Lead",G1313=5,"Principal")&amp;" "&amp;TRIM(PROPER(H1313))</f>
        <v>Junior Research Scientist</v>
      </c>
      <c r="AC1313" s="19" t="str">
        <f t="shared" ca="1" si="230"/>
        <v>Re-Res-2026-1312 is a Junior Research Scientist in the Research &amp; Development department, aged 18, single and has been with the Company for 0years</v>
      </c>
    </row>
    <row r="1314" spans="1:29">
      <c r="A1314" s="18" t="str">
        <f t="shared" ca="1" si="220"/>
        <v>Hu-Hum-2025-1313</v>
      </c>
      <c r="B1314" s="5">
        <v>31</v>
      </c>
      <c r="C1314" s="5" t="str">
        <f t="shared" si="221"/>
        <v>30-39</v>
      </c>
      <c r="D1314" s="5" t="s">
        <v>35</v>
      </c>
      <c r="E1314" s="5" t="s">
        <v>61</v>
      </c>
      <c r="F1314" s="5" t="s">
        <v>46</v>
      </c>
      <c r="G1314" s="5">
        <v>1</v>
      </c>
      <c r="H1314" s="5" t="s">
        <v>61</v>
      </c>
      <c r="I1314" s="5" t="s">
        <v>48</v>
      </c>
      <c r="J1314" s="7">
        <v>2956</v>
      </c>
      <c r="K1314" s="7">
        <f t="shared" si="222"/>
        <v>206.92000000000002</v>
      </c>
      <c r="L1314" s="7">
        <f t="shared" si="223"/>
        <v>2749.08</v>
      </c>
      <c r="M1314" s="7">
        <v>21495</v>
      </c>
      <c r="N1314" s="5" t="s">
        <v>43</v>
      </c>
      <c r="O1314" s="5">
        <v>17</v>
      </c>
      <c r="P1314" s="7">
        <f t="shared" si="224"/>
        <v>3458.52</v>
      </c>
      <c r="Q1314" s="7">
        <f t="shared" si="225"/>
        <v>6030.24</v>
      </c>
      <c r="R1314" s="7" t="str">
        <f t="shared" si="226"/>
        <v>Normal</v>
      </c>
      <c r="S1314" s="5">
        <v>3</v>
      </c>
      <c r="T1314" s="5">
        <v>3</v>
      </c>
      <c r="U1314" s="5" t="str" cm="1">
        <f t="array" ref="U1314">_xlfn.IFS(T1314=1,"Poor",T1314=2,"Fair",T1314=3,"Good",T1314=4,"Excellent")</f>
        <v>Good</v>
      </c>
      <c r="V1314" s="5" t="s">
        <v>43</v>
      </c>
      <c r="W1314" s="5">
        <v>1</v>
      </c>
      <c r="X1314" s="28">
        <f t="shared" ca="1" si="227"/>
        <v>45746</v>
      </c>
      <c r="Y1314" s="28">
        <f t="shared" ca="1" si="228"/>
        <v>46476</v>
      </c>
      <c r="Z1314" s="28" t="str">
        <f t="shared" ca="1" si="229"/>
        <v>Due Soon</v>
      </c>
      <c r="AA1314" s="5" t="str" cm="1">
        <f t="array" ref="AA1314">_xlfn.IFS(W1314&gt;10,"Veteran",W1314&gt;=6,"Experienced",W1314&gt;=2,"Developing",W1314&gt;=0,"New")</f>
        <v>New</v>
      </c>
      <c r="AB1314" s="5" t="str" cm="1">
        <f t="array" ref="AB1314">_xlfn.IFS(G1314=1,"Junior",G1314=2,"Mid-Level",G1314=3,"Senior",G1314=4,"Lead",G1314=5,"Principal")&amp;" "&amp;TRIM(PROPER(H1314))</f>
        <v>Junior Human Resources</v>
      </c>
      <c r="AC1314" s="19" t="str">
        <f t="shared" ca="1" si="230"/>
        <v>Hu-Hum-2025-1313 is a Junior Human Resources in the Human Resources department, aged 31, married and has been with the Company for 1years</v>
      </c>
    </row>
    <row r="1315" spans="1:29">
      <c r="A1315" s="18" t="str">
        <f t="shared" ca="1" si="220"/>
        <v>Hu-Hum-2024-1314</v>
      </c>
      <c r="B1315" s="5">
        <v>29</v>
      </c>
      <c r="C1315" s="5" t="str">
        <f t="shared" si="221"/>
        <v>20-29</v>
      </c>
      <c r="D1315" s="5" t="s">
        <v>35</v>
      </c>
      <c r="E1315" s="5" t="s">
        <v>61</v>
      </c>
      <c r="F1315" s="5" t="s">
        <v>46</v>
      </c>
      <c r="G1315" s="5">
        <v>1</v>
      </c>
      <c r="H1315" s="5" t="s">
        <v>61</v>
      </c>
      <c r="I1315" s="5" t="s">
        <v>52</v>
      </c>
      <c r="J1315" s="7">
        <v>2335</v>
      </c>
      <c r="K1315" s="7">
        <f t="shared" si="222"/>
        <v>163.45000000000002</v>
      </c>
      <c r="L1315" s="7">
        <f t="shared" si="223"/>
        <v>2171.5500000000002</v>
      </c>
      <c r="M1315" s="7">
        <v>3157</v>
      </c>
      <c r="N1315" s="5" t="s">
        <v>35</v>
      </c>
      <c r="O1315" s="5">
        <v>15</v>
      </c>
      <c r="P1315" s="7">
        <f t="shared" si="224"/>
        <v>2685.25</v>
      </c>
      <c r="Q1315" s="7">
        <f t="shared" si="225"/>
        <v>4203</v>
      </c>
      <c r="R1315" s="7" t="str">
        <f t="shared" si="226"/>
        <v>Normal</v>
      </c>
      <c r="S1315" s="5">
        <v>3</v>
      </c>
      <c r="T1315" s="5">
        <v>3</v>
      </c>
      <c r="U1315" s="5" t="str" cm="1">
        <f t="array" ref="U1315">_xlfn.IFS(T1315=1,"Poor",T1315=2,"Fair",T1315=3,"Good",T1315=4,"Excellent")</f>
        <v>Good</v>
      </c>
      <c r="V1315" s="5" t="s">
        <v>35</v>
      </c>
      <c r="W1315" s="5">
        <v>2</v>
      </c>
      <c r="X1315" s="28">
        <f t="shared" ca="1" si="227"/>
        <v>45381</v>
      </c>
      <c r="Y1315" s="28">
        <f t="shared" ca="1" si="228"/>
        <v>46842</v>
      </c>
      <c r="Z1315" s="28" t="str">
        <f t="shared" ca="1" si="229"/>
        <v>Upcoming</v>
      </c>
      <c r="AA1315" s="5" t="str" cm="1">
        <f t="array" ref="AA1315">_xlfn.IFS(W1315&gt;10,"Veteran",W1315&gt;=6,"Experienced",W1315&gt;=2,"Developing",W1315&gt;=0,"New")</f>
        <v>Developing</v>
      </c>
      <c r="AB1315" s="5" t="str" cm="1">
        <f t="array" ref="AB1315">_xlfn.IFS(G1315=1,"Junior",G1315=2,"Mid-Level",G1315=3,"Senior",G1315=4,"Lead",G1315=5,"Principal")&amp;" "&amp;TRIM(PROPER(H1315))</f>
        <v>Junior Human Resources</v>
      </c>
      <c r="AC1315" s="19" t="str">
        <f t="shared" ca="1" si="230"/>
        <v>Hu-Hum-2024-1314 is a Junior Human Resources in the Human Resources department, aged 29, divorced and has been with the Company for 2years</v>
      </c>
    </row>
    <row r="1316" spans="1:29">
      <c r="A1316" s="18" t="str">
        <f t="shared" ca="1" si="220"/>
        <v>Sa-Sal-2018-1315</v>
      </c>
      <c r="B1316" s="5">
        <v>45</v>
      </c>
      <c r="C1316" s="5" t="str">
        <f t="shared" si="221"/>
        <v>40-49</v>
      </c>
      <c r="D1316" s="5" t="s">
        <v>43</v>
      </c>
      <c r="E1316" s="5" t="s">
        <v>37</v>
      </c>
      <c r="F1316" s="5" t="s">
        <v>39</v>
      </c>
      <c r="G1316" s="5">
        <v>2</v>
      </c>
      <c r="H1316" s="5" t="s">
        <v>40</v>
      </c>
      <c r="I1316" s="5" t="s">
        <v>48</v>
      </c>
      <c r="J1316" s="7">
        <v>5154</v>
      </c>
      <c r="K1316" s="7">
        <f t="shared" si="222"/>
        <v>773.1</v>
      </c>
      <c r="L1316" s="7">
        <f t="shared" si="223"/>
        <v>4380.8999999999996</v>
      </c>
      <c r="M1316" s="7">
        <v>19665</v>
      </c>
      <c r="N1316" s="5" t="s">
        <v>43</v>
      </c>
      <c r="O1316" s="5">
        <v>22</v>
      </c>
      <c r="P1316" s="7">
        <f t="shared" si="224"/>
        <v>6287.88</v>
      </c>
      <c r="Q1316" s="7">
        <f t="shared" si="225"/>
        <v>13606.560000000001</v>
      </c>
      <c r="R1316" s="7" t="str">
        <f t="shared" si="226"/>
        <v>Normal</v>
      </c>
      <c r="S1316" s="5">
        <v>4</v>
      </c>
      <c r="T1316" s="5">
        <v>4</v>
      </c>
      <c r="U1316" s="5" t="str" cm="1">
        <f t="array" ref="U1316">_xlfn.IFS(T1316=1,"Poor",T1316=2,"Fair",T1316=3,"Good",T1316=4,"Excellent")</f>
        <v>Excellent</v>
      </c>
      <c r="V1316" s="5" t="s">
        <v>43</v>
      </c>
      <c r="W1316" s="5">
        <v>8</v>
      </c>
      <c r="X1316" s="28">
        <f t="shared" ca="1" si="227"/>
        <v>43189</v>
      </c>
      <c r="Y1316" s="28">
        <f t="shared" ca="1" si="228"/>
        <v>46842</v>
      </c>
      <c r="Z1316" s="28" t="str">
        <f t="shared" ca="1" si="229"/>
        <v>Upcoming</v>
      </c>
      <c r="AA1316" s="5" t="str" cm="1">
        <f t="array" ref="AA1316">_xlfn.IFS(W1316&gt;10,"Veteran",W1316&gt;=6,"Experienced",W1316&gt;=2,"Developing",W1316&gt;=0,"New")</f>
        <v>Experienced</v>
      </c>
      <c r="AB1316" s="5" t="str" cm="1">
        <f t="array" ref="AB1316">_xlfn.IFS(G1316=1,"Junior",G1316=2,"Mid-Level",G1316=3,"Senior",G1316=4,"Lead",G1316=5,"Principal")&amp;" "&amp;TRIM(PROPER(H1316))</f>
        <v>Mid-Level Sales Executive</v>
      </c>
      <c r="AC1316" s="19" t="str">
        <f t="shared" ca="1" si="230"/>
        <v>Sa-Sal-2018-1315 is a Mid-Level Sales Executive in the Sales department, aged 45, married and has been with the Company for 8years</v>
      </c>
    </row>
    <row r="1317" spans="1:29">
      <c r="A1317" s="18" t="str">
        <f t="shared" ca="1" si="220"/>
        <v>Re-Res-2025-1316</v>
      </c>
      <c r="B1317" s="5">
        <v>36</v>
      </c>
      <c r="C1317" s="5" t="str">
        <f t="shared" si="221"/>
        <v>30-39</v>
      </c>
      <c r="D1317" s="5" t="s">
        <v>43</v>
      </c>
      <c r="E1317" s="5" t="s">
        <v>45</v>
      </c>
      <c r="F1317" s="5" t="s">
        <v>39</v>
      </c>
      <c r="G1317" s="5">
        <v>2</v>
      </c>
      <c r="H1317" s="5" t="s">
        <v>47</v>
      </c>
      <c r="I1317" s="5" t="s">
        <v>48</v>
      </c>
      <c r="J1317" s="7">
        <v>6962</v>
      </c>
      <c r="K1317" s="7">
        <f t="shared" si="222"/>
        <v>1044.3</v>
      </c>
      <c r="L1317" s="7">
        <f t="shared" si="223"/>
        <v>5917.7</v>
      </c>
      <c r="M1317" s="7">
        <v>19573</v>
      </c>
      <c r="N1317" s="5" t="s">
        <v>35</v>
      </c>
      <c r="O1317" s="5">
        <v>22</v>
      </c>
      <c r="P1317" s="7">
        <f t="shared" si="224"/>
        <v>8493.64</v>
      </c>
      <c r="Q1317" s="7">
        <f t="shared" si="225"/>
        <v>18379.679999999993</v>
      </c>
      <c r="R1317" s="7" t="str">
        <f t="shared" si="226"/>
        <v>Normal</v>
      </c>
      <c r="S1317" s="5">
        <v>4</v>
      </c>
      <c r="T1317" s="5">
        <v>3</v>
      </c>
      <c r="U1317" s="5" t="str" cm="1">
        <f t="array" ref="U1317">_xlfn.IFS(T1317=1,"Poor",T1317=2,"Fair",T1317=3,"Good",T1317=4,"Excellent")</f>
        <v>Good</v>
      </c>
      <c r="V1317" s="5" t="s">
        <v>35</v>
      </c>
      <c r="W1317" s="5">
        <v>1</v>
      </c>
      <c r="X1317" s="28">
        <f t="shared" ca="1" si="227"/>
        <v>45746</v>
      </c>
      <c r="Y1317" s="28">
        <f t="shared" ca="1" si="228"/>
        <v>46476</v>
      </c>
      <c r="Z1317" s="28" t="str">
        <f t="shared" ca="1" si="229"/>
        <v>Due Soon</v>
      </c>
      <c r="AA1317" s="5" t="str" cm="1">
        <f t="array" ref="AA1317">_xlfn.IFS(W1317&gt;10,"Veteran",W1317&gt;=6,"Experienced",W1317&gt;=2,"Developing",W1317&gt;=0,"New")</f>
        <v>New</v>
      </c>
      <c r="AB1317" s="5" t="str" cm="1">
        <f t="array" ref="AB1317">_xlfn.IFS(G1317=1,"Junior",G1317=2,"Mid-Level",G1317=3,"Senior",G1317=4,"Lead",G1317=5,"Principal")&amp;" "&amp;TRIM(PROPER(H1317))</f>
        <v>Mid-Level Research Scientist</v>
      </c>
      <c r="AC1317" s="19" t="str">
        <f t="shared" ca="1" si="230"/>
        <v>Re-Res-2025-1316 is a Mid-Level Research Scientist in the Research &amp; Development department, aged 36, married and has been with the Company for 1years</v>
      </c>
    </row>
    <row r="1318" spans="1:29">
      <c r="A1318" s="18" t="str">
        <f t="shared" ca="1" si="220"/>
        <v>Sa-Sal-2019-1317</v>
      </c>
      <c r="B1318" s="5">
        <v>43</v>
      </c>
      <c r="C1318" s="5" t="str">
        <f t="shared" si="221"/>
        <v>40-49</v>
      </c>
      <c r="D1318" s="5" t="s">
        <v>43</v>
      </c>
      <c r="E1318" s="5" t="s">
        <v>37</v>
      </c>
      <c r="F1318" s="5" t="s">
        <v>46</v>
      </c>
      <c r="G1318" s="5">
        <v>2</v>
      </c>
      <c r="H1318" s="5" t="s">
        <v>40</v>
      </c>
      <c r="I1318" s="5" t="s">
        <v>48</v>
      </c>
      <c r="J1318" s="7">
        <v>5675</v>
      </c>
      <c r="K1318" s="7">
        <f t="shared" si="222"/>
        <v>851.25</v>
      </c>
      <c r="L1318" s="7">
        <f t="shared" si="223"/>
        <v>4823.75</v>
      </c>
      <c r="M1318" s="7">
        <v>19246</v>
      </c>
      <c r="N1318" s="5" t="s">
        <v>43</v>
      </c>
      <c r="O1318" s="5">
        <v>20</v>
      </c>
      <c r="P1318" s="7">
        <f t="shared" si="224"/>
        <v>6810</v>
      </c>
      <c r="Q1318" s="7">
        <f t="shared" si="225"/>
        <v>13620</v>
      </c>
      <c r="R1318" s="7" t="str">
        <f t="shared" si="226"/>
        <v>Normal</v>
      </c>
      <c r="S1318" s="5">
        <v>4</v>
      </c>
      <c r="T1318" s="5">
        <v>3</v>
      </c>
      <c r="U1318" s="5" t="str" cm="1">
        <f t="array" ref="U1318">_xlfn.IFS(T1318=1,"Poor",T1318=2,"Fair",T1318=3,"Good",T1318=4,"Excellent")</f>
        <v>Good</v>
      </c>
      <c r="V1318" s="5" t="s">
        <v>43</v>
      </c>
      <c r="W1318" s="5">
        <v>7</v>
      </c>
      <c r="X1318" s="28">
        <f t="shared" ca="1" si="227"/>
        <v>43554</v>
      </c>
      <c r="Y1318" s="28">
        <f t="shared" ca="1" si="228"/>
        <v>46476</v>
      </c>
      <c r="Z1318" s="28" t="str">
        <f t="shared" ca="1" si="229"/>
        <v>Due Soon</v>
      </c>
      <c r="AA1318" s="5" t="str" cm="1">
        <f t="array" ref="AA1318">_xlfn.IFS(W1318&gt;10,"Veteran",W1318&gt;=6,"Experienced",W1318&gt;=2,"Developing",W1318&gt;=0,"New")</f>
        <v>Experienced</v>
      </c>
      <c r="AB1318" s="5" t="str" cm="1">
        <f t="array" ref="AB1318">_xlfn.IFS(G1318=1,"Junior",G1318=2,"Mid-Level",G1318=3,"Senior",G1318=4,"Lead",G1318=5,"Principal")&amp;" "&amp;TRIM(PROPER(H1318))</f>
        <v>Mid-Level Sales Executive</v>
      </c>
      <c r="AC1318" s="19" t="str">
        <f t="shared" ca="1" si="230"/>
        <v>Sa-Sal-2019-1317 is a Mid-Level Sales Executive in the Sales department, aged 43, married and has been with the Company for 7years</v>
      </c>
    </row>
    <row r="1319" spans="1:29">
      <c r="A1319" s="18" t="str">
        <f t="shared" ca="1" si="220"/>
        <v>La-Res-2021-1318</v>
      </c>
      <c r="B1319" s="5">
        <v>27</v>
      </c>
      <c r="C1319" s="5" t="str">
        <f t="shared" si="221"/>
        <v>20-29</v>
      </c>
      <c r="D1319" s="5" t="s">
        <v>43</v>
      </c>
      <c r="E1319" s="5" t="s">
        <v>45</v>
      </c>
      <c r="F1319" s="5" t="s">
        <v>39</v>
      </c>
      <c r="G1319" s="5">
        <v>1</v>
      </c>
      <c r="H1319" s="5" t="s">
        <v>50</v>
      </c>
      <c r="I1319" s="5" t="s">
        <v>41</v>
      </c>
      <c r="J1319" s="7">
        <v>2379</v>
      </c>
      <c r="K1319" s="7">
        <f t="shared" si="222"/>
        <v>166.53000000000003</v>
      </c>
      <c r="L1319" s="7">
        <f t="shared" si="223"/>
        <v>2212.4699999999998</v>
      </c>
      <c r="M1319" s="7">
        <v>19826</v>
      </c>
      <c r="N1319" s="5" t="s">
        <v>35</v>
      </c>
      <c r="O1319" s="5">
        <v>14</v>
      </c>
      <c r="P1319" s="7">
        <f t="shared" si="224"/>
        <v>2712.0600000000004</v>
      </c>
      <c r="Q1319" s="7">
        <f t="shared" si="225"/>
        <v>3996.7200000000048</v>
      </c>
      <c r="R1319" s="7" t="str">
        <f t="shared" si="226"/>
        <v>Normal</v>
      </c>
      <c r="S1319" s="5">
        <v>3</v>
      </c>
      <c r="T1319" s="5">
        <v>2</v>
      </c>
      <c r="U1319" s="5" t="str" cm="1">
        <f t="array" ref="U1319">_xlfn.IFS(T1319=1,"Poor",T1319=2,"Fair",T1319=3,"Good",T1319=4,"Excellent")</f>
        <v>Fair</v>
      </c>
      <c r="V1319" s="5" t="s">
        <v>35</v>
      </c>
      <c r="W1319" s="5">
        <v>5</v>
      </c>
      <c r="X1319" s="28">
        <f t="shared" ca="1" si="227"/>
        <v>44285</v>
      </c>
      <c r="Y1319" s="28">
        <f t="shared" ca="1" si="228"/>
        <v>46476</v>
      </c>
      <c r="Z1319" s="28" t="str">
        <f t="shared" ca="1" si="229"/>
        <v>Due Soon</v>
      </c>
      <c r="AA1319" s="5" t="str" cm="1">
        <f t="array" ref="AA1319">_xlfn.IFS(W1319&gt;10,"Veteran",W1319&gt;=6,"Experienced",W1319&gt;=2,"Developing",W1319&gt;=0,"New")</f>
        <v>Developing</v>
      </c>
      <c r="AB1319" s="5" t="str" cm="1">
        <f t="array" ref="AB1319">_xlfn.IFS(G1319=1,"Junior",G1319=2,"Mid-Level",G1319=3,"Senior",G1319=4,"Lead",G1319=5,"Principal")&amp;" "&amp;TRIM(PROPER(H1319))</f>
        <v>Junior Laboratory Technician</v>
      </c>
      <c r="AC1319" s="19" t="str">
        <f t="shared" ca="1" si="230"/>
        <v>La-Res-2021-1318 is a Junior Laboratory Technician in the Research &amp; Development department, aged 27, single and has been with the Company for 5years</v>
      </c>
    </row>
    <row r="1320" spans="1:29">
      <c r="A1320" s="18" t="str">
        <f t="shared" ca="1" si="220"/>
        <v>La-Res-2015-1319</v>
      </c>
      <c r="B1320" s="5">
        <v>29</v>
      </c>
      <c r="C1320" s="5" t="str">
        <f t="shared" si="221"/>
        <v>20-29</v>
      </c>
      <c r="D1320" s="5" t="s">
        <v>43</v>
      </c>
      <c r="E1320" s="5" t="s">
        <v>45</v>
      </c>
      <c r="F1320" s="5" t="s">
        <v>46</v>
      </c>
      <c r="G1320" s="5">
        <v>1</v>
      </c>
      <c r="H1320" s="5" t="s">
        <v>50</v>
      </c>
      <c r="I1320" s="5" t="s">
        <v>48</v>
      </c>
      <c r="J1320" s="7">
        <v>3812</v>
      </c>
      <c r="K1320" s="7">
        <f t="shared" si="222"/>
        <v>571.79999999999995</v>
      </c>
      <c r="L1320" s="7">
        <f t="shared" si="223"/>
        <v>3240.2</v>
      </c>
      <c r="M1320" s="7">
        <v>7003</v>
      </c>
      <c r="N1320" s="5" t="s">
        <v>43</v>
      </c>
      <c r="O1320" s="5">
        <v>13</v>
      </c>
      <c r="P1320" s="7">
        <f t="shared" si="224"/>
        <v>4307.5599999999995</v>
      </c>
      <c r="Q1320" s="7">
        <f t="shared" si="225"/>
        <v>5946.7199999999939</v>
      </c>
      <c r="R1320" s="7" t="str">
        <f t="shared" si="226"/>
        <v>Normal</v>
      </c>
      <c r="S1320" s="5">
        <v>3</v>
      </c>
      <c r="T1320" s="5">
        <v>4</v>
      </c>
      <c r="U1320" s="5" t="str" cm="1">
        <f t="array" ref="U1320">_xlfn.IFS(T1320=1,"Poor",T1320=2,"Fair",T1320=3,"Good",T1320=4,"Excellent")</f>
        <v>Excellent</v>
      </c>
      <c r="V1320" s="5" t="s">
        <v>43</v>
      </c>
      <c r="W1320" s="5">
        <v>11</v>
      </c>
      <c r="X1320" s="28">
        <f t="shared" ca="1" si="227"/>
        <v>42093</v>
      </c>
      <c r="Y1320" s="28">
        <f t="shared" ca="1" si="228"/>
        <v>46476</v>
      </c>
      <c r="Z1320" s="28" t="str">
        <f t="shared" ca="1" si="229"/>
        <v>Due Soon</v>
      </c>
      <c r="AA1320" s="5" t="str" cm="1">
        <f t="array" ref="AA1320">_xlfn.IFS(W1320&gt;10,"Veteran",W1320&gt;=6,"Experienced",W1320&gt;=2,"Developing",W1320&gt;=0,"New")</f>
        <v>Veteran</v>
      </c>
      <c r="AB1320" s="5" t="str" cm="1">
        <f t="array" ref="AB1320">_xlfn.IFS(G1320=1,"Junior",G1320=2,"Mid-Level",G1320=3,"Senior",G1320=4,"Lead",G1320=5,"Principal")&amp;" "&amp;TRIM(PROPER(H1320))</f>
        <v>Junior Laboratory Technician</v>
      </c>
      <c r="AC1320" s="19" t="str">
        <f t="shared" ca="1" si="230"/>
        <v>La-Res-2015-1319 is a Junior Laboratory Technician in the Research &amp; Development department, aged 29, married and has been with the Company for 11years</v>
      </c>
    </row>
    <row r="1321" spans="1:29">
      <c r="A1321" s="18" t="str">
        <f t="shared" ca="1" si="220"/>
        <v>Sa-Sal-2026-1320</v>
      </c>
      <c r="B1321" s="5">
        <v>32</v>
      </c>
      <c r="C1321" s="5" t="str">
        <f t="shared" si="221"/>
        <v>30-39</v>
      </c>
      <c r="D1321" s="5" t="s">
        <v>43</v>
      </c>
      <c r="E1321" s="5" t="s">
        <v>37</v>
      </c>
      <c r="F1321" s="5" t="s">
        <v>46</v>
      </c>
      <c r="G1321" s="5">
        <v>2</v>
      </c>
      <c r="H1321" s="5" t="s">
        <v>40</v>
      </c>
      <c r="I1321" s="5" t="s">
        <v>41</v>
      </c>
      <c r="J1321" s="7">
        <v>4648</v>
      </c>
      <c r="K1321" s="7">
        <f t="shared" si="222"/>
        <v>697.19999999999993</v>
      </c>
      <c r="L1321" s="7">
        <f t="shared" si="223"/>
        <v>3950.8</v>
      </c>
      <c r="M1321" s="7">
        <v>26075</v>
      </c>
      <c r="N1321" s="5" t="s">
        <v>43</v>
      </c>
      <c r="O1321" s="5">
        <v>13</v>
      </c>
      <c r="P1321" s="7">
        <f t="shared" si="224"/>
        <v>5252.24</v>
      </c>
      <c r="Q1321" s="7">
        <f t="shared" si="225"/>
        <v>7250.8799999999974</v>
      </c>
      <c r="R1321" s="7" t="str">
        <f t="shared" si="226"/>
        <v>Normal</v>
      </c>
      <c r="S1321" s="5">
        <v>3</v>
      </c>
      <c r="T1321" s="5">
        <v>4</v>
      </c>
      <c r="U1321" s="5" t="str" cm="1">
        <f t="array" ref="U1321">_xlfn.IFS(T1321=1,"Poor",T1321=2,"Fair",T1321=3,"Good",T1321=4,"Excellent")</f>
        <v>Excellent</v>
      </c>
      <c r="V1321" s="5" t="s">
        <v>43</v>
      </c>
      <c r="W1321" s="5">
        <v>0</v>
      </c>
      <c r="X1321" s="28">
        <f t="shared" ca="1" si="227"/>
        <v>46111</v>
      </c>
      <c r="Y1321" s="28">
        <f t="shared" ca="1" si="228"/>
        <v>46842</v>
      </c>
      <c r="Z1321" s="28" t="str">
        <f t="shared" ca="1" si="229"/>
        <v>Upcoming</v>
      </c>
      <c r="AA1321" s="5" t="str" cm="1">
        <f t="array" ref="AA1321">_xlfn.IFS(W1321&gt;10,"Veteran",W1321&gt;=6,"Experienced",W1321&gt;=2,"Developing",W1321&gt;=0,"New")</f>
        <v>New</v>
      </c>
      <c r="AB1321" s="5" t="str" cm="1">
        <f t="array" ref="AB1321">_xlfn.IFS(G1321=1,"Junior",G1321=2,"Mid-Level",G1321=3,"Senior",G1321=4,"Lead",G1321=5,"Principal")&amp;" "&amp;TRIM(PROPER(H1321))</f>
        <v>Mid-Level Sales Executive</v>
      </c>
      <c r="AC1321" s="19" t="str">
        <f t="shared" ca="1" si="230"/>
        <v>Sa-Sal-2026-1320 is a Mid-Level Sales Executive in the Sales department, aged 32, single and has been with the Company for 0years</v>
      </c>
    </row>
    <row r="1322" spans="1:29">
      <c r="A1322" s="18" t="str">
        <f t="shared" ca="1" si="220"/>
        <v>Re-Res-2020-1321</v>
      </c>
      <c r="B1322" s="5">
        <v>42</v>
      </c>
      <c r="C1322" s="5" t="str">
        <f t="shared" si="221"/>
        <v>40-49</v>
      </c>
      <c r="D1322" s="5" t="s">
        <v>43</v>
      </c>
      <c r="E1322" s="5" t="s">
        <v>45</v>
      </c>
      <c r="F1322" s="5" t="s">
        <v>46</v>
      </c>
      <c r="G1322" s="5">
        <v>1</v>
      </c>
      <c r="H1322" s="5" t="s">
        <v>47</v>
      </c>
      <c r="I1322" s="5" t="s">
        <v>48</v>
      </c>
      <c r="J1322" s="7">
        <v>2936</v>
      </c>
      <c r="K1322" s="7">
        <f t="shared" si="222"/>
        <v>205.52</v>
      </c>
      <c r="L1322" s="7">
        <f t="shared" si="223"/>
        <v>2730.48</v>
      </c>
      <c r="M1322" s="7">
        <v>6161</v>
      </c>
      <c r="N1322" s="5" t="s">
        <v>43</v>
      </c>
      <c r="O1322" s="5">
        <v>22</v>
      </c>
      <c r="P1322" s="7">
        <f t="shared" si="224"/>
        <v>3581.92</v>
      </c>
      <c r="Q1322" s="7">
        <f t="shared" si="225"/>
        <v>7751.0400000000009</v>
      </c>
      <c r="R1322" s="7" t="str">
        <f t="shared" si="226"/>
        <v>Normal</v>
      </c>
      <c r="S1322" s="5">
        <v>4</v>
      </c>
      <c r="T1322" s="5">
        <v>2</v>
      </c>
      <c r="U1322" s="5" t="str" cm="1">
        <f t="array" ref="U1322">_xlfn.IFS(T1322=1,"Poor",T1322=2,"Fair",T1322=3,"Good",T1322=4,"Excellent")</f>
        <v>Fair</v>
      </c>
      <c r="V1322" s="5" t="s">
        <v>43</v>
      </c>
      <c r="W1322" s="5">
        <v>6</v>
      </c>
      <c r="X1322" s="28">
        <f t="shared" ca="1" si="227"/>
        <v>43920</v>
      </c>
      <c r="Y1322" s="28">
        <f t="shared" ca="1" si="228"/>
        <v>46842</v>
      </c>
      <c r="Z1322" s="28" t="str">
        <f t="shared" ca="1" si="229"/>
        <v>Upcoming</v>
      </c>
      <c r="AA1322" s="5" t="str" cm="1">
        <f t="array" ref="AA1322">_xlfn.IFS(W1322&gt;10,"Veteran",W1322&gt;=6,"Experienced",W1322&gt;=2,"Developing",W1322&gt;=0,"New")</f>
        <v>Experienced</v>
      </c>
      <c r="AB1322" s="5" t="str" cm="1">
        <f t="array" ref="AB1322">_xlfn.IFS(G1322=1,"Junior",G1322=2,"Mid-Level",G1322=3,"Senior",G1322=4,"Lead",G1322=5,"Principal")&amp;" "&amp;TRIM(PROPER(H1322))</f>
        <v>Junior Research Scientist</v>
      </c>
      <c r="AC1322" s="19" t="str">
        <f t="shared" ca="1" si="230"/>
        <v>Re-Res-2020-1321 is a Junior Research Scientist in the Research &amp; Development department, aged 42, married and has been with the Company for 6years</v>
      </c>
    </row>
    <row r="1323" spans="1:29">
      <c r="A1323" s="18" t="str">
        <f t="shared" ca="1" si="220"/>
        <v>La-Res-2024-1322</v>
      </c>
      <c r="B1323" s="5">
        <v>47</v>
      </c>
      <c r="C1323" s="5" t="str">
        <f t="shared" si="221"/>
        <v>40-49</v>
      </c>
      <c r="D1323" s="5" t="s">
        <v>43</v>
      </c>
      <c r="E1323" s="5" t="s">
        <v>45</v>
      </c>
      <c r="F1323" s="5" t="s">
        <v>39</v>
      </c>
      <c r="G1323" s="5">
        <v>1</v>
      </c>
      <c r="H1323" s="5" t="s">
        <v>50</v>
      </c>
      <c r="I1323" s="5" t="s">
        <v>41</v>
      </c>
      <c r="J1323" s="7">
        <v>2105</v>
      </c>
      <c r="K1323" s="7">
        <f t="shared" si="222"/>
        <v>147.35000000000002</v>
      </c>
      <c r="L1323" s="7">
        <f t="shared" si="223"/>
        <v>1957.65</v>
      </c>
      <c r="M1323" s="7">
        <v>5411</v>
      </c>
      <c r="N1323" s="5" t="s">
        <v>43</v>
      </c>
      <c r="O1323" s="5">
        <v>12</v>
      </c>
      <c r="P1323" s="7">
        <f t="shared" si="224"/>
        <v>2357.6000000000004</v>
      </c>
      <c r="Q1323" s="7">
        <f t="shared" si="225"/>
        <v>3031.2000000000044</v>
      </c>
      <c r="R1323" s="7" t="str">
        <f t="shared" si="226"/>
        <v>Normal</v>
      </c>
      <c r="S1323" s="5">
        <v>3</v>
      </c>
      <c r="T1323" s="5">
        <v>3</v>
      </c>
      <c r="U1323" s="5" t="str" cm="1">
        <f t="array" ref="U1323">_xlfn.IFS(T1323=1,"Poor",T1323=2,"Fair",T1323=3,"Good",T1323=4,"Excellent")</f>
        <v>Good</v>
      </c>
      <c r="V1323" s="5" t="s">
        <v>43</v>
      </c>
      <c r="W1323" s="5">
        <v>2</v>
      </c>
      <c r="X1323" s="28">
        <f t="shared" ca="1" si="227"/>
        <v>45381</v>
      </c>
      <c r="Y1323" s="28">
        <f t="shared" ca="1" si="228"/>
        <v>46842</v>
      </c>
      <c r="Z1323" s="28" t="str">
        <f t="shared" ca="1" si="229"/>
        <v>Upcoming</v>
      </c>
      <c r="AA1323" s="5" t="str" cm="1">
        <f t="array" ref="AA1323">_xlfn.IFS(W1323&gt;10,"Veteran",W1323&gt;=6,"Experienced",W1323&gt;=2,"Developing",W1323&gt;=0,"New")</f>
        <v>Developing</v>
      </c>
      <c r="AB1323" s="5" t="str" cm="1">
        <f t="array" ref="AB1323">_xlfn.IFS(G1323=1,"Junior",G1323=2,"Mid-Level",G1323=3,"Senior",G1323=4,"Lead",G1323=5,"Principal")&amp;" "&amp;TRIM(PROPER(H1323))</f>
        <v>Junior Laboratory Technician</v>
      </c>
      <c r="AC1323" s="19" t="str">
        <f t="shared" ca="1" si="230"/>
        <v>La-Res-2024-1322 is a Junior Laboratory Technician in the Research &amp; Development department, aged 47, single and has been with the Company for 2years</v>
      </c>
    </row>
    <row r="1324" spans="1:29">
      <c r="A1324" s="18" t="str">
        <f t="shared" ca="1" si="220"/>
        <v>Ma-Res-2017-1323</v>
      </c>
      <c r="B1324" s="5">
        <v>46</v>
      </c>
      <c r="C1324" s="5" t="str">
        <f t="shared" si="221"/>
        <v>40-49</v>
      </c>
      <c r="D1324" s="5" t="s">
        <v>43</v>
      </c>
      <c r="E1324" s="5" t="s">
        <v>45</v>
      </c>
      <c r="F1324" s="5" t="s">
        <v>46</v>
      </c>
      <c r="G1324" s="5">
        <v>3</v>
      </c>
      <c r="H1324" s="5" t="s">
        <v>53</v>
      </c>
      <c r="I1324" s="5" t="s">
        <v>52</v>
      </c>
      <c r="J1324" s="7">
        <v>8578</v>
      </c>
      <c r="K1324" s="7">
        <f t="shared" si="222"/>
        <v>1887.16</v>
      </c>
      <c r="L1324" s="7">
        <f t="shared" si="223"/>
        <v>6690.84</v>
      </c>
      <c r="M1324" s="7">
        <v>19989</v>
      </c>
      <c r="N1324" s="5" t="s">
        <v>43</v>
      </c>
      <c r="O1324" s="5">
        <v>14</v>
      </c>
      <c r="P1324" s="7">
        <f t="shared" si="224"/>
        <v>9778.9200000000019</v>
      </c>
      <c r="Q1324" s="7">
        <f t="shared" si="225"/>
        <v>14411.040000000023</v>
      </c>
      <c r="R1324" s="7" t="str">
        <f t="shared" si="226"/>
        <v>Normal</v>
      </c>
      <c r="S1324" s="5">
        <v>3</v>
      </c>
      <c r="T1324" s="5">
        <v>2</v>
      </c>
      <c r="U1324" s="5" t="str" cm="1">
        <f t="array" ref="U1324">_xlfn.IFS(T1324=1,"Poor",T1324=2,"Fair",T1324=3,"Good",T1324=4,"Excellent")</f>
        <v>Fair</v>
      </c>
      <c r="V1324" s="5" t="s">
        <v>43</v>
      </c>
      <c r="W1324" s="5">
        <v>9</v>
      </c>
      <c r="X1324" s="28">
        <f t="shared" ca="1" si="227"/>
        <v>42824</v>
      </c>
      <c r="Y1324" s="28">
        <f t="shared" ca="1" si="228"/>
        <v>46476</v>
      </c>
      <c r="Z1324" s="28" t="str">
        <f t="shared" ca="1" si="229"/>
        <v>Due Soon</v>
      </c>
      <c r="AA1324" s="5" t="str" cm="1">
        <f t="array" ref="AA1324">_xlfn.IFS(W1324&gt;10,"Veteran",W1324&gt;=6,"Experienced",W1324&gt;=2,"Developing",W1324&gt;=0,"New")</f>
        <v>Experienced</v>
      </c>
      <c r="AB1324" s="5" t="str" cm="1">
        <f t="array" ref="AB1324">_xlfn.IFS(G1324=1,"Junior",G1324=2,"Mid-Level",G1324=3,"Senior",G1324=4,"Lead",G1324=5,"Principal")&amp;" "&amp;TRIM(PROPER(H1324))</f>
        <v>Senior Manufacturing Director</v>
      </c>
      <c r="AC1324" s="19" t="str">
        <f t="shared" ca="1" si="230"/>
        <v>Ma-Res-2017-1323 is a Senior Manufacturing Director in the Research &amp; Development department, aged 46, divorced and has been with the Company for 9years</v>
      </c>
    </row>
    <row r="1325" spans="1:29">
      <c r="A1325" s="18" t="str">
        <f t="shared" ca="1" si="220"/>
        <v>Hu-Hum-2023-1324</v>
      </c>
      <c r="B1325" s="5">
        <v>28</v>
      </c>
      <c r="C1325" s="5" t="str">
        <f t="shared" si="221"/>
        <v>20-29</v>
      </c>
      <c r="D1325" s="5" t="s">
        <v>43</v>
      </c>
      <c r="E1325" s="5" t="s">
        <v>61</v>
      </c>
      <c r="F1325" s="5" t="s">
        <v>46</v>
      </c>
      <c r="G1325" s="5">
        <v>1</v>
      </c>
      <c r="H1325" s="5" t="s">
        <v>61</v>
      </c>
      <c r="I1325" s="5" t="s">
        <v>52</v>
      </c>
      <c r="J1325" s="7">
        <v>2706</v>
      </c>
      <c r="K1325" s="7">
        <f t="shared" si="222"/>
        <v>189.42000000000002</v>
      </c>
      <c r="L1325" s="7">
        <f t="shared" si="223"/>
        <v>2516.58</v>
      </c>
      <c r="M1325" s="7">
        <v>10494</v>
      </c>
      <c r="N1325" s="5" t="s">
        <v>43</v>
      </c>
      <c r="O1325" s="5">
        <v>15</v>
      </c>
      <c r="P1325" s="7">
        <f t="shared" si="224"/>
        <v>3111.8999999999996</v>
      </c>
      <c r="Q1325" s="7">
        <f t="shared" si="225"/>
        <v>4870.7999999999956</v>
      </c>
      <c r="R1325" s="7" t="str">
        <f t="shared" si="226"/>
        <v>Normal</v>
      </c>
      <c r="S1325" s="5">
        <v>3</v>
      </c>
      <c r="T1325" s="5">
        <v>3</v>
      </c>
      <c r="U1325" s="5" t="str" cm="1">
        <f t="array" ref="U1325">_xlfn.IFS(T1325=1,"Poor",T1325=2,"Fair",T1325=3,"Good",T1325=4,"Excellent")</f>
        <v>Good</v>
      </c>
      <c r="V1325" s="5" t="s">
        <v>43</v>
      </c>
      <c r="W1325" s="5">
        <v>3</v>
      </c>
      <c r="X1325" s="28">
        <f t="shared" ca="1" si="227"/>
        <v>45015</v>
      </c>
      <c r="Y1325" s="28">
        <f t="shared" ca="1" si="228"/>
        <v>46476</v>
      </c>
      <c r="Z1325" s="28" t="str">
        <f t="shared" ca="1" si="229"/>
        <v>Due Soon</v>
      </c>
      <c r="AA1325" s="5" t="str" cm="1">
        <f t="array" ref="AA1325">_xlfn.IFS(W1325&gt;10,"Veteran",W1325&gt;=6,"Experienced",W1325&gt;=2,"Developing",W1325&gt;=0,"New")</f>
        <v>Developing</v>
      </c>
      <c r="AB1325" s="5" t="str" cm="1">
        <f t="array" ref="AB1325">_xlfn.IFS(G1325=1,"Junior",G1325=2,"Mid-Level",G1325=3,"Senior",G1325=4,"Lead",G1325=5,"Principal")&amp;" "&amp;TRIM(PROPER(H1325))</f>
        <v>Junior Human Resources</v>
      </c>
      <c r="AC1325" s="19" t="str">
        <f t="shared" ca="1" si="230"/>
        <v>Hu-Hum-2023-1324 is a Junior Human Resources in the Human Resources department, aged 28, divorced and has been with the Company for 3years</v>
      </c>
    </row>
    <row r="1326" spans="1:29">
      <c r="A1326" s="18" t="str">
        <f t="shared" ca="1" si="220"/>
        <v>He-Res-2019-1325</v>
      </c>
      <c r="B1326" s="5">
        <v>29</v>
      </c>
      <c r="C1326" s="5" t="str">
        <f t="shared" si="221"/>
        <v>20-29</v>
      </c>
      <c r="D1326" s="5" t="s">
        <v>43</v>
      </c>
      <c r="E1326" s="5" t="s">
        <v>45</v>
      </c>
      <c r="F1326" s="5" t="s">
        <v>46</v>
      </c>
      <c r="G1326" s="5">
        <v>2</v>
      </c>
      <c r="H1326" s="5" t="s">
        <v>54</v>
      </c>
      <c r="I1326" s="5" t="s">
        <v>52</v>
      </c>
      <c r="J1326" s="7">
        <v>6384</v>
      </c>
      <c r="K1326" s="7">
        <f t="shared" si="222"/>
        <v>957.59999999999991</v>
      </c>
      <c r="L1326" s="7">
        <f t="shared" si="223"/>
        <v>5426.4</v>
      </c>
      <c r="M1326" s="7">
        <v>21143</v>
      </c>
      <c r="N1326" s="5" t="s">
        <v>43</v>
      </c>
      <c r="O1326" s="5">
        <v>17</v>
      </c>
      <c r="P1326" s="7">
        <f t="shared" si="224"/>
        <v>7469.28</v>
      </c>
      <c r="Q1326" s="7">
        <f t="shared" si="225"/>
        <v>13023.359999999997</v>
      </c>
      <c r="R1326" s="7" t="str">
        <f t="shared" si="226"/>
        <v>Normal</v>
      </c>
      <c r="S1326" s="5">
        <v>3</v>
      </c>
      <c r="T1326" s="5">
        <v>3</v>
      </c>
      <c r="U1326" s="5" t="str" cm="1">
        <f t="array" ref="U1326">_xlfn.IFS(T1326=1,"Poor",T1326=2,"Fair",T1326=3,"Good",T1326=4,"Excellent")</f>
        <v>Good</v>
      </c>
      <c r="V1326" s="5" t="s">
        <v>43</v>
      </c>
      <c r="W1326" s="5">
        <v>7</v>
      </c>
      <c r="X1326" s="28">
        <f t="shared" ca="1" si="227"/>
        <v>43554</v>
      </c>
      <c r="Y1326" s="28">
        <f t="shared" ca="1" si="228"/>
        <v>46476</v>
      </c>
      <c r="Z1326" s="28" t="str">
        <f t="shared" ca="1" si="229"/>
        <v>Due Soon</v>
      </c>
      <c r="AA1326" s="5" t="str" cm="1">
        <f t="array" ref="AA1326">_xlfn.IFS(W1326&gt;10,"Veteran",W1326&gt;=6,"Experienced",W1326&gt;=2,"Developing",W1326&gt;=0,"New")</f>
        <v>Experienced</v>
      </c>
      <c r="AB1326" s="5" t="str" cm="1">
        <f t="array" ref="AB1326">_xlfn.IFS(G1326=1,"Junior",G1326=2,"Mid-Level",G1326=3,"Senior",G1326=4,"Lead",G1326=5,"Principal")&amp;" "&amp;TRIM(PROPER(H1326))</f>
        <v>Mid-Level Healthcare Representative</v>
      </c>
      <c r="AC1326" s="19" t="str">
        <f t="shared" ca="1" si="230"/>
        <v>He-Res-2019-1325 is a Mid-Level Healthcare Representative in the Research &amp; Development department, aged 29, divorced and has been with the Company for 7years</v>
      </c>
    </row>
    <row r="1327" spans="1:29">
      <c r="A1327" s="18" t="str">
        <f t="shared" ca="1" si="220"/>
        <v>La-Res-2026-1326</v>
      </c>
      <c r="B1327" s="5">
        <v>42</v>
      </c>
      <c r="C1327" s="5" t="str">
        <f t="shared" si="221"/>
        <v>40-49</v>
      </c>
      <c r="D1327" s="5" t="s">
        <v>43</v>
      </c>
      <c r="E1327" s="5" t="s">
        <v>45</v>
      </c>
      <c r="F1327" s="5" t="s">
        <v>46</v>
      </c>
      <c r="G1327" s="5">
        <v>1</v>
      </c>
      <c r="H1327" s="5" t="s">
        <v>50</v>
      </c>
      <c r="I1327" s="5" t="s">
        <v>41</v>
      </c>
      <c r="J1327" s="7">
        <v>3968</v>
      </c>
      <c r="K1327" s="7">
        <f t="shared" si="222"/>
        <v>595.19999999999993</v>
      </c>
      <c r="L1327" s="7">
        <f t="shared" si="223"/>
        <v>3372.8</v>
      </c>
      <c r="M1327" s="7">
        <v>13624</v>
      </c>
      <c r="N1327" s="5" t="s">
        <v>43</v>
      </c>
      <c r="O1327" s="5">
        <v>13</v>
      </c>
      <c r="P1327" s="7">
        <f t="shared" si="224"/>
        <v>4483.8399999999992</v>
      </c>
      <c r="Q1327" s="7">
        <f t="shared" si="225"/>
        <v>6190.0799999999908</v>
      </c>
      <c r="R1327" s="7" t="str">
        <f t="shared" si="226"/>
        <v>Normal</v>
      </c>
      <c r="S1327" s="5">
        <v>3</v>
      </c>
      <c r="T1327" s="5">
        <v>3</v>
      </c>
      <c r="U1327" s="5" t="str" cm="1">
        <f t="array" ref="U1327">_xlfn.IFS(T1327=1,"Poor",T1327=2,"Fair",T1327=3,"Good",T1327=4,"Excellent")</f>
        <v>Good</v>
      </c>
      <c r="V1327" s="5" t="s">
        <v>43</v>
      </c>
      <c r="W1327" s="5">
        <v>0</v>
      </c>
      <c r="X1327" s="28">
        <f t="shared" ca="1" si="227"/>
        <v>46111</v>
      </c>
      <c r="Y1327" s="28">
        <f t="shared" ca="1" si="228"/>
        <v>46842</v>
      </c>
      <c r="Z1327" s="28" t="str">
        <f t="shared" ca="1" si="229"/>
        <v>Upcoming</v>
      </c>
      <c r="AA1327" s="5" t="str" cm="1">
        <f t="array" ref="AA1327">_xlfn.IFS(W1327&gt;10,"Veteran",W1327&gt;=6,"Experienced",W1327&gt;=2,"Developing",W1327&gt;=0,"New")</f>
        <v>New</v>
      </c>
      <c r="AB1327" s="5" t="str" cm="1">
        <f t="array" ref="AB1327">_xlfn.IFS(G1327=1,"Junior",G1327=2,"Mid-Level",G1327=3,"Senior",G1327=4,"Lead",G1327=5,"Principal")&amp;" "&amp;TRIM(PROPER(H1327))</f>
        <v>Junior Laboratory Technician</v>
      </c>
      <c r="AC1327" s="19" t="str">
        <f t="shared" ca="1" si="230"/>
        <v>La-Res-2026-1326 is a Junior Laboratory Technician in the Research &amp; Development department, aged 42, single and has been with the Company for 0years</v>
      </c>
    </row>
    <row r="1328" spans="1:29">
      <c r="A1328" s="18" t="str">
        <f t="shared" ca="1" si="220"/>
        <v>Sa-Sal-2024-1327</v>
      </c>
      <c r="B1328" s="5">
        <v>32</v>
      </c>
      <c r="C1328" s="5" t="str">
        <f t="shared" si="221"/>
        <v>30-39</v>
      </c>
      <c r="D1328" s="5" t="s">
        <v>35</v>
      </c>
      <c r="E1328" s="5" t="s">
        <v>37</v>
      </c>
      <c r="F1328" s="5" t="s">
        <v>46</v>
      </c>
      <c r="G1328" s="5">
        <v>2</v>
      </c>
      <c r="H1328" s="5" t="s">
        <v>40</v>
      </c>
      <c r="I1328" s="5" t="s">
        <v>41</v>
      </c>
      <c r="J1328" s="7">
        <v>9907</v>
      </c>
      <c r="K1328" s="7">
        <f t="shared" si="222"/>
        <v>2179.54</v>
      </c>
      <c r="L1328" s="7">
        <f t="shared" si="223"/>
        <v>7727.46</v>
      </c>
      <c r="M1328" s="7">
        <v>26186</v>
      </c>
      <c r="N1328" s="5" t="s">
        <v>35</v>
      </c>
      <c r="O1328" s="5">
        <v>12</v>
      </c>
      <c r="P1328" s="7">
        <f t="shared" si="224"/>
        <v>11095.840000000002</v>
      </c>
      <c r="Q1328" s="7">
        <f t="shared" si="225"/>
        <v>14266.080000000024</v>
      </c>
      <c r="R1328" s="7" t="str">
        <f t="shared" si="226"/>
        <v>Normal</v>
      </c>
      <c r="S1328" s="5">
        <v>3</v>
      </c>
      <c r="T1328" s="5">
        <v>2</v>
      </c>
      <c r="U1328" s="5" t="str" cm="1">
        <f t="array" ref="U1328">_xlfn.IFS(T1328=1,"Poor",T1328=2,"Fair",T1328=3,"Good",T1328=4,"Excellent")</f>
        <v>Fair</v>
      </c>
      <c r="V1328" s="5" t="s">
        <v>35</v>
      </c>
      <c r="W1328" s="5">
        <v>2</v>
      </c>
      <c r="X1328" s="28">
        <f t="shared" ca="1" si="227"/>
        <v>45381</v>
      </c>
      <c r="Y1328" s="28">
        <f t="shared" ca="1" si="228"/>
        <v>46842</v>
      </c>
      <c r="Z1328" s="28" t="str">
        <f t="shared" ca="1" si="229"/>
        <v>Upcoming</v>
      </c>
      <c r="AA1328" s="5" t="str" cm="1">
        <f t="array" ref="AA1328">_xlfn.IFS(W1328&gt;10,"Veteran",W1328&gt;=6,"Experienced",W1328&gt;=2,"Developing",W1328&gt;=0,"New")</f>
        <v>Developing</v>
      </c>
      <c r="AB1328" s="5" t="str" cm="1">
        <f t="array" ref="AB1328">_xlfn.IFS(G1328=1,"Junior",G1328=2,"Mid-Level",G1328=3,"Senior",G1328=4,"Lead",G1328=5,"Principal")&amp;" "&amp;TRIM(PROPER(H1328))</f>
        <v>Mid-Level Sales Executive</v>
      </c>
      <c r="AC1328" s="19" t="str">
        <f t="shared" ca="1" si="230"/>
        <v>Sa-Sal-2024-1327 is a Mid-Level Sales Executive in the Sales department, aged 32, single and has been with the Company for 2years</v>
      </c>
    </row>
    <row r="1329" spans="1:29">
      <c r="A1329" s="18" t="str">
        <f t="shared" ca="1" si="220"/>
        <v>Sa-Sal-2007-1328</v>
      </c>
      <c r="B1329" s="5">
        <v>46</v>
      </c>
      <c r="C1329" s="5" t="str">
        <f t="shared" si="221"/>
        <v>40-49</v>
      </c>
      <c r="D1329" s="5" t="s">
        <v>43</v>
      </c>
      <c r="E1329" s="5" t="s">
        <v>37</v>
      </c>
      <c r="F1329" s="5" t="s">
        <v>39</v>
      </c>
      <c r="G1329" s="5">
        <v>4</v>
      </c>
      <c r="H1329" s="5" t="s">
        <v>40</v>
      </c>
      <c r="I1329" s="5" t="s">
        <v>52</v>
      </c>
      <c r="J1329" s="7">
        <v>13225</v>
      </c>
      <c r="K1329" s="7">
        <f t="shared" si="222"/>
        <v>3967.5</v>
      </c>
      <c r="L1329" s="7">
        <f t="shared" si="223"/>
        <v>9257.5</v>
      </c>
      <c r="M1329" s="7">
        <v>7739</v>
      </c>
      <c r="N1329" s="5" t="s">
        <v>43</v>
      </c>
      <c r="O1329" s="5">
        <v>12</v>
      </c>
      <c r="P1329" s="7">
        <f t="shared" si="224"/>
        <v>14812.000000000002</v>
      </c>
      <c r="Q1329" s="7">
        <f t="shared" si="225"/>
        <v>19044.000000000022</v>
      </c>
      <c r="R1329" s="7" t="str">
        <f t="shared" si="226"/>
        <v>Normal</v>
      </c>
      <c r="S1329" s="5">
        <v>3</v>
      </c>
      <c r="T1329" s="5">
        <v>3</v>
      </c>
      <c r="U1329" s="5" t="str" cm="1">
        <f t="array" ref="U1329">_xlfn.IFS(T1329=1,"Poor",T1329=2,"Fair",T1329=3,"Good",T1329=4,"Excellent")</f>
        <v>Good</v>
      </c>
      <c r="V1329" s="5" t="s">
        <v>43</v>
      </c>
      <c r="W1329" s="5">
        <v>19</v>
      </c>
      <c r="X1329" s="28">
        <f t="shared" ca="1" si="227"/>
        <v>39171</v>
      </c>
      <c r="Y1329" s="28">
        <f t="shared" ca="1" si="228"/>
        <v>46476</v>
      </c>
      <c r="Z1329" s="28" t="str">
        <f t="shared" ca="1" si="229"/>
        <v>Due Soon</v>
      </c>
      <c r="AA1329" s="5" t="str" cm="1">
        <f t="array" ref="AA1329">_xlfn.IFS(W1329&gt;10,"Veteran",W1329&gt;=6,"Experienced",W1329&gt;=2,"Developing",W1329&gt;=0,"New")</f>
        <v>Veteran</v>
      </c>
      <c r="AB1329" s="5" t="str" cm="1">
        <f t="array" ref="AB1329">_xlfn.IFS(G1329=1,"Junior",G1329=2,"Mid-Level",G1329=3,"Senior",G1329=4,"Lead",G1329=5,"Principal")&amp;" "&amp;TRIM(PROPER(H1329))</f>
        <v>Lead Sales Executive</v>
      </c>
      <c r="AC1329" s="19" t="str">
        <f t="shared" ca="1" si="230"/>
        <v>Sa-Sal-2007-1328 is a Lead Sales Executive in the Sales department, aged 46, divorced and has been with the Company for 19years</v>
      </c>
    </row>
    <row r="1330" spans="1:29">
      <c r="A1330" s="18" t="str">
        <f t="shared" ca="1" si="220"/>
        <v>Sa-Sal-2017-1329</v>
      </c>
      <c r="B1330" s="5">
        <v>27</v>
      </c>
      <c r="C1330" s="5" t="str">
        <f t="shared" si="221"/>
        <v>20-29</v>
      </c>
      <c r="D1330" s="5" t="s">
        <v>43</v>
      </c>
      <c r="E1330" s="5" t="s">
        <v>37</v>
      </c>
      <c r="F1330" s="5" t="s">
        <v>39</v>
      </c>
      <c r="G1330" s="5">
        <v>2</v>
      </c>
      <c r="H1330" s="5" t="s">
        <v>57</v>
      </c>
      <c r="I1330" s="5" t="s">
        <v>48</v>
      </c>
      <c r="J1330" s="7">
        <v>3540</v>
      </c>
      <c r="K1330" s="7">
        <f t="shared" si="222"/>
        <v>531</v>
      </c>
      <c r="L1330" s="7">
        <f t="shared" si="223"/>
        <v>3009</v>
      </c>
      <c r="M1330" s="7">
        <v>7018</v>
      </c>
      <c r="N1330" s="5" t="s">
        <v>43</v>
      </c>
      <c r="O1330" s="5">
        <v>21</v>
      </c>
      <c r="P1330" s="7">
        <f t="shared" si="224"/>
        <v>4283.3999999999996</v>
      </c>
      <c r="Q1330" s="7">
        <f t="shared" si="225"/>
        <v>8920.7999999999956</v>
      </c>
      <c r="R1330" s="7" t="str">
        <f t="shared" si="226"/>
        <v>Normal</v>
      </c>
      <c r="S1330" s="5">
        <v>4</v>
      </c>
      <c r="T1330" s="5">
        <v>3</v>
      </c>
      <c r="U1330" s="5" t="str" cm="1">
        <f t="array" ref="U1330">_xlfn.IFS(T1330=1,"Poor",T1330=2,"Fair",T1330=3,"Good",T1330=4,"Excellent")</f>
        <v>Good</v>
      </c>
      <c r="V1330" s="5" t="s">
        <v>43</v>
      </c>
      <c r="W1330" s="5">
        <v>9</v>
      </c>
      <c r="X1330" s="28">
        <f t="shared" ca="1" si="227"/>
        <v>42824</v>
      </c>
      <c r="Y1330" s="28">
        <f t="shared" ca="1" si="228"/>
        <v>46476</v>
      </c>
      <c r="Z1330" s="28" t="str">
        <f t="shared" ca="1" si="229"/>
        <v>Due Soon</v>
      </c>
      <c r="AA1330" s="5" t="str" cm="1">
        <f t="array" ref="AA1330">_xlfn.IFS(W1330&gt;10,"Veteran",W1330&gt;=6,"Experienced",W1330&gt;=2,"Developing",W1330&gt;=0,"New")</f>
        <v>Experienced</v>
      </c>
      <c r="AB1330" s="5" t="str" cm="1">
        <f t="array" ref="AB1330">_xlfn.IFS(G1330=1,"Junior",G1330=2,"Mid-Level",G1330=3,"Senior",G1330=4,"Lead",G1330=5,"Principal")&amp;" "&amp;TRIM(PROPER(H1330))</f>
        <v>Mid-Level Sales Representative</v>
      </c>
      <c r="AC1330" s="19" t="str">
        <f t="shared" ca="1" si="230"/>
        <v>Sa-Sal-2017-1329 is a Mid-Level Sales Representative in the Sales department, aged 27, married and has been with the Company for 9years</v>
      </c>
    </row>
    <row r="1331" spans="1:29">
      <c r="A1331" s="18" t="str">
        <f t="shared" ca="1" si="220"/>
        <v>Hu-Hum-2025-1330</v>
      </c>
      <c r="B1331" s="5">
        <v>29</v>
      </c>
      <c r="C1331" s="5" t="str">
        <f t="shared" si="221"/>
        <v>20-29</v>
      </c>
      <c r="D1331" s="5" t="s">
        <v>43</v>
      </c>
      <c r="E1331" s="5" t="s">
        <v>61</v>
      </c>
      <c r="F1331" s="5" t="s">
        <v>46</v>
      </c>
      <c r="G1331" s="5">
        <v>1</v>
      </c>
      <c r="H1331" s="5" t="s">
        <v>61</v>
      </c>
      <c r="I1331" s="5" t="s">
        <v>48</v>
      </c>
      <c r="J1331" s="7">
        <v>2804</v>
      </c>
      <c r="K1331" s="7">
        <f t="shared" si="222"/>
        <v>196.28000000000003</v>
      </c>
      <c r="L1331" s="7">
        <f t="shared" si="223"/>
        <v>2607.7199999999998</v>
      </c>
      <c r="M1331" s="7">
        <v>15434</v>
      </c>
      <c r="N1331" s="5" t="s">
        <v>43</v>
      </c>
      <c r="O1331" s="5">
        <v>11</v>
      </c>
      <c r="P1331" s="7">
        <f t="shared" si="224"/>
        <v>3112.44</v>
      </c>
      <c r="Q1331" s="7">
        <f t="shared" si="225"/>
        <v>3701.2800000000007</v>
      </c>
      <c r="R1331" s="7" t="str">
        <f t="shared" si="226"/>
        <v>Normal</v>
      </c>
      <c r="S1331" s="5">
        <v>3</v>
      </c>
      <c r="T1331" s="5">
        <v>3</v>
      </c>
      <c r="U1331" s="5" t="str" cm="1">
        <f t="array" ref="U1331">_xlfn.IFS(T1331=1,"Poor",T1331=2,"Fair",T1331=3,"Good",T1331=4,"Excellent")</f>
        <v>Good</v>
      </c>
      <c r="V1331" s="5" t="s">
        <v>43</v>
      </c>
      <c r="W1331" s="5">
        <v>1</v>
      </c>
      <c r="X1331" s="28">
        <f t="shared" ca="1" si="227"/>
        <v>45746</v>
      </c>
      <c r="Y1331" s="28">
        <f t="shared" ca="1" si="228"/>
        <v>46476</v>
      </c>
      <c r="Z1331" s="28" t="str">
        <f t="shared" ca="1" si="229"/>
        <v>Due Soon</v>
      </c>
      <c r="AA1331" s="5" t="str" cm="1">
        <f t="array" ref="AA1331">_xlfn.IFS(W1331&gt;10,"Veteran",W1331&gt;=6,"Experienced",W1331&gt;=2,"Developing",W1331&gt;=0,"New")</f>
        <v>New</v>
      </c>
      <c r="AB1331" s="5" t="str" cm="1">
        <f t="array" ref="AB1331">_xlfn.IFS(G1331=1,"Junior",G1331=2,"Mid-Level",G1331=3,"Senior",G1331=4,"Lead",G1331=5,"Principal")&amp;" "&amp;TRIM(PROPER(H1331))</f>
        <v>Junior Human Resources</v>
      </c>
      <c r="AC1331" s="19" t="str">
        <f t="shared" ca="1" si="230"/>
        <v>Hu-Hum-2025-1330 is a Junior Human Resources in the Human Resources department, aged 29, married and has been with the Company for 1years</v>
      </c>
    </row>
    <row r="1332" spans="1:29">
      <c r="A1332" s="18" t="str">
        <f t="shared" ca="1" si="220"/>
        <v>Ma-Res-2010-1331</v>
      </c>
      <c r="B1332" s="5">
        <v>43</v>
      </c>
      <c r="C1332" s="5" t="str">
        <f t="shared" si="221"/>
        <v>40-49</v>
      </c>
      <c r="D1332" s="5" t="s">
        <v>43</v>
      </c>
      <c r="E1332" s="5" t="s">
        <v>45</v>
      </c>
      <c r="F1332" s="5" t="s">
        <v>39</v>
      </c>
      <c r="G1332" s="5">
        <v>5</v>
      </c>
      <c r="H1332" s="5" t="s">
        <v>56</v>
      </c>
      <c r="I1332" s="5" t="s">
        <v>48</v>
      </c>
      <c r="J1332" s="7">
        <v>19392</v>
      </c>
      <c r="K1332" s="7">
        <f t="shared" si="222"/>
        <v>5817.5999999999995</v>
      </c>
      <c r="L1332" s="7">
        <f t="shared" si="223"/>
        <v>13574.400000000001</v>
      </c>
      <c r="M1332" s="7">
        <v>22539</v>
      </c>
      <c r="N1332" s="5" t="s">
        <v>43</v>
      </c>
      <c r="O1332" s="5">
        <v>13</v>
      </c>
      <c r="P1332" s="7">
        <f t="shared" si="224"/>
        <v>21912.959999999999</v>
      </c>
      <c r="Q1332" s="7">
        <f t="shared" si="225"/>
        <v>30251.51999999999</v>
      </c>
      <c r="R1332" s="7" t="str">
        <f t="shared" si="226"/>
        <v>Normal</v>
      </c>
      <c r="S1332" s="5">
        <v>3</v>
      </c>
      <c r="T1332" s="5">
        <v>3</v>
      </c>
      <c r="U1332" s="5" t="str" cm="1">
        <f t="array" ref="U1332">_xlfn.IFS(T1332=1,"Poor",T1332=2,"Fair",T1332=3,"Good",T1332=4,"Excellent")</f>
        <v>Good</v>
      </c>
      <c r="V1332" s="5" t="s">
        <v>43</v>
      </c>
      <c r="W1332" s="5">
        <v>16</v>
      </c>
      <c r="X1332" s="28">
        <f t="shared" ca="1" si="227"/>
        <v>40267</v>
      </c>
      <c r="Y1332" s="28">
        <f t="shared" ca="1" si="228"/>
        <v>46842</v>
      </c>
      <c r="Z1332" s="28" t="str">
        <f t="shared" ca="1" si="229"/>
        <v>Upcoming</v>
      </c>
      <c r="AA1332" s="5" t="str" cm="1">
        <f t="array" ref="AA1332">_xlfn.IFS(W1332&gt;10,"Veteran",W1332&gt;=6,"Experienced",W1332&gt;=2,"Developing",W1332&gt;=0,"New")</f>
        <v>Veteran</v>
      </c>
      <c r="AB1332" s="5" t="str" cm="1">
        <f t="array" ref="AB1332">_xlfn.IFS(G1332=1,"Junior",G1332=2,"Mid-Level",G1332=3,"Senior",G1332=4,"Lead",G1332=5,"Principal")&amp;" "&amp;TRIM(PROPER(H1332))</f>
        <v>Principal Manager</v>
      </c>
      <c r="AC1332" s="19" t="str">
        <f t="shared" ca="1" si="230"/>
        <v>Ma-Res-2010-1331 is a Principal Manager in the Research &amp; Development department, aged 43, married and has been with the Company for 16years</v>
      </c>
    </row>
    <row r="1333" spans="1:29">
      <c r="A1333" s="18" t="str">
        <f t="shared" ca="1" si="220"/>
        <v>Re-Res-2004-1332</v>
      </c>
      <c r="B1333" s="5">
        <v>48</v>
      </c>
      <c r="C1333" s="5" t="str">
        <f t="shared" si="221"/>
        <v>40-49</v>
      </c>
      <c r="D1333" s="5" t="s">
        <v>43</v>
      </c>
      <c r="E1333" s="5" t="s">
        <v>45</v>
      </c>
      <c r="F1333" s="5" t="s">
        <v>46</v>
      </c>
      <c r="G1333" s="5">
        <v>5</v>
      </c>
      <c r="H1333" s="5" t="s">
        <v>58</v>
      </c>
      <c r="I1333" s="5" t="s">
        <v>48</v>
      </c>
      <c r="J1333" s="7">
        <v>19665</v>
      </c>
      <c r="K1333" s="7">
        <f t="shared" si="222"/>
        <v>5899.5</v>
      </c>
      <c r="L1333" s="7">
        <f t="shared" si="223"/>
        <v>13765.5</v>
      </c>
      <c r="M1333" s="7">
        <v>13583</v>
      </c>
      <c r="N1333" s="5" t="s">
        <v>43</v>
      </c>
      <c r="O1333" s="5">
        <v>12</v>
      </c>
      <c r="P1333" s="7">
        <f t="shared" si="224"/>
        <v>22024.800000000003</v>
      </c>
      <c r="Q1333" s="7">
        <f t="shared" si="225"/>
        <v>28317.600000000035</v>
      </c>
      <c r="R1333" s="7" t="str">
        <f t="shared" si="226"/>
        <v>Normal</v>
      </c>
      <c r="S1333" s="5">
        <v>3</v>
      </c>
      <c r="T1333" s="5">
        <v>3</v>
      </c>
      <c r="U1333" s="5" t="str" cm="1">
        <f t="array" ref="U1333">_xlfn.IFS(T1333=1,"Poor",T1333=2,"Fair",T1333=3,"Good",T1333=4,"Excellent")</f>
        <v>Good</v>
      </c>
      <c r="V1333" s="5" t="s">
        <v>43</v>
      </c>
      <c r="W1333" s="5">
        <v>22</v>
      </c>
      <c r="X1333" s="28">
        <f t="shared" ca="1" si="227"/>
        <v>38076</v>
      </c>
      <c r="Y1333" s="28">
        <f t="shared" ca="1" si="228"/>
        <v>46842</v>
      </c>
      <c r="Z1333" s="28" t="str">
        <f t="shared" ca="1" si="229"/>
        <v>Upcoming</v>
      </c>
      <c r="AA1333" s="5" t="str" cm="1">
        <f t="array" ref="AA1333">_xlfn.IFS(W1333&gt;10,"Veteran",W1333&gt;=6,"Experienced",W1333&gt;=2,"Developing",W1333&gt;=0,"New")</f>
        <v>Veteran</v>
      </c>
      <c r="AB1333" s="5" t="str" cm="1">
        <f t="array" ref="AB1333">_xlfn.IFS(G1333=1,"Junior",G1333=2,"Mid-Level",G1333=3,"Senior",G1333=4,"Lead",G1333=5,"Principal")&amp;" "&amp;TRIM(PROPER(H1333))</f>
        <v>Principal Research Director</v>
      </c>
      <c r="AC1333" s="19" t="str">
        <f t="shared" ca="1" si="230"/>
        <v>Re-Res-2004-1332 is a Principal Research Director in the Research &amp; Development department, aged 48, married and has been with the Company for 22years</v>
      </c>
    </row>
    <row r="1334" spans="1:29">
      <c r="A1334" s="18" t="str">
        <f t="shared" ca="1" si="220"/>
        <v>Re-Res-2025-1333</v>
      </c>
      <c r="B1334" s="5">
        <v>29</v>
      </c>
      <c r="C1334" s="5" t="str">
        <f t="shared" si="221"/>
        <v>20-29</v>
      </c>
      <c r="D1334" s="5" t="s">
        <v>35</v>
      </c>
      <c r="E1334" s="5" t="s">
        <v>45</v>
      </c>
      <c r="F1334" s="5" t="s">
        <v>46</v>
      </c>
      <c r="G1334" s="5">
        <v>1</v>
      </c>
      <c r="H1334" s="5" t="s">
        <v>47</v>
      </c>
      <c r="I1334" s="5" t="s">
        <v>41</v>
      </c>
      <c r="J1334" s="7">
        <v>2439</v>
      </c>
      <c r="K1334" s="7">
        <f t="shared" si="222"/>
        <v>170.73000000000002</v>
      </c>
      <c r="L1334" s="7">
        <f t="shared" si="223"/>
        <v>2268.27</v>
      </c>
      <c r="M1334" s="7">
        <v>14753</v>
      </c>
      <c r="N1334" s="5" t="s">
        <v>35</v>
      </c>
      <c r="O1334" s="5">
        <v>24</v>
      </c>
      <c r="P1334" s="7">
        <f t="shared" si="224"/>
        <v>3024.36</v>
      </c>
      <c r="Q1334" s="7">
        <f t="shared" si="225"/>
        <v>7024.3200000000015</v>
      </c>
      <c r="R1334" s="7" t="str">
        <f t="shared" si="226"/>
        <v>Normal</v>
      </c>
      <c r="S1334" s="5">
        <v>4</v>
      </c>
      <c r="T1334" s="5">
        <v>2</v>
      </c>
      <c r="U1334" s="5" t="str" cm="1">
        <f t="array" ref="U1334">_xlfn.IFS(T1334=1,"Poor",T1334=2,"Fair",T1334=3,"Good",T1334=4,"Excellent")</f>
        <v>Fair</v>
      </c>
      <c r="V1334" s="5" t="s">
        <v>35</v>
      </c>
      <c r="W1334" s="5">
        <v>1</v>
      </c>
      <c r="X1334" s="28">
        <f t="shared" ca="1" si="227"/>
        <v>45746</v>
      </c>
      <c r="Y1334" s="28">
        <f t="shared" ca="1" si="228"/>
        <v>46476</v>
      </c>
      <c r="Z1334" s="28" t="str">
        <f t="shared" ca="1" si="229"/>
        <v>Due Soon</v>
      </c>
      <c r="AA1334" s="5" t="str" cm="1">
        <f t="array" ref="AA1334">_xlfn.IFS(W1334&gt;10,"Veteran",W1334&gt;=6,"Experienced",W1334&gt;=2,"Developing",W1334&gt;=0,"New")</f>
        <v>New</v>
      </c>
      <c r="AB1334" s="5" t="str" cm="1">
        <f t="array" ref="AB1334">_xlfn.IFS(G1334=1,"Junior",G1334=2,"Mid-Level",G1334=3,"Senior",G1334=4,"Lead",G1334=5,"Principal")&amp;" "&amp;TRIM(PROPER(H1334))</f>
        <v>Junior Research Scientist</v>
      </c>
      <c r="AC1334" s="19" t="str">
        <f t="shared" ca="1" si="230"/>
        <v>Re-Res-2025-1333 is a Junior Research Scientist in the Research &amp; Development department, aged 29, single and has been with the Company for 1years</v>
      </c>
    </row>
    <row r="1335" spans="1:29">
      <c r="A1335" s="18" t="str">
        <f t="shared" ca="1" si="220"/>
        <v>Sa-Sal-2018-1334</v>
      </c>
      <c r="B1335" s="5">
        <v>46</v>
      </c>
      <c r="C1335" s="5" t="str">
        <f t="shared" si="221"/>
        <v>40-49</v>
      </c>
      <c r="D1335" s="5" t="s">
        <v>35</v>
      </c>
      <c r="E1335" s="5" t="s">
        <v>37</v>
      </c>
      <c r="F1335" s="5" t="s">
        <v>39</v>
      </c>
      <c r="G1335" s="5">
        <v>3</v>
      </c>
      <c r="H1335" s="5" t="s">
        <v>40</v>
      </c>
      <c r="I1335" s="5" t="s">
        <v>48</v>
      </c>
      <c r="J1335" s="7">
        <v>7314</v>
      </c>
      <c r="K1335" s="7">
        <f t="shared" si="222"/>
        <v>1609.08</v>
      </c>
      <c r="L1335" s="7">
        <f t="shared" si="223"/>
        <v>5704.92</v>
      </c>
      <c r="M1335" s="7">
        <v>14011</v>
      </c>
      <c r="N1335" s="5" t="s">
        <v>43</v>
      </c>
      <c r="O1335" s="5">
        <v>21</v>
      </c>
      <c r="P1335" s="7">
        <f t="shared" si="224"/>
        <v>8849.94</v>
      </c>
      <c r="Q1335" s="7">
        <f t="shared" si="225"/>
        <v>18431.280000000006</v>
      </c>
      <c r="R1335" s="7" t="str">
        <f t="shared" si="226"/>
        <v>Normal</v>
      </c>
      <c r="S1335" s="5">
        <v>4</v>
      </c>
      <c r="T1335" s="5">
        <v>3</v>
      </c>
      <c r="U1335" s="5" t="str" cm="1">
        <f t="array" ref="U1335">_xlfn.IFS(T1335=1,"Poor",T1335=2,"Fair",T1335=3,"Good",T1335=4,"Excellent")</f>
        <v>Good</v>
      </c>
      <c r="V1335" s="5" t="s">
        <v>43</v>
      </c>
      <c r="W1335" s="5">
        <v>8</v>
      </c>
      <c r="X1335" s="28">
        <f t="shared" ca="1" si="227"/>
        <v>43189</v>
      </c>
      <c r="Y1335" s="28">
        <f t="shared" ca="1" si="228"/>
        <v>46842</v>
      </c>
      <c r="Z1335" s="28" t="str">
        <f t="shared" ca="1" si="229"/>
        <v>Upcoming</v>
      </c>
      <c r="AA1335" s="5" t="str" cm="1">
        <f t="array" ref="AA1335">_xlfn.IFS(W1335&gt;10,"Veteran",W1335&gt;=6,"Experienced",W1335&gt;=2,"Developing",W1335&gt;=0,"New")</f>
        <v>Experienced</v>
      </c>
      <c r="AB1335" s="5" t="str" cm="1">
        <f t="array" ref="AB1335">_xlfn.IFS(G1335=1,"Junior",G1335=2,"Mid-Level",G1335=3,"Senior",G1335=4,"Lead",G1335=5,"Principal")&amp;" "&amp;TRIM(PROPER(H1335))</f>
        <v>Senior Sales Executive</v>
      </c>
      <c r="AC1335" s="19" t="str">
        <f t="shared" ca="1" si="230"/>
        <v>Sa-Sal-2018-1334 is a Senior Sales Executive in the Sales department, aged 46, married and has been with the Company for 8years</v>
      </c>
    </row>
    <row r="1336" spans="1:29">
      <c r="A1336" s="18" t="str">
        <f t="shared" ca="1" si="220"/>
        <v>Re-Res-2019-1335</v>
      </c>
      <c r="B1336" s="5">
        <v>27</v>
      </c>
      <c r="C1336" s="5" t="str">
        <f t="shared" si="221"/>
        <v>20-29</v>
      </c>
      <c r="D1336" s="5" t="s">
        <v>43</v>
      </c>
      <c r="E1336" s="5" t="s">
        <v>45</v>
      </c>
      <c r="F1336" s="5" t="s">
        <v>39</v>
      </c>
      <c r="G1336" s="5">
        <v>1</v>
      </c>
      <c r="H1336" s="5" t="s">
        <v>47</v>
      </c>
      <c r="I1336" s="5" t="s">
        <v>48</v>
      </c>
      <c r="J1336" s="7">
        <v>4774</v>
      </c>
      <c r="K1336" s="7">
        <f t="shared" si="222"/>
        <v>716.1</v>
      </c>
      <c r="L1336" s="7">
        <f t="shared" si="223"/>
        <v>4057.9</v>
      </c>
      <c r="M1336" s="7">
        <v>23844</v>
      </c>
      <c r="N1336" s="5" t="s">
        <v>43</v>
      </c>
      <c r="O1336" s="5">
        <v>19</v>
      </c>
      <c r="P1336" s="7">
        <f t="shared" si="224"/>
        <v>5681.0599999999995</v>
      </c>
      <c r="Q1336" s="7">
        <f t="shared" si="225"/>
        <v>10884.719999999994</v>
      </c>
      <c r="R1336" s="7" t="str">
        <f t="shared" si="226"/>
        <v>Normal</v>
      </c>
      <c r="S1336" s="5">
        <v>3</v>
      </c>
      <c r="T1336" s="5">
        <v>2</v>
      </c>
      <c r="U1336" s="5" t="str" cm="1">
        <f t="array" ref="U1336">_xlfn.IFS(T1336=1,"Poor",T1336=2,"Fair",T1336=3,"Good",T1336=4,"Excellent")</f>
        <v>Fair</v>
      </c>
      <c r="V1336" s="5" t="s">
        <v>43</v>
      </c>
      <c r="W1336" s="5">
        <v>7</v>
      </c>
      <c r="X1336" s="28">
        <f t="shared" ca="1" si="227"/>
        <v>43554</v>
      </c>
      <c r="Y1336" s="28">
        <f t="shared" ca="1" si="228"/>
        <v>46476</v>
      </c>
      <c r="Z1336" s="28" t="str">
        <f t="shared" ca="1" si="229"/>
        <v>Due Soon</v>
      </c>
      <c r="AA1336" s="5" t="str" cm="1">
        <f t="array" ref="AA1336">_xlfn.IFS(W1336&gt;10,"Veteran",W1336&gt;=6,"Experienced",W1336&gt;=2,"Developing",W1336&gt;=0,"New")</f>
        <v>Experienced</v>
      </c>
      <c r="AB1336" s="5" t="str" cm="1">
        <f t="array" ref="AB1336">_xlfn.IFS(G1336=1,"Junior",G1336=2,"Mid-Level",G1336=3,"Senior",G1336=4,"Lead",G1336=5,"Principal")&amp;" "&amp;TRIM(PROPER(H1336))</f>
        <v>Junior Research Scientist</v>
      </c>
      <c r="AC1336" s="19" t="str">
        <f t="shared" ca="1" si="230"/>
        <v>Re-Res-2019-1335 is a Junior Research Scientist in the Research &amp; Development department, aged 27, married and has been with the Company for 7years</v>
      </c>
    </row>
    <row r="1337" spans="1:29">
      <c r="A1337" s="18" t="str">
        <f t="shared" ca="1" si="220"/>
        <v>Re-Res-2024-1336</v>
      </c>
      <c r="B1337" s="5">
        <v>39</v>
      </c>
      <c r="C1337" s="5" t="str">
        <f t="shared" si="221"/>
        <v>30-39</v>
      </c>
      <c r="D1337" s="5" t="s">
        <v>43</v>
      </c>
      <c r="E1337" s="5" t="s">
        <v>45</v>
      </c>
      <c r="F1337" s="5" t="s">
        <v>46</v>
      </c>
      <c r="G1337" s="5">
        <v>2</v>
      </c>
      <c r="H1337" s="5" t="s">
        <v>47</v>
      </c>
      <c r="I1337" s="5" t="s">
        <v>52</v>
      </c>
      <c r="J1337" s="7">
        <v>3902</v>
      </c>
      <c r="K1337" s="7">
        <f t="shared" si="222"/>
        <v>585.29999999999995</v>
      </c>
      <c r="L1337" s="7">
        <f t="shared" si="223"/>
        <v>3316.7</v>
      </c>
      <c r="M1337" s="7">
        <v>5141</v>
      </c>
      <c r="N1337" s="5" t="s">
        <v>43</v>
      </c>
      <c r="O1337" s="5">
        <v>14</v>
      </c>
      <c r="P1337" s="7">
        <f t="shared" si="224"/>
        <v>4448.2800000000007</v>
      </c>
      <c r="Q1337" s="7">
        <f t="shared" si="225"/>
        <v>6555.3600000000079</v>
      </c>
      <c r="R1337" s="7" t="str">
        <f t="shared" si="226"/>
        <v>Normal</v>
      </c>
      <c r="S1337" s="5">
        <v>3</v>
      </c>
      <c r="T1337" s="5">
        <v>3</v>
      </c>
      <c r="U1337" s="5" t="str" cm="1">
        <f t="array" ref="U1337">_xlfn.IFS(T1337=1,"Poor",T1337=2,"Fair",T1337=3,"Good",T1337=4,"Excellent")</f>
        <v>Good</v>
      </c>
      <c r="V1337" s="5" t="s">
        <v>43</v>
      </c>
      <c r="W1337" s="5">
        <v>2</v>
      </c>
      <c r="X1337" s="28">
        <f t="shared" ca="1" si="227"/>
        <v>45381</v>
      </c>
      <c r="Y1337" s="28">
        <f t="shared" ca="1" si="228"/>
        <v>46842</v>
      </c>
      <c r="Z1337" s="28" t="str">
        <f t="shared" ca="1" si="229"/>
        <v>Upcoming</v>
      </c>
      <c r="AA1337" s="5" t="str" cm="1">
        <f t="array" ref="AA1337">_xlfn.IFS(W1337&gt;10,"Veteran",W1337&gt;=6,"Experienced",W1337&gt;=2,"Developing",W1337&gt;=0,"New")</f>
        <v>Developing</v>
      </c>
      <c r="AB1337" s="5" t="str" cm="1">
        <f t="array" ref="AB1337">_xlfn.IFS(G1337=1,"Junior",G1337=2,"Mid-Level",G1337=3,"Senior",G1337=4,"Lead",G1337=5,"Principal")&amp;" "&amp;TRIM(PROPER(H1337))</f>
        <v>Mid-Level Research Scientist</v>
      </c>
      <c r="AC1337" s="19" t="str">
        <f t="shared" ca="1" si="230"/>
        <v>Re-Res-2024-1336 is a Mid-Level Research Scientist in the Research &amp; Development department, aged 39, divorced and has been with the Company for 2years</v>
      </c>
    </row>
    <row r="1338" spans="1:29">
      <c r="A1338" s="18" t="str">
        <f t="shared" ca="1" si="220"/>
        <v>Re-Res-2021-1337</v>
      </c>
      <c r="B1338" s="5">
        <v>55</v>
      </c>
      <c r="C1338" s="5" t="str">
        <f t="shared" si="221"/>
        <v>50+</v>
      </c>
      <c r="D1338" s="5" t="s">
        <v>43</v>
      </c>
      <c r="E1338" s="5" t="s">
        <v>45</v>
      </c>
      <c r="F1338" s="5" t="s">
        <v>46</v>
      </c>
      <c r="G1338" s="5">
        <v>1</v>
      </c>
      <c r="H1338" s="5" t="s">
        <v>47</v>
      </c>
      <c r="I1338" s="5" t="s">
        <v>48</v>
      </c>
      <c r="J1338" s="7">
        <v>2662</v>
      </c>
      <c r="K1338" s="7">
        <f t="shared" si="222"/>
        <v>186.34000000000003</v>
      </c>
      <c r="L1338" s="7">
        <f t="shared" si="223"/>
        <v>2475.66</v>
      </c>
      <c r="M1338" s="7">
        <v>7975</v>
      </c>
      <c r="N1338" s="5" t="s">
        <v>43</v>
      </c>
      <c r="O1338" s="5">
        <v>20</v>
      </c>
      <c r="P1338" s="7">
        <f t="shared" si="224"/>
        <v>3194.4</v>
      </c>
      <c r="Q1338" s="7">
        <f t="shared" si="225"/>
        <v>6388.8000000000011</v>
      </c>
      <c r="R1338" s="7" t="str">
        <f t="shared" si="226"/>
        <v>Normal</v>
      </c>
      <c r="S1338" s="5">
        <v>4</v>
      </c>
      <c r="T1338" s="5">
        <v>4</v>
      </c>
      <c r="U1338" s="5" t="str" cm="1">
        <f t="array" ref="U1338">_xlfn.IFS(T1338=1,"Poor",T1338=2,"Fair",T1338=3,"Good",T1338=4,"Excellent")</f>
        <v>Excellent</v>
      </c>
      <c r="V1338" s="5" t="s">
        <v>43</v>
      </c>
      <c r="W1338" s="5">
        <v>5</v>
      </c>
      <c r="X1338" s="28">
        <f t="shared" ca="1" si="227"/>
        <v>44285</v>
      </c>
      <c r="Y1338" s="28">
        <f t="shared" ca="1" si="228"/>
        <v>46476</v>
      </c>
      <c r="Z1338" s="28" t="str">
        <f t="shared" ca="1" si="229"/>
        <v>Due Soon</v>
      </c>
      <c r="AA1338" s="5" t="str" cm="1">
        <f t="array" ref="AA1338">_xlfn.IFS(W1338&gt;10,"Veteran",W1338&gt;=6,"Experienced",W1338&gt;=2,"Developing",W1338&gt;=0,"New")</f>
        <v>Developing</v>
      </c>
      <c r="AB1338" s="5" t="str" cm="1">
        <f t="array" ref="AB1338">_xlfn.IFS(G1338=1,"Junior",G1338=2,"Mid-Level",G1338=3,"Senior",G1338=4,"Lead",G1338=5,"Principal")&amp;" "&amp;TRIM(PROPER(H1338))</f>
        <v>Junior Research Scientist</v>
      </c>
      <c r="AC1338" s="19" t="str">
        <f t="shared" ca="1" si="230"/>
        <v>Re-Res-2021-1337 is a Junior Research Scientist in the Research &amp; Development department, aged 55, married and has been with the Company for 5years</v>
      </c>
    </row>
    <row r="1339" spans="1:29">
      <c r="A1339" s="18" t="str">
        <f t="shared" ca="1" si="220"/>
        <v>Sa-Sal-2025-1338</v>
      </c>
      <c r="B1339" s="5">
        <v>28</v>
      </c>
      <c r="C1339" s="5" t="str">
        <f t="shared" si="221"/>
        <v>20-29</v>
      </c>
      <c r="D1339" s="5" t="s">
        <v>43</v>
      </c>
      <c r="E1339" s="5" t="s">
        <v>37</v>
      </c>
      <c r="F1339" s="5" t="s">
        <v>39</v>
      </c>
      <c r="G1339" s="5">
        <v>1</v>
      </c>
      <c r="H1339" s="5" t="s">
        <v>57</v>
      </c>
      <c r="I1339" s="5" t="s">
        <v>48</v>
      </c>
      <c r="J1339" s="7">
        <v>2856</v>
      </c>
      <c r="K1339" s="7">
        <f t="shared" si="222"/>
        <v>199.92000000000002</v>
      </c>
      <c r="L1339" s="7">
        <f t="shared" si="223"/>
        <v>2656.08</v>
      </c>
      <c r="M1339" s="7">
        <v>3692</v>
      </c>
      <c r="N1339" s="5" t="s">
        <v>43</v>
      </c>
      <c r="O1339" s="5">
        <v>19</v>
      </c>
      <c r="P1339" s="7">
        <f t="shared" si="224"/>
        <v>3398.64</v>
      </c>
      <c r="Q1339" s="7">
        <f t="shared" si="225"/>
        <v>6511.6799999999985</v>
      </c>
      <c r="R1339" s="7" t="str">
        <f t="shared" si="226"/>
        <v>Normal</v>
      </c>
      <c r="S1339" s="5">
        <v>3</v>
      </c>
      <c r="T1339" s="5">
        <v>3</v>
      </c>
      <c r="U1339" s="5" t="str" cm="1">
        <f t="array" ref="U1339">_xlfn.IFS(T1339=1,"Poor",T1339=2,"Fair",T1339=3,"Good",T1339=4,"Excellent")</f>
        <v>Good</v>
      </c>
      <c r="V1339" s="5" t="s">
        <v>43</v>
      </c>
      <c r="W1339" s="5">
        <v>1</v>
      </c>
      <c r="X1339" s="28">
        <f t="shared" ca="1" si="227"/>
        <v>45746</v>
      </c>
      <c r="Y1339" s="28">
        <f t="shared" ca="1" si="228"/>
        <v>46476</v>
      </c>
      <c r="Z1339" s="28" t="str">
        <f t="shared" ca="1" si="229"/>
        <v>Due Soon</v>
      </c>
      <c r="AA1339" s="5" t="str" cm="1">
        <f t="array" ref="AA1339">_xlfn.IFS(W1339&gt;10,"Veteran",W1339&gt;=6,"Experienced",W1339&gt;=2,"Developing",W1339&gt;=0,"New")</f>
        <v>New</v>
      </c>
      <c r="AB1339" s="5" t="str" cm="1">
        <f t="array" ref="AB1339">_xlfn.IFS(G1339=1,"Junior",G1339=2,"Mid-Level",G1339=3,"Senior",G1339=4,"Lead",G1339=5,"Principal")&amp;" "&amp;TRIM(PROPER(H1339))</f>
        <v>Junior Sales Representative</v>
      </c>
      <c r="AC1339" s="19" t="str">
        <f t="shared" ca="1" si="230"/>
        <v>Sa-Sal-2025-1338 is a Junior Sales Representative in the Sales department, aged 28, married and has been with the Company for 1years</v>
      </c>
    </row>
    <row r="1340" spans="1:29">
      <c r="A1340" s="18" t="str">
        <f t="shared" ca="1" si="220"/>
        <v>Sa-Sal-2025-1339</v>
      </c>
      <c r="B1340" s="5">
        <v>30</v>
      </c>
      <c r="C1340" s="5" t="str">
        <f t="shared" si="221"/>
        <v>30-39</v>
      </c>
      <c r="D1340" s="5" t="s">
        <v>35</v>
      </c>
      <c r="E1340" s="5" t="s">
        <v>37</v>
      </c>
      <c r="F1340" s="5" t="s">
        <v>46</v>
      </c>
      <c r="G1340" s="5">
        <v>1</v>
      </c>
      <c r="H1340" s="5" t="s">
        <v>57</v>
      </c>
      <c r="I1340" s="5" t="s">
        <v>41</v>
      </c>
      <c r="J1340" s="7">
        <v>1081</v>
      </c>
      <c r="K1340" s="7">
        <f t="shared" si="222"/>
        <v>75.67</v>
      </c>
      <c r="L1340" s="7">
        <f t="shared" si="223"/>
        <v>1005.33</v>
      </c>
      <c r="M1340" s="7">
        <v>16019</v>
      </c>
      <c r="N1340" s="5" t="s">
        <v>43</v>
      </c>
      <c r="O1340" s="5">
        <v>13</v>
      </c>
      <c r="P1340" s="7">
        <f t="shared" si="224"/>
        <v>1221.53</v>
      </c>
      <c r="Q1340" s="7">
        <f t="shared" si="225"/>
        <v>1686.3599999999997</v>
      </c>
      <c r="R1340" s="7" t="str">
        <f t="shared" si="226"/>
        <v>Normal</v>
      </c>
      <c r="S1340" s="5">
        <v>3</v>
      </c>
      <c r="T1340" s="5">
        <v>2</v>
      </c>
      <c r="U1340" s="5" t="str" cm="1">
        <f t="array" ref="U1340">_xlfn.IFS(T1340=1,"Poor",T1340=2,"Fair",T1340=3,"Good",T1340=4,"Excellent")</f>
        <v>Fair</v>
      </c>
      <c r="V1340" s="5" t="s">
        <v>43</v>
      </c>
      <c r="W1340" s="5">
        <v>1</v>
      </c>
      <c r="X1340" s="28">
        <f t="shared" ca="1" si="227"/>
        <v>45746</v>
      </c>
      <c r="Y1340" s="28">
        <f t="shared" ca="1" si="228"/>
        <v>46476</v>
      </c>
      <c r="Z1340" s="28" t="str">
        <f t="shared" ca="1" si="229"/>
        <v>Due Soon</v>
      </c>
      <c r="AA1340" s="5" t="str" cm="1">
        <f t="array" ref="AA1340">_xlfn.IFS(W1340&gt;10,"Veteran",W1340&gt;=6,"Experienced",W1340&gt;=2,"Developing",W1340&gt;=0,"New")</f>
        <v>New</v>
      </c>
      <c r="AB1340" s="5" t="str" cm="1">
        <f t="array" ref="AB1340">_xlfn.IFS(G1340=1,"Junior",G1340=2,"Mid-Level",G1340=3,"Senior",G1340=4,"Lead",G1340=5,"Principal")&amp;" "&amp;TRIM(PROPER(H1340))</f>
        <v>Junior Sales Representative</v>
      </c>
      <c r="AC1340" s="19" t="str">
        <f t="shared" ca="1" si="230"/>
        <v>Sa-Sal-2025-1339 is a Junior Sales Representative in the Sales department, aged 30, single and has been with the Company for 1years</v>
      </c>
    </row>
    <row r="1341" spans="1:29">
      <c r="A1341" s="18" t="str">
        <f t="shared" ca="1" si="220"/>
        <v>Re-Res-2025-1340</v>
      </c>
      <c r="B1341" s="5">
        <v>22</v>
      </c>
      <c r="C1341" s="5" t="str">
        <f t="shared" si="221"/>
        <v>20-29</v>
      </c>
      <c r="D1341" s="5" t="s">
        <v>35</v>
      </c>
      <c r="E1341" s="5" t="s">
        <v>45</v>
      </c>
      <c r="F1341" s="5" t="s">
        <v>46</v>
      </c>
      <c r="G1341" s="5">
        <v>1</v>
      </c>
      <c r="H1341" s="5" t="s">
        <v>47</v>
      </c>
      <c r="I1341" s="5" t="s">
        <v>41</v>
      </c>
      <c r="J1341" s="7">
        <v>2472</v>
      </c>
      <c r="K1341" s="7">
        <f t="shared" si="222"/>
        <v>173.04000000000002</v>
      </c>
      <c r="L1341" s="7">
        <f t="shared" si="223"/>
        <v>2298.96</v>
      </c>
      <c r="M1341" s="7">
        <v>26092</v>
      </c>
      <c r="N1341" s="5" t="s">
        <v>35</v>
      </c>
      <c r="O1341" s="5">
        <v>23</v>
      </c>
      <c r="P1341" s="7">
        <f t="shared" si="224"/>
        <v>3040.56</v>
      </c>
      <c r="Q1341" s="7">
        <f t="shared" si="225"/>
        <v>6822.7199999999993</v>
      </c>
      <c r="R1341" s="7" t="str">
        <f t="shared" si="226"/>
        <v>Normal</v>
      </c>
      <c r="S1341" s="5">
        <v>4</v>
      </c>
      <c r="T1341" s="5">
        <v>3</v>
      </c>
      <c r="U1341" s="5" t="str" cm="1">
        <f t="array" ref="U1341">_xlfn.IFS(T1341=1,"Poor",T1341=2,"Fair",T1341=3,"Good",T1341=4,"Excellent")</f>
        <v>Good</v>
      </c>
      <c r="V1341" s="5" t="s">
        <v>35</v>
      </c>
      <c r="W1341" s="5">
        <v>1</v>
      </c>
      <c r="X1341" s="28">
        <f t="shared" ca="1" si="227"/>
        <v>45746</v>
      </c>
      <c r="Y1341" s="28">
        <f t="shared" ca="1" si="228"/>
        <v>46476</v>
      </c>
      <c r="Z1341" s="28" t="str">
        <f t="shared" ca="1" si="229"/>
        <v>Due Soon</v>
      </c>
      <c r="AA1341" s="5" t="str" cm="1">
        <f t="array" ref="AA1341">_xlfn.IFS(W1341&gt;10,"Veteran",W1341&gt;=6,"Experienced",W1341&gt;=2,"Developing",W1341&gt;=0,"New")</f>
        <v>New</v>
      </c>
      <c r="AB1341" s="5" t="str" cm="1">
        <f t="array" ref="AB1341">_xlfn.IFS(G1341=1,"Junior",G1341=2,"Mid-Level",G1341=3,"Senior",G1341=4,"Lead",G1341=5,"Principal")&amp;" "&amp;TRIM(PROPER(H1341))</f>
        <v>Junior Research Scientist</v>
      </c>
      <c r="AC1341" s="19" t="str">
        <f t="shared" ca="1" si="230"/>
        <v>Re-Res-2025-1340 is a Junior Research Scientist in the Research &amp; Development department, aged 22, single and has been with the Company for 1years</v>
      </c>
    </row>
    <row r="1342" spans="1:29">
      <c r="A1342" s="18" t="str">
        <f t="shared" ca="1" si="220"/>
        <v>Sa-Sal-2016-1341</v>
      </c>
      <c r="B1342" s="5">
        <v>36</v>
      </c>
      <c r="C1342" s="5" t="str">
        <f t="shared" si="221"/>
        <v>30-39</v>
      </c>
      <c r="D1342" s="5" t="s">
        <v>43</v>
      </c>
      <c r="E1342" s="5" t="s">
        <v>37</v>
      </c>
      <c r="F1342" s="5" t="s">
        <v>39</v>
      </c>
      <c r="G1342" s="5">
        <v>2</v>
      </c>
      <c r="H1342" s="5" t="s">
        <v>40</v>
      </c>
      <c r="I1342" s="5" t="s">
        <v>48</v>
      </c>
      <c r="J1342" s="7">
        <v>5673</v>
      </c>
      <c r="K1342" s="7">
        <f t="shared" si="222"/>
        <v>850.94999999999993</v>
      </c>
      <c r="L1342" s="7">
        <f t="shared" si="223"/>
        <v>4822.05</v>
      </c>
      <c r="M1342" s="7">
        <v>6060</v>
      </c>
      <c r="N1342" s="5" t="s">
        <v>35</v>
      </c>
      <c r="O1342" s="5">
        <v>13</v>
      </c>
      <c r="P1342" s="7">
        <f t="shared" si="224"/>
        <v>6410.49</v>
      </c>
      <c r="Q1342" s="7">
        <f t="shared" si="225"/>
        <v>8849.8799999999974</v>
      </c>
      <c r="R1342" s="7" t="str">
        <f t="shared" si="226"/>
        <v>Normal</v>
      </c>
      <c r="S1342" s="5">
        <v>3</v>
      </c>
      <c r="T1342" s="5">
        <v>3</v>
      </c>
      <c r="U1342" s="5" t="str" cm="1">
        <f t="array" ref="U1342">_xlfn.IFS(T1342=1,"Poor",T1342=2,"Fair",T1342=3,"Good",T1342=4,"Excellent")</f>
        <v>Good</v>
      </c>
      <c r="V1342" s="5" t="s">
        <v>35</v>
      </c>
      <c r="W1342" s="5">
        <v>10</v>
      </c>
      <c r="X1342" s="28">
        <f t="shared" ca="1" si="227"/>
        <v>42459</v>
      </c>
      <c r="Y1342" s="28">
        <f t="shared" ca="1" si="228"/>
        <v>46842</v>
      </c>
      <c r="Z1342" s="28" t="str">
        <f t="shared" ca="1" si="229"/>
        <v>Upcoming</v>
      </c>
      <c r="AA1342" s="5" t="str" cm="1">
        <f t="array" ref="AA1342">_xlfn.IFS(W1342&gt;10,"Veteran",W1342&gt;=6,"Experienced",W1342&gt;=2,"Developing",W1342&gt;=0,"New")</f>
        <v>Experienced</v>
      </c>
      <c r="AB1342" s="5" t="str" cm="1">
        <f t="array" ref="AB1342">_xlfn.IFS(G1342=1,"Junior",G1342=2,"Mid-Level",G1342=3,"Senior",G1342=4,"Lead",G1342=5,"Principal")&amp;" "&amp;TRIM(PROPER(H1342))</f>
        <v>Mid-Level Sales Executive</v>
      </c>
      <c r="AC1342" s="19" t="str">
        <f t="shared" ca="1" si="230"/>
        <v>Sa-Sal-2016-1341 is a Mid-Level Sales Executive in the Sales department, aged 36, married and has been with the Company for 10years</v>
      </c>
    </row>
    <row r="1343" spans="1:29">
      <c r="A1343" s="18" t="str">
        <f t="shared" ca="1" si="220"/>
        <v>La-Res-2016-1342</v>
      </c>
      <c r="B1343" s="5">
        <v>31</v>
      </c>
      <c r="C1343" s="5" t="str">
        <f t="shared" si="221"/>
        <v>30-39</v>
      </c>
      <c r="D1343" s="5" t="s">
        <v>43</v>
      </c>
      <c r="E1343" s="5" t="s">
        <v>45</v>
      </c>
      <c r="F1343" s="5" t="s">
        <v>46</v>
      </c>
      <c r="G1343" s="5">
        <v>2</v>
      </c>
      <c r="H1343" s="5" t="s">
        <v>50</v>
      </c>
      <c r="I1343" s="5" t="s">
        <v>52</v>
      </c>
      <c r="J1343" s="7">
        <v>4197</v>
      </c>
      <c r="K1343" s="7">
        <f t="shared" si="222"/>
        <v>629.54999999999995</v>
      </c>
      <c r="L1343" s="7">
        <f t="shared" si="223"/>
        <v>3567.45</v>
      </c>
      <c r="M1343" s="7">
        <v>18624</v>
      </c>
      <c r="N1343" s="5" t="s">
        <v>43</v>
      </c>
      <c r="O1343" s="5">
        <v>11</v>
      </c>
      <c r="P1343" s="7">
        <f t="shared" si="224"/>
        <v>4658.67</v>
      </c>
      <c r="Q1343" s="7">
        <f t="shared" si="225"/>
        <v>5540.0400000000009</v>
      </c>
      <c r="R1343" s="7" t="str">
        <f t="shared" si="226"/>
        <v>Normal</v>
      </c>
      <c r="S1343" s="5">
        <v>3</v>
      </c>
      <c r="T1343" s="5">
        <v>3</v>
      </c>
      <c r="U1343" s="5" t="str" cm="1">
        <f t="array" ref="U1343">_xlfn.IFS(T1343=1,"Poor",T1343=2,"Fair",T1343=3,"Good",T1343=4,"Excellent")</f>
        <v>Good</v>
      </c>
      <c r="V1343" s="5" t="s">
        <v>43</v>
      </c>
      <c r="W1343" s="5">
        <v>10</v>
      </c>
      <c r="X1343" s="28">
        <f t="shared" ca="1" si="227"/>
        <v>42459</v>
      </c>
      <c r="Y1343" s="28">
        <f t="shared" ca="1" si="228"/>
        <v>46842</v>
      </c>
      <c r="Z1343" s="28" t="str">
        <f t="shared" ca="1" si="229"/>
        <v>Upcoming</v>
      </c>
      <c r="AA1343" s="5" t="str" cm="1">
        <f t="array" ref="AA1343">_xlfn.IFS(W1343&gt;10,"Veteran",W1343&gt;=6,"Experienced",W1343&gt;=2,"Developing",W1343&gt;=0,"New")</f>
        <v>Experienced</v>
      </c>
      <c r="AB1343" s="5" t="str" cm="1">
        <f t="array" ref="AB1343">_xlfn.IFS(G1343=1,"Junior",G1343=2,"Mid-Level",G1343=3,"Senior",G1343=4,"Lead",G1343=5,"Principal")&amp;" "&amp;TRIM(PROPER(H1343))</f>
        <v>Mid-Level Laboratory Technician</v>
      </c>
      <c r="AC1343" s="19" t="str">
        <f t="shared" ca="1" si="230"/>
        <v>La-Res-2016-1342 is a Mid-Level Laboratory Technician in the Research &amp; Development department, aged 31, divorced and has been with the Company for 10years</v>
      </c>
    </row>
    <row r="1344" spans="1:29">
      <c r="A1344" s="18" t="str">
        <f t="shared" ca="1" si="220"/>
        <v>Sa-Sal-2021-1343</v>
      </c>
      <c r="B1344" s="5">
        <v>34</v>
      </c>
      <c r="C1344" s="5" t="str">
        <f t="shared" si="221"/>
        <v>30-39</v>
      </c>
      <c r="D1344" s="5" t="s">
        <v>43</v>
      </c>
      <c r="E1344" s="5" t="s">
        <v>37</v>
      </c>
      <c r="F1344" s="5" t="s">
        <v>46</v>
      </c>
      <c r="G1344" s="5">
        <v>3</v>
      </c>
      <c r="H1344" s="5" t="s">
        <v>40</v>
      </c>
      <c r="I1344" s="5" t="s">
        <v>48</v>
      </c>
      <c r="J1344" s="7">
        <v>9713</v>
      </c>
      <c r="K1344" s="7">
        <f t="shared" si="222"/>
        <v>2136.86</v>
      </c>
      <c r="L1344" s="7">
        <f t="shared" si="223"/>
        <v>7576.1399999999994</v>
      </c>
      <c r="M1344" s="7">
        <v>24444</v>
      </c>
      <c r="N1344" s="5" t="s">
        <v>35</v>
      </c>
      <c r="O1344" s="5">
        <v>13</v>
      </c>
      <c r="P1344" s="7">
        <f t="shared" si="224"/>
        <v>10975.689999999999</v>
      </c>
      <c r="Q1344" s="7">
        <f t="shared" si="225"/>
        <v>15152.279999999984</v>
      </c>
      <c r="R1344" s="7" t="str">
        <f t="shared" si="226"/>
        <v>Normal</v>
      </c>
      <c r="S1344" s="5">
        <v>3</v>
      </c>
      <c r="T1344" s="5">
        <v>3</v>
      </c>
      <c r="U1344" s="5" t="str" cm="1">
        <f t="array" ref="U1344">_xlfn.IFS(T1344=1,"Poor",T1344=2,"Fair",T1344=3,"Good",T1344=4,"Excellent")</f>
        <v>Good</v>
      </c>
      <c r="V1344" s="5" t="s">
        <v>35</v>
      </c>
      <c r="W1344" s="5">
        <v>5</v>
      </c>
      <c r="X1344" s="28">
        <f t="shared" ca="1" si="227"/>
        <v>44285</v>
      </c>
      <c r="Y1344" s="28">
        <f t="shared" ca="1" si="228"/>
        <v>46476</v>
      </c>
      <c r="Z1344" s="28" t="str">
        <f t="shared" ca="1" si="229"/>
        <v>Due Soon</v>
      </c>
      <c r="AA1344" s="5" t="str" cm="1">
        <f t="array" ref="AA1344">_xlfn.IFS(W1344&gt;10,"Veteran",W1344&gt;=6,"Experienced",W1344&gt;=2,"Developing",W1344&gt;=0,"New")</f>
        <v>Developing</v>
      </c>
      <c r="AB1344" s="5" t="str" cm="1">
        <f t="array" ref="AB1344">_xlfn.IFS(G1344=1,"Junior",G1344=2,"Mid-Level",G1344=3,"Senior",G1344=4,"Lead",G1344=5,"Principal")&amp;" "&amp;TRIM(PROPER(H1344))</f>
        <v>Senior Sales Executive</v>
      </c>
      <c r="AC1344" s="19" t="str">
        <f t="shared" ca="1" si="230"/>
        <v>Sa-Sal-2021-1343 is a Senior Sales Executive in the Sales department, aged 34, married and has been with the Company for 5years</v>
      </c>
    </row>
    <row r="1345" spans="1:29">
      <c r="A1345" s="18" t="str">
        <f t="shared" ca="1" si="220"/>
        <v>La-Res-2023-1344</v>
      </c>
      <c r="B1345" s="5">
        <v>29</v>
      </c>
      <c r="C1345" s="5" t="str">
        <f t="shared" si="221"/>
        <v>20-29</v>
      </c>
      <c r="D1345" s="5" t="s">
        <v>43</v>
      </c>
      <c r="E1345" s="5" t="s">
        <v>45</v>
      </c>
      <c r="F1345" s="5" t="s">
        <v>46</v>
      </c>
      <c r="G1345" s="5">
        <v>1</v>
      </c>
      <c r="H1345" s="5" t="s">
        <v>50</v>
      </c>
      <c r="I1345" s="5" t="s">
        <v>41</v>
      </c>
      <c r="J1345" s="7">
        <v>2062</v>
      </c>
      <c r="K1345" s="7">
        <f t="shared" si="222"/>
        <v>144.34</v>
      </c>
      <c r="L1345" s="7">
        <f t="shared" si="223"/>
        <v>1917.66</v>
      </c>
      <c r="M1345" s="7">
        <v>19384</v>
      </c>
      <c r="N1345" s="5" t="s">
        <v>43</v>
      </c>
      <c r="O1345" s="5">
        <v>14</v>
      </c>
      <c r="P1345" s="7">
        <f t="shared" si="224"/>
        <v>2350.6800000000003</v>
      </c>
      <c r="Q1345" s="7">
        <f t="shared" si="225"/>
        <v>3464.1600000000035</v>
      </c>
      <c r="R1345" s="7" t="str">
        <f t="shared" si="226"/>
        <v>Normal</v>
      </c>
      <c r="S1345" s="5">
        <v>3</v>
      </c>
      <c r="T1345" s="5">
        <v>3</v>
      </c>
      <c r="U1345" s="5" t="str" cm="1">
        <f t="array" ref="U1345">_xlfn.IFS(T1345=1,"Poor",T1345=2,"Fair",T1345=3,"Good",T1345=4,"Excellent")</f>
        <v>Good</v>
      </c>
      <c r="V1345" s="5" t="s">
        <v>43</v>
      </c>
      <c r="W1345" s="5">
        <v>3</v>
      </c>
      <c r="X1345" s="28">
        <f t="shared" ca="1" si="227"/>
        <v>45015</v>
      </c>
      <c r="Y1345" s="28">
        <f t="shared" ca="1" si="228"/>
        <v>46476</v>
      </c>
      <c r="Z1345" s="28" t="str">
        <f t="shared" ca="1" si="229"/>
        <v>Due Soon</v>
      </c>
      <c r="AA1345" s="5" t="str" cm="1">
        <f t="array" ref="AA1345">_xlfn.IFS(W1345&gt;10,"Veteran",W1345&gt;=6,"Experienced",W1345&gt;=2,"Developing",W1345&gt;=0,"New")</f>
        <v>Developing</v>
      </c>
      <c r="AB1345" s="5" t="str" cm="1">
        <f t="array" ref="AB1345">_xlfn.IFS(G1345=1,"Junior",G1345=2,"Mid-Level",G1345=3,"Senior",G1345=4,"Lead",G1345=5,"Principal")&amp;" "&amp;TRIM(PROPER(H1345))</f>
        <v>Junior Laboratory Technician</v>
      </c>
      <c r="AC1345" s="19" t="str">
        <f t="shared" ca="1" si="230"/>
        <v>La-Res-2023-1344 is a Junior Laboratory Technician in the Research &amp; Development department, aged 29, single and has been with the Company for 3years</v>
      </c>
    </row>
    <row r="1346" spans="1:29">
      <c r="A1346" s="18" t="str">
        <f t="shared" ca="1" si="220"/>
        <v>Re-Res-2021-1345</v>
      </c>
      <c r="B1346" s="5">
        <v>37</v>
      </c>
      <c r="C1346" s="5" t="str">
        <f t="shared" si="221"/>
        <v>30-39</v>
      </c>
      <c r="D1346" s="5" t="s">
        <v>43</v>
      </c>
      <c r="E1346" s="5" t="s">
        <v>45</v>
      </c>
      <c r="F1346" s="5" t="s">
        <v>46</v>
      </c>
      <c r="G1346" s="5">
        <v>2</v>
      </c>
      <c r="H1346" s="5" t="s">
        <v>47</v>
      </c>
      <c r="I1346" s="5" t="s">
        <v>48</v>
      </c>
      <c r="J1346" s="7">
        <v>4284</v>
      </c>
      <c r="K1346" s="7">
        <f t="shared" si="222"/>
        <v>642.6</v>
      </c>
      <c r="L1346" s="7">
        <f t="shared" si="223"/>
        <v>3641.4</v>
      </c>
      <c r="M1346" s="7">
        <v>13588</v>
      </c>
      <c r="N1346" s="5" t="s">
        <v>35</v>
      </c>
      <c r="O1346" s="5">
        <v>22</v>
      </c>
      <c r="P1346" s="7">
        <f t="shared" si="224"/>
        <v>5226.4799999999996</v>
      </c>
      <c r="Q1346" s="7">
        <f t="shared" si="225"/>
        <v>11309.759999999995</v>
      </c>
      <c r="R1346" s="7" t="str">
        <f t="shared" si="226"/>
        <v>Normal</v>
      </c>
      <c r="S1346" s="5">
        <v>4</v>
      </c>
      <c r="T1346" s="5">
        <v>3</v>
      </c>
      <c r="U1346" s="5" t="str" cm="1">
        <f t="array" ref="U1346">_xlfn.IFS(T1346=1,"Poor",T1346=2,"Fair",T1346=3,"Good",T1346=4,"Excellent")</f>
        <v>Good</v>
      </c>
      <c r="V1346" s="5" t="s">
        <v>35</v>
      </c>
      <c r="W1346" s="5">
        <v>5</v>
      </c>
      <c r="X1346" s="28">
        <f t="shared" ca="1" si="227"/>
        <v>44285</v>
      </c>
      <c r="Y1346" s="28">
        <f t="shared" ca="1" si="228"/>
        <v>46476</v>
      </c>
      <c r="Z1346" s="28" t="str">
        <f t="shared" ca="1" si="229"/>
        <v>Due Soon</v>
      </c>
      <c r="AA1346" s="5" t="str" cm="1">
        <f t="array" ref="AA1346">_xlfn.IFS(W1346&gt;10,"Veteran",W1346&gt;=6,"Experienced",W1346&gt;=2,"Developing",W1346&gt;=0,"New")</f>
        <v>Developing</v>
      </c>
      <c r="AB1346" s="5" t="str" cm="1">
        <f t="array" ref="AB1346">_xlfn.IFS(G1346=1,"Junior",G1346=2,"Mid-Level",G1346=3,"Senior",G1346=4,"Lead",G1346=5,"Principal")&amp;" "&amp;TRIM(PROPER(H1346))</f>
        <v>Mid-Level Research Scientist</v>
      </c>
      <c r="AC1346" s="19" t="str">
        <f t="shared" ca="1" si="230"/>
        <v>Re-Res-2021-1345 is a Mid-Level Research Scientist in the Research &amp; Development department, aged 37, married and has been with the Company for 5years</v>
      </c>
    </row>
    <row r="1347" spans="1:29">
      <c r="A1347" s="18" t="str">
        <f t="shared" ref="A1347:A1410" ca="1" si="231">LEFT(H1347,2)&amp;"-"&amp;LEFT(E1347,3)&amp;"-"&amp;YEAR(TODAY())-W1347&amp;"-"&amp;TEXT(ROW()-1,"000")</f>
        <v>Ma-Res-2023-1346</v>
      </c>
      <c r="B1347" s="5">
        <v>35</v>
      </c>
      <c r="C1347" s="5" t="str">
        <f t="shared" ref="C1347:C1410" si="232">IF(B1347&lt;=29,"20-29",IF(B1347&lt;=39,"30-39",IF(B1347&lt;=49,"40-49","50+")))</f>
        <v>30-39</v>
      </c>
      <c r="D1347" s="5" t="s">
        <v>43</v>
      </c>
      <c r="E1347" s="5" t="s">
        <v>45</v>
      </c>
      <c r="F1347" s="5" t="s">
        <v>39</v>
      </c>
      <c r="G1347" s="5">
        <v>2</v>
      </c>
      <c r="H1347" s="5" t="s">
        <v>53</v>
      </c>
      <c r="I1347" s="5" t="s">
        <v>48</v>
      </c>
      <c r="J1347" s="7">
        <v>4788</v>
      </c>
      <c r="K1347" s="7">
        <f t="shared" ref="K1347:K1410" si="233">IF(J1347&gt;13000,J1347*30%,IF(J1347&gt;7000,J1347*22%,IF(J1347&gt;3000,J1347*15%,J1347*7%)))</f>
        <v>718.19999999999993</v>
      </c>
      <c r="L1347" s="7">
        <f t="shared" ref="L1347:L1410" si="234">J1347-K1347</f>
        <v>4069.8</v>
      </c>
      <c r="M1347" s="7">
        <v>25388</v>
      </c>
      <c r="N1347" s="5" t="s">
        <v>35</v>
      </c>
      <c r="O1347" s="5">
        <v>11</v>
      </c>
      <c r="P1347" s="7">
        <f t="shared" ref="P1347:P1410" si="235">J1347*(1+(O1347/100))</f>
        <v>5314.68</v>
      </c>
      <c r="Q1347" s="7">
        <f t="shared" ref="Q1347:Q1410" si="236">(P1347-J1347)*12</f>
        <v>6320.1600000000035</v>
      </c>
      <c r="R1347" s="7" t="str">
        <f t="shared" ref="R1347:R1410" si="237">IF(AND(O1347&lt;12,S1347=4),"UnderPaid","Normal")</f>
        <v>Normal</v>
      </c>
      <c r="S1347" s="5">
        <v>3</v>
      </c>
      <c r="T1347" s="5">
        <v>3</v>
      </c>
      <c r="U1347" s="5" t="str" cm="1">
        <f t="array" ref="U1347">_xlfn.IFS(T1347=1,"Poor",T1347=2,"Fair",T1347=3,"Good",T1347=4,"Excellent")</f>
        <v>Good</v>
      </c>
      <c r="V1347" s="5" t="s">
        <v>35</v>
      </c>
      <c r="W1347" s="5">
        <v>3</v>
      </c>
      <c r="X1347" s="28">
        <f t="shared" ref="X1347:X1410" ca="1" si="238">EDATE(TODAY(),-W1347*12)</f>
        <v>45015</v>
      </c>
      <c r="Y1347" s="28">
        <f t="shared" ref="Y1347:Y1410" ca="1" si="239">EDATE(X1347,(INT(W1347/2)+1)*24)</f>
        <v>46476</v>
      </c>
      <c r="Z1347" s="28" t="str">
        <f t="shared" ref="Z1347:Z1410" ca="1" si="240">IF(Y1347&lt;=EDATE(TODAY(),12),"Due Soon","Upcoming")</f>
        <v>Due Soon</v>
      </c>
      <c r="AA1347" s="5" t="str" cm="1">
        <f t="array" ref="AA1347">_xlfn.IFS(W1347&gt;10,"Veteran",W1347&gt;=6,"Experienced",W1347&gt;=2,"Developing",W1347&gt;=0,"New")</f>
        <v>Developing</v>
      </c>
      <c r="AB1347" s="5" t="str" cm="1">
        <f t="array" ref="AB1347">_xlfn.IFS(G1347=1,"Junior",G1347=2,"Mid-Level",G1347=3,"Senior",G1347=4,"Lead",G1347=5,"Principal")&amp;" "&amp;TRIM(PROPER(H1347))</f>
        <v>Mid-Level Manufacturing Director</v>
      </c>
      <c r="AC1347" s="19" t="str">
        <f t="shared" ref="AC1347:AC1410" ca="1" si="241">A1347&amp;" is a "&amp;AB1347&amp;" in the "&amp;E1347&amp;" department, aged "&amp;B1347&amp;", "&amp;LOWER(I1347)&amp;" and has been with the Company for "&amp;W1347&amp;"years"</f>
        <v>Ma-Res-2023-1346 is a Mid-Level Manufacturing Director in the Research &amp; Development department, aged 35, married and has been with the Company for 3years</v>
      </c>
    </row>
    <row r="1348" spans="1:29">
      <c r="A1348" s="18" t="str">
        <f t="shared" ca="1" si="231"/>
        <v>Ma-Res-2017-1347</v>
      </c>
      <c r="B1348" s="5">
        <v>45</v>
      </c>
      <c r="C1348" s="5" t="str">
        <f t="shared" si="232"/>
        <v>40-49</v>
      </c>
      <c r="D1348" s="5" t="s">
        <v>43</v>
      </c>
      <c r="E1348" s="5" t="s">
        <v>45</v>
      </c>
      <c r="F1348" s="5" t="s">
        <v>39</v>
      </c>
      <c r="G1348" s="5">
        <v>2</v>
      </c>
      <c r="H1348" s="5" t="s">
        <v>53</v>
      </c>
      <c r="I1348" s="5" t="s">
        <v>48</v>
      </c>
      <c r="J1348" s="7">
        <v>5906</v>
      </c>
      <c r="K1348" s="7">
        <f t="shared" si="233"/>
        <v>885.9</v>
      </c>
      <c r="L1348" s="7">
        <f t="shared" si="234"/>
        <v>5020.1000000000004</v>
      </c>
      <c r="M1348" s="7">
        <v>23888</v>
      </c>
      <c r="N1348" s="5" t="s">
        <v>43</v>
      </c>
      <c r="O1348" s="5">
        <v>13</v>
      </c>
      <c r="P1348" s="7">
        <f t="shared" si="235"/>
        <v>6673.78</v>
      </c>
      <c r="Q1348" s="7">
        <f t="shared" si="236"/>
        <v>9213.3599999999969</v>
      </c>
      <c r="R1348" s="7" t="str">
        <f t="shared" si="237"/>
        <v>Normal</v>
      </c>
      <c r="S1348" s="5">
        <v>3</v>
      </c>
      <c r="T1348" s="5">
        <v>2</v>
      </c>
      <c r="U1348" s="5" t="str" cm="1">
        <f t="array" ref="U1348">_xlfn.IFS(T1348=1,"Poor",T1348=2,"Fair",T1348=3,"Good",T1348=4,"Excellent")</f>
        <v>Fair</v>
      </c>
      <c r="V1348" s="5" t="s">
        <v>43</v>
      </c>
      <c r="W1348" s="5">
        <v>9</v>
      </c>
      <c r="X1348" s="28">
        <f t="shared" ca="1" si="238"/>
        <v>42824</v>
      </c>
      <c r="Y1348" s="28">
        <f t="shared" ca="1" si="239"/>
        <v>46476</v>
      </c>
      <c r="Z1348" s="28" t="str">
        <f t="shared" ca="1" si="240"/>
        <v>Due Soon</v>
      </c>
      <c r="AA1348" s="5" t="str" cm="1">
        <f t="array" ref="AA1348">_xlfn.IFS(W1348&gt;10,"Veteran",W1348&gt;=6,"Experienced",W1348&gt;=2,"Developing",W1348&gt;=0,"New")</f>
        <v>Experienced</v>
      </c>
      <c r="AB1348" s="5" t="str" cm="1">
        <f t="array" ref="AB1348">_xlfn.IFS(G1348=1,"Junior",G1348=2,"Mid-Level",G1348=3,"Senior",G1348=4,"Lead",G1348=5,"Principal")&amp;" "&amp;TRIM(PROPER(H1348))</f>
        <v>Mid-Level Manufacturing Director</v>
      </c>
      <c r="AC1348" s="19" t="str">
        <f t="shared" ca="1" si="241"/>
        <v>Ma-Res-2017-1347 is a Mid-Level Manufacturing Director in the Research &amp; Development department, aged 45, married and has been with the Company for 9years</v>
      </c>
    </row>
    <row r="1349" spans="1:29">
      <c r="A1349" s="18" t="str">
        <f t="shared" ca="1" si="231"/>
        <v>Hu-Hum-2016-1348</v>
      </c>
      <c r="B1349" s="5">
        <v>36</v>
      </c>
      <c r="C1349" s="5" t="str">
        <f t="shared" si="232"/>
        <v>30-39</v>
      </c>
      <c r="D1349" s="5" t="s">
        <v>43</v>
      </c>
      <c r="E1349" s="5" t="s">
        <v>61</v>
      </c>
      <c r="F1349" s="5" t="s">
        <v>46</v>
      </c>
      <c r="G1349" s="5">
        <v>2</v>
      </c>
      <c r="H1349" s="5" t="s">
        <v>61</v>
      </c>
      <c r="I1349" s="5" t="s">
        <v>41</v>
      </c>
      <c r="J1349" s="7">
        <v>3886</v>
      </c>
      <c r="K1349" s="7">
        <f t="shared" si="233"/>
        <v>582.9</v>
      </c>
      <c r="L1349" s="7">
        <f t="shared" si="234"/>
        <v>3303.1</v>
      </c>
      <c r="M1349" s="7">
        <v>4223</v>
      </c>
      <c r="N1349" s="5" t="s">
        <v>43</v>
      </c>
      <c r="O1349" s="5">
        <v>21</v>
      </c>
      <c r="P1349" s="7">
        <f t="shared" si="235"/>
        <v>4702.0599999999995</v>
      </c>
      <c r="Q1349" s="7">
        <f t="shared" si="236"/>
        <v>9792.7199999999939</v>
      </c>
      <c r="R1349" s="7" t="str">
        <f t="shared" si="237"/>
        <v>Normal</v>
      </c>
      <c r="S1349" s="5">
        <v>4</v>
      </c>
      <c r="T1349" s="5">
        <v>2</v>
      </c>
      <c r="U1349" s="5" t="str" cm="1">
        <f t="array" ref="U1349">_xlfn.IFS(T1349=1,"Poor",T1349=2,"Fair",T1349=3,"Good",T1349=4,"Excellent")</f>
        <v>Fair</v>
      </c>
      <c r="V1349" s="5" t="s">
        <v>43</v>
      </c>
      <c r="W1349" s="5">
        <v>10</v>
      </c>
      <c r="X1349" s="28">
        <f t="shared" ca="1" si="238"/>
        <v>42459</v>
      </c>
      <c r="Y1349" s="28">
        <f t="shared" ca="1" si="239"/>
        <v>46842</v>
      </c>
      <c r="Z1349" s="28" t="str">
        <f t="shared" ca="1" si="240"/>
        <v>Upcoming</v>
      </c>
      <c r="AA1349" s="5" t="str" cm="1">
        <f t="array" ref="AA1349">_xlfn.IFS(W1349&gt;10,"Veteran",W1349&gt;=6,"Experienced",W1349&gt;=2,"Developing",W1349&gt;=0,"New")</f>
        <v>Experienced</v>
      </c>
      <c r="AB1349" s="5" t="str" cm="1">
        <f t="array" ref="AB1349">_xlfn.IFS(G1349=1,"Junior",G1349=2,"Mid-Level",G1349=3,"Senior",G1349=4,"Lead",G1349=5,"Principal")&amp;" "&amp;TRIM(PROPER(H1349))</f>
        <v>Mid-Level Human Resources</v>
      </c>
      <c r="AC1349" s="19" t="str">
        <f t="shared" ca="1" si="241"/>
        <v>Hu-Hum-2016-1348 is a Mid-Level Human Resources in the Human Resources department, aged 36, single and has been with the Company for 10years</v>
      </c>
    </row>
    <row r="1350" spans="1:29">
      <c r="A1350" s="18" t="str">
        <f t="shared" ca="1" si="231"/>
        <v>Ma-Res-2007-1349</v>
      </c>
      <c r="B1350" s="5">
        <v>40</v>
      </c>
      <c r="C1350" s="5" t="str">
        <f t="shared" si="232"/>
        <v>40-49</v>
      </c>
      <c r="D1350" s="5" t="s">
        <v>43</v>
      </c>
      <c r="E1350" s="5" t="s">
        <v>45</v>
      </c>
      <c r="F1350" s="5" t="s">
        <v>46</v>
      </c>
      <c r="G1350" s="5">
        <v>4</v>
      </c>
      <c r="H1350" s="5" t="s">
        <v>56</v>
      </c>
      <c r="I1350" s="5" t="s">
        <v>52</v>
      </c>
      <c r="J1350" s="7">
        <v>16823</v>
      </c>
      <c r="K1350" s="7">
        <f t="shared" si="233"/>
        <v>5046.8999999999996</v>
      </c>
      <c r="L1350" s="7">
        <f t="shared" si="234"/>
        <v>11776.1</v>
      </c>
      <c r="M1350" s="7">
        <v>18991</v>
      </c>
      <c r="N1350" s="5" t="s">
        <v>43</v>
      </c>
      <c r="O1350" s="5">
        <v>11</v>
      </c>
      <c r="P1350" s="7">
        <f t="shared" si="235"/>
        <v>18673.530000000002</v>
      </c>
      <c r="Q1350" s="7">
        <f t="shared" si="236"/>
        <v>22206.36000000003</v>
      </c>
      <c r="R1350" s="7" t="str">
        <f t="shared" si="237"/>
        <v>Normal</v>
      </c>
      <c r="S1350" s="5">
        <v>3</v>
      </c>
      <c r="T1350" s="5">
        <v>3</v>
      </c>
      <c r="U1350" s="5" t="str" cm="1">
        <f t="array" ref="U1350">_xlfn.IFS(T1350=1,"Poor",T1350=2,"Fair",T1350=3,"Good",T1350=4,"Excellent")</f>
        <v>Good</v>
      </c>
      <c r="V1350" s="5" t="s">
        <v>43</v>
      </c>
      <c r="W1350" s="5">
        <v>19</v>
      </c>
      <c r="X1350" s="28">
        <f t="shared" ca="1" si="238"/>
        <v>39171</v>
      </c>
      <c r="Y1350" s="28">
        <f t="shared" ca="1" si="239"/>
        <v>46476</v>
      </c>
      <c r="Z1350" s="28" t="str">
        <f t="shared" ca="1" si="240"/>
        <v>Due Soon</v>
      </c>
      <c r="AA1350" s="5" t="str" cm="1">
        <f t="array" ref="AA1350">_xlfn.IFS(W1350&gt;10,"Veteran",W1350&gt;=6,"Experienced",W1350&gt;=2,"Developing",W1350&gt;=0,"New")</f>
        <v>Veteran</v>
      </c>
      <c r="AB1350" s="5" t="str" cm="1">
        <f t="array" ref="AB1350">_xlfn.IFS(G1350=1,"Junior",G1350=2,"Mid-Level",G1350=3,"Senior",G1350=4,"Lead",G1350=5,"Principal")&amp;" "&amp;TRIM(PROPER(H1350))</f>
        <v>Lead Manager</v>
      </c>
      <c r="AC1350" s="19" t="str">
        <f t="shared" ca="1" si="241"/>
        <v>Ma-Res-2007-1349 is a Lead Manager in the Research &amp; Development department, aged 40, divorced and has been with the Company for 19years</v>
      </c>
    </row>
    <row r="1351" spans="1:29">
      <c r="A1351" s="18" t="str">
        <f t="shared" ca="1" si="231"/>
        <v>Re-Res-2025-1350</v>
      </c>
      <c r="B1351" s="5">
        <v>26</v>
      </c>
      <c r="C1351" s="5" t="str">
        <f t="shared" si="232"/>
        <v>20-29</v>
      </c>
      <c r="D1351" s="5" t="s">
        <v>43</v>
      </c>
      <c r="E1351" s="5" t="s">
        <v>45</v>
      </c>
      <c r="F1351" s="5" t="s">
        <v>39</v>
      </c>
      <c r="G1351" s="5">
        <v>1</v>
      </c>
      <c r="H1351" s="5" t="s">
        <v>47</v>
      </c>
      <c r="I1351" s="5" t="s">
        <v>48</v>
      </c>
      <c r="J1351" s="7">
        <v>2933</v>
      </c>
      <c r="K1351" s="7">
        <f t="shared" si="233"/>
        <v>205.31000000000003</v>
      </c>
      <c r="L1351" s="7">
        <f t="shared" si="234"/>
        <v>2727.69</v>
      </c>
      <c r="M1351" s="7">
        <v>14908</v>
      </c>
      <c r="N1351" s="5" t="s">
        <v>35</v>
      </c>
      <c r="O1351" s="5">
        <v>13</v>
      </c>
      <c r="P1351" s="7">
        <f t="shared" si="235"/>
        <v>3314.2899999999995</v>
      </c>
      <c r="Q1351" s="7">
        <f t="shared" si="236"/>
        <v>4575.4799999999941</v>
      </c>
      <c r="R1351" s="7" t="str">
        <f t="shared" si="237"/>
        <v>Normal</v>
      </c>
      <c r="S1351" s="5">
        <v>3</v>
      </c>
      <c r="T1351" s="5">
        <v>2</v>
      </c>
      <c r="U1351" s="5" t="str" cm="1">
        <f t="array" ref="U1351">_xlfn.IFS(T1351=1,"Poor",T1351=2,"Fair",T1351=3,"Good",T1351=4,"Excellent")</f>
        <v>Fair</v>
      </c>
      <c r="V1351" s="5" t="s">
        <v>35</v>
      </c>
      <c r="W1351" s="5">
        <v>1</v>
      </c>
      <c r="X1351" s="28">
        <f t="shared" ca="1" si="238"/>
        <v>45746</v>
      </c>
      <c r="Y1351" s="28">
        <f t="shared" ca="1" si="239"/>
        <v>46476</v>
      </c>
      <c r="Z1351" s="28" t="str">
        <f t="shared" ca="1" si="240"/>
        <v>Due Soon</v>
      </c>
      <c r="AA1351" s="5" t="str" cm="1">
        <f t="array" ref="AA1351">_xlfn.IFS(W1351&gt;10,"Veteran",W1351&gt;=6,"Experienced",W1351&gt;=2,"Developing",W1351&gt;=0,"New")</f>
        <v>New</v>
      </c>
      <c r="AB1351" s="5" t="str" cm="1">
        <f t="array" ref="AB1351">_xlfn.IFS(G1351=1,"Junior",G1351=2,"Mid-Level",G1351=3,"Senior",G1351=4,"Lead",G1351=5,"Principal")&amp;" "&amp;TRIM(PROPER(H1351))</f>
        <v>Junior Research Scientist</v>
      </c>
      <c r="AC1351" s="19" t="str">
        <f t="shared" ca="1" si="241"/>
        <v>Re-Res-2025-1350 is a Junior Research Scientist in the Research &amp; Development department, aged 26, married and has been with the Company for 1years</v>
      </c>
    </row>
    <row r="1352" spans="1:29">
      <c r="A1352" s="18" t="str">
        <f t="shared" ca="1" si="231"/>
        <v>Sa-Sal-2018-1351</v>
      </c>
      <c r="B1352" s="5">
        <v>27</v>
      </c>
      <c r="C1352" s="5" t="str">
        <f t="shared" si="232"/>
        <v>20-29</v>
      </c>
      <c r="D1352" s="5" t="s">
        <v>43</v>
      </c>
      <c r="E1352" s="5" t="s">
        <v>37</v>
      </c>
      <c r="F1352" s="5" t="s">
        <v>39</v>
      </c>
      <c r="G1352" s="5">
        <v>2</v>
      </c>
      <c r="H1352" s="5" t="s">
        <v>40</v>
      </c>
      <c r="I1352" s="5" t="s">
        <v>41</v>
      </c>
      <c r="J1352" s="7">
        <v>6500</v>
      </c>
      <c r="K1352" s="7">
        <f t="shared" si="233"/>
        <v>975</v>
      </c>
      <c r="L1352" s="7">
        <f t="shared" si="234"/>
        <v>5525</v>
      </c>
      <c r="M1352" s="7">
        <v>26997</v>
      </c>
      <c r="N1352" s="5" t="s">
        <v>43</v>
      </c>
      <c r="O1352" s="5">
        <v>14</v>
      </c>
      <c r="P1352" s="7">
        <f t="shared" si="235"/>
        <v>7410.0000000000009</v>
      </c>
      <c r="Q1352" s="7">
        <f t="shared" si="236"/>
        <v>10920.000000000011</v>
      </c>
      <c r="R1352" s="7" t="str">
        <f t="shared" si="237"/>
        <v>Normal</v>
      </c>
      <c r="S1352" s="5">
        <v>3</v>
      </c>
      <c r="T1352" s="5">
        <v>2</v>
      </c>
      <c r="U1352" s="5" t="str" cm="1">
        <f t="array" ref="U1352">_xlfn.IFS(T1352=1,"Poor",T1352=2,"Fair",T1352=3,"Good",T1352=4,"Excellent")</f>
        <v>Fair</v>
      </c>
      <c r="V1352" s="5" t="s">
        <v>43</v>
      </c>
      <c r="W1352" s="5">
        <v>8</v>
      </c>
      <c r="X1352" s="28">
        <f t="shared" ca="1" si="238"/>
        <v>43189</v>
      </c>
      <c r="Y1352" s="28">
        <f t="shared" ca="1" si="239"/>
        <v>46842</v>
      </c>
      <c r="Z1352" s="28" t="str">
        <f t="shared" ca="1" si="240"/>
        <v>Upcoming</v>
      </c>
      <c r="AA1352" s="5" t="str" cm="1">
        <f t="array" ref="AA1352">_xlfn.IFS(W1352&gt;10,"Veteran",W1352&gt;=6,"Experienced",W1352&gt;=2,"Developing",W1352&gt;=0,"New")</f>
        <v>Experienced</v>
      </c>
      <c r="AB1352" s="5" t="str" cm="1">
        <f t="array" ref="AB1352">_xlfn.IFS(G1352=1,"Junior",G1352=2,"Mid-Level",G1352=3,"Senior",G1352=4,"Lead",G1352=5,"Principal")&amp;" "&amp;TRIM(PROPER(H1352))</f>
        <v>Mid-Level Sales Executive</v>
      </c>
      <c r="AC1352" s="19" t="str">
        <f t="shared" ca="1" si="241"/>
        <v>Sa-Sal-2018-1351 is a Mid-Level Sales Executive in the Sales department, aged 27, single and has been with the Company for 8years</v>
      </c>
    </row>
    <row r="1353" spans="1:29">
      <c r="A1353" s="18" t="str">
        <f t="shared" ca="1" si="231"/>
        <v>Ma-Res-2004-1352</v>
      </c>
      <c r="B1353" s="5">
        <v>48</v>
      </c>
      <c r="C1353" s="5" t="str">
        <f t="shared" si="232"/>
        <v>40-49</v>
      </c>
      <c r="D1353" s="5" t="s">
        <v>43</v>
      </c>
      <c r="E1353" s="5" t="s">
        <v>45</v>
      </c>
      <c r="F1353" s="5" t="s">
        <v>39</v>
      </c>
      <c r="G1353" s="5">
        <v>4</v>
      </c>
      <c r="H1353" s="5" t="s">
        <v>56</v>
      </c>
      <c r="I1353" s="5" t="s">
        <v>52</v>
      </c>
      <c r="J1353" s="7">
        <v>17174</v>
      </c>
      <c r="K1353" s="7">
        <f t="shared" si="233"/>
        <v>5152.2</v>
      </c>
      <c r="L1353" s="7">
        <f t="shared" si="234"/>
        <v>12021.8</v>
      </c>
      <c r="M1353" s="7">
        <v>2437</v>
      </c>
      <c r="N1353" s="5" t="s">
        <v>43</v>
      </c>
      <c r="O1353" s="5">
        <v>11</v>
      </c>
      <c r="P1353" s="7">
        <f t="shared" si="235"/>
        <v>19063.140000000003</v>
      </c>
      <c r="Q1353" s="7">
        <f t="shared" si="236"/>
        <v>22669.680000000037</v>
      </c>
      <c r="R1353" s="7" t="str">
        <f t="shared" si="237"/>
        <v>Normal</v>
      </c>
      <c r="S1353" s="5">
        <v>3</v>
      </c>
      <c r="T1353" s="5">
        <v>3</v>
      </c>
      <c r="U1353" s="5" t="str" cm="1">
        <f t="array" ref="U1353">_xlfn.IFS(T1353=1,"Poor",T1353=2,"Fair",T1353=3,"Good",T1353=4,"Excellent")</f>
        <v>Good</v>
      </c>
      <c r="V1353" s="5" t="s">
        <v>43</v>
      </c>
      <c r="W1353" s="5">
        <v>22</v>
      </c>
      <c r="X1353" s="28">
        <f t="shared" ca="1" si="238"/>
        <v>38076</v>
      </c>
      <c r="Y1353" s="28">
        <f t="shared" ca="1" si="239"/>
        <v>46842</v>
      </c>
      <c r="Z1353" s="28" t="str">
        <f t="shared" ca="1" si="240"/>
        <v>Upcoming</v>
      </c>
      <c r="AA1353" s="5" t="str" cm="1">
        <f t="array" ref="AA1353">_xlfn.IFS(W1353&gt;10,"Veteran",W1353&gt;=6,"Experienced",W1353&gt;=2,"Developing",W1353&gt;=0,"New")</f>
        <v>Veteran</v>
      </c>
      <c r="AB1353" s="5" t="str" cm="1">
        <f t="array" ref="AB1353">_xlfn.IFS(G1353=1,"Junior",G1353=2,"Mid-Level",G1353=3,"Senior",G1353=4,"Lead",G1353=5,"Principal")&amp;" "&amp;TRIM(PROPER(H1353))</f>
        <v>Lead Manager</v>
      </c>
      <c r="AC1353" s="19" t="str">
        <f t="shared" ca="1" si="241"/>
        <v>Ma-Res-2004-1352 is a Lead Manager in the Research &amp; Development department, aged 48, divorced and has been with the Company for 22years</v>
      </c>
    </row>
    <row r="1354" spans="1:29">
      <c r="A1354" s="18" t="str">
        <f t="shared" ca="1" si="231"/>
        <v>He-Res-2024-1353</v>
      </c>
      <c r="B1354" s="5">
        <v>44</v>
      </c>
      <c r="C1354" s="5" t="str">
        <f t="shared" si="232"/>
        <v>40-49</v>
      </c>
      <c r="D1354" s="5" t="s">
        <v>43</v>
      </c>
      <c r="E1354" s="5" t="s">
        <v>45</v>
      </c>
      <c r="F1354" s="5" t="s">
        <v>46</v>
      </c>
      <c r="G1354" s="5">
        <v>2</v>
      </c>
      <c r="H1354" s="5" t="s">
        <v>54</v>
      </c>
      <c r="I1354" s="5" t="s">
        <v>48</v>
      </c>
      <c r="J1354" s="7">
        <v>5033</v>
      </c>
      <c r="K1354" s="7">
        <f t="shared" si="233"/>
        <v>754.94999999999993</v>
      </c>
      <c r="L1354" s="7">
        <f t="shared" si="234"/>
        <v>4278.05</v>
      </c>
      <c r="M1354" s="7">
        <v>9364</v>
      </c>
      <c r="N1354" s="5" t="s">
        <v>43</v>
      </c>
      <c r="O1354" s="5">
        <v>15</v>
      </c>
      <c r="P1354" s="7">
        <f t="shared" si="235"/>
        <v>5787.95</v>
      </c>
      <c r="Q1354" s="7">
        <f t="shared" si="236"/>
        <v>9059.3999999999978</v>
      </c>
      <c r="R1354" s="7" t="str">
        <f t="shared" si="237"/>
        <v>Normal</v>
      </c>
      <c r="S1354" s="5">
        <v>3</v>
      </c>
      <c r="T1354" s="5">
        <v>3</v>
      </c>
      <c r="U1354" s="5" t="str" cm="1">
        <f t="array" ref="U1354">_xlfn.IFS(T1354=1,"Poor",T1354=2,"Fair",T1354=3,"Good",T1354=4,"Excellent")</f>
        <v>Good</v>
      </c>
      <c r="V1354" s="5" t="s">
        <v>43</v>
      </c>
      <c r="W1354" s="5">
        <v>2</v>
      </c>
      <c r="X1354" s="28">
        <f t="shared" ca="1" si="238"/>
        <v>45381</v>
      </c>
      <c r="Y1354" s="28">
        <f t="shared" ca="1" si="239"/>
        <v>46842</v>
      </c>
      <c r="Z1354" s="28" t="str">
        <f t="shared" ca="1" si="240"/>
        <v>Upcoming</v>
      </c>
      <c r="AA1354" s="5" t="str" cm="1">
        <f t="array" ref="AA1354">_xlfn.IFS(W1354&gt;10,"Veteran",W1354&gt;=6,"Experienced",W1354&gt;=2,"Developing",W1354&gt;=0,"New")</f>
        <v>Developing</v>
      </c>
      <c r="AB1354" s="5" t="str" cm="1">
        <f t="array" ref="AB1354">_xlfn.IFS(G1354=1,"Junior",G1354=2,"Mid-Level",G1354=3,"Senior",G1354=4,"Lead",G1354=5,"Principal")&amp;" "&amp;TRIM(PROPER(H1354))</f>
        <v>Mid-Level Healthcare Representative</v>
      </c>
      <c r="AC1354" s="19" t="str">
        <f t="shared" ca="1" si="241"/>
        <v>He-Res-2024-1353 is a Mid-Level Healthcare Representative in the Research &amp; Development department, aged 44, married and has been with the Company for 2years</v>
      </c>
    </row>
    <row r="1355" spans="1:29">
      <c r="A1355" s="18" t="str">
        <f t="shared" ca="1" si="231"/>
        <v>Re-Res-2021-1354</v>
      </c>
      <c r="B1355" s="5">
        <v>34</v>
      </c>
      <c r="C1355" s="5" t="str">
        <f t="shared" si="232"/>
        <v>30-39</v>
      </c>
      <c r="D1355" s="5" t="s">
        <v>35</v>
      </c>
      <c r="E1355" s="5" t="s">
        <v>45</v>
      </c>
      <c r="F1355" s="5" t="s">
        <v>46</v>
      </c>
      <c r="G1355" s="5">
        <v>1</v>
      </c>
      <c r="H1355" s="5" t="s">
        <v>47</v>
      </c>
      <c r="I1355" s="5" t="s">
        <v>48</v>
      </c>
      <c r="J1355" s="7">
        <v>2307</v>
      </c>
      <c r="K1355" s="7">
        <f t="shared" si="233"/>
        <v>161.49</v>
      </c>
      <c r="L1355" s="7">
        <f t="shared" si="234"/>
        <v>2145.5100000000002</v>
      </c>
      <c r="M1355" s="7">
        <v>14460</v>
      </c>
      <c r="N1355" s="5" t="s">
        <v>35</v>
      </c>
      <c r="O1355" s="5">
        <v>23</v>
      </c>
      <c r="P1355" s="7">
        <f t="shared" si="235"/>
        <v>2837.61</v>
      </c>
      <c r="Q1355" s="7">
        <f t="shared" si="236"/>
        <v>6367.3200000000015</v>
      </c>
      <c r="R1355" s="7" t="str">
        <f t="shared" si="237"/>
        <v>Normal</v>
      </c>
      <c r="S1355" s="5">
        <v>4</v>
      </c>
      <c r="T1355" s="5">
        <v>3</v>
      </c>
      <c r="U1355" s="5" t="str" cm="1">
        <f t="array" ref="U1355">_xlfn.IFS(T1355=1,"Poor",T1355=2,"Fair",T1355=3,"Good",T1355=4,"Excellent")</f>
        <v>Good</v>
      </c>
      <c r="V1355" s="5" t="s">
        <v>35</v>
      </c>
      <c r="W1355" s="5">
        <v>5</v>
      </c>
      <c r="X1355" s="28">
        <f t="shared" ca="1" si="238"/>
        <v>44285</v>
      </c>
      <c r="Y1355" s="28">
        <f t="shared" ca="1" si="239"/>
        <v>46476</v>
      </c>
      <c r="Z1355" s="28" t="str">
        <f t="shared" ca="1" si="240"/>
        <v>Due Soon</v>
      </c>
      <c r="AA1355" s="5" t="str" cm="1">
        <f t="array" ref="AA1355">_xlfn.IFS(W1355&gt;10,"Veteran",W1355&gt;=6,"Experienced",W1355&gt;=2,"Developing",W1355&gt;=0,"New")</f>
        <v>Developing</v>
      </c>
      <c r="AB1355" s="5" t="str" cm="1">
        <f t="array" ref="AB1355">_xlfn.IFS(G1355=1,"Junior",G1355=2,"Mid-Level",G1355=3,"Senior",G1355=4,"Lead",G1355=5,"Principal")&amp;" "&amp;TRIM(PROPER(H1355))</f>
        <v>Junior Research Scientist</v>
      </c>
      <c r="AC1355" s="19" t="str">
        <f t="shared" ca="1" si="241"/>
        <v>Re-Res-2021-1354 is a Junior Research Scientist in the Research &amp; Development department, aged 34, married and has been with the Company for 5years</v>
      </c>
    </row>
    <row r="1356" spans="1:29">
      <c r="A1356" s="18" t="str">
        <f t="shared" ca="1" si="231"/>
        <v>La-Res-2022-1355</v>
      </c>
      <c r="B1356" s="5">
        <v>56</v>
      </c>
      <c r="C1356" s="5" t="str">
        <f t="shared" si="232"/>
        <v>50+</v>
      </c>
      <c r="D1356" s="5" t="s">
        <v>35</v>
      </c>
      <c r="E1356" s="5" t="s">
        <v>45</v>
      </c>
      <c r="F1356" s="5" t="s">
        <v>46</v>
      </c>
      <c r="G1356" s="5">
        <v>1</v>
      </c>
      <c r="H1356" s="5" t="s">
        <v>50</v>
      </c>
      <c r="I1356" s="5" t="s">
        <v>41</v>
      </c>
      <c r="J1356" s="7">
        <v>2587</v>
      </c>
      <c r="K1356" s="7">
        <f t="shared" si="233"/>
        <v>181.09</v>
      </c>
      <c r="L1356" s="7">
        <f t="shared" si="234"/>
        <v>2405.91</v>
      </c>
      <c r="M1356" s="7">
        <v>10261</v>
      </c>
      <c r="N1356" s="5" t="s">
        <v>43</v>
      </c>
      <c r="O1356" s="5">
        <v>16</v>
      </c>
      <c r="P1356" s="7">
        <f t="shared" si="235"/>
        <v>3000.9199999999996</v>
      </c>
      <c r="Q1356" s="7">
        <f t="shared" si="236"/>
        <v>4967.0399999999954</v>
      </c>
      <c r="R1356" s="7" t="str">
        <f t="shared" si="237"/>
        <v>Normal</v>
      </c>
      <c r="S1356" s="5">
        <v>3</v>
      </c>
      <c r="T1356" s="5">
        <v>3</v>
      </c>
      <c r="U1356" s="5" t="str" cm="1">
        <f t="array" ref="U1356">_xlfn.IFS(T1356=1,"Poor",T1356=2,"Fair",T1356=3,"Good",T1356=4,"Excellent")</f>
        <v>Good</v>
      </c>
      <c r="V1356" s="5" t="s">
        <v>43</v>
      </c>
      <c r="W1356" s="5">
        <v>4</v>
      </c>
      <c r="X1356" s="28">
        <f t="shared" ca="1" si="238"/>
        <v>44650</v>
      </c>
      <c r="Y1356" s="28">
        <f t="shared" ca="1" si="239"/>
        <v>46842</v>
      </c>
      <c r="Z1356" s="28" t="str">
        <f t="shared" ca="1" si="240"/>
        <v>Upcoming</v>
      </c>
      <c r="AA1356" s="5" t="str" cm="1">
        <f t="array" ref="AA1356">_xlfn.IFS(W1356&gt;10,"Veteran",W1356&gt;=6,"Experienced",W1356&gt;=2,"Developing",W1356&gt;=0,"New")</f>
        <v>Developing</v>
      </c>
      <c r="AB1356" s="5" t="str" cm="1">
        <f t="array" ref="AB1356">_xlfn.IFS(G1356=1,"Junior",G1356=2,"Mid-Level",G1356=3,"Senior",G1356=4,"Lead",G1356=5,"Principal")&amp;" "&amp;TRIM(PROPER(H1356))</f>
        <v>Junior Laboratory Technician</v>
      </c>
      <c r="AC1356" s="19" t="str">
        <f t="shared" ca="1" si="241"/>
        <v>La-Res-2022-1355 is a Junior Laboratory Technician in the Research &amp; Development department, aged 56, single and has been with the Company for 4years</v>
      </c>
    </row>
    <row r="1357" spans="1:29">
      <c r="A1357" s="18" t="str">
        <f t="shared" ca="1" si="231"/>
        <v>Sa-Sal-2022-1356</v>
      </c>
      <c r="B1357" s="5">
        <v>36</v>
      </c>
      <c r="C1357" s="5" t="str">
        <f t="shared" si="232"/>
        <v>30-39</v>
      </c>
      <c r="D1357" s="5" t="s">
        <v>43</v>
      </c>
      <c r="E1357" s="5" t="s">
        <v>37</v>
      </c>
      <c r="F1357" s="5" t="s">
        <v>46</v>
      </c>
      <c r="G1357" s="5">
        <v>2</v>
      </c>
      <c r="H1357" s="5" t="s">
        <v>40</v>
      </c>
      <c r="I1357" s="5" t="s">
        <v>48</v>
      </c>
      <c r="J1357" s="7">
        <v>5507</v>
      </c>
      <c r="K1357" s="7">
        <f t="shared" si="233"/>
        <v>826.05</v>
      </c>
      <c r="L1357" s="7">
        <f t="shared" si="234"/>
        <v>4680.95</v>
      </c>
      <c r="M1357" s="7">
        <v>16822</v>
      </c>
      <c r="N1357" s="5" t="s">
        <v>43</v>
      </c>
      <c r="O1357" s="5">
        <v>16</v>
      </c>
      <c r="P1357" s="7">
        <f t="shared" si="235"/>
        <v>6388.12</v>
      </c>
      <c r="Q1357" s="7">
        <f t="shared" si="236"/>
        <v>10573.439999999999</v>
      </c>
      <c r="R1357" s="7" t="str">
        <f t="shared" si="237"/>
        <v>Normal</v>
      </c>
      <c r="S1357" s="5">
        <v>3</v>
      </c>
      <c r="T1357" s="5">
        <v>1</v>
      </c>
      <c r="U1357" s="5" t="str" cm="1">
        <f t="array" ref="U1357">_xlfn.IFS(T1357=1,"Poor",T1357=2,"Fair",T1357=3,"Good",T1357=4,"Excellent")</f>
        <v>Poor</v>
      </c>
      <c r="V1357" s="5" t="s">
        <v>43</v>
      </c>
      <c r="W1357" s="5">
        <v>4</v>
      </c>
      <c r="X1357" s="28">
        <f t="shared" ca="1" si="238"/>
        <v>44650</v>
      </c>
      <c r="Y1357" s="28">
        <f t="shared" ca="1" si="239"/>
        <v>46842</v>
      </c>
      <c r="Z1357" s="28" t="str">
        <f t="shared" ca="1" si="240"/>
        <v>Upcoming</v>
      </c>
      <c r="AA1357" s="5" t="str" cm="1">
        <f t="array" ref="AA1357">_xlfn.IFS(W1357&gt;10,"Veteran",W1357&gt;=6,"Experienced",W1357&gt;=2,"Developing",W1357&gt;=0,"New")</f>
        <v>Developing</v>
      </c>
      <c r="AB1357" s="5" t="str" cm="1">
        <f t="array" ref="AB1357">_xlfn.IFS(G1357=1,"Junior",G1357=2,"Mid-Level",G1357=3,"Senior",G1357=4,"Lead",G1357=5,"Principal")&amp;" "&amp;TRIM(PROPER(H1357))</f>
        <v>Mid-Level Sales Executive</v>
      </c>
      <c r="AC1357" s="19" t="str">
        <f t="shared" ca="1" si="241"/>
        <v>Sa-Sal-2022-1356 is a Mid-Level Sales Executive in the Sales department, aged 36, married and has been with the Company for 4years</v>
      </c>
    </row>
    <row r="1358" spans="1:29">
      <c r="A1358" s="18" t="str">
        <f t="shared" ca="1" si="231"/>
        <v>Sa-Sal-2021-1357</v>
      </c>
      <c r="B1358" s="5">
        <v>41</v>
      </c>
      <c r="C1358" s="5" t="str">
        <f t="shared" si="232"/>
        <v>40-49</v>
      </c>
      <c r="D1358" s="5" t="s">
        <v>43</v>
      </c>
      <c r="E1358" s="5" t="s">
        <v>37</v>
      </c>
      <c r="F1358" s="5" t="s">
        <v>39</v>
      </c>
      <c r="G1358" s="5">
        <v>2</v>
      </c>
      <c r="H1358" s="5" t="s">
        <v>40</v>
      </c>
      <c r="I1358" s="5" t="s">
        <v>48</v>
      </c>
      <c r="J1358" s="7">
        <v>4393</v>
      </c>
      <c r="K1358" s="7">
        <f t="shared" si="233"/>
        <v>658.94999999999993</v>
      </c>
      <c r="L1358" s="7">
        <f t="shared" si="234"/>
        <v>3734.05</v>
      </c>
      <c r="M1358" s="7">
        <v>26841</v>
      </c>
      <c r="N1358" s="5" t="s">
        <v>43</v>
      </c>
      <c r="O1358" s="5">
        <v>21</v>
      </c>
      <c r="P1358" s="7">
        <f t="shared" si="235"/>
        <v>5315.53</v>
      </c>
      <c r="Q1358" s="7">
        <f t="shared" si="236"/>
        <v>11070.359999999997</v>
      </c>
      <c r="R1358" s="7" t="str">
        <f t="shared" si="237"/>
        <v>Normal</v>
      </c>
      <c r="S1358" s="5">
        <v>4</v>
      </c>
      <c r="T1358" s="5">
        <v>3</v>
      </c>
      <c r="U1358" s="5" t="str" cm="1">
        <f t="array" ref="U1358">_xlfn.IFS(T1358=1,"Poor",T1358=2,"Fair",T1358=3,"Good",T1358=4,"Excellent")</f>
        <v>Good</v>
      </c>
      <c r="V1358" s="5" t="s">
        <v>43</v>
      </c>
      <c r="W1358" s="5">
        <v>5</v>
      </c>
      <c r="X1358" s="28">
        <f t="shared" ca="1" si="238"/>
        <v>44285</v>
      </c>
      <c r="Y1358" s="28">
        <f t="shared" ca="1" si="239"/>
        <v>46476</v>
      </c>
      <c r="Z1358" s="28" t="str">
        <f t="shared" ca="1" si="240"/>
        <v>Due Soon</v>
      </c>
      <c r="AA1358" s="5" t="str" cm="1">
        <f t="array" ref="AA1358">_xlfn.IFS(W1358&gt;10,"Veteran",W1358&gt;=6,"Experienced",W1358&gt;=2,"Developing",W1358&gt;=0,"New")</f>
        <v>Developing</v>
      </c>
      <c r="AB1358" s="5" t="str" cm="1">
        <f t="array" ref="AB1358">_xlfn.IFS(G1358=1,"Junior",G1358=2,"Mid-Level",G1358=3,"Senior",G1358=4,"Lead",G1358=5,"Principal")&amp;" "&amp;TRIM(PROPER(H1358))</f>
        <v>Mid-Level Sales Executive</v>
      </c>
      <c r="AC1358" s="19" t="str">
        <f t="shared" ca="1" si="241"/>
        <v>Sa-Sal-2021-1357 is a Mid-Level Sales Executive in the Sales department, aged 41, married and has been with the Company for 5years</v>
      </c>
    </row>
    <row r="1359" spans="1:29">
      <c r="A1359" s="18" t="str">
        <f t="shared" ca="1" si="231"/>
        <v>Re-Res-2013-1358</v>
      </c>
      <c r="B1359" s="5">
        <v>42</v>
      </c>
      <c r="C1359" s="5" t="str">
        <f t="shared" si="232"/>
        <v>40-49</v>
      </c>
      <c r="D1359" s="5" t="s">
        <v>43</v>
      </c>
      <c r="E1359" s="5" t="s">
        <v>45</v>
      </c>
      <c r="F1359" s="5" t="s">
        <v>46</v>
      </c>
      <c r="G1359" s="5">
        <v>3</v>
      </c>
      <c r="H1359" s="5" t="s">
        <v>58</v>
      </c>
      <c r="I1359" s="5" t="s">
        <v>48</v>
      </c>
      <c r="J1359" s="7">
        <v>13348</v>
      </c>
      <c r="K1359" s="7">
        <f t="shared" si="233"/>
        <v>4004.3999999999996</v>
      </c>
      <c r="L1359" s="7">
        <f t="shared" si="234"/>
        <v>9343.6</v>
      </c>
      <c r="M1359" s="7">
        <v>14842</v>
      </c>
      <c r="N1359" s="5" t="s">
        <v>43</v>
      </c>
      <c r="O1359" s="5">
        <v>13</v>
      </c>
      <c r="P1359" s="7">
        <f t="shared" si="235"/>
        <v>15083.239999999998</v>
      </c>
      <c r="Q1359" s="7">
        <f t="shared" si="236"/>
        <v>20822.879999999976</v>
      </c>
      <c r="R1359" s="7" t="str">
        <f t="shared" si="237"/>
        <v>Normal</v>
      </c>
      <c r="S1359" s="5">
        <v>3</v>
      </c>
      <c r="T1359" s="5">
        <v>4</v>
      </c>
      <c r="U1359" s="5" t="str" cm="1">
        <f t="array" ref="U1359">_xlfn.IFS(T1359=1,"Poor",T1359=2,"Fair",T1359=3,"Good",T1359=4,"Excellent")</f>
        <v>Excellent</v>
      </c>
      <c r="V1359" s="5" t="s">
        <v>43</v>
      </c>
      <c r="W1359" s="5">
        <v>13</v>
      </c>
      <c r="X1359" s="28">
        <f t="shared" ca="1" si="238"/>
        <v>41363</v>
      </c>
      <c r="Y1359" s="28">
        <f t="shared" ca="1" si="239"/>
        <v>46476</v>
      </c>
      <c r="Z1359" s="28" t="str">
        <f t="shared" ca="1" si="240"/>
        <v>Due Soon</v>
      </c>
      <c r="AA1359" s="5" t="str" cm="1">
        <f t="array" ref="AA1359">_xlfn.IFS(W1359&gt;10,"Veteran",W1359&gt;=6,"Experienced",W1359&gt;=2,"Developing",W1359&gt;=0,"New")</f>
        <v>Veteran</v>
      </c>
      <c r="AB1359" s="5" t="str" cm="1">
        <f t="array" ref="AB1359">_xlfn.IFS(G1359=1,"Junior",G1359=2,"Mid-Level",G1359=3,"Senior",G1359=4,"Lead",G1359=5,"Principal")&amp;" "&amp;TRIM(PROPER(H1359))</f>
        <v>Senior Research Director</v>
      </c>
      <c r="AC1359" s="19" t="str">
        <f t="shared" ca="1" si="241"/>
        <v>Re-Res-2013-1358 is a Senior Research Director in the Research &amp; Development department, aged 42, married and has been with the Company for 13years</v>
      </c>
    </row>
    <row r="1360" spans="1:29">
      <c r="A1360" s="18" t="str">
        <f t="shared" ca="1" si="231"/>
        <v>Sa-Sal-2021-1359</v>
      </c>
      <c r="B1360" s="5">
        <v>31</v>
      </c>
      <c r="C1360" s="5" t="str">
        <f t="shared" si="232"/>
        <v>30-39</v>
      </c>
      <c r="D1360" s="5" t="s">
        <v>43</v>
      </c>
      <c r="E1360" s="5" t="s">
        <v>37</v>
      </c>
      <c r="F1360" s="5" t="s">
        <v>39</v>
      </c>
      <c r="G1360" s="5">
        <v>2</v>
      </c>
      <c r="H1360" s="5" t="s">
        <v>40</v>
      </c>
      <c r="I1360" s="5" t="s">
        <v>52</v>
      </c>
      <c r="J1360" s="7">
        <v>6583</v>
      </c>
      <c r="K1360" s="7">
        <f t="shared" si="233"/>
        <v>987.44999999999993</v>
      </c>
      <c r="L1360" s="7">
        <f t="shared" si="234"/>
        <v>5595.55</v>
      </c>
      <c r="M1360" s="7">
        <v>20115</v>
      </c>
      <c r="N1360" s="5" t="s">
        <v>35</v>
      </c>
      <c r="O1360" s="5">
        <v>11</v>
      </c>
      <c r="P1360" s="7">
        <f t="shared" si="235"/>
        <v>7307.130000000001</v>
      </c>
      <c r="Q1360" s="7">
        <f t="shared" si="236"/>
        <v>8689.5600000000122</v>
      </c>
      <c r="R1360" s="7" t="str">
        <f t="shared" si="237"/>
        <v>Normal</v>
      </c>
      <c r="S1360" s="5">
        <v>3</v>
      </c>
      <c r="T1360" s="5">
        <v>3</v>
      </c>
      <c r="U1360" s="5" t="str" cm="1">
        <f t="array" ref="U1360">_xlfn.IFS(T1360=1,"Poor",T1360=2,"Fair",T1360=3,"Good",T1360=4,"Excellent")</f>
        <v>Good</v>
      </c>
      <c r="V1360" s="5" t="s">
        <v>35</v>
      </c>
      <c r="W1360" s="5">
        <v>5</v>
      </c>
      <c r="X1360" s="28">
        <f t="shared" ca="1" si="238"/>
        <v>44285</v>
      </c>
      <c r="Y1360" s="28">
        <f t="shared" ca="1" si="239"/>
        <v>46476</v>
      </c>
      <c r="Z1360" s="28" t="str">
        <f t="shared" ca="1" si="240"/>
        <v>Due Soon</v>
      </c>
      <c r="AA1360" s="5" t="str" cm="1">
        <f t="array" ref="AA1360">_xlfn.IFS(W1360&gt;10,"Veteran",W1360&gt;=6,"Experienced",W1360&gt;=2,"Developing",W1360&gt;=0,"New")</f>
        <v>Developing</v>
      </c>
      <c r="AB1360" s="5" t="str" cm="1">
        <f t="array" ref="AB1360">_xlfn.IFS(G1360=1,"Junior",G1360=2,"Mid-Level",G1360=3,"Senior",G1360=4,"Lead",G1360=5,"Principal")&amp;" "&amp;TRIM(PROPER(H1360))</f>
        <v>Mid-Level Sales Executive</v>
      </c>
      <c r="AC1360" s="19" t="str">
        <f t="shared" ca="1" si="241"/>
        <v>Sa-Sal-2021-1359 is a Mid-Level Sales Executive in the Sales department, aged 31, divorced and has been with the Company for 5years</v>
      </c>
    </row>
    <row r="1361" spans="1:29">
      <c r="A1361" s="18" t="str">
        <f t="shared" ca="1" si="231"/>
        <v>Sa-Sal-2022-1360</v>
      </c>
      <c r="B1361" s="5">
        <v>34</v>
      </c>
      <c r="C1361" s="5" t="str">
        <f t="shared" si="232"/>
        <v>30-39</v>
      </c>
      <c r="D1361" s="5" t="s">
        <v>43</v>
      </c>
      <c r="E1361" s="5" t="s">
        <v>37</v>
      </c>
      <c r="F1361" s="5" t="s">
        <v>39</v>
      </c>
      <c r="G1361" s="5">
        <v>2</v>
      </c>
      <c r="H1361" s="5" t="s">
        <v>40</v>
      </c>
      <c r="I1361" s="5" t="s">
        <v>48</v>
      </c>
      <c r="J1361" s="7">
        <v>8103</v>
      </c>
      <c r="K1361" s="7">
        <f t="shared" si="233"/>
        <v>1782.66</v>
      </c>
      <c r="L1361" s="7">
        <f t="shared" si="234"/>
        <v>6320.34</v>
      </c>
      <c r="M1361" s="7">
        <v>16495</v>
      </c>
      <c r="N1361" s="5" t="s">
        <v>35</v>
      </c>
      <c r="O1361" s="5">
        <v>12</v>
      </c>
      <c r="P1361" s="7">
        <f t="shared" si="235"/>
        <v>9075.36</v>
      </c>
      <c r="Q1361" s="7">
        <f t="shared" si="236"/>
        <v>11668.320000000007</v>
      </c>
      <c r="R1361" s="7" t="str">
        <f t="shared" si="237"/>
        <v>Normal</v>
      </c>
      <c r="S1361" s="5">
        <v>3</v>
      </c>
      <c r="T1361" s="5">
        <v>2</v>
      </c>
      <c r="U1361" s="5" t="str" cm="1">
        <f t="array" ref="U1361">_xlfn.IFS(T1361=1,"Poor",T1361=2,"Fair",T1361=3,"Good",T1361=4,"Excellent")</f>
        <v>Fair</v>
      </c>
      <c r="V1361" s="5" t="s">
        <v>35</v>
      </c>
      <c r="W1361" s="5">
        <v>4</v>
      </c>
      <c r="X1361" s="28">
        <f t="shared" ca="1" si="238"/>
        <v>44650</v>
      </c>
      <c r="Y1361" s="28">
        <f t="shared" ca="1" si="239"/>
        <v>46842</v>
      </c>
      <c r="Z1361" s="28" t="str">
        <f t="shared" ca="1" si="240"/>
        <v>Upcoming</v>
      </c>
      <c r="AA1361" s="5" t="str" cm="1">
        <f t="array" ref="AA1361">_xlfn.IFS(W1361&gt;10,"Veteran",W1361&gt;=6,"Experienced",W1361&gt;=2,"Developing",W1361&gt;=0,"New")</f>
        <v>Developing</v>
      </c>
      <c r="AB1361" s="5" t="str" cm="1">
        <f t="array" ref="AB1361">_xlfn.IFS(G1361=1,"Junior",G1361=2,"Mid-Level",G1361=3,"Senior",G1361=4,"Lead",G1361=5,"Principal")&amp;" "&amp;TRIM(PROPER(H1361))</f>
        <v>Mid-Level Sales Executive</v>
      </c>
      <c r="AC1361" s="19" t="str">
        <f t="shared" ca="1" si="241"/>
        <v>Sa-Sal-2022-1360 is a Mid-Level Sales Executive in the Sales department, aged 34, married and has been with the Company for 4years</v>
      </c>
    </row>
    <row r="1362" spans="1:29">
      <c r="A1362" s="18" t="str">
        <f t="shared" ca="1" si="231"/>
        <v>La-Res-2024-1361</v>
      </c>
      <c r="B1362" s="5">
        <v>31</v>
      </c>
      <c r="C1362" s="5" t="str">
        <f t="shared" si="232"/>
        <v>30-39</v>
      </c>
      <c r="D1362" s="5" t="s">
        <v>43</v>
      </c>
      <c r="E1362" s="5" t="s">
        <v>45</v>
      </c>
      <c r="F1362" s="5" t="s">
        <v>39</v>
      </c>
      <c r="G1362" s="5">
        <v>1</v>
      </c>
      <c r="H1362" s="5" t="s">
        <v>50</v>
      </c>
      <c r="I1362" s="5" t="s">
        <v>52</v>
      </c>
      <c r="J1362" s="7">
        <v>3978</v>
      </c>
      <c r="K1362" s="7">
        <f t="shared" si="233"/>
        <v>596.69999999999993</v>
      </c>
      <c r="L1362" s="7">
        <f t="shared" si="234"/>
        <v>3381.3</v>
      </c>
      <c r="M1362" s="7">
        <v>16031</v>
      </c>
      <c r="N1362" s="5" t="s">
        <v>43</v>
      </c>
      <c r="O1362" s="5">
        <v>12</v>
      </c>
      <c r="P1362" s="7">
        <f t="shared" si="235"/>
        <v>4455.3600000000006</v>
      </c>
      <c r="Q1362" s="7">
        <f t="shared" si="236"/>
        <v>5728.320000000007</v>
      </c>
      <c r="R1362" s="7" t="str">
        <f t="shared" si="237"/>
        <v>Normal</v>
      </c>
      <c r="S1362" s="5">
        <v>3</v>
      </c>
      <c r="T1362" s="5">
        <v>2</v>
      </c>
      <c r="U1362" s="5" t="str" cm="1">
        <f t="array" ref="U1362">_xlfn.IFS(T1362=1,"Poor",T1362=2,"Fair",T1362=3,"Good",T1362=4,"Excellent")</f>
        <v>Fair</v>
      </c>
      <c r="V1362" s="5" t="s">
        <v>43</v>
      </c>
      <c r="W1362" s="5">
        <v>2</v>
      </c>
      <c r="X1362" s="28">
        <f t="shared" ca="1" si="238"/>
        <v>45381</v>
      </c>
      <c r="Y1362" s="28">
        <f t="shared" ca="1" si="239"/>
        <v>46842</v>
      </c>
      <c r="Z1362" s="28" t="str">
        <f t="shared" ca="1" si="240"/>
        <v>Upcoming</v>
      </c>
      <c r="AA1362" s="5" t="str" cm="1">
        <f t="array" ref="AA1362">_xlfn.IFS(W1362&gt;10,"Veteran",W1362&gt;=6,"Experienced",W1362&gt;=2,"Developing",W1362&gt;=0,"New")</f>
        <v>Developing</v>
      </c>
      <c r="AB1362" s="5" t="str" cm="1">
        <f t="array" ref="AB1362">_xlfn.IFS(G1362=1,"Junior",G1362=2,"Mid-Level",G1362=3,"Senior",G1362=4,"Lead",G1362=5,"Principal")&amp;" "&amp;TRIM(PROPER(H1362))</f>
        <v>Junior Laboratory Technician</v>
      </c>
      <c r="AC1362" s="19" t="str">
        <f t="shared" ca="1" si="241"/>
        <v>La-Res-2024-1361 is a Junior Laboratory Technician in the Research &amp; Development department, aged 31, divorced and has been with the Company for 2years</v>
      </c>
    </row>
    <row r="1363" spans="1:29">
      <c r="A1363" s="18" t="str">
        <f t="shared" ca="1" si="231"/>
        <v>La-Res-2019-1362</v>
      </c>
      <c r="B1363" s="5">
        <v>26</v>
      </c>
      <c r="C1363" s="5" t="str">
        <f t="shared" si="232"/>
        <v>20-29</v>
      </c>
      <c r="D1363" s="5" t="s">
        <v>43</v>
      </c>
      <c r="E1363" s="5" t="s">
        <v>45</v>
      </c>
      <c r="F1363" s="5" t="s">
        <v>46</v>
      </c>
      <c r="G1363" s="5">
        <v>1</v>
      </c>
      <c r="H1363" s="5" t="s">
        <v>50</v>
      </c>
      <c r="I1363" s="5" t="s">
        <v>48</v>
      </c>
      <c r="J1363" s="7">
        <v>2544</v>
      </c>
      <c r="K1363" s="7">
        <f t="shared" si="233"/>
        <v>178.08</v>
      </c>
      <c r="L1363" s="7">
        <f t="shared" si="234"/>
        <v>2365.92</v>
      </c>
      <c r="M1363" s="7">
        <v>7102</v>
      </c>
      <c r="N1363" s="5" t="s">
        <v>43</v>
      </c>
      <c r="O1363" s="5">
        <v>18</v>
      </c>
      <c r="P1363" s="7">
        <f t="shared" si="235"/>
        <v>3001.9199999999996</v>
      </c>
      <c r="Q1363" s="7">
        <f t="shared" si="236"/>
        <v>5495.0399999999954</v>
      </c>
      <c r="R1363" s="7" t="str">
        <f t="shared" si="237"/>
        <v>Normal</v>
      </c>
      <c r="S1363" s="5">
        <v>3</v>
      </c>
      <c r="T1363" s="5">
        <v>3</v>
      </c>
      <c r="U1363" s="5" t="str" cm="1">
        <f t="array" ref="U1363">_xlfn.IFS(T1363=1,"Poor",T1363=2,"Fair",T1363=3,"Good",T1363=4,"Excellent")</f>
        <v>Good</v>
      </c>
      <c r="V1363" s="5" t="s">
        <v>43</v>
      </c>
      <c r="W1363" s="5">
        <v>7</v>
      </c>
      <c r="X1363" s="28">
        <f t="shared" ca="1" si="238"/>
        <v>43554</v>
      </c>
      <c r="Y1363" s="28">
        <f t="shared" ca="1" si="239"/>
        <v>46476</v>
      </c>
      <c r="Z1363" s="28" t="str">
        <f t="shared" ca="1" si="240"/>
        <v>Due Soon</v>
      </c>
      <c r="AA1363" s="5" t="str" cm="1">
        <f t="array" ref="AA1363">_xlfn.IFS(W1363&gt;10,"Veteran",W1363&gt;=6,"Experienced",W1363&gt;=2,"Developing",W1363&gt;=0,"New")</f>
        <v>Experienced</v>
      </c>
      <c r="AB1363" s="5" t="str" cm="1">
        <f t="array" ref="AB1363">_xlfn.IFS(G1363=1,"Junior",G1363=2,"Mid-Level",G1363=3,"Senior",G1363=4,"Lead",G1363=5,"Principal")&amp;" "&amp;TRIM(PROPER(H1363))</f>
        <v>Junior Laboratory Technician</v>
      </c>
      <c r="AC1363" s="19" t="str">
        <f t="shared" ca="1" si="241"/>
        <v>La-Res-2019-1362 is a Junior Laboratory Technician in the Research &amp; Development department, aged 26, married and has been with the Company for 7years</v>
      </c>
    </row>
    <row r="1364" spans="1:29">
      <c r="A1364" s="18" t="str">
        <f t="shared" ca="1" si="231"/>
        <v>He-Res-2022-1363</v>
      </c>
      <c r="B1364" s="5">
        <v>45</v>
      </c>
      <c r="C1364" s="5" t="str">
        <f t="shared" si="232"/>
        <v>40-49</v>
      </c>
      <c r="D1364" s="5" t="s">
        <v>43</v>
      </c>
      <c r="E1364" s="5" t="s">
        <v>45</v>
      </c>
      <c r="F1364" s="5" t="s">
        <v>46</v>
      </c>
      <c r="G1364" s="5">
        <v>2</v>
      </c>
      <c r="H1364" s="5" t="s">
        <v>54</v>
      </c>
      <c r="I1364" s="5" t="s">
        <v>41</v>
      </c>
      <c r="J1364" s="7">
        <v>5399</v>
      </c>
      <c r="K1364" s="7">
        <f t="shared" si="233"/>
        <v>809.85</v>
      </c>
      <c r="L1364" s="7">
        <f t="shared" si="234"/>
        <v>4589.1499999999996</v>
      </c>
      <c r="M1364" s="7">
        <v>14511</v>
      </c>
      <c r="N1364" s="5" t="s">
        <v>43</v>
      </c>
      <c r="O1364" s="5">
        <v>12</v>
      </c>
      <c r="P1364" s="7">
        <f t="shared" si="235"/>
        <v>6046.880000000001</v>
      </c>
      <c r="Q1364" s="7">
        <f t="shared" si="236"/>
        <v>7774.5600000000122</v>
      </c>
      <c r="R1364" s="7" t="str">
        <f t="shared" si="237"/>
        <v>Normal</v>
      </c>
      <c r="S1364" s="5">
        <v>3</v>
      </c>
      <c r="T1364" s="5">
        <v>3</v>
      </c>
      <c r="U1364" s="5" t="str" cm="1">
        <f t="array" ref="U1364">_xlfn.IFS(T1364=1,"Poor",T1364=2,"Fair",T1364=3,"Good",T1364=4,"Excellent")</f>
        <v>Good</v>
      </c>
      <c r="V1364" s="5" t="s">
        <v>43</v>
      </c>
      <c r="W1364" s="5">
        <v>4</v>
      </c>
      <c r="X1364" s="28">
        <f t="shared" ca="1" si="238"/>
        <v>44650</v>
      </c>
      <c r="Y1364" s="28">
        <f t="shared" ca="1" si="239"/>
        <v>46842</v>
      </c>
      <c r="Z1364" s="28" t="str">
        <f t="shared" ca="1" si="240"/>
        <v>Upcoming</v>
      </c>
      <c r="AA1364" s="5" t="str" cm="1">
        <f t="array" ref="AA1364">_xlfn.IFS(W1364&gt;10,"Veteran",W1364&gt;=6,"Experienced",W1364&gt;=2,"Developing",W1364&gt;=0,"New")</f>
        <v>Developing</v>
      </c>
      <c r="AB1364" s="5" t="str" cm="1">
        <f t="array" ref="AB1364">_xlfn.IFS(G1364=1,"Junior",G1364=2,"Mid-Level",G1364=3,"Senior",G1364=4,"Lead",G1364=5,"Principal")&amp;" "&amp;TRIM(PROPER(H1364))</f>
        <v>Mid-Level Healthcare Representative</v>
      </c>
      <c r="AC1364" s="19" t="str">
        <f t="shared" ca="1" si="241"/>
        <v>He-Res-2022-1363 is a Mid-Level Healthcare Representative in the Research &amp; Development department, aged 45, single and has been with the Company for 4years</v>
      </c>
    </row>
    <row r="1365" spans="1:29">
      <c r="A1365" s="18" t="str">
        <f t="shared" ca="1" si="231"/>
        <v>Sa-Sal-2016-1364</v>
      </c>
      <c r="B1365" s="5">
        <v>33</v>
      </c>
      <c r="C1365" s="5" t="str">
        <f t="shared" si="232"/>
        <v>30-39</v>
      </c>
      <c r="D1365" s="5" t="s">
        <v>43</v>
      </c>
      <c r="E1365" s="5" t="s">
        <v>37</v>
      </c>
      <c r="F1365" s="5" t="s">
        <v>46</v>
      </c>
      <c r="G1365" s="5">
        <v>2</v>
      </c>
      <c r="H1365" s="5" t="s">
        <v>40</v>
      </c>
      <c r="I1365" s="5" t="s">
        <v>41</v>
      </c>
      <c r="J1365" s="7">
        <v>5487</v>
      </c>
      <c r="K1365" s="7">
        <f t="shared" si="233"/>
        <v>823.05</v>
      </c>
      <c r="L1365" s="7">
        <f t="shared" si="234"/>
        <v>4663.95</v>
      </c>
      <c r="M1365" s="7">
        <v>10410</v>
      </c>
      <c r="N1365" s="5" t="s">
        <v>43</v>
      </c>
      <c r="O1365" s="5">
        <v>14</v>
      </c>
      <c r="P1365" s="7">
        <f t="shared" si="235"/>
        <v>6255.18</v>
      </c>
      <c r="Q1365" s="7">
        <f t="shared" si="236"/>
        <v>9218.1600000000035</v>
      </c>
      <c r="R1365" s="7" t="str">
        <f t="shared" si="237"/>
        <v>Normal</v>
      </c>
      <c r="S1365" s="5">
        <v>3</v>
      </c>
      <c r="T1365" s="5">
        <v>2</v>
      </c>
      <c r="U1365" s="5" t="str" cm="1">
        <f t="array" ref="U1365">_xlfn.IFS(T1365=1,"Poor",T1365=2,"Fair",T1365=3,"Good",T1365=4,"Excellent")</f>
        <v>Fair</v>
      </c>
      <c r="V1365" s="5" t="s">
        <v>43</v>
      </c>
      <c r="W1365" s="5">
        <v>10</v>
      </c>
      <c r="X1365" s="28">
        <f t="shared" ca="1" si="238"/>
        <v>42459</v>
      </c>
      <c r="Y1365" s="28">
        <f t="shared" ca="1" si="239"/>
        <v>46842</v>
      </c>
      <c r="Z1365" s="28" t="str">
        <f t="shared" ca="1" si="240"/>
        <v>Upcoming</v>
      </c>
      <c r="AA1365" s="5" t="str" cm="1">
        <f t="array" ref="AA1365">_xlfn.IFS(W1365&gt;10,"Veteran",W1365&gt;=6,"Experienced",W1365&gt;=2,"Developing",W1365&gt;=0,"New")</f>
        <v>Experienced</v>
      </c>
      <c r="AB1365" s="5" t="str" cm="1">
        <f t="array" ref="AB1365">_xlfn.IFS(G1365=1,"Junior",G1365=2,"Mid-Level",G1365=3,"Senior",G1365=4,"Lead",G1365=5,"Principal")&amp;" "&amp;TRIM(PROPER(H1365))</f>
        <v>Mid-Level Sales Executive</v>
      </c>
      <c r="AC1365" s="19" t="str">
        <f t="shared" ca="1" si="241"/>
        <v>Sa-Sal-2016-1364 is a Mid-Level Sales Executive in the Sales department, aged 33, single and has been with the Company for 10years</v>
      </c>
    </row>
    <row r="1366" spans="1:29">
      <c r="A1366" s="18" t="str">
        <f t="shared" ca="1" si="231"/>
        <v>Sa-Sal-2019-1365</v>
      </c>
      <c r="B1366" s="5">
        <v>28</v>
      </c>
      <c r="C1366" s="5" t="str">
        <f t="shared" si="232"/>
        <v>20-29</v>
      </c>
      <c r="D1366" s="5" t="s">
        <v>43</v>
      </c>
      <c r="E1366" s="5" t="s">
        <v>37</v>
      </c>
      <c r="F1366" s="5" t="s">
        <v>46</v>
      </c>
      <c r="G1366" s="5">
        <v>2</v>
      </c>
      <c r="H1366" s="5" t="s">
        <v>40</v>
      </c>
      <c r="I1366" s="5" t="s">
        <v>48</v>
      </c>
      <c r="J1366" s="7">
        <v>6834</v>
      </c>
      <c r="K1366" s="7">
        <f t="shared" si="233"/>
        <v>1025.0999999999999</v>
      </c>
      <c r="L1366" s="7">
        <f t="shared" si="234"/>
        <v>5808.9</v>
      </c>
      <c r="M1366" s="7">
        <v>19255</v>
      </c>
      <c r="N1366" s="5" t="s">
        <v>35</v>
      </c>
      <c r="O1366" s="5">
        <v>12</v>
      </c>
      <c r="P1366" s="7">
        <f t="shared" si="235"/>
        <v>7654.0800000000008</v>
      </c>
      <c r="Q1366" s="7">
        <f t="shared" si="236"/>
        <v>9840.96000000001</v>
      </c>
      <c r="R1366" s="7" t="str">
        <f t="shared" si="237"/>
        <v>Normal</v>
      </c>
      <c r="S1366" s="5">
        <v>3</v>
      </c>
      <c r="T1366" s="5">
        <v>3</v>
      </c>
      <c r="U1366" s="5" t="str" cm="1">
        <f t="array" ref="U1366">_xlfn.IFS(T1366=1,"Poor",T1366=2,"Fair",T1366=3,"Good",T1366=4,"Excellent")</f>
        <v>Good</v>
      </c>
      <c r="V1366" s="5" t="s">
        <v>35</v>
      </c>
      <c r="W1366" s="5">
        <v>7</v>
      </c>
      <c r="X1366" s="28">
        <f t="shared" ca="1" si="238"/>
        <v>43554</v>
      </c>
      <c r="Y1366" s="28">
        <f t="shared" ca="1" si="239"/>
        <v>46476</v>
      </c>
      <c r="Z1366" s="28" t="str">
        <f t="shared" ca="1" si="240"/>
        <v>Due Soon</v>
      </c>
      <c r="AA1366" s="5" t="str" cm="1">
        <f t="array" ref="AA1366">_xlfn.IFS(W1366&gt;10,"Veteran",W1366&gt;=6,"Experienced",W1366&gt;=2,"Developing",W1366&gt;=0,"New")</f>
        <v>Experienced</v>
      </c>
      <c r="AB1366" s="5" t="str" cm="1">
        <f t="array" ref="AB1366">_xlfn.IFS(G1366=1,"Junior",G1366=2,"Mid-Level",G1366=3,"Senior",G1366=4,"Lead",G1366=5,"Principal")&amp;" "&amp;TRIM(PROPER(H1366))</f>
        <v>Mid-Level Sales Executive</v>
      </c>
      <c r="AC1366" s="19" t="str">
        <f t="shared" ca="1" si="241"/>
        <v>Sa-Sal-2019-1365 is a Mid-Level Sales Executive in the Sales department, aged 28, married and has been with the Company for 7years</v>
      </c>
    </row>
    <row r="1367" spans="1:29">
      <c r="A1367" s="18" t="str">
        <f t="shared" ca="1" si="231"/>
        <v>Sa-Sal-2025-1366</v>
      </c>
      <c r="B1367" s="5">
        <v>29</v>
      </c>
      <c r="C1367" s="5" t="str">
        <f t="shared" si="232"/>
        <v>20-29</v>
      </c>
      <c r="D1367" s="5" t="s">
        <v>35</v>
      </c>
      <c r="E1367" s="5" t="s">
        <v>37</v>
      </c>
      <c r="F1367" s="5" t="s">
        <v>46</v>
      </c>
      <c r="G1367" s="5">
        <v>1</v>
      </c>
      <c r="H1367" s="5" t="s">
        <v>57</v>
      </c>
      <c r="I1367" s="5" t="s">
        <v>41</v>
      </c>
      <c r="J1367" s="7">
        <v>1091</v>
      </c>
      <c r="K1367" s="7">
        <f t="shared" si="233"/>
        <v>76.37</v>
      </c>
      <c r="L1367" s="7">
        <f t="shared" si="234"/>
        <v>1014.63</v>
      </c>
      <c r="M1367" s="7">
        <v>10642</v>
      </c>
      <c r="N1367" s="5" t="s">
        <v>43</v>
      </c>
      <c r="O1367" s="5">
        <v>17</v>
      </c>
      <c r="P1367" s="7">
        <f t="shared" si="235"/>
        <v>1276.47</v>
      </c>
      <c r="Q1367" s="7">
        <f t="shared" si="236"/>
        <v>2225.6400000000003</v>
      </c>
      <c r="R1367" s="7" t="str">
        <f t="shared" si="237"/>
        <v>Normal</v>
      </c>
      <c r="S1367" s="5">
        <v>3</v>
      </c>
      <c r="T1367" s="5">
        <v>3</v>
      </c>
      <c r="U1367" s="5" t="str" cm="1">
        <f t="array" ref="U1367">_xlfn.IFS(T1367=1,"Poor",T1367=2,"Fair",T1367=3,"Good",T1367=4,"Excellent")</f>
        <v>Good</v>
      </c>
      <c r="V1367" s="5" t="s">
        <v>43</v>
      </c>
      <c r="W1367" s="5">
        <v>1</v>
      </c>
      <c r="X1367" s="28">
        <f t="shared" ca="1" si="238"/>
        <v>45746</v>
      </c>
      <c r="Y1367" s="28">
        <f t="shared" ca="1" si="239"/>
        <v>46476</v>
      </c>
      <c r="Z1367" s="28" t="str">
        <f t="shared" ca="1" si="240"/>
        <v>Due Soon</v>
      </c>
      <c r="AA1367" s="5" t="str" cm="1">
        <f t="array" ref="AA1367">_xlfn.IFS(W1367&gt;10,"Veteran",W1367&gt;=6,"Experienced",W1367&gt;=2,"Developing",W1367&gt;=0,"New")</f>
        <v>New</v>
      </c>
      <c r="AB1367" s="5" t="str" cm="1">
        <f t="array" ref="AB1367">_xlfn.IFS(G1367=1,"Junior",G1367=2,"Mid-Level",G1367=3,"Senior",G1367=4,"Lead",G1367=5,"Principal")&amp;" "&amp;TRIM(PROPER(H1367))</f>
        <v>Junior Sales Representative</v>
      </c>
      <c r="AC1367" s="19" t="str">
        <f t="shared" ca="1" si="241"/>
        <v>Sa-Sal-2025-1366 is a Junior Sales Representative in the Sales department, aged 29, single and has been with the Company for 1years</v>
      </c>
    </row>
    <row r="1368" spans="1:29">
      <c r="A1368" s="18" t="str">
        <f t="shared" ca="1" si="231"/>
        <v>Sa-Sal-2023-1367</v>
      </c>
      <c r="B1368" s="5">
        <v>39</v>
      </c>
      <c r="C1368" s="5" t="str">
        <f t="shared" si="232"/>
        <v>30-39</v>
      </c>
      <c r="D1368" s="5" t="s">
        <v>43</v>
      </c>
      <c r="E1368" s="5" t="s">
        <v>37</v>
      </c>
      <c r="F1368" s="5" t="s">
        <v>39</v>
      </c>
      <c r="G1368" s="5">
        <v>2</v>
      </c>
      <c r="H1368" s="5" t="s">
        <v>40</v>
      </c>
      <c r="I1368" s="5" t="s">
        <v>48</v>
      </c>
      <c r="J1368" s="7">
        <v>5736</v>
      </c>
      <c r="K1368" s="7">
        <f t="shared" si="233"/>
        <v>860.4</v>
      </c>
      <c r="L1368" s="7">
        <f t="shared" si="234"/>
        <v>4875.6000000000004</v>
      </c>
      <c r="M1368" s="7">
        <v>3987</v>
      </c>
      <c r="N1368" s="5" t="s">
        <v>43</v>
      </c>
      <c r="O1368" s="5">
        <v>19</v>
      </c>
      <c r="P1368" s="7">
        <f t="shared" si="235"/>
        <v>6825.84</v>
      </c>
      <c r="Q1368" s="7">
        <f t="shared" si="236"/>
        <v>13078.080000000002</v>
      </c>
      <c r="R1368" s="7" t="str">
        <f t="shared" si="237"/>
        <v>Normal</v>
      </c>
      <c r="S1368" s="5">
        <v>3</v>
      </c>
      <c r="T1368" s="5">
        <v>3</v>
      </c>
      <c r="U1368" s="5" t="str" cm="1">
        <f t="array" ref="U1368">_xlfn.IFS(T1368=1,"Poor",T1368=2,"Fair",T1368=3,"Good",T1368=4,"Excellent")</f>
        <v>Good</v>
      </c>
      <c r="V1368" s="5" t="s">
        <v>43</v>
      </c>
      <c r="W1368" s="5">
        <v>3</v>
      </c>
      <c r="X1368" s="28">
        <f t="shared" ca="1" si="238"/>
        <v>45015</v>
      </c>
      <c r="Y1368" s="28">
        <f t="shared" ca="1" si="239"/>
        <v>46476</v>
      </c>
      <c r="Z1368" s="28" t="str">
        <f t="shared" ca="1" si="240"/>
        <v>Due Soon</v>
      </c>
      <c r="AA1368" s="5" t="str" cm="1">
        <f t="array" ref="AA1368">_xlfn.IFS(W1368&gt;10,"Veteran",W1368&gt;=6,"Experienced",W1368&gt;=2,"Developing",W1368&gt;=0,"New")</f>
        <v>Developing</v>
      </c>
      <c r="AB1368" s="5" t="str" cm="1">
        <f t="array" ref="AB1368">_xlfn.IFS(G1368=1,"Junior",G1368=2,"Mid-Level",G1368=3,"Senior",G1368=4,"Lead",G1368=5,"Principal")&amp;" "&amp;TRIM(PROPER(H1368))</f>
        <v>Mid-Level Sales Executive</v>
      </c>
      <c r="AC1368" s="19" t="str">
        <f t="shared" ca="1" si="241"/>
        <v>Sa-Sal-2023-1367 is a Mid-Level Sales Executive in the Sales department, aged 39, married and has been with the Company for 3years</v>
      </c>
    </row>
    <row r="1369" spans="1:29">
      <c r="A1369" s="18" t="str">
        <f t="shared" ca="1" si="231"/>
        <v>Re-Res-2021-1368</v>
      </c>
      <c r="B1369" s="5">
        <v>27</v>
      </c>
      <c r="C1369" s="5" t="str">
        <f t="shared" si="232"/>
        <v>20-29</v>
      </c>
      <c r="D1369" s="5" t="s">
        <v>43</v>
      </c>
      <c r="E1369" s="5" t="s">
        <v>45</v>
      </c>
      <c r="F1369" s="5" t="s">
        <v>46</v>
      </c>
      <c r="G1369" s="5">
        <v>1</v>
      </c>
      <c r="H1369" s="5" t="s">
        <v>47</v>
      </c>
      <c r="I1369" s="5" t="s">
        <v>48</v>
      </c>
      <c r="J1369" s="7">
        <v>2226</v>
      </c>
      <c r="K1369" s="7">
        <f t="shared" si="233"/>
        <v>155.82000000000002</v>
      </c>
      <c r="L1369" s="7">
        <f t="shared" si="234"/>
        <v>2070.1799999999998</v>
      </c>
      <c r="M1369" s="7">
        <v>6073</v>
      </c>
      <c r="N1369" s="5" t="s">
        <v>43</v>
      </c>
      <c r="O1369" s="5">
        <v>11</v>
      </c>
      <c r="P1369" s="7">
        <f t="shared" si="235"/>
        <v>2470.86</v>
      </c>
      <c r="Q1369" s="7">
        <f t="shared" si="236"/>
        <v>2938.3200000000015</v>
      </c>
      <c r="R1369" s="7" t="str">
        <f t="shared" si="237"/>
        <v>Normal</v>
      </c>
      <c r="S1369" s="5">
        <v>3</v>
      </c>
      <c r="T1369" s="5">
        <v>2</v>
      </c>
      <c r="U1369" s="5" t="str" cm="1">
        <f t="array" ref="U1369">_xlfn.IFS(T1369=1,"Poor",T1369=2,"Fair",T1369=3,"Good",T1369=4,"Excellent")</f>
        <v>Fair</v>
      </c>
      <c r="V1369" s="5" t="s">
        <v>43</v>
      </c>
      <c r="W1369" s="5">
        <v>5</v>
      </c>
      <c r="X1369" s="28">
        <f t="shared" ca="1" si="238"/>
        <v>44285</v>
      </c>
      <c r="Y1369" s="28">
        <f t="shared" ca="1" si="239"/>
        <v>46476</v>
      </c>
      <c r="Z1369" s="28" t="str">
        <f t="shared" ca="1" si="240"/>
        <v>Due Soon</v>
      </c>
      <c r="AA1369" s="5" t="str" cm="1">
        <f t="array" ref="AA1369">_xlfn.IFS(W1369&gt;10,"Veteran",W1369&gt;=6,"Experienced",W1369&gt;=2,"Developing",W1369&gt;=0,"New")</f>
        <v>Developing</v>
      </c>
      <c r="AB1369" s="5" t="str" cm="1">
        <f t="array" ref="AB1369">_xlfn.IFS(G1369=1,"Junior",G1369=2,"Mid-Level",G1369=3,"Senior",G1369=4,"Lead",G1369=5,"Principal")&amp;" "&amp;TRIM(PROPER(H1369))</f>
        <v>Junior Research Scientist</v>
      </c>
      <c r="AC1369" s="19" t="str">
        <f t="shared" ca="1" si="241"/>
        <v>Re-Res-2021-1368 is a Junior Research Scientist in the Research &amp; Development department, aged 27, married and has been with the Company for 5years</v>
      </c>
    </row>
    <row r="1370" spans="1:29">
      <c r="A1370" s="18" t="str">
        <f t="shared" ca="1" si="231"/>
        <v>Re-Res-2011-1369</v>
      </c>
      <c r="B1370" s="5">
        <v>34</v>
      </c>
      <c r="C1370" s="5" t="str">
        <f t="shared" si="232"/>
        <v>30-39</v>
      </c>
      <c r="D1370" s="5" t="s">
        <v>43</v>
      </c>
      <c r="E1370" s="5" t="s">
        <v>45</v>
      </c>
      <c r="F1370" s="5" t="s">
        <v>46</v>
      </c>
      <c r="G1370" s="5">
        <v>2</v>
      </c>
      <c r="H1370" s="5" t="s">
        <v>47</v>
      </c>
      <c r="I1370" s="5" t="s">
        <v>48</v>
      </c>
      <c r="J1370" s="7">
        <v>5747</v>
      </c>
      <c r="K1370" s="7">
        <f t="shared" si="233"/>
        <v>862.05</v>
      </c>
      <c r="L1370" s="7">
        <f t="shared" si="234"/>
        <v>4884.95</v>
      </c>
      <c r="M1370" s="7">
        <v>26496</v>
      </c>
      <c r="N1370" s="5" t="s">
        <v>35</v>
      </c>
      <c r="O1370" s="5">
        <v>15</v>
      </c>
      <c r="P1370" s="7">
        <f t="shared" si="235"/>
        <v>6609.0499999999993</v>
      </c>
      <c r="Q1370" s="7">
        <f t="shared" si="236"/>
        <v>10344.599999999991</v>
      </c>
      <c r="R1370" s="7" t="str">
        <f t="shared" si="237"/>
        <v>Normal</v>
      </c>
      <c r="S1370" s="5">
        <v>3</v>
      </c>
      <c r="T1370" s="5">
        <v>3</v>
      </c>
      <c r="U1370" s="5" t="str" cm="1">
        <f t="array" ref="U1370">_xlfn.IFS(T1370=1,"Poor",T1370=2,"Fair",T1370=3,"Good",T1370=4,"Excellent")</f>
        <v>Good</v>
      </c>
      <c r="V1370" s="5" t="s">
        <v>35</v>
      </c>
      <c r="W1370" s="5">
        <v>15</v>
      </c>
      <c r="X1370" s="28">
        <f t="shared" ca="1" si="238"/>
        <v>40632</v>
      </c>
      <c r="Y1370" s="28">
        <f t="shared" ca="1" si="239"/>
        <v>46476</v>
      </c>
      <c r="Z1370" s="28" t="str">
        <f t="shared" ca="1" si="240"/>
        <v>Due Soon</v>
      </c>
      <c r="AA1370" s="5" t="str" cm="1">
        <f t="array" ref="AA1370">_xlfn.IFS(W1370&gt;10,"Veteran",W1370&gt;=6,"Experienced",W1370&gt;=2,"Developing",W1370&gt;=0,"New")</f>
        <v>Veteran</v>
      </c>
      <c r="AB1370" s="5" t="str" cm="1">
        <f t="array" ref="AB1370">_xlfn.IFS(G1370=1,"Junior",G1370=2,"Mid-Level",G1370=3,"Senior",G1370=4,"Lead",G1370=5,"Principal")&amp;" "&amp;TRIM(PROPER(H1370))</f>
        <v>Mid-Level Research Scientist</v>
      </c>
      <c r="AC1370" s="19" t="str">
        <f t="shared" ca="1" si="241"/>
        <v>Re-Res-2011-1369 is a Mid-Level Research Scientist in the Research &amp; Development department, aged 34, married and has been with the Company for 15years</v>
      </c>
    </row>
    <row r="1371" spans="1:29">
      <c r="A1371" s="18" t="str">
        <f t="shared" ca="1" si="231"/>
        <v>Sa-Sal-2024-1370</v>
      </c>
      <c r="B1371" s="5">
        <v>28</v>
      </c>
      <c r="C1371" s="5" t="str">
        <f t="shared" si="232"/>
        <v>20-29</v>
      </c>
      <c r="D1371" s="5" t="s">
        <v>35</v>
      </c>
      <c r="E1371" s="5" t="s">
        <v>37</v>
      </c>
      <c r="F1371" s="5" t="s">
        <v>39</v>
      </c>
      <c r="G1371" s="5">
        <v>2</v>
      </c>
      <c r="H1371" s="5" t="s">
        <v>40</v>
      </c>
      <c r="I1371" s="5" t="s">
        <v>41</v>
      </c>
      <c r="J1371" s="7">
        <v>9854</v>
      </c>
      <c r="K1371" s="7">
        <f t="shared" si="233"/>
        <v>2167.88</v>
      </c>
      <c r="L1371" s="7">
        <f t="shared" si="234"/>
        <v>7686.12</v>
      </c>
      <c r="M1371" s="7">
        <v>23352</v>
      </c>
      <c r="N1371" s="5" t="s">
        <v>35</v>
      </c>
      <c r="O1371" s="5">
        <v>11</v>
      </c>
      <c r="P1371" s="7">
        <f t="shared" si="235"/>
        <v>10937.94</v>
      </c>
      <c r="Q1371" s="7">
        <f t="shared" si="236"/>
        <v>13007.280000000006</v>
      </c>
      <c r="R1371" s="7" t="str">
        <f t="shared" si="237"/>
        <v>Normal</v>
      </c>
      <c r="S1371" s="5">
        <v>3</v>
      </c>
      <c r="T1371" s="5">
        <v>3</v>
      </c>
      <c r="U1371" s="5" t="str" cm="1">
        <f t="array" ref="U1371">_xlfn.IFS(T1371=1,"Poor",T1371=2,"Fair",T1371=3,"Good",T1371=4,"Excellent")</f>
        <v>Good</v>
      </c>
      <c r="V1371" s="5" t="s">
        <v>35</v>
      </c>
      <c r="W1371" s="5">
        <v>2</v>
      </c>
      <c r="X1371" s="28">
        <f t="shared" ca="1" si="238"/>
        <v>45381</v>
      </c>
      <c r="Y1371" s="28">
        <f t="shared" ca="1" si="239"/>
        <v>46842</v>
      </c>
      <c r="Z1371" s="28" t="str">
        <f t="shared" ca="1" si="240"/>
        <v>Upcoming</v>
      </c>
      <c r="AA1371" s="5" t="str" cm="1">
        <f t="array" ref="AA1371">_xlfn.IFS(W1371&gt;10,"Veteran",W1371&gt;=6,"Experienced",W1371&gt;=2,"Developing",W1371&gt;=0,"New")</f>
        <v>Developing</v>
      </c>
      <c r="AB1371" s="5" t="str" cm="1">
        <f t="array" ref="AB1371">_xlfn.IFS(G1371=1,"Junior",G1371=2,"Mid-Level",G1371=3,"Senior",G1371=4,"Lead",G1371=5,"Principal")&amp;" "&amp;TRIM(PROPER(H1371))</f>
        <v>Mid-Level Sales Executive</v>
      </c>
      <c r="AC1371" s="19" t="str">
        <f t="shared" ca="1" si="241"/>
        <v>Sa-Sal-2024-1370 is a Mid-Level Sales Executive in the Sales department, aged 28, single and has been with the Company for 2years</v>
      </c>
    </row>
    <row r="1372" spans="1:29">
      <c r="A1372" s="18" t="str">
        <f t="shared" ca="1" si="231"/>
        <v>Re-Res-2018-1371</v>
      </c>
      <c r="B1372" s="5">
        <v>47</v>
      </c>
      <c r="C1372" s="5" t="str">
        <f t="shared" si="232"/>
        <v>40-49</v>
      </c>
      <c r="D1372" s="5" t="s">
        <v>43</v>
      </c>
      <c r="E1372" s="5" t="s">
        <v>45</v>
      </c>
      <c r="F1372" s="5" t="s">
        <v>46</v>
      </c>
      <c r="G1372" s="5">
        <v>2</v>
      </c>
      <c r="H1372" s="5" t="s">
        <v>47</v>
      </c>
      <c r="I1372" s="5" t="s">
        <v>48</v>
      </c>
      <c r="J1372" s="7">
        <v>5467</v>
      </c>
      <c r="K1372" s="7">
        <f t="shared" si="233"/>
        <v>820.05</v>
      </c>
      <c r="L1372" s="7">
        <f t="shared" si="234"/>
        <v>4646.95</v>
      </c>
      <c r="M1372" s="7">
        <v>2125</v>
      </c>
      <c r="N1372" s="5" t="s">
        <v>43</v>
      </c>
      <c r="O1372" s="5">
        <v>18</v>
      </c>
      <c r="P1372" s="7">
        <f t="shared" si="235"/>
        <v>6451.0599999999995</v>
      </c>
      <c r="Q1372" s="7">
        <f t="shared" si="236"/>
        <v>11808.719999999994</v>
      </c>
      <c r="R1372" s="7" t="str">
        <f t="shared" si="237"/>
        <v>Normal</v>
      </c>
      <c r="S1372" s="5">
        <v>3</v>
      </c>
      <c r="T1372" s="5">
        <v>4</v>
      </c>
      <c r="U1372" s="5" t="str" cm="1">
        <f t="array" ref="U1372">_xlfn.IFS(T1372=1,"Poor",T1372=2,"Fair",T1372=3,"Good",T1372=4,"Excellent")</f>
        <v>Excellent</v>
      </c>
      <c r="V1372" s="5" t="s">
        <v>43</v>
      </c>
      <c r="W1372" s="5">
        <v>8</v>
      </c>
      <c r="X1372" s="28">
        <f t="shared" ca="1" si="238"/>
        <v>43189</v>
      </c>
      <c r="Y1372" s="28">
        <f t="shared" ca="1" si="239"/>
        <v>46842</v>
      </c>
      <c r="Z1372" s="28" t="str">
        <f t="shared" ca="1" si="240"/>
        <v>Upcoming</v>
      </c>
      <c r="AA1372" s="5" t="str" cm="1">
        <f t="array" ref="AA1372">_xlfn.IFS(W1372&gt;10,"Veteran",W1372&gt;=6,"Experienced",W1372&gt;=2,"Developing",W1372&gt;=0,"New")</f>
        <v>Experienced</v>
      </c>
      <c r="AB1372" s="5" t="str" cm="1">
        <f t="array" ref="AB1372">_xlfn.IFS(G1372=1,"Junior",G1372=2,"Mid-Level",G1372=3,"Senior",G1372=4,"Lead",G1372=5,"Principal")&amp;" "&amp;TRIM(PROPER(H1372))</f>
        <v>Mid-Level Research Scientist</v>
      </c>
      <c r="AC1372" s="19" t="str">
        <f t="shared" ca="1" si="241"/>
        <v>Re-Res-2018-1371 is a Mid-Level Research Scientist in the Research &amp; Development department, aged 47, married and has been with the Company for 8years</v>
      </c>
    </row>
    <row r="1373" spans="1:29">
      <c r="A1373" s="18" t="str">
        <f t="shared" ca="1" si="231"/>
        <v>Sa-Sal-2026-1372</v>
      </c>
      <c r="B1373" s="5">
        <v>56</v>
      </c>
      <c r="C1373" s="5" t="str">
        <f t="shared" si="232"/>
        <v>50+</v>
      </c>
      <c r="D1373" s="5" t="s">
        <v>43</v>
      </c>
      <c r="E1373" s="5" t="s">
        <v>37</v>
      </c>
      <c r="F1373" s="5" t="s">
        <v>39</v>
      </c>
      <c r="G1373" s="5">
        <v>2</v>
      </c>
      <c r="H1373" s="5" t="s">
        <v>40</v>
      </c>
      <c r="I1373" s="5" t="s">
        <v>48</v>
      </c>
      <c r="J1373" s="7">
        <v>5380</v>
      </c>
      <c r="K1373" s="7">
        <f t="shared" si="233"/>
        <v>807</v>
      </c>
      <c r="L1373" s="7">
        <f t="shared" si="234"/>
        <v>4573</v>
      </c>
      <c r="M1373" s="7">
        <v>20328</v>
      </c>
      <c r="N1373" s="5" t="s">
        <v>43</v>
      </c>
      <c r="O1373" s="5">
        <v>16</v>
      </c>
      <c r="P1373" s="7">
        <f t="shared" si="235"/>
        <v>6240.7999999999993</v>
      </c>
      <c r="Q1373" s="7">
        <f t="shared" si="236"/>
        <v>10329.599999999991</v>
      </c>
      <c r="R1373" s="7" t="str">
        <f t="shared" si="237"/>
        <v>Normal</v>
      </c>
      <c r="S1373" s="5">
        <v>3</v>
      </c>
      <c r="T1373" s="5">
        <v>3</v>
      </c>
      <c r="U1373" s="5" t="str" cm="1">
        <f t="array" ref="U1373">_xlfn.IFS(T1373=1,"Poor",T1373=2,"Fair",T1373=3,"Good",T1373=4,"Excellent")</f>
        <v>Good</v>
      </c>
      <c r="V1373" s="5" t="s">
        <v>43</v>
      </c>
      <c r="W1373" s="5">
        <v>0</v>
      </c>
      <c r="X1373" s="28">
        <f t="shared" ca="1" si="238"/>
        <v>46111</v>
      </c>
      <c r="Y1373" s="28">
        <f t="shared" ca="1" si="239"/>
        <v>46842</v>
      </c>
      <c r="Z1373" s="28" t="str">
        <f t="shared" ca="1" si="240"/>
        <v>Upcoming</v>
      </c>
      <c r="AA1373" s="5" t="str" cm="1">
        <f t="array" ref="AA1373">_xlfn.IFS(W1373&gt;10,"Veteran",W1373&gt;=6,"Experienced",W1373&gt;=2,"Developing",W1373&gt;=0,"New")</f>
        <v>New</v>
      </c>
      <c r="AB1373" s="5" t="str" cm="1">
        <f t="array" ref="AB1373">_xlfn.IFS(G1373=1,"Junior",G1373=2,"Mid-Level",G1373=3,"Senior",G1373=4,"Lead",G1373=5,"Principal")&amp;" "&amp;TRIM(PROPER(H1373))</f>
        <v>Mid-Level Sales Executive</v>
      </c>
      <c r="AC1373" s="19" t="str">
        <f t="shared" ca="1" si="241"/>
        <v>Sa-Sal-2026-1372 is a Mid-Level Sales Executive in the Sales department, aged 56, married and has been with the Company for 0years</v>
      </c>
    </row>
    <row r="1374" spans="1:29">
      <c r="A1374" s="18" t="str">
        <f t="shared" ca="1" si="231"/>
        <v>Ma-Res-2016-1373</v>
      </c>
      <c r="B1374" s="5">
        <v>39</v>
      </c>
      <c r="C1374" s="5" t="str">
        <f t="shared" si="232"/>
        <v>30-39</v>
      </c>
      <c r="D1374" s="5" t="s">
        <v>43</v>
      </c>
      <c r="E1374" s="5" t="s">
        <v>45</v>
      </c>
      <c r="F1374" s="5" t="s">
        <v>46</v>
      </c>
      <c r="G1374" s="5">
        <v>2</v>
      </c>
      <c r="H1374" s="5" t="s">
        <v>53</v>
      </c>
      <c r="I1374" s="5" t="s">
        <v>48</v>
      </c>
      <c r="J1374" s="7">
        <v>5151</v>
      </c>
      <c r="K1374" s="7">
        <f t="shared" si="233"/>
        <v>772.65</v>
      </c>
      <c r="L1374" s="7">
        <f t="shared" si="234"/>
        <v>4378.3500000000004</v>
      </c>
      <c r="M1374" s="7">
        <v>12315</v>
      </c>
      <c r="N1374" s="5" t="s">
        <v>43</v>
      </c>
      <c r="O1374" s="5">
        <v>25</v>
      </c>
      <c r="P1374" s="7">
        <f t="shared" si="235"/>
        <v>6438.75</v>
      </c>
      <c r="Q1374" s="7">
        <f t="shared" si="236"/>
        <v>15453</v>
      </c>
      <c r="R1374" s="7" t="str">
        <f t="shared" si="237"/>
        <v>Normal</v>
      </c>
      <c r="S1374" s="5">
        <v>4</v>
      </c>
      <c r="T1374" s="5">
        <v>3</v>
      </c>
      <c r="U1374" s="5" t="str" cm="1">
        <f t="array" ref="U1374">_xlfn.IFS(T1374=1,"Poor",T1374=2,"Fair",T1374=3,"Good",T1374=4,"Excellent")</f>
        <v>Good</v>
      </c>
      <c r="V1374" s="5" t="s">
        <v>43</v>
      </c>
      <c r="W1374" s="5">
        <v>10</v>
      </c>
      <c r="X1374" s="28">
        <f t="shared" ca="1" si="238"/>
        <v>42459</v>
      </c>
      <c r="Y1374" s="28">
        <f t="shared" ca="1" si="239"/>
        <v>46842</v>
      </c>
      <c r="Z1374" s="28" t="str">
        <f t="shared" ca="1" si="240"/>
        <v>Upcoming</v>
      </c>
      <c r="AA1374" s="5" t="str" cm="1">
        <f t="array" ref="AA1374">_xlfn.IFS(W1374&gt;10,"Veteran",W1374&gt;=6,"Experienced",W1374&gt;=2,"Developing",W1374&gt;=0,"New")</f>
        <v>Experienced</v>
      </c>
      <c r="AB1374" s="5" t="str" cm="1">
        <f t="array" ref="AB1374">_xlfn.IFS(G1374=1,"Junior",G1374=2,"Mid-Level",G1374=3,"Senior",G1374=4,"Lead",G1374=5,"Principal")&amp;" "&amp;TRIM(PROPER(H1374))</f>
        <v>Mid-Level Manufacturing Director</v>
      </c>
      <c r="AC1374" s="19" t="str">
        <f t="shared" ca="1" si="241"/>
        <v>Ma-Res-2016-1373 is a Mid-Level Manufacturing Director in the Research &amp; Development department, aged 39, married and has been with the Company for 10years</v>
      </c>
    </row>
    <row r="1375" spans="1:29">
      <c r="A1375" s="18" t="str">
        <f t="shared" ca="1" si="231"/>
        <v>Re-Res-2006-1374</v>
      </c>
      <c r="B1375" s="5">
        <v>38</v>
      </c>
      <c r="C1375" s="5" t="str">
        <f t="shared" si="232"/>
        <v>30-39</v>
      </c>
      <c r="D1375" s="5" t="s">
        <v>43</v>
      </c>
      <c r="E1375" s="5" t="s">
        <v>45</v>
      </c>
      <c r="F1375" s="5" t="s">
        <v>39</v>
      </c>
      <c r="G1375" s="5">
        <v>2</v>
      </c>
      <c r="H1375" s="5" t="s">
        <v>47</v>
      </c>
      <c r="I1375" s="5" t="s">
        <v>52</v>
      </c>
      <c r="J1375" s="7">
        <v>2133</v>
      </c>
      <c r="K1375" s="7">
        <f t="shared" si="233"/>
        <v>149.31</v>
      </c>
      <c r="L1375" s="7">
        <f t="shared" si="234"/>
        <v>1983.69</v>
      </c>
      <c r="M1375" s="7">
        <v>18115</v>
      </c>
      <c r="N1375" s="5" t="s">
        <v>35</v>
      </c>
      <c r="O1375" s="5">
        <v>16</v>
      </c>
      <c r="P1375" s="7">
        <f t="shared" si="235"/>
        <v>2474.2799999999997</v>
      </c>
      <c r="Q1375" s="7">
        <f t="shared" si="236"/>
        <v>4095.3599999999969</v>
      </c>
      <c r="R1375" s="7" t="str">
        <f t="shared" si="237"/>
        <v>Normal</v>
      </c>
      <c r="S1375" s="5">
        <v>3</v>
      </c>
      <c r="T1375" s="5">
        <v>3</v>
      </c>
      <c r="U1375" s="5" t="str" cm="1">
        <f t="array" ref="U1375">_xlfn.IFS(T1375=1,"Poor",T1375=2,"Fair",T1375=3,"Good",T1375=4,"Excellent")</f>
        <v>Good</v>
      </c>
      <c r="V1375" s="5" t="s">
        <v>35</v>
      </c>
      <c r="W1375" s="5">
        <v>20</v>
      </c>
      <c r="X1375" s="28">
        <f t="shared" ca="1" si="238"/>
        <v>38806</v>
      </c>
      <c r="Y1375" s="28">
        <f t="shared" ca="1" si="239"/>
        <v>46842</v>
      </c>
      <c r="Z1375" s="28" t="str">
        <f t="shared" ca="1" si="240"/>
        <v>Upcoming</v>
      </c>
      <c r="AA1375" s="5" t="str" cm="1">
        <f t="array" ref="AA1375">_xlfn.IFS(W1375&gt;10,"Veteran",W1375&gt;=6,"Experienced",W1375&gt;=2,"Developing",W1375&gt;=0,"New")</f>
        <v>Veteran</v>
      </c>
      <c r="AB1375" s="5" t="str" cm="1">
        <f t="array" ref="AB1375">_xlfn.IFS(G1375=1,"Junior",G1375=2,"Mid-Level",G1375=3,"Senior",G1375=4,"Lead",G1375=5,"Principal")&amp;" "&amp;TRIM(PROPER(H1375))</f>
        <v>Mid-Level Research Scientist</v>
      </c>
      <c r="AC1375" s="19" t="str">
        <f t="shared" ca="1" si="241"/>
        <v>Re-Res-2006-1374 is a Mid-Level Research Scientist in the Research &amp; Development department, aged 38, divorced and has been with the Company for 20years</v>
      </c>
    </row>
    <row r="1376" spans="1:29">
      <c r="A1376" s="18" t="str">
        <f t="shared" ca="1" si="231"/>
        <v>Ma-Sal-2025-1375</v>
      </c>
      <c r="B1376" s="5">
        <v>58</v>
      </c>
      <c r="C1376" s="5" t="str">
        <f t="shared" si="232"/>
        <v>50+</v>
      </c>
      <c r="D1376" s="5" t="s">
        <v>43</v>
      </c>
      <c r="E1376" s="5" t="s">
        <v>37</v>
      </c>
      <c r="F1376" s="5" t="s">
        <v>39</v>
      </c>
      <c r="G1376" s="5">
        <v>4</v>
      </c>
      <c r="H1376" s="5" t="s">
        <v>56</v>
      </c>
      <c r="I1376" s="5" t="s">
        <v>48</v>
      </c>
      <c r="J1376" s="7">
        <v>17875</v>
      </c>
      <c r="K1376" s="7">
        <f t="shared" si="233"/>
        <v>5362.5</v>
      </c>
      <c r="L1376" s="7">
        <f t="shared" si="234"/>
        <v>12512.5</v>
      </c>
      <c r="M1376" s="7">
        <v>11761</v>
      </c>
      <c r="N1376" s="5" t="s">
        <v>35</v>
      </c>
      <c r="O1376" s="5">
        <v>13</v>
      </c>
      <c r="P1376" s="7">
        <f t="shared" si="235"/>
        <v>20198.749999999996</v>
      </c>
      <c r="Q1376" s="7">
        <f t="shared" si="236"/>
        <v>27884.999999999956</v>
      </c>
      <c r="R1376" s="7" t="str">
        <f t="shared" si="237"/>
        <v>Normal</v>
      </c>
      <c r="S1376" s="5">
        <v>3</v>
      </c>
      <c r="T1376" s="5">
        <v>2</v>
      </c>
      <c r="U1376" s="5" t="str" cm="1">
        <f t="array" ref="U1376">_xlfn.IFS(T1376=1,"Poor",T1376=2,"Fair",T1376=3,"Good",T1376=4,"Excellent")</f>
        <v>Fair</v>
      </c>
      <c r="V1376" s="5" t="s">
        <v>35</v>
      </c>
      <c r="W1376" s="5">
        <v>1</v>
      </c>
      <c r="X1376" s="28">
        <f t="shared" ca="1" si="238"/>
        <v>45746</v>
      </c>
      <c r="Y1376" s="28">
        <f t="shared" ca="1" si="239"/>
        <v>46476</v>
      </c>
      <c r="Z1376" s="28" t="str">
        <f t="shared" ca="1" si="240"/>
        <v>Due Soon</v>
      </c>
      <c r="AA1376" s="5" t="str" cm="1">
        <f t="array" ref="AA1376">_xlfn.IFS(W1376&gt;10,"Veteran",W1376&gt;=6,"Experienced",W1376&gt;=2,"Developing",W1376&gt;=0,"New")</f>
        <v>New</v>
      </c>
      <c r="AB1376" s="5" t="str" cm="1">
        <f t="array" ref="AB1376">_xlfn.IFS(G1376=1,"Junior",G1376=2,"Mid-Level",G1376=3,"Senior",G1376=4,"Lead",G1376=5,"Principal")&amp;" "&amp;TRIM(PROPER(H1376))</f>
        <v>Lead Manager</v>
      </c>
      <c r="AC1376" s="19" t="str">
        <f t="shared" ca="1" si="241"/>
        <v>Ma-Sal-2025-1375 is a Lead Manager in the Sales department, aged 58, married and has been with the Company for 1years</v>
      </c>
    </row>
    <row r="1377" spans="1:29">
      <c r="A1377" s="18" t="str">
        <f t="shared" ca="1" si="231"/>
        <v>Re-Res-2022-1376</v>
      </c>
      <c r="B1377" s="5">
        <v>32</v>
      </c>
      <c r="C1377" s="5" t="str">
        <f t="shared" si="232"/>
        <v>30-39</v>
      </c>
      <c r="D1377" s="5" t="s">
        <v>35</v>
      </c>
      <c r="E1377" s="5" t="s">
        <v>45</v>
      </c>
      <c r="F1377" s="5" t="s">
        <v>39</v>
      </c>
      <c r="G1377" s="5">
        <v>1</v>
      </c>
      <c r="H1377" s="5" t="s">
        <v>47</v>
      </c>
      <c r="I1377" s="5" t="s">
        <v>41</v>
      </c>
      <c r="J1377" s="7">
        <v>2432</v>
      </c>
      <c r="K1377" s="7">
        <f t="shared" si="233"/>
        <v>170.24</v>
      </c>
      <c r="L1377" s="7">
        <f t="shared" si="234"/>
        <v>2261.7600000000002</v>
      </c>
      <c r="M1377" s="7">
        <v>15318</v>
      </c>
      <c r="N1377" s="5" t="s">
        <v>35</v>
      </c>
      <c r="O1377" s="5">
        <v>14</v>
      </c>
      <c r="P1377" s="7">
        <f t="shared" si="235"/>
        <v>2772.4800000000005</v>
      </c>
      <c r="Q1377" s="7">
        <f t="shared" si="236"/>
        <v>4085.7600000000057</v>
      </c>
      <c r="R1377" s="7" t="str">
        <f t="shared" si="237"/>
        <v>Normal</v>
      </c>
      <c r="S1377" s="5">
        <v>3</v>
      </c>
      <c r="T1377" s="5">
        <v>3</v>
      </c>
      <c r="U1377" s="5" t="str" cm="1">
        <f t="array" ref="U1377">_xlfn.IFS(T1377=1,"Poor",T1377=2,"Fair",T1377=3,"Good",T1377=4,"Excellent")</f>
        <v>Good</v>
      </c>
      <c r="V1377" s="5" t="s">
        <v>35</v>
      </c>
      <c r="W1377" s="5">
        <v>4</v>
      </c>
      <c r="X1377" s="28">
        <f t="shared" ca="1" si="238"/>
        <v>44650</v>
      </c>
      <c r="Y1377" s="28">
        <f t="shared" ca="1" si="239"/>
        <v>46842</v>
      </c>
      <c r="Z1377" s="28" t="str">
        <f t="shared" ca="1" si="240"/>
        <v>Upcoming</v>
      </c>
      <c r="AA1377" s="5" t="str" cm="1">
        <f t="array" ref="AA1377">_xlfn.IFS(W1377&gt;10,"Veteran",W1377&gt;=6,"Experienced",W1377&gt;=2,"Developing",W1377&gt;=0,"New")</f>
        <v>Developing</v>
      </c>
      <c r="AB1377" s="5" t="str" cm="1">
        <f t="array" ref="AB1377">_xlfn.IFS(G1377=1,"Junior",G1377=2,"Mid-Level",G1377=3,"Senior",G1377=4,"Lead",G1377=5,"Principal")&amp;" "&amp;TRIM(PROPER(H1377))</f>
        <v>Junior Research Scientist</v>
      </c>
      <c r="AC1377" s="19" t="str">
        <f t="shared" ca="1" si="241"/>
        <v>Re-Res-2022-1376 is a Junior Research Scientist in the Research &amp; Development department, aged 32, single and has been with the Company for 4years</v>
      </c>
    </row>
    <row r="1378" spans="1:29">
      <c r="A1378" s="18" t="str">
        <f t="shared" ca="1" si="231"/>
        <v>Re-Res-2021-1377</v>
      </c>
      <c r="B1378" s="5">
        <v>38</v>
      </c>
      <c r="C1378" s="5" t="str">
        <f t="shared" si="232"/>
        <v>30-39</v>
      </c>
      <c r="D1378" s="5" t="s">
        <v>43</v>
      </c>
      <c r="E1378" s="5" t="s">
        <v>45</v>
      </c>
      <c r="F1378" s="5" t="s">
        <v>46</v>
      </c>
      <c r="G1378" s="5">
        <v>1</v>
      </c>
      <c r="H1378" s="5" t="s">
        <v>47</v>
      </c>
      <c r="I1378" s="5" t="s">
        <v>52</v>
      </c>
      <c r="J1378" s="7">
        <v>4771</v>
      </c>
      <c r="K1378" s="7">
        <f t="shared" si="233"/>
        <v>715.65</v>
      </c>
      <c r="L1378" s="7">
        <f t="shared" si="234"/>
        <v>4055.35</v>
      </c>
      <c r="M1378" s="7">
        <v>14293</v>
      </c>
      <c r="N1378" s="5" t="s">
        <v>43</v>
      </c>
      <c r="O1378" s="5">
        <v>19</v>
      </c>
      <c r="P1378" s="7">
        <f t="shared" si="235"/>
        <v>5677.49</v>
      </c>
      <c r="Q1378" s="7">
        <f t="shared" si="236"/>
        <v>10877.879999999997</v>
      </c>
      <c r="R1378" s="7" t="str">
        <f t="shared" si="237"/>
        <v>Normal</v>
      </c>
      <c r="S1378" s="5">
        <v>3</v>
      </c>
      <c r="T1378" s="5">
        <v>4</v>
      </c>
      <c r="U1378" s="5" t="str" cm="1">
        <f t="array" ref="U1378">_xlfn.IFS(T1378=1,"Poor",T1378=2,"Fair",T1378=3,"Good",T1378=4,"Excellent")</f>
        <v>Excellent</v>
      </c>
      <c r="V1378" s="5" t="s">
        <v>43</v>
      </c>
      <c r="W1378" s="5">
        <v>5</v>
      </c>
      <c r="X1378" s="28">
        <f t="shared" ca="1" si="238"/>
        <v>44285</v>
      </c>
      <c r="Y1378" s="28">
        <f t="shared" ca="1" si="239"/>
        <v>46476</v>
      </c>
      <c r="Z1378" s="28" t="str">
        <f t="shared" ca="1" si="240"/>
        <v>Due Soon</v>
      </c>
      <c r="AA1378" s="5" t="str" cm="1">
        <f t="array" ref="AA1378">_xlfn.IFS(W1378&gt;10,"Veteran",W1378&gt;=6,"Experienced",W1378&gt;=2,"Developing",W1378&gt;=0,"New")</f>
        <v>Developing</v>
      </c>
      <c r="AB1378" s="5" t="str" cm="1">
        <f t="array" ref="AB1378">_xlfn.IFS(G1378=1,"Junior",G1378=2,"Mid-Level",G1378=3,"Senior",G1378=4,"Lead",G1378=5,"Principal")&amp;" "&amp;TRIM(PROPER(H1378))</f>
        <v>Junior Research Scientist</v>
      </c>
      <c r="AC1378" s="19" t="str">
        <f t="shared" ca="1" si="241"/>
        <v>Re-Res-2021-1377 is a Junior Research Scientist in the Research &amp; Development department, aged 38, divorced and has been with the Company for 5years</v>
      </c>
    </row>
    <row r="1379" spans="1:29">
      <c r="A1379" s="18" t="str">
        <f t="shared" ca="1" si="231"/>
        <v>Re-Res-2021-1378</v>
      </c>
      <c r="B1379" s="5">
        <v>49</v>
      </c>
      <c r="C1379" s="5" t="str">
        <f t="shared" si="232"/>
        <v>40-49</v>
      </c>
      <c r="D1379" s="5" t="s">
        <v>43</v>
      </c>
      <c r="E1379" s="5" t="s">
        <v>45</v>
      </c>
      <c r="F1379" s="5" t="s">
        <v>46</v>
      </c>
      <c r="G1379" s="5">
        <v>5</v>
      </c>
      <c r="H1379" s="5" t="s">
        <v>58</v>
      </c>
      <c r="I1379" s="5" t="s">
        <v>48</v>
      </c>
      <c r="J1379" s="7">
        <v>19161</v>
      </c>
      <c r="K1379" s="7">
        <f t="shared" si="233"/>
        <v>5748.3</v>
      </c>
      <c r="L1379" s="7">
        <f t="shared" si="234"/>
        <v>13412.7</v>
      </c>
      <c r="M1379" s="7">
        <v>13738</v>
      </c>
      <c r="N1379" s="5" t="s">
        <v>43</v>
      </c>
      <c r="O1379" s="5">
        <v>15</v>
      </c>
      <c r="P1379" s="7">
        <f t="shared" si="235"/>
        <v>22035.149999999998</v>
      </c>
      <c r="Q1379" s="7">
        <f t="shared" si="236"/>
        <v>34489.799999999974</v>
      </c>
      <c r="R1379" s="7" t="str">
        <f t="shared" si="237"/>
        <v>Normal</v>
      </c>
      <c r="S1379" s="5">
        <v>3</v>
      </c>
      <c r="T1379" s="5">
        <v>3</v>
      </c>
      <c r="U1379" s="5" t="str" cm="1">
        <f t="array" ref="U1379">_xlfn.IFS(T1379=1,"Poor",T1379=2,"Fair",T1379=3,"Good",T1379=4,"Excellent")</f>
        <v>Good</v>
      </c>
      <c r="V1379" s="5" t="s">
        <v>43</v>
      </c>
      <c r="W1379" s="5">
        <v>5</v>
      </c>
      <c r="X1379" s="28">
        <f t="shared" ca="1" si="238"/>
        <v>44285</v>
      </c>
      <c r="Y1379" s="28">
        <f t="shared" ca="1" si="239"/>
        <v>46476</v>
      </c>
      <c r="Z1379" s="28" t="str">
        <f t="shared" ca="1" si="240"/>
        <v>Due Soon</v>
      </c>
      <c r="AA1379" s="5" t="str" cm="1">
        <f t="array" ref="AA1379">_xlfn.IFS(W1379&gt;10,"Veteran",W1379&gt;=6,"Experienced",W1379&gt;=2,"Developing",W1379&gt;=0,"New")</f>
        <v>Developing</v>
      </c>
      <c r="AB1379" s="5" t="str" cm="1">
        <f t="array" ref="AB1379">_xlfn.IFS(G1379=1,"Junior",G1379=2,"Mid-Level",G1379=3,"Senior",G1379=4,"Lead",G1379=5,"Principal")&amp;" "&amp;TRIM(PROPER(H1379))</f>
        <v>Principal Research Director</v>
      </c>
      <c r="AC1379" s="19" t="str">
        <f t="shared" ca="1" si="241"/>
        <v>Re-Res-2021-1378 is a Principal Research Director in the Research &amp; Development department, aged 49, married and has been with the Company for 5years</v>
      </c>
    </row>
    <row r="1380" spans="1:29">
      <c r="A1380" s="18" t="str">
        <f t="shared" ca="1" si="231"/>
        <v>Sa-Sal-2026-1379</v>
      </c>
      <c r="B1380" s="5">
        <v>42</v>
      </c>
      <c r="C1380" s="5" t="str">
        <f t="shared" si="232"/>
        <v>40-49</v>
      </c>
      <c r="D1380" s="5" t="s">
        <v>43</v>
      </c>
      <c r="E1380" s="5" t="s">
        <v>37</v>
      </c>
      <c r="F1380" s="5" t="s">
        <v>46</v>
      </c>
      <c r="G1380" s="5">
        <v>2</v>
      </c>
      <c r="H1380" s="5" t="s">
        <v>40</v>
      </c>
      <c r="I1380" s="5" t="s">
        <v>52</v>
      </c>
      <c r="J1380" s="7">
        <v>5087</v>
      </c>
      <c r="K1380" s="7">
        <f t="shared" si="233"/>
        <v>763.05</v>
      </c>
      <c r="L1380" s="7">
        <f t="shared" si="234"/>
        <v>4323.95</v>
      </c>
      <c r="M1380" s="7">
        <v>2900</v>
      </c>
      <c r="N1380" s="5" t="s">
        <v>35</v>
      </c>
      <c r="O1380" s="5">
        <v>12</v>
      </c>
      <c r="P1380" s="7">
        <f t="shared" si="235"/>
        <v>5697.4400000000005</v>
      </c>
      <c r="Q1380" s="7">
        <f t="shared" si="236"/>
        <v>7325.2800000000061</v>
      </c>
      <c r="R1380" s="7" t="str">
        <f t="shared" si="237"/>
        <v>Normal</v>
      </c>
      <c r="S1380" s="5">
        <v>3</v>
      </c>
      <c r="T1380" s="5">
        <v>3</v>
      </c>
      <c r="U1380" s="5" t="str" cm="1">
        <f t="array" ref="U1380">_xlfn.IFS(T1380=1,"Poor",T1380=2,"Fair",T1380=3,"Good",T1380=4,"Excellent")</f>
        <v>Good</v>
      </c>
      <c r="V1380" s="5" t="s">
        <v>35</v>
      </c>
      <c r="W1380" s="5">
        <v>0</v>
      </c>
      <c r="X1380" s="28">
        <f t="shared" ca="1" si="238"/>
        <v>46111</v>
      </c>
      <c r="Y1380" s="28">
        <f t="shared" ca="1" si="239"/>
        <v>46842</v>
      </c>
      <c r="Z1380" s="28" t="str">
        <f t="shared" ca="1" si="240"/>
        <v>Upcoming</v>
      </c>
      <c r="AA1380" s="5" t="str" cm="1">
        <f t="array" ref="AA1380">_xlfn.IFS(W1380&gt;10,"Veteran",W1380&gt;=6,"Experienced",W1380&gt;=2,"Developing",W1380&gt;=0,"New")</f>
        <v>New</v>
      </c>
      <c r="AB1380" s="5" t="str" cm="1">
        <f t="array" ref="AB1380">_xlfn.IFS(G1380=1,"Junior",G1380=2,"Mid-Level",G1380=3,"Senior",G1380=4,"Lead",G1380=5,"Principal")&amp;" "&amp;TRIM(PROPER(H1380))</f>
        <v>Mid-Level Sales Executive</v>
      </c>
      <c r="AC1380" s="19" t="str">
        <f t="shared" ca="1" si="241"/>
        <v>Sa-Sal-2026-1379 is a Mid-Level Sales Executive in the Sales department, aged 42, divorced and has been with the Company for 0years</v>
      </c>
    </row>
    <row r="1381" spans="1:29">
      <c r="A1381" s="18" t="str">
        <f t="shared" ca="1" si="231"/>
        <v>Hu-Hum-2025-1380</v>
      </c>
      <c r="B1381" s="5">
        <v>27</v>
      </c>
      <c r="C1381" s="5" t="str">
        <f t="shared" si="232"/>
        <v>20-29</v>
      </c>
      <c r="D1381" s="5" t="s">
        <v>35</v>
      </c>
      <c r="E1381" s="5" t="s">
        <v>61</v>
      </c>
      <c r="F1381" s="5" t="s">
        <v>39</v>
      </c>
      <c r="G1381" s="5">
        <v>1</v>
      </c>
      <c r="H1381" s="5" t="s">
        <v>61</v>
      </c>
      <c r="I1381" s="5" t="s">
        <v>48</v>
      </c>
      <c r="J1381" s="7">
        <v>2863</v>
      </c>
      <c r="K1381" s="7">
        <f t="shared" si="233"/>
        <v>200.41000000000003</v>
      </c>
      <c r="L1381" s="7">
        <f t="shared" si="234"/>
        <v>2662.59</v>
      </c>
      <c r="M1381" s="7">
        <v>19555</v>
      </c>
      <c r="N1381" s="5" t="s">
        <v>43</v>
      </c>
      <c r="O1381" s="5">
        <v>12</v>
      </c>
      <c r="P1381" s="7">
        <f t="shared" si="235"/>
        <v>3206.5600000000004</v>
      </c>
      <c r="Q1381" s="7">
        <f t="shared" si="236"/>
        <v>4122.7200000000048</v>
      </c>
      <c r="R1381" s="7" t="str">
        <f t="shared" si="237"/>
        <v>Normal</v>
      </c>
      <c r="S1381" s="5">
        <v>3</v>
      </c>
      <c r="T1381" s="5">
        <v>3</v>
      </c>
      <c r="U1381" s="5" t="str" cm="1">
        <f t="array" ref="U1381">_xlfn.IFS(T1381=1,"Poor",T1381=2,"Fair",T1381=3,"Good",T1381=4,"Excellent")</f>
        <v>Good</v>
      </c>
      <c r="V1381" s="5" t="s">
        <v>43</v>
      </c>
      <c r="W1381" s="5">
        <v>1</v>
      </c>
      <c r="X1381" s="28">
        <f t="shared" ca="1" si="238"/>
        <v>45746</v>
      </c>
      <c r="Y1381" s="28">
        <f t="shared" ca="1" si="239"/>
        <v>46476</v>
      </c>
      <c r="Z1381" s="28" t="str">
        <f t="shared" ca="1" si="240"/>
        <v>Due Soon</v>
      </c>
      <c r="AA1381" s="5" t="str" cm="1">
        <f t="array" ref="AA1381">_xlfn.IFS(W1381&gt;10,"Veteran",W1381&gt;=6,"Experienced",W1381&gt;=2,"Developing",W1381&gt;=0,"New")</f>
        <v>New</v>
      </c>
      <c r="AB1381" s="5" t="str" cm="1">
        <f t="array" ref="AB1381">_xlfn.IFS(G1381=1,"Junior",G1381=2,"Mid-Level",G1381=3,"Senior",G1381=4,"Lead",G1381=5,"Principal")&amp;" "&amp;TRIM(PROPER(H1381))</f>
        <v>Junior Human Resources</v>
      </c>
      <c r="AC1381" s="19" t="str">
        <f t="shared" ca="1" si="241"/>
        <v>Hu-Hum-2025-1380 is a Junior Human Resources in the Human Resources department, aged 27, married and has been with the Company for 1years</v>
      </c>
    </row>
    <row r="1382" spans="1:29">
      <c r="A1382" s="18" t="str">
        <f t="shared" ca="1" si="231"/>
        <v>Sa-Sal-2021-1381</v>
      </c>
      <c r="B1382" s="5">
        <v>35</v>
      </c>
      <c r="C1382" s="5" t="str">
        <f t="shared" si="232"/>
        <v>30-39</v>
      </c>
      <c r="D1382" s="5" t="s">
        <v>43</v>
      </c>
      <c r="E1382" s="5" t="s">
        <v>37</v>
      </c>
      <c r="F1382" s="5" t="s">
        <v>46</v>
      </c>
      <c r="G1382" s="5">
        <v>2</v>
      </c>
      <c r="H1382" s="5" t="s">
        <v>40</v>
      </c>
      <c r="I1382" s="5" t="s">
        <v>48</v>
      </c>
      <c r="J1382" s="7">
        <v>5561</v>
      </c>
      <c r="K1382" s="7">
        <f t="shared" si="233"/>
        <v>834.15</v>
      </c>
      <c r="L1382" s="7">
        <f t="shared" si="234"/>
        <v>4726.8500000000004</v>
      </c>
      <c r="M1382" s="7">
        <v>15975</v>
      </c>
      <c r="N1382" s="5" t="s">
        <v>43</v>
      </c>
      <c r="O1382" s="5">
        <v>16</v>
      </c>
      <c r="P1382" s="7">
        <f t="shared" si="235"/>
        <v>6450.7599999999993</v>
      </c>
      <c r="Q1382" s="7">
        <f t="shared" si="236"/>
        <v>10677.119999999992</v>
      </c>
      <c r="R1382" s="7" t="str">
        <f t="shared" si="237"/>
        <v>Normal</v>
      </c>
      <c r="S1382" s="5">
        <v>3</v>
      </c>
      <c r="T1382" s="5">
        <v>1</v>
      </c>
      <c r="U1382" s="5" t="str" cm="1">
        <f t="array" ref="U1382">_xlfn.IFS(T1382=1,"Poor",T1382=2,"Fair",T1382=3,"Good",T1382=4,"Excellent")</f>
        <v>Poor</v>
      </c>
      <c r="V1382" s="5" t="s">
        <v>43</v>
      </c>
      <c r="W1382" s="5">
        <v>5</v>
      </c>
      <c r="X1382" s="28">
        <f t="shared" ca="1" si="238"/>
        <v>44285</v>
      </c>
      <c r="Y1382" s="28">
        <f t="shared" ca="1" si="239"/>
        <v>46476</v>
      </c>
      <c r="Z1382" s="28" t="str">
        <f t="shared" ca="1" si="240"/>
        <v>Due Soon</v>
      </c>
      <c r="AA1382" s="5" t="str" cm="1">
        <f t="array" ref="AA1382">_xlfn.IFS(W1382&gt;10,"Veteran",W1382&gt;=6,"Experienced",W1382&gt;=2,"Developing",W1382&gt;=0,"New")</f>
        <v>Developing</v>
      </c>
      <c r="AB1382" s="5" t="str" cm="1">
        <f t="array" ref="AB1382">_xlfn.IFS(G1382=1,"Junior",G1382=2,"Mid-Level",G1382=3,"Senior",G1382=4,"Lead",G1382=5,"Principal")&amp;" "&amp;TRIM(PROPER(H1382))</f>
        <v>Mid-Level Sales Executive</v>
      </c>
      <c r="AC1382" s="19" t="str">
        <f t="shared" ca="1" si="241"/>
        <v>Sa-Sal-2021-1381 is a Mid-Level Sales Executive in the Sales department, aged 35, married and has been with the Company for 5years</v>
      </c>
    </row>
    <row r="1383" spans="1:29">
      <c r="A1383" s="18" t="str">
        <f t="shared" ca="1" si="231"/>
        <v>Re-Res-2021-1382</v>
      </c>
      <c r="B1383" s="5">
        <v>28</v>
      </c>
      <c r="C1383" s="5" t="str">
        <f t="shared" si="232"/>
        <v>20-29</v>
      </c>
      <c r="D1383" s="5" t="s">
        <v>43</v>
      </c>
      <c r="E1383" s="5" t="s">
        <v>45</v>
      </c>
      <c r="F1383" s="5" t="s">
        <v>46</v>
      </c>
      <c r="G1383" s="5">
        <v>1</v>
      </c>
      <c r="H1383" s="5" t="s">
        <v>47</v>
      </c>
      <c r="I1383" s="5" t="s">
        <v>41</v>
      </c>
      <c r="J1383" s="7">
        <v>2144</v>
      </c>
      <c r="K1383" s="7">
        <f t="shared" si="233"/>
        <v>150.08000000000001</v>
      </c>
      <c r="L1383" s="7">
        <f t="shared" si="234"/>
        <v>1993.92</v>
      </c>
      <c r="M1383" s="7">
        <v>2122</v>
      </c>
      <c r="N1383" s="5" t="s">
        <v>43</v>
      </c>
      <c r="O1383" s="5">
        <v>14</v>
      </c>
      <c r="P1383" s="7">
        <f t="shared" si="235"/>
        <v>2444.1600000000003</v>
      </c>
      <c r="Q1383" s="7">
        <f t="shared" si="236"/>
        <v>3601.9200000000037</v>
      </c>
      <c r="R1383" s="7" t="str">
        <f t="shared" si="237"/>
        <v>Normal</v>
      </c>
      <c r="S1383" s="5">
        <v>3</v>
      </c>
      <c r="T1383" s="5">
        <v>2</v>
      </c>
      <c r="U1383" s="5" t="str" cm="1">
        <f t="array" ref="U1383">_xlfn.IFS(T1383=1,"Poor",T1383=2,"Fair",T1383=3,"Good",T1383=4,"Excellent")</f>
        <v>Fair</v>
      </c>
      <c r="V1383" s="5" t="s">
        <v>43</v>
      </c>
      <c r="W1383" s="5">
        <v>5</v>
      </c>
      <c r="X1383" s="28">
        <f t="shared" ca="1" si="238"/>
        <v>44285</v>
      </c>
      <c r="Y1383" s="28">
        <f t="shared" ca="1" si="239"/>
        <v>46476</v>
      </c>
      <c r="Z1383" s="28" t="str">
        <f t="shared" ca="1" si="240"/>
        <v>Due Soon</v>
      </c>
      <c r="AA1383" s="5" t="str" cm="1">
        <f t="array" ref="AA1383">_xlfn.IFS(W1383&gt;10,"Veteran",W1383&gt;=6,"Experienced",W1383&gt;=2,"Developing",W1383&gt;=0,"New")</f>
        <v>Developing</v>
      </c>
      <c r="AB1383" s="5" t="str" cm="1">
        <f t="array" ref="AB1383">_xlfn.IFS(G1383=1,"Junior",G1383=2,"Mid-Level",G1383=3,"Senior",G1383=4,"Lead",G1383=5,"Principal")&amp;" "&amp;TRIM(PROPER(H1383))</f>
        <v>Junior Research Scientist</v>
      </c>
      <c r="AC1383" s="19" t="str">
        <f t="shared" ca="1" si="241"/>
        <v>Re-Res-2021-1382 is a Junior Research Scientist in the Research &amp; Development department, aged 28, single and has been with the Company for 5years</v>
      </c>
    </row>
    <row r="1384" spans="1:29">
      <c r="A1384" s="18" t="str">
        <f t="shared" ca="1" si="231"/>
        <v>Re-Res-2022-1383</v>
      </c>
      <c r="B1384" s="5">
        <v>31</v>
      </c>
      <c r="C1384" s="5" t="str">
        <f t="shared" si="232"/>
        <v>30-39</v>
      </c>
      <c r="D1384" s="5" t="s">
        <v>43</v>
      </c>
      <c r="E1384" s="5" t="s">
        <v>45</v>
      </c>
      <c r="F1384" s="5" t="s">
        <v>46</v>
      </c>
      <c r="G1384" s="5">
        <v>1</v>
      </c>
      <c r="H1384" s="5" t="s">
        <v>47</v>
      </c>
      <c r="I1384" s="5" t="s">
        <v>52</v>
      </c>
      <c r="J1384" s="7">
        <v>3065</v>
      </c>
      <c r="K1384" s="7">
        <f t="shared" si="233"/>
        <v>459.75</v>
      </c>
      <c r="L1384" s="7">
        <f t="shared" si="234"/>
        <v>2605.25</v>
      </c>
      <c r="M1384" s="7">
        <v>3995</v>
      </c>
      <c r="N1384" s="5" t="s">
        <v>35</v>
      </c>
      <c r="O1384" s="5">
        <v>13</v>
      </c>
      <c r="P1384" s="7">
        <f t="shared" si="235"/>
        <v>3463.45</v>
      </c>
      <c r="Q1384" s="7">
        <f t="shared" si="236"/>
        <v>4781.3999999999978</v>
      </c>
      <c r="R1384" s="7" t="str">
        <f t="shared" si="237"/>
        <v>Normal</v>
      </c>
      <c r="S1384" s="5">
        <v>3</v>
      </c>
      <c r="T1384" s="5">
        <v>4</v>
      </c>
      <c r="U1384" s="5" t="str" cm="1">
        <f t="array" ref="U1384">_xlfn.IFS(T1384=1,"Poor",T1384=2,"Fair",T1384=3,"Good",T1384=4,"Excellent")</f>
        <v>Excellent</v>
      </c>
      <c r="V1384" s="5" t="s">
        <v>35</v>
      </c>
      <c r="W1384" s="5">
        <v>4</v>
      </c>
      <c r="X1384" s="28">
        <f t="shared" ca="1" si="238"/>
        <v>44650</v>
      </c>
      <c r="Y1384" s="28">
        <f t="shared" ca="1" si="239"/>
        <v>46842</v>
      </c>
      <c r="Z1384" s="28" t="str">
        <f t="shared" ca="1" si="240"/>
        <v>Upcoming</v>
      </c>
      <c r="AA1384" s="5" t="str" cm="1">
        <f t="array" ref="AA1384">_xlfn.IFS(W1384&gt;10,"Veteran",W1384&gt;=6,"Experienced",W1384&gt;=2,"Developing",W1384&gt;=0,"New")</f>
        <v>Developing</v>
      </c>
      <c r="AB1384" s="5" t="str" cm="1">
        <f t="array" ref="AB1384">_xlfn.IFS(G1384=1,"Junior",G1384=2,"Mid-Level",G1384=3,"Senior",G1384=4,"Lead",G1384=5,"Principal")&amp;" "&amp;TRIM(PROPER(H1384))</f>
        <v>Junior Research Scientist</v>
      </c>
      <c r="AC1384" s="19" t="str">
        <f t="shared" ca="1" si="241"/>
        <v>Re-Res-2022-1383 is a Junior Research Scientist in the Research &amp; Development department, aged 31, divorced and has been with the Company for 4years</v>
      </c>
    </row>
    <row r="1385" spans="1:29">
      <c r="A1385" s="18" t="str">
        <f t="shared" ca="1" si="231"/>
        <v>La-Res-2021-1384</v>
      </c>
      <c r="B1385" s="5">
        <v>36</v>
      </c>
      <c r="C1385" s="5" t="str">
        <f t="shared" si="232"/>
        <v>30-39</v>
      </c>
      <c r="D1385" s="5" t="s">
        <v>43</v>
      </c>
      <c r="E1385" s="5" t="s">
        <v>45</v>
      </c>
      <c r="F1385" s="5" t="s">
        <v>46</v>
      </c>
      <c r="G1385" s="5">
        <v>1</v>
      </c>
      <c r="H1385" s="5" t="s">
        <v>50</v>
      </c>
      <c r="I1385" s="5" t="s">
        <v>48</v>
      </c>
      <c r="J1385" s="7">
        <v>2810</v>
      </c>
      <c r="K1385" s="7">
        <f t="shared" si="233"/>
        <v>196.70000000000002</v>
      </c>
      <c r="L1385" s="7">
        <f t="shared" si="234"/>
        <v>2613.3000000000002</v>
      </c>
      <c r="M1385" s="7">
        <v>9238</v>
      </c>
      <c r="N1385" s="5" t="s">
        <v>43</v>
      </c>
      <c r="O1385" s="5">
        <v>22</v>
      </c>
      <c r="P1385" s="7">
        <f t="shared" si="235"/>
        <v>3428.2</v>
      </c>
      <c r="Q1385" s="7">
        <f t="shared" si="236"/>
        <v>7418.3999999999978</v>
      </c>
      <c r="R1385" s="7" t="str">
        <f t="shared" si="237"/>
        <v>Normal</v>
      </c>
      <c r="S1385" s="5">
        <v>4</v>
      </c>
      <c r="T1385" s="5">
        <v>3</v>
      </c>
      <c r="U1385" s="5" t="str" cm="1">
        <f t="array" ref="U1385">_xlfn.IFS(T1385=1,"Poor",T1385=2,"Fair",T1385=3,"Good",T1385=4,"Excellent")</f>
        <v>Good</v>
      </c>
      <c r="V1385" s="5" t="s">
        <v>43</v>
      </c>
      <c r="W1385" s="5">
        <v>5</v>
      </c>
      <c r="X1385" s="28">
        <f t="shared" ca="1" si="238"/>
        <v>44285</v>
      </c>
      <c r="Y1385" s="28">
        <f t="shared" ca="1" si="239"/>
        <v>46476</v>
      </c>
      <c r="Z1385" s="28" t="str">
        <f t="shared" ca="1" si="240"/>
        <v>Due Soon</v>
      </c>
      <c r="AA1385" s="5" t="str" cm="1">
        <f t="array" ref="AA1385">_xlfn.IFS(W1385&gt;10,"Veteran",W1385&gt;=6,"Experienced",W1385&gt;=2,"Developing",W1385&gt;=0,"New")</f>
        <v>Developing</v>
      </c>
      <c r="AB1385" s="5" t="str" cm="1">
        <f t="array" ref="AB1385">_xlfn.IFS(G1385=1,"Junior",G1385=2,"Mid-Level",G1385=3,"Senior",G1385=4,"Lead",G1385=5,"Principal")&amp;" "&amp;TRIM(PROPER(H1385))</f>
        <v>Junior Laboratory Technician</v>
      </c>
      <c r="AC1385" s="19" t="str">
        <f t="shared" ca="1" si="241"/>
        <v>La-Res-2021-1384 is a Junior Laboratory Technician in the Research &amp; Development department, aged 36, married and has been with the Company for 5years</v>
      </c>
    </row>
    <row r="1386" spans="1:29">
      <c r="A1386" s="18" t="str">
        <f t="shared" ca="1" si="231"/>
        <v>Sa-Sal-2012-1385</v>
      </c>
      <c r="B1386" s="5">
        <v>34</v>
      </c>
      <c r="C1386" s="5" t="str">
        <f t="shared" si="232"/>
        <v>30-39</v>
      </c>
      <c r="D1386" s="5" t="s">
        <v>43</v>
      </c>
      <c r="E1386" s="5" t="s">
        <v>37</v>
      </c>
      <c r="F1386" s="5" t="s">
        <v>46</v>
      </c>
      <c r="G1386" s="5">
        <v>3</v>
      </c>
      <c r="H1386" s="5" t="s">
        <v>40</v>
      </c>
      <c r="I1386" s="5" t="s">
        <v>41</v>
      </c>
      <c r="J1386" s="7">
        <v>9888</v>
      </c>
      <c r="K1386" s="7">
        <f t="shared" si="233"/>
        <v>2175.36</v>
      </c>
      <c r="L1386" s="7">
        <f t="shared" si="234"/>
        <v>7712.6399999999994</v>
      </c>
      <c r="M1386" s="7">
        <v>6770</v>
      </c>
      <c r="N1386" s="5" t="s">
        <v>43</v>
      </c>
      <c r="O1386" s="5">
        <v>21</v>
      </c>
      <c r="P1386" s="7">
        <f t="shared" si="235"/>
        <v>11964.48</v>
      </c>
      <c r="Q1386" s="7">
        <f t="shared" si="236"/>
        <v>24917.759999999995</v>
      </c>
      <c r="R1386" s="7" t="str">
        <f t="shared" si="237"/>
        <v>Normal</v>
      </c>
      <c r="S1386" s="5">
        <v>4</v>
      </c>
      <c r="T1386" s="5">
        <v>2</v>
      </c>
      <c r="U1386" s="5" t="str" cm="1">
        <f t="array" ref="U1386">_xlfn.IFS(T1386=1,"Poor",T1386=2,"Fair",T1386=3,"Good",T1386=4,"Excellent")</f>
        <v>Fair</v>
      </c>
      <c r="V1386" s="5" t="s">
        <v>43</v>
      </c>
      <c r="W1386" s="5">
        <v>14</v>
      </c>
      <c r="X1386" s="28">
        <f t="shared" ca="1" si="238"/>
        <v>40998</v>
      </c>
      <c r="Y1386" s="28">
        <f t="shared" ca="1" si="239"/>
        <v>46842</v>
      </c>
      <c r="Z1386" s="28" t="str">
        <f t="shared" ca="1" si="240"/>
        <v>Upcoming</v>
      </c>
      <c r="AA1386" s="5" t="str" cm="1">
        <f t="array" ref="AA1386">_xlfn.IFS(W1386&gt;10,"Veteran",W1386&gt;=6,"Experienced",W1386&gt;=2,"Developing",W1386&gt;=0,"New")</f>
        <v>Veteran</v>
      </c>
      <c r="AB1386" s="5" t="str" cm="1">
        <f t="array" ref="AB1386">_xlfn.IFS(G1386=1,"Junior",G1386=2,"Mid-Level",G1386=3,"Senior",G1386=4,"Lead",G1386=5,"Principal")&amp;" "&amp;TRIM(PROPER(H1386))</f>
        <v>Senior Sales Executive</v>
      </c>
      <c r="AC1386" s="19" t="str">
        <f t="shared" ca="1" si="241"/>
        <v>Sa-Sal-2012-1385 is a Senior Sales Executive in the Sales department, aged 34, single and has been with the Company for 14years</v>
      </c>
    </row>
    <row r="1387" spans="1:29">
      <c r="A1387" s="18" t="str">
        <f t="shared" ca="1" si="231"/>
        <v>Sa-Sal-2018-1386</v>
      </c>
      <c r="B1387" s="5">
        <v>34</v>
      </c>
      <c r="C1387" s="5" t="str">
        <f t="shared" si="232"/>
        <v>30-39</v>
      </c>
      <c r="D1387" s="5" t="s">
        <v>43</v>
      </c>
      <c r="E1387" s="5" t="s">
        <v>37</v>
      </c>
      <c r="F1387" s="5" t="s">
        <v>46</v>
      </c>
      <c r="G1387" s="5">
        <v>3</v>
      </c>
      <c r="H1387" s="5" t="s">
        <v>40</v>
      </c>
      <c r="I1387" s="5" t="s">
        <v>52</v>
      </c>
      <c r="J1387" s="7">
        <v>8628</v>
      </c>
      <c r="K1387" s="7">
        <f t="shared" si="233"/>
        <v>1898.16</v>
      </c>
      <c r="L1387" s="7">
        <f t="shared" si="234"/>
        <v>6729.84</v>
      </c>
      <c r="M1387" s="7">
        <v>22914</v>
      </c>
      <c r="N1387" s="5" t="s">
        <v>43</v>
      </c>
      <c r="O1387" s="5">
        <v>18</v>
      </c>
      <c r="P1387" s="7">
        <f t="shared" si="235"/>
        <v>10181.039999999999</v>
      </c>
      <c r="Q1387" s="7">
        <f t="shared" si="236"/>
        <v>18636.479999999989</v>
      </c>
      <c r="R1387" s="7" t="str">
        <f t="shared" si="237"/>
        <v>Normal</v>
      </c>
      <c r="S1387" s="5">
        <v>3</v>
      </c>
      <c r="T1387" s="5">
        <v>2</v>
      </c>
      <c r="U1387" s="5" t="str" cm="1">
        <f t="array" ref="U1387">_xlfn.IFS(T1387=1,"Poor",T1387=2,"Fair",T1387=3,"Good",T1387=4,"Excellent")</f>
        <v>Fair</v>
      </c>
      <c r="V1387" s="5" t="s">
        <v>43</v>
      </c>
      <c r="W1387" s="5">
        <v>8</v>
      </c>
      <c r="X1387" s="28">
        <f t="shared" ca="1" si="238"/>
        <v>43189</v>
      </c>
      <c r="Y1387" s="28">
        <f t="shared" ca="1" si="239"/>
        <v>46842</v>
      </c>
      <c r="Z1387" s="28" t="str">
        <f t="shared" ca="1" si="240"/>
        <v>Upcoming</v>
      </c>
      <c r="AA1387" s="5" t="str" cm="1">
        <f t="array" ref="AA1387">_xlfn.IFS(W1387&gt;10,"Veteran",W1387&gt;=6,"Experienced",W1387&gt;=2,"Developing",W1387&gt;=0,"New")</f>
        <v>Experienced</v>
      </c>
      <c r="AB1387" s="5" t="str" cm="1">
        <f t="array" ref="AB1387">_xlfn.IFS(G1387=1,"Junior",G1387=2,"Mid-Level",G1387=3,"Senior",G1387=4,"Lead",G1387=5,"Principal")&amp;" "&amp;TRIM(PROPER(H1387))</f>
        <v>Senior Sales Executive</v>
      </c>
      <c r="AC1387" s="19" t="str">
        <f t="shared" ca="1" si="241"/>
        <v>Sa-Sal-2018-1386 is a Senior Sales Executive in the Sales department, aged 34, divorced and has been with the Company for 8years</v>
      </c>
    </row>
    <row r="1388" spans="1:29">
      <c r="A1388" s="18" t="str">
        <f t="shared" ca="1" si="231"/>
        <v>La-Res-2019-1387</v>
      </c>
      <c r="B1388" s="5">
        <v>26</v>
      </c>
      <c r="C1388" s="5" t="str">
        <f t="shared" si="232"/>
        <v>20-29</v>
      </c>
      <c r="D1388" s="5" t="s">
        <v>43</v>
      </c>
      <c r="E1388" s="5" t="s">
        <v>45</v>
      </c>
      <c r="F1388" s="5" t="s">
        <v>46</v>
      </c>
      <c r="G1388" s="5">
        <v>1</v>
      </c>
      <c r="H1388" s="5" t="s">
        <v>50</v>
      </c>
      <c r="I1388" s="5" t="s">
        <v>41</v>
      </c>
      <c r="J1388" s="7">
        <v>2867</v>
      </c>
      <c r="K1388" s="7">
        <f t="shared" si="233"/>
        <v>200.69000000000003</v>
      </c>
      <c r="L1388" s="7">
        <f t="shared" si="234"/>
        <v>2666.31</v>
      </c>
      <c r="M1388" s="7">
        <v>20006</v>
      </c>
      <c r="N1388" s="5" t="s">
        <v>43</v>
      </c>
      <c r="O1388" s="5">
        <v>13</v>
      </c>
      <c r="P1388" s="7">
        <f t="shared" si="235"/>
        <v>3239.7099999999996</v>
      </c>
      <c r="Q1388" s="7">
        <f t="shared" si="236"/>
        <v>4472.519999999995</v>
      </c>
      <c r="R1388" s="7" t="str">
        <f t="shared" si="237"/>
        <v>Normal</v>
      </c>
      <c r="S1388" s="5">
        <v>3</v>
      </c>
      <c r="T1388" s="5">
        <v>2</v>
      </c>
      <c r="U1388" s="5" t="str" cm="1">
        <f t="array" ref="U1388">_xlfn.IFS(T1388=1,"Poor",T1388=2,"Fair",T1388=3,"Good",T1388=4,"Excellent")</f>
        <v>Fair</v>
      </c>
      <c r="V1388" s="5" t="s">
        <v>43</v>
      </c>
      <c r="W1388" s="5">
        <v>7</v>
      </c>
      <c r="X1388" s="28">
        <f t="shared" ca="1" si="238"/>
        <v>43554</v>
      </c>
      <c r="Y1388" s="28">
        <f t="shared" ca="1" si="239"/>
        <v>46476</v>
      </c>
      <c r="Z1388" s="28" t="str">
        <f t="shared" ca="1" si="240"/>
        <v>Due Soon</v>
      </c>
      <c r="AA1388" s="5" t="str" cm="1">
        <f t="array" ref="AA1388">_xlfn.IFS(W1388&gt;10,"Veteran",W1388&gt;=6,"Experienced",W1388&gt;=2,"Developing",W1388&gt;=0,"New")</f>
        <v>Experienced</v>
      </c>
      <c r="AB1388" s="5" t="str" cm="1">
        <f t="array" ref="AB1388">_xlfn.IFS(G1388=1,"Junior",G1388=2,"Mid-Level",G1388=3,"Senior",G1388=4,"Lead",G1388=5,"Principal")&amp;" "&amp;TRIM(PROPER(H1388))</f>
        <v>Junior Laboratory Technician</v>
      </c>
      <c r="AC1388" s="19" t="str">
        <f t="shared" ca="1" si="241"/>
        <v>La-Res-2019-1387 is a Junior Laboratory Technician in the Research &amp; Development department, aged 26, single and has been with the Company for 7years</v>
      </c>
    </row>
    <row r="1389" spans="1:29">
      <c r="A1389" s="18" t="str">
        <f t="shared" ca="1" si="231"/>
        <v>He-Res-2021-1388</v>
      </c>
      <c r="B1389" s="5">
        <v>29</v>
      </c>
      <c r="C1389" s="5" t="str">
        <f t="shared" si="232"/>
        <v>20-29</v>
      </c>
      <c r="D1389" s="5" t="s">
        <v>43</v>
      </c>
      <c r="E1389" s="5" t="s">
        <v>45</v>
      </c>
      <c r="F1389" s="5" t="s">
        <v>46</v>
      </c>
      <c r="G1389" s="5">
        <v>2</v>
      </c>
      <c r="H1389" s="5" t="s">
        <v>54</v>
      </c>
      <c r="I1389" s="5" t="s">
        <v>48</v>
      </c>
      <c r="J1389" s="7">
        <v>5373</v>
      </c>
      <c r="K1389" s="7">
        <f t="shared" si="233"/>
        <v>805.94999999999993</v>
      </c>
      <c r="L1389" s="7">
        <f t="shared" si="234"/>
        <v>4567.05</v>
      </c>
      <c r="M1389" s="7">
        <v>6225</v>
      </c>
      <c r="N1389" s="5" t="s">
        <v>43</v>
      </c>
      <c r="O1389" s="5">
        <v>12</v>
      </c>
      <c r="P1389" s="7">
        <f t="shared" si="235"/>
        <v>6017.76</v>
      </c>
      <c r="Q1389" s="7">
        <f t="shared" si="236"/>
        <v>7737.1200000000026</v>
      </c>
      <c r="R1389" s="7" t="str">
        <f t="shared" si="237"/>
        <v>Normal</v>
      </c>
      <c r="S1389" s="5">
        <v>3</v>
      </c>
      <c r="T1389" s="5">
        <v>2</v>
      </c>
      <c r="U1389" s="5" t="str" cm="1">
        <f t="array" ref="U1389">_xlfn.IFS(T1389=1,"Poor",T1389=2,"Fair",T1389=3,"Good",T1389=4,"Excellent")</f>
        <v>Fair</v>
      </c>
      <c r="V1389" s="5" t="s">
        <v>43</v>
      </c>
      <c r="W1389" s="5">
        <v>5</v>
      </c>
      <c r="X1389" s="28">
        <f t="shared" ca="1" si="238"/>
        <v>44285</v>
      </c>
      <c r="Y1389" s="28">
        <f t="shared" ca="1" si="239"/>
        <v>46476</v>
      </c>
      <c r="Z1389" s="28" t="str">
        <f t="shared" ca="1" si="240"/>
        <v>Due Soon</v>
      </c>
      <c r="AA1389" s="5" t="str" cm="1">
        <f t="array" ref="AA1389">_xlfn.IFS(W1389&gt;10,"Veteran",W1389&gt;=6,"Experienced",W1389&gt;=2,"Developing",W1389&gt;=0,"New")</f>
        <v>Developing</v>
      </c>
      <c r="AB1389" s="5" t="str" cm="1">
        <f t="array" ref="AB1389">_xlfn.IFS(G1389=1,"Junior",G1389=2,"Mid-Level",G1389=3,"Senior",G1389=4,"Lead",G1389=5,"Principal")&amp;" "&amp;TRIM(PROPER(H1389))</f>
        <v>Mid-Level Healthcare Representative</v>
      </c>
      <c r="AC1389" s="19" t="str">
        <f t="shared" ca="1" si="241"/>
        <v>He-Res-2021-1388 is a Mid-Level Healthcare Representative in the Research &amp; Development department, aged 29, married and has been with the Company for 5years</v>
      </c>
    </row>
    <row r="1390" spans="1:29">
      <c r="A1390" s="18" t="str">
        <f t="shared" ca="1" si="231"/>
        <v>He-Res-2021-1389</v>
      </c>
      <c r="B1390" s="5">
        <v>32</v>
      </c>
      <c r="C1390" s="5" t="str">
        <f t="shared" si="232"/>
        <v>30-39</v>
      </c>
      <c r="D1390" s="5" t="s">
        <v>43</v>
      </c>
      <c r="E1390" s="5" t="s">
        <v>45</v>
      </c>
      <c r="F1390" s="5" t="s">
        <v>39</v>
      </c>
      <c r="G1390" s="5">
        <v>2</v>
      </c>
      <c r="H1390" s="5" t="s">
        <v>54</v>
      </c>
      <c r="I1390" s="5" t="s">
        <v>52</v>
      </c>
      <c r="J1390" s="7">
        <v>6667</v>
      </c>
      <c r="K1390" s="7">
        <f t="shared" si="233"/>
        <v>1000.05</v>
      </c>
      <c r="L1390" s="7">
        <f t="shared" si="234"/>
        <v>5666.95</v>
      </c>
      <c r="M1390" s="7">
        <v>16542</v>
      </c>
      <c r="N1390" s="5" t="s">
        <v>43</v>
      </c>
      <c r="O1390" s="5">
        <v>18</v>
      </c>
      <c r="P1390" s="7">
        <f t="shared" si="235"/>
        <v>7867.0599999999995</v>
      </c>
      <c r="Q1390" s="7">
        <f t="shared" si="236"/>
        <v>14400.719999999994</v>
      </c>
      <c r="R1390" s="7" t="str">
        <f t="shared" si="237"/>
        <v>Normal</v>
      </c>
      <c r="S1390" s="5">
        <v>3</v>
      </c>
      <c r="T1390" s="5">
        <v>3</v>
      </c>
      <c r="U1390" s="5" t="str" cm="1">
        <f t="array" ref="U1390">_xlfn.IFS(T1390=1,"Poor",T1390=2,"Fair",T1390=3,"Good",T1390=4,"Excellent")</f>
        <v>Good</v>
      </c>
      <c r="V1390" s="5" t="s">
        <v>43</v>
      </c>
      <c r="W1390" s="5">
        <v>5</v>
      </c>
      <c r="X1390" s="28">
        <f t="shared" ca="1" si="238"/>
        <v>44285</v>
      </c>
      <c r="Y1390" s="28">
        <f t="shared" ca="1" si="239"/>
        <v>46476</v>
      </c>
      <c r="Z1390" s="28" t="str">
        <f t="shared" ca="1" si="240"/>
        <v>Due Soon</v>
      </c>
      <c r="AA1390" s="5" t="str" cm="1">
        <f t="array" ref="AA1390">_xlfn.IFS(W1390&gt;10,"Veteran",W1390&gt;=6,"Experienced",W1390&gt;=2,"Developing",W1390&gt;=0,"New")</f>
        <v>Developing</v>
      </c>
      <c r="AB1390" s="5" t="str" cm="1">
        <f t="array" ref="AB1390">_xlfn.IFS(G1390=1,"Junior",G1390=2,"Mid-Level",G1390=3,"Senior",G1390=4,"Lead",G1390=5,"Principal")&amp;" "&amp;TRIM(PROPER(H1390))</f>
        <v>Mid-Level Healthcare Representative</v>
      </c>
      <c r="AC1390" s="19" t="str">
        <f t="shared" ca="1" si="241"/>
        <v>He-Res-2021-1389 is a Mid-Level Healthcare Representative in the Research &amp; Development department, aged 32, divorced and has been with the Company for 5years</v>
      </c>
    </row>
    <row r="1391" spans="1:29">
      <c r="A1391" s="18" t="str">
        <f t="shared" ca="1" si="231"/>
        <v>Re-Res-2016-1390</v>
      </c>
      <c r="B1391" s="5">
        <v>31</v>
      </c>
      <c r="C1391" s="5" t="str">
        <f t="shared" si="232"/>
        <v>30-39</v>
      </c>
      <c r="D1391" s="5" t="s">
        <v>43</v>
      </c>
      <c r="E1391" s="5" t="s">
        <v>45</v>
      </c>
      <c r="F1391" s="5" t="s">
        <v>46</v>
      </c>
      <c r="G1391" s="5">
        <v>2</v>
      </c>
      <c r="H1391" s="5" t="s">
        <v>47</v>
      </c>
      <c r="I1391" s="5" t="s">
        <v>48</v>
      </c>
      <c r="J1391" s="7">
        <v>5003</v>
      </c>
      <c r="K1391" s="7">
        <f t="shared" si="233"/>
        <v>750.44999999999993</v>
      </c>
      <c r="L1391" s="7">
        <f t="shared" si="234"/>
        <v>4252.55</v>
      </c>
      <c r="M1391" s="7">
        <v>5771</v>
      </c>
      <c r="N1391" s="5" t="s">
        <v>43</v>
      </c>
      <c r="O1391" s="5">
        <v>21</v>
      </c>
      <c r="P1391" s="7">
        <f t="shared" si="235"/>
        <v>6053.63</v>
      </c>
      <c r="Q1391" s="7">
        <f t="shared" si="236"/>
        <v>12607.560000000001</v>
      </c>
      <c r="R1391" s="7" t="str">
        <f t="shared" si="237"/>
        <v>Normal</v>
      </c>
      <c r="S1391" s="5">
        <v>4</v>
      </c>
      <c r="T1391" s="5">
        <v>3</v>
      </c>
      <c r="U1391" s="5" t="str" cm="1">
        <f t="array" ref="U1391">_xlfn.IFS(T1391=1,"Poor",T1391=2,"Fair",T1391=3,"Good",T1391=4,"Excellent")</f>
        <v>Good</v>
      </c>
      <c r="V1391" s="5" t="s">
        <v>43</v>
      </c>
      <c r="W1391" s="5">
        <v>10</v>
      </c>
      <c r="X1391" s="28">
        <f t="shared" ca="1" si="238"/>
        <v>42459</v>
      </c>
      <c r="Y1391" s="28">
        <f t="shared" ca="1" si="239"/>
        <v>46842</v>
      </c>
      <c r="Z1391" s="28" t="str">
        <f t="shared" ca="1" si="240"/>
        <v>Upcoming</v>
      </c>
      <c r="AA1391" s="5" t="str" cm="1">
        <f t="array" ref="AA1391">_xlfn.IFS(W1391&gt;10,"Veteran",W1391&gt;=6,"Experienced",W1391&gt;=2,"Developing",W1391&gt;=0,"New")</f>
        <v>Experienced</v>
      </c>
      <c r="AB1391" s="5" t="str" cm="1">
        <f t="array" ref="AB1391">_xlfn.IFS(G1391=1,"Junior",G1391=2,"Mid-Level",G1391=3,"Senior",G1391=4,"Lead",G1391=5,"Principal")&amp;" "&amp;TRIM(PROPER(H1391))</f>
        <v>Mid-Level Research Scientist</v>
      </c>
      <c r="AC1391" s="19" t="str">
        <f t="shared" ca="1" si="241"/>
        <v>Re-Res-2016-1390 is a Mid-Level Research Scientist in the Research &amp; Development department, aged 31, married and has been with the Company for 10years</v>
      </c>
    </row>
    <row r="1392" spans="1:29">
      <c r="A1392" s="18" t="str">
        <f t="shared" ca="1" si="231"/>
        <v>La-Res-2022-1391</v>
      </c>
      <c r="B1392" s="5">
        <v>28</v>
      </c>
      <c r="C1392" s="5" t="str">
        <f t="shared" si="232"/>
        <v>20-29</v>
      </c>
      <c r="D1392" s="5" t="s">
        <v>35</v>
      </c>
      <c r="E1392" s="5" t="s">
        <v>45</v>
      </c>
      <c r="F1392" s="5" t="s">
        <v>46</v>
      </c>
      <c r="G1392" s="5">
        <v>1</v>
      </c>
      <c r="H1392" s="5" t="s">
        <v>50</v>
      </c>
      <c r="I1392" s="5" t="s">
        <v>52</v>
      </c>
      <c r="J1392" s="7">
        <v>2367</v>
      </c>
      <c r="K1392" s="7">
        <f t="shared" si="233"/>
        <v>165.69000000000003</v>
      </c>
      <c r="L1392" s="7">
        <f t="shared" si="234"/>
        <v>2201.31</v>
      </c>
      <c r="M1392" s="7">
        <v>18779</v>
      </c>
      <c r="N1392" s="5" t="s">
        <v>43</v>
      </c>
      <c r="O1392" s="5">
        <v>12</v>
      </c>
      <c r="P1392" s="7">
        <f t="shared" si="235"/>
        <v>2651.0400000000004</v>
      </c>
      <c r="Q1392" s="7">
        <f t="shared" si="236"/>
        <v>3408.480000000005</v>
      </c>
      <c r="R1392" s="7" t="str">
        <f t="shared" si="237"/>
        <v>Normal</v>
      </c>
      <c r="S1392" s="5">
        <v>3</v>
      </c>
      <c r="T1392" s="5">
        <v>2</v>
      </c>
      <c r="U1392" s="5" t="str" cm="1">
        <f t="array" ref="U1392">_xlfn.IFS(T1392=1,"Poor",T1392=2,"Fair",T1392=3,"Good",T1392=4,"Excellent")</f>
        <v>Fair</v>
      </c>
      <c r="V1392" s="5" t="s">
        <v>43</v>
      </c>
      <c r="W1392" s="5">
        <v>4</v>
      </c>
      <c r="X1392" s="28">
        <f t="shared" ca="1" si="238"/>
        <v>44650</v>
      </c>
      <c r="Y1392" s="28">
        <f t="shared" ca="1" si="239"/>
        <v>46842</v>
      </c>
      <c r="Z1392" s="28" t="str">
        <f t="shared" ca="1" si="240"/>
        <v>Upcoming</v>
      </c>
      <c r="AA1392" s="5" t="str" cm="1">
        <f t="array" ref="AA1392">_xlfn.IFS(W1392&gt;10,"Veteran",W1392&gt;=6,"Experienced",W1392&gt;=2,"Developing",W1392&gt;=0,"New")</f>
        <v>Developing</v>
      </c>
      <c r="AB1392" s="5" t="str" cm="1">
        <f t="array" ref="AB1392">_xlfn.IFS(G1392=1,"Junior",G1392=2,"Mid-Level",G1392=3,"Senior",G1392=4,"Lead",G1392=5,"Principal")&amp;" "&amp;TRIM(PROPER(H1392))</f>
        <v>Junior Laboratory Technician</v>
      </c>
      <c r="AC1392" s="19" t="str">
        <f t="shared" ca="1" si="241"/>
        <v>La-Res-2022-1391 is a Junior Laboratory Technician in the Research &amp; Development department, aged 28, divorced and has been with the Company for 4years</v>
      </c>
    </row>
    <row r="1393" spans="1:29">
      <c r="A1393" s="18" t="str">
        <f t="shared" ca="1" si="231"/>
        <v>Sa-Sal-2025-1392</v>
      </c>
      <c r="B1393" s="5">
        <v>38</v>
      </c>
      <c r="C1393" s="5" t="str">
        <f t="shared" si="232"/>
        <v>30-39</v>
      </c>
      <c r="D1393" s="5" t="s">
        <v>43</v>
      </c>
      <c r="E1393" s="5" t="s">
        <v>37</v>
      </c>
      <c r="F1393" s="5" t="s">
        <v>46</v>
      </c>
      <c r="G1393" s="5">
        <v>1</v>
      </c>
      <c r="H1393" s="5" t="s">
        <v>57</v>
      </c>
      <c r="I1393" s="5" t="s">
        <v>41</v>
      </c>
      <c r="J1393" s="7">
        <v>2858</v>
      </c>
      <c r="K1393" s="7">
        <f t="shared" si="233"/>
        <v>200.06000000000003</v>
      </c>
      <c r="L1393" s="7">
        <f t="shared" si="234"/>
        <v>2657.94</v>
      </c>
      <c r="M1393" s="7">
        <v>11473</v>
      </c>
      <c r="N1393" s="5" t="s">
        <v>43</v>
      </c>
      <c r="O1393" s="5">
        <v>14</v>
      </c>
      <c r="P1393" s="7">
        <f t="shared" si="235"/>
        <v>3258.1200000000003</v>
      </c>
      <c r="Q1393" s="7">
        <f t="shared" si="236"/>
        <v>4801.4400000000041</v>
      </c>
      <c r="R1393" s="7" t="str">
        <f t="shared" si="237"/>
        <v>Normal</v>
      </c>
      <c r="S1393" s="5">
        <v>3</v>
      </c>
      <c r="T1393" s="5">
        <v>2</v>
      </c>
      <c r="U1393" s="5" t="str" cm="1">
        <f t="array" ref="U1393">_xlfn.IFS(T1393=1,"Poor",T1393=2,"Fair",T1393=3,"Good",T1393=4,"Excellent")</f>
        <v>Fair</v>
      </c>
      <c r="V1393" s="5" t="s">
        <v>43</v>
      </c>
      <c r="W1393" s="5">
        <v>1</v>
      </c>
      <c r="X1393" s="28">
        <f t="shared" ca="1" si="238"/>
        <v>45746</v>
      </c>
      <c r="Y1393" s="28">
        <f t="shared" ca="1" si="239"/>
        <v>46476</v>
      </c>
      <c r="Z1393" s="28" t="str">
        <f t="shared" ca="1" si="240"/>
        <v>Due Soon</v>
      </c>
      <c r="AA1393" s="5" t="str" cm="1">
        <f t="array" ref="AA1393">_xlfn.IFS(W1393&gt;10,"Veteran",W1393&gt;=6,"Experienced",W1393&gt;=2,"Developing",W1393&gt;=0,"New")</f>
        <v>New</v>
      </c>
      <c r="AB1393" s="5" t="str" cm="1">
        <f t="array" ref="AB1393">_xlfn.IFS(G1393=1,"Junior",G1393=2,"Mid-Level",G1393=3,"Senior",G1393=4,"Lead",G1393=5,"Principal")&amp;" "&amp;TRIM(PROPER(H1393))</f>
        <v>Junior Sales Representative</v>
      </c>
      <c r="AC1393" s="19" t="str">
        <f t="shared" ca="1" si="241"/>
        <v>Sa-Sal-2025-1392 is a Junior Sales Representative in the Sales department, aged 38, single and has been with the Company for 1years</v>
      </c>
    </row>
    <row r="1394" spans="1:29">
      <c r="A1394" s="18" t="str">
        <f t="shared" ca="1" si="231"/>
        <v>Sa-Sal-2016-1393</v>
      </c>
      <c r="B1394" s="5">
        <v>35</v>
      </c>
      <c r="C1394" s="5" t="str">
        <f t="shared" si="232"/>
        <v>30-39</v>
      </c>
      <c r="D1394" s="5" t="s">
        <v>43</v>
      </c>
      <c r="E1394" s="5" t="s">
        <v>37</v>
      </c>
      <c r="F1394" s="5" t="s">
        <v>39</v>
      </c>
      <c r="G1394" s="5">
        <v>2</v>
      </c>
      <c r="H1394" s="5" t="s">
        <v>40</v>
      </c>
      <c r="I1394" s="5" t="s">
        <v>48</v>
      </c>
      <c r="J1394" s="7">
        <v>5204</v>
      </c>
      <c r="K1394" s="7">
        <f t="shared" si="233"/>
        <v>780.6</v>
      </c>
      <c r="L1394" s="7">
        <f t="shared" si="234"/>
        <v>4423.3999999999996</v>
      </c>
      <c r="M1394" s="7">
        <v>13586</v>
      </c>
      <c r="N1394" s="5" t="s">
        <v>35</v>
      </c>
      <c r="O1394" s="5">
        <v>11</v>
      </c>
      <c r="P1394" s="7">
        <f t="shared" si="235"/>
        <v>5776.4400000000005</v>
      </c>
      <c r="Q1394" s="7">
        <f t="shared" si="236"/>
        <v>6869.2800000000061</v>
      </c>
      <c r="R1394" s="7" t="str">
        <f t="shared" si="237"/>
        <v>Normal</v>
      </c>
      <c r="S1394" s="5">
        <v>3</v>
      </c>
      <c r="T1394" s="5">
        <v>3</v>
      </c>
      <c r="U1394" s="5" t="str" cm="1">
        <f t="array" ref="U1394">_xlfn.IFS(T1394=1,"Poor",T1394=2,"Fair",T1394=3,"Good",T1394=4,"Excellent")</f>
        <v>Good</v>
      </c>
      <c r="V1394" s="5" t="s">
        <v>35</v>
      </c>
      <c r="W1394" s="5">
        <v>10</v>
      </c>
      <c r="X1394" s="28">
        <f t="shared" ca="1" si="238"/>
        <v>42459</v>
      </c>
      <c r="Y1394" s="28">
        <f t="shared" ca="1" si="239"/>
        <v>46842</v>
      </c>
      <c r="Z1394" s="28" t="str">
        <f t="shared" ca="1" si="240"/>
        <v>Upcoming</v>
      </c>
      <c r="AA1394" s="5" t="str" cm="1">
        <f t="array" ref="AA1394">_xlfn.IFS(W1394&gt;10,"Veteran",W1394&gt;=6,"Experienced",W1394&gt;=2,"Developing",W1394&gt;=0,"New")</f>
        <v>Experienced</v>
      </c>
      <c r="AB1394" s="5" t="str" cm="1">
        <f t="array" ref="AB1394">_xlfn.IFS(G1394=1,"Junior",G1394=2,"Mid-Level",G1394=3,"Senior",G1394=4,"Lead",G1394=5,"Principal")&amp;" "&amp;TRIM(PROPER(H1394))</f>
        <v>Mid-Level Sales Executive</v>
      </c>
      <c r="AC1394" s="19" t="str">
        <f t="shared" ca="1" si="241"/>
        <v>Sa-Sal-2016-1393 is a Mid-Level Sales Executive in the Sales department, aged 35, married and has been with the Company for 10years</v>
      </c>
    </row>
    <row r="1395" spans="1:29">
      <c r="A1395" s="18" t="str">
        <f t="shared" ca="1" si="231"/>
        <v>Sa-Sal-2019-1394</v>
      </c>
      <c r="B1395" s="5">
        <v>27</v>
      </c>
      <c r="C1395" s="5" t="str">
        <f t="shared" si="232"/>
        <v>20-29</v>
      </c>
      <c r="D1395" s="5" t="s">
        <v>43</v>
      </c>
      <c r="E1395" s="5" t="s">
        <v>37</v>
      </c>
      <c r="F1395" s="5" t="s">
        <v>46</v>
      </c>
      <c r="G1395" s="5">
        <v>2</v>
      </c>
      <c r="H1395" s="5" t="s">
        <v>40</v>
      </c>
      <c r="I1395" s="5" t="s">
        <v>41</v>
      </c>
      <c r="J1395" s="7">
        <v>4105</v>
      </c>
      <c r="K1395" s="7">
        <f t="shared" si="233"/>
        <v>615.75</v>
      </c>
      <c r="L1395" s="7">
        <f t="shared" si="234"/>
        <v>3489.25</v>
      </c>
      <c r="M1395" s="7">
        <v>5099</v>
      </c>
      <c r="N1395" s="5" t="s">
        <v>43</v>
      </c>
      <c r="O1395" s="5">
        <v>14</v>
      </c>
      <c r="P1395" s="7">
        <f t="shared" si="235"/>
        <v>4679.7000000000007</v>
      </c>
      <c r="Q1395" s="7">
        <f t="shared" si="236"/>
        <v>6896.4000000000087</v>
      </c>
      <c r="R1395" s="7" t="str">
        <f t="shared" si="237"/>
        <v>Normal</v>
      </c>
      <c r="S1395" s="5">
        <v>3</v>
      </c>
      <c r="T1395" s="5">
        <v>3</v>
      </c>
      <c r="U1395" s="5" t="str" cm="1">
        <f t="array" ref="U1395">_xlfn.IFS(T1395=1,"Poor",T1395=2,"Fair",T1395=3,"Good",T1395=4,"Excellent")</f>
        <v>Good</v>
      </c>
      <c r="V1395" s="5" t="s">
        <v>43</v>
      </c>
      <c r="W1395" s="5">
        <v>7</v>
      </c>
      <c r="X1395" s="28">
        <f t="shared" ca="1" si="238"/>
        <v>43554</v>
      </c>
      <c r="Y1395" s="28">
        <f t="shared" ca="1" si="239"/>
        <v>46476</v>
      </c>
      <c r="Z1395" s="28" t="str">
        <f t="shared" ca="1" si="240"/>
        <v>Due Soon</v>
      </c>
      <c r="AA1395" s="5" t="str" cm="1">
        <f t="array" ref="AA1395">_xlfn.IFS(W1395&gt;10,"Veteran",W1395&gt;=6,"Experienced",W1395&gt;=2,"Developing",W1395&gt;=0,"New")</f>
        <v>Experienced</v>
      </c>
      <c r="AB1395" s="5" t="str" cm="1">
        <f t="array" ref="AB1395">_xlfn.IFS(G1395=1,"Junior",G1395=2,"Mid-Level",G1395=3,"Senior",G1395=4,"Lead",G1395=5,"Principal")&amp;" "&amp;TRIM(PROPER(H1395))</f>
        <v>Mid-Level Sales Executive</v>
      </c>
      <c r="AC1395" s="19" t="str">
        <f t="shared" ca="1" si="241"/>
        <v>Sa-Sal-2019-1394 is a Mid-Level Sales Executive in the Sales department, aged 27, single and has been with the Company for 7years</v>
      </c>
    </row>
    <row r="1396" spans="1:29">
      <c r="A1396" s="18" t="str">
        <f t="shared" ca="1" si="231"/>
        <v>Ma-Res-2025-1395</v>
      </c>
      <c r="B1396" s="5">
        <v>32</v>
      </c>
      <c r="C1396" s="5" t="str">
        <f t="shared" si="232"/>
        <v>30-39</v>
      </c>
      <c r="D1396" s="5" t="s">
        <v>43</v>
      </c>
      <c r="E1396" s="5" t="s">
        <v>45</v>
      </c>
      <c r="F1396" s="5" t="s">
        <v>46</v>
      </c>
      <c r="G1396" s="5">
        <v>2</v>
      </c>
      <c r="H1396" s="5" t="s">
        <v>53</v>
      </c>
      <c r="I1396" s="5" t="s">
        <v>41</v>
      </c>
      <c r="J1396" s="7">
        <v>9679</v>
      </c>
      <c r="K1396" s="7">
        <f t="shared" si="233"/>
        <v>2129.38</v>
      </c>
      <c r="L1396" s="7">
        <f t="shared" si="234"/>
        <v>7549.62</v>
      </c>
      <c r="M1396" s="7">
        <v>10138</v>
      </c>
      <c r="N1396" s="5" t="s">
        <v>43</v>
      </c>
      <c r="O1396" s="5">
        <v>24</v>
      </c>
      <c r="P1396" s="7">
        <f t="shared" si="235"/>
        <v>12001.96</v>
      </c>
      <c r="Q1396" s="7">
        <f t="shared" si="236"/>
        <v>27875.51999999999</v>
      </c>
      <c r="R1396" s="7" t="str">
        <f t="shared" si="237"/>
        <v>Normal</v>
      </c>
      <c r="S1396" s="5">
        <v>4</v>
      </c>
      <c r="T1396" s="5">
        <v>3</v>
      </c>
      <c r="U1396" s="5" t="str" cm="1">
        <f t="array" ref="U1396">_xlfn.IFS(T1396=1,"Poor",T1396=2,"Fair",T1396=3,"Good",T1396=4,"Excellent")</f>
        <v>Good</v>
      </c>
      <c r="V1396" s="5" t="s">
        <v>43</v>
      </c>
      <c r="W1396" s="5">
        <v>1</v>
      </c>
      <c r="X1396" s="28">
        <f t="shared" ca="1" si="238"/>
        <v>45746</v>
      </c>
      <c r="Y1396" s="28">
        <f t="shared" ca="1" si="239"/>
        <v>46476</v>
      </c>
      <c r="Z1396" s="28" t="str">
        <f t="shared" ca="1" si="240"/>
        <v>Due Soon</v>
      </c>
      <c r="AA1396" s="5" t="str" cm="1">
        <f t="array" ref="AA1396">_xlfn.IFS(W1396&gt;10,"Veteran",W1396&gt;=6,"Experienced",W1396&gt;=2,"Developing",W1396&gt;=0,"New")</f>
        <v>New</v>
      </c>
      <c r="AB1396" s="5" t="str" cm="1">
        <f t="array" ref="AB1396">_xlfn.IFS(G1396=1,"Junior",G1396=2,"Mid-Level",G1396=3,"Senior",G1396=4,"Lead",G1396=5,"Principal")&amp;" "&amp;TRIM(PROPER(H1396))</f>
        <v>Mid-Level Manufacturing Director</v>
      </c>
      <c r="AC1396" s="19" t="str">
        <f t="shared" ca="1" si="241"/>
        <v>Ma-Res-2025-1395 is a Mid-Level Manufacturing Director in the Research &amp; Development department, aged 32, single and has been with the Company for 1years</v>
      </c>
    </row>
    <row r="1397" spans="1:29">
      <c r="A1397" s="18" t="str">
        <f t="shared" ca="1" si="231"/>
        <v>Sa-Sal-2016-1396</v>
      </c>
      <c r="B1397" s="5">
        <v>31</v>
      </c>
      <c r="C1397" s="5" t="str">
        <f t="shared" si="232"/>
        <v>30-39</v>
      </c>
      <c r="D1397" s="5" t="s">
        <v>35</v>
      </c>
      <c r="E1397" s="5" t="s">
        <v>37</v>
      </c>
      <c r="F1397" s="5" t="s">
        <v>46</v>
      </c>
      <c r="G1397" s="5">
        <v>2</v>
      </c>
      <c r="H1397" s="5" t="s">
        <v>40</v>
      </c>
      <c r="I1397" s="5" t="s">
        <v>48</v>
      </c>
      <c r="J1397" s="7">
        <v>5617</v>
      </c>
      <c r="K1397" s="7">
        <f t="shared" si="233"/>
        <v>842.55</v>
      </c>
      <c r="L1397" s="7">
        <f t="shared" si="234"/>
        <v>4774.45</v>
      </c>
      <c r="M1397" s="7">
        <v>21075</v>
      </c>
      <c r="N1397" s="5" t="s">
        <v>35</v>
      </c>
      <c r="O1397" s="5">
        <v>11</v>
      </c>
      <c r="P1397" s="7">
        <f t="shared" si="235"/>
        <v>6234.8700000000008</v>
      </c>
      <c r="Q1397" s="7">
        <f t="shared" si="236"/>
        <v>7414.4400000000096</v>
      </c>
      <c r="R1397" s="7" t="str">
        <f t="shared" si="237"/>
        <v>Normal</v>
      </c>
      <c r="S1397" s="5">
        <v>3</v>
      </c>
      <c r="T1397" s="5">
        <v>3</v>
      </c>
      <c r="U1397" s="5" t="str" cm="1">
        <f t="array" ref="U1397">_xlfn.IFS(T1397=1,"Poor",T1397=2,"Fair",T1397=3,"Good",T1397=4,"Excellent")</f>
        <v>Good</v>
      </c>
      <c r="V1397" s="5" t="s">
        <v>35</v>
      </c>
      <c r="W1397" s="5">
        <v>10</v>
      </c>
      <c r="X1397" s="28">
        <f t="shared" ca="1" si="238"/>
        <v>42459</v>
      </c>
      <c r="Y1397" s="28">
        <f t="shared" ca="1" si="239"/>
        <v>46842</v>
      </c>
      <c r="Z1397" s="28" t="str">
        <f t="shared" ca="1" si="240"/>
        <v>Upcoming</v>
      </c>
      <c r="AA1397" s="5" t="str" cm="1">
        <f t="array" ref="AA1397">_xlfn.IFS(W1397&gt;10,"Veteran",W1397&gt;=6,"Experienced",W1397&gt;=2,"Developing",W1397&gt;=0,"New")</f>
        <v>Experienced</v>
      </c>
      <c r="AB1397" s="5" t="str" cm="1">
        <f t="array" ref="AB1397">_xlfn.IFS(G1397=1,"Junior",G1397=2,"Mid-Level",G1397=3,"Senior",G1397=4,"Lead",G1397=5,"Principal")&amp;" "&amp;TRIM(PROPER(H1397))</f>
        <v>Mid-Level Sales Executive</v>
      </c>
      <c r="AC1397" s="19" t="str">
        <f t="shared" ca="1" si="241"/>
        <v>Sa-Sal-2016-1396 is a Mid-Level Sales Executive in the Sales department, aged 31, married and has been with the Company for 10years</v>
      </c>
    </row>
    <row r="1398" spans="1:29">
      <c r="A1398" s="18" t="str">
        <f t="shared" ca="1" si="231"/>
        <v>Sa-Sal-2024-1397</v>
      </c>
      <c r="B1398" s="5">
        <v>53</v>
      </c>
      <c r="C1398" s="5" t="str">
        <f t="shared" si="232"/>
        <v>50+</v>
      </c>
      <c r="D1398" s="5" t="s">
        <v>35</v>
      </c>
      <c r="E1398" s="5" t="s">
        <v>37</v>
      </c>
      <c r="F1398" s="5" t="s">
        <v>46</v>
      </c>
      <c r="G1398" s="5">
        <v>3</v>
      </c>
      <c r="H1398" s="5" t="s">
        <v>40</v>
      </c>
      <c r="I1398" s="5" t="s">
        <v>41</v>
      </c>
      <c r="J1398" s="7">
        <v>10448</v>
      </c>
      <c r="K1398" s="7">
        <f t="shared" si="233"/>
        <v>2298.56</v>
      </c>
      <c r="L1398" s="7">
        <f t="shared" si="234"/>
        <v>8149.4400000000005</v>
      </c>
      <c r="M1398" s="7">
        <v>5843</v>
      </c>
      <c r="N1398" s="5" t="s">
        <v>35</v>
      </c>
      <c r="O1398" s="5">
        <v>13</v>
      </c>
      <c r="P1398" s="7">
        <f t="shared" si="235"/>
        <v>11806.24</v>
      </c>
      <c r="Q1398" s="7">
        <f t="shared" si="236"/>
        <v>16298.879999999997</v>
      </c>
      <c r="R1398" s="7" t="str">
        <f t="shared" si="237"/>
        <v>Normal</v>
      </c>
      <c r="S1398" s="5">
        <v>3</v>
      </c>
      <c r="T1398" s="5">
        <v>2</v>
      </c>
      <c r="U1398" s="5" t="str" cm="1">
        <f t="array" ref="U1398">_xlfn.IFS(T1398=1,"Poor",T1398=2,"Fair",T1398=3,"Good",T1398=4,"Excellent")</f>
        <v>Fair</v>
      </c>
      <c r="V1398" s="5" t="s">
        <v>35</v>
      </c>
      <c r="W1398" s="5">
        <v>2</v>
      </c>
      <c r="X1398" s="28">
        <f t="shared" ca="1" si="238"/>
        <v>45381</v>
      </c>
      <c r="Y1398" s="28">
        <f t="shared" ca="1" si="239"/>
        <v>46842</v>
      </c>
      <c r="Z1398" s="28" t="str">
        <f t="shared" ca="1" si="240"/>
        <v>Upcoming</v>
      </c>
      <c r="AA1398" s="5" t="str" cm="1">
        <f t="array" ref="AA1398">_xlfn.IFS(W1398&gt;10,"Veteran",W1398&gt;=6,"Experienced",W1398&gt;=2,"Developing",W1398&gt;=0,"New")</f>
        <v>Developing</v>
      </c>
      <c r="AB1398" s="5" t="str" cm="1">
        <f t="array" ref="AB1398">_xlfn.IFS(G1398=1,"Junior",G1398=2,"Mid-Level",G1398=3,"Senior",G1398=4,"Lead",G1398=5,"Principal")&amp;" "&amp;TRIM(PROPER(H1398))</f>
        <v>Senior Sales Executive</v>
      </c>
      <c r="AC1398" s="19" t="str">
        <f t="shared" ca="1" si="241"/>
        <v>Sa-Sal-2024-1397 is a Senior Sales Executive in the Sales department, aged 53, single and has been with the Company for 2years</v>
      </c>
    </row>
    <row r="1399" spans="1:29">
      <c r="A1399" s="18" t="str">
        <f t="shared" ca="1" si="231"/>
        <v>Re-Res-2022-1398</v>
      </c>
      <c r="B1399" s="5">
        <v>54</v>
      </c>
      <c r="C1399" s="5" t="str">
        <f t="shared" si="232"/>
        <v>50+</v>
      </c>
      <c r="D1399" s="5" t="s">
        <v>43</v>
      </c>
      <c r="E1399" s="5" t="s">
        <v>45</v>
      </c>
      <c r="F1399" s="5" t="s">
        <v>39</v>
      </c>
      <c r="G1399" s="5">
        <v>2</v>
      </c>
      <c r="H1399" s="5" t="s">
        <v>47</v>
      </c>
      <c r="I1399" s="5" t="s">
        <v>48</v>
      </c>
      <c r="J1399" s="7">
        <v>2897</v>
      </c>
      <c r="K1399" s="7">
        <f t="shared" si="233"/>
        <v>202.79000000000002</v>
      </c>
      <c r="L1399" s="7">
        <f t="shared" si="234"/>
        <v>2694.21</v>
      </c>
      <c r="M1399" s="7">
        <v>22474</v>
      </c>
      <c r="N1399" s="5" t="s">
        <v>43</v>
      </c>
      <c r="O1399" s="5">
        <v>11</v>
      </c>
      <c r="P1399" s="7">
        <f t="shared" si="235"/>
        <v>3215.67</v>
      </c>
      <c r="Q1399" s="7">
        <f t="shared" si="236"/>
        <v>3824.0400000000009</v>
      </c>
      <c r="R1399" s="7" t="str">
        <f t="shared" si="237"/>
        <v>Normal</v>
      </c>
      <c r="S1399" s="5">
        <v>3</v>
      </c>
      <c r="T1399" s="5">
        <v>2</v>
      </c>
      <c r="U1399" s="5" t="str" cm="1">
        <f t="array" ref="U1399">_xlfn.IFS(T1399=1,"Poor",T1399=2,"Fair",T1399=3,"Good",T1399=4,"Excellent")</f>
        <v>Fair</v>
      </c>
      <c r="V1399" s="5" t="s">
        <v>43</v>
      </c>
      <c r="W1399" s="5">
        <v>4</v>
      </c>
      <c r="X1399" s="28">
        <f t="shared" ca="1" si="238"/>
        <v>44650</v>
      </c>
      <c r="Y1399" s="28">
        <f t="shared" ca="1" si="239"/>
        <v>46842</v>
      </c>
      <c r="Z1399" s="28" t="str">
        <f t="shared" ca="1" si="240"/>
        <v>Upcoming</v>
      </c>
      <c r="AA1399" s="5" t="str" cm="1">
        <f t="array" ref="AA1399">_xlfn.IFS(W1399&gt;10,"Veteran",W1399&gt;=6,"Experienced",W1399&gt;=2,"Developing",W1399&gt;=0,"New")</f>
        <v>Developing</v>
      </c>
      <c r="AB1399" s="5" t="str" cm="1">
        <f t="array" ref="AB1399">_xlfn.IFS(G1399=1,"Junior",G1399=2,"Mid-Level",G1399=3,"Senior",G1399=4,"Lead",G1399=5,"Principal")&amp;" "&amp;TRIM(PROPER(H1399))</f>
        <v>Mid-Level Research Scientist</v>
      </c>
      <c r="AC1399" s="19" t="str">
        <f t="shared" ca="1" si="241"/>
        <v>Re-Res-2022-1398 is a Mid-Level Research Scientist in the Research &amp; Development department, aged 54, married and has been with the Company for 4years</v>
      </c>
    </row>
    <row r="1400" spans="1:29">
      <c r="A1400" s="18" t="str">
        <f t="shared" ca="1" si="231"/>
        <v>He-Res-2017-1399</v>
      </c>
      <c r="B1400" s="5">
        <v>33</v>
      </c>
      <c r="C1400" s="5" t="str">
        <f t="shared" si="232"/>
        <v>30-39</v>
      </c>
      <c r="D1400" s="5" t="s">
        <v>43</v>
      </c>
      <c r="E1400" s="5" t="s">
        <v>45</v>
      </c>
      <c r="F1400" s="5" t="s">
        <v>46</v>
      </c>
      <c r="G1400" s="5">
        <v>2</v>
      </c>
      <c r="H1400" s="5" t="s">
        <v>54</v>
      </c>
      <c r="I1400" s="5" t="s">
        <v>52</v>
      </c>
      <c r="J1400" s="7">
        <v>5968</v>
      </c>
      <c r="K1400" s="7">
        <f t="shared" si="233"/>
        <v>895.19999999999993</v>
      </c>
      <c r="L1400" s="7">
        <f t="shared" si="234"/>
        <v>5072.8</v>
      </c>
      <c r="M1400" s="7">
        <v>18079</v>
      </c>
      <c r="N1400" s="5" t="s">
        <v>43</v>
      </c>
      <c r="O1400" s="5">
        <v>20</v>
      </c>
      <c r="P1400" s="7">
        <f t="shared" si="235"/>
        <v>7161.5999999999995</v>
      </c>
      <c r="Q1400" s="7">
        <f t="shared" si="236"/>
        <v>14323.199999999993</v>
      </c>
      <c r="R1400" s="7" t="str">
        <f t="shared" si="237"/>
        <v>Normal</v>
      </c>
      <c r="S1400" s="5">
        <v>4</v>
      </c>
      <c r="T1400" s="5">
        <v>3</v>
      </c>
      <c r="U1400" s="5" t="str" cm="1">
        <f t="array" ref="U1400">_xlfn.IFS(T1400=1,"Poor",T1400=2,"Fair",T1400=3,"Good",T1400=4,"Excellent")</f>
        <v>Good</v>
      </c>
      <c r="V1400" s="5" t="s">
        <v>43</v>
      </c>
      <c r="W1400" s="5">
        <v>9</v>
      </c>
      <c r="X1400" s="28">
        <f t="shared" ca="1" si="238"/>
        <v>42824</v>
      </c>
      <c r="Y1400" s="28">
        <f t="shared" ca="1" si="239"/>
        <v>46476</v>
      </c>
      <c r="Z1400" s="28" t="str">
        <f t="shared" ca="1" si="240"/>
        <v>Due Soon</v>
      </c>
      <c r="AA1400" s="5" t="str" cm="1">
        <f t="array" ref="AA1400">_xlfn.IFS(W1400&gt;10,"Veteran",W1400&gt;=6,"Experienced",W1400&gt;=2,"Developing",W1400&gt;=0,"New")</f>
        <v>Experienced</v>
      </c>
      <c r="AB1400" s="5" t="str" cm="1">
        <f t="array" ref="AB1400">_xlfn.IFS(G1400=1,"Junior",G1400=2,"Mid-Level",G1400=3,"Senior",G1400=4,"Lead",G1400=5,"Principal")&amp;" "&amp;TRIM(PROPER(H1400))</f>
        <v>Mid-Level Healthcare Representative</v>
      </c>
      <c r="AC1400" s="19" t="str">
        <f t="shared" ca="1" si="241"/>
        <v>He-Res-2017-1399 is a Mid-Level Healthcare Representative in the Research &amp; Development department, aged 33, divorced and has been with the Company for 9years</v>
      </c>
    </row>
    <row r="1401" spans="1:29">
      <c r="A1401" s="18" t="str">
        <f t="shared" ca="1" si="231"/>
        <v>He-Res-2016-1400</v>
      </c>
      <c r="B1401" s="5">
        <v>43</v>
      </c>
      <c r="C1401" s="5" t="str">
        <f t="shared" si="232"/>
        <v>40-49</v>
      </c>
      <c r="D1401" s="5" t="s">
        <v>43</v>
      </c>
      <c r="E1401" s="5" t="s">
        <v>45</v>
      </c>
      <c r="F1401" s="5" t="s">
        <v>46</v>
      </c>
      <c r="G1401" s="5">
        <v>3</v>
      </c>
      <c r="H1401" s="5" t="s">
        <v>54</v>
      </c>
      <c r="I1401" s="5" t="s">
        <v>48</v>
      </c>
      <c r="J1401" s="7">
        <v>7510</v>
      </c>
      <c r="K1401" s="7">
        <f t="shared" si="233"/>
        <v>1652.2</v>
      </c>
      <c r="L1401" s="7">
        <f t="shared" si="234"/>
        <v>5857.8</v>
      </c>
      <c r="M1401" s="7">
        <v>16873</v>
      </c>
      <c r="N1401" s="5" t="s">
        <v>43</v>
      </c>
      <c r="O1401" s="5">
        <v>17</v>
      </c>
      <c r="P1401" s="7">
        <f t="shared" si="235"/>
        <v>8786.6999999999989</v>
      </c>
      <c r="Q1401" s="7">
        <f t="shared" si="236"/>
        <v>15320.399999999987</v>
      </c>
      <c r="R1401" s="7" t="str">
        <f t="shared" si="237"/>
        <v>Normal</v>
      </c>
      <c r="S1401" s="5">
        <v>3</v>
      </c>
      <c r="T1401" s="5">
        <v>3</v>
      </c>
      <c r="U1401" s="5" t="str" cm="1">
        <f t="array" ref="U1401">_xlfn.IFS(T1401=1,"Poor",T1401=2,"Fair",T1401=3,"Good",T1401=4,"Excellent")</f>
        <v>Good</v>
      </c>
      <c r="V1401" s="5" t="s">
        <v>43</v>
      </c>
      <c r="W1401" s="5">
        <v>10</v>
      </c>
      <c r="X1401" s="28">
        <f t="shared" ca="1" si="238"/>
        <v>42459</v>
      </c>
      <c r="Y1401" s="28">
        <f t="shared" ca="1" si="239"/>
        <v>46842</v>
      </c>
      <c r="Z1401" s="28" t="str">
        <f t="shared" ca="1" si="240"/>
        <v>Upcoming</v>
      </c>
      <c r="AA1401" s="5" t="str" cm="1">
        <f t="array" ref="AA1401">_xlfn.IFS(W1401&gt;10,"Veteran",W1401&gt;=6,"Experienced",W1401&gt;=2,"Developing",W1401&gt;=0,"New")</f>
        <v>Experienced</v>
      </c>
      <c r="AB1401" s="5" t="str" cm="1">
        <f t="array" ref="AB1401">_xlfn.IFS(G1401=1,"Junior",G1401=2,"Mid-Level",G1401=3,"Senior",G1401=4,"Lead",G1401=5,"Principal")&amp;" "&amp;TRIM(PROPER(H1401))</f>
        <v>Senior Healthcare Representative</v>
      </c>
      <c r="AC1401" s="19" t="str">
        <f t="shared" ca="1" si="241"/>
        <v>He-Res-2016-1400 is a Senior Healthcare Representative in the Research &amp; Development department, aged 43, married and has been with the Company for 10years</v>
      </c>
    </row>
    <row r="1402" spans="1:29">
      <c r="A1402" s="18" t="str">
        <f t="shared" ca="1" si="231"/>
        <v>Hu-Hum-2020-1401</v>
      </c>
      <c r="B1402" s="5">
        <v>38</v>
      </c>
      <c r="C1402" s="5" t="str">
        <f t="shared" si="232"/>
        <v>30-39</v>
      </c>
      <c r="D1402" s="5" t="s">
        <v>43</v>
      </c>
      <c r="E1402" s="5" t="s">
        <v>61</v>
      </c>
      <c r="F1402" s="5" t="s">
        <v>46</v>
      </c>
      <c r="G1402" s="5">
        <v>1</v>
      </c>
      <c r="H1402" s="5" t="s">
        <v>61</v>
      </c>
      <c r="I1402" s="5" t="s">
        <v>48</v>
      </c>
      <c r="J1402" s="7">
        <v>2991</v>
      </c>
      <c r="K1402" s="7">
        <f t="shared" si="233"/>
        <v>209.37000000000003</v>
      </c>
      <c r="L1402" s="7">
        <f t="shared" si="234"/>
        <v>2781.63</v>
      </c>
      <c r="M1402" s="7">
        <v>5224</v>
      </c>
      <c r="N1402" s="5" t="s">
        <v>35</v>
      </c>
      <c r="O1402" s="5">
        <v>11</v>
      </c>
      <c r="P1402" s="7">
        <f t="shared" si="235"/>
        <v>3320.01</v>
      </c>
      <c r="Q1402" s="7">
        <f t="shared" si="236"/>
        <v>3948.1200000000026</v>
      </c>
      <c r="R1402" s="7" t="str">
        <f t="shared" si="237"/>
        <v>Normal</v>
      </c>
      <c r="S1402" s="5">
        <v>3</v>
      </c>
      <c r="T1402" s="5">
        <v>3</v>
      </c>
      <c r="U1402" s="5" t="str" cm="1">
        <f t="array" ref="U1402">_xlfn.IFS(T1402=1,"Poor",T1402=2,"Fair",T1402=3,"Good",T1402=4,"Excellent")</f>
        <v>Good</v>
      </c>
      <c r="V1402" s="5" t="s">
        <v>35</v>
      </c>
      <c r="W1402" s="5">
        <v>6</v>
      </c>
      <c r="X1402" s="28">
        <f t="shared" ca="1" si="238"/>
        <v>43920</v>
      </c>
      <c r="Y1402" s="28">
        <f t="shared" ca="1" si="239"/>
        <v>46842</v>
      </c>
      <c r="Z1402" s="28" t="str">
        <f t="shared" ca="1" si="240"/>
        <v>Upcoming</v>
      </c>
      <c r="AA1402" s="5" t="str" cm="1">
        <f t="array" ref="AA1402">_xlfn.IFS(W1402&gt;10,"Veteran",W1402&gt;=6,"Experienced",W1402&gt;=2,"Developing",W1402&gt;=0,"New")</f>
        <v>Experienced</v>
      </c>
      <c r="AB1402" s="5" t="str" cm="1">
        <f t="array" ref="AB1402">_xlfn.IFS(G1402=1,"Junior",G1402=2,"Mid-Level",G1402=3,"Senior",G1402=4,"Lead",G1402=5,"Principal")&amp;" "&amp;TRIM(PROPER(H1402))</f>
        <v>Junior Human Resources</v>
      </c>
      <c r="AC1402" s="19" t="str">
        <f t="shared" ca="1" si="241"/>
        <v>Hu-Hum-2020-1401 is a Junior Human Resources in the Human Resources department, aged 38, married and has been with the Company for 6years</v>
      </c>
    </row>
    <row r="1403" spans="1:29">
      <c r="A1403" s="18" t="str">
        <f t="shared" ca="1" si="231"/>
        <v>Ma-Hum-2016-1402</v>
      </c>
      <c r="B1403" s="5">
        <v>55</v>
      </c>
      <c r="C1403" s="5" t="str">
        <f t="shared" si="232"/>
        <v>50+</v>
      </c>
      <c r="D1403" s="5" t="s">
        <v>43</v>
      </c>
      <c r="E1403" s="5" t="s">
        <v>61</v>
      </c>
      <c r="F1403" s="5" t="s">
        <v>46</v>
      </c>
      <c r="G1403" s="5">
        <v>5</v>
      </c>
      <c r="H1403" s="5" t="s">
        <v>56</v>
      </c>
      <c r="I1403" s="5" t="s">
        <v>48</v>
      </c>
      <c r="J1403" s="7">
        <v>19636</v>
      </c>
      <c r="K1403" s="7">
        <f t="shared" si="233"/>
        <v>5890.8</v>
      </c>
      <c r="L1403" s="7">
        <f t="shared" si="234"/>
        <v>13745.2</v>
      </c>
      <c r="M1403" s="7">
        <v>25811</v>
      </c>
      <c r="N1403" s="5" t="s">
        <v>35</v>
      </c>
      <c r="O1403" s="5">
        <v>18</v>
      </c>
      <c r="P1403" s="7">
        <f t="shared" si="235"/>
        <v>23170.48</v>
      </c>
      <c r="Q1403" s="7">
        <f t="shared" si="236"/>
        <v>42413.759999999995</v>
      </c>
      <c r="R1403" s="7" t="str">
        <f t="shared" si="237"/>
        <v>Normal</v>
      </c>
      <c r="S1403" s="5">
        <v>3</v>
      </c>
      <c r="T1403" s="5">
        <v>3</v>
      </c>
      <c r="U1403" s="5" t="str" cm="1">
        <f t="array" ref="U1403">_xlfn.IFS(T1403=1,"Poor",T1403=2,"Fair",T1403=3,"Good",T1403=4,"Excellent")</f>
        <v>Good</v>
      </c>
      <c r="V1403" s="5" t="s">
        <v>35</v>
      </c>
      <c r="W1403" s="5">
        <v>10</v>
      </c>
      <c r="X1403" s="28">
        <f t="shared" ca="1" si="238"/>
        <v>42459</v>
      </c>
      <c r="Y1403" s="28">
        <f t="shared" ca="1" si="239"/>
        <v>46842</v>
      </c>
      <c r="Z1403" s="28" t="str">
        <f t="shared" ca="1" si="240"/>
        <v>Upcoming</v>
      </c>
      <c r="AA1403" s="5" t="str" cm="1">
        <f t="array" ref="AA1403">_xlfn.IFS(W1403&gt;10,"Veteran",W1403&gt;=6,"Experienced",W1403&gt;=2,"Developing",W1403&gt;=0,"New")</f>
        <v>Experienced</v>
      </c>
      <c r="AB1403" s="5" t="str" cm="1">
        <f t="array" ref="AB1403">_xlfn.IFS(G1403=1,"Junior",G1403=2,"Mid-Level",G1403=3,"Senior",G1403=4,"Lead",G1403=5,"Principal")&amp;" "&amp;TRIM(PROPER(H1403))</f>
        <v>Principal Manager</v>
      </c>
      <c r="AC1403" s="19" t="str">
        <f t="shared" ca="1" si="241"/>
        <v>Ma-Hum-2016-1402 is a Principal Manager in the Human Resources department, aged 55, married and has been with the Company for 10years</v>
      </c>
    </row>
    <row r="1404" spans="1:29">
      <c r="A1404" s="18" t="str">
        <f t="shared" ca="1" si="231"/>
        <v>La-Res-2025-1403</v>
      </c>
      <c r="B1404" s="5">
        <v>31</v>
      </c>
      <c r="C1404" s="5" t="str">
        <f t="shared" si="232"/>
        <v>30-39</v>
      </c>
      <c r="D1404" s="5" t="s">
        <v>43</v>
      </c>
      <c r="E1404" s="5" t="s">
        <v>45</v>
      </c>
      <c r="F1404" s="5" t="s">
        <v>39</v>
      </c>
      <c r="G1404" s="5">
        <v>1</v>
      </c>
      <c r="H1404" s="5" t="s">
        <v>50</v>
      </c>
      <c r="I1404" s="5" t="s">
        <v>52</v>
      </c>
      <c r="J1404" s="7">
        <v>1129</v>
      </c>
      <c r="K1404" s="7">
        <f t="shared" si="233"/>
        <v>79.03</v>
      </c>
      <c r="L1404" s="7">
        <f t="shared" si="234"/>
        <v>1049.97</v>
      </c>
      <c r="M1404" s="7">
        <v>17536</v>
      </c>
      <c r="N1404" s="5" t="s">
        <v>35</v>
      </c>
      <c r="O1404" s="5">
        <v>11</v>
      </c>
      <c r="P1404" s="7">
        <f t="shared" si="235"/>
        <v>1253.19</v>
      </c>
      <c r="Q1404" s="7">
        <f t="shared" si="236"/>
        <v>1490.2800000000007</v>
      </c>
      <c r="R1404" s="7" t="str">
        <f t="shared" si="237"/>
        <v>Normal</v>
      </c>
      <c r="S1404" s="5">
        <v>3</v>
      </c>
      <c r="T1404" s="5">
        <v>3</v>
      </c>
      <c r="U1404" s="5" t="str" cm="1">
        <f t="array" ref="U1404">_xlfn.IFS(T1404=1,"Poor",T1404=2,"Fair",T1404=3,"Good",T1404=4,"Excellent")</f>
        <v>Good</v>
      </c>
      <c r="V1404" s="5" t="s">
        <v>35</v>
      </c>
      <c r="W1404" s="5">
        <v>1</v>
      </c>
      <c r="X1404" s="28">
        <f t="shared" ca="1" si="238"/>
        <v>45746</v>
      </c>
      <c r="Y1404" s="28">
        <f t="shared" ca="1" si="239"/>
        <v>46476</v>
      </c>
      <c r="Z1404" s="28" t="str">
        <f t="shared" ca="1" si="240"/>
        <v>Due Soon</v>
      </c>
      <c r="AA1404" s="5" t="str" cm="1">
        <f t="array" ref="AA1404">_xlfn.IFS(W1404&gt;10,"Veteran",W1404&gt;=6,"Experienced",W1404&gt;=2,"Developing",W1404&gt;=0,"New")</f>
        <v>New</v>
      </c>
      <c r="AB1404" s="5" t="str" cm="1">
        <f t="array" ref="AB1404">_xlfn.IFS(G1404=1,"Junior",G1404=2,"Mid-Level",G1404=3,"Senior",G1404=4,"Lead",G1404=5,"Principal")&amp;" "&amp;TRIM(PROPER(H1404))</f>
        <v>Junior Laboratory Technician</v>
      </c>
      <c r="AC1404" s="19" t="str">
        <f t="shared" ca="1" si="241"/>
        <v>La-Res-2025-1403 is a Junior Laboratory Technician in the Research &amp; Development department, aged 31, divorced and has been with the Company for 1years</v>
      </c>
    </row>
    <row r="1405" spans="1:29">
      <c r="A1405" s="18" t="str">
        <f t="shared" ca="1" si="231"/>
        <v>Sa-Sal-2006-1404</v>
      </c>
      <c r="B1405" s="5">
        <v>39</v>
      </c>
      <c r="C1405" s="5" t="str">
        <f t="shared" si="232"/>
        <v>30-39</v>
      </c>
      <c r="D1405" s="5" t="s">
        <v>43</v>
      </c>
      <c r="E1405" s="5" t="s">
        <v>37</v>
      </c>
      <c r="F1405" s="5" t="s">
        <v>46</v>
      </c>
      <c r="G1405" s="5">
        <v>4</v>
      </c>
      <c r="H1405" s="5" t="s">
        <v>40</v>
      </c>
      <c r="I1405" s="5" t="s">
        <v>41</v>
      </c>
      <c r="J1405" s="7">
        <v>13341</v>
      </c>
      <c r="K1405" s="7">
        <f t="shared" si="233"/>
        <v>4002.2999999999997</v>
      </c>
      <c r="L1405" s="7">
        <f t="shared" si="234"/>
        <v>9338.7000000000007</v>
      </c>
      <c r="M1405" s="7">
        <v>25098</v>
      </c>
      <c r="N1405" s="5" t="s">
        <v>43</v>
      </c>
      <c r="O1405" s="5">
        <v>12</v>
      </c>
      <c r="P1405" s="7">
        <f t="shared" si="235"/>
        <v>14941.920000000002</v>
      </c>
      <c r="Q1405" s="7">
        <f t="shared" si="236"/>
        <v>19211.040000000023</v>
      </c>
      <c r="R1405" s="7" t="str">
        <f t="shared" si="237"/>
        <v>Normal</v>
      </c>
      <c r="S1405" s="5">
        <v>3</v>
      </c>
      <c r="T1405" s="5">
        <v>3</v>
      </c>
      <c r="U1405" s="5" t="str" cm="1">
        <f t="array" ref="U1405">_xlfn.IFS(T1405=1,"Poor",T1405=2,"Fair",T1405=3,"Good",T1405=4,"Excellent")</f>
        <v>Good</v>
      </c>
      <c r="V1405" s="5" t="s">
        <v>43</v>
      </c>
      <c r="W1405" s="5">
        <v>20</v>
      </c>
      <c r="X1405" s="28">
        <f t="shared" ca="1" si="238"/>
        <v>38806</v>
      </c>
      <c r="Y1405" s="28">
        <f t="shared" ca="1" si="239"/>
        <v>46842</v>
      </c>
      <c r="Z1405" s="28" t="str">
        <f t="shared" ca="1" si="240"/>
        <v>Upcoming</v>
      </c>
      <c r="AA1405" s="5" t="str" cm="1">
        <f t="array" ref="AA1405">_xlfn.IFS(W1405&gt;10,"Veteran",W1405&gt;=6,"Experienced",W1405&gt;=2,"Developing",W1405&gt;=0,"New")</f>
        <v>Veteran</v>
      </c>
      <c r="AB1405" s="5" t="str" cm="1">
        <f t="array" ref="AB1405">_xlfn.IFS(G1405=1,"Junior",G1405=2,"Mid-Level",G1405=3,"Senior",G1405=4,"Lead",G1405=5,"Principal")&amp;" "&amp;TRIM(PROPER(H1405))</f>
        <v>Lead Sales Executive</v>
      </c>
      <c r="AC1405" s="19" t="str">
        <f t="shared" ca="1" si="241"/>
        <v>Sa-Sal-2006-1404 is a Lead Sales Executive in the Sales department, aged 39, single and has been with the Company for 20years</v>
      </c>
    </row>
    <row r="1406" spans="1:29">
      <c r="A1406" s="18" t="str">
        <f t="shared" ca="1" si="231"/>
        <v>Re-Res-2006-1405</v>
      </c>
      <c r="B1406" s="5">
        <v>42</v>
      </c>
      <c r="C1406" s="5" t="str">
        <f t="shared" si="232"/>
        <v>40-49</v>
      </c>
      <c r="D1406" s="5" t="s">
        <v>43</v>
      </c>
      <c r="E1406" s="5" t="s">
        <v>45</v>
      </c>
      <c r="F1406" s="5" t="s">
        <v>46</v>
      </c>
      <c r="G1406" s="5">
        <v>2</v>
      </c>
      <c r="H1406" s="5" t="s">
        <v>47</v>
      </c>
      <c r="I1406" s="5" t="s">
        <v>41</v>
      </c>
      <c r="J1406" s="7">
        <v>4332</v>
      </c>
      <c r="K1406" s="7">
        <f t="shared" si="233"/>
        <v>649.79999999999995</v>
      </c>
      <c r="L1406" s="7">
        <f t="shared" si="234"/>
        <v>3682.2</v>
      </c>
      <c r="M1406" s="7">
        <v>14811</v>
      </c>
      <c r="N1406" s="5" t="s">
        <v>43</v>
      </c>
      <c r="O1406" s="5">
        <v>12</v>
      </c>
      <c r="P1406" s="7">
        <f t="shared" si="235"/>
        <v>4851.84</v>
      </c>
      <c r="Q1406" s="7">
        <f t="shared" si="236"/>
        <v>6238.0800000000017</v>
      </c>
      <c r="R1406" s="7" t="str">
        <f t="shared" si="237"/>
        <v>Normal</v>
      </c>
      <c r="S1406" s="5">
        <v>3</v>
      </c>
      <c r="T1406" s="5">
        <v>3</v>
      </c>
      <c r="U1406" s="5" t="str" cm="1">
        <f t="array" ref="U1406">_xlfn.IFS(T1406=1,"Poor",T1406=2,"Fair",T1406=3,"Good",T1406=4,"Excellent")</f>
        <v>Good</v>
      </c>
      <c r="V1406" s="5" t="s">
        <v>43</v>
      </c>
      <c r="W1406" s="5">
        <v>20</v>
      </c>
      <c r="X1406" s="28">
        <f t="shared" ca="1" si="238"/>
        <v>38806</v>
      </c>
      <c r="Y1406" s="28">
        <f t="shared" ca="1" si="239"/>
        <v>46842</v>
      </c>
      <c r="Z1406" s="28" t="str">
        <f t="shared" ca="1" si="240"/>
        <v>Upcoming</v>
      </c>
      <c r="AA1406" s="5" t="str" cm="1">
        <f t="array" ref="AA1406">_xlfn.IFS(W1406&gt;10,"Veteran",W1406&gt;=6,"Experienced",W1406&gt;=2,"Developing",W1406&gt;=0,"New")</f>
        <v>Veteran</v>
      </c>
      <c r="AB1406" s="5" t="str" cm="1">
        <f t="array" ref="AB1406">_xlfn.IFS(G1406=1,"Junior",G1406=2,"Mid-Level",G1406=3,"Senior",G1406=4,"Lead",G1406=5,"Principal")&amp;" "&amp;TRIM(PROPER(H1406))</f>
        <v>Mid-Level Research Scientist</v>
      </c>
      <c r="AC1406" s="19" t="str">
        <f t="shared" ca="1" si="241"/>
        <v>Re-Res-2006-1405 is a Mid-Level Research Scientist in the Research &amp; Development department, aged 42, single and has been with the Company for 20years</v>
      </c>
    </row>
    <row r="1407" spans="1:29">
      <c r="A1407" s="18" t="str">
        <f t="shared" ca="1" si="231"/>
        <v>Re-Res-2015-1406</v>
      </c>
      <c r="B1407" s="5">
        <v>31</v>
      </c>
      <c r="C1407" s="5" t="str">
        <f t="shared" si="232"/>
        <v>30-39</v>
      </c>
      <c r="D1407" s="5" t="s">
        <v>43</v>
      </c>
      <c r="E1407" s="5" t="s">
        <v>45</v>
      </c>
      <c r="F1407" s="5" t="s">
        <v>39</v>
      </c>
      <c r="G1407" s="5">
        <v>3</v>
      </c>
      <c r="H1407" s="5" t="s">
        <v>58</v>
      </c>
      <c r="I1407" s="5" t="s">
        <v>48</v>
      </c>
      <c r="J1407" s="7">
        <v>11031</v>
      </c>
      <c r="K1407" s="7">
        <f t="shared" si="233"/>
        <v>2426.8200000000002</v>
      </c>
      <c r="L1407" s="7">
        <f t="shared" si="234"/>
        <v>8604.18</v>
      </c>
      <c r="M1407" s="7">
        <v>26862</v>
      </c>
      <c r="N1407" s="5" t="s">
        <v>43</v>
      </c>
      <c r="O1407" s="5">
        <v>20</v>
      </c>
      <c r="P1407" s="7">
        <f t="shared" si="235"/>
        <v>13237.199999999999</v>
      </c>
      <c r="Q1407" s="7">
        <f t="shared" si="236"/>
        <v>26474.399999999987</v>
      </c>
      <c r="R1407" s="7" t="str">
        <f t="shared" si="237"/>
        <v>Normal</v>
      </c>
      <c r="S1407" s="5">
        <v>4</v>
      </c>
      <c r="T1407" s="5">
        <v>4</v>
      </c>
      <c r="U1407" s="5" t="str" cm="1">
        <f t="array" ref="U1407">_xlfn.IFS(T1407=1,"Poor",T1407=2,"Fair",T1407=3,"Good",T1407=4,"Excellent")</f>
        <v>Excellent</v>
      </c>
      <c r="V1407" s="5" t="s">
        <v>43</v>
      </c>
      <c r="W1407" s="5">
        <v>11</v>
      </c>
      <c r="X1407" s="28">
        <f t="shared" ca="1" si="238"/>
        <v>42093</v>
      </c>
      <c r="Y1407" s="28">
        <f t="shared" ca="1" si="239"/>
        <v>46476</v>
      </c>
      <c r="Z1407" s="28" t="str">
        <f t="shared" ca="1" si="240"/>
        <v>Due Soon</v>
      </c>
      <c r="AA1407" s="5" t="str" cm="1">
        <f t="array" ref="AA1407">_xlfn.IFS(W1407&gt;10,"Veteran",W1407&gt;=6,"Experienced",W1407&gt;=2,"Developing",W1407&gt;=0,"New")</f>
        <v>Veteran</v>
      </c>
      <c r="AB1407" s="5" t="str" cm="1">
        <f t="array" ref="AB1407">_xlfn.IFS(G1407=1,"Junior",G1407=2,"Mid-Level",G1407=3,"Senior",G1407=4,"Lead",G1407=5,"Principal")&amp;" "&amp;TRIM(PROPER(H1407))</f>
        <v>Senior Research Director</v>
      </c>
      <c r="AC1407" s="19" t="str">
        <f t="shared" ca="1" si="241"/>
        <v>Re-Res-2015-1406 is a Senior Research Director in the Research &amp; Development department, aged 31, married and has been with the Company for 11years</v>
      </c>
    </row>
    <row r="1408" spans="1:29">
      <c r="A1408" s="18" t="str">
        <f t="shared" ca="1" si="231"/>
        <v>Ma-Res-2021-1407</v>
      </c>
      <c r="B1408" s="5">
        <v>54</v>
      </c>
      <c r="C1408" s="5" t="str">
        <f t="shared" si="232"/>
        <v>50+</v>
      </c>
      <c r="D1408" s="5" t="s">
        <v>43</v>
      </c>
      <c r="E1408" s="5" t="s">
        <v>45</v>
      </c>
      <c r="F1408" s="5" t="s">
        <v>39</v>
      </c>
      <c r="G1408" s="5">
        <v>2</v>
      </c>
      <c r="H1408" s="5" t="s">
        <v>53</v>
      </c>
      <c r="I1408" s="5" t="s">
        <v>41</v>
      </c>
      <c r="J1408" s="7">
        <v>4440</v>
      </c>
      <c r="K1408" s="7">
        <f t="shared" si="233"/>
        <v>666</v>
      </c>
      <c r="L1408" s="7">
        <f t="shared" si="234"/>
        <v>3774</v>
      </c>
      <c r="M1408" s="7">
        <v>25198</v>
      </c>
      <c r="N1408" s="5" t="s">
        <v>35</v>
      </c>
      <c r="O1408" s="5">
        <v>19</v>
      </c>
      <c r="P1408" s="7">
        <f t="shared" si="235"/>
        <v>5283.5999999999995</v>
      </c>
      <c r="Q1408" s="7">
        <f t="shared" si="236"/>
        <v>10123.199999999993</v>
      </c>
      <c r="R1408" s="7" t="str">
        <f t="shared" si="237"/>
        <v>Normal</v>
      </c>
      <c r="S1408" s="5">
        <v>3</v>
      </c>
      <c r="T1408" s="5">
        <v>3</v>
      </c>
      <c r="U1408" s="5" t="str" cm="1">
        <f t="array" ref="U1408">_xlfn.IFS(T1408=1,"Poor",T1408=2,"Fair",T1408=3,"Good",T1408=4,"Excellent")</f>
        <v>Good</v>
      </c>
      <c r="V1408" s="5" t="s">
        <v>35</v>
      </c>
      <c r="W1408" s="5">
        <v>5</v>
      </c>
      <c r="X1408" s="28">
        <f t="shared" ca="1" si="238"/>
        <v>44285</v>
      </c>
      <c r="Y1408" s="28">
        <f t="shared" ca="1" si="239"/>
        <v>46476</v>
      </c>
      <c r="Z1408" s="28" t="str">
        <f t="shared" ca="1" si="240"/>
        <v>Due Soon</v>
      </c>
      <c r="AA1408" s="5" t="str" cm="1">
        <f t="array" ref="AA1408">_xlfn.IFS(W1408&gt;10,"Veteran",W1408&gt;=6,"Experienced",W1408&gt;=2,"Developing",W1408&gt;=0,"New")</f>
        <v>Developing</v>
      </c>
      <c r="AB1408" s="5" t="str" cm="1">
        <f t="array" ref="AB1408">_xlfn.IFS(G1408=1,"Junior",G1408=2,"Mid-Level",G1408=3,"Senior",G1408=4,"Lead",G1408=5,"Principal")&amp;" "&amp;TRIM(PROPER(H1408))</f>
        <v>Mid-Level Manufacturing Director</v>
      </c>
      <c r="AC1408" s="19" t="str">
        <f t="shared" ca="1" si="241"/>
        <v>Ma-Res-2021-1407 is a Mid-Level Manufacturing Director in the Research &amp; Development department, aged 54, single and has been with the Company for 5years</v>
      </c>
    </row>
    <row r="1409" spans="1:29">
      <c r="A1409" s="18" t="str">
        <f t="shared" ca="1" si="231"/>
        <v>He-Res-2022-1408</v>
      </c>
      <c r="B1409" s="5">
        <v>24</v>
      </c>
      <c r="C1409" s="5" t="str">
        <f t="shared" si="232"/>
        <v>20-29</v>
      </c>
      <c r="D1409" s="5" t="s">
        <v>43</v>
      </c>
      <c r="E1409" s="5" t="s">
        <v>45</v>
      </c>
      <c r="F1409" s="5" t="s">
        <v>46</v>
      </c>
      <c r="G1409" s="5">
        <v>2</v>
      </c>
      <c r="H1409" s="5" t="s">
        <v>54</v>
      </c>
      <c r="I1409" s="5" t="s">
        <v>41</v>
      </c>
      <c r="J1409" s="7">
        <v>4617</v>
      </c>
      <c r="K1409" s="7">
        <f t="shared" si="233"/>
        <v>692.55</v>
      </c>
      <c r="L1409" s="7">
        <f t="shared" si="234"/>
        <v>3924.45</v>
      </c>
      <c r="M1409" s="7">
        <v>14120</v>
      </c>
      <c r="N1409" s="5" t="s">
        <v>43</v>
      </c>
      <c r="O1409" s="5">
        <v>12</v>
      </c>
      <c r="P1409" s="7">
        <f t="shared" si="235"/>
        <v>5171.0400000000009</v>
      </c>
      <c r="Q1409" s="7">
        <f t="shared" si="236"/>
        <v>6648.4800000000105</v>
      </c>
      <c r="R1409" s="7" t="str">
        <f t="shared" si="237"/>
        <v>Normal</v>
      </c>
      <c r="S1409" s="5">
        <v>3</v>
      </c>
      <c r="T1409" s="5">
        <v>2</v>
      </c>
      <c r="U1409" s="5" t="str" cm="1">
        <f t="array" ref="U1409">_xlfn.IFS(T1409=1,"Poor",T1409=2,"Fair",T1409=3,"Good",T1409=4,"Excellent")</f>
        <v>Fair</v>
      </c>
      <c r="V1409" s="5" t="s">
        <v>43</v>
      </c>
      <c r="W1409" s="5">
        <v>4</v>
      </c>
      <c r="X1409" s="28">
        <f t="shared" ca="1" si="238"/>
        <v>44650</v>
      </c>
      <c r="Y1409" s="28">
        <f t="shared" ca="1" si="239"/>
        <v>46842</v>
      </c>
      <c r="Z1409" s="28" t="str">
        <f t="shared" ca="1" si="240"/>
        <v>Upcoming</v>
      </c>
      <c r="AA1409" s="5" t="str" cm="1">
        <f t="array" ref="AA1409">_xlfn.IFS(W1409&gt;10,"Veteran",W1409&gt;=6,"Experienced",W1409&gt;=2,"Developing",W1409&gt;=0,"New")</f>
        <v>Developing</v>
      </c>
      <c r="AB1409" s="5" t="str" cm="1">
        <f t="array" ref="AB1409">_xlfn.IFS(G1409=1,"Junior",G1409=2,"Mid-Level",G1409=3,"Senior",G1409=4,"Lead",G1409=5,"Principal")&amp;" "&amp;TRIM(PROPER(H1409))</f>
        <v>Mid-Level Healthcare Representative</v>
      </c>
      <c r="AC1409" s="19" t="str">
        <f t="shared" ca="1" si="241"/>
        <v>He-Res-2022-1408 is a Mid-Level Healthcare Representative in the Research &amp; Development department, aged 24, single and has been with the Company for 4years</v>
      </c>
    </row>
    <row r="1410" spans="1:29">
      <c r="A1410" s="18" t="str">
        <f t="shared" ca="1" si="231"/>
        <v>La-Res-2021-1409</v>
      </c>
      <c r="B1410" s="5">
        <v>23</v>
      </c>
      <c r="C1410" s="5" t="str">
        <f t="shared" si="232"/>
        <v>20-29</v>
      </c>
      <c r="D1410" s="5" t="s">
        <v>43</v>
      </c>
      <c r="E1410" s="5" t="s">
        <v>45</v>
      </c>
      <c r="F1410" s="5" t="s">
        <v>46</v>
      </c>
      <c r="G1410" s="5">
        <v>1</v>
      </c>
      <c r="H1410" s="5" t="s">
        <v>50</v>
      </c>
      <c r="I1410" s="5" t="s">
        <v>41</v>
      </c>
      <c r="J1410" s="7">
        <v>2647</v>
      </c>
      <c r="K1410" s="7">
        <f t="shared" si="233"/>
        <v>185.29000000000002</v>
      </c>
      <c r="L1410" s="7">
        <f t="shared" si="234"/>
        <v>2461.71</v>
      </c>
      <c r="M1410" s="7">
        <v>13672</v>
      </c>
      <c r="N1410" s="5" t="s">
        <v>43</v>
      </c>
      <c r="O1410" s="5">
        <v>13</v>
      </c>
      <c r="P1410" s="7">
        <f t="shared" si="235"/>
        <v>2991.1099999999997</v>
      </c>
      <c r="Q1410" s="7">
        <f t="shared" si="236"/>
        <v>4129.3199999999961</v>
      </c>
      <c r="R1410" s="7" t="str">
        <f t="shared" si="237"/>
        <v>Normal</v>
      </c>
      <c r="S1410" s="5">
        <v>3</v>
      </c>
      <c r="T1410" s="5">
        <v>4</v>
      </c>
      <c r="U1410" s="5" t="str" cm="1">
        <f t="array" ref="U1410">_xlfn.IFS(T1410=1,"Poor",T1410=2,"Fair",T1410=3,"Good",T1410=4,"Excellent")</f>
        <v>Excellent</v>
      </c>
      <c r="V1410" s="5" t="s">
        <v>43</v>
      </c>
      <c r="W1410" s="5">
        <v>5</v>
      </c>
      <c r="X1410" s="28">
        <f t="shared" ca="1" si="238"/>
        <v>44285</v>
      </c>
      <c r="Y1410" s="28">
        <f t="shared" ca="1" si="239"/>
        <v>46476</v>
      </c>
      <c r="Z1410" s="28" t="str">
        <f t="shared" ca="1" si="240"/>
        <v>Due Soon</v>
      </c>
      <c r="AA1410" s="5" t="str" cm="1">
        <f t="array" ref="AA1410">_xlfn.IFS(W1410&gt;10,"Veteran",W1410&gt;=6,"Experienced",W1410&gt;=2,"Developing",W1410&gt;=0,"New")</f>
        <v>Developing</v>
      </c>
      <c r="AB1410" s="5" t="str" cm="1">
        <f t="array" ref="AB1410">_xlfn.IFS(G1410=1,"Junior",G1410=2,"Mid-Level",G1410=3,"Senior",G1410=4,"Lead",G1410=5,"Principal")&amp;" "&amp;TRIM(PROPER(H1410))</f>
        <v>Junior Laboratory Technician</v>
      </c>
      <c r="AC1410" s="19" t="str">
        <f t="shared" ca="1" si="241"/>
        <v>La-Res-2021-1409 is a Junior Laboratory Technician in the Research &amp; Development department, aged 23, single and has been with the Company for 5years</v>
      </c>
    </row>
    <row r="1411" spans="1:29">
      <c r="A1411" s="18" t="str">
        <f t="shared" ref="A1411:A1471" ca="1" si="242">LEFT(H1411,2)&amp;"-"&amp;LEFT(E1411,3)&amp;"-"&amp;YEAR(TODAY())-W1411&amp;"-"&amp;TEXT(ROW()-1,"000")</f>
        <v>La-Res-2016-1410</v>
      </c>
      <c r="B1411" s="5">
        <v>40</v>
      </c>
      <c r="C1411" s="5" t="str">
        <f t="shared" ref="C1411:C1471" si="243">IF(B1411&lt;=29,"20-29",IF(B1411&lt;=39,"30-39",IF(B1411&lt;=49,"40-49","50+")))</f>
        <v>40-49</v>
      </c>
      <c r="D1411" s="5" t="s">
        <v>43</v>
      </c>
      <c r="E1411" s="5" t="s">
        <v>45</v>
      </c>
      <c r="F1411" s="5" t="s">
        <v>39</v>
      </c>
      <c r="G1411" s="5">
        <v>2</v>
      </c>
      <c r="H1411" s="5" t="s">
        <v>50</v>
      </c>
      <c r="I1411" s="5" t="s">
        <v>48</v>
      </c>
      <c r="J1411" s="7">
        <v>6323</v>
      </c>
      <c r="K1411" s="7">
        <f t="shared" ref="K1411:K1471" si="244">IF(J1411&gt;13000,J1411*30%,IF(J1411&gt;7000,J1411*22%,IF(J1411&gt;3000,J1411*15%,J1411*7%)))</f>
        <v>948.44999999999993</v>
      </c>
      <c r="L1411" s="7">
        <f t="shared" ref="L1411:L1471" si="245">J1411-K1411</f>
        <v>5374.55</v>
      </c>
      <c r="M1411" s="7">
        <v>26849</v>
      </c>
      <c r="N1411" s="5" t="s">
        <v>43</v>
      </c>
      <c r="O1411" s="5">
        <v>11</v>
      </c>
      <c r="P1411" s="7">
        <f t="shared" ref="P1411:P1471" si="246">J1411*(1+(O1411/100))</f>
        <v>7018.5300000000007</v>
      </c>
      <c r="Q1411" s="7">
        <f t="shared" ref="Q1411:Q1471" si="247">(P1411-J1411)*12</f>
        <v>8346.3600000000079</v>
      </c>
      <c r="R1411" s="7" t="str">
        <f t="shared" ref="R1411:R1471" si="248">IF(AND(O1411&lt;12,S1411=4),"UnderPaid","Normal")</f>
        <v>Normal</v>
      </c>
      <c r="S1411" s="5">
        <v>3</v>
      </c>
      <c r="T1411" s="5">
        <v>4</v>
      </c>
      <c r="U1411" s="5" t="str" cm="1">
        <f t="array" ref="U1411">_xlfn.IFS(T1411=1,"Poor",T1411=2,"Fair",T1411=3,"Good",T1411=4,"Excellent")</f>
        <v>Excellent</v>
      </c>
      <c r="V1411" s="5" t="s">
        <v>43</v>
      </c>
      <c r="W1411" s="5">
        <v>10</v>
      </c>
      <c r="X1411" s="28">
        <f t="shared" ref="X1411:X1471" ca="1" si="249">EDATE(TODAY(),-W1411*12)</f>
        <v>42459</v>
      </c>
      <c r="Y1411" s="28">
        <f t="shared" ref="Y1411:Y1471" ca="1" si="250">EDATE(X1411,(INT(W1411/2)+1)*24)</f>
        <v>46842</v>
      </c>
      <c r="Z1411" s="28" t="str">
        <f t="shared" ref="Z1411:Z1471" ca="1" si="251">IF(Y1411&lt;=EDATE(TODAY(),12),"Due Soon","Upcoming")</f>
        <v>Upcoming</v>
      </c>
      <c r="AA1411" s="5" t="str" cm="1">
        <f t="array" ref="AA1411">_xlfn.IFS(W1411&gt;10,"Veteran",W1411&gt;=6,"Experienced",W1411&gt;=2,"Developing",W1411&gt;=0,"New")</f>
        <v>Experienced</v>
      </c>
      <c r="AB1411" s="5" t="str" cm="1">
        <f t="array" ref="AB1411">_xlfn.IFS(G1411=1,"Junior",G1411=2,"Mid-Level",G1411=3,"Senior",G1411=4,"Lead",G1411=5,"Principal")&amp;" "&amp;TRIM(PROPER(H1411))</f>
        <v>Mid-Level Laboratory Technician</v>
      </c>
      <c r="AC1411" s="19" t="str">
        <f t="shared" ref="AC1411:AC1471" ca="1" si="252">A1411&amp;" is a "&amp;AB1411&amp;" in the "&amp;E1411&amp;" department, aged "&amp;B1411&amp;", "&amp;LOWER(I1411)&amp;" and has been with the Company for "&amp;W1411&amp;"years"</f>
        <v>La-Res-2016-1410 is a Mid-Level Laboratory Technician in the Research &amp; Development department, aged 40, married and has been with the Company for 10years</v>
      </c>
    </row>
    <row r="1412" spans="1:29">
      <c r="A1412" s="18" t="str">
        <f t="shared" ca="1" si="242"/>
        <v>Sa-Sal-2015-1411</v>
      </c>
      <c r="B1412" s="5">
        <v>40</v>
      </c>
      <c r="C1412" s="5" t="str">
        <f t="shared" si="243"/>
        <v>40-49</v>
      </c>
      <c r="D1412" s="5" t="s">
        <v>43</v>
      </c>
      <c r="E1412" s="5" t="s">
        <v>37</v>
      </c>
      <c r="F1412" s="5" t="s">
        <v>39</v>
      </c>
      <c r="G1412" s="5">
        <v>2</v>
      </c>
      <c r="H1412" s="5" t="s">
        <v>40</v>
      </c>
      <c r="I1412" s="5" t="s">
        <v>48</v>
      </c>
      <c r="J1412" s="7">
        <v>5677</v>
      </c>
      <c r="K1412" s="7">
        <f t="shared" si="244"/>
        <v>851.55</v>
      </c>
      <c r="L1412" s="7">
        <f t="shared" si="245"/>
        <v>4825.45</v>
      </c>
      <c r="M1412" s="7">
        <v>4258</v>
      </c>
      <c r="N1412" s="5" t="s">
        <v>43</v>
      </c>
      <c r="O1412" s="5">
        <v>14</v>
      </c>
      <c r="P1412" s="7">
        <f t="shared" si="246"/>
        <v>6471.7800000000007</v>
      </c>
      <c r="Q1412" s="7">
        <f t="shared" si="247"/>
        <v>9537.3600000000079</v>
      </c>
      <c r="R1412" s="7" t="str">
        <f t="shared" si="248"/>
        <v>Normal</v>
      </c>
      <c r="S1412" s="5">
        <v>3</v>
      </c>
      <c r="T1412" s="5">
        <v>3</v>
      </c>
      <c r="U1412" s="5" t="str" cm="1">
        <f t="array" ref="U1412">_xlfn.IFS(T1412=1,"Poor",T1412=2,"Fair",T1412=3,"Good",T1412=4,"Excellent")</f>
        <v>Good</v>
      </c>
      <c r="V1412" s="5" t="s">
        <v>43</v>
      </c>
      <c r="W1412" s="5">
        <v>11</v>
      </c>
      <c r="X1412" s="28">
        <f t="shared" ca="1" si="249"/>
        <v>42093</v>
      </c>
      <c r="Y1412" s="28">
        <f t="shared" ca="1" si="250"/>
        <v>46476</v>
      </c>
      <c r="Z1412" s="28" t="str">
        <f t="shared" ca="1" si="251"/>
        <v>Due Soon</v>
      </c>
      <c r="AA1412" s="5" t="str" cm="1">
        <f t="array" ref="AA1412">_xlfn.IFS(W1412&gt;10,"Veteran",W1412&gt;=6,"Experienced",W1412&gt;=2,"Developing",W1412&gt;=0,"New")</f>
        <v>Veteran</v>
      </c>
      <c r="AB1412" s="5" t="str" cm="1">
        <f t="array" ref="AB1412">_xlfn.IFS(G1412=1,"Junior",G1412=2,"Mid-Level",G1412=3,"Senior",G1412=4,"Lead",G1412=5,"Principal")&amp;" "&amp;TRIM(PROPER(H1412))</f>
        <v>Mid-Level Sales Executive</v>
      </c>
      <c r="AC1412" s="19" t="str">
        <f t="shared" ca="1" si="252"/>
        <v>Sa-Sal-2015-1411 is a Mid-Level Sales Executive in the Sales department, aged 40, married and has been with the Company for 11years</v>
      </c>
    </row>
    <row r="1413" spans="1:29">
      <c r="A1413" s="18" t="str">
        <f t="shared" ca="1" si="242"/>
        <v>Hu-Hum-2024-1412</v>
      </c>
      <c r="B1413" s="5">
        <v>25</v>
      </c>
      <c r="C1413" s="5" t="str">
        <f t="shared" si="243"/>
        <v>20-29</v>
      </c>
      <c r="D1413" s="5" t="s">
        <v>43</v>
      </c>
      <c r="E1413" s="5" t="s">
        <v>61</v>
      </c>
      <c r="F1413" s="5" t="s">
        <v>39</v>
      </c>
      <c r="G1413" s="5">
        <v>1</v>
      </c>
      <c r="H1413" s="5" t="s">
        <v>61</v>
      </c>
      <c r="I1413" s="5" t="s">
        <v>48</v>
      </c>
      <c r="J1413" s="7">
        <v>2187</v>
      </c>
      <c r="K1413" s="7">
        <f t="shared" si="244"/>
        <v>153.09</v>
      </c>
      <c r="L1413" s="7">
        <f t="shared" si="245"/>
        <v>2033.91</v>
      </c>
      <c r="M1413" s="7">
        <v>19655</v>
      </c>
      <c r="N1413" s="5" t="s">
        <v>43</v>
      </c>
      <c r="O1413" s="5">
        <v>14</v>
      </c>
      <c r="P1413" s="7">
        <f t="shared" si="246"/>
        <v>2493.1800000000003</v>
      </c>
      <c r="Q1413" s="7">
        <f t="shared" si="247"/>
        <v>3674.1600000000035</v>
      </c>
      <c r="R1413" s="7" t="str">
        <f t="shared" si="248"/>
        <v>Normal</v>
      </c>
      <c r="S1413" s="5">
        <v>3</v>
      </c>
      <c r="T1413" s="5">
        <v>3</v>
      </c>
      <c r="U1413" s="5" t="str" cm="1">
        <f t="array" ref="U1413">_xlfn.IFS(T1413=1,"Poor",T1413=2,"Fair",T1413=3,"Good",T1413=4,"Excellent")</f>
        <v>Good</v>
      </c>
      <c r="V1413" s="5" t="s">
        <v>43</v>
      </c>
      <c r="W1413" s="5">
        <v>2</v>
      </c>
      <c r="X1413" s="28">
        <f t="shared" ca="1" si="249"/>
        <v>45381</v>
      </c>
      <c r="Y1413" s="28">
        <f t="shared" ca="1" si="250"/>
        <v>46842</v>
      </c>
      <c r="Z1413" s="28" t="str">
        <f t="shared" ca="1" si="251"/>
        <v>Upcoming</v>
      </c>
      <c r="AA1413" s="5" t="str" cm="1">
        <f t="array" ref="AA1413">_xlfn.IFS(W1413&gt;10,"Veteran",W1413&gt;=6,"Experienced",W1413&gt;=2,"Developing",W1413&gt;=0,"New")</f>
        <v>Developing</v>
      </c>
      <c r="AB1413" s="5" t="str" cm="1">
        <f t="array" ref="AB1413">_xlfn.IFS(G1413=1,"Junior",G1413=2,"Mid-Level",G1413=3,"Senior",G1413=4,"Lead",G1413=5,"Principal")&amp;" "&amp;TRIM(PROPER(H1413))</f>
        <v>Junior Human Resources</v>
      </c>
      <c r="AC1413" s="19" t="str">
        <f t="shared" ca="1" si="252"/>
        <v>Hu-Hum-2024-1412 is a Junior Human Resources in the Human Resources department, aged 25, married and has been with the Company for 2years</v>
      </c>
    </row>
    <row r="1414" spans="1:29">
      <c r="A1414" s="18" t="str">
        <f t="shared" ca="1" si="242"/>
        <v>La-Res-2014-1413</v>
      </c>
      <c r="B1414" s="5">
        <v>30</v>
      </c>
      <c r="C1414" s="5" t="str">
        <f t="shared" si="243"/>
        <v>30-39</v>
      </c>
      <c r="D1414" s="5" t="s">
        <v>43</v>
      </c>
      <c r="E1414" s="5" t="s">
        <v>45</v>
      </c>
      <c r="F1414" s="5" t="s">
        <v>46</v>
      </c>
      <c r="G1414" s="5">
        <v>1</v>
      </c>
      <c r="H1414" s="5" t="s">
        <v>50</v>
      </c>
      <c r="I1414" s="5" t="s">
        <v>48</v>
      </c>
      <c r="J1414" s="7">
        <v>3748</v>
      </c>
      <c r="K1414" s="7">
        <f t="shared" si="244"/>
        <v>562.19999999999993</v>
      </c>
      <c r="L1414" s="7">
        <f t="shared" si="245"/>
        <v>3185.8</v>
      </c>
      <c r="M1414" s="7">
        <v>4077</v>
      </c>
      <c r="N1414" s="5" t="s">
        <v>43</v>
      </c>
      <c r="O1414" s="5">
        <v>13</v>
      </c>
      <c r="P1414" s="7">
        <f t="shared" si="246"/>
        <v>4235.24</v>
      </c>
      <c r="Q1414" s="7">
        <f t="shared" si="247"/>
        <v>5846.8799999999974</v>
      </c>
      <c r="R1414" s="7" t="str">
        <f t="shared" si="248"/>
        <v>Normal</v>
      </c>
      <c r="S1414" s="5">
        <v>3</v>
      </c>
      <c r="T1414" s="5">
        <v>2</v>
      </c>
      <c r="U1414" s="5" t="str" cm="1">
        <f t="array" ref="U1414">_xlfn.IFS(T1414=1,"Poor",T1414=2,"Fair",T1414=3,"Good",T1414=4,"Excellent")</f>
        <v>Fair</v>
      </c>
      <c r="V1414" s="5" t="s">
        <v>43</v>
      </c>
      <c r="W1414" s="5">
        <v>12</v>
      </c>
      <c r="X1414" s="28">
        <f t="shared" ca="1" si="249"/>
        <v>41728</v>
      </c>
      <c r="Y1414" s="28">
        <f t="shared" ca="1" si="250"/>
        <v>46842</v>
      </c>
      <c r="Z1414" s="28" t="str">
        <f t="shared" ca="1" si="251"/>
        <v>Upcoming</v>
      </c>
      <c r="AA1414" s="5" t="str" cm="1">
        <f t="array" ref="AA1414">_xlfn.IFS(W1414&gt;10,"Veteran",W1414&gt;=6,"Experienced",W1414&gt;=2,"Developing",W1414&gt;=0,"New")</f>
        <v>Veteran</v>
      </c>
      <c r="AB1414" s="5" t="str" cm="1">
        <f t="array" ref="AB1414">_xlfn.IFS(G1414=1,"Junior",G1414=2,"Mid-Level",G1414=3,"Senior",G1414=4,"Lead",G1414=5,"Principal")&amp;" "&amp;TRIM(PROPER(H1414))</f>
        <v>Junior Laboratory Technician</v>
      </c>
      <c r="AC1414" s="19" t="str">
        <f t="shared" ca="1" si="252"/>
        <v>La-Res-2014-1413 is a Junior Laboratory Technician in the Research &amp; Development department, aged 30, married and has been with the Company for 12years</v>
      </c>
    </row>
    <row r="1415" spans="1:29">
      <c r="A1415" s="18" t="str">
        <f t="shared" ca="1" si="242"/>
        <v>La-Res-2024-1414</v>
      </c>
      <c r="B1415" s="5">
        <v>25</v>
      </c>
      <c r="C1415" s="5" t="str">
        <f t="shared" si="243"/>
        <v>20-29</v>
      </c>
      <c r="D1415" s="5" t="s">
        <v>43</v>
      </c>
      <c r="E1415" s="5" t="s">
        <v>45</v>
      </c>
      <c r="F1415" s="5" t="s">
        <v>46</v>
      </c>
      <c r="G1415" s="5">
        <v>1</v>
      </c>
      <c r="H1415" s="5" t="s">
        <v>50</v>
      </c>
      <c r="I1415" s="5" t="s">
        <v>52</v>
      </c>
      <c r="J1415" s="7">
        <v>3977</v>
      </c>
      <c r="K1415" s="7">
        <f t="shared" si="244"/>
        <v>596.54999999999995</v>
      </c>
      <c r="L1415" s="7">
        <f t="shared" si="245"/>
        <v>3380.45</v>
      </c>
      <c r="M1415" s="7">
        <v>7298</v>
      </c>
      <c r="N1415" s="5" t="s">
        <v>35</v>
      </c>
      <c r="O1415" s="5">
        <v>19</v>
      </c>
      <c r="P1415" s="7">
        <f t="shared" si="246"/>
        <v>4732.63</v>
      </c>
      <c r="Q1415" s="7">
        <f t="shared" si="247"/>
        <v>9067.5600000000013</v>
      </c>
      <c r="R1415" s="7" t="str">
        <f t="shared" si="248"/>
        <v>Normal</v>
      </c>
      <c r="S1415" s="5">
        <v>3</v>
      </c>
      <c r="T1415" s="5">
        <v>2</v>
      </c>
      <c r="U1415" s="5" t="str" cm="1">
        <f t="array" ref="U1415">_xlfn.IFS(T1415=1,"Poor",T1415=2,"Fair",T1415=3,"Good",T1415=4,"Excellent")</f>
        <v>Fair</v>
      </c>
      <c r="V1415" s="5" t="s">
        <v>35</v>
      </c>
      <c r="W1415" s="5">
        <v>2</v>
      </c>
      <c r="X1415" s="28">
        <f t="shared" ca="1" si="249"/>
        <v>45381</v>
      </c>
      <c r="Y1415" s="28">
        <f t="shared" ca="1" si="250"/>
        <v>46842</v>
      </c>
      <c r="Z1415" s="28" t="str">
        <f t="shared" ca="1" si="251"/>
        <v>Upcoming</v>
      </c>
      <c r="AA1415" s="5" t="str" cm="1">
        <f t="array" ref="AA1415">_xlfn.IFS(W1415&gt;10,"Veteran",W1415&gt;=6,"Experienced",W1415&gt;=2,"Developing",W1415&gt;=0,"New")</f>
        <v>Developing</v>
      </c>
      <c r="AB1415" s="5" t="str" cm="1">
        <f t="array" ref="AB1415">_xlfn.IFS(G1415=1,"Junior",G1415=2,"Mid-Level",G1415=3,"Senior",G1415=4,"Lead",G1415=5,"Principal")&amp;" "&amp;TRIM(PROPER(H1415))</f>
        <v>Junior Laboratory Technician</v>
      </c>
      <c r="AC1415" s="19" t="str">
        <f t="shared" ca="1" si="252"/>
        <v>La-Res-2024-1414 is a Junior Laboratory Technician in the Research &amp; Development department, aged 25, divorced and has been with the Company for 2years</v>
      </c>
    </row>
    <row r="1416" spans="1:29">
      <c r="A1416" s="18" t="str">
        <f t="shared" ca="1" si="242"/>
        <v>He-Res-2009-1415</v>
      </c>
      <c r="B1416" s="5">
        <v>47</v>
      </c>
      <c r="C1416" s="5" t="str">
        <f t="shared" si="243"/>
        <v>40-49</v>
      </c>
      <c r="D1416" s="5" t="s">
        <v>43</v>
      </c>
      <c r="E1416" s="5" t="s">
        <v>45</v>
      </c>
      <c r="F1416" s="5" t="s">
        <v>46</v>
      </c>
      <c r="G1416" s="5">
        <v>3</v>
      </c>
      <c r="H1416" s="5" t="s">
        <v>54</v>
      </c>
      <c r="I1416" s="5" t="s">
        <v>41</v>
      </c>
      <c r="J1416" s="7">
        <v>8633</v>
      </c>
      <c r="K1416" s="7">
        <f t="shared" si="244"/>
        <v>1899.26</v>
      </c>
      <c r="L1416" s="7">
        <f t="shared" si="245"/>
        <v>6733.74</v>
      </c>
      <c r="M1416" s="7">
        <v>13084</v>
      </c>
      <c r="N1416" s="5" t="s">
        <v>43</v>
      </c>
      <c r="O1416" s="5">
        <v>23</v>
      </c>
      <c r="P1416" s="7">
        <f t="shared" si="246"/>
        <v>10618.59</v>
      </c>
      <c r="Q1416" s="7">
        <f t="shared" si="247"/>
        <v>23827.08</v>
      </c>
      <c r="R1416" s="7" t="str">
        <f t="shared" si="248"/>
        <v>Normal</v>
      </c>
      <c r="S1416" s="5">
        <v>4</v>
      </c>
      <c r="T1416" s="5">
        <v>3</v>
      </c>
      <c r="U1416" s="5" t="str" cm="1">
        <f t="array" ref="U1416">_xlfn.IFS(T1416=1,"Poor",T1416=2,"Fair",T1416=3,"Good",T1416=4,"Excellent")</f>
        <v>Good</v>
      </c>
      <c r="V1416" s="5" t="s">
        <v>43</v>
      </c>
      <c r="W1416" s="5">
        <v>17</v>
      </c>
      <c r="X1416" s="28">
        <f t="shared" ca="1" si="249"/>
        <v>39902</v>
      </c>
      <c r="Y1416" s="28">
        <f t="shared" ca="1" si="250"/>
        <v>46476</v>
      </c>
      <c r="Z1416" s="28" t="str">
        <f t="shared" ca="1" si="251"/>
        <v>Due Soon</v>
      </c>
      <c r="AA1416" s="5" t="str" cm="1">
        <f t="array" ref="AA1416">_xlfn.IFS(W1416&gt;10,"Veteran",W1416&gt;=6,"Experienced",W1416&gt;=2,"Developing",W1416&gt;=0,"New")</f>
        <v>Veteran</v>
      </c>
      <c r="AB1416" s="5" t="str" cm="1">
        <f t="array" ref="AB1416">_xlfn.IFS(G1416=1,"Junior",G1416=2,"Mid-Level",G1416=3,"Senior",G1416=4,"Lead",G1416=5,"Principal")&amp;" "&amp;TRIM(PROPER(H1416))</f>
        <v>Senior Healthcare Representative</v>
      </c>
      <c r="AC1416" s="19" t="str">
        <f t="shared" ca="1" si="252"/>
        <v>He-Res-2009-1415 is a Senior Healthcare Representative in the Research &amp; Development department, aged 47, single and has been with the Company for 17years</v>
      </c>
    </row>
    <row r="1417" spans="1:29">
      <c r="A1417" s="18" t="str">
        <f t="shared" ca="1" si="242"/>
        <v>La-Res-2025-1416</v>
      </c>
      <c r="B1417" s="5">
        <v>33</v>
      </c>
      <c r="C1417" s="5" t="str">
        <f t="shared" si="243"/>
        <v>30-39</v>
      </c>
      <c r="D1417" s="5" t="s">
        <v>43</v>
      </c>
      <c r="E1417" s="5" t="s">
        <v>45</v>
      </c>
      <c r="F1417" s="5" t="s">
        <v>46</v>
      </c>
      <c r="G1417" s="5">
        <v>1</v>
      </c>
      <c r="H1417" s="5" t="s">
        <v>50</v>
      </c>
      <c r="I1417" s="5" t="s">
        <v>52</v>
      </c>
      <c r="J1417" s="7">
        <v>2008</v>
      </c>
      <c r="K1417" s="7">
        <f t="shared" si="244"/>
        <v>140.56</v>
      </c>
      <c r="L1417" s="7">
        <f t="shared" si="245"/>
        <v>1867.44</v>
      </c>
      <c r="M1417" s="7">
        <v>20439</v>
      </c>
      <c r="N1417" s="5" t="s">
        <v>43</v>
      </c>
      <c r="O1417" s="5">
        <v>12</v>
      </c>
      <c r="P1417" s="7">
        <f t="shared" si="246"/>
        <v>2248.96</v>
      </c>
      <c r="Q1417" s="7">
        <f t="shared" si="247"/>
        <v>2891.5200000000004</v>
      </c>
      <c r="R1417" s="7" t="str">
        <f t="shared" si="248"/>
        <v>Normal</v>
      </c>
      <c r="S1417" s="5">
        <v>3</v>
      </c>
      <c r="T1417" s="5">
        <v>2</v>
      </c>
      <c r="U1417" s="5" t="str" cm="1">
        <f t="array" ref="U1417">_xlfn.IFS(T1417=1,"Poor",T1417=2,"Fair",T1417=3,"Good",T1417=4,"Excellent")</f>
        <v>Fair</v>
      </c>
      <c r="V1417" s="5" t="s">
        <v>43</v>
      </c>
      <c r="W1417" s="5">
        <v>1</v>
      </c>
      <c r="X1417" s="28">
        <f t="shared" ca="1" si="249"/>
        <v>45746</v>
      </c>
      <c r="Y1417" s="28">
        <f t="shared" ca="1" si="250"/>
        <v>46476</v>
      </c>
      <c r="Z1417" s="28" t="str">
        <f t="shared" ca="1" si="251"/>
        <v>Due Soon</v>
      </c>
      <c r="AA1417" s="5" t="str" cm="1">
        <f t="array" ref="AA1417">_xlfn.IFS(W1417&gt;10,"Veteran",W1417&gt;=6,"Experienced",W1417&gt;=2,"Developing",W1417&gt;=0,"New")</f>
        <v>New</v>
      </c>
      <c r="AB1417" s="5" t="str" cm="1">
        <f t="array" ref="AB1417">_xlfn.IFS(G1417=1,"Junior",G1417=2,"Mid-Level",G1417=3,"Senior",G1417=4,"Lead",G1417=5,"Principal")&amp;" "&amp;TRIM(PROPER(H1417))</f>
        <v>Junior Laboratory Technician</v>
      </c>
      <c r="AC1417" s="19" t="str">
        <f t="shared" ca="1" si="252"/>
        <v>La-Res-2025-1416 is a Junior Laboratory Technician in the Research &amp; Development department, aged 33, divorced and has been with the Company for 1years</v>
      </c>
    </row>
    <row r="1418" spans="1:29">
      <c r="A1418" s="18" t="str">
        <f t="shared" ca="1" si="242"/>
        <v>Sa-Sal-2011-1417</v>
      </c>
      <c r="B1418" s="5">
        <v>38</v>
      </c>
      <c r="C1418" s="5" t="str">
        <f t="shared" si="243"/>
        <v>30-39</v>
      </c>
      <c r="D1418" s="5" t="s">
        <v>43</v>
      </c>
      <c r="E1418" s="5" t="s">
        <v>37</v>
      </c>
      <c r="F1418" s="5" t="s">
        <v>46</v>
      </c>
      <c r="G1418" s="5">
        <v>2</v>
      </c>
      <c r="H1418" s="5" t="s">
        <v>40</v>
      </c>
      <c r="I1418" s="5" t="s">
        <v>48</v>
      </c>
      <c r="J1418" s="7">
        <v>4440</v>
      </c>
      <c r="K1418" s="7">
        <f t="shared" si="244"/>
        <v>666</v>
      </c>
      <c r="L1418" s="7">
        <f t="shared" si="245"/>
        <v>3774</v>
      </c>
      <c r="M1418" s="7">
        <v>7636</v>
      </c>
      <c r="N1418" s="5" t="s">
        <v>43</v>
      </c>
      <c r="O1418" s="5">
        <v>15</v>
      </c>
      <c r="P1418" s="7">
        <f t="shared" si="246"/>
        <v>5106</v>
      </c>
      <c r="Q1418" s="7">
        <f t="shared" si="247"/>
        <v>7992</v>
      </c>
      <c r="R1418" s="7" t="str">
        <f t="shared" si="248"/>
        <v>Normal</v>
      </c>
      <c r="S1418" s="5">
        <v>3</v>
      </c>
      <c r="T1418" s="5">
        <v>3</v>
      </c>
      <c r="U1418" s="5" t="str" cm="1">
        <f t="array" ref="U1418">_xlfn.IFS(T1418=1,"Poor",T1418=2,"Fair",T1418=3,"Good",T1418=4,"Excellent")</f>
        <v>Good</v>
      </c>
      <c r="V1418" s="5" t="s">
        <v>43</v>
      </c>
      <c r="W1418" s="5">
        <v>15</v>
      </c>
      <c r="X1418" s="28">
        <f t="shared" ca="1" si="249"/>
        <v>40632</v>
      </c>
      <c r="Y1418" s="28">
        <f t="shared" ca="1" si="250"/>
        <v>46476</v>
      </c>
      <c r="Z1418" s="28" t="str">
        <f t="shared" ca="1" si="251"/>
        <v>Due Soon</v>
      </c>
      <c r="AA1418" s="5" t="str" cm="1">
        <f t="array" ref="AA1418">_xlfn.IFS(W1418&gt;10,"Veteran",W1418&gt;=6,"Experienced",W1418&gt;=2,"Developing",W1418&gt;=0,"New")</f>
        <v>Veteran</v>
      </c>
      <c r="AB1418" s="5" t="str" cm="1">
        <f t="array" ref="AB1418">_xlfn.IFS(G1418=1,"Junior",G1418=2,"Mid-Level",G1418=3,"Senior",G1418=4,"Lead",G1418=5,"Principal")&amp;" "&amp;TRIM(PROPER(H1418))</f>
        <v>Mid-Level Sales Executive</v>
      </c>
      <c r="AC1418" s="19" t="str">
        <f t="shared" ca="1" si="252"/>
        <v>Sa-Sal-2011-1417 is a Mid-Level Sales Executive in the Sales department, aged 38, married and has been with the Company for 15years</v>
      </c>
    </row>
    <row r="1419" spans="1:29">
      <c r="A1419" s="18" t="str">
        <f t="shared" ca="1" si="242"/>
        <v>Sa-Sal-2024-1418</v>
      </c>
      <c r="B1419" s="5">
        <v>31</v>
      </c>
      <c r="C1419" s="5" t="str">
        <f t="shared" si="243"/>
        <v>30-39</v>
      </c>
      <c r="D1419" s="5" t="s">
        <v>43</v>
      </c>
      <c r="E1419" s="5" t="s">
        <v>37</v>
      </c>
      <c r="F1419" s="5" t="s">
        <v>46</v>
      </c>
      <c r="G1419" s="5">
        <v>1</v>
      </c>
      <c r="H1419" s="5" t="s">
        <v>57</v>
      </c>
      <c r="I1419" s="5" t="s">
        <v>48</v>
      </c>
      <c r="J1419" s="7">
        <v>3067</v>
      </c>
      <c r="K1419" s="7">
        <f t="shared" si="244"/>
        <v>460.05</v>
      </c>
      <c r="L1419" s="7">
        <f t="shared" si="245"/>
        <v>2606.9499999999998</v>
      </c>
      <c r="M1419" s="7">
        <v>6393</v>
      </c>
      <c r="N1419" s="5" t="s">
        <v>43</v>
      </c>
      <c r="O1419" s="5">
        <v>19</v>
      </c>
      <c r="P1419" s="7">
        <f t="shared" si="246"/>
        <v>3649.73</v>
      </c>
      <c r="Q1419" s="7">
        <f t="shared" si="247"/>
        <v>6992.76</v>
      </c>
      <c r="R1419" s="7" t="str">
        <f t="shared" si="248"/>
        <v>Normal</v>
      </c>
      <c r="S1419" s="5">
        <v>3</v>
      </c>
      <c r="T1419" s="5">
        <v>3</v>
      </c>
      <c r="U1419" s="5" t="str" cm="1">
        <f t="array" ref="U1419">_xlfn.IFS(T1419=1,"Poor",T1419=2,"Fair",T1419=3,"Good",T1419=4,"Excellent")</f>
        <v>Good</v>
      </c>
      <c r="V1419" s="5" t="s">
        <v>43</v>
      </c>
      <c r="W1419" s="5">
        <v>2</v>
      </c>
      <c r="X1419" s="28">
        <f t="shared" ca="1" si="249"/>
        <v>45381</v>
      </c>
      <c r="Y1419" s="28">
        <f t="shared" ca="1" si="250"/>
        <v>46842</v>
      </c>
      <c r="Z1419" s="28" t="str">
        <f t="shared" ca="1" si="251"/>
        <v>Upcoming</v>
      </c>
      <c r="AA1419" s="5" t="str" cm="1">
        <f t="array" ref="AA1419">_xlfn.IFS(W1419&gt;10,"Veteran",W1419&gt;=6,"Experienced",W1419&gt;=2,"Developing",W1419&gt;=0,"New")</f>
        <v>Developing</v>
      </c>
      <c r="AB1419" s="5" t="str" cm="1">
        <f t="array" ref="AB1419">_xlfn.IFS(G1419=1,"Junior",G1419=2,"Mid-Level",G1419=3,"Senior",G1419=4,"Lead",G1419=5,"Principal")&amp;" "&amp;TRIM(PROPER(H1419))</f>
        <v>Junior Sales Representative</v>
      </c>
      <c r="AC1419" s="19" t="str">
        <f t="shared" ca="1" si="252"/>
        <v>Sa-Sal-2024-1418 is a Junior Sales Representative in the Sales department, aged 31, married and has been with the Company for 2years</v>
      </c>
    </row>
    <row r="1420" spans="1:29">
      <c r="A1420" s="18" t="str">
        <f t="shared" ca="1" si="242"/>
        <v>Ma-Res-2018-1419</v>
      </c>
      <c r="B1420" s="5">
        <v>38</v>
      </c>
      <c r="C1420" s="5" t="str">
        <f t="shared" si="243"/>
        <v>30-39</v>
      </c>
      <c r="D1420" s="5" t="s">
        <v>43</v>
      </c>
      <c r="E1420" s="5" t="s">
        <v>45</v>
      </c>
      <c r="F1420" s="5" t="s">
        <v>46</v>
      </c>
      <c r="G1420" s="5">
        <v>2</v>
      </c>
      <c r="H1420" s="5" t="s">
        <v>53</v>
      </c>
      <c r="I1420" s="5" t="s">
        <v>48</v>
      </c>
      <c r="J1420" s="7">
        <v>5321</v>
      </c>
      <c r="K1420" s="7">
        <f t="shared" si="244"/>
        <v>798.15</v>
      </c>
      <c r="L1420" s="7">
        <f t="shared" si="245"/>
        <v>4522.8500000000004</v>
      </c>
      <c r="M1420" s="7">
        <v>14284</v>
      </c>
      <c r="N1420" s="5" t="s">
        <v>43</v>
      </c>
      <c r="O1420" s="5">
        <v>11</v>
      </c>
      <c r="P1420" s="7">
        <f t="shared" si="246"/>
        <v>5906.31</v>
      </c>
      <c r="Q1420" s="7">
        <f t="shared" si="247"/>
        <v>7023.7200000000048</v>
      </c>
      <c r="R1420" s="7" t="str">
        <f t="shared" si="248"/>
        <v>Normal</v>
      </c>
      <c r="S1420" s="5">
        <v>3</v>
      </c>
      <c r="T1420" s="5">
        <v>3</v>
      </c>
      <c r="U1420" s="5" t="str" cm="1">
        <f t="array" ref="U1420">_xlfn.IFS(T1420=1,"Poor",T1420=2,"Fair",T1420=3,"Good",T1420=4,"Excellent")</f>
        <v>Good</v>
      </c>
      <c r="V1420" s="5" t="s">
        <v>43</v>
      </c>
      <c r="W1420" s="5">
        <v>8</v>
      </c>
      <c r="X1420" s="28">
        <f t="shared" ca="1" si="249"/>
        <v>43189</v>
      </c>
      <c r="Y1420" s="28">
        <f t="shared" ca="1" si="250"/>
        <v>46842</v>
      </c>
      <c r="Z1420" s="28" t="str">
        <f t="shared" ca="1" si="251"/>
        <v>Upcoming</v>
      </c>
      <c r="AA1420" s="5" t="str" cm="1">
        <f t="array" ref="AA1420">_xlfn.IFS(W1420&gt;10,"Veteran",W1420&gt;=6,"Experienced",W1420&gt;=2,"Developing",W1420&gt;=0,"New")</f>
        <v>Experienced</v>
      </c>
      <c r="AB1420" s="5" t="str" cm="1">
        <f t="array" ref="AB1420">_xlfn.IFS(G1420=1,"Junior",G1420=2,"Mid-Level",G1420=3,"Senior",G1420=4,"Lead",G1420=5,"Principal")&amp;" "&amp;TRIM(PROPER(H1420))</f>
        <v>Mid-Level Manufacturing Director</v>
      </c>
      <c r="AC1420" s="19" t="str">
        <f t="shared" ca="1" si="252"/>
        <v>Ma-Res-2018-1419 is a Mid-Level Manufacturing Director in the Research &amp; Development department, aged 38, married and has been with the Company for 8years</v>
      </c>
    </row>
    <row r="1421" spans="1:29">
      <c r="A1421" s="18" t="str">
        <f t="shared" ca="1" si="242"/>
        <v>Re-Res-2022-1420</v>
      </c>
      <c r="B1421" s="5">
        <v>42</v>
      </c>
      <c r="C1421" s="5" t="str">
        <f t="shared" si="243"/>
        <v>40-49</v>
      </c>
      <c r="D1421" s="5" t="s">
        <v>43</v>
      </c>
      <c r="E1421" s="5" t="s">
        <v>45</v>
      </c>
      <c r="F1421" s="5" t="s">
        <v>46</v>
      </c>
      <c r="G1421" s="5">
        <v>2</v>
      </c>
      <c r="H1421" s="5" t="s">
        <v>47</v>
      </c>
      <c r="I1421" s="5" t="s">
        <v>52</v>
      </c>
      <c r="J1421" s="7">
        <v>5410</v>
      </c>
      <c r="K1421" s="7">
        <f t="shared" si="244"/>
        <v>811.5</v>
      </c>
      <c r="L1421" s="7">
        <f t="shared" si="245"/>
        <v>4598.5</v>
      </c>
      <c r="M1421" s="7">
        <v>11189</v>
      </c>
      <c r="N1421" s="5" t="s">
        <v>35</v>
      </c>
      <c r="O1421" s="5">
        <v>17</v>
      </c>
      <c r="P1421" s="7">
        <f t="shared" si="246"/>
        <v>6329.7</v>
      </c>
      <c r="Q1421" s="7">
        <f t="shared" si="247"/>
        <v>11036.399999999998</v>
      </c>
      <c r="R1421" s="7" t="str">
        <f t="shared" si="248"/>
        <v>Normal</v>
      </c>
      <c r="S1421" s="5">
        <v>3</v>
      </c>
      <c r="T1421" s="5">
        <v>2</v>
      </c>
      <c r="U1421" s="5" t="str" cm="1">
        <f t="array" ref="U1421">_xlfn.IFS(T1421=1,"Poor",T1421=2,"Fair",T1421=3,"Good",T1421=4,"Excellent")</f>
        <v>Fair</v>
      </c>
      <c r="V1421" s="5" t="s">
        <v>35</v>
      </c>
      <c r="W1421" s="5">
        <v>4</v>
      </c>
      <c r="X1421" s="28">
        <f t="shared" ca="1" si="249"/>
        <v>44650</v>
      </c>
      <c r="Y1421" s="28">
        <f t="shared" ca="1" si="250"/>
        <v>46842</v>
      </c>
      <c r="Z1421" s="28" t="str">
        <f t="shared" ca="1" si="251"/>
        <v>Upcoming</v>
      </c>
      <c r="AA1421" s="5" t="str" cm="1">
        <f t="array" ref="AA1421">_xlfn.IFS(W1421&gt;10,"Veteran",W1421&gt;=6,"Experienced",W1421&gt;=2,"Developing",W1421&gt;=0,"New")</f>
        <v>Developing</v>
      </c>
      <c r="AB1421" s="5" t="str" cm="1">
        <f t="array" ref="AB1421">_xlfn.IFS(G1421=1,"Junior",G1421=2,"Mid-Level",G1421=3,"Senior",G1421=4,"Lead",G1421=5,"Principal")&amp;" "&amp;TRIM(PROPER(H1421))</f>
        <v>Mid-Level Research Scientist</v>
      </c>
      <c r="AC1421" s="19" t="str">
        <f t="shared" ca="1" si="252"/>
        <v>Re-Res-2022-1420 is a Mid-Level Research Scientist in the Research &amp; Development department, aged 42, divorced and has been with the Company for 4years</v>
      </c>
    </row>
    <row r="1422" spans="1:29">
      <c r="A1422" s="18" t="str">
        <f t="shared" ca="1" si="242"/>
        <v>Re-Res-2021-1421</v>
      </c>
      <c r="B1422" s="5">
        <v>41</v>
      </c>
      <c r="C1422" s="5" t="str">
        <f t="shared" si="243"/>
        <v>40-49</v>
      </c>
      <c r="D1422" s="5" t="s">
        <v>43</v>
      </c>
      <c r="E1422" s="5" t="s">
        <v>45</v>
      </c>
      <c r="F1422" s="5" t="s">
        <v>46</v>
      </c>
      <c r="G1422" s="5">
        <v>1</v>
      </c>
      <c r="H1422" s="5" t="s">
        <v>47</v>
      </c>
      <c r="I1422" s="5" t="s">
        <v>48</v>
      </c>
      <c r="J1422" s="7">
        <v>2782</v>
      </c>
      <c r="K1422" s="7">
        <f t="shared" si="244"/>
        <v>194.74</v>
      </c>
      <c r="L1422" s="7">
        <f t="shared" si="245"/>
        <v>2587.2600000000002</v>
      </c>
      <c r="M1422" s="7">
        <v>21412</v>
      </c>
      <c r="N1422" s="5" t="s">
        <v>43</v>
      </c>
      <c r="O1422" s="5">
        <v>22</v>
      </c>
      <c r="P1422" s="7">
        <f t="shared" si="246"/>
        <v>3394.04</v>
      </c>
      <c r="Q1422" s="7">
        <f t="shared" si="247"/>
        <v>7344.48</v>
      </c>
      <c r="R1422" s="7" t="str">
        <f t="shared" si="248"/>
        <v>Normal</v>
      </c>
      <c r="S1422" s="5">
        <v>4</v>
      </c>
      <c r="T1422" s="5">
        <v>3</v>
      </c>
      <c r="U1422" s="5" t="str" cm="1">
        <f t="array" ref="U1422">_xlfn.IFS(T1422=1,"Poor",T1422=2,"Fair",T1422=3,"Good",T1422=4,"Excellent")</f>
        <v>Good</v>
      </c>
      <c r="V1422" s="5" t="s">
        <v>43</v>
      </c>
      <c r="W1422" s="5">
        <v>5</v>
      </c>
      <c r="X1422" s="28">
        <f t="shared" ca="1" si="249"/>
        <v>44285</v>
      </c>
      <c r="Y1422" s="28">
        <f t="shared" ca="1" si="250"/>
        <v>46476</v>
      </c>
      <c r="Z1422" s="28" t="str">
        <f t="shared" ca="1" si="251"/>
        <v>Due Soon</v>
      </c>
      <c r="AA1422" s="5" t="str" cm="1">
        <f t="array" ref="AA1422">_xlfn.IFS(W1422&gt;10,"Veteran",W1422&gt;=6,"Experienced",W1422&gt;=2,"Developing",W1422&gt;=0,"New")</f>
        <v>Developing</v>
      </c>
      <c r="AB1422" s="5" t="str" cm="1">
        <f t="array" ref="AB1422">_xlfn.IFS(G1422=1,"Junior",G1422=2,"Mid-Level",G1422=3,"Senior",G1422=4,"Lead",G1422=5,"Principal")&amp;" "&amp;TRIM(PROPER(H1422))</f>
        <v>Junior Research Scientist</v>
      </c>
      <c r="AC1422" s="19" t="str">
        <f t="shared" ca="1" si="252"/>
        <v>Re-Res-2021-1421 is a Junior Research Scientist in the Research &amp; Development department, aged 41, married and has been with the Company for 5years</v>
      </c>
    </row>
    <row r="1423" spans="1:29">
      <c r="A1423" s="18" t="str">
        <f t="shared" ca="1" si="242"/>
        <v>Re-Res-2013-1422</v>
      </c>
      <c r="B1423" s="5">
        <v>47</v>
      </c>
      <c r="C1423" s="5" t="str">
        <f t="shared" si="243"/>
        <v>40-49</v>
      </c>
      <c r="D1423" s="5" t="s">
        <v>43</v>
      </c>
      <c r="E1423" s="5" t="s">
        <v>45</v>
      </c>
      <c r="F1423" s="5" t="s">
        <v>39</v>
      </c>
      <c r="G1423" s="5">
        <v>3</v>
      </c>
      <c r="H1423" s="5" t="s">
        <v>58</v>
      </c>
      <c r="I1423" s="5" t="s">
        <v>48</v>
      </c>
      <c r="J1423" s="7">
        <v>11957</v>
      </c>
      <c r="K1423" s="7">
        <f t="shared" si="244"/>
        <v>2630.54</v>
      </c>
      <c r="L1423" s="7">
        <f t="shared" si="245"/>
        <v>9326.4599999999991</v>
      </c>
      <c r="M1423" s="7">
        <v>17231</v>
      </c>
      <c r="N1423" s="5" t="s">
        <v>43</v>
      </c>
      <c r="O1423" s="5">
        <v>18</v>
      </c>
      <c r="P1423" s="7">
        <f t="shared" si="246"/>
        <v>14109.259999999998</v>
      </c>
      <c r="Q1423" s="7">
        <f t="shared" si="247"/>
        <v>25827.119999999981</v>
      </c>
      <c r="R1423" s="7" t="str">
        <f t="shared" si="248"/>
        <v>Normal</v>
      </c>
      <c r="S1423" s="5">
        <v>3</v>
      </c>
      <c r="T1423" s="5">
        <v>1</v>
      </c>
      <c r="U1423" s="5" t="str" cm="1">
        <f t="array" ref="U1423">_xlfn.IFS(T1423=1,"Poor",T1423=2,"Fair",T1423=3,"Good",T1423=4,"Excellent")</f>
        <v>Poor</v>
      </c>
      <c r="V1423" s="5" t="s">
        <v>43</v>
      </c>
      <c r="W1423" s="5">
        <v>13</v>
      </c>
      <c r="X1423" s="28">
        <f t="shared" ca="1" si="249"/>
        <v>41363</v>
      </c>
      <c r="Y1423" s="28">
        <f t="shared" ca="1" si="250"/>
        <v>46476</v>
      </c>
      <c r="Z1423" s="28" t="str">
        <f t="shared" ca="1" si="251"/>
        <v>Due Soon</v>
      </c>
      <c r="AA1423" s="5" t="str" cm="1">
        <f t="array" ref="AA1423">_xlfn.IFS(W1423&gt;10,"Veteran",W1423&gt;=6,"Experienced",W1423&gt;=2,"Developing",W1423&gt;=0,"New")</f>
        <v>Veteran</v>
      </c>
      <c r="AB1423" s="5" t="str" cm="1">
        <f t="array" ref="AB1423">_xlfn.IFS(G1423=1,"Junior",G1423=2,"Mid-Level",G1423=3,"Senior",G1423=4,"Lead",G1423=5,"Principal")&amp;" "&amp;TRIM(PROPER(H1423))</f>
        <v>Senior Research Director</v>
      </c>
      <c r="AC1423" s="19" t="str">
        <f t="shared" ca="1" si="252"/>
        <v>Re-Res-2013-1422 is a Senior Research Director in the Research &amp; Development department, aged 47, married and has been with the Company for 13years</v>
      </c>
    </row>
    <row r="1424" spans="1:29">
      <c r="A1424" s="18" t="str">
        <f t="shared" ca="1" si="242"/>
        <v>La-Res-2024-1423</v>
      </c>
      <c r="B1424" s="5">
        <v>35</v>
      </c>
      <c r="C1424" s="5" t="str">
        <f t="shared" si="243"/>
        <v>30-39</v>
      </c>
      <c r="D1424" s="5" t="s">
        <v>43</v>
      </c>
      <c r="E1424" s="5" t="s">
        <v>45</v>
      </c>
      <c r="F1424" s="5" t="s">
        <v>46</v>
      </c>
      <c r="G1424" s="5">
        <v>1</v>
      </c>
      <c r="H1424" s="5" t="s">
        <v>50</v>
      </c>
      <c r="I1424" s="5" t="s">
        <v>48</v>
      </c>
      <c r="J1424" s="7">
        <v>2660</v>
      </c>
      <c r="K1424" s="7">
        <f t="shared" si="244"/>
        <v>186.20000000000002</v>
      </c>
      <c r="L1424" s="7">
        <f t="shared" si="245"/>
        <v>2473.8000000000002</v>
      </c>
      <c r="M1424" s="7">
        <v>20232</v>
      </c>
      <c r="N1424" s="5" t="s">
        <v>35</v>
      </c>
      <c r="O1424" s="5">
        <v>11</v>
      </c>
      <c r="P1424" s="7">
        <f t="shared" si="246"/>
        <v>2952.6000000000004</v>
      </c>
      <c r="Q1424" s="7">
        <f t="shared" si="247"/>
        <v>3511.2000000000044</v>
      </c>
      <c r="R1424" s="7" t="str">
        <f t="shared" si="248"/>
        <v>Normal</v>
      </c>
      <c r="S1424" s="5">
        <v>3</v>
      </c>
      <c r="T1424" s="5">
        <v>3</v>
      </c>
      <c r="U1424" s="5" t="str" cm="1">
        <f t="array" ref="U1424">_xlfn.IFS(T1424=1,"Poor",T1424=2,"Fair",T1424=3,"Good",T1424=4,"Excellent")</f>
        <v>Good</v>
      </c>
      <c r="V1424" s="5" t="s">
        <v>35</v>
      </c>
      <c r="W1424" s="5">
        <v>2</v>
      </c>
      <c r="X1424" s="28">
        <f t="shared" ca="1" si="249"/>
        <v>45381</v>
      </c>
      <c r="Y1424" s="28">
        <f t="shared" ca="1" si="250"/>
        <v>46842</v>
      </c>
      <c r="Z1424" s="28" t="str">
        <f t="shared" ca="1" si="251"/>
        <v>Upcoming</v>
      </c>
      <c r="AA1424" s="5" t="str" cm="1">
        <f t="array" ref="AA1424">_xlfn.IFS(W1424&gt;10,"Veteran",W1424&gt;=6,"Experienced",W1424&gt;=2,"Developing",W1424&gt;=0,"New")</f>
        <v>Developing</v>
      </c>
      <c r="AB1424" s="5" t="str" cm="1">
        <f t="array" ref="AB1424">_xlfn.IFS(G1424=1,"Junior",G1424=2,"Mid-Level",G1424=3,"Senior",G1424=4,"Lead",G1424=5,"Principal")&amp;" "&amp;TRIM(PROPER(H1424))</f>
        <v>Junior Laboratory Technician</v>
      </c>
      <c r="AC1424" s="19" t="str">
        <f t="shared" ca="1" si="252"/>
        <v>La-Res-2024-1423 is a Junior Laboratory Technician in the Research &amp; Development department, aged 35, married and has been with the Company for 2years</v>
      </c>
    </row>
    <row r="1425" spans="1:29">
      <c r="A1425" s="18" t="str">
        <f t="shared" ca="1" si="242"/>
        <v>Re-Res-2023-1424</v>
      </c>
      <c r="B1425" s="5">
        <v>22</v>
      </c>
      <c r="C1425" s="5" t="str">
        <f t="shared" si="243"/>
        <v>20-29</v>
      </c>
      <c r="D1425" s="5" t="s">
        <v>43</v>
      </c>
      <c r="E1425" s="5" t="s">
        <v>45</v>
      </c>
      <c r="F1425" s="5" t="s">
        <v>46</v>
      </c>
      <c r="G1425" s="5">
        <v>1</v>
      </c>
      <c r="H1425" s="5" t="s">
        <v>47</v>
      </c>
      <c r="I1425" s="5" t="s">
        <v>41</v>
      </c>
      <c r="J1425" s="7">
        <v>3375</v>
      </c>
      <c r="K1425" s="7">
        <f t="shared" si="244"/>
        <v>506.25</v>
      </c>
      <c r="L1425" s="7">
        <f t="shared" si="245"/>
        <v>2868.75</v>
      </c>
      <c r="M1425" s="7">
        <v>17624</v>
      </c>
      <c r="N1425" s="5" t="s">
        <v>43</v>
      </c>
      <c r="O1425" s="5">
        <v>12</v>
      </c>
      <c r="P1425" s="7">
        <f t="shared" si="246"/>
        <v>3780.0000000000005</v>
      </c>
      <c r="Q1425" s="7">
        <f t="shared" si="247"/>
        <v>4860.0000000000055</v>
      </c>
      <c r="R1425" s="7" t="str">
        <f t="shared" si="248"/>
        <v>Normal</v>
      </c>
      <c r="S1425" s="5">
        <v>3</v>
      </c>
      <c r="T1425" s="5">
        <v>4</v>
      </c>
      <c r="U1425" s="5" t="str" cm="1">
        <f t="array" ref="U1425">_xlfn.IFS(T1425=1,"Poor",T1425=2,"Fair",T1425=3,"Good",T1425=4,"Excellent")</f>
        <v>Excellent</v>
      </c>
      <c r="V1425" s="5" t="s">
        <v>43</v>
      </c>
      <c r="W1425" s="5">
        <v>3</v>
      </c>
      <c r="X1425" s="28">
        <f t="shared" ca="1" si="249"/>
        <v>45015</v>
      </c>
      <c r="Y1425" s="28">
        <f t="shared" ca="1" si="250"/>
        <v>46476</v>
      </c>
      <c r="Z1425" s="28" t="str">
        <f t="shared" ca="1" si="251"/>
        <v>Due Soon</v>
      </c>
      <c r="AA1425" s="5" t="str" cm="1">
        <f t="array" ref="AA1425">_xlfn.IFS(W1425&gt;10,"Veteran",W1425&gt;=6,"Experienced",W1425&gt;=2,"Developing",W1425&gt;=0,"New")</f>
        <v>Developing</v>
      </c>
      <c r="AB1425" s="5" t="str" cm="1">
        <f t="array" ref="AB1425">_xlfn.IFS(G1425=1,"Junior",G1425=2,"Mid-Level",G1425=3,"Senior",G1425=4,"Lead",G1425=5,"Principal")&amp;" "&amp;TRIM(PROPER(H1425))</f>
        <v>Junior Research Scientist</v>
      </c>
      <c r="AC1425" s="19" t="str">
        <f t="shared" ca="1" si="252"/>
        <v>Re-Res-2023-1424 is a Junior Research Scientist in the Research &amp; Development department, aged 22, single and has been with the Company for 3years</v>
      </c>
    </row>
    <row r="1426" spans="1:29">
      <c r="A1426" s="18" t="str">
        <f t="shared" ca="1" si="242"/>
        <v>Re-Res-2016-1425</v>
      </c>
      <c r="B1426" s="5">
        <v>35</v>
      </c>
      <c r="C1426" s="5" t="str">
        <f t="shared" si="243"/>
        <v>30-39</v>
      </c>
      <c r="D1426" s="5" t="s">
        <v>43</v>
      </c>
      <c r="E1426" s="5" t="s">
        <v>45</v>
      </c>
      <c r="F1426" s="5" t="s">
        <v>46</v>
      </c>
      <c r="G1426" s="5">
        <v>2</v>
      </c>
      <c r="H1426" s="5" t="s">
        <v>47</v>
      </c>
      <c r="I1426" s="5" t="s">
        <v>41</v>
      </c>
      <c r="J1426" s="7">
        <v>5098</v>
      </c>
      <c r="K1426" s="7">
        <f t="shared" si="244"/>
        <v>764.69999999999993</v>
      </c>
      <c r="L1426" s="7">
        <f t="shared" si="245"/>
        <v>4333.3</v>
      </c>
      <c r="M1426" s="7">
        <v>18698</v>
      </c>
      <c r="N1426" s="5" t="s">
        <v>43</v>
      </c>
      <c r="O1426" s="5">
        <v>19</v>
      </c>
      <c r="P1426" s="7">
        <f t="shared" si="246"/>
        <v>6066.62</v>
      </c>
      <c r="Q1426" s="7">
        <f t="shared" si="247"/>
        <v>11623.439999999999</v>
      </c>
      <c r="R1426" s="7" t="str">
        <f t="shared" si="248"/>
        <v>Normal</v>
      </c>
      <c r="S1426" s="5">
        <v>3</v>
      </c>
      <c r="T1426" s="5">
        <v>3</v>
      </c>
      <c r="U1426" s="5" t="str" cm="1">
        <f t="array" ref="U1426">_xlfn.IFS(T1426=1,"Poor",T1426=2,"Fair",T1426=3,"Good",T1426=4,"Excellent")</f>
        <v>Good</v>
      </c>
      <c r="V1426" s="5" t="s">
        <v>43</v>
      </c>
      <c r="W1426" s="5">
        <v>10</v>
      </c>
      <c r="X1426" s="28">
        <f t="shared" ca="1" si="249"/>
        <v>42459</v>
      </c>
      <c r="Y1426" s="28">
        <f t="shared" ca="1" si="250"/>
        <v>46842</v>
      </c>
      <c r="Z1426" s="28" t="str">
        <f t="shared" ca="1" si="251"/>
        <v>Upcoming</v>
      </c>
      <c r="AA1426" s="5" t="str" cm="1">
        <f t="array" ref="AA1426">_xlfn.IFS(W1426&gt;10,"Veteran",W1426&gt;=6,"Experienced",W1426&gt;=2,"Developing",W1426&gt;=0,"New")</f>
        <v>Experienced</v>
      </c>
      <c r="AB1426" s="5" t="str" cm="1">
        <f t="array" ref="AB1426">_xlfn.IFS(G1426=1,"Junior",G1426=2,"Mid-Level",G1426=3,"Senior",G1426=4,"Lead",G1426=5,"Principal")&amp;" "&amp;TRIM(PROPER(H1426))</f>
        <v>Mid-Level Research Scientist</v>
      </c>
      <c r="AC1426" s="19" t="str">
        <f t="shared" ca="1" si="252"/>
        <v>Re-Res-2016-1425 is a Mid-Level Research Scientist in the Research &amp; Development department, aged 35, single and has been with the Company for 10years</v>
      </c>
    </row>
    <row r="1427" spans="1:29">
      <c r="A1427" s="18" t="str">
        <f t="shared" ca="1" si="242"/>
        <v>He-Res-2017-1426</v>
      </c>
      <c r="B1427" s="5">
        <v>33</v>
      </c>
      <c r="C1427" s="5" t="str">
        <f t="shared" si="243"/>
        <v>30-39</v>
      </c>
      <c r="D1427" s="5" t="s">
        <v>43</v>
      </c>
      <c r="E1427" s="5" t="s">
        <v>45</v>
      </c>
      <c r="F1427" s="5" t="s">
        <v>39</v>
      </c>
      <c r="G1427" s="5">
        <v>2</v>
      </c>
      <c r="H1427" s="5" t="s">
        <v>54</v>
      </c>
      <c r="I1427" s="5" t="s">
        <v>48</v>
      </c>
      <c r="J1427" s="7">
        <v>4878</v>
      </c>
      <c r="K1427" s="7">
        <f t="shared" si="244"/>
        <v>731.69999999999993</v>
      </c>
      <c r="L1427" s="7">
        <f t="shared" si="245"/>
        <v>4146.3</v>
      </c>
      <c r="M1427" s="7">
        <v>21653</v>
      </c>
      <c r="N1427" s="5" t="s">
        <v>35</v>
      </c>
      <c r="O1427" s="5">
        <v>13</v>
      </c>
      <c r="P1427" s="7">
        <f t="shared" si="246"/>
        <v>5512.1399999999994</v>
      </c>
      <c r="Q1427" s="7">
        <f t="shared" si="247"/>
        <v>7609.679999999993</v>
      </c>
      <c r="R1427" s="7" t="str">
        <f t="shared" si="248"/>
        <v>Normal</v>
      </c>
      <c r="S1427" s="5">
        <v>3</v>
      </c>
      <c r="T1427" s="5">
        <v>3</v>
      </c>
      <c r="U1427" s="5" t="str" cm="1">
        <f t="array" ref="U1427">_xlfn.IFS(T1427=1,"Poor",T1427=2,"Fair",T1427=3,"Good",T1427=4,"Excellent")</f>
        <v>Good</v>
      </c>
      <c r="V1427" s="5" t="s">
        <v>35</v>
      </c>
      <c r="W1427" s="5">
        <v>9</v>
      </c>
      <c r="X1427" s="28">
        <f t="shared" ca="1" si="249"/>
        <v>42824</v>
      </c>
      <c r="Y1427" s="28">
        <f t="shared" ca="1" si="250"/>
        <v>46476</v>
      </c>
      <c r="Z1427" s="28" t="str">
        <f t="shared" ca="1" si="251"/>
        <v>Due Soon</v>
      </c>
      <c r="AA1427" s="5" t="str" cm="1">
        <f t="array" ref="AA1427">_xlfn.IFS(W1427&gt;10,"Veteran",W1427&gt;=6,"Experienced",W1427&gt;=2,"Developing",W1427&gt;=0,"New")</f>
        <v>Experienced</v>
      </c>
      <c r="AB1427" s="5" t="str" cm="1">
        <f t="array" ref="AB1427">_xlfn.IFS(G1427=1,"Junior",G1427=2,"Mid-Level",G1427=3,"Senior",G1427=4,"Lead",G1427=5,"Principal")&amp;" "&amp;TRIM(PROPER(H1427))</f>
        <v>Mid-Level Healthcare Representative</v>
      </c>
      <c r="AC1427" s="19" t="str">
        <f t="shared" ca="1" si="252"/>
        <v>He-Res-2017-1426 is a Mid-Level Healthcare Representative in the Research &amp; Development department, aged 33, married and has been with the Company for 9years</v>
      </c>
    </row>
    <row r="1428" spans="1:29">
      <c r="A1428" s="18" t="str">
        <f t="shared" ca="1" si="242"/>
        <v>La-Res-2020-1427</v>
      </c>
      <c r="B1428" s="5">
        <v>32</v>
      </c>
      <c r="C1428" s="5" t="str">
        <f t="shared" si="243"/>
        <v>30-39</v>
      </c>
      <c r="D1428" s="5" t="s">
        <v>43</v>
      </c>
      <c r="E1428" s="5" t="s">
        <v>45</v>
      </c>
      <c r="F1428" s="5" t="s">
        <v>39</v>
      </c>
      <c r="G1428" s="5">
        <v>1</v>
      </c>
      <c r="H1428" s="5" t="s">
        <v>50</v>
      </c>
      <c r="I1428" s="5" t="s">
        <v>41</v>
      </c>
      <c r="J1428" s="7">
        <v>2837</v>
      </c>
      <c r="K1428" s="7">
        <f t="shared" si="244"/>
        <v>198.59000000000003</v>
      </c>
      <c r="L1428" s="7">
        <f t="shared" si="245"/>
        <v>2638.41</v>
      </c>
      <c r="M1428" s="7">
        <v>15919</v>
      </c>
      <c r="N1428" s="5" t="s">
        <v>43</v>
      </c>
      <c r="O1428" s="5">
        <v>13</v>
      </c>
      <c r="P1428" s="7">
        <f t="shared" si="246"/>
        <v>3205.8099999999995</v>
      </c>
      <c r="Q1428" s="7">
        <f t="shared" si="247"/>
        <v>4425.7199999999939</v>
      </c>
      <c r="R1428" s="7" t="str">
        <f t="shared" si="248"/>
        <v>Normal</v>
      </c>
      <c r="S1428" s="5">
        <v>3</v>
      </c>
      <c r="T1428" s="5">
        <v>3</v>
      </c>
      <c r="U1428" s="5" t="str" cm="1">
        <f t="array" ref="U1428">_xlfn.IFS(T1428=1,"Poor",T1428=2,"Fair",T1428=3,"Good",T1428=4,"Excellent")</f>
        <v>Good</v>
      </c>
      <c r="V1428" s="5" t="s">
        <v>43</v>
      </c>
      <c r="W1428" s="5">
        <v>6</v>
      </c>
      <c r="X1428" s="28">
        <f t="shared" ca="1" si="249"/>
        <v>43920</v>
      </c>
      <c r="Y1428" s="28">
        <f t="shared" ca="1" si="250"/>
        <v>46842</v>
      </c>
      <c r="Z1428" s="28" t="str">
        <f t="shared" ca="1" si="251"/>
        <v>Upcoming</v>
      </c>
      <c r="AA1428" s="5" t="str" cm="1">
        <f t="array" ref="AA1428">_xlfn.IFS(W1428&gt;10,"Veteran",W1428&gt;=6,"Experienced",W1428&gt;=2,"Developing",W1428&gt;=0,"New")</f>
        <v>Experienced</v>
      </c>
      <c r="AB1428" s="5" t="str" cm="1">
        <f t="array" ref="AB1428">_xlfn.IFS(G1428=1,"Junior",G1428=2,"Mid-Level",G1428=3,"Senior",G1428=4,"Lead",G1428=5,"Principal")&amp;" "&amp;TRIM(PROPER(H1428))</f>
        <v>Junior Laboratory Technician</v>
      </c>
      <c r="AC1428" s="19" t="str">
        <f t="shared" ca="1" si="252"/>
        <v>La-Res-2020-1427 is a Junior Laboratory Technician in the Research &amp; Development department, aged 32, single and has been with the Company for 6years</v>
      </c>
    </row>
    <row r="1429" spans="1:29">
      <c r="A1429" s="18" t="str">
        <f t="shared" ca="1" si="242"/>
        <v>La-Res-2025-1428</v>
      </c>
      <c r="B1429" s="5">
        <v>40</v>
      </c>
      <c r="C1429" s="5" t="str">
        <f t="shared" si="243"/>
        <v>40-49</v>
      </c>
      <c r="D1429" s="5" t="s">
        <v>43</v>
      </c>
      <c r="E1429" s="5" t="s">
        <v>45</v>
      </c>
      <c r="F1429" s="5" t="s">
        <v>46</v>
      </c>
      <c r="G1429" s="5">
        <v>1</v>
      </c>
      <c r="H1429" s="5" t="s">
        <v>50</v>
      </c>
      <c r="I1429" s="5" t="s">
        <v>48</v>
      </c>
      <c r="J1429" s="7">
        <v>2406</v>
      </c>
      <c r="K1429" s="7">
        <f t="shared" si="244"/>
        <v>168.42000000000002</v>
      </c>
      <c r="L1429" s="7">
        <f t="shared" si="245"/>
        <v>2237.58</v>
      </c>
      <c r="M1429" s="7">
        <v>4060</v>
      </c>
      <c r="N1429" s="5" t="s">
        <v>43</v>
      </c>
      <c r="O1429" s="5">
        <v>19</v>
      </c>
      <c r="P1429" s="7">
        <f t="shared" si="246"/>
        <v>2863.14</v>
      </c>
      <c r="Q1429" s="7">
        <f t="shared" si="247"/>
        <v>5485.6799999999985</v>
      </c>
      <c r="R1429" s="7" t="str">
        <f t="shared" si="248"/>
        <v>Normal</v>
      </c>
      <c r="S1429" s="5">
        <v>3</v>
      </c>
      <c r="T1429" s="5">
        <v>2</v>
      </c>
      <c r="U1429" s="5" t="str" cm="1">
        <f t="array" ref="U1429">_xlfn.IFS(T1429=1,"Poor",T1429=2,"Fair",T1429=3,"Good",T1429=4,"Excellent")</f>
        <v>Fair</v>
      </c>
      <c r="V1429" s="5" t="s">
        <v>43</v>
      </c>
      <c r="W1429" s="5">
        <v>1</v>
      </c>
      <c r="X1429" s="28">
        <f t="shared" ca="1" si="249"/>
        <v>45746</v>
      </c>
      <c r="Y1429" s="28">
        <f t="shared" ca="1" si="250"/>
        <v>46476</v>
      </c>
      <c r="Z1429" s="28" t="str">
        <f t="shared" ca="1" si="251"/>
        <v>Due Soon</v>
      </c>
      <c r="AA1429" s="5" t="str" cm="1">
        <f t="array" ref="AA1429">_xlfn.IFS(W1429&gt;10,"Veteran",W1429&gt;=6,"Experienced",W1429&gt;=2,"Developing",W1429&gt;=0,"New")</f>
        <v>New</v>
      </c>
      <c r="AB1429" s="5" t="str" cm="1">
        <f t="array" ref="AB1429">_xlfn.IFS(G1429=1,"Junior",G1429=2,"Mid-Level",G1429=3,"Senior",G1429=4,"Lead",G1429=5,"Principal")&amp;" "&amp;TRIM(PROPER(H1429))</f>
        <v>Junior Laboratory Technician</v>
      </c>
      <c r="AC1429" s="19" t="str">
        <f t="shared" ca="1" si="252"/>
        <v>La-Res-2025-1428 is a Junior Laboratory Technician in the Research &amp; Development department, aged 40, married and has been with the Company for 1years</v>
      </c>
    </row>
    <row r="1430" spans="1:29">
      <c r="A1430" s="18" t="str">
        <f t="shared" ca="1" si="242"/>
        <v>Sa-Sal-2024-1429</v>
      </c>
      <c r="B1430" s="5">
        <v>32</v>
      </c>
      <c r="C1430" s="5" t="str">
        <f t="shared" si="243"/>
        <v>30-39</v>
      </c>
      <c r="D1430" s="5" t="s">
        <v>43</v>
      </c>
      <c r="E1430" s="5" t="s">
        <v>37</v>
      </c>
      <c r="F1430" s="5" t="s">
        <v>46</v>
      </c>
      <c r="G1430" s="5">
        <v>1</v>
      </c>
      <c r="H1430" s="5" t="s">
        <v>57</v>
      </c>
      <c r="I1430" s="5" t="s">
        <v>48</v>
      </c>
      <c r="J1430" s="7">
        <v>2269</v>
      </c>
      <c r="K1430" s="7">
        <f t="shared" si="244"/>
        <v>158.83000000000001</v>
      </c>
      <c r="L1430" s="7">
        <f t="shared" si="245"/>
        <v>2110.17</v>
      </c>
      <c r="M1430" s="7">
        <v>18024</v>
      </c>
      <c r="N1430" s="5" t="s">
        <v>43</v>
      </c>
      <c r="O1430" s="5">
        <v>14</v>
      </c>
      <c r="P1430" s="7">
        <f t="shared" si="246"/>
        <v>2586.6600000000003</v>
      </c>
      <c r="Q1430" s="7">
        <f t="shared" si="247"/>
        <v>3811.9200000000037</v>
      </c>
      <c r="R1430" s="7" t="str">
        <f t="shared" si="248"/>
        <v>Normal</v>
      </c>
      <c r="S1430" s="5">
        <v>3</v>
      </c>
      <c r="T1430" s="5">
        <v>3</v>
      </c>
      <c r="U1430" s="5" t="str" cm="1">
        <f t="array" ref="U1430">_xlfn.IFS(T1430=1,"Poor",T1430=2,"Fair",T1430=3,"Good",T1430=4,"Excellent")</f>
        <v>Good</v>
      </c>
      <c r="V1430" s="5" t="s">
        <v>43</v>
      </c>
      <c r="W1430" s="5">
        <v>2</v>
      </c>
      <c r="X1430" s="28">
        <f t="shared" ca="1" si="249"/>
        <v>45381</v>
      </c>
      <c r="Y1430" s="28">
        <f t="shared" ca="1" si="250"/>
        <v>46842</v>
      </c>
      <c r="Z1430" s="28" t="str">
        <f t="shared" ca="1" si="251"/>
        <v>Upcoming</v>
      </c>
      <c r="AA1430" s="5" t="str" cm="1">
        <f t="array" ref="AA1430">_xlfn.IFS(W1430&gt;10,"Veteran",W1430&gt;=6,"Experienced",W1430&gt;=2,"Developing",W1430&gt;=0,"New")</f>
        <v>Developing</v>
      </c>
      <c r="AB1430" s="5" t="str" cm="1">
        <f t="array" ref="AB1430">_xlfn.IFS(G1430=1,"Junior",G1430=2,"Mid-Level",G1430=3,"Senior",G1430=4,"Lead",G1430=5,"Principal")&amp;" "&amp;TRIM(PROPER(H1430))</f>
        <v>Junior Sales Representative</v>
      </c>
      <c r="AC1430" s="19" t="str">
        <f t="shared" ca="1" si="252"/>
        <v>Sa-Sal-2024-1429 is a Junior Sales Representative in the Sales department, aged 32, married and has been with the Company for 2years</v>
      </c>
    </row>
    <row r="1431" spans="1:29">
      <c r="A1431" s="18" t="str">
        <f t="shared" ca="1" si="242"/>
        <v>Re-Res-2019-1430</v>
      </c>
      <c r="B1431" s="5">
        <v>39</v>
      </c>
      <c r="C1431" s="5" t="str">
        <f t="shared" si="243"/>
        <v>30-39</v>
      </c>
      <c r="D1431" s="5" t="s">
        <v>43</v>
      </c>
      <c r="E1431" s="5" t="s">
        <v>45</v>
      </c>
      <c r="F1431" s="5" t="s">
        <v>46</v>
      </c>
      <c r="G1431" s="5">
        <v>2</v>
      </c>
      <c r="H1431" s="5" t="s">
        <v>47</v>
      </c>
      <c r="I1431" s="5" t="s">
        <v>41</v>
      </c>
      <c r="J1431" s="7">
        <v>4108</v>
      </c>
      <c r="K1431" s="7">
        <f t="shared" si="244"/>
        <v>616.19999999999993</v>
      </c>
      <c r="L1431" s="7">
        <f t="shared" si="245"/>
        <v>3491.8</v>
      </c>
      <c r="M1431" s="7">
        <v>5340</v>
      </c>
      <c r="N1431" s="5" t="s">
        <v>43</v>
      </c>
      <c r="O1431" s="5">
        <v>13</v>
      </c>
      <c r="P1431" s="7">
        <f t="shared" si="246"/>
        <v>4642.04</v>
      </c>
      <c r="Q1431" s="7">
        <f t="shared" si="247"/>
        <v>6408.48</v>
      </c>
      <c r="R1431" s="7" t="str">
        <f t="shared" si="248"/>
        <v>Normal</v>
      </c>
      <c r="S1431" s="5">
        <v>3</v>
      </c>
      <c r="T1431" s="5">
        <v>3</v>
      </c>
      <c r="U1431" s="5" t="str" cm="1">
        <f t="array" ref="U1431">_xlfn.IFS(T1431=1,"Poor",T1431=2,"Fair",T1431=3,"Good",T1431=4,"Excellent")</f>
        <v>Good</v>
      </c>
      <c r="V1431" s="5" t="s">
        <v>43</v>
      </c>
      <c r="W1431" s="5">
        <v>7</v>
      </c>
      <c r="X1431" s="28">
        <f t="shared" ca="1" si="249"/>
        <v>43554</v>
      </c>
      <c r="Y1431" s="28">
        <f t="shared" ca="1" si="250"/>
        <v>46476</v>
      </c>
      <c r="Z1431" s="28" t="str">
        <f t="shared" ca="1" si="251"/>
        <v>Due Soon</v>
      </c>
      <c r="AA1431" s="5" t="str" cm="1">
        <f t="array" ref="AA1431">_xlfn.IFS(W1431&gt;10,"Veteran",W1431&gt;=6,"Experienced",W1431&gt;=2,"Developing",W1431&gt;=0,"New")</f>
        <v>Experienced</v>
      </c>
      <c r="AB1431" s="5" t="str" cm="1">
        <f t="array" ref="AB1431">_xlfn.IFS(G1431=1,"Junior",G1431=2,"Mid-Level",G1431=3,"Senior",G1431=4,"Lead",G1431=5,"Principal")&amp;" "&amp;TRIM(PROPER(H1431))</f>
        <v>Mid-Level Research Scientist</v>
      </c>
      <c r="AC1431" s="19" t="str">
        <f t="shared" ca="1" si="252"/>
        <v>Re-Res-2019-1430 is a Mid-Level Research Scientist in the Research &amp; Development department, aged 39, single and has been with the Company for 7years</v>
      </c>
    </row>
    <row r="1432" spans="1:29">
      <c r="A1432" s="18" t="str">
        <f t="shared" ca="1" si="242"/>
        <v>Re-Res-2008-1431</v>
      </c>
      <c r="B1432" s="5">
        <v>38</v>
      </c>
      <c r="C1432" s="5" t="str">
        <f t="shared" si="243"/>
        <v>30-39</v>
      </c>
      <c r="D1432" s="5" t="s">
        <v>43</v>
      </c>
      <c r="E1432" s="5" t="s">
        <v>45</v>
      </c>
      <c r="F1432" s="5" t="s">
        <v>39</v>
      </c>
      <c r="G1432" s="5">
        <v>3</v>
      </c>
      <c r="H1432" s="5" t="s">
        <v>58</v>
      </c>
      <c r="I1432" s="5" t="s">
        <v>48</v>
      </c>
      <c r="J1432" s="7">
        <v>13206</v>
      </c>
      <c r="K1432" s="7">
        <f t="shared" si="244"/>
        <v>3961.7999999999997</v>
      </c>
      <c r="L1432" s="7">
        <f t="shared" si="245"/>
        <v>9244.2000000000007</v>
      </c>
      <c r="M1432" s="7">
        <v>3376</v>
      </c>
      <c r="N1432" s="5" t="s">
        <v>43</v>
      </c>
      <c r="O1432" s="5">
        <v>12</v>
      </c>
      <c r="P1432" s="7">
        <f t="shared" si="246"/>
        <v>14790.720000000001</v>
      </c>
      <c r="Q1432" s="7">
        <f t="shared" si="247"/>
        <v>19016.640000000014</v>
      </c>
      <c r="R1432" s="7" t="str">
        <f t="shared" si="248"/>
        <v>Normal</v>
      </c>
      <c r="S1432" s="5">
        <v>3</v>
      </c>
      <c r="T1432" s="5">
        <v>3</v>
      </c>
      <c r="U1432" s="5" t="str" cm="1">
        <f t="array" ref="U1432">_xlfn.IFS(T1432=1,"Poor",T1432=2,"Fair",T1432=3,"Good",T1432=4,"Excellent")</f>
        <v>Good</v>
      </c>
      <c r="V1432" s="5" t="s">
        <v>43</v>
      </c>
      <c r="W1432" s="5">
        <v>18</v>
      </c>
      <c r="X1432" s="28">
        <f t="shared" ca="1" si="249"/>
        <v>39537</v>
      </c>
      <c r="Y1432" s="28">
        <f t="shared" ca="1" si="250"/>
        <v>46842</v>
      </c>
      <c r="Z1432" s="28" t="str">
        <f t="shared" ca="1" si="251"/>
        <v>Upcoming</v>
      </c>
      <c r="AA1432" s="5" t="str" cm="1">
        <f t="array" ref="AA1432">_xlfn.IFS(W1432&gt;10,"Veteran",W1432&gt;=6,"Experienced",W1432&gt;=2,"Developing",W1432&gt;=0,"New")</f>
        <v>Veteran</v>
      </c>
      <c r="AB1432" s="5" t="str" cm="1">
        <f t="array" ref="AB1432">_xlfn.IFS(G1432=1,"Junior",G1432=2,"Mid-Level",G1432=3,"Senior",G1432=4,"Lead",G1432=5,"Principal")&amp;" "&amp;TRIM(PROPER(H1432))</f>
        <v>Senior Research Director</v>
      </c>
      <c r="AC1432" s="19" t="str">
        <f t="shared" ca="1" si="252"/>
        <v>Re-Res-2008-1431 is a Senior Research Director in the Research &amp; Development department, aged 38, married and has been with the Company for 18years</v>
      </c>
    </row>
    <row r="1433" spans="1:29">
      <c r="A1433" s="18" t="str">
        <f t="shared" ca="1" si="242"/>
        <v>Sa-Sal-2012-1432</v>
      </c>
      <c r="B1433" s="5">
        <v>32</v>
      </c>
      <c r="C1433" s="5" t="str">
        <f t="shared" si="243"/>
        <v>30-39</v>
      </c>
      <c r="D1433" s="5" t="s">
        <v>43</v>
      </c>
      <c r="E1433" s="5" t="s">
        <v>37</v>
      </c>
      <c r="F1433" s="5" t="s">
        <v>39</v>
      </c>
      <c r="G1433" s="5">
        <v>3</v>
      </c>
      <c r="H1433" s="5" t="s">
        <v>40</v>
      </c>
      <c r="I1433" s="5" t="s">
        <v>48</v>
      </c>
      <c r="J1433" s="7">
        <v>10422</v>
      </c>
      <c r="K1433" s="7">
        <f t="shared" si="244"/>
        <v>2292.84</v>
      </c>
      <c r="L1433" s="7">
        <f t="shared" si="245"/>
        <v>8129.16</v>
      </c>
      <c r="M1433" s="7">
        <v>24032</v>
      </c>
      <c r="N1433" s="5" t="s">
        <v>43</v>
      </c>
      <c r="O1433" s="5">
        <v>19</v>
      </c>
      <c r="P1433" s="7">
        <f t="shared" si="246"/>
        <v>12402.18</v>
      </c>
      <c r="Q1433" s="7">
        <f t="shared" si="247"/>
        <v>23762.160000000003</v>
      </c>
      <c r="R1433" s="7" t="str">
        <f t="shared" si="248"/>
        <v>Normal</v>
      </c>
      <c r="S1433" s="5">
        <v>3</v>
      </c>
      <c r="T1433" s="5">
        <v>3</v>
      </c>
      <c r="U1433" s="5" t="str" cm="1">
        <f t="array" ref="U1433">_xlfn.IFS(T1433=1,"Poor",T1433=2,"Fair",T1433=3,"Good",T1433=4,"Excellent")</f>
        <v>Good</v>
      </c>
      <c r="V1433" s="5" t="s">
        <v>43</v>
      </c>
      <c r="W1433" s="5">
        <v>14</v>
      </c>
      <c r="X1433" s="28">
        <f t="shared" ca="1" si="249"/>
        <v>40998</v>
      </c>
      <c r="Y1433" s="28">
        <f t="shared" ca="1" si="250"/>
        <v>46842</v>
      </c>
      <c r="Z1433" s="28" t="str">
        <f t="shared" ca="1" si="251"/>
        <v>Upcoming</v>
      </c>
      <c r="AA1433" s="5" t="str" cm="1">
        <f t="array" ref="AA1433">_xlfn.IFS(W1433&gt;10,"Veteran",W1433&gt;=6,"Experienced",W1433&gt;=2,"Developing",W1433&gt;=0,"New")</f>
        <v>Veteran</v>
      </c>
      <c r="AB1433" s="5" t="str" cm="1">
        <f t="array" ref="AB1433">_xlfn.IFS(G1433=1,"Junior",G1433=2,"Mid-Level",G1433=3,"Senior",G1433=4,"Lead",G1433=5,"Principal")&amp;" "&amp;TRIM(PROPER(H1433))</f>
        <v>Senior Sales Executive</v>
      </c>
      <c r="AC1433" s="19" t="str">
        <f t="shared" ca="1" si="252"/>
        <v>Sa-Sal-2012-1432 is a Senior Sales Executive in the Sales department, aged 32, married and has been with the Company for 14years</v>
      </c>
    </row>
    <row r="1434" spans="1:29">
      <c r="A1434" s="18" t="str">
        <f t="shared" ca="1" si="242"/>
        <v>Re-Res-2010-1433</v>
      </c>
      <c r="B1434" s="5">
        <v>37</v>
      </c>
      <c r="C1434" s="5" t="str">
        <f t="shared" si="243"/>
        <v>30-39</v>
      </c>
      <c r="D1434" s="5" t="s">
        <v>43</v>
      </c>
      <c r="E1434" s="5" t="s">
        <v>45</v>
      </c>
      <c r="F1434" s="5" t="s">
        <v>39</v>
      </c>
      <c r="G1434" s="5">
        <v>3</v>
      </c>
      <c r="H1434" s="5" t="s">
        <v>58</v>
      </c>
      <c r="I1434" s="5" t="s">
        <v>48</v>
      </c>
      <c r="J1434" s="7">
        <v>13744</v>
      </c>
      <c r="K1434" s="7">
        <f t="shared" si="244"/>
        <v>4123.2</v>
      </c>
      <c r="L1434" s="7">
        <f t="shared" si="245"/>
        <v>9620.7999999999993</v>
      </c>
      <c r="M1434" s="7">
        <v>15471</v>
      </c>
      <c r="N1434" s="5" t="s">
        <v>35</v>
      </c>
      <c r="O1434" s="5">
        <v>25</v>
      </c>
      <c r="P1434" s="7">
        <f t="shared" si="246"/>
        <v>17180</v>
      </c>
      <c r="Q1434" s="7">
        <f t="shared" si="247"/>
        <v>41232</v>
      </c>
      <c r="R1434" s="7" t="str">
        <f t="shared" si="248"/>
        <v>Normal</v>
      </c>
      <c r="S1434" s="5">
        <v>4</v>
      </c>
      <c r="T1434" s="5">
        <v>3</v>
      </c>
      <c r="U1434" s="5" t="str" cm="1">
        <f t="array" ref="U1434">_xlfn.IFS(T1434=1,"Poor",T1434=2,"Fair",T1434=3,"Good",T1434=4,"Excellent")</f>
        <v>Good</v>
      </c>
      <c r="V1434" s="5" t="s">
        <v>35</v>
      </c>
      <c r="W1434" s="5">
        <v>16</v>
      </c>
      <c r="X1434" s="28">
        <f t="shared" ca="1" si="249"/>
        <v>40267</v>
      </c>
      <c r="Y1434" s="28">
        <f t="shared" ca="1" si="250"/>
        <v>46842</v>
      </c>
      <c r="Z1434" s="28" t="str">
        <f t="shared" ca="1" si="251"/>
        <v>Upcoming</v>
      </c>
      <c r="AA1434" s="5" t="str" cm="1">
        <f t="array" ref="AA1434">_xlfn.IFS(W1434&gt;10,"Veteran",W1434&gt;=6,"Experienced",W1434&gt;=2,"Developing",W1434&gt;=0,"New")</f>
        <v>Veteran</v>
      </c>
      <c r="AB1434" s="5" t="str" cm="1">
        <f t="array" ref="AB1434">_xlfn.IFS(G1434=1,"Junior",G1434=2,"Mid-Level",G1434=3,"Senior",G1434=4,"Lead",G1434=5,"Principal")&amp;" "&amp;TRIM(PROPER(H1434))</f>
        <v>Senior Research Director</v>
      </c>
      <c r="AC1434" s="19" t="str">
        <f t="shared" ca="1" si="252"/>
        <v>Re-Res-2010-1433 is a Senior Research Director in the Research &amp; Development department, aged 37, married and has been with the Company for 16years</v>
      </c>
    </row>
    <row r="1435" spans="1:29">
      <c r="A1435" s="18" t="str">
        <f t="shared" ca="1" si="242"/>
        <v>Sa-Sal-2021-1434</v>
      </c>
      <c r="B1435" s="5">
        <v>25</v>
      </c>
      <c r="C1435" s="5" t="str">
        <f t="shared" si="243"/>
        <v>20-29</v>
      </c>
      <c r="D1435" s="5" t="s">
        <v>43</v>
      </c>
      <c r="E1435" s="5" t="s">
        <v>37</v>
      </c>
      <c r="F1435" s="5" t="s">
        <v>39</v>
      </c>
      <c r="G1435" s="5">
        <v>2</v>
      </c>
      <c r="H1435" s="5" t="s">
        <v>40</v>
      </c>
      <c r="I1435" s="5" t="s">
        <v>52</v>
      </c>
      <c r="J1435" s="7">
        <v>4907</v>
      </c>
      <c r="K1435" s="7">
        <f t="shared" si="244"/>
        <v>736.05</v>
      </c>
      <c r="L1435" s="7">
        <f t="shared" si="245"/>
        <v>4170.95</v>
      </c>
      <c r="M1435" s="7">
        <v>13684</v>
      </c>
      <c r="N1435" s="5" t="s">
        <v>35</v>
      </c>
      <c r="O1435" s="5">
        <v>22</v>
      </c>
      <c r="P1435" s="7">
        <f t="shared" si="246"/>
        <v>5986.54</v>
      </c>
      <c r="Q1435" s="7">
        <f t="shared" si="247"/>
        <v>12954.48</v>
      </c>
      <c r="R1435" s="7" t="str">
        <f t="shared" si="248"/>
        <v>Normal</v>
      </c>
      <c r="S1435" s="5">
        <v>4</v>
      </c>
      <c r="T1435" s="5">
        <v>2</v>
      </c>
      <c r="U1435" s="5" t="str" cm="1">
        <f t="array" ref="U1435">_xlfn.IFS(T1435=1,"Poor",T1435=2,"Fair",T1435=3,"Good",T1435=4,"Excellent")</f>
        <v>Fair</v>
      </c>
      <c r="V1435" s="5" t="s">
        <v>35</v>
      </c>
      <c r="W1435" s="5">
        <v>5</v>
      </c>
      <c r="X1435" s="28">
        <f t="shared" ca="1" si="249"/>
        <v>44285</v>
      </c>
      <c r="Y1435" s="28">
        <f t="shared" ca="1" si="250"/>
        <v>46476</v>
      </c>
      <c r="Z1435" s="28" t="str">
        <f t="shared" ca="1" si="251"/>
        <v>Due Soon</v>
      </c>
      <c r="AA1435" s="5" t="str" cm="1">
        <f t="array" ref="AA1435">_xlfn.IFS(W1435&gt;10,"Veteran",W1435&gt;=6,"Experienced",W1435&gt;=2,"Developing",W1435&gt;=0,"New")</f>
        <v>Developing</v>
      </c>
      <c r="AB1435" s="5" t="str" cm="1">
        <f t="array" ref="AB1435">_xlfn.IFS(G1435=1,"Junior",G1435=2,"Mid-Level",G1435=3,"Senior",G1435=4,"Lead",G1435=5,"Principal")&amp;" "&amp;TRIM(PROPER(H1435))</f>
        <v>Mid-Level Sales Executive</v>
      </c>
      <c r="AC1435" s="19" t="str">
        <f t="shared" ca="1" si="252"/>
        <v>Sa-Sal-2021-1434 is a Mid-Level Sales Executive in the Sales department, aged 25, divorced and has been with the Company for 5years</v>
      </c>
    </row>
    <row r="1436" spans="1:29">
      <c r="A1436" s="18" t="str">
        <f t="shared" ca="1" si="242"/>
        <v>Sa-Sal-2017-1435</v>
      </c>
      <c r="B1436" s="5">
        <v>52</v>
      </c>
      <c r="C1436" s="5" t="str">
        <f t="shared" si="243"/>
        <v>50+</v>
      </c>
      <c r="D1436" s="5" t="s">
        <v>43</v>
      </c>
      <c r="E1436" s="5" t="s">
        <v>37</v>
      </c>
      <c r="F1436" s="5" t="s">
        <v>46</v>
      </c>
      <c r="G1436" s="5">
        <v>1</v>
      </c>
      <c r="H1436" s="5" t="s">
        <v>57</v>
      </c>
      <c r="I1436" s="5" t="s">
        <v>52</v>
      </c>
      <c r="J1436" s="7">
        <v>3482</v>
      </c>
      <c r="K1436" s="7">
        <f t="shared" si="244"/>
        <v>522.29999999999995</v>
      </c>
      <c r="L1436" s="7">
        <f t="shared" si="245"/>
        <v>2959.7</v>
      </c>
      <c r="M1436" s="7">
        <v>19788</v>
      </c>
      <c r="N1436" s="5" t="s">
        <v>43</v>
      </c>
      <c r="O1436" s="5">
        <v>15</v>
      </c>
      <c r="P1436" s="7">
        <f t="shared" si="246"/>
        <v>4004.2999999999997</v>
      </c>
      <c r="Q1436" s="7">
        <f t="shared" si="247"/>
        <v>6267.5999999999967</v>
      </c>
      <c r="R1436" s="7" t="str">
        <f t="shared" si="248"/>
        <v>Normal</v>
      </c>
      <c r="S1436" s="5">
        <v>3</v>
      </c>
      <c r="T1436" s="5">
        <v>2</v>
      </c>
      <c r="U1436" s="5" t="str" cm="1">
        <f t="array" ref="U1436">_xlfn.IFS(T1436=1,"Poor",T1436=2,"Fair",T1436=3,"Good",T1436=4,"Excellent")</f>
        <v>Fair</v>
      </c>
      <c r="V1436" s="5" t="s">
        <v>43</v>
      </c>
      <c r="W1436" s="5">
        <v>9</v>
      </c>
      <c r="X1436" s="28">
        <f t="shared" ca="1" si="249"/>
        <v>42824</v>
      </c>
      <c r="Y1436" s="28">
        <f t="shared" ca="1" si="250"/>
        <v>46476</v>
      </c>
      <c r="Z1436" s="28" t="str">
        <f t="shared" ca="1" si="251"/>
        <v>Due Soon</v>
      </c>
      <c r="AA1436" s="5" t="str" cm="1">
        <f t="array" ref="AA1436">_xlfn.IFS(W1436&gt;10,"Veteran",W1436&gt;=6,"Experienced",W1436&gt;=2,"Developing",W1436&gt;=0,"New")</f>
        <v>Experienced</v>
      </c>
      <c r="AB1436" s="5" t="str" cm="1">
        <f t="array" ref="AB1436">_xlfn.IFS(G1436=1,"Junior",G1436=2,"Mid-Level",G1436=3,"Senior",G1436=4,"Lead",G1436=5,"Principal")&amp;" "&amp;TRIM(PROPER(H1436))</f>
        <v>Junior Sales Representative</v>
      </c>
      <c r="AC1436" s="19" t="str">
        <f t="shared" ca="1" si="252"/>
        <v>Sa-Sal-2017-1435 is a Junior Sales Representative in the Sales department, aged 52, divorced and has been with the Company for 9years</v>
      </c>
    </row>
    <row r="1437" spans="1:29">
      <c r="A1437" s="18" t="str">
        <f t="shared" ca="1" si="242"/>
        <v>Re-Res-2022-1436</v>
      </c>
      <c r="B1437" s="5">
        <v>44</v>
      </c>
      <c r="C1437" s="5" t="str">
        <f t="shared" si="243"/>
        <v>40-49</v>
      </c>
      <c r="D1437" s="5" t="s">
        <v>43</v>
      </c>
      <c r="E1437" s="5" t="s">
        <v>45</v>
      </c>
      <c r="F1437" s="5" t="s">
        <v>46</v>
      </c>
      <c r="G1437" s="5">
        <v>1</v>
      </c>
      <c r="H1437" s="5" t="s">
        <v>47</v>
      </c>
      <c r="I1437" s="5" t="s">
        <v>41</v>
      </c>
      <c r="J1437" s="7">
        <v>2436</v>
      </c>
      <c r="K1437" s="7">
        <f t="shared" si="244"/>
        <v>170.52</v>
      </c>
      <c r="L1437" s="7">
        <f t="shared" si="245"/>
        <v>2265.48</v>
      </c>
      <c r="M1437" s="7">
        <v>13422</v>
      </c>
      <c r="N1437" s="5" t="s">
        <v>35</v>
      </c>
      <c r="O1437" s="5">
        <v>12</v>
      </c>
      <c r="P1437" s="7">
        <f t="shared" si="246"/>
        <v>2728.32</v>
      </c>
      <c r="Q1437" s="7">
        <f t="shared" si="247"/>
        <v>3507.840000000002</v>
      </c>
      <c r="R1437" s="7" t="str">
        <f t="shared" si="248"/>
        <v>Normal</v>
      </c>
      <c r="S1437" s="5">
        <v>3</v>
      </c>
      <c r="T1437" s="5">
        <v>3</v>
      </c>
      <c r="U1437" s="5" t="str" cm="1">
        <f t="array" ref="U1437">_xlfn.IFS(T1437=1,"Poor",T1437=2,"Fair",T1437=3,"Good",T1437=4,"Excellent")</f>
        <v>Good</v>
      </c>
      <c r="V1437" s="5" t="s">
        <v>35</v>
      </c>
      <c r="W1437" s="5">
        <v>4</v>
      </c>
      <c r="X1437" s="28">
        <f t="shared" ca="1" si="249"/>
        <v>44650</v>
      </c>
      <c r="Y1437" s="28">
        <f t="shared" ca="1" si="250"/>
        <v>46842</v>
      </c>
      <c r="Z1437" s="28" t="str">
        <f t="shared" ca="1" si="251"/>
        <v>Upcoming</v>
      </c>
      <c r="AA1437" s="5" t="str" cm="1">
        <f t="array" ref="AA1437">_xlfn.IFS(W1437&gt;10,"Veteran",W1437&gt;=6,"Experienced",W1437&gt;=2,"Developing",W1437&gt;=0,"New")</f>
        <v>Developing</v>
      </c>
      <c r="AB1437" s="5" t="str" cm="1">
        <f t="array" ref="AB1437">_xlfn.IFS(G1437=1,"Junior",G1437=2,"Mid-Level",G1437=3,"Senior",G1437=4,"Lead",G1437=5,"Principal")&amp;" "&amp;TRIM(PROPER(H1437))</f>
        <v>Junior Research Scientist</v>
      </c>
      <c r="AC1437" s="19" t="str">
        <f t="shared" ca="1" si="252"/>
        <v>Re-Res-2022-1436 is a Junior Research Scientist in the Research &amp; Development department, aged 44, single and has been with the Company for 4years</v>
      </c>
    </row>
    <row r="1438" spans="1:29">
      <c r="A1438" s="18" t="str">
        <f t="shared" ca="1" si="242"/>
        <v>Sa-Sal-2024-1437</v>
      </c>
      <c r="B1438" s="5">
        <v>21</v>
      </c>
      <c r="C1438" s="5" t="str">
        <f t="shared" si="243"/>
        <v>20-29</v>
      </c>
      <c r="D1438" s="5" t="s">
        <v>43</v>
      </c>
      <c r="E1438" s="5" t="s">
        <v>37</v>
      </c>
      <c r="F1438" s="5" t="s">
        <v>46</v>
      </c>
      <c r="G1438" s="5">
        <v>1</v>
      </c>
      <c r="H1438" s="5" t="s">
        <v>57</v>
      </c>
      <c r="I1438" s="5" t="s">
        <v>41</v>
      </c>
      <c r="J1438" s="7">
        <v>2380</v>
      </c>
      <c r="K1438" s="7">
        <f t="shared" si="244"/>
        <v>166.60000000000002</v>
      </c>
      <c r="L1438" s="7">
        <f t="shared" si="245"/>
        <v>2213.4</v>
      </c>
      <c r="M1438" s="7">
        <v>25479</v>
      </c>
      <c r="N1438" s="5" t="s">
        <v>35</v>
      </c>
      <c r="O1438" s="5">
        <v>11</v>
      </c>
      <c r="P1438" s="7">
        <f t="shared" si="246"/>
        <v>2641.8</v>
      </c>
      <c r="Q1438" s="7">
        <f t="shared" si="247"/>
        <v>3141.6000000000022</v>
      </c>
      <c r="R1438" s="7" t="str">
        <f t="shared" si="248"/>
        <v>Normal</v>
      </c>
      <c r="S1438" s="5">
        <v>3</v>
      </c>
      <c r="T1438" s="5">
        <v>3</v>
      </c>
      <c r="U1438" s="5" t="str" cm="1">
        <f t="array" ref="U1438">_xlfn.IFS(T1438=1,"Poor",T1438=2,"Fair",T1438=3,"Good",T1438=4,"Excellent")</f>
        <v>Good</v>
      </c>
      <c r="V1438" s="5" t="s">
        <v>35</v>
      </c>
      <c r="W1438" s="5">
        <v>2</v>
      </c>
      <c r="X1438" s="28">
        <f t="shared" ca="1" si="249"/>
        <v>45381</v>
      </c>
      <c r="Y1438" s="28">
        <f t="shared" ca="1" si="250"/>
        <v>46842</v>
      </c>
      <c r="Z1438" s="28" t="str">
        <f t="shared" ca="1" si="251"/>
        <v>Upcoming</v>
      </c>
      <c r="AA1438" s="5" t="str" cm="1">
        <f t="array" ref="AA1438">_xlfn.IFS(W1438&gt;10,"Veteran",W1438&gt;=6,"Experienced",W1438&gt;=2,"Developing",W1438&gt;=0,"New")</f>
        <v>Developing</v>
      </c>
      <c r="AB1438" s="5" t="str" cm="1">
        <f t="array" ref="AB1438">_xlfn.IFS(G1438=1,"Junior",G1438=2,"Mid-Level",G1438=3,"Senior",G1438=4,"Lead",G1438=5,"Principal")&amp;" "&amp;TRIM(PROPER(H1438))</f>
        <v>Junior Sales Representative</v>
      </c>
      <c r="AC1438" s="19" t="str">
        <f t="shared" ca="1" si="252"/>
        <v>Sa-Sal-2024-1437 is a Junior Sales Representative in the Sales department, aged 21, single and has been with the Company for 2years</v>
      </c>
    </row>
    <row r="1439" spans="1:29">
      <c r="A1439" s="18" t="str">
        <f t="shared" ca="1" si="242"/>
        <v>Ma-Res-2020-1438</v>
      </c>
      <c r="B1439" s="5">
        <v>39</v>
      </c>
      <c r="C1439" s="5" t="str">
        <f t="shared" si="243"/>
        <v>30-39</v>
      </c>
      <c r="D1439" s="5" t="s">
        <v>43</v>
      </c>
      <c r="E1439" s="5" t="s">
        <v>45</v>
      </c>
      <c r="F1439" s="5" t="s">
        <v>46</v>
      </c>
      <c r="G1439" s="5">
        <v>5</v>
      </c>
      <c r="H1439" s="5" t="s">
        <v>56</v>
      </c>
      <c r="I1439" s="5" t="s">
        <v>41</v>
      </c>
      <c r="J1439" s="7">
        <v>19431</v>
      </c>
      <c r="K1439" s="7">
        <f t="shared" si="244"/>
        <v>5829.3</v>
      </c>
      <c r="L1439" s="7">
        <f t="shared" si="245"/>
        <v>13601.7</v>
      </c>
      <c r="M1439" s="7">
        <v>15302</v>
      </c>
      <c r="N1439" s="5" t="s">
        <v>43</v>
      </c>
      <c r="O1439" s="5">
        <v>13</v>
      </c>
      <c r="P1439" s="7">
        <f t="shared" si="246"/>
        <v>21957.03</v>
      </c>
      <c r="Q1439" s="7">
        <f t="shared" si="247"/>
        <v>30312.359999999986</v>
      </c>
      <c r="R1439" s="7" t="str">
        <f t="shared" si="248"/>
        <v>Normal</v>
      </c>
      <c r="S1439" s="5">
        <v>3</v>
      </c>
      <c r="T1439" s="5">
        <v>2</v>
      </c>
      <c r="U1439" s="5" t="str" cm="1">
        <f t="array" ref="U1439">_xlfn.IFS(T1439=1,"Poor",T1439=2,"Fair",T1439=3,"Good",T1439=4,"Excellent")</f>
        <v>Fair</v>
      </c>
      <c r="V1439" s="5" t="s">
        <v>43</v>
      </c>
      <c r="W1439" s="5">
        <v>6</v>
      </c>
      <c r="X1439" s="28">
        <f t="shared" ca="1" si="249"/>
        <v>43920</v>
      </c>
      <c r="Y1439" s="28">
        <f t="shared" ca="1" si="250"/>
        <v>46842</v>
      </c>
      <c r="Z1439" s="28" t="str">
        <f t="shared" ca="1" si="251"/>
        <v>Upcoming</v>
      </c>
      <c r="AA1439" s="5" t="str" cm="1">
        <f t="array" ref="AA1439">_xlfn.IFS(W1439&gt;10,"Veteran",W1439&gt;=6,"Experienced",W1439&gt;=2,"Developing",W1439&gt;=0,"New")</f>
        <v>Experienced</v>
      </c>
      <c r="AB1439" s="5" t="str" cm="1">
        <f t="array" ref="AB1439">_xlfn.IFS(G1439=1,"Junior",G1439=2,"Mid-Level",G1439=3,"Senior",G1439=4,"Lead",G1439=5,"Principal")&amp;" "&amp;TRIM(PROPER(H1439))</f>
        <v>Principal Manager</v>
      </c>
      <c r="AC1439" s="19" t="str">
        <f t="shared" ca="1" si="252"/>
        <v>Ma-Res-2020-1438 is a Principal Manager in the Research &amp; Development department, aged 39, single and has been with the Company for 6years</v>
      </c>
    </row>
    <row r="1440" spans="1:29">
      <c r="A1440" s="18" t="str">
        <f t="shared" ca="1" si="242"/>
        <v>Sa-Sal-2025-1439</v>
      </c>
      <c r="B1440" s="5">
        <v>23</v>
      </c>
      <c r="C1440" s="5" t="str">
        <f t="shared" si="243"/>
        <v>20-29</v>
      </c>
      <c r="D1440" s="5" t="s">
        <v>35</v>
      </c>
      <c r="E1440" s="5" t="s">
        <v>37</v>
      </c>
      <c r="F1440" s="5" t="s">
        <v>46</v>
      </c>
      <c r="G1440" s="5">
        <v>1</v>
      </c>
      <c r="H1440" s="5" t="s">
        <v>57</v>
      </c>
      <c r="I1440" s="5" t="s">
        <v>48</v>
      </c>
      <c r="J1440" s="7">
        <v>1790</v>
      </c>
      <c r="K1440" s="7">
        <f t="shared" si="244"/>
        <v>125.30000000000001</v>
      </c>
      <c r="L1440" s="7">
        <f t="shared" si="245"/>
        <v>1664.7</v>
      </c>
      <c r="M1440" s="7">
        <v>26956</v>
      </c>
      <c r="N1440" s="5" t="s">
        <v>43</v>
      </c>
      <c r="O1440" s="5">
        <v>19</v>
      </c>
      <c r="P1440" s="7">
        <f t="shared" si="246"/>
        <v>2130.1</v>
      </c>
      <c r="Q1440" s="7">
        <f t="shared" si="247"/>
        <v>4081.1999999999989</v>
      </c>
      <c r="R1440" s="7" t="str">
        <f t="shared" si="248"/>
        <v>Normal</v>
      </c>
      <c r="S1440" s="5">
        <v>3</v>
      </c>
      <c r="T1440" s="5">
        <v>2</v>
      </c>
      <c r="U1440" s="5" t="str" cm="1">
        <f t="array" ref="U1440">_xlfn.IFS(T1440=1,"Poor",T1440=2,"Fair",T1440=3,"Good",T1440=4,"Excellent")</f>
        <v>Fair</v>
      </c>
      <c r="V1440" s="5" t="s">
        <v>43</v>
      </c>
      <c r="W1440" s="5">
        <v>1</v>
      </c>
      <c r="X1440" s="28">
        <f t="shared" ca="1" si="249"/>
        <v>45746</v>
      </c>
      <c r="Y1440" s="28">
        <f t="shared" ca="1" si="250"/>
        <v>46476</v>
      </c>
      <c r="Z1440" s="28" t="str">
        <f t="shared" ca="1" si="251"/>
        <v>Due Soon</v>
      </c>
      <c r="AA1440" s="5" t="str" cm="1">
        <f t="array" ref="AA1440">_xlfn.IFS(W1440&gt;10,"Veteran",W1440&gt;=6,"Experienced",W1440&gt;=2,"Developing",W1440&gt;=0,"New")</f>
        <v>New</v>
      </c>
      <c r="AB1440" s="5" t="str" cm="1">
        <f t="array" ref="AB1440">_xlfn.IFS(G1440=1,"Junior",G1440=2,"Mid-Level",G1440=3,"Senior",G1440=4,"Lead",G1440=5,"Principal")&amp;" "&amp;TRIM(PROPER(H1440))</f>
        <v>Junior Sales Representative</v>
      </c>
      <c r="AC1440" s="19" t="str">
        <f t="shared" ca="1" si="252"/>
        <v>Sa-Sal-2025-1439 is a Junior Sales Representative in the Sales department, aged 23, married and has been with the Company for 1years</v>
      </c>
    </row>
    <row r="1441" spans="1:29">
      <c r="A1441" s="18" t="str">
        <f t="shared" ca="1" si="242"/>
        <v>Sa-Sal-2017-1440</v>
      </c>
      <c r="B1441" s="5">
        <v>36</v>
      </c>
      <c r="C1441" s="5" t="str">
        <f t="shared" si="243"/>
        <v>30-39</v>
      </c>
      <c r="D1441" s="5" t="s">
        <v>43</v>
      </c>
      <c r="E1441" s="5" t="s">
        <v>37</v>
      </c>
      <c r="F1441" s="5" t="s">
        <v>39</v>
      </c>
      <c r="G1441" s="5">
        <v>3</v>
      </c>
      <c r="H1441" s="5" t="s">
        <v>40</v>
      </c>
      <c r="I1441" s="5" t="s">
        <v>48</v>
      </c>
      <c r="J1441" s="7">
        <v>7644</v>
      </c>
      <c r="K1441" s="7">
        <f t="shared" si="244"/>
        <v>1681.68</v>
      </c>
      <c r="L1441" s="7">
        <f t="shared" si="245"/>
        <v>5962.32</v>
      </c>
      <c r="M1441" s="7">
        <v>12695</v>
      </c>
      <c r="N1441" s="5" t="s">
        <v>43</v>
      </c>
      <c r="O1441" s="5">
        <v>19</v>
      </c>
      <c r="P1441" s="7">
        <f t="shared" si="246"/>
        <v>9096.3599999999988</v>
      </c>
      <c r="Q1441" s="7">
        <f t="shared" si="247"/>
        <v>17428.319999999985</v>
      </c>
      <c r="R1441" s="7" t="str">
        <f t="shared" si="248"/>
        <v>Normal</v>
      </c>
      <c r="S1441" s="5">
        <v>3</v>
      </c>
      <c r="T1441" s="5">
        <v>3</v>
      </c>
      <c r="U1441" s="5" t="str" cm="1">
        <f t="array" ref="U1441">_xlfn.IFS(T1441=1,"Poor",T1441=2,"Fair",T1441=3,"Good",T1441=4,"Excellent")</f>
        <v>Good</v>
      </c>
      <c r="V1441" s="5" t="s">
        <v>43</v>
      </c>
      <c r="W1441" s="5">
        <v>9</v>
      </c>
      <c r="X1441" s="28">
        <f t="shared" ca="1" si="249"/>
        <v>42824</v>
      </c>
      <c r="Y1441" s="28">
        <f t="shared" ca="1" si="250"/>
        <v>46476</v>
      </c>
      <c r="Z1441" s="28" t="str">
        <f t="shared" ca="1" si="251"/>
        <v>Due Soon</v>
      </c>
      <c r="AA1441" s="5" t="str" cm="1">
        <f t="array" ref="AA1441">_xlfn.IFS(W1441&gt;10,"Veteran",W1441&gt;=6,"Experienced",W1441&gt;=2,"Developing",W1441&gt;=0,"New")</f>
        <v>Experienced</v>
      </c>
      <c r="AB1441" s="5" t="str" cm="1">
        <f t="array" ref="AB1441">_xlfn.IFS(G1441=1,"Junior",G1441=2,"Mid-Level",G1441=3,"Senior",G1441=4,"Lead",G1441=5,"Principal")&amp;" "&amp;TRIM(PROPER(H1441))</f>
        <v>Senior Sales Executive</v>
      </c>
      <c r="AC1441" s="19" t="str">
        <f t="shared" ca="1" si="252"/>
        <v>Sa-Sal-2017-1440 is a Senior Sales Executive in the Sales department, aged 36, married and has been with the Company for 9years</v>
      </c>
    </row>
    <row r="1442" spans="1:29">
      <c r="A1442" s="18" t="str">
        <f t="shared" ca="1" si="242"/>
        <v>Ma-Res-2022-1441</v>
      </c>
      <c r="B1442" s="5">
        <v>36</v>
      </c>
      <c r="C1442" s="5" t="str">
        <f t="shared" si="243"/>
        <v>30-39</v>
      </c>
      <c r="D1442" s="5" t="s">
        <v>43</v>
      </c>
      <c r="E1442" s="5" t="s">
        <v>45</v>
      </c>
      <c r="F1442" s="5" t="s">
        <v>39</v>
      </c>
      <c r="G1442" s="5">
        <v>2</v>
      </c>
      <c r="H1442" s="5" t="s">
        <v>53</v>
      </c>
      <c r="I1442" s="5" t="s">
        <v>52</v>
      </c>
      <c r="J1442" s="7">
        <v>5131</v>
      </c>
      <c r="K1442" s="7">
        <f t="shared" si="244"/>
        <v>769.65</v>
      </c>
      <c r="L1442" s="7">
        <f t="shared" si="245"/>
        <v>4361.3500000000004</v>
      </c>
      <c r="M1442" s="7">
        <v>9192</v>
      </c>
      <c r="N1442" s="5" t="s">
        <v>43</v>
      </c>
      <c r="O1442" s="5">
        <v>13</v>
      </c>
      <c r="P1442" s="7">
        <f t="shared" si="246"/>
        <v>5798.03</v>
      </c>
      <c r="Q1442" s="7">
        <f t="shared" si="247"/>
        <v>8004.3599999999969</v>
      </c>
      <c r="R1442" s="7" t="str">
        <f t="shared" si="248"/>
        <v>Normal</v>
      </c>
      <c r="S1442" s="5">
        <v>3</v>
      </c>
      <c r="T1442" s="5">
        <v>3</v>
      </c>
      <c r="U1442" s="5" t="str" cm="1">
        <f t="array" ref="U1442">_xlfn.IFS(T1442=1,"Poor",T1442=2,"Fair",T1442=3,"Good",T1442=4,"Excellent")</f>
        <v>Good</v>
      </c>
      <c r="V1442" s="5" t="s">
        <v>43</v>
      </c>
      <c r="W1442" s="5">
        <v>4</v>
      </c>
      <c r="X1442" s="28">
        <f t="shared" ca="1" si="249"/>
        <v>44650</v>
      </c>
      <c r="Y1442" s="28">
        <f t="shared" ca="1" si="250"/>
        <v>46842</v>
      </c>
      <c r="Z1442" s="28" t="str">
        <f t="shared" ca="1" si="251"/>
        <v>Upcoming</v>
      </c>
      <c r="AA1442" s="5" t="str" cm="1">
        <f t="array" ref="AA1442">_xlfn.IFS(W1442&gt;10,"Veteran",W1442&gt;=6,"Experienced",W1442&gt;=2,"Developing",W1442&gt;=0,"New")</f>
        <v>Developing</v>
      </c>
      <c r="AB1442" s="5" t="str" cm="1">
        <f t="array" ref="AB1442">_xlfn.IFS(G1442=1,"Junior",G1442=2,"Mid-Level",G1442=3,"Senior",G1442=4,"Lead",G1442=5,"Principal")&amp;" "&amp;TRIM(PROPER(H1442))</f>
        <v>Mid-Level Manufacturing Director</v>
      </c>
      <c r="AC1442" s="19" t="str">
        <f t="shared" ca="1" si="252"/>
        <v>Ma-Res-2022-1441 is a Mid-Level Manufacturing Director in the Research &amp; Development department, aged 36, divorced and has been with the Company for 4years</v>
      </c>
    </row>
    <row r="1443" spans="1:29">
      <c r="A1443" s="18" t="str">
        <f t="shared" ca="1" si="242"/>
        <v>He-Res-2013-1442</v>
      </c>
      <c r="B1443" s="5">
        <v>56</v>
      </c>
      <c r="C1443" s="5" t="str">
        <f t="shared" si="243"/>
        <v>50+</v>
      </c>
      <c r="D1443" s="5" t="s">
        <v>43</v>
      </c>
      <c r="E1443" s="5" t="s">
        <v>45</v>
      </c>
      <c r="F1443" s="5" t="s">
        <v>46</v>
      </c>
      <c r="G1443" s="5">
        <v>2</v>
      </c>
      <c r="H1443" s="5" t="s">
        <v>54</v>
      </c>
      <c r="I1443" s="5" t="s">
        <v>52</v>
      </c>
      <c r="J1443" s="7">
        <v>6306</v>
      </c>
      <c r="K1443" s="7">
        <f t="shared" si="244"/>
        <v>945.9</v>
      </c>
      <c r="L1443" s="7">
        <f t="shared" si="245"/>
        <v>5360.1</v>
      </c>
      <c r="M1443" s="7">
        <v>26236</v>
      </c>
      <c r="N1443" s="5" t="s">
        <v>43</v>
      </c>
      <c r="O1443" s="5">
        <v>21</v>
      </c>
      <c r="P1443" s="7">
        <f t="shared" si="246"/>
        <v>7630.26</v>
      </c>
      <c r="Q1443" s="7">
        <f t="shared" si="247"/>
        <v>15891.120000000003</v>
      </c>
      <c r="R1443" s="7" t="str">
        <f t="shared" si="248"/>
        <v>Normal</v>
      </c>
      <c r="S1443" s="5">
        <v>4</v>
      </c>
      <c r="T1443" s="5">
        <v>2</v>
      </c>
      <c r="U1443" s="5" t="str" cm="1">
        <f t="array" ref="U1443">_xlfn.IFS(T1443=1,"Poor",T1443=2,"Fair",T1443=3,"Good",T1443=4,"Excellent")</f>
        <v>Fair</v>
      </c>
      <c r="V1443" s="5" t="s">
        <v>43</v>
      </c>
      <c r="W1443" s="5">
        <v>13</v>
      </c>
      <c r="X1443" s="28">
        <f t="shared" ca="1" si="249"/>
        <v>41363</v>
      </c>
      <c r="Y1443" s="28">
        <f t="shared" ca="1" si="250"/>
        <v>46476</v>
      </c>
      <c r="Z1443" s="28" t="str">
        <f t="shared" ca="1" si="251"/>
        <v>Due Soon</v>
      </c>
      <c r="AA1443" s="5" t="str" cm="1">
        <f t="array" ref="AA1443">_xlfn.IFS(W1443&gt;10,"Veteran",W1443&gt;=6,"Experienced",W1443&gt;=2,"Developing",W1443&gt;=0,"New")</f>
        <v>Veteran</v>
      </c>
      <c r="AB1443" s="5" t="str" cm="1">
        <f t="array" ref="AB1443">_xlfn.IFS(G1443=1,"Junior",G1443=2,"Mid-Level",G1443=3,"Senior",G1443=4,"Lead",G1443=5,"Principal")&amp;" "&amp;TRIM(PROPER(H1443))</f>
        <v>Mid-Level Healthcare Representative</v>
      </c>
      <c r="AC1443" s="19" t="str">
        <f t="shared" ca="1" si="252"/>
        <v>He-Res-2013-1442 is a Mid-Level Healthcare Representative in the Research &amp; Development department, aged 56, divorced and has been with the Company for 13years</v>
      </c>
    </row>
    <row r="1444" spans="1:29">
      <c r="A1444" s="18" t="str">
        <f t="shared" ca="1" si="242"/>
        <v>Re-Res-2024-1443</v>
      </c>
      <c r="B1444" s="5">
        <v>29</v>
      </c>
      <c r="C1444" s="5" t="str">
        <f t="shared" si="243"/>
        <v>20-29</v>
      </c>
      <c r="D1444" s="5" t="s">
        <v>35</v>
      </c>
      <c r="E1444" s="5" t="s">
        <v>45</v>
      </c>
      <c r="F1444" s="5" t="s">
        <v>46</v>
      </c>
      <c r="G1444" s="5">
        <v>1</v>
      </c>
      <c r="H1444" s="5" t="s">
        <v>47</v>
      </c>
      <c r="I1444" s="5" t="s">
        <v>48</v>
      </c>
      <c r="J1444" s="7">
        <v>4787</v>
      </c>
      <c r="K1444" s="7">
        <f t="shared" si="244"/>
        <v>718.05</v>
      </c>
      <c r="L1444" s="7">
        <f t="shared" si="245"/>
        <v>4068.95</v>
      </c>
      <c r="M1444" s="7">
        <v>26124</v>
      </c>
      <c r="N1444" s="5" t="s">
        <v>35</v>
      </c>
      <c r="O1444" s="5">
        <v>14</v>
      </c>
      <c r="P1444" s="7">
        <f t="shared" si="246"/>
        <v>5457.18</v>
      </c>
      <c r="Q1444" s="7">
        <f t="shared" si="247"/>
        <v>8042.1600000000035</v>
      </c>
      <c r="R1444" s="7" t="str">
        <f t="shared" si="248"/>
        <v>Normal</v>
      </c>
      <c r="S1444" s="5">
        <v>3</v>
      </c>
      <c r="T1444" s="5">
        <v>4</v>
      </c>
      <c r="U1444" s="5" t="str" cm="1">
        <f t="array" ref="U1444">_xlfn.IFS(T1444=1,"Poor",T1444=2,"Fair",T1444=3,"Good",T1444=4,"Excellent")</f>
        <v>Excellent</v>
      </c>
      <c r="V1444" s="5" t="s">
        <v>35</v>
      </c>
      <c r="W1444" s="5">
        <v>2</v>
      </c>
      <c r="X1444" s="28">
        <f t="shared" ca="1" si="249"/>
        <v>45381</v>
      </c>
      <c r="Y1444" s="28">
        <f t="shared" ca="1" si="250"/>
        <v>46842</v>
      </c>
      <c r="Z1444" s="28" t="str">
        <f t="shared" ca="1" si="251"/>
        <v>Upcoming</v>
      </c>
      <c r="AA1444" s="5" t="str" cm="1">
        <f t="array" ref="AA1444">_xlfn.IFS(W1444&gt;10,"Veteran",W1444&gt;=6,"Experienced",W1444&gt;=2,"Developing",W1444&gt;=0,"New")</f>
        <v>Developing</v>
      </c>
      <c r="AB1444" s="5" t="str" cm="1">
        <f t="array" ref="AB1444">_xlfn.IFS(G1444=1,"Junior",G1444=2,"Mid-Level",G1444=3,"Senior",G1444=4,"Lead",G1444=5,"Principal")&amp;" "&amp;TRIM(PROPER(H1444))</f>
        <v>Junior Research Scientist</v>
      </c>
      <c r="AC1444" s="19" t="str">
        <f t="shared" ca="1" si="252"/>
        <v>Re-Res-2024-1443 is a Junior Research Scientist in the Research &amp; Development department, aged 29, married and has been with the Company for 2years</v>
      </c>
    </row>
    <row r="1445" spans="1:29">
      <c r="A1445" s="18" t="str">
        <f t="shared" ca="1" si="242"/>
        <v>Ma-Res-2004-1444</v>
      </c>
      <c r="B1445" s="5">
        <v>42</v>
      </c>
      <c r="C1445" s="5" t="str">
        <f t="shared" si="243"/>
        <v>40-49</v>
      </c>
      <c r="D1445" s="5" t="s">
        <v>43</v>
      </c>
      <c r="E1445" s="5" t="s">
        <v>45</v>
      </c>
      <c r="F1445" s="5" t="s">
        <v>46</v>
      </c>
      <c r="G1445" s="5">
        <v>5</v>
      </c>
      <c r="H1445" s="5" t="s">
        <v>56</v>
      </c>
      <c r="I1445" s="5" t="s">
        <v>48</v>
      </c>
      <c r="J1445" s="7">
        <v>18880</v>
      </c>
      <c r="K1445" s="7">
        <f t="shared" si="244"/>
        <v>5664</v>
      </c>
      <c r="L1445" s="7">
        <f t="shared" si="245"/>
        <v>13216</v>
      </c>
      <c r="M1445" s="7">
        <v>17312</v>
      </c>
      <c r="N1445" s="5" t="s">
        <v>43</v>
      </c>
      <c r="O1445" s="5">
        <v>11</v>
      </c>
      <c r="P1445" s="7">
        <f t="shared" si="246"/>
        <v>20956.800000000003</v>
      </c>
      <c r="Q1445" s="7">
        <f t="shared" si="247"/>
        <v>24921.600000000035</v>
      </c>
      <c r="R1445" s="7" t="str">
        <f t="shared" si="248"/>
        <v>Normal</v>
      </c>
      <c r="S1445" s="5">
        <v>3</v>
      </c>
      <c r="T1445" s="5">
        <v>2</v>
      </c>
      <c r="U1445" s="5" t="str" cm="1">
        <f t="array" ref="U1445">_xlfn.IFS(T1445=1,"Poor",T1445=2,"Fair",T1445=3,"Good",T1445=4,"Excellent")</f>
        <v>Fair</v>
      </c>
      <c r="V1445" s="5" t="s">
        <v>43</v>
      </c>
      <c r="W1445" s="5">
        <v>22</v>
      </c>
      <c r="X1445" s="28">
        <f t="shared" ca="1" si="249"/>
        <v>38076</v>
      </c>
      <c r="Y1445" s="28">
        <f t="shared" ca="1" si="250"/>
        <v>46842</v>
      </c>
      <c r="Z1445" s="28" t="str">
        <f t="shared" ca="1" si="251"/>
        <v>Upcoming</v>
      </c>
      <c r="AA1445" s="5" t="str" cm="1">
        <f t="array" ref="AA1445">_xlfn.IFS(W1445&gt;10,"Veteran",W1445&gt;=6,"Experienced",W1445&gt;=2,"Developing",W1445&gt;=0,"New")</f>
        <v>Veteran</v>
      </c>
      <c r="AB1445" s="5" t="str" cm="1">
        <f t="array" ref="AB1445">_xlfn.IFS(G1445=1,"Junior",G1445=2,"Mid-Level",G1445=3,"Senior",G1445=4,"Lead",G1445=5,"Principal")&amp;" "&amp;TRIM(PROPER(H1445))</f>
        <v>Principal Manager</v>
      </c>
      <c r="AC1445" s="19" t="str">
        <f t="shared" ca="1" si="252"/>
        <v>Ma-Res-2004-1444 is a Principal Manager in the Research &amp; Development department, aged 42, married and has been with the Company for 22years</v>
      </c>
    </row>
    <row r="1446" spans="1:29">
      <c r="A1446" s="18" t="str">
        <f t="shared" ca="1" si="242"/>
        <v>La-Res-2016-1445</v>
      </c>
      <c r="B1446" s="5">
        <v>56</v>
      </c>
      <c r="C1446" s="5" t="str">
        <f t="shared" si="243"/>
        <v>50+</v>
      </c>
      <c r="D1446" s="5" t="s">
        <v>35</v>
      </c>
      <c r="E1446" s="5" t="s">
        <v>45</v>
      </c>
      <c r="F1446" s="5" t="s">
        <v>46</v>
      </c>
      <c r="G1446" s="5">
        <v>1</v>
      </c>
      <c r="H1446" s="5" t="s">
        <v>50</v>
      </c>
      <c r="I1446" s="5" t="s">
        <v>48</v>
      </c>
      <c r="J1446" s="7">
        <v>2339</v>
      </c>
      <c r="K1446" s="7">
        <f t="shared" si="244"/>
        <v>163.73000000000002</v>
      </c>
      <c r="L1446" s="7">
        <f t="shared" si="245"/>
        <v>2175.27</v>
      </c>
      <c r="M1446" s="7">
        <v>3666</v>
      </c>
      <c r="N1446" s="5" t="s">
        <v>43</v>
      </c>
      <c r="O1446" s="5">
        <v>11</v>
      </c>
      <c r="P1446" s="7">
        <f t="shared" si="246"/>
        <v>2596.2900000000004</v>
      </c>
      <c r="Q1446" s="7">
        <f t="shared" si="247"/>
        <v>3087.480000000005</v>
      </c>
      <c r="R1446" s="7" t="str">
        <f t="shared" si="248"/>
        <v>Normal</v>
      </c>
      <c r="S1446" s="5">
        <v>3</v>
      </c>
      <c r="T1446" s="5">
        <v>1</v>
      </c>
      <c r="U1446" s="5" t="str" cm="1">
        <f t="array" ref="U1446">_xlfn.IFS(T1446=1,"Poor",T1446=2,"Fair",T1446=3,"Good",T1446=4,"Excellent")</f>
        <v>Poor</v>
      </c>
      <c r="V1446" s="5" t="s">
        <v>43</v>
      </c>
      <c r="W1446" s="5">
        <v>10</v>
      </c>
      <c r="X1446" s="28">
        <f t="shared" ca="1" si="249"/>
        <v>42459</v>
      </c>
      <c r="Y1446" s="28">
        <f t="shared" ca="1" si="250"/>
        <v>46842</v>
      </c>
      <c r="Z1446" s="28" t="str">
        <f t="shared" ca="1" si="251"/>
        <v>Upcoming</v>
      </c>
      <c r="AA1446" s="5" t="str" cm="1">
        <f t="array" ref="AA1446">_xlfn.IFS(W1446&gt;10,"Veteran",W1446&gt;=6,"Experienced",W1446&gt;=2,"Developing",W1446&gt;=0,"New")</f>
        <v>Experienced</v>
      </c>
      <c r="AB1446" s="5" t="str" cm="1">
        <f t="array" ref="AB1446">_xlfn.IFS(G1446=1,"Junior",G1446=2,"Mid-Level",G1446=3,"Senior",G1446=4,"Lead",G1446=5,"Principal")&amp;" "&amp;TRIM(PROPER(H1446))</f>
        <v>Junior Laboratory Technician</v>
      </c>
      <c r="AC1446" s="19" t="str">
        <f t="shared" ca="1" si="252"/>
        <v>La-Res-2016-1445 is a Junior Laboratory Technician in the Research &amp; Development department, aged 56, married and has been with the Company for 10years</v>
      </c>
    </row>
    <row r="1447" spans="1:29">
      <c r="A1447" s="18" t="str">
        <f t="shared" ca="1" si="242"/>
        <v>Ma-Res-2006-1446</v>
      </c>
      <c r="B1447" s="5">
        <v>41</v>
      </c>
      <c r="C1447" s="5" t="str">
        <f t="shared" si="243"/>
        <v>40-49</v>
      </c>
      <c r="D1447" s="5" t="s">
        <v>43</v>
      </c>
      <c r="E1447" s="5" t="s">
        <v>45</v>
      </c>
      <c r="F1447" s="5" t="s">
        <v>39</v>
      </c>
      <c r="G1447" s="5">
        <v>4</v>
      </c>
      <c r="H1447" s="5" t="s">
        <v>53</v>
      </c>
      <c r="I1447" s="5" t="s">
        <v>48</v>
      </c>
      <c r="J1447" s="7">
        <v>13570</v>
      </c>
      <c r="K1447" s="7">
        <f t="shared" si="244"/>
        <v>4071</v>
      </c>
      <c r="L1447" s="7">
        <f t="shared" si="245"/>
        <v>9499</v>
      </c>
      <c r="M1447" s="7">
        <v>5640</v>
      </c>
      <c r="N1447" s="5" t="s">
        <v>43</v>
      </c>
      <c r="O1447" s="5">
        <v>23</v>
      </c>
      <c r="P1447" s="7">
        <f t="shared" si="246"/>
        <v>16691.099999999999</v>
      </c>
      <c r="Q1447" s="7">
        <f t="shared" si="247"/>
        <v>37453.199999999983</v>
      </c>
      <c r="R1447" s="7" t="str">
        <f t="shared" si="248"/>
        <v>Normal</v>
      </c>
      <c r="S1447" s="5">
        <v>4</v>
      </c>
      <c r="T1447" s="5">
        <v>3</v>
      </c>
      <c r="U1447" s="5" t="str" cm="1">
        <f t="array" ref="U1447">_xlfn.IFS(T1447=1,"Poor",T1447=2,"Fair",T1447=3,"Good",T1447=4,"Excellent")</f>
        <v>Good</v>
      </c>
      <c r="V1447" s="5" t="s">
        <v>43</v>
      </c>
      <c r="W1447" s="5">
        <v>20</v>
      </c>
      <c r="X1447" s="28">
        <f t="shared" ca="1" si="249"/>
        <v>38806</v>
      </c>
      <c r="Y1447" s="28">
        <f t="shared" ca="1" si="250"/>
        <v>46842</v>
      </c>
      <c r="Z1447" s="28" t="str">
        <f t="shared" ca="1" si="251"/>
        <v>Upcoming</v>
      </c>
      <c r="AA1447" s="5" t="str" cm="1">
        <f t="array" ref="AA1447">_xlfn.IFS(W1447&gt;10,"Veteran",W1447&gt;=6,"Experienced",W1447&gt;=2,"Developing",W1447&gt;=0,"New")</f>
        <v>Veteran</v>
      </c>
      <c r="AB1447" s="5" t="str" cm="1">
        <f t="array" ref="AB1447">_xlfn.IFS(G1447=1,"Junior",G1447=2,"Mid-Level",G1447=3,"Senior",G1447=4,"Lead",G1447=5,"Principal")&amp;" "&amp;TRIM(PROPER(H1447))</f>
        <v>Lead Manufacturing Director</v>
      </c>
      <c r="AC1447" s="19" t="str">
        <f t="shared" ca="1" si="252"/>
        <v>Ma-Res-2006-1446 is a Lead Manufacturing Director in the Research &amp; Development department, aged 41, married and has been with the Company for 20years</v>
      </c>
    </row>
    <row r="1448" spans="1:29">
      <c r="A1448" s="18" t="str">
        <f t="shared" ca="1" si="242"/>
        <v>Sa-Sal-2018-1447</v>
      </c>
      <c r="B1448" s="5">
        <v>34</v>
      </c>
      <c r="C1448" s="5" t="str">
        <f t="shared" si="243"/>
        <v>30-39</v>
      </c>
      <c r="D1448" s="5" t="s">
        <v>43</v>
      </c>
      <c r="E1448" s="5" t="s">
        <v>37</v>
      </c>
      <c r="F1448" s="5" t="s">
        <v>39</v>
      </c>
      <c r="G1448" s="5">
        <v>2</v>
      </c>
      <c r="H1448" s="5" t="s">
        <v>40</v>
      </c>
      <c r="I1448" s="5" t="s">
        <v>48</v>
      </c>
      <c r="J1448" s="7">
        <v>6712</v>
      </c>
      <c r="K1448" s="7">
        <f t="shared" si="244"/>
        <v>1006.8</v>
      </c>
      <c r="L1448" s="7">
        <f t="shared" si="245"/>
        <v>5705.2</v>
      </c>
      <c r="M1448" s="7">
        <v>8978</v>
      </c>
      <c r="N1448" s="5" t="s">
        <v>43</v>
      </c>
      <c r="O1448" s="5">
        <v>21</v>
      </c>
      <c r="P1448" s="7">
        <f t="shared" si="246"/>
        <v>8121.5199999999995</v>
      </c>
      <c r="Q1448" s="7">
        <f t="shared" si="247"/>
        <v>16914.239999999994</v>
      </c>
      <c r="R1448" s="7" t="str">
        <f t="shared" si="248"/>
        <v>Normal</v>
      </c>
      <c r="S1448" s="5">
        <v>4</v>
      </c>
      <c r="T1448" s="5">
        <v>3</v>
      </c>
      <c r="U1448" s="5" t="str" cm="1">
        <f t="array" ref="U1448">_xlfn.IFS(T1448=1,"Poor",T1448=2,"Fair",T1448=3,"Good",T1448=4,"Excellent")</f>
        <v>Good</v>
      </c>
      <c r="V1448" s="5" t="s">
        <v>43</v>
      </c>
      <c r="W1448" s="5">
        <v>8</v>
      </c>
      <c r="X1448" s="28">
        <f t="shared" ca="1" si="249"/>
        <v>43189</v>
      </c>
      <c r="Y1448" s="28">
        <f t="shared" ca="1" si="250"/>
        <v>46842</v>
      </c>
      <c r="Z1448" s="28" t="str">
        <f t="shared" ca="1" si="251"/>
        <v>Upcoming</v>
      </c>
      <c r="AA1448" s="5" t="str" cm="1">
        <f t="array" ref="AA1448">_xlfn.IFS(W1448&gt;10,"Veteran",W1448&gt;=6,"Experienced",W1448&gt;=2,"Developing",W1448&gt;=0,"New")</f>
        <v>Experienced</v>
      </c>
      <c r="AB1448" s="5" t="str" cm="1">
        <f t="array" ref="AB1448">_xlfn.IFS(G1448=1,"Junior",G1448=2,"Mid-Level",G1448=3,"Senior",G1448=4,"Lead",G1448=5,"Principal")&amp;" "&amp;TRIM(PROPER(H1448))</f>
        <v>Mid-Level Sales Executive</v>
      </c>
      <c r="AC1448" s="19" t="str">
        <f t="shared" ca="1" si="252"/>
        <v>Sa-Sal-2018-1447 is a Mid-Level Sales Executive in the Sales department, aged 34, married and has been with the Company for 8years</v>
      </c>
    </row>
    <row r="1449" spans="1:29">
      <c r="A1449" s="18" t="str">
        <f t="shared" ca="1" si="242"/>
        <v>Sa-Sal-2011-1448</v>
      </c>
      <c r="B1449" s="5">
        <v>36</v>
      </c>
      <c r="C1449" s="5" t="str">
        <f t="shared" si="243"/>
        <v>30-39</v>
      </c>
      <c r="D1449" s="5" t="s">
        <v>43</v>
      </c>
      <c r="E1449" s="5" t="s">
        <v>37</v>
      </c>
      <c r="F1449" s="5" t="s">
        <v>46</v>
      </c>
      <c r="G1449" s="5">
        <v>2</v>
      </c>
      <c r="H1449" s="5" t="s">
        <v>40</v>
      </c>
      <c r="I1449" s="5" t="s">
        <v>52</v>
      </c>
      <c r="J1449" s="7">
        <v>5406</v>
      </c>
      <c r="K1449" s="7">
        <f t="shared" si="244"/>
        <v>810.9</v>
      </c>
      <c r="L1449" s="7">
        <f t="shared" si="245"/>
        <v>4595.1000000000004</v>
      </c>
      <c r="M1449" s="7">
        <v>10436</v>
      </c>
      <c r="N1449" s="5" t="s">
        <v>43</v>
      </c>
      <c r="O1449" s="5">
        <v>24</v>
      </c>
      <c r="P1449" s="7">
        <f t="shared" si="246"/>
        <v>6703.44</v>
      </c>
      <c r="Q1449" s="7">
        <f t="shared" si="247"/>
        <v>15569.279999999995</v>
      </c>
      <c r="R1449" s="7" t="str">
        <f t="shared" si="248"/>
        <v>Normal</v>
      </c>
      <c r="S1449" s="5">
        <v>4</v>
      </c>
      <c r="T1449" s="5">
        <v>2</v>
      </c>
      <c r="U1449" s="5" t="str" cm="1">
        <f t="array" ref="U1449">_xlfn.IFS(T1449=1,"Poor",T1449=2,"Fair",T1449=3,"Good",T1449=4,"Excellent")</f>
        <v>Fair</v>
      </c>
      <c r="V1449" s="5" t="s">
        <v>43</v>
      </c>
      <c r="W1449" s="5">
        <v>15</v>
      </c>
      <c r="X1449" s="28">
        <f t="shared" ca="1" si="249"/>
        <v>40632</v>
      </c>
      <c r="Y1449" s="28">
        <f t="shared" ca="1" si="250"/>
        <v>46476</v>
      </c>
      <c r="Z1449" s="28" t="str">
        <f t="shared" ca="1" si="251"/>
        <v>Due Soon</v>
      </c>
      <c r="AA1449" s="5" t="str" cm="1">
        <f t="array" ref="AA1449">_xlfn.IFS(W1449&gt;10,"Veteran",W1449&gt;=6,"Experienced",W1449&gt;=2,"Developing",W1449&gt;=0,"New")</f>
        <v>Veteran</v>
      </c>
      <c r="AB1449" s="5" t="str" cm="1">
        <f t="array" ref="AB1449">_xlfn.IFS(G1449=1,"Junior",G1449=2,"Mid-Level",G1449=3,"Senior",G1449=4,"Lead",G1449=5,"Principal")&amp;" "&amp;TRIM(PROPER(H1449))</f>
        <v>Mid-Level Sales Executive</v>
      </c>
      <c r="AC1449" s="19" t="str">
        <f t="shared" ca="1" si="252"/>
        <v>Sa-Sal-2011-1448 is a Mid-Level Sales Executive in the Sales department, aged 36, divorced and has been with the Company for 15years</v>
      </c>
    </row>
    <row r="1450" spans="1:29">
      <c r="A1450" s="18" t="str">
        <f t="shared" ca="1" si="242"/>
        <v>Sa-Sal-2021-1449</v>
      </c>
      <c r="B1450" s="5">
        <v>41</v>
      </c>
      <c r="C1450" s="5" t="str">
        <f t="shared" si="243"/>
        <v>40-49</v>
      </c>
      <c r="D1450" s="5" t="s">
        <v>43</v>
      </c>
      <c r="E1450" s="5" t="s">
        <v>37</v>
      </c>
      <c r="F1450" s="5" t="s">
        <v>46</v>
      </c>
      <c r="G1450" s="5">
        <v>2</v>
      </c>
      <c r="H1450" s="5" t="s">
        <v>40</v>
      </c>
      <c r="I1450" s="5" t="s">
        <v>52</v>
      </c>
      <c r="J1450" s="7">
        <v>8938</v>
      </c>
      <c r="K1450" s="7">
        <f t="shared" si="244"/>
        <v>1966.36</v>
      </c>
      <c r="L1450" s="7">
        <f t="shared" si="245"/>
        <v>6971.64</v>
      </c>
      <c r="M1450" s="7">
        <v>12227</v>
      </c>
      <c r="N1450" s="5" t="s">
        <v>43</v>
      </c>
      <c r="O1450" s="5">
        <v>11</v>
      </c>
      <c r="P1450" s="7">
        <f t="shared" si="246"/>
        <v>9921.18</v>
      </c>
      <c r="Q1450" s="7">
        <f t="shared" si="247"/>
        <v>11798.160000000003</v>
      </c>
      <c r="R1450" s="7" t="str">
        <f t="shared" si="248"/>
        <v>Normal</v>
      </c>
      <c r="S1450" s="5">
        <v>3</v>
      </c>
      <c r="T1450" s="5">
        <v>3</v>
      </c>
      <c r="U1450" s="5" t="str" cm="1">
        <f t="array" ref="U1450">_xlfn.IFS(T1450=1,"Poor",T1450=2,"Fair",T1450=3,"Good",T1450=4,"Excellent")</f>
        <v>Good</v>
      </c>
      <c r="V1450" s="5" t="s">
        <v>43</v>
      </c>
      <c r="W1450" s="5">
        <v>5</v>
      </c>
      <c r="X1450" s="28">
        <f t="shared" ca="1" si="249"/>
        <v>44285</v>
      </c>
      <c r="Y1450" s="28">
        <f t="shared" ca="1" si="250"/>
        <v>46476</v>
      </c>
      <c r="Z1450" s="28" t="str">
        <f t="shared" ca="1" si="251"/>
        <v>Due Soon</v>
      </c>
      <c r="AA1450" s="5" t="str" cm="1">
        <f t="array" ref="AA1450">_xlfn.IFS(W1450&gt;10,"Veteran",W1450&gt;=6,"Experienced",W1450&gt;=2,"Developing",W1450&gt;=0,"New")</f>
        <v>Developing</v>
      </c>
      <c r="AB1450" s="5" t="str" cm="1">
        <f t="array" ref="AB1450">_xlfn.IFS(G1450=1,"Junior",G1450=2,"Mid-Level",G1450=3,"Senior",G1450=4,"Lead",G1450=5,"Principal")&amp;" "&amp;TRIM(PROPER(H1450))</f>
        <v>Mid-Level Sales Executive</v>
      </c>
      <c r="AC1450" s="19" t="str">
        <f t="shared" ca="1" si="252"/>
        <v>Sa-Sal-2021-1449 is a Mid-Level Sales Executive in the Sales department, aged 41, divorced and has been with the Company for 5years</v>
      </c>
    </row>
    <row r="1451" spans="1:29">
      <c r="A1451" s="18" t="str">
        <f t="shared" ca="1" si="242"/>
        <v>Re-Res-2022-1450</v>
      </c>
      <c r="B1451" s="5">
        <v>32</v>
      </c>
      <c r="C1451" s="5" t="str">
        <f t="shared" si="243"/>
        <v>30-39</v>
      </c>
      <c r="D1451" s="5" t="s">
        <v>43</v>
      </c>
      <c r="E1451" s="5" t="s">
        <v>45</v>
      </c>
      <c r="F1451" s="5" t="s">
        <v>46</v>
      </c>
      <c r="G1451" s="5">
        <v>1</v>
      </c>
      <c r="H1451" s="5" t="s">
        <v>47</v>
      </c>
      <c r="I1451" s="5" t="s">
        <v>41</v>
      </c>
      <c r="J1451" s="7">
        <v>2439</v>
      </c>
      <c r="K1451" s="7">
        <f t="shared" si="244"/>
        <v>170.73000000000002</v>
      </c>
      <c r="L1451" s="7">
        <f t="shared" si="245"/>
        <v>2268.27</v>
      </c>
      <c r="M1451" s="7">
        <v>11288</v>
      </c>
      <c r="N1451" s="5" t="s">
        <v>43</v>
      </c>
      <c r="O1451" s="5">
        <v>14</v>
      </c>
      <c r="P1451" s="7">
        <f t="shared" si="246"/>
        <v>2780.4600000000005</v>
      </c>
      <c r="Q1451" s="7">
        <f t="shared" si="247"/>
        <v>4097.5200000000059</v>
      </c>
      <c r="R1451" s="7" t="str">
        <f t="shared" si="248"/>
        <v>Normal</v>
      </c>
      <c r="S1451" s="5">
        <v>3</v>
      </c>
      <c r="T1451" s="5">
        <v>3</v>
      </c>
      <c r="U1451" s="5" t="str" cm="1">
        <f t="array" ref="U1451">_xlfn.IFS(T1451=1,"Poor",T1451=2,"Fair",T1451=3,"Good",T1451=4,"Excellent")</f>
        <v>Good</v>
      </c>
      <c r="V1451" s="5" t="s">
        <v>43</v>
      </c>
      <c r="W1451" s="5">
        <v>4</v>
      </c>
      <c r="X1451" s="28">
        <f t="shared" ca="1" si="249"/>
        <v>44650</v>
      </c>
      <c r="Y1451" s="28">
        <f t="shared" ca="1" si="250"/>
        <v>46842</v>
      </c>
      <c r="Z1451" s="28" t="str">
        <f t="shared" ca="1" si="251"/>
        <v>Upcoming</v>
      </c>
      <c r="AA1451" s="5" t="str" cm="1">
        <f t="array" ref="AA1451">_xlfn.IFS(W1451&gt;10,"Veteran",W1451&gt;=6,"Experienced",W1451&gt;=2,"Developing",W1451&gt;=0,"New")</f>
        <v>Developing</v>
      </c>
      <c r="AB1451" s="5" t="str" cm="1">
        <f t="array" ref="AB1451">_xlfn.IFS(G1451=1,"Junior",G1451=2,"Mid-Level",G1451=3,"Senior",G1451=4,"Lead",G1451=5,"Principal")&amp;" "&amp;TRIM(PROPER(H1451))</f>
        <v>Junior Research Scientist</v>
      </c>
      <c r="AC1451" s="19" t="str">
        <f t="shared" ca="1" si="252"/>
        <v>Re-Res-2022-1450 is a Junior Research Scientist in the Research &amp; Development department, aged 32, single and has been with the Company for 4years</v>
      </c>
    </row>
    <row r="1452" spans="1:29">
      <c r="A1452" s="18" t="str">
        <f t="shared" ca="1" si="242"/>
        <v>Hu-Hum-2017-1451</v>
      </c>
      <c r="B1452" s="5">
        <v>35</v>
      </c>
      <c r="C1452" s="5" t="str">
        <f t="shared" si="243"/>
        <v>30-39</v>
      </c>
      <c r="D1452" s="5" t="s">
        <v>43</v>
      </c>
      <c r="E1452" s="5" t="s">
        <v>61</v>
      </c>
      <c r="F1452" s="5" t="s">
        <v>39</v>
      </c>
      <c r="G1452" s="5">
        <v>3</v>
      </c>
      <c r="H1452" s="5" t="s">
        <v>61</v>
      </c>
      <c r="I1452" s="5" t="s">
        <v>41</v>
      </c>
      <c r="J1452" s="7">
        <v>8837</v>
      </c>
      <c r="K1452" s="7">
        <f t="shared" si="244"/>
        <v>1944.14</v>
      </c>
      <c r="L1452" s="7">
        <f t="shared" si="245"/>
        <v>6892.86</v>
      </c>
      <c r="M1452" s="7">
        <v>16642</v>
      </c>
      <c r="N1452" s="5" t="s">
        <v>35</v>
      </c>
      <c r="O1452" s="5">
        <v>16</v>
      </c>
      <c r="P1452" s="7">
        <f t="shared" si="246"/>
        <v>10250.92</v>
      </c>
      <c r="Q1452" s="7">
        <f t="shared" si="247"/>
        <v>16967.04</v>
      </c>
      <c r="R1452" s="7" t="str">
        <f t="shared" si="248"/>
        <v>Normal</v>
      </c>
      <c r="S1452" s="5">
        <v>3</v>
      </c>
      <c r="T1452" s="5">
        <v>3</v>
      </c>
      <c r="U1452" s="5" t="str" cm="1">
        <f t="array" ref="U1452">_xlfn.IFS(T1452=1,"Poor",T1452=2,"Fair",T1452=3,"Good",T1452=4,"Excellent")</f>
        <v>Good</v>
      </c>
      <c r="V1452" s="5" t="s">
        <v>35</v>
      </c>
      <c r="W1452" s="5">
        <v>9</v>
      </c>
      <c r="X1452" s="28">
        <f t="shared" ca="1" si="249"/>
        <v>42824</v>
      </c>
      <c r="Y1452" s="28">
        <f t="shared" ca="1" si="250"/>
        <v>46476</v>
      </c>
      <c r="Z1452" s="28" t="str">
        <f t="shared" ca="1" si="251"/>
        <v>Due Soon</v>
      </c>
      <c r="AA1452" s="5" t="str" cm="1">
        <f t="array" ref="AA1452">_xlfn.IFS(W1452&gt;10,"Veteran",W1452&gt;=6,"Experienced",W1452&gt;=2,"Developing",W1452&gt;=0,"New")</f>
        <v>Experienced</v>
      </c>
      <c r="AB1452" s="5" t="str" cm="1">
        <f t="array" ref="AB1452">_xlfn.IFS(G1452=1,"Junior",G1452=2,"Mid-Level",G1452=3,"Senior",G1452=4,"Lead",G1452=5,"Principal")&amp;" "&amp;TRIM(PROPER(H1452))</f>
        <v>Senior Human Resources</v>
      </c>
      <c r="AC1452" s="19" t="str">
        <f t="shared" ca="1" si="252"/>
        <v>Hu-Hum-2017-1451 is a Senior Human Resources in the Human Resources department, aged 35, single and has been with the Company for 9years</v>
      </c>
    </row>
    <row r="1453" spans="1:29">
      <c r="A1453" s="18" t="str">
        <f t="shared" ca="1" si="242"/>
        <v>Sa-Sal-2016-1452</v>
      </c>
      <c r="B1453" s="5">
        <v>38</v>
      </c>
      <c r="C1453" s="5" t="str">
        <f t="shared" si="243"/>
        <v>30-39</v>
      </c>
      <c r="D1453" s="5" t="s">
        <v>43</v>
      </c>
      <c r="E1453" s="5" t="s">
        <v>37</v>
      </c>
      <c r="F1453" s="5" t="s">
        <v>39</v>
      </c>
      <c r="G1453" s="5">
        <v>2</v>
      </c>
      <c r="H1453" s="5" t="s">
        <v>40</v>
      </c>
      <c r="I1453" s="5" t="s">
        <v>48</v>
      </c>
      <c r="J1453" s="7">
        <v>5343</v>
      </c>
      <c r="K1453" s="7">
        <f t="shared" si="244"/>
        <v>801.44999999999993</v>
      </c>
      <c r="L1453" s="7">
        <f t="shared" si="245"/>
        <v>4541.55</v>
      </c>
      <c r="M1453" s="7">
        <v>5982</v>
      </c>
      <c r="N1453" s="5" t="s">
        <v>43</v>
      </c>
      <c r="O1453" s="5">
        <v>11</v>
      </c>
      <c r="P1453" s="7">
        <f t="shared" si="246"/>
        <v>5930.7300000000005</v>
      </c>
      <c r="Q1453" s="7">
        <f t="shared" si="247"/>
        <v>7052.7600000000057</v>
      </c>
      <c r="R1453" s="7" t="str">
        <f t="shared" si="248"/>
        <v>Normal</v>
      </c>
      <c r="S1453" s="5">
        <v>3</v>
      </c>
      <c r="T1453" s="5">
        <v>3</v>
      </c>
      <c r="U1453" s="5" t="str" cm="1">
        <f t="array" ref="U1453">_xlfn.IFS(T1453=1,"Poor",T1453=2,"Fair",T1453=3,"Good",T1453=4,"Excellent")</f>
        <v>Good</v>
      </c>
      <c r="V1453" s="5" t="s">
        <v>43</v>
      </c>
      <c r="W1453" s="5">
        <v>10</v>
      </c>
      <c r="X1453" s="28">
        <f t="shared" ca="1" si="249"/>
        <v>42459</v>
      </c>
      <c r="Y1453" s="28">
        <f t="shared" ca="1" si="250"/>
        <v>46842</v>
      </c>
      <c r="Z1453" s="28" t="str">
        <f t="shared" ca="1" si="251"/>
        <v>Upcoming</v>
      </c>
      <c r="AA1453" s="5" t="str" cm="1">
        <f t="array" ref="AA1453">_xlfn.IFS(W1453&gt;10,"Veteran",W1453&gt;=6,"Experienced",W1453&gt;=2,"Developing",W1453&gt;=0,"New")</f>
        <v>Experienced</v>
      </c>
      <c r="AB1453" s="5" t="str" cm="1">
        <f t="array" ref="AB1453">_xlfn.IFS(G1453=1,"Junior",G1453=2,"Mid-Level",G1453=3,"Senior",G1453=4,"Lead",G1453=5,"Principal")&amp;" "&amp;TRIM(PROPER(H1453))</f>
        <v>Mid-Level Sales Executive</v>
      </c>
      <c r="AC1453" s="19" t="str">
        <f t="shared" ca="1" si="252"/>
        <v>Sa-Sal-2016-1452 is a Mid-Level Sales Executive in the Sales department, aged 38, married and has been with the Company for 10years</v>
      </c>
    </row>
    <row r="1454" spans="1:29">
      <c r="A1454" s="18" t="str">
        <f t="shared" ca="1" si="242"/>
        <v>Sa-Sal-2020-1453</v>
      </c>
      <c r="B1454" s="5">
        <v>50</v>
      </c>
      <c r="C1454" s="5" t="str">
        <f t="shared" si="243"/>
        <v>50+</v>
      </c>
      <c r="D1454" s="5" t="s">
        <v>35</v>
      </c>
      <c r="E1454" s="5" t="s">
        <v>37</v>
      </c>
      <c r="F1454" s="5" t="s">
        <v>46</v>
      </c>
      <c r="G1454" s="5">
        <v>2</v>
      </c>
      <c r="H1454" s="5" t="s">
        <v>40</v>
      </c>
      <c r="I1454" s="5" t="s">
        <v>52</v>
      </c>
      <c r="J1454" s="7">
        <v>6728</v>
      </c>
      <c r="K1454" s="7">
        <f t="shared" si="244"/>
        <v>1009.1999999999999</v>
      </c>
      <c r="L1454" s="7">
        <f t="shared" si="245"/>
        <v>5718.8</v>
      </c>
      <c r="M1454" s="7">
        <v>14255</v>
      </c>
      <c r="N1454" s="5" t="s">
        <v>43</v>
      </c>
      <c r="O1454" s="5">
        <v>12</v>
      </c>
      <c r="P1454" s="7">
        <f t="shared" si="246"/>
        <v>7535.3600000000006</v>
      </c>
      <c r="Q1454" s="7">
        <f t="shared" si="247"/>
        <v>9688.320000000007</v>
      </c>
      <c r="R1454" s="7" t="str">
        <f t="shared" si="248"/>
        <v>Normal</v>
      </c>
      <c r="S1454" s="5">
        <v>3</v>
      </c>
      <c r="T1454" s="5">
        <v>3</v>
      </c>
      <c r="U1454" s="5" t="str" cm="1">
        <f t="array" ref="U1454">_xlfn.IFS(T1454=1,"Poor",T1454=2,"Fair",T1454=3,"Good",T1454=4,"Excellent")</f>
        <v>Good</v>
      </c>
      <c r="V1454" s="5" t="s">
        <v>43</v>
      </c>
      <c r="W1454" s="5">
        <v>6</v>
      </c>
      <c r="X1454" s="28">
        <f t="shared" ca="1" si="249"/>
        <v>43920</v>
      </c>
      <c r="Y1454" s="28">
        <f t="shared" ca="1" si="250"/>
        <v>46842</v>
      </c>
      <c r="Z1454" s="28" t="str">
        <f t="shared" ca="1" si="251"/>
        <v>Upcoming</v>
      </c>
      <c r="AA1454" s="5" t="str" cm="1">
        <f t="array" ref="AA1454">_xlfn.IFS(W1454&gt;10,"Veteran",W1454&gt;=6,"Experienced",W1454&gt;=2,"Developing",W1454&gt;=0,"New")</f>
        <v>Experienced</v>
      </c>
      <c r="AB1454" s="5" t="str" cm="1">
        <f t="array" ref="AB1454">_xlfn.IFS(G1454=1,"Junior",G1454=2,"Mid-Level",G1454=3,"Senior",G1454=4,"Lead",G1454=5,"Principal")&amp;" "&amp;TRIM(PROPER(H1454))</f>
        <v>Mid-Level Sales Executive</v>
      </c>
      <c r="AC1454" s="19" t="str">
        <f t="shared" ca="1" si="252"/>
        <v>Sa-Sal-2020-1453 is a Mid-Level Sales Executive in the Sales department, aged 50, divorced and has been with the Company for 6years</v>
      </c>
    </row>
    <row r="1455" spans="1:29">
      <c r="A1455" s="18" t="str">
        <f t="shared" ca="1" si="242"/>
        <v>Sa-Sal-2020-1454</v>
      </c>
      <c r="B1455" s="5">
        <v>36</v>
      </c>
      <c r="C1455" s="5" t="str">
        <f t="shared" si="243"/>
        <v>30-39</v>
      </c>
      <c r="D1455" s="5" t="s">
        <v>43</v>
      </c>
      <c r="E1455" s="5" t="s">
        <v>37</v>
      </c>
      <c r="F1455" s="5" t="s">
        <v>39</v>
      </c>
      <c r="G1455" s="5">
        <v>2</v>
      </c>
      <c r="H1455" s="5" t="s">
        <v>40</v>
      </c>
      <c r="I1455" s="5" t="s">
        <v>48</v>
      </c>
      <c r="J1455" s="7">
        <v>6652</v>
      </c>
      <c r="K1455" s="7">
        <f t="shared" si="244"/>
        <v>997.8</v>
      </c>
      <c r="L1455" s="7">
        <f t="shared" si="245"/>
        <v>5654.2</v>
      </c>
      <c r="M1455" s="7">
        <v>14369</v>
      </c>
      <c r="N1455" s="5" t="s">
        <v>43</v>
      </c>
      <c r="O1455" s="5">
        <v>13</v>
      </c>
      <c r="P1455" s="7">
        <f t="shared" si="246"/>
        <v>7516.7599999999993</v>
      </c>
      <c r="Q1455" s="7">
        <f t="shared" si="247"/>
        <v>10377.119999999992</v>
      </c>
      <c r="R1455" s="7" t="str">
        <f t="shared" si="248"/>
        <v>Normal</v>
      </c>
      <c r="S1455" s="5">
        <v>3</v>
      </c>
      <c r="T1455" s="5">
        <v>2</v>
      </c>
      <c r="U1455" s="5" t="str" cm="1">
        <f t="array" ref="U1455">_xlfn.IFS(T1455=1,"Poor",T1455=2,"Fair",T1455=3,"Good",T1455=4,"Excellent")</f>
        <v>Fair</v>
      </c>
      <c r="V1455" s="5" t="s">
        <v>43</v>
      </c>
      <c r="W1455" s="5">
        <v>6</v>
      </c>
      <c r="X1455" s="28">
        <f t="shared" ca="1" si="249"/>
        <v>43920</v>
      </c>
      <c r="Y1455" s="28">
        <f t="shared" ca="1" si="250"/>
        <v>46842</v>
      </c>
      <c r="Z1455" s="28" t="str">
        <f t="shared" ca="1" si="251"/>
        <v>Upcoming</v>
      </c>
      <c r="AA1455" s="5" t="str" cm="1">
        <f t="array" ref="AA1455">_xlfn.IFS(W1455&gt;10,"Veteran",W1455&gt;=6,"Experienced",W1455&gt;=2,"Developing",W1455&gt;=0,"New")</f>
        <v>Experienced</v>
      </c>
      <c r="AB1455" s="5" t="str" cm="1">
        <f t="array" ref="AB1455">_xlfn.IFS(G1455=1,"Junior",G1455=2,"Mid-Level",G1455=3,"Senior",G1455=4,"Lead",G1455=5,"Principal")&amp;" "&amp;TRIM(PROPER(H1455))</f>
        <v>Mid-Level Sales Executive</v>
      </c>
      <c r="AC1455" s="19" t="str">
        <f t="shared" ca="1" si="252"/>
        <v>Sa-Sal-2020-1454 is a Mid-Level Sales Executive in the Sales department, aged 36, married and has been with the Company for 6years</v>
      </c>
    </row>
    <row r="1456" spans="1:29">
      <c r="A1456" s="18" t="str">
        <f t="shared" ca="1" si="242"/>
        <v>Sa-Sal-2021-1455</v>
      </c>
      <c r="B1456" s="5">
        <v>45</v>
      </c>
      <c r="C1456" s="5" t="str">
        <f t="shared" si="243"/>
        <v>40-49</v>
      </c>
      <c r="D1456" s="5" t="s">
        <v>43</v>
      </c>
      <c r="E1456" s="5" t="s">
        <v>37</v>
      </c>
      <c r="F1456" s="5" t="s">
        <v>39</v>
      </c>
      <c r="G1456" s="5">
        <v>2</v>
      </c>
      <c r="H1456" s="5" t="s">
        <v>40</v>
      </c>
      <c r="I1456" s="5" t="s">
        <v>41</v>
      </c>
      <c r="J1456" s="7">
        <v>4850</v>
      </c>
      <c r="K1456" s="7">
        <f t="shared" si="244"/>
        <v>727.5</v>
      </c>
      <c r="L1456" s="7">
        <f t="shared" si="245"/>
        <v>4122.5</v>
      </c>
      <c r="M1456" s="7">
        <v>23333</v>
      </c>
      <c r="N1456" s="5" t="s">
        <v>43</v>
      </c>
      <c r="O1456" s="5">
        <v>15</v>
      </c>
      <c r="P1456" s="7">
        <f t="shared" si="246"/>
        <v>5577.5</v>
      </c>
      <c r="Q1456" s="7">
        <f t="shared" si="247"/>
        <v>8730</v>
      </c>
      <c r="R1456" s="7" t="str">
        <f t="shared" si="248"/>
        <v>Normal</v>
      </c>
      <c r="S1456" s="5">
        <v>3</v>
      </c>
      <c r="T1456" s="5">
        <v>3</v>
      </c>
      <c r="U1456" s="5" t="str" cm="1">
        <f t="array" ref="U1456">_xlfn.IFS(T1456=1,"Poor",T1456=2,"Fair",T1456=3,"Good",T1456=4,"Excellent")</f>
        <v>Good</v>
      </c>
      <c r="V1456" s="5" t="s">
        <v>43</v>
      </c>
      <c r="W1456" s="5">
        <v>5</v>
      </c>
      <c r="X1456" s="28">
        <f t="shared" ca="1" si="249"/>
        <v>44285</v>
      </c>
      <c r="Y1456" s="28">
        <f t="shared" ca="1" si="250"/>
        <v>46476</v>
      </c>
      <c r="Z1456" s="28" t="str">
        <f t="shared" ca="1" si="251"/>
        <v>Due Soon</v>
      </c>
      <c r="AA1456" s="5" t="str" cm="1">
        <f t="array" ref="AA1456">_xlfn.IFS(W1456&gt;10,"Veteran",W1456&gt;=6,"Experienced",W1456&gt;=2,"Developing",W1456&gt;=0,"New")</f>
        <v>Developing</v>
      </c>
      <c r="AB1456" s="5" t="str" cm="1">
        <f t="array" ref="AB1456">_xlfn.IFS(G1456=1,"Junior",G1456=2,"Mid-Level",G1456=3,"Senior",G1456=4,"Lead",G1456=5,"Principal")&amp;" "&amp;TRIM(PROPER(H1456))</f>
        <v>Mid-Level Sales Executive</v>
      </c>
      <c r="AC1456" s="19" t="str">
        <f t="shared" ca="1" si="252"/>
        <v>Sa-Sal-2021-1455 is a Mid-Level Sales Executive in the Sales department, aged 45, single and has been with the Company for 5years</v>
      </c>
    </row>
    <row r="1457" spans="1:29">
      <c r="A1457" s="18" t="str">
        <f t="shared" ca="1" si="242"/>
        <v>Re-Res-2024-1456</v>
      </c>
      <c r="B1457" s="5">
        <v>40</v>
      </c>
      <c r="C1457" s="5" t="str">
        <f t="shared" si="243"/>
        <v>40-49</v>
      </c>
      <c r="D1457" s="5" t="s">
        <v>43</v>
      </c>
      <c r="E1457" s="5" t="s">
        <v>45</v>
      </c>
      <c r="F1457" s="5" t="s">
        <v>46</v>
      </c>
      <c r="G1457" s="5">
        <v>1</v>
      </c>
      <c r="H1457" s="5" t="s">
        <v>47</v>
      </c>
      <c r="I1457" s="5" t="s">
        <v>41</v>
      </c>
      <c r="J1457" s="7">
        <v>2809</v>
      </c>
      <c r="K1457" s="7">
        <f t="shared" si="244"/>
        <v>196.63000000000002</v>
      </c>
      <c r="L1457" s="7">
        <f t="shared" si="245"/>
        <v>2612.37</v>
      </c>
      <c r="M1457" s="7">
        <v>2725</v>
      </c>
      <c r="N1457" s="5" t="s">
        <v>43</v>
      </c>
      <c r="O1457" s="5">
        <v>14</v>
      </c>
      <c r="P1457" s="7">
        <f t="shared" si="246"/>
        <v>3202.26</v>
      </c>
      <c r="Q1457" s="7">
        <f t="shared" si="247"/>
        <v>4719.1200000000026</v>
      </c>
      <c r="R1457" s="7" t="str">
        <f t="shared" si="248"/>
        <v>Normal</v>
      </c>
      <c r="S1457" s="5">
        <v>3</v>
      </c>
      <c r="T1457" s="5">
        <v>3</v>
      </c>
      <c r="U1457" s="5" t="str" cm="1">
        <f t="array" ref="U1457">_xlfn.IFS(T1457=1,"Poor",T1457=2,"Fair",T1457=3,"Good",T1457=4,"Excellent")</f>
        <v>Good</v>
      </c>
      <c r="V1457" s="5" t="s">
        <v>43</v>
      </c>
      <c r="W1457" s="5">
        <v>2</v>
      </c>
      <c r="X1457" s="28">
        <f t="shared" ca="1" si="249"/>
        <v>45381</v>
      </c>
      <c r="Y1457" s="28">
        <f t="shared" ca="1" si="250"/>
        <v>46842</v>
      </c>
      <c r="Z1457" s="28" t="str">
        <f t="shared" ca="1" si="251"/>
        <v>Upcoming</v>
      </c>
      <c r="AA1457" s="5" t="str" cm="1">
        <f t="array" ref="AA1457">_xlfn.IFS(W1457&gt;10,"Veteran",W1457&gt;=6,"Experienced",W1457&gt;=2,"Developing",W1457&gt;=0,"New")</f>
        <v>Developing</v>
      </c>
      <c r="AB1457" s="5" t="str" cm="1">
        <f t="array" ref="AB1457">_xlfn.IFS(G1457=1,"Junior",G1457=2,"Mid-Level",G1457=3,"Senior",G1457=4,"Lead",G1457=5,"Principal")&amp;" "&amp;TRIM(PROPER(H1457))</f>
        <v>Junior Research Scientist</v>
      </c>
      <c r="AC1457" s="19" t="str">
        <f t="shared" ca="1" si="252"/>
        <v>Re-Res-2024-1456 is a Junior Research Scientist in the Research &amp; Development department, aged 40, single and has been with the Company for 2years</v>
      </c>
    </row>
    <row r="1458" spans="1:29">
      <c r="A1458" s="18" t="str">
        <f t="shared" ca="1" si="242"/>
        <v>He-Res-2016-1457</v>
      </c>
      <c r="B1458" s="5">
        <v>35</v>
      </c>
      <c r="C1458" s="5" t="str">
        <f t="shared" si="243"/>
        <v>30-39</v>
      </c>
      <c r="D1458" s="5" t="s">
        <v>43</v>
      </c>
      <c r="E1458" s="5" t="s">
        <v>45</v>
      </c>
      <c r="F1458" s="5" t="s">
        <v>46</v>
      </c>
      <c r="G1458" s="5">
        <v>2</v>
      </c>
      <c r="H1458" s="5" t="s">
        <v>54</v>
      </c>
      <c r="I1458" s="5" t="s">
        <v>48</v>
      </c>
      <c r="J1458" s="7">
        <v>5689</v>
      </c>
      <c r="K1458" s="7">
        <f t="shared" si="244"/>
        <v>853.35</v>
      </c>
      <c r="L1458" s="7">
        <f t="shared" si="245"/>
        <v>4835.6499999999996</v>
      </c>
      <c r="M1458" s="7">
        <v>24594</v>
      </c>
      <c r="N1458" s="5" t="s">
        <v>35</v>
      </c>
      <c r="O1458" s="5">
        <v>14</v>
      </c>
      <c r="P1458" s="7">
        <f t="shared" si="246"/>
        <v>6485.4600000000009</v>
      </c>
      <c r="Q1458" s="7">
        <f t="shared" si="247"/>
        <v>9557.5200000000114</v>
      </c>
      <c r="R1458" s="7" t="str">
        <f t="shared" si="248"/>
        <v>Normal</v>
      </c>
      <c r="S1458" s="5">
        <v>3</v>
      </c>
      <c r="T1458" s="5">
        <v>4</v>
      </c>
      <c r="U1458" s="5" t="str" cm="1">
        <f t="array" ref="U1458">_xlfn.IFS(T1458=1,"Poor",T1458=2,"Fair",T1458=3,"Good",T1458=4,"Excellent")</f>
        <v>Excellent</v>
      </c>
      <c r="V1458" s="5" t="s">
        <v>35</v>
      </c>
      <c r="W1458" s="5">
        <v>10</v>
      </c>
      <c r="X1458" s="28">
        <f t="shared" ca="1" si="249"/>
        <v>42459</v>
      </c>
      <c r="Y1458" s="28">
        <f t="shared" ca="1" si="250"/>
        <v>46842</v>
      </c>
      <c r="Z1458" s="28" t="str">
        <f t="shared" ca="1" si="251"/>
        <v>Upcoming</v>
      </c>
      <c r="AA1458" s="5" t="str" cm="1">
        <f t="array" ref="AA1458">_xlfn.IFS(W1458&gt;10,"Veteran",W1458&gt;=6,"Experienced",W1458&gt;=2,"Developing",W1458&gt;=0,"New")</f>
        <v>Experienced</v>
      </c>
      <c r="AB1458" s="5" t="str" cm="1">
        <f t="array" ref="AB1458">_xlfn.IFS(G1458=1,"Junior",G1458=2,"Mid-Level",G1458=3,"Senior",G1458=4,"Lead",G1458=5,"Principal")&amp;" "&amp;TRIM(PROPER(H1458))</f>
        <v>Mid-Level Healthcare Representative</v>
      </c>
      <c r="AC1458" s="19" t="str">
        <f t="shared" ca="1" si="252"/>
        <v>He-Res-2016-1457 is a Mid-Level Healthcare Representative in the Research &amp; Development department, aged 35, married and has been with the Company for 10years</v>
      </c>
    </row>
    <row r="1459" spans="1:29">
      <c r="A1459" s="18" t="str">
        <f t="shared" ca="1" si="242"/>
        <v>Re-Res-2021-1458</v>
      </c>
      <c r="B1459" s="5">
        <v>40</v>
      </c>
      <c r="C1459" s="5" t="str">
        <f t="shared" si="243"/>
        <v>40-49</v>
      </c>
      <c r="D1459" s="5" t="s">
        <v>43</v>
      </c>
      <c r="E1459" s="5" t="s">
        <v>45</v>
      </c>
      <c r="F1459" s="5" t="s">
        <v>39</v>
      </c>
      <c r="G1459" s="5">
        <v>1</v>
      </c>
      <c r="H1459" s="5" t="s">
        <v>47</v>
      </c>
      <c r="I1459" s="5" t="s">
        <v>48</v>
      </c>
      <c r="J1459" s="7">
        <v>2001</v>
      </c>
      <c r="K1459" s="7">
        <f t="shared" si="244"/>
        <v>140.07000000000002</v>
      </c>
      <c r="L1459" s="7">
        <f t="shared" si="245"/>
        <v>1860.93</v>
      </c>
      <c r="M1459" s="7">
        <v>12549</v>
      </c>
      <c r="N1459" s="5" t="s">
        <v>43</v>
      </c>
      <c r="O1459" s="5">
        <v>14</v>
      </c>
      <c r="P1459" s="7">
        <f t="shared" si="246"/>
        <v>2281.1400000000003</v>
      </c>
      <c r="Q1459" s="7">
        <f t="shared" si="247"/>
        <v>3361.6800000000039</v>
      </c>
      <c r="R1459" s="7" t="str">
        <f t="shared" si="248"/>
        <v>Normal</v>
      </c>
      <c r="S1459" s="5">
        <v>3</v>
      </c>
      <c r="T1459" s="5">
        <v>3</v>
      </c>
      <c r="U1459" s="5" t="str" cm="1">
        <f t="array" ref="U1459">_xlfn.IFS(T1459=1,"Poor",T1459=2,"Fair",T1459=3,"Good",T1459=4,"Excellent")</f>
        <v>Good</v>
      </c>
      <c r="V1459" s="5" t="s">
        <v>43</v>
      </c>
      <c r="W1459" s="5">
        <v>5</v>
      </c>
      <c r="X1459" s="28">
        <f t="shared" ca="1" si="249"/>
        <v>44285</v>
      </c>
      <c r="Y1459" s="28">
        <f t="shared" ca="1" si="250"/>
        <v>46476</v>
      </c>
      <c r="Z1459" s="28" t="str">
        <f t="shared" ca="1" si="251"/>
        <v>Due Soon</v>
      </c>
      <c r="AA1459" s="5" t="str" cm="1">
        <f t="array" ref="AA1459">_xlfn.IFS(W1459&gt;10,"Veteran",W1459&gt;=6,"Experienced",W1459&gt;=2,"Developing",W1459&gt;=0,"New")</f>
        <v>Developing</v>
      </c>
      <c r="AB1459" s="5" t="str" cm="1">
        <f t="array" ref="AB1459">_xlfn.IFS(G1459=1,"Junior",G1459=2,"Mid-Level",G1459=3,"Senior",G1459=4,"Lead",G1459=5,"Principal")&amp;" "&amp;TRIM(PROPER(H1459))</f>
        <v>Junior Research Scientist</v>
      </c>
      <c r="AC1459" s="19" t="str">
        <f t="shared" ca="1" si="252"/>
        <v>Re-Res-2021-1458 is a Junior Research Scientist in the Research &amp; Development department, aged 40, married and has been with the Company for 5years</v>
      </c>
    </row>
    <row r="1460" spans="1:29">
      <c r="A1460" s="18" t="str">
        <f t="shared" ca="1" si="242"/>
        <v>Re-Res-2022-1459</v>
      </c>
      <c r="B1460" s="5">
        <v>35</v>
      </c>
      <c r="C1460" s="5" t="str">
        <f t="shared" si="243"/>
        <v>30-39</v>
      </c>
      <c r="D1460" s="5" t="s">
        <v>43</v>
      </c>
      <c r="E1460" s="5" t="s">
        <v>45</v>
      </c>
      <c r="F1460" s="5" t="s">
        <v>39</v>
      </c>
      <c r="G1460" s="5">
        <v>1</v>
      </c>
      <c r="H1460" s="5" t="s">
        <v>47</v>
      </c>
      <c r="I1460" s="5" t="s">
        <v>48</v>
      </c>
      <c r="J1460" s="7">
        <v>2977</v>
      </c>
      <c r="K1460" s="7">
        <f t="shared" si="244"/>
        <v>208.39000000000001</v>
      </c>
      <c r="L1460" s="7">
        <f t="shared" si="245"/>
        <v>2768.61</v>
      </c>
      <c r="M1460" s="7">
        <v>8952</v>
      </c>
      <c r="N1460" s="5" t="s">
        <v>43</v>
      </c>
      <c r="O1460" s="5">
        <v>12</v>
      </c>
      <c r="P1460" s="7">
        <f t="shared" si="246"/>
        <v>3334.2400000000002</v>
      </c>
      <c r="Q1460" s="7">
        <f t="shared" si="247"/>
        <v>4286.8800000000028</v>
      </c>
      <c r="R1460" s="7" t="str">
        <f t="shared" si="248"/>
        <v>Normal</v>
      </c>
      <c r="S1460" s="5">
        <v>3</v>
      </c>
      <c r="T1460" s="5">
        <v>3</v>
      </c>
      <c r="U1460" s="5" t="str" cm="1">
        <f t="array" ref="U1460">_xlfn.IFS(T1460=1,"Poor",T1460=2,"Fair",T1460=3,"Good",T1460=4,"Excellent")</f>
        <v>Good</v>
      </c>
      <c r="V1460" s="5" t="s">
        <v>43</v>
      </c>
      <c r="W1460" s="5">
        <v>4</v>
      </c>
      <c r="X1460" s="28">
        <f t="shared" ca="1" si="249"/>
        <v>44650</v>
      </c>
      <c r="Y1460" s="28">
        <f t="shared" ca="1" si="250"/>
        <v>46842</v>
      </c>
      <c r="Z1460" s="28" t="str">
        <f t="shared" ca="1" si="251"/>
        <v>Upcoming</v>
      </c>
      <c r="AA1460" s="5" t="str" cm="1">
        <f t="array" ref="AA1460">_xlfn.IFS(W1460&gt;10,"Veteran",W1460&gt;=6,"Experienced",W1460&gt;=2,"Developing",W1460&gt;=0,"New")</f>
        <v>Developing</v>
      </c>
      <c r="AB1460" s="5" t="str" cm="1">
        <f t="array" ref="AB1460">_xlfn.IFS(G1460=1,"Junior",G1460=2,"Mid-Level",G1460=3,"Senior",G1460=4,"Lead",G1460=5,"Principal")&amp;" "&amp;TRIM(PROPER(H1460))</f>
        <v>Junior Research Scientist</v>
      </c>
      <c r="AC1460" s="19" t="str">
        <f t="shared" ca="1" si="252"/>
        <v>Re-Res-2022-1459 is a Junior Research Scientist in the Research &amp; Development department, aged 35, married and has been with the Company for 4years</v>
      </c>
    </row>
    <row r="1461" spans="1:29">
      <c r="A1461" s="18" t="str">
        <f t="shared" ca="1" si="242"/>
        <v>La-Res-2022-1460</v>
      </c>
      <c r="B1461" s="5">
        <v>29</v>
      </c>
      <c r="C1461" s="5" t="str">
        <f t="shared" si="243"/>
        <v>20-29</v>
      </c>
      <c r="D1461" s="5" t="s">
        <v>43</v>
      </c>
      <c r="E1461" s="5" t="s">
        <v>45</v>
      </c>
      <c r="F1461" s="5" t="s">
        <v>46</v>
      </c>
      <c r="G1461" s="5">
        <v>2</v>
      </c>
      <c r="H1461" s="5" t="s">
        <v>50</v>
      </c>
      <c r="I1461" s="5" t="s">
        <v>48</v>
      </c>
      <c r="J1461" s="7">
        <v>4025</v>
      </c>
      <c r="K1461" s="7">
        <f t="shared" si="244"/>
        <v>603.75</v>
      </c>
      <c r="L1461" s="7">
        <f t="shared" si="245"/>
        <v>3421.25</v>
      </c>
      <c r="M1461" s="7">
        <v>23679</v>
      </c>
      <c r="N1461" s="5" t="s">
        <v>35</v>
      </c>
      <c r="O1461" s="5">
        <v>13</v>
      </c>
      <c r="P1461" s="7">
        <f t="shared" si="246"/>
        <v>4548.25</v>
      </c>
      <c r="Q1461" s="7">
        <f t="shared" si="247"/>
        <v>6279</v>
      </c>
      <c r="R1461" s="7" t="str">
        <f t="shared" si="248"/>
        <v>Normal</v>
      </c>
      <c r="S1461" s="5">
        <v>3</v>
      </c>
      <c r="T1461" s="5">
        <v>3</v>
      </c>
      <c r="U1461" s="5" t="str" cm="1">
        <f t="array" ref="U1461">_xlfn.IFS(T1461=1,"Poor",T1461=2,"Fair",T1461=3,"Good",T1461=4,"Excellent")</f>
        <v>Good</v>
      </c>
      <c r="V1461" s="5" t="s">
        <v>35</v>
      </c>
      <c r="W1461" s="5">
        <v>4</v>
      </c>
      <c r="X1461" s="28">
        <f t="shared" ca="1" si="249"/>
        <v>44650</v>
      </c>
      <c r="Y1461" s="28">
        <f t="shared" ca="1" si="250"/>
        <v>46842</v>
      </c>
      <c r="Z1461" s="28" t="str">
        <f t="shared" ca="1" si="251"/>
        <v>Upcoming</v>
      </c>
      <c r="AA1461" s="5" t="str" cm="1">
        <f t="array" ref="AA1461">_xlfn.IFS(W1461&gt;10,"Veteran",W1461&gt;=6,"Experienced",W1461&gt;=2,"Developing",W1461&gt;=0,"New")</f>
        <v>Developing</v>
      </c>
      <c r="AB1461" s="5" t="str" cm="1">
        <f t="array" ref="AB1461">_xlfn.IFS(G1461=1,"Junior",G1461=2,"Mid-Level",G1461=3,"Senior",G1461=4,"Lead",G1461=5,"Principal")&amp;" "&amp;TRIM(PROPER(H1461))</f>
        <v>Mid-Level Laboratory Technician</v>
      </c>
      <c r="AC1461" s="19" t="str">
        <f t="shared" ca="1" si="252"/>
        <v>La-Res-2022-1460 is a Mid-Level Laboratory Technician in the Research &amp; Development department, aged 29, married and has been with the Company for 4years</v>
      </c>
    </row>
    <row r="1462" spans="1:29">
      <c r="A1462" s="18" t="str">
        <f t="shared" ca="1" si="242"/>
        <v>Re-Res-2021-1461</v>
      </c>
      <c r="B1462" s="5">
        <v>29</v>
      </c>
      <c r="C1462" s="5" t="str">
        <f t="shared" si="243"/>
        <v>20-29</v>
      </c>
      <c r="D1462" s="5" t="s">
        <v>43</v>
      </c>
      <c r="E1462" s="5" t="s">
        <v>45</v>
      </c>
      <c r="F1462" s="5" t="s">
        <v>39</v>
      </c>
      <c r="G1462" s="5">
        <v>1</v>
      </c>
      <c r="H1462" s="5" t="s">
        <v>47</v>
      </c>
      <c r="I1462" s="5" t="s">
        <v>41</v>
      </c>
      <c r="J1462" s="7">
        <v>3785</v>
      </c>
      <c r="K1462" s="7">
        <f t="shared" si="244"/>
        <v>567.75</v>
      </c>
      <c r="L1462" s="7">
        <f t="shared" si="245"/>
        <v>3217.25</v>
      </c>
      <c r="M1462" s="7">
        <v>8489</v>
      </c>
      <c r="N1462" s="5" t="s">
        <v>43</v>
      </c>
      <c r="O1462" s="5">
        <v>14</v>
      </c>
      <c r="P1462" s="7">
        <f t="shared" si="246"/>
        <v>4314.9000000000005</v>
      </c>
      <c r="Q1462" s="7">
        <f t="shared" si="247"/>
        <v>6358.8000000000065</v>
      </c>
      <c r="R1462" s="7" t="str">
        <f t="shared" si="248"/>
        <v>Normal</v>
      </c>
      <c r="S1462" s="5">
        <v>3</v>
      </c>
      <c r="T1462" s="5">
        <v>1</v>
      </c>
      <c r="U1462" s="5" t="str" cm="1">
        <f t="array" ref="U1462">_xlfn.IFS(T1462=1,"Poor",T1462=2,"Fair",T1462=3,"Good",T1462=4,"Excellent")</f>
        <v>Poor</v>
      </c>
      <c r="V1462" s="5" t="s">
        <v>43</v>
      </c>
      <c r="W1462" s="5">
        <v>5</v>
      </c>
      <c r="X1462" s="28">
        <f t="shared" ca="1" si="249"/>
        <v>44285</v>
      </c>
      <c r="Y1462" s="28">
        <f t="shared" ca="1" si="250"/>
        <v>46476</v>
      </c>
      <c r="Z1462" s="28" t="str">
        <f t="shared" ca="1" si="251"/>
        <v>Due Soon</v>
      </c>
      <c r="AA1462" s="5" t="str" cm="1">
        <f t="array" ref="AA1462">_xlfn.IFS(W1462&gt;10,"Veteran",W1462&gt;=6,"Experienced",W1462&gt;=2,"Developing",W1462&gt;=0,"New")</f>
        <v>Developing</v>
      </c>
      <c r="AB1462" s="5" t="str" cm="1">
        <f t="array" ref="AB1462">_xlfn.IFS(G1462=1,"Junior",G1462=2,"Mid-Level",G1462=3,"Senior",G1462=4,"Lead",G1462=5,"Principal")&amp;" "&amp;TRIM(PROPER(H1462))</f>
        <v>Junior Research Scientist</v>
      </c>
      <c r="AC1462" s="19" t="str">
        <f t="shared" ca="1" si="252"/>
        <v>Re-Res-2021-1461 is a Junior Research Scientist in the Research &amp; Development department, aged 29, single and has been with the Company for 5years</v>
      </c>
    </row>
    <row r="1463" spans="1:29">
      <c r="A1463" s="18" t="str">
        <f t="shared" ca="1" si="242"/>
        <v>Sa-Sal-2023-1462</v>
      </c>
      <c r="B1463" s="5">
        <v>50</v>
      </c>
      <c r="C1463" s="5" t="str">
        <f t="shared" si="243"/>
        <v>50+</v>
      </c>
      <c r="D1463" s="5" t="s">
        <v>35</v>
      </c>
      <c r="E1463" s="5" t="s">
        <v>37</v>
      </c>
      <c r="F1463" s="5" t="s">
        <v>46</v>
      </c>
      <c r="G1463" s="5">
        <v>3</v>
      </c>
      <c r="H1463" s="5" t="s">
        <v>40</v>
      </c>
      <c r="I1463" s="5" t="s">
        <v>52</v>
      </c>
      <c r="J1463" s="7">
        <v>10854</v>
      </c>
      <c r="K1463" s="7">
        <f t="shared" si="244"/>
        <v>2387.88</v>
      </c>
      <c r="L1463" s="7">
        <f t="shared" si="245"/>
        <v>8466.119999999999</v>
      </c>
      <c r="M1463" s="7">
        <v>16586</v>
      </c>
      <c r="N1463" s="5" t="s">
        <v>35</v>
      </c>
      <c r="O1463" s="5">
        <v>13</v>
      </c>
      <c r="P1463" s="7">
        <f t="shared" si="246"/>
        <v>12265.019999999999</v>
      </c>
      <c r="Q1463" s="7">
        <f t="shared" si="247"/>
        <v>16932.239999999983</v>
      </c>
      <c r="R1463" s="7" t="str">
        <f t="shared" si="248"/>
        <v>Normal</v>
      </c>
      <c r="S1463" s="5">
        <v>3</v>
      </c>
      <c r="T1463" s="5">
        <v>3</v>
      </c>
      <c r="U1463" s="5" t="str" cm="1">
        <f t="array" ref="U1463">_xlfn.IFS(T1463=1,"Poor",T1463=2,"Fair",T1463=3,"Good",T1463=4,"Excellent")</f>
        <v>Good</v>
      </c>
      <c r="V1463" s="5" t="s">
        <v>35</v>
      </c>
      <c r="W1463" s="5">
        <v>3</v>
      </c>
      <c r="X1463" s="28">
        <f t="shared" ca="1" si="249"/>
        <v>45015</v>
      </c>
      <c r="Y1463" s="28">
        <f t="shared" ca="1" si="250"/>
        <v>46476</v>
      </c>
      <c r="Z1463" s="28" t="str">
        <f t="shared" ca="1" si="251"/>
        <v>Due Soon</v>
      </c>
      <c r="AA1463" s="5" t="str" cm="1">
        <f t="array" ref="AA1463">_xlfn.IFS(W1463&gt;10,"Veteran",W1463&gt;=6,"Experienced",W1463&gt;=2,"Developing",W1463&gt;=0,"New")</f>
        <v>Developing</v>
      </c>
      <c r="AB1463" s="5" t="str" cm="1">
        <f t="array" ref="AB1463">_xlfn.IFS(G1463=1,"Junior",G1463=2,"Mid-Level",G1463=3,"Senior",G1463=4,"Lead",G1463=5,"Principal")&amp;" "&amp;TRIM(PROPER(H1463))</f>
        <v>Senior Sales Executive</v>
      </c>
      <c r="AC1463" s="19" t="str">
        <f t="shared" ca="1" si="252"/>
        <v>Sa-Sal-2023-1462 is a Senior Sales Executive in the Sales department, aged 50, divorced and has been with the Company for 3years</v>
      </c>
    </row>
    <row r="1464" spans="1:29">
      <c r="A1464" s="18" t="str">
        <f t="shared" ca="1" si="242"/>
        <v>Sa-Sal-2006-1463</v>
      </c>
      <c r="B1464" s="5">
        <v>39</v>
      </c>
      <c r="C1464" s="5" t="str">
        <f t="shared" si="243"/>
        <v>30-39</v>
      </c>
      <c r="D1464" s="5" t="s">
        <v>43</v>
      </c>
      <c r="E1464" s="5" t="s">
        <v>37</v>
      </c>
      <c r="F1464" s="5" t="s">
        <v>39</v>
      </c>
      <c r="G1464" s="5">
        <v>4</v>
      </c>
      <c r="H1464" s="5" t="s">
        <v>40</v>
      </c>
      <c r="I1464" s="5" t="s">
        <v>48</v>
      </c>
      <c r="J1464" s="7">
        <v>12031</v>
      </c>
      <c r="K1464" s="7">
        <f t="shared" si="244"/>
        <v>2646.82</v>
      </c>
      <c r="L1464" s="7">
        <f t="shared" si="245"/>
        <v>9384.18</v>
      </c>
      <c r="M1464" s="7">
        <v>8828</v>
      </c>
      <c r="N1464" s="5" t="s">
        <v>43</v>
      </c>
      <c r="O1464" s="5">
        <v>11</v>
      </c>
      <c r="P1464" s="7">
        <f t="shared" si="246"/>
        <v>13354.410000000002</v>
      </c>
      <c r="Q1464" s="7">
        <f t="shared" si="247"/>
        <v>15880.92000000002</v>
      </c>
      <c r="R1464" s="7" t="str">
        <f t="shared" si="248"/>
        <v>Normal</v>
      </c>
      <c r="S1464" s="5">
        <v>0</v>
      </c>
      <c r="T1464" s="5">
        <v>2</v>
      </c>
      <c r="U1464" s="5" t="str" cm="1">
        <f t="array" ref="U1464">_xlfn.IFS(T1464=1,"Poor",T1464=2,"Fair",T1464=3,"Good",T1464=4,"Excellent")</f>
        <v>Fair</v>
      </c>
      <c r="V1464" s="5" t="s">
        <v>43</v>
      </c>
      <c r="W1464" s="5">
        <v>20</v>
      </c>
      <c r="X1464" s="28">
        <f t="shared" ca="1" si="249"/>
        <v>38806</v>
      </c>
      <c r="Y1464" s="28">
        <f t="shared" ca="1" si="250"/>
        <v>46842</v>
      </c>
      <c r="Z1464" s="28" t="str">
        <f t="shared" ca="1" si="251"/>
        <v>Upcoming</v>
      </c>
      <c r="AA1464" s="5" t="str" cm="1">
        <f t="array" ref="AA1464">_xlfn.IFS(W1464&gt;10,"Veteran",W1464&gt;=6,"Experienced",W1464&gt;=2,"Developing",W1464&gt;=0,"New")</f>
        <v>Veteran</v>
      </c>
      <c r="AB1464" s="5" t="str" cm="1">
        <f t="array" ref="AB1464">_xlfn.IFS(G1464=1,"Junior",G1464=2,"Mid-Level",G1464=3,"Senior",G1464=4,"Lead",G1464=5,"Principal")&amp;" "&amp;TRIM(PROPER(H1464))</f>
        <v>Lead Sales Executive</v>
      </c>
      <c r="AC1464" s="19" t="str">
        <f t="shared" ca="1" si="252"/>
        <v>Sa-Sal-2006-1463 is a Lead Sales Executive in the Sales department, aged 39, married and has been with the Company for 20years</v>
      </c>
    </row>
    <row r="1465" spans="1:29">
      <c r="A1465" s="18" t="str">
        <f t="shared" ca="1" si="242"/>
        <v>Ma-Res-2017-1464</v>
      </c>
      <c r="B1465" s="5">
        <v>31</v>
      </c>
      <c r="C1465" s="5" t="str">
        <f t="shared" si="243"/>
        <v>30-39</v>
      </c>
      <c r="D1465" s="5" t="s">
        <v>43</v>
      </c>
      <c r="E1465" s="5" t="s">
        <v>45</v>
      </c>
      <c r="F1465" s="5" t="s">
        <v>46</v>
      </c>
      <c r="G1465" s="5">
        <v>2</v>
      </c>
      <c r="H1465" s="5" t="s">
        <v>53</v>
      </c>
      <c r="I1465" s="5" t="s">
        <v>41</v>
      </c>
      <c r="J1465" s="7">
        <v>9936</v>
      </c>
      <c r="K1465" s="7">
        <f t="shared" si="244"/>
        <v>2185.92</v>
      </c>
      <c r="L1465" s="7">
        <f t="shared" si="245"/>
        <v>7750.08</v>
      </c>
      <c r="M1465" s="7">
        <v>3787</v>
      </c>
      <c r="N1465" s="5" t="s">
        <v>43</v>
      </c>
      <c r="O1465" s="5">
        <v>19</v>
      </c>
      <c r="P1465" s="7">
        <f t="shared" si="246"/>
        <v>11823.84</v>
      </c>
      <c r="Q1465" s="7">
        <f t="shared" si="247"/>
        <v>22654.080000000002</v>
      </c>
      <c r="R1465" s="7" t="str">
        <f t="shared" si="248"/>
        <v>Normal</v>
      </c>
      <c r="S1465" s="5">
        <v>3</v>
      </c>
      <c r="T1465" s="5">
        <v>3</v>
      </c>
      <c r="U1465" s="5" t="str" cm="1">
        <f t="array" ref="U1465">_xlfn.IFS(T1465=1,"Poor",T1465=2,"Fair",T1465=3,"Good",T1465=4,"Excellent")</f>
        <v>Good</v>
      </c>
      <c r="V1465" s="5" t="s">
        <v>43</v>
      </c>
      <c r="W1465" s="5">
        <v>9</v>
      </c>
      <c r="X1465" s="28">
        <f t="shared" ca="1" si="249"/>
        <v>42824</v>
      </c>
      <c r="Y1465" s="28">
        <f t="shared" ca="1" si="250"/>
        <v>46476</v>
      </c>
      <c r="Z1465" s="28" t="str">
        <f t="shared" ca="1" si="251"/>
        <v>Due Soon</v>
      </c>
      <c r="AA1465" s="5" t="str" cm="1">
        <f t="array" ref="AA1465">_xlfn.IFS(W1465&gt;10,"Veteran",W1465&gt;=6,"Experienced",W1465&gt;=2,"Developing",W1465&gt;=0,"New")</f>
        <v>Experienced</v>
      </c>
      <c r="AB1465" s="5" t="str" cm="1">
        <f t="array" ref="AB1465">_xlfn.IFS(G1465=1,"Junior",G1465=2,"Mid-Level",G1465=3,"Senior",G1465=4,"Lead",G1465=5,"Principal")&amp;" "&amp;TRIM(PROPER(H1465))</f>
        <v>Mid-Level Manufacturing Director</v>
      </c>
      <c r="AC1465" s="19" t="str">
        <f t="shared" ca="1" si="252"/>
        <v>Ma-Res-2017-1464 is a Mid-Level Manufacturing Director in the Research &amp; Development department, aged 31, single and has been with the Company for 9years</v>
      </c>
    </row>
    <row r="1466" spans="1:29">
      <c r="A1466" s="18" t="str">
        <f t="shared" ca="1" si="242"/>
        <v>Sa-Sal-2022-1465</v>
      </c>
      <c r="B1466" s="5">
        <v>26</v>
      </c>
      <c r="C1466" s="5" t="str">
        <f t="shared" si="243"/>
        <v>20-29</v>
      </c>
      <c r="D1466" s="5" t="s">
        <v>43</v>
      </c>
      <c r="E1466" s="5" t="s">
        <v>37</v>
      </c>
      <c r="F1466" s="5" t="s">
        <v>39</v>
      </c>
      <c r="G1466" s="5">
        <v>1</v>
      </c>
      <c r="H1466" s="5" t="s">
        <v>57</v>
      </c>
      <c r="I1466" s="5" t="s">
        <v>41</v>
      </c>
      <c r="J1466" s="7">
        <v>2966</v>
      </c>
      <c r="K1466" s="7">
        <f t="shared" si="244"/>
        <v>207.62000000000003</v>
      </c>
      <c r="L1466" s="7">
        <f t="shared" si="245"/>
        <v>2758.38</v>
      </c>
      <c r="M1466" s="7">
        <v>21378</v>
      </c>
      <c r="N1466" s="5" t="s">
        <v>43</v>
      </c>
      <c r="O1466" s="5">
        <v>18</v>
      </c>
      <c r="P1466" s="7">
        <f t="shared" si="246"/>
        <v>3499.8799999999997</v>
      </c>
      <c r="Q1466" s="7">
        <f t="shared" si="247"/>
        <v>6406.5599999999959</v>
      </c>
      <c r="R1466" s="7" t="str">
        <f t="shared" si="248"/>
        <v>Normal</v>
      </c>
      <c r="S1466" s="5">
        <v>3</v>
      </c>
      <c r="T1466" s="5">
        <v>3</v>
      </c>
      <c r="U1466" s="5" t="str" cm="1">
        <f t="array" ref="U1466">_xlfn.IFS(T1466=1,"Poor",T1466=2,"Fair",T1466=3,"Good",T1466=4,"Excellent")</f>
        <v>Good</v>
      </c>
      <c r="V1466" s="5" t="s">
        <v>43</v>
      </c>
      <c r="W1466" s="5">
        <v>4</v>
      </c>
      <c r="X1466" s="28">
        <f t="shared" ca="1" si="249"/>
        <v>44650</v>
      </c>
      <c r="Y1466" s="28">
        <f t="shared" ca="1" si="250"/>
        <v>46842</v>
      </c>
      <c r="Z1466" s="28" t="str">
        <f t="shared" ca="1" si="251"/>
        <v>Upcoming</v>
      </c>
      <c r="AA1466" s="5" t="str" cm="1">
        <f t="array" ref="AA1466">_xlfn.IFS(W1466&gt;10,"Veteran",W1466&gt;=6,"Experienced",W1466&gt;=2,"Developing",W1466&gt;=0,"New")</f>
        <v>Developing</v>
      </c>
      <c r="AB1466" s="5" t="str" cm="1">
        <f t="array" ref="AB1466">_xlfn.IFS(G1466=1,"Junior",G1466=2,"Mid-Level",G1466=3,"Senior",G1466=4,"Lead",G1466=5,"Principal")&amp;" "&amp;TRIM(PROPER(H1466))</f>
        <v>Junior Sales Representative</v>
      </c>
      <c r="AC1466" s="19" t="str">
        <f t="shared" ca="1" si="252"/>
        <v>Sa-Sal-2022-1465 is a Junior Sales Representative in the Sales department, aged 26, single and has been with the Company for 4years</v>
      </c>
    </row>
    <row r="1467" spans="1:29">
      <c r="A1467" s="18" t="str">
        <f t="shared" ca="1" si="242"/>
        <v>La-Res-2021-1466</v>
      </c>
      <c r="B1467" s="5">
        <v>36</v>
      </c>
      <c r="C1467" s="5" t="str">
        <f t="shared" si="243"/>
        <v>30-39</v>
      </c>
      <c r="D1467" s="5" t="s">
        <v>43</v>
      </c>
      <c r="E1467" s="5" t="s">
        <v>45</v>
      </c>
      <c r="F1467" s="5" t="s">
        <v>46</v>
      </c>
      <c r="G1467" s="5">
        <v>2</v>
      </c>
      <c r="H1467" s="5" t="s">
        <v>50</v>
      </c>
      <c r="I1467" s="5" t="s">
        <v>48</v>
      </c>
      <c r="J1467" s="7">
        <v>2571</v>
      </c>
      <c r="K1467" s="7">
        <f t="shared" si="244"/>
        <v>179.97000000000003</v>
      </c>
      <c r="L1467" s="7">
        <f t="shared" si="245"/>
        <v>2391.0299999999997</v>
      </c>
      <c r="M1467" s="7">
        <v>12290</v>
      </c>
      <c r="N1467" s="5" t="s">
        <v>43</v>
      </c>
      <c r="O1467" s="5">
        <v>17</v>
      </c>
      <c r="P1467" s="7">
        <f t="shared" si="246"/>
        <v>3008.0699999999997</v>
      </c>
      <c r="Q1467" s="7">
        <f t="shared" si="247"/>
        <v>5244.8399999999965</v>
      </c>
      <c r="R1467" s="7" t="str">
        <f t="shared" si="248"/>
        <v>Normal</v>
      </c>
      <c r="S1467" s="5">
        <v>3</v>
      </c>
      <c r="T1467" s="5">
        <v>3</v>
      </c>
      <c r="U1467" s="5" t="str" cm="1">
        <f t="array" ref="U1467">_xlfn.IFS(T1467=1,"Poor",T1467=2,"Fair",T1467=3,"Good",T1467=4,"Excellent")</f>
        <v>Good</v>
      </c>
      <c r="V1467" s="5" t="s">
        <v>43</v>
      </c>
      <c r="W1467" s="5">
        <v>5</v>
      </c>
      <c r="X1467" s="28">
        <f t="shared" ca="1" si="249"/>
        <v>44285</v>
      </c>
      <c r="Y1467" s="28">
        <f t="shared" ca="1" si="250"/>
        <v>46476</v>
      </c>
      <c r="Z1467" s="28" t="str">
        <f t="shared" ca="1" si="251"/>
        <v>Due Soon</v>
      </c>
      <c r="AA1467" s="5" t="str" cm="1">
        <f t="array" ref="AA1467">_xlfn.IFS(W1467&gt;10,"Veteran",W1467&gt;=6,"Experienced",W1467&gt;=2,"Developing",W1467&gt;=0,"New")</f>
        <v>Developing</v>
      </c>
      <c r="AB1467" s="5" t="str" cm="1">
        <f t="array" ref="AB1467">_xlfn.IFS(G1467=1,"Junior",G1467=2,"Mid-Level",G1467=3,"Senior",G1467=4,"Lead",G1467=5,"Principal")&amp;" "&amp;TRIM(PROPER(H1467))</f>
        <v>Mid-Level Laboratory Technician</v>
      </c>
      <c r="AC1467" s="19" t="str">
        <f t="shared" ca="1" si="252"/>
        <v>La-Res-2021-1466 is a Mid-Level Laboratory Technician in the Research &amp; Development department, aged 36, married and has been with the Company for 5years</v>
      </c>
    </row>
    <row r="1468" spans="1:29">
      <c r="A1468" s="18" t="str">
        <f t="shared" ca="1" si="242"/>
        <v>He-Res-2019-1467</v>
      </c>
      <c r="B1468" s="5">
        <v>39</v>
      </c>
      <c r="C1468" s="5" t="str">
        <f t="shared" si="243"/>
        <v>30-39</v>
      </c>
      <c r="D1468" s="5" t="s">
        <v>43</v>
      </c>
      <c r="E1468" s="5" t="s">
        <v>45</v>
      </c>
      <c r="F1468" s="5" t="s">
        <v>46</v>
      </c>
      <c r="G1468" s="5">
        <v>3</v>
      </c>
      <c r="H1468" s="5" t="s">
        <v>54</v>
      </c>
      <c r="I1468" s="5" t="s">
        <v>48</v>
      </c>
      <c r="J1468" s="7">
        <v>9991</v>
      </c>
      <c r="K1468" s="7">
        <f t="shared" si="244"/>
        <v>2198.02</v>
      </c>
      <c r="L1468" s="7">
        <f t="shared" si="245"/>
        <v>7792.98</v>
      </c>
      <c r="M1468" s="7">
        <v>21457</v>
      </c>
      <c r="N1468" s="5" t="s">
        <v>43</v>
      </c>
      <c r="O1468" s="5">
        <v>15</v>
      </c>
      <c r="P1468" s="7">
        <f t="shared" si="246"/>
        <v>11489.65</v>
      </c>
      <c r="Q1468" s="7">
        <f t="shared" si="247"/>
        <v>17983.799999999996</v>
      </c>
      <c r="R1468" s="7" t="str">
        <f t="shared" si="248"/>
        <v>Normal</v>
      </c>
      <c r="S1468" s="5">
        <v>3</v>
      </c>
      <c r="T1468" s="5">
        <v>3</v>
      </c>
      <c r="U1468" s="5" t="str" cm="1">
        <f t="array" ref="U1468">_xlfn.IFS(T1468=1,"Poor",T1468=2,"Fair",T1468=3,"Good",T1468=4,"Excellent")</f>
        <v>Good</v>
      </c>
      <c r="V1468" s="5" t="s">
        <v>43</v>
      </c>
      <c r="W1468" s="5">
        <v>7</v>
      </c>
      <c r="X1468" s="28">
        <f t="shared" ca="1" si="249"/>
        <v>43554</v>
      </c>
      <c r="Y1468" s="28">
        <f t="shared" ca="1" si="250"/>
        <v>46476</v>
      </c>
      <c r="Z1468" s="28" t="str">
        <f t="shared" ca="1" si="251"/>
        <v>Due Soon</v>
      </c>
      <c r="AA1468" s="5" t="str" cm="1">
        <f t="array" ref="AA1468">_xlfn.IFS(W1468&gt;10,"Veteran",W1468&gt;=6,"Experienced",W1468&gt;=2,"Developing",W1468&gt;=0,"New")</f>
        <v>Experienced</v>
      </c>
      <c r="AB1468" s="5" t="str" cm="1">
        <f t="array" ref="AB1468">_xlfn.IFS(G1468=1,"Junior",G1468=2,"Mid-Level",G1468=3,"Senior",G1468=4,"Lead",G1468=5,"Principal")&amp;" "&amp;TRIM(PROPER(H1468))</f>
        <v>Senior Healthcare Representative</v>
      </c>
      <c r="AC1468" s="19" t="str">
        <f t="shared" ca="1" si="252"/>
        <v>He-Res-2019-1467 is a Senior Healthcare Representative in the Research &amp; Development department, aged 39, married and has been with the Company for 7years</v>
      </c>
    </row>
    <row r="1469" spans="1:29">
      <c r="A1469" s="18" t="str">
        <f t="shared" ca="1" si="242"/>
        <v>Ma-Res-2020-1468</v>
      </c>
      <c r="B1469" s="5">
        <v>27</v>
      </c>
      <c r="C1469" s="5" t="str">
        <f t="shared" si="243"/>
        <v>20-29</v>
      </c>
      <c r="D1469" s="5" t="s">
        <v>43</v>
      </c>
      <c r="E1469" s="5" t="s">
        <v>45</v>
      </c>
      <c r="F1469" s="5" t="s">
        <v>46</v>
      </c>
      <c r="G1469" s="5">
        <v>2</v>
      </c>
      <c r="H1469" s="5" t="s">
        <v>53</v>
      </c>
      <c r="I1469" s="5" t="s">
        <v>48</v>
      </c>
      <c r="J1469" s="7">
        <v>6142</v>
      </c>
      <c r="K1469" s="7">
        <f t="shared" si="244"/>
        <v>921.3</v>
      </c>
      <c r="L1469" s="7">
        <f t="shared" si="245"/>
        <v>5220.7</v>
      </c>
      <c r="M1469" s="7">
        <v>5174</v>
      </c>
      <c r="N1469" s="5" t="s">
        <v>35</v>
      </c>
      <c r="O1469" s="5">
        <v>20</v>
      </c>
      <c r="P1469" s="7">
        <f t="shared" si="246"/>
        <v>7370.4</v>
      </c>
      <c r="Q1469" s="7">
        <f t="shared" si="247"/>
        <v>14740.799999999996</v>
      </c>
      <c r="R1469" s="7" t="str">
        <f t="shared" si="248"/>
        <v>Normal</v>
      </c>
      <c r="S1469" s="5">
        <v>4</v>
      </c>
      <c r="T1469" s="5">
        <v>3</v>
      </c>
      <c r="U1469" s="5" t="str" cm="1">
        <f t="array" ref="U1469">_xlfn.IFS(T1469=1,"Poor",T1469=2,"Fair",T1469=3,"Good",T1469=4,"Excellent")</f>
        <v>Good</v>
      </c>
      <c r="V1469" s="5" t="s">
        <v>35</v>
      </c>
      <c r="W1469" s="5">
        <v>6</v>
      </c>
      <c r="X1469" s="28">
        <f t="shared" ca="1" si="249"/>
        <v>43920</v>
      </c>
      <c r="Y1469" s="28">
        <f t="shared" ca="1" si="250"/>
        <v>46842</v>
      </c>
      <c r="Z1469" s="28" t="str">
        <f t="shared" ca="1" si="251"/>
        <v>Upcoming</v>
      </c>
      <c r="AA1469" s="5" t="str" cm="1">
        <f t="array" ref="AA1469">_xlfn.IFS(W1469&gt;10,"Veteran",W1469&gt;=6,"Experienced",W1469&gt;=2,"Developing",W1469&gt;=0,"New")</f>
        <v>Experienced</v>
      </c>
      <c r="AB1469" s="5" t="str" cm="1">
        <f t="array" ref="AB1469">_xlfn.IFS(G1469=1,"Junior",G1469=2,"Mid-Level",G1469=3,"Senior",G1469=4,"Lead",G1469=5,"Principal")&amp;" "&amp;TRIM(PROPER(H1469))</f>
        <v>Mid-Level Manufacturing Director</v>
      </c>
      <c r="AC1469" s="19" t="str">
        <f t="shared" ca="1" si="252"/>
        <v>Ma-Res-2020-1468 is a Mid-Level Manufacturing Director in the Research &amp; Development department, aged 27, married and has been with the Company for 6years</v>
      </c>
    </row>
    <row r="1470" spans="1:29">
      <c r="A1470" s="18" t="str">
        <f t="shared" ca="1" si="242"/>
        <v>Sa-Sal-2017-1469</v>
      </c>
      <c r="B1470" s="5">
        <v>49</v>
      </c>
      <c r="C1470" s="5" t="str">
        <f t="shared" si="243"/>
        <v>40-49</v>
      </c>
      <c r="D1470" s="5" t="s">
        <v>43</v>
      </c>
      <c r="E1470" s="5" t="s">
        <v>37</v>
      </c>
      <c r="F1470" s="5" t="s">
        <v>46</v>
      </c>
      <c r="G1470" s="5">
        <v>2</v>
      </c>
      <c r="H1470" s="5" t="s">
        <v>40</v>
      </c>
      <c r="I1470" s="5" t="s">
        <v>48</v>
      </c>
      <c r="J1470" s="7">
        <v>5390</v>
      </c>
      <c r="K1470" s="7">
        <f t="shared" si="244"/>
        <v>808.5</v>
      </c>
      <c r="L1470" s="7">
        <f t="shared" si="245"/>
        <v>4581.5</v>
      </c>
      <c r="M1470" s="7">
        <v>13243</v>
      </c>
      <c r="N1470" s="5" t="s">
        <v>43</v>
      </c>
      <c r="O1470" s="5">
        <v>14</v>
      </c>
      <c r="P1470" s="7">
        <f t="shared" si="246"/>
        <v>6144.6</v>
      </c>
      <c r="Q1470" s="7">
        <f t="shared" si="247"/>
        <v>9055.2000000000044</v>
      </c>
      <c r="R1470" s="7" t="str">
        <f t="shared" si="248"/>
        <v>Normal</v>
      </c>
      <c r="S1470" s="5">
        <v>3</v>
      </c>
      <c r="T1470" s="5">
        <v>2</v>
      </c>
      <c r="U1470" s="5" t="str" cm="1">
        <f t="array" ref="U1470">_xlfn.IFS(T1470=1,"Poor",T1470=2,"Fair",T1470=3,"Good",T1470=4,"Excellent")</f>
        <v>Fair</v>
      </c>
      <c r="V1470" s="5" t="s">
        <v>43</v>
      </c>
      <c r="W1470" s="5">
        <v>9</v>
      </c>
      <c r="X1470" s="28">
        <f t="shared" ca="1" si="249"/>
        <v>42824</v>
      </c>
      <c r="Y1470" s="28">
        <f t="shared" ca="1" si="250"/>
        <v>46476</v>
      </c>
      <c r="Z1470" s="28" t="str">
        <f t="shared" ca="1" si="251"/>
        <v>Due Soon</v>
      </c>
      <c r="AA1470" s="5" t="str" cm="1">
        <f t="array" ref="AA1470">_xlfn.IFS(W1470&gt;10,"Veteran",W1470&gt;=6,"Experienced",W1470&gt;=2,"Developing",W1470&gt;=0,"New")</f>
        <v>Experienced</v>
      </c>
      <c r="AB1470" s="5" t="str" cm="1">
        <f t="array" ref="AB1470">_xlfn.IFS(G1470=1,"Junior",G1470=2,"Mid-Level",G1470=3,"Senior",G1470=4,"Lead",G1470=5,"Principal")&amp;" "&amp;TRIM(PROPER(H1470))</f>
        <v>Mid-Level Sales Executive</v>
      </c>
      <c r="AC1470" s="19" t="str">
        <f t="shared" ca="1" si="252"/>
        <v>Sa-Sal-2017-1469 is a Mid-Level Sales Executive in the Sales department, aged 49, married and has been with the Company for 9years</v>
      </c>
    </row>
    <row r="1471" spans="1:29">
      <c r="A1471" s="4" t="str">
        <f t="shared" ca="1" si="242"/>
        <v>La-Res-2022-1470</v>
      </c>
      <c r="B1471" s="20">
        <v>34</v>
      </c>
      <c r="C1471" s="20" t="str">
        <f t="shared" si="243"/>
        <v>30-39</v>
      </c>
      <c r="D1471" s="20" t="s">
        <v>43</v>
      </c>
      <c r="E1471" s="20" t="s">
        <v>45</v>
      </c>
      <c r="F1471" s="20" t="s">
        <v>46</v>
      </c>
      <c r="G1471" s="20">
        <v>2</v>
      </c>
      <c r="H1471" s="20" t="s">
        <v>50</v>
      </c>
      <c r="I1471" s="20" t="s">
        <v>48</v>
      </c>
      <c r="J1471" s="21">
        <v>4404</v>
      </c>
      <c r="K1471" s="21">
        <f t="shared" si="244"/>
        <v>660.6</v>
      </c>
      <c r="L1471" s="21">
        <f t="shared" si="245"/>
        <v>3743.4</v>
      </c>
      <c r="M1471" s="21">
        <v>10228</v>
      </c>
      <c r="N1471" s="20" t="s">
        <v>43</v>
      </c>
      <c r="O1471" s="20">
        <v>12</v>
      </c>
      <c r="P1471" s="21">
        <f t="shared" si="246"/>
        <v>4932.4800000000005</v>
      </c>
      <c r="Q1471" s="21">
        <f t="shared" si="247"/>
        <v>6341.7600000000057</v>
      </c>
      <c r="R1471" s="21" t="str">
        <f t="shared" si="248"/>
        <v>Normal</v>
      </c>
      <c r="S1471" s="20">
        <v>3</v>
      </c>
      <c r="T1471" s="20">
        <v>4</v>
      </c>
      <c r="U1471" s="20" t="str" cm="1">
        <f t="array" ref="U1471">_xlfn.IFS(T1471=1,"Poor",T1471=2,"Fair",T1471=3,"Good",T1471=4,"Excellent")</f>
        <v>Excellent</v>
      </c>
      <c r="V1471" s="20" t="s">
        <v>43</v>
      </c>
      <c r="W1471" s="20">
        <v>4</v>
      </c>
      <c r="X1471" s="30">
        <f t="shared" ca="1" si="249"/>
        <v>44650</v>
      </c>
      <c r="Y1471" s="30">
        <f t="shared" ca="1" si="250"/>
        <v>46842</v>
      </c>
      <c r="Z1471" s="30" t="str">
        <f t="shared" ca="1" si="251"/>
        <v>Upcoming</v>
      </c>
      <c r="AA1471" s="20" t="str" cm="1">
        <f t="array" ref="AA1471">_xlfn.IFS(W1471&gt;10,"Veteran",W1471&gt;=6,"Experienced",W1471&gt;=2,"Developing",W1471&gt;=0,"New")</f>
        <v>Developing</v>
      </c>
      <c r="AB1471" s="20" t="str" cm="1">
        <f t="array" ref="AB1471">_xlfn.IFS(G1471=1,"Junior",G1471=2,"Mid-Level",G1471=3,"Senior",G1471=4,"Lead",G1471=5,"Principal")&amp;" "&amp;TRIM(PROPER(H1471))</f>
        <v>Mid-Level Laboratory Technician</v>
      </c>
      <c r="AC1471" s="3" t="str">
        <f t="shared" ca="1" si="252"/>
        <v>La-Res-2022-1470 is a Mid-Level Laboratory Technician in the Research &amp; Development department, aged 34, married and has been with the Company for 4years</v>
      </c>
    </row>
  </sheetData>
  <pageMargins left="0.7" right="0.7" top="0.75" bottom="0.75" header="0.3" footer="0.3"/>
  <pageSetup paperSize="8" scale="10" orientation="portrait" horizontalDpi="203" verticalDpi="203" r:id="rId1"/>
  <colBreaks count="1" manualBreakCount="1">
    <brk id="26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1740-ED3F-4133-9CBE-96750097D3F5}">
  <dimension ref="A1:L28"/>
  <sheetViews>
    <sheetView showGridLines="0" workbookViewId="0">
      <selection activeCell="G22" sqref="G22"/>
    </sheetView>
  </sheetViews>
  <sheetFormatPr defaultRowHeight="13.8"/>
  <cols>
    <col min="1" max="1" width="23.296875" customWidth="1"/>
    <col min="2" max="2" width="21.59765625" bestFit="1" customWidth="1"/>
    <col min="3" max="3" width="12.3984375" customWidth="1"/>
    <col min="4" max="4" width="12.5" customWidth="1"/>
    <col min="5" max="5" width="13.296875" customWidth="1"/>
    <col min="6" max="6" width="10.8984375" customWidth="1"/>
    <col min="7" max="7" width="11.69921875" customWidth="1"/>
    <col min="8" max="8" width="10.59765625" customWidth="1"/>
    <col min="9" max="9" width="14.8984375" bestFit="1" customWidth="1"/>
    <col min="10" max="10" width="10.19921875" customWidth="1"/>
  </cols>
  <sheetData>
    <row r="1" spans="1:12">
      <c r="A1" s="53" t="s">
        <v>92</v>
      </c>
      <c r="B1" s="53"/>
      <c r="D1" s="29" t="s">
        <v>99</v>
      </c>
      <c r="G1" s="29" t="s">
        <v>110</v>
      </c>
      <c r="I1" s="29" t="s">
        <v>30</v>
      </c>
      <c r="J1" s="29" t="s">
        <v>108</v>
      </c>
      <c r="K1" s="29" t="s">
        <v>22</v>
      </c>
      <c r="L1" s="29" t="s">
        <v>109</v>
      </c>
    </row>
    <row r="2" spans="1:12">
      <c r="A2" s="5" t="s">
        <v>84</v>
      </c>
      <c r="B2" s="11">
        <f ca="1">COUNTA('Clean Table'!A2:A1471)</f>
        <v>1470</v>
      </c>
      <c r="D2">
        <f ca="1">COUNTIF('Clean Table'!Z2:Z1471,"Due Soon")</f>
        <v>796</v>
      </c>
      <c r="G2">
        <f>COUNTIF('Clean Table'!R2:R1471,"Underpaid")</f>
        <v>0</v>
      </c>
      <c r="I2" t="s">
        <v>104</v>
      </c>
      <c r="J2">
        <f>COUNTIF('Clean Table'!$U$2:$U$1471,'Clean Summary Table'!I2)</f>
        <v>80</v>
      </c>
      <c r="K2">
        <f>COUNTIFS('Clean Table'!$U$2:$U$1471,'Clean Summary Table'!I2,'Clean Table'!$V$2:$V$1471,"Yes")</f>
        <v>22</v>
      </c>
      <c r="L2" s="1">
        <f>K2/J2</f>
        <v>0.27500000000000002</v>
      </c>
    </row>
    <row r="3" spans="1:12">
      <c r="A3" s="5" t="s">
        <v>85</v>
      </c>
      <c r="B3" s="12">
        <f>COUNTA(_xlfn.UNIQUE('Clean Table'!E2:E1471))</f>
        <v>3</v>
      </c>
      <c r="I3" t="s">
        <v>105</v>
      </c>
      <c r="J3">
        <f>COUNTIF('Clean Table'!$U$2:$U$1471,'Clean Summary Table'!I3)</f>
        <v>344</v>
      </c>
      <c r="K3">
        <f>COUNTIFS('Clean Table'!$U$2:$U$1471,'Clean Summary Table'!I3,'Clean Table'!$V$2:$V$1471,"Yes")</f>
        <v>104</v>
      </c>
      <c r="L3" s="1">
        <f t="shared" ref="L3:L5" si="0">K3/J3</f>
        <v>0.30232558139534882</v>
      </c>
    </row>
    <row r="4" spans="1:12">
      <c r="A4" s="5" t="s">
        <v>86</v>
      </c>
      <c r="B4" s="13">
        <f>AVERAGE('Clean Table'!J2:J1471)</f>
        <v>6502.931292517007</v>
      </c>
      <c r="I4" t="s">
        <v>106</v>
      </c>
      <c r="J4">
        <f>COUNTIF('Clean Table'!$U$2:$U$1471,'Clean Summary Table'!I4)</f>
        <v>893</v>
      </c>
      <c r="K4">
        <f>COUNTIFS('Clean Table'!$U$2:$U$1471,'Clean Summary Table'!I4,'Clean Table'!$V$2:$V$1471,"Yes")</f>
        <v>254</v>
      </c>
      <c r="L4" s="1">
        <f t="shared" si="0"/>
        <v>0.28443449048152297</v>
      </c>
    </row>
    <row r="5" spans="1:12">
      <c r="A5" s="5" t="s">
        <v>87</v>
      </c>
      <c r="B5" s="13">
        <f>AVERAGE('Clean Table'!L2:L1471)</f>
        <v>5148.3445918367433</v>
      </c>
      <c r="I5" t="s">
        <v>107</v>
      </c>
      <c r="J5">
        <f>COUNTIF('Clean Table'!$U$2:$U$1471,'Clean Summary Table'!I5)</f>
        <v>153</v>
      </c>
      <c r="K5">
        <f>COUNTIFS('Clean Table'!$U$2:$U$1471,'Clean Summary Table'!I5,'Clean Table'!$V$2:$V$1471,"Yes")</f>
        <v>36</v>
      </c>
      <c r="L5" s="1">
        <f t="shared" si="0"/>
        <v>0.23529411764705882</v>
      </c>
    </row>
    <row r="6" spans="1:12">
      <c r="A6" s="5" t="s">
        <v>88</v>
      </c>
      <c r="B6" s="12" t="str">
        <f>A23</f>
        <v>20-29</v>
      </c>
      <c r="I6" s="2" t="s">
        <v>115</v>
      </c>
      <c r="K6" s="1">
        <f>SUM(K2:K5)/SUM(J2:J5)</f>
        <v>0.28299319727891159</v>
      </c>
    </row>
    <row r="7" spans="1:12">
      <c r="A7" s="5" t="s">
        <v>89</v>
      </c>
      <c r="B7" s="12" t="str">
        <f>A25</f>
        <v>40-49</v>
      </c>
    </row>
    <row r="8" spans="1:12">
      <c r="A8" s="5" t="s">
        <v>90</v>
      </c>
      <c r="B8" s="13" t="str">
        <f>A16</f>
        <v>Research &amp; Development</v>
      </c>
    </row>
    <row r="9" spans="1:12">
      <c r="A9" s="5" t="s">
        <v>91</v>
      </c>
      <c r="B9" s="13" t="str">
        <f>A15</f>
        <v>Human Resources</v>
      </c>
    </row>
    <row r="12" spans="1:12">
      <c r="A12" s="52" t="s">
        <v>82</v>
      </c>
      <c r="B12" s="52"/>
      <c r="C12" s="52"/>
      <c r="D12" s="52"/>
      <c r="E12" s="52"/>
      <c r="F12" s="52"/>
      <c r="G12" s="52"/>
      <c r="H12" s="52"/>
      <c r="I12" s="52"/>
      <c r="J12" s="52"/>
    </row>
    <row r="13" spans="1:12">
      <c r="A13" s="14"/>
      <c r="B13" s="49" t="s">
        <v>65</v>
      </c>
      <c r="C13" s="49"/>
      <c r="D13" s="49"/>
      <c r="E13" s="50"/>
      <c r="F13" s="51" t="s">
        <v>66</v>
      </c>
      <c r="G13" s="49"/>
      <c r="H13" s="49"/>
      <c r="I13" s="49"/>
      <c r="J13" s="14"/>
    </row>
    <row r="14" spans="1:12" ht="41.4">
      <c r="A14" s="15" t="s">
        <v>4</v>
      </c>
      <c r="B14" s="16" t="s">
        <v>67</v>
      </c>
      <c r="C14" s="16" t="s">
        <v>73</v>
      </c>
      <c r="D14" s="16" t="s">
        <v>64</v>
      </c>
      <c r="E14" s="22" t="s">
        <v>70</v>
      </c>
      <c r="F14" s="23" t="s">
        <v>68</v>
      </c>
      <c r="G14" s="16" t="s">
        <v>74</v>
      </c>
      <c r="H14" s="16" t="s">
        <v>69</v>
      </c>
      <c r="I14" s="16" t="s">
        <v>71</v>
      </c>
      <c r="J14" s="16" t="s">
        <v>72</v>
      </c>
    </row>
    <row r="15" spans="1:12">
      <c r="A15" s="6" t="str" cm="1">
        <f t="array" ref="A15:A17">_xlfn._xlws.SORT(_xlfn.UNIQUE('Clean Table'!E2:E1471))</f>
        <v>Human Resources</v>
      </c>
      <c r="B15" s="7">
        <f>AVERAGEIF('Clean Table'!$E$2:$E$1471,'Clean Summary Table'!A15,'Clean Table'!$J$2:$J$1471)</f>
        <v>6654.5079365079364</v>
      </c>
      <c r="C15" s="7">
        <f>_xlfn.MINIFS('Clean Table'!$J$2:$J$1471,'Clean Table'!$E$2:$E$1471,'Clean Summary Table'!A15)</f>
        <v>1555</v>
      </c>
      <c r="D15" s="7">
        <f>_xlfn.MAXIFS('Clean Table'!$J$2:$J$1471,'Clean Table'!$E$2:$E$1471,'Clean Summary Table'!A15)</f>
        <v>19717</v>
      </c>
      <c r="E15" s="25">
        <f>SUMIF('Clean Table'!E2:E1471,'Clean Summary Table'!A15,'Clean Table'!J2:J1471)</f>
        <v>419234</v>
      </c>
      <c r="F15" s="24">
        <f>AVERAGEIF('Clean Table'!$E$2:$E$1471,'Clean Summary Table'!A15,'Clean Table'!$L$2:$L$1471)</f>
        <v>5198.9909523809511</v>
      </c>
      <c r="G15" s="7">
        <f>_xlfn.MINIFS('Clean Table'!$L$2:$L$1471,'Clean Table'!$E$2:$E$1471,'Clean Summary Table'!A15)</f>
        <v>1446.15</v>
      </c>
      <c r="H15" s="7">
        <f>_xlfn.MAXIFS('Clean Table'!$L$2:$L$1471,'Clean Table'!$E$2:$E$1471,'Clean Summary Table'!A15)</f>
        <v>13801.900000000001</v>
      </c>
      <c r="I15" s="7">
        <f>SUMIF('Clean Table'!$E$2:$E$1471,'Clean Summary Table'!A15,'Clean Table'!$L$2:$L$1471)</f>
        <v>327536.42999999993</v>
      </c>
      <c r="J15" s="8">
        <f>(E15-I15)/E15</f>
        <v>0.2187264630254227</v>
      </c>
    </row>
    <row r="16" spans="1:12">
      <c r="A16" s="6" t="str">
        <v>Research &amp; Development</v>
      </c>
      <c r="B16" s="7">
        <f>AVERAGEIF('Clean Table'!$E$2:$E$1471,'Clean Summary Table'!A16,'Clean Table'!$J$2:$J$1471)</f>
        <v>6281.2528616024974</v>
      </c>
      <c r="C16" s="7">
        <f>_xlfn.MINIFS('Clean Table'!$J$2:$J$1471,'Clean Table'!$E$2:$E$1471,'Clean Summary Table'!A16)</f>
        <v>1009</v>
      </c>
      <c r="D16" s="7">
        <f>_xlfn.MAXIFS('Clean Table'!$J$2:$J$1471,'Clean Table'!$E$2:$E$1471,'Clean Summary Table'!A16)</f>
        <v>19999</v>
      </c>
      <c r="E16" s="25">
        <f>SUMIF('Clean Table'!E3:E1472,'Clean Summary Table'!A16,'Clean Table'!J3:J1472)</f>
        <v>6036284</v>
      </c>
      <c r="F16" s="24">
        <f>AVERAGEIF('Clean Table'!$E$2:$E$1471,'Clean Summary Table'!A16,'Clean Table'!$L$2:$L$1471)</f>
        <v>4968.4437356919871</v>
      </c>
      <c r="G16" s="7">
        <f>_xlfn.MINIFS('Clean Table'!$L$2:$L$1471,'Clean Table'!$E$2:$E$1471,'Clean Summary Table'!A16)</f>
        <v>938.37</v>
      </c>
      <c r="H16" s="7">
        <f>_xlfn.MAXIFS('Clean Table'!$L$2:$L$1471,'Clean Table'!$E$2:$E$1471,'Clean Summary Table'!A16)</f>
        <v>13999.3</v>
      </c>
      <c r="I16" s="7">
        <f>SUMIF('Clean Table'!$E$2:$E$1471,'Clean Summary Table'!A16,'Clean Table'!$L$2:$L$1471)</f>
        <v>4774674.43</v>
      </c>
      <c r="J16" s="8">
        <f t="shared" ref="J16:J17" si="1">(E16-I16)/E16</f>
        <v>0.20900434273801569</v>
      </c>
    </row>
    <row r="17" spans="1:10">
      <c r="A17" s="6" t="str">
        <v>Sales</v>
      </c>
      <c r="B17" s="7">
        <f>AVERAGEIF('Clean Table'!$E$2:$E$1471,'Clean Summary Table'!A17,'Clean Table'!$J$2:$J$1471)</f>
        <v>6959.17264573991</v>
      </c>
      <c r="C17" s="7">
        <f>_xlfn.MINIFS('Clean Table'!$J$2:$J$1471,'Clean Table'!$E$2:$E$1471,'Clean Summary Table'!A17)</f>
        <v>1052</v>
      </c>
      <c r="D17" s="7">
        <f>_xlfn.MAXIFS('Clean Table'!$J$2:$J$1471,'Clean Table'!$E$2:$E$1471,'Clean Summary Table'!A17)</f>
        <v>19847</v>
      </c>
      <c r="E17" s="26">
        <f>SUMIF('Clean Table'!E4:E1473,'Clean Summary Table'!A17,'Clean Table'!J4:J1473)</f>
        <v>3097798</v>
      </c>
      <c r="F17" s="27">
        <f>AVERAGEIF('Clean Table'!$E$2:$E$1471,'Clean Summary Table'!A17,'Clean Table'!$L$2:$L$1471)</f>
        <v>5528.8244170403577</v>
      </c>
      <c r="G17" s="7">
        <f>_xlfn.MINIFS('Clean Table'!$L$2:$L$1471,'Clean Table'!$E$2:$E$1471,'Clean Summary Table'!A17)</f>
        <v>978.36</v>
      </c>
      <c r="H17" s="7">
        <f>_xlfn.MAXIFS('Clean Table'!$L$2:$L$1471,'Clean Table'!$E$2:$E$1471,'Clean Summary Table'!A17)</f>
        <v>13892.900000000001</v>
      </c>
      <c r="I17" s="7">
        <f>SUMIF('Clean Table'!$E$2:$E$1471,'Clean Summary Table'!A17,'Clean Table'!$L$2:$L$1471)</f>
        <v>2465855.6899999995</v>
      </c>
      <c r="J17" s="8">
        <f t="shared" si="1"/>
        <v>0.20399726192605216</v>
      </c>
    </row>
    <row r="21" spans="1:10">
      <c r="A21" s="17" t="s">
        <v>77</v>
      </c>
      <c r="B21" s="9"/>
      <c r="C21" s="9"/>
      <c r="D21" s="9"/>
      <c r="F21" t="s">
        <v>122</v>
      </c>
      <c r="G21" t="s">
        <v>127</v>
      </c>
      <c r="H21" t="s">
        <v>128</v>
      </c>
    </row>
    <row r="22" spans="1:10">
      <c r="A22" s="15" t="s">
        <v>78</v>
      </c>
      <c r="B22" s="16" t="s">
        <v>79</v>
      </c>
      <c r="C22" s="16" t="s">
        <v>80</v>
      </c>
      <c r="D22" s="16" t="s">
        <v>81</v>
      </c>
      <c r="F22" t="s">
        <v>124</v>
      </c>
      <c r="G22" s="39">
        <f>COUNTIF(HR[TenureBucket],'Clean Summary Table'!F22)</f>
        <v>215</v>
      </c>
      <c r="H22" s="1">
        <f>G22/1470</f>
        <v>0.14625850340136054</v>
      </c>
    </row>
    <row r="23" spans="1:10">
      <c r="A23" s="10" t="str" cm="1">
        <f t="array" ref="A23:A26">_xlfn._xlws.SORT(_xlfn.UNIQUE('Clean Table'!C2:C1471))</f>
        <v>20-29</v>
      </c>
      <c r="B23" s="5">
        <f>COUNTIF('Clean Table'!$C$2:$C$1471,'Clean Summary Table'!A23)</f>
        <v>326</v>
      </c>
      <c r="C23" s="5">
        <f>COUNTIFS('Clean Table'!$C$2:$C$1471,'Clean Summary Table'!A23,'Clean Table'!$D$2:$D$1471,"Yes")</f>
        <v>91</v>
      </c>
      <c r="D23" s="8">
        <f>C23/B23</f>
        <v>0.27914110429447853</v>
      </c>
      <c r="F23" t="s">
        <v>125</v>
      </c>
      <c r="G23" s="39">
        <f>COUNTIF(HR[TenureBucket],'Clean Summary Table'!F23)</f>
        <v>561</v>
      </c>
      <c r="H23" s="1">
        <f t="shared" ref="H23:H25" si="2">G23/1470</f>
        <v>0.38163265306122451</v>
      </c>
    </row>
    <row r="24" spans="1:10">
      <c r="A24" s="10" t="str">
        <v>30-39</v>
      </c>
      <c r="B24" s="5">
        <f>COUNTIF('Clean Table'!$C$2:$C$1471,'Clean Summary Table'!A24)</f>
        <v>622</v>
      </c>
      <c r="C24" s="5">
        <f>COUNTIFS('Clean Table'!$C$2:$C$1471,'Clean Summary Table'!A24,'Clean Table'!$D$2:$D$1471,"Yes")</f>
        <v>89</v>
      </c>
      <c r="D24" s="8">
        <f t="shared" ref="D24:D26" si="3">C24/B24</f>
        <v>0.14308681672025725</v>
      </c>
      <c r="F24" t="s">
        <v>123</v>
      </c>
      <c r="G24" s="39">
        <f>COUNTIF(HR[TenureBucket],'Clean Summary Table'!F24)</f>
        <v>448</v>
      </c>
      <c r="H24" s="1">
        <f t="shared" si="2"/>
        <v>0.30476190476190479</v>
      </c>
    </row>
    <row r="25" spans="1:10">
      <c r="A25" s="10" t="str">
        <v>40-49</v>
      </c>
      <c r="B25" s="5">
        <f>COUNTIF('Clean Table'!$C$2:$C$1471,'Clean Summary Table'!A25)</f>
        <v>349</v>
      </c>
      <c r="C25" s="5">
        <f>COUNTIFS('Clean Table'!$C$2:$C$1471,'Clean Summary Table'!A25,'Clean Table'!$D$2:$D$1471,"Yes")</f>
        <v>34</v>
      </c>
      <c r="D25" s="8">
        <f t="shared" si="3"/>
        <v>9.7421203438395415E-2</v>
      </c>
      <c r="F25" t="s">
        <v>126</v>
      </c>
      <c r="G25" s="39">
        <f>COUNTIF(HR[TenureBucket],'Clean Summary Table'!F25)</f>
        <v>246</v>
      </c>
      <c r="H25" s="1">
        <f t="shared" si="2"/>
        <v>0.16734693877551021</v>
      </c>
    </row>
    <row r="26" spans="1:10">
      <c r="A26" s="10" t="str">
        <v>50+</v>
      </c>
      <c r="B26" s="5">
        <f>COUNTIF('Clean Table'!$C$2:$C$1471,'Clean Summary Table'!A26)</f>
        <v>173</v>
      </c>
      <c r="C26" s="5">
        <f>COUNTIFS('Clean Table'!$C$2:$C$1471,'Clean Summary Table'!A26,'Clean Table'!$D$2:$D$1471,"Yes")</f>
        <v>23</v>
      </c>
      <c r="D26" s="8">
        <f t="shared" si="3"/>
        <v>0.13294797687861271</v>
      </c>
    </row>
    <row r="28" spans="1:10">
      <c r="A28" s="2" t="s">
        <v>114</v>
      </c>
      <c r="B28" s="1">
        <f>((SUM(C23:C26)/SUM(B23:B26)))</f>
        <v>0.16122448979591836</v>
      </c>
    </row>
  </sheetData>
  <mergeCells count="4">
    <mergeCell ref="B13:E13"/>
    <mergeCell ref="F13:I13"/>
    <mergeCell ref="A12:J12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D076-8FF1-4946-88CD-3FF2A27353B2}">
  <dimension ref="A1:O23"/>
  <sheetViews>
    <sheetView tabSelected="1" zoomScale="96" zoomScaleNormal="96" workbookViewId="0">
      <selection activeCell="E27" sqref="E27"/>
    </sheetView>
  </sheetViews>
  <sheetFormatPr defaultColWidth="13.69921875" defaultRowHeight="13.8"/>
  <cols>
    <col min="7" max="7" width="2" customWidth="1"/>
  </cols>
  <sheetData>
    <row r="1" spans="1:15" ht="23.4" customHeight="1">
      <c r="A1" s="80" t="s">
        <v>111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7.399999999999999">
      <c r="A2" s="81" t="s">
        <v>112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ht="19.2" customHeight="1">
      <c r="A3" s="82" t="str">
        <f ca="1">"Last Updated: "&amp;TEXT(TODAY(),"dd-mmm-yyyy")</f>
        <v>Last Updated: 30-Mar-2026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5" s="31" customFormat="1"/>
    <row r="8" spans="1:15" ht="4.2" customHeight="1"/>
    <row r="9" spans="1:15" ht="17.399999999999999">
      <c r="A9" s="72" t="s">
        <v>121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</row>
    <row r="10" spans="1:15" ht="18" customHeight="1" thickBot="1">
      <c r="A10" s="73" t="s">
        <v>4</v>
      </c>
      <c r="B10" s="73"/>
      <c r="C10" s="73" t="s">
        <v>116</v>
      </c>
      <c r="D10" s="73"/>
      <c r="E10" s="73" t="s">
        <v>117</v>
      </c>
      <c r="F10" s="73"/>
      <c r="G10" s="38"/>
      <c r="H10" s="73" t="s">
        <v>118</v>
      </c>
      <c r="I10" s="73"/>
      <c r="J10" s="73" t="s">
        <v>119</v>
      </c>
      <c r="K10" s="73"/>
      <c r="L10" s="73" t="s">
        <v>120</v>
      </c>
      <c r="M10" s="73"/>
      <c r="N10" s="73" t="s">
        <v>72</v>
      </c>
      <c r="O10" s="73"/>
    </row>
    <row r="11" spans="1:15">
      <c r="A11" s="77" t="str">
        <f>'Clean Summary Table'!A15</f>
        <v>Human Resources</v>
      </c>
      <c r="B11" s="77"/>
      <c r="C11" s="74">
        <f>'Clean Summary Table'!B15</f>
        <v>6654.5079365079364</v>
      </c>
      <c r="D11" s="74"/>
      <c r="E11" s="74">
        <f>'Clean Summary Table'!C15</f>
        <v>1555</v>
      </c>
      <c r="F11" s="74"/>
      <c r="G11" s="35"/>
      <c r="H11" s="74">
        <f>'Clean Summary Table'!D15</f>
        <v>19717</v>
      </c>
      <c r="I11" s="74"/>
      <c r="J11" s="74">
        <f>'Clean Summary Table'!E15</f>
        <v>419234</v>
      </c>
      <c r="K11" s="74"/>
      <c r="L11" s="74">
        <f>'Clean Summary Table'!I15</f>
        <v>327536.42999999993</v>
      </c>
      <c r="M11" s="74"/>
      <c r="N11" s="66">
        <f>'Clean Summary Table'!J15</f>
        <v>0.2187264630254227</v>
      </c>
      <c r="O11" s="67"/>
    </row>
    <row r="12" spans="1:15">
      <c r="A12" s="78" t="str">
        <f>'Clean Summary Table'!A16</f>
        <v>Research &amp; Development</v>
      </c>
      <c r="B12" s="78"/>
      <c r="C12" s="75">
        <f>'Clean Summary Table'!B16</f>
        <v>6281.2528616024974</v>
      </c>
      <c r="D12" s="75"/>
      <c r="E12" s="75">
        <f>'Clean Summary Table'!C16</f>
        <v>1009</v>
      </c>
      <c r="F12" s="75"/>
      <c r="G12" s="36"/>
      <c r="H12" s="75">
        <f>'Clean Summary Table'!D16</f>
        <v>19999</v>
      </c>
      <c r="I12" s="75"/>
      <c r="J12" s="75">
        <f>'Clean Summary Table'!E16</f>
        <v>6036284</v>
      </c>
      <c r="K12" s="75"/>
      <c r="L12" s="75">
        <f>'Clean Summary Table'!I16</f>
        <v>4774674.43</v>
      </c>
      <c r="M12" s="75"/>
      <c r="N12" s="68">
        <f>'Clean Summary Table'!J16</f>
        <v>0.20900434273801569</v>
      </c>
      <c r="O12" s="69"/>
    </row>
    <row r="13" spans="1:15">
      <c r="A13" s="79" t="str">
        <f>'Clean Summary Table'!A17</f>
        <v>Sales</v>
      </c>
      <c r="B13" s="79"/>
      <c r="C13" s="76">
        <f>'Clean Summary Table'!B17</f>
        <v>6959.17264573991</v>
      </c>
      <c r="D13" s="76"/>
      <c r="E13" s="76">
        <f>'Clean Summary Table'!C17</f>
        <v>1052</v>
      </c>
      <c r="F13" s="76"/>
      <c r="G13" s="37"/>
      <c r="H13" s="76">
        <f>'Clean Summary Table'!D17</f>
        <v>19847</v>
      </c>
      <c r="I13" s="76"/>
      <c r="J13" s="76">
        <f>'Clean Summary Table'!E17</f>
        <v>3097798</v>
      </c>
      <c r="K13" s="76"/>
      <c r="L13" s="76">
        <f>'Clean Summary Table'!I17</f>
        <v>2465855.6899999995</v>
      </c>
      <c r="M13" s="76"/>
      <c r="N13" s="70">
        <f>'Clean Summary Table'!J17</f>
        <v>0.20399726192605216</v>
      </c>
      <c r="O13" s="71"/>
    </row>
    <row r="14" spans="1:15" ht="5.4" customHeight="1" thickBo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6" spans="1:15">
      <c r="A16" s="57" t="s">
        <v>129</v>
      </c>
      <c r="B16" s="57"/>
      <c r="C16" s="57"/>
      <c r="D16" s="57"/>
      <c r="E16" s="57"/>
      <c r="F16" s="57"/>
      <c r="H16" s="57" t="s">
        <v>133</v>
      </c>
      <c r="I16" s="57"/>
      <c r="J16" s="57"/>
      <c r="K16" s="57"/>
      <c r="L16" s="57"/>
      <c r="M16" s="57"/>
      <c r="N16" s="57"/>
      <c r="O16" s="57"/>
    </row>
    <row r="17" spans="1:15" ht="14.4" thickBot="1">
      <c r="A17" s="73" t="s">
        <v>4</v>
      </c>
      <c r="B17" s="73"/>
      <c r="C17" s="73" t="s">
        <v>79</v>
      </c>
      <c r="D17" s="73"/>
      <c r="E17" s="73" t="s">
        <v>130</v>
      </c>
      <c r="F17" s="73"/>
      <c r="H17" s="58" t="s">
        <v>78</v>
      </c>
      <c r="I17" s="58"/>
      <c r="J17" s="40" t="s">
        <v>131</v>
      </c>
      <c r="K17" s="40" t="s">
        <v>93</v>
      </c>
      <c r="L17" s="58" t="s">
        <v>81</v>
      </c>
      <c r="M17" s="58"/>
      <c r="N17" s="58" t="s">
        <v>132</v>
      </c>
      <c r="O17" s="58"/>
    </row>
    <row r="18" spans="1:15">
      <c r="A18" s="54" t="str">
        <f>'Clean Summary Table'!F22</f>
        <v>New</v>
      </c>
      <c r="B18" s="54"/>
      <c r="C18" s="54">
        <f>'Clean Summary Table'!G22</f>
        <v>215</v>
      </c>
      <c r="D18" s="54"/>
      <c r="E18" s="63">
        <f>'Clean Summary Table'!H22</f>
        <v>0.14625850340136054</v>
      </c>
      <c r="F18" s="54"/>
      <c r="H18" s="54" t="str">
        <f>'Clean Summary Table'!A23</f>
        <v>20-29</v>
      </c>
      <c r="I18" s="54"/>
      <c r="J18" s="33">
        <f>'Clean Summary Table'!B23</f>
        <v>326</v>
      </c>
      <c r="K18" s="33">
        <f>'Clean Summary Table'!C23</f>
        <v>91</v>
      </c>
      <c r="L18" s="63">
        <f>'Clean Summary Table'!D23</f>
        <v>0.27914110429447853</v>
      </c>
      <c r="M18" s="54"/>
      <c r="N18" s="59" t="s">
        <v>134</v>
      </c>
      <c r="O18" s="59"/>
    </row>
    <row r="19" spans="1:15">
      <c r="A19" s="55" t="str">
        <f>'Clean Summary Table'!F23</f>
        <v>Developing</v>
      </c>
      <c r="B19" s="55"/>
      <c r="C19" s="55">
        <f>'Clean Summary Table'!G23</f>
        <v>561</v>
      </c>
      <c r="D19" s="55"/>
      <c r="E19" s="64">
        <f>'Clean Summary Table'!H23</f>
        <v>0.38163265306122451</v>
      </c>
      <c r="F19" s="55"/>
      <c r="H19" s="55" t="str">
        <f>'Clean Summary Table'!A24</f>
        <v>30-39</v>
      </c>
      <c r="I19" s="55"/>
      <c r="J19" s="34">
        <f>'Clean Summary Table'!B24</f>
        <v>622</v>
      </c>
      <c r="K19" s="34">
        <f>'Clean Summary Table'!C24</f>
        <v>89</v>
      </c>
      <c r="L19" s="64">
        <f>'Clean Summary Table'!D24</f>
        <v>0.14308681672025725</v>
      </c>
      <c r="M19" s="55"/>
      <c r="N19" s="60" t="s">
        <v>135</v>
      </c>
      <c r="O19" s="60"/>
    </row>
    <row r="20" spans="1:15">
      <c r="A20" s="54" t="str">
        <f>'Clean Summary Table'!F24</f>
        <v>Experienced</v>
      </c>
      <c r="B20" s="54"/>
      <c r="C20" s="54">
        <f>'Clean Summary Table'!G24</f>
        <v>448</v>
      </c>
      <c r="D20" s="54"/>
      <c r="E20" s="63">
        <f>'Clean Summary Table'!H24</f>
        <v>0.30476190476190479</v>
      </c>
      <c r="F20" s="54"/>
      <c r="H20" s="54" t="str">
        <f>'Clean Summary Table'!A25</f>
        <v>40-49</v>
      </c>
      <c r="I20" s="54"/>
      <c r="J20" s="33">
        <f>'Clean Summary Table'!B25</f>
        <v>349</v>
      </c>
      <c r="K20" s="33">
        <f>'Clean Summary Table'!C25</f>
        <v>34</v>
      </c>
      <c r="L20" s="63">
        <f>'Clean Summary Table'!D25</f>
        <v>9.7421203438395415E-2</v>
      </c>
      <c r="M20" s="54"/>
      <c r="N20" s="61" t="s">
        <v>136</v>
      </c>
      <c r="O20" s="61"/>
    </row>
    <row r="21" spans="1:15" s="42" customFormat="1">
      <c r="A21" s="56" t="str">
        <f>'Clean Summary Table'!F25</f>
        <v>Veteran</v>
      </c>
      <c r="B21" s="56"/>
      <c r="C21" s="56">
        <f>'Clean Summary Table'!G25</f>
        <v>246</v>
      </c>
      <c r="D21" s="56"/>
      <c r="E21" s="65">
        <f>'Clean Summary Table'!H25</f>
        <v>0.16734693877551021</v>
      </c>
      <c r="F21" s="56"/>
      <c r="H21" s="56" t="str">
        <f>'Clean Summary Table'!A26</f>
        <v>50+</v>
      </c>
      <c r="I21" s="56"/>
      <c r="J21" s="41">
        <f>'Clean Summary Table'!B26</f>
        <v>173</v>
      </c>
      <c r="K21" s="41">
        <f>'Clean Summary Table'!C26</f>
        <v>23</v>
      </c>
      <c r="L21" s="65">
        <f>'Clean Summary Table'!D26</f>
        <v>0.13294797687861271</v>
      </c>
      <c r="M21" s="56"/>
      <c r="N21" s="62" t="s">
        <v>135</v>
      </c>
      <c r="O21" s="62"/>
    </row>
    <row r="22" spans="1:15" s="43" customFormat="1" ht="4.2" customHeight="1" thickBot="1"/>
    <row r="23" spans="1:15" ht="14.4" thickTop="1"/>
  </sheetData>
  <mergeCells count="64">
    <mergeCell ref="A1:O1"/>
    <mergeCell ref="A2:O2"/>
    <mergeCell ref="A3:O3"/>
    <mergeCell ref="A10:B10"/>
    <mergeCell ref="C10:D10"/>
    <mergeCell ref="E10:F10"/>
    <mergeCell ref="H10:I10"/>
    <mergeCell ref="J10:K10"/>
    <mergeCell ref="L10:M10"/>
    <mergeCell ref="N10:O10"/>
    <mergeCell ref="A11:B11"/>
    <mergeCell ref="A12:B12"/>
    <mergeCell ref="A13:B13"/>
    <mergeCell ref="C11:D11"/>
    <mergeCell ref="C12:D12"/>
    <mergeCell ref="C13:D13"/>
    <mergeCell ref="E11:F11"/>
    <mergeCell ref="E13:F13"/>
    <mergeCell ref="H11:I11"/>
    <mergeCell ref="H12:I12"/>
    <mergeCell ref="H13:I13"/>
    <mergeCell ref="N11:O11"/>
    <mergeCell ref="N12:O12"/>
    <mergeCell ref="N13:O13"/>
    <mergeCell ref="A9:O9"/>
    <mergeCell ref="A17:B17"/>
    <mergeCell ref="C17:D17"/>
    <mergeCell ref="E17:F17"/>
    <mergeCell ref="A16:F16"/>
    <mergeCell ref="H17:I17"/>
    <mergeCell ref="J11:K11"/>
    <mergeCell ref="J12:K12"/>
    <mergeCell ref="J13:K13"/>
    <mergeCell ref="L11:M11"/>
    <mergeCell ref="L13:M13"/>
    <mergeCell ref="L12:M12"/>
    <mergeCell ref="E12:F12"/>
    <mergeCell ref="A18:B18"/>
    <mergeCell ref="A19:B19"/>
    <mergeCell ref="A20:B20"/>
    <mergeCell ref="A21:B21"/>
    <mergeCell ref="E18:F18"/>
    <mergeCell ref="E19:F19"/>
    <mergeCell ref="E20:F20"/>
    <mergeCell ref="E21:F21"/>
    <mergeCell ref="C18:D18"/>
    <mergeCell ref="C19:D19"/>
    <mergeCell ref="C21:D21"/>
    <mergeCell ref="C20:D20"/>
    <mergeCell ref="H18:I18"/>
    <mergeCell ref="H19:I19"/>
    <mergeCell ref="H20:I20"/>
    <mergeCell ref="H21:I21"/>
    <mergeCell ref="H16:O16"/>
    <mergeCell ref="L17:M17"/>
    <mergeCell ref="N17:O17"/>
    <mergeCell ref="N18:O18"/>
    <mergeCell ref="N19:O19"/>
    <mergeCell ref="N20:O20"/>
    <mergeCell ref="N21:O21"/>
    <mergeCell ref="L18:M18"/>
    <mergeCell ref="L19:M19"/>
    <mergeCell ref="L20:M20"/>
    <mergeCell ref="L21:M21"/>
  </mergeCells>
  <conditionalFormatting sqref="N11:O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:O21">
    <cfRule type="iconSet" priority="1">
      <iconSet>
        <cfvo type="percent" val="0"/>
        <cfvo type="percent" val="$L$18"/>
        <cfvo type="percent" val="$L$20"/>
      </iconSet>
    </cfRule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HR-Employee-Attrition</vt:lpstr>
      <vt:lpstr>Clean Table</vt:lpstr>
      <vt:lpstr>Clean Summary Table</vt:lpstr>
      <vt:lpstr>Overview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ONYEMAZUWA OSONYE</dc:creator>
  <cp:lastModifiedBy>ONYEMAZUWA OSONYE</cp:lastModifiedBy>
  <cp:lastPrinted>2026-03-28T10:15:51Z</cp:lastPrinted>
  <dcterms:created xsi:type="dcterms:W3CDTF">2026-03-27T15:40:07Z</dcterms:created>
  <dcterms:modified xsi:type="dcterms:W3CDTF">2026-03-30T13:16:25Z</dcterms:modified>
</cp:coreProperties>
</file>